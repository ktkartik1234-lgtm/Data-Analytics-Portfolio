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tkar\Desktop\Capstone_project_insurance\validation\"/>
    </mc:Choice>
  </mc:AlternateContent>
  <xr:revisionPtr revIDLastSave="0" documentId="13_ncr:1_{2929A73A-59BB-4A9B-81A4-3056497FB235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Title" sheetId="1" r:id="rId1"/>
    <sheet name="Contents" sheetId="2" r:id="rId2"/>
    <sheet name="Customer_Master" sheetId="3" r:id="rId3"/>
    <sheet name="Policy_Details" sheetId="4" r:id="rId4"/>
    <sheet name="Claim_History" sheetId="5" r:id="rId5"/>
    <sheet name="Agent_Info" sheetId="6" r:id="rId6"/>
    <sheet name="Customer_Feedback" sheetId="7" r:id="rId7"/>
    <sheet name="FK_Integrity_Check" sheetId="8" r:id="rId8"/>
    <sheet name="Data_Quality_Log" sheetId="9" r:id="rId9"/>
    <sheet name="Lookup_Reference" sheetId="10" r:id="rId10"/>
    <sheet name="SQL_Validation_Summary" sheetId="11" r:id="rId11"/>
  </sheets>
  <definedNames>
    <definedName name="_xlnm._FilterDatabase" localSheetId="5" hidden="1">Agent_Info!$A$1:$H$301</definedName>
    <definedName name="_xlnm._FilterDatabase" localSheetId="4" hidden="1">Claim_History!$A$1:$I$1407</definedName>
    <definedName name="_xlnm._FilterDatabase" localSheetId="6" hidden="1">Customer_Feedback!$A$1:$H$1001</definedName>
    <definedName name="_xlnm._FilterDatabase" localSheetId="2" hidden="1">Customer_Master!$A$1:$L$1649</definedName>
    <definedName name="_xlnm._FilterDatabase" localSheetId="3" hidden="1">Policy_Details!$A$1:$J$2829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9" l="1"/>
  <c r="H3" i="7" a="1"/>
  <c r="H3" i="7" s="1"/>
  <c r="H4" i="7" a="1"/>
  <c r="H4" i="7"/>
  <c r="H5" i="7" a="1"/>
  <c r="H5" i="7"/>
  <c r="H6" i="7" a="1"/>
  <c r="H6" i="7"/>
  <c r="H7" i="7" a="1"/>
  <c r="H7" i="7"/>
  <c r="H8" i="7" a="1"/>
  <c r="H8" i="7"/>
  <c r="H9" i="7" a="1"/>
  <c r="H9" i="7"/>
  <c r="H10" i="7" a="1"/>
  <c r="H10" i="7" s="1"/>
  <c r="H11" i="7" a="1"/>
  <c r="H11" i="7" s="1"/>
  <c r="H12" i="7" a="1"/>
  <c r="H12" i="7"/>
  <c r="H13" i="7" a="1"/>
  <c r="H13" i="7"/>
  <c r="H14" i="7" a="1"/>
  <c r="H14" i="7"/>
  <c r="H15" i="7" a="1"/>
  <c r="H15" i="7"/>
  <c r="H16" i="7" a="1"/>
  <c r="H16" i="7" s="1"/>
  <c r="H17" i="7" a="1"/>
  <c r="H17" i="7"/>
  <c r="H18" i="7" a="1"/>
  <c r="H18" i="7"/>
  <c r="H19" i="7" a="1"/>
  <c r="H19" i="7" s="1"/>
  <c r="H20" i="7" a="1"/>
  <c r="H20" i="7" s="1"/>
  <c r="H21" i="7" a="1"/>
  <c r="H21" i="7"/>
  <c r="H22" i="7" a="1"/>
  <c r="H22" i="7" s="1"/>
  <c r="H23" i="7" a="1"/>
  <c r="H23" i="7"/>
  <c r="H24" i="7" a="1"/>
  <c r="H24" i="7"/>
  <c r="H25" i="7" a="1"/>
  <c r="H25" i="7" s="1"/>
  <c r="H26" i="7" a="1"/>
  <c r="H26" i="7"/>
  <c r="H27" i="7" a="1"/>
  <c r="H27" i="7" s="1"/>
  <c r="H28" i="7" a="1"/>
  <c r="H28" i="7" s="1"/>
  <c r="H29" i="7" a="1"/>
  <c r="H29" i="7"/>
  <c r="H30" i="7" a="1"/>
  <c r="H30" i="7" s="1"/>
  <c r="H31" i="7" a="1"/>
  <c r="H31" i="7" s="1"/>
  <c r="H32" i="7" a="1"/>
  <c r="H32" i="7" s="1"/>
  <c r="H33" i="7" a="1"/>
  <c r="H33" i="7"/>
  <c r="H34" i="7" a="1"/>
  <c r="H34" i="7" s="1"/>
  <c r="H35" i="7" a="1"/>
  <c r="H35" i="7" s="1"/>
  <c r="H36" i="7" a="1"/>
  <c r="H36" i="7" s="1"/>
  <c r="H37" i="7" a="1"/>
  <c r="H37" i="7"/>
  <c r="H38" i="7" a="1"/>
  <c r="H38" i="7"/>
  <c r="H39" i="7" a="1"/>
  <c r="H39" i="7" s="1"/>
  <c r="H40" i="7" a="1"/>
  <c r="H40" i="7" s="1"/>
  <c r="H41" i="7" a="1"/>
  <c r="H41" i="7"/>
  <c r="H42" i="7" a="1"/>
  <c r="H42" i="7"/>
  <c r="H43" i="7" a="1"/>
  <c r="H43" i="7" s="1"/>
  <c r="H44" i="7" a="1"/>
  <c r="H44" i="7" s="1"/>
  <c r="H45" i="7" a="1"/>
  <c r="H45" i="7"/>
  <c r="H46" i="7" a="1"/>
  <c r="H46" i="7"/>
  <c r="H47" i="7" a="1"/>
  <c r="H47" i="7"/>
  <c r="H48" i="7" a="1"/>
  <c r="H48" i="7" s="1"/>
  <c r="H49" i="7" a="1"/>
  <c r="H49" i="7" s="1"/>
  <c r="H50" i="7" a="1"/>
  <c r="H50" i="7"/>
  <c r="H51" i="7" a="1"/>
  <c r="H51" i="7" s="1"/>
  <c r="H52" i="7" a="1"/>
  <c r="H52" i="7" s="1"/>
  <c r="H53" i="7" a="1"/>
  <c r="H53" i="7" s="1"/>
  <c r="H54" i="7" a="1"/>
  <c r="H54" i="7" s="1"/>
  <c r="H55" i="7" a="1"/>
  <c r="H55" i="7"/>
  <c r="H56" i="7" a="1"/>
  <c r="H56" i="7" s="1"/>
  <c r="H57" i="7" a="1"/>
  <c r="H57" i="7" s="1"/>
  <c r="H58" i="7" a="1"/>
  <c r="H58" i="7" s="1"/>
  <c r="H59" i="7" a="1"/>
  <c r="H59" i="7" s="1"/>
  <c r="H60" i="7" a="1"/>
  <c r="H60" i="7" s="1"/>
  <c r="H61" i="7" a="1"/>
  <c r="H61" i="7"/>
  <c r="H62" i="7" a="1"/>
  <c r="H62" i="7" s="1"/>
  <c r="H63" i="7" a="1"/>
  <c r="H63" i="7"/>
  <c r="H64" i="7" a="1"/>
  <c r="H64" i="7"/>
  <c r="H65" i="7" a="1"/>
  <c r="H65" i="7" s="1"/>
  <c r="H66" i="7" a="1"/>
  <c r="H66" i="7" s="1"/>
  <c r="H67" i="7" a="1"/>
  <c r="H67" i="7" s="1"/>
  <c r="H68" i="7" a="1"/>
  <c r="H68" i="7" s="1"/>
  <c r="H69" i="7" a="1"/>
  <c r="H69" i="7"/>
  <c r="H70" i="7" a="1"/>
  <c r="H70" i="7"/>
  <c r="H71" i="7" a="1"/>
  <c r="H71" i="7" s="1"/>
  <c r="H72" i="7" a="1"/>
  <c r="H72" i="7"/>
  <c r="H73" i="7" a="1"/>
  <c r="H73" i="7"/>
  <c r="H74" i="7" a="1"/>
  <c r="H74" i="7"/>
  <c r="H75" i="7" a="1"/>
  <c r="H75" i="7" s="1"/>
  <c r="H76" i="7" a="1"/>
  <c r="H76" i="7" s="1"/>
  <c r="H77" i="7" a="1"/>
  <c r="H77" i="7" s="1"/>
  <c r="H78" i="7" a="1"/>
  <c r="H78" i="7" s="1"/>
  <c r="H79" i="7" a="1"/>
  <c r="H79" i="7"/>
  <c r="H80" i="7" a="1"/>
  <c r="H80" i="7" s="1"/>
  <c r="H81" i="7" a="1"/>
  <c r="H81" i="7"/>
  <c r="H82" i="7" a="1"/>
  <c r="H82" i="7"/>
  <c r="H83" i="7" a="1"/>
  <c r="H83" i="7" s="1"/>
  <c r="H84" i="7" a="1"/>
  <c r="H84" i="7" s="1"/>
  <c r="H85" i="7" a="1"/>
  <c r="H85" i="7" s="1"/>
  <c r="H86" i="7" a="1"/>
  <c r="H86" i="7" s="1"/>
  <c r="H87" i="7" a="1"/>
  <c r="H87" i="7" s="1"/>
  <c r="H88" i="7" a="1"/>
  <c r="H88" i="7"/>
  <c r="H89" i="7" a="1"/>
  <c r="H89" i="7" s="1"/>
  <c r="H90" i="7" a="1"/>
  <c r="H90" i="7"/>
  <c r="H91" i="7" a="1"/>
  <c r="H91" i="7" s="1"/>
  <c r="H92" i="7" a="1"/>
  <c r="H92" i="7" s="1"/>
  <c r="H93" i="7" a="1"/>
  <c r="H93" i="7"/>
  <c r="H94" i="7" a="1"/>
  <c r="H94" i="7" s="1"/>
  <c r="H95" i="7" a="1"/>
  <c r="H95" i="7" s="1"/>
  <c r="H96" i="7" a="1"/>
  <c r="H96" i="7"/>
  <c r="H97" i="7" a="1"/>
  <c r="H97" i="7" s="1"/>
  <c r="H98" i="7" a="1"/>
  <c r="H98" i="7" s="1"/>
  <c r="H99" i="7" a="1"/>
  <c r="H99" i="7" s="1"/>
  <c r="H100" i="7" a="1"/>
  <c r="H100" i="7" s="1"/>
  <c r="H101" i="7" a="1"/>
  <c r="H101" i="7"/>
  <c r="H102" i="7" a="1"/>
  <c r="H102" i="7"/>
  <c r="H103" i="7" a="1"/>
  <c r="H103" i="7" s="1"/>
  <c r="H104" i="7" a="1"/>
  <c r="H104" i="7" s="1"/>
  <c r="H105" i="7" a="1"/>
  <c r="H105" i="7"/>
  <c r="H106" i="7" a="1"/>
  <c r="H106" i="7"/>
  <c r="H107" i="7" a="1"/>
  <c r="H107" i="7" s="1"/>
  <c r="H108" i="7" a="1"/>
  <c r="H108" i="7" s="1"/>
  <c r="H109" i="7" a="1"/>
  <c r="H109" i="7" s="1"/>
  <c r="H110" i="7" a="1"/>
  <c r="H110" i="7"/>
  <c r="H111" i="7" a="1"/>
  <c r="H111" i="7"/>
  <c r="H112" i="7" a="1"/>
  <c r="H112" i="7" s="1"/>
  <c r="H113" i="7" a="1"/>
  <c r="H113" i="7" s="1"/>
  <c r="H114" i="7" a="1"/>
  <c r="H114" i="7"/>
  <c r="H115" i="7" a="1"/>
  <c r="H115" i="7" s="1"/>
  <c r="H116" i="7" a="1"/>
  <c r="H116" i="7" s="1"/>
  <c r="H117" i="7" a="1"/>
  <c r="H117" i="7" s="1"/>
  <c r="H118" i="7" a="1"/>
  <c r="H118" i="7"/>
  <c r="H119" i="7" a="1"/>
  <c r="H119" i="7" s="1"/>
  <c r="H120" i="7" a="1"/>
  <c r="H120" i="7"/>
  <c r="H121" i="7" a="1"/>
  <c r="H121" i="7" s="1"/>
  <c r="H122" i="7" a="1"/>
  <c r="H122" i="7" s="1"/>
  <c r="H123" i="7" a="1"/>
  <c r="H123" i="7" s="1"/>
  <c r="H124" i="7" a="1"/>
  <c r="H124" i="7" s="1"/>
  <c r="H125" i="7" a="1"/>
  <c r="H125" i="7"/>
  <c r="H126" i="7" a="1"/>
  <c r="H126" i="7" s="1"/>
  <c r="H127" i="7" a="1"/>
  <c r="H127" i="7"/>
  <c r="H128" i="7" a="1"/>
  <c r="H128" i="7"/>
  <c r="H129" i="7" a="1"/>
  <c r="H129" i="7"/>
  <c r="H130" i="7" a="1"/>
  <c r="H130" i="7" s="1"/>
  <c r="H131" i="7" a="1"/>
  <c r="H131" i="7" s="1"/>
  <c r="H132" i="7" a="1"/>
  <c r="H132" i="7" s="1"/>
  <c r="H133" i="7" a="1"/>
  <c r="H133" i="7"/>
  <c r="H134" i="7" a="1"/>
  <c r="H134" i="7"/>
  <c r="H135" i="7" a="1"/>
  <c r="H135" i="7" s="1"/>
  <c r="H136" i="7" a="1"/>
  <c r="H136" i="7"/>
  <c r="H137" i="7" a="1"/>
  <c r="H137" i="7"/>
  <c r="H138" i="7" a="1"/>
  <c r="H138" i="7"/>
  <c r="H139" i="7" a="1"/>
  <c r="H139" i="7" s="1"/>
  <c r="H140" i="7" a="1"/>
  <c r="H140" i="7" s="1"/>
  <c r="H141" i="7" a="1"/>
  <c r="H141" i="7" s="1"/>
  <c r="H142" i="7" a="1"/>
  <c r="H142" i="7"/>
  <c r="H143" i="7" a="1"/>
  <c r="H143" i="7"/>
  <c r="H144" i="7" a="1"/>
  <c r="H144" i="7" s="1"/>
  <c r="H145" i="7" a="1"/>
  <c r="H145" i="7"/>
  <c r="H146" i="7" a="1"/>
  <c r="H146" i="7"/>
  <c r="H147" i="7" a="1"/>
  <c r="H147" i="7" s="1"/>
  <c r="H148" i="7" a="1"/>
  <c r="H148" i="7" s="1"/>
  <c r="H149" i="7" a="1"/>
  <c r="H149" i="7" s="1"/>
  <c r="H150" i="7" a="1"/>
  <c r="H150" i="7" s="1"/>
  <c r="H151" i="7" a="1"/>
  <c r="H151" i="7"/>
  <c r="H152" i="7" a="1"/>
  <c r="H152" i="7" s="1"/>
  <c r="H153" i="7" a="1"/>
  <c r="H153" i="7" s="1"/>
  <c r="H154" i="7" a="1"/>
  <c r="H154" i="7"/>
  <c r="H155" i="7" a="1"/>
  <c r="H155" i="7" s="1"/>
  <c r="H156" i="7" a="1"/>
  <c r="H156" i="7" s="1"/>
  <c r="H157" i="7" a="1"/>
  <c r="H157" i="7"/>
  <c r="H158" i="7" a="1"/>
  <c r="H158" i="7" s="1"/>
  <c r="H159" i="7" a="1"/>
  <c r="H159" i="7" s="1"/>
  <c r="H160" i="7" a="1"/>
  <c r="H160" i="7"/>
  <c r="H161" i="7" a="1"/>
  <c r="H161" i="7"/>
  <c r="H162" i="7" a="1"/>
  <c r="H162" i="7" s="1"/>
  <c r="H163" i="7" a="1"/>
  <c r="H163" i="7" s="1"/>
  <c r="H164" i="7" a="1"/>
  <c r="H164" i="7" s="1"/>
  <c r="H165" i="7" a="1"/>
  <c r="H165" i="7"/>
  <c r="H166" i="7" a="1"/>
  <c r="H166" i="7"/>
  <c r="H167" i="7" a="1"/>
  <c r="H167" i="7" s="1"/>
  <c r="H168" i="7" a="1"/>
  <c r="H168" i="7" s="1"/>
  <c r="H169" i="7" a="1"/>
  <c r="H169" i="7"/>
  <c r="H170" i="7" a="1"/>
  <c r="H170" i="7"/>
  <c r="H171" i="7" a="1"/>
  <c r="H171" i="7" s="1"/>
  <c r="H172" i="7" a="1"/>
  <c r="H172" i="7" s="1"/>
  <c r="H173" i="7" a="1"/>
  <c r="H173" i="7"/>
  <c r="H174" i="7" a="1"/>
  <c r="H174" i="7" s="1"/>
  <c r="H175" i="7" a="1"/>
  <c r="H175" i="7"/>
  <c r="H176" i="7" a="1"/>
  <c r="H176" i="7" s="1"/>
  <c r="H177" i="7" a="1"/>
  <c r="H177" i="7" s="1"/>
  <c r="H178" i="7" a="1"/>
  <c r="H178" i="7"/>
  <c r="H179" i="7" a="1"/>
  <c r="H179" i="7" s="1"/>
  <c r="H180" i="7" a="1"/>
  <c r="H180" i="7" s="1"/>
  <c r="H181" i="7" a="1"/>
  <c r="H181" i="7" s="1"/>
  <c r="H182" i="7" a="1"/>
  <c r="H182" i="7"/>
  <c r="H183" i="7" a="1"/>
  <c r="H183" i="7"/>
  <c r="H184" i="7" a="1"/>
  <c r="H184" i="7" s="1"/>
  <c r="H185" i="7" a="1"/>
  <c r="H185" i="7" s="1"/>
  <c r="H186" i="7" a="1"/>
  <c r="H186" i="7" s="1"/>
  <c r="H187" i="7" a="1"/>
  <c r="H187" i="7" s="1"/>
  <c r="H188" i="7" a="1"/>
  <c r="H188" i="7" s="1"/>
  <c r="H189" i="7" a="1"/>
  <c r="H189" i="7"/>
  <c r="H190" i="7" a="1"/>
  <c r="H190" i="7" s="1"/>
  <c r="H191" i="7" a="1"/>
  <c r="H191" i="7"/>
  <c r="H192" i="7" a="1"/>
  <c r="H192" i="7"/>
  <c r="H193" i="7" a="1"/>
  <c r="H193" i="7"/>
  <c r="H194" i="7" a="1"/>
  <c r="H194" i="7" s="1"/>
  <c r="H195" i="7" a="1"/>
  <c r="H195" i="7" s="1"/>
  <c r="H196" i="7" a="1"/>
  <c r="H196" i="7" s="1"/>
  <c r="H197" i="7" a="1"/>
  <c r="H197" i="7"/>
  <c r="H198" i="7" a="1"/>
  <c r="H198" i="7"/>
  <c r="H199" i="7" a="1"/>
  <c r="H199" i="7" s="1"/>
  <c r="H200" i="7" a="1"/>
  <c r="H200" i="7"/>
  <c r="H201" i="7" a="1"/>
  <c r="H201" i="7"/>
  <c r="H202" i="7" a="1"/>
  <c r="H202" i="7"/>
  <c r="H203" i="7" a="1"/>
  <c r="H203" i="7" s="1"/>
  <c r="H204" i="7" a="1"/>
  <c r="H204" i="7" s="1"/>
  <c r="H205" i="7" a="1"/>
  <c r="H205" i="7" s="1"/>
  <c r="H206" i="7" a="1"/>
  <c r="H206" i="7" s="1"/>
  <c r="H207" i="7" a="1"/>
  <c r="H207" i="7"/>
  <c r="H208" i="7" a="1"/>
  <c r="H208" i="7" s="1"/>
  <c r="H209" i="7" a="1"/>
  <c r="H209" i="7"/>
  <c r="H210" i="7" a="1"/>
  <c r="H210" i="7"/>
  <c r="H211" i="7" a="1"/>
  <c r="H211" i="7" s="1"/>
  <c r="H212" i="7" a="1"/>
  <c r="H212" i="7" s="1"/>
  <c r="H213" i="7" a="1"/>
  <c r="H213" i="7" s="1"/>
  <c r="H214" i="7" a="1"/>
  <c r="H214" i="7" s="1"/>
  <c r="H215" i="7" a="1"/>
  <c r="H215" i="7"/>
  <c r="H216" i="7" a="1"/>
  <c r="H216" i="7"/>
  <c r="H217" i="7" a="1"/>
  <c r="H217" i="7" s="1"/>
  <c r="H218" i="7" a="1"/>
  <c r="H218" i="7"/>
  <c r="H219" i="7" a="1"/>
  <c r="H219" i="7" s="1"/>
  <c r="H220" i="7" a="1"/>
  <c r="H220" i="7" s="1"/>
  <c r="H221" i="7" a="1"/>
  <c r="H221" i="7"/>
  <c r="H222" i="7" a="1"/>
  <c r="H222" i="7" s="1"/>
  <c r="H223" i="7" a="1"/>
  <c r="H223" i="7" s="1"/>
  <c r="H224" i="7" a="1"/>
  <c r="H224" i="7"/>
  <c r="H225" i="7" a="1"/>
  <c r="H225" i="7"/>
  <c r="H226" i="7" a="1"/>
  <c r="H226" i="7" s="1"/>
  <c r="H227" i="7" a="1"/>
  <c r="H227" i="7" s="1"/>
  <c r="H228" i="7" a="1"/>
  <c r="H228" i="7" s="1"/>
  <c r="H229" i="7" a="1"/>
  <c r="H229" i="7" s="1"/>
  <c r="H230" i="7" a="1"/>
  <c r="H230" i="7"/>
  <c r="H231" i="7" a="1"/>
  <c r="H231" i="7" s="1"/>
  <c r="H232" i="7" a="1"/>
  <c r="H232" i="7" s="1"/>
  <c r="H233" i="7" a="1"/>
  <c r="H233" i="7"/>
  <c r="H234" i="7" a="1"/>
  <c r="H234" i="7"/>
  <c r="H235" i="7" a="1"/>
  <c r="H235" i="7" s="1"/>
  <c r="H236" i="7" a="1"/>
  <c r="H236" i="7" s="1"/>
  <c r="H237" i="7" a="1"/>
  <c r="H237" i="7"/>
  <c r="H238" i="7" a="1"/>
  <c r="H238" i="7"/>
  <c r="H239" i="7" a="1"/>
  <c r="H239" i="7" s="1"/>
  <c r="H240" i="7" a="1"/>
  <c r="H240" i="7" s="1"/>
  <c r="H241" i="7" a="1"/>
  <c r="H241" i="7" s="1"/>
  <c r="H242" i="7" a="1"/>
  <c r="H242" i="7"/>
  <c r="H243" i="7" a="1"/>
  <c r="H243" i="7" s="1"/>
  <c r="H244" i="7" a="1"/>
  <c r="H244" i="7" s="1"/>
  <c r="H245" i="7" a="1"/>
  <c r="H245" i="7" s="1"/>
  <c r="H246" i="7" a="1"/>
  <c r="H246" i="7"/>
  <c r="H247" i="7" a="1"/>
  <c r="H247" i="7"/>
  <c r="H248" i="7" a="1"/>
  <c r="H248" i="7"/>
  <c r="H249" i="7" a="1"/>
  <c r="H249" i="7" s="1"/>
  <c r="H250" i="7" a="1"/>
  <c r="H250" i="7" s="1"/>
  <c r="H251" i="7" a="1"/>
  <c r="H251" i="7" s="1"/>
  <c r="H252" i="7" a="1"/>
  <c r="H252" i="7" s="1"/>
  <c r="H253" i="7" a="1"/>
  <c r="H253" i="7"/>
  <c r="H254" i="7" a="1"/>
  <c r="H254" i="7" s="1"/>
  <c r="H255" i="7" a="1"/>
  <c r="H255" i="7"/>
  <c r="H256" i="7" a="1"/>
  <c r="H256" i="7"/>
  <c r="H257" i="7" a="1"/>
  <c r="H257" i="7"/>
  <c r="H258" i="7" a="1"/>
  <c r="H258" i="7" s="1"/>
  <c r="H259" i="7" a="1"/>
  <c r="H259" i="7" s="1"/>
  <c r="H260" i="7" a="1"/>
  <c r="H260" i="7" s="1"/>
  <c r="H261" i="7" a="1"/>
  <c r="H261" i="7" s="1"/>
  <c r="H262" i="7" a="1"/>
  <c r="H262" i="7"/>
  <c r="H263" i="7" a="1"/>
  <c r="H263" i="7" s="1"/>
  <c r="H264" i="7" a="1"/>
  <c r="H264" i="7"/>
  <c r="H265" i="7" a="1"/>
  <c r="H265" i="7"/>
  <c r="H266" i="7" a="1"/>
  <c r="H266" i="7"/>
  <c r="H267" i="7" a="1"/>
  <c r="H267" i="7" s="1"/>
  <c r="H268" i="7" a="1"/>
  <c r="H268" i="7" s="1"/>
  <c r="H269" i="7" a="1"/>
  <c r="H269" i="7" s="1"/>
  <c r="H270" i="7" a="1"/>
  <c r="H270" i="7"/>
  <c r="H271" i="7" a="1"/>
  <c r="H271" i="7" s="1"/>
  <c r="H272" i="7" a="1"/>
  <c r="H272" i="7" s="1"/>
  <c r="H273" i="7" a="1"/>
  <c r="H273" i="7"/>
  <c r="H274" i="7" a="1"/>
  <c r="H274" i="7"/>
  <c r="H275" i="7" a="1"/>
  <c r="H275" i="7" s="1"/>
  <c r="H276" i="7" a="1"/>
  <c r="H276" i="7" s="1"/>
  <c r="H277" i="7" a="1"/>
  <c r="H277" i="7" s="1"/>
  <c r="H278" i="7" a="1"/>
  <c r="H278" i="7" s="1"/>
  <c r="H279" i="7" a="1"/>
  <c r="H279" i="7"/>
  <c r="H280" i="7" a="1"/>
  <c r="H280" i="7"/>
  <c r="H281" i="7" a="1"/>
  <c r="H281" i="7" s="1"/>
  <c r="H282" i="7" a="1"/>
  <c r="H282" i="7" s="1"/>
  <c r="H283" i="7" a="1"/>
  <c r="H283" i="7" s="1"/>
  <c r="H284" i="7" a="1"/>
  <c r="H284" i="7" s="1"/>
  <c r="H285" i="7" a="1"/>
  <c r="H285" i="7"/>
  <c r="H286" i="7" a="1"/>
  <c r="H286" i="7" s="1"/>
  <c r="H287" i="7" a="1"/>
  <c r="H287" i="7" s="1"/>
  <c r="H288" i="7" a="1"/>
  <c r="H288" i="7"/>
  <c r="H289" i="7" a="1"/>
  <c r="H289" i="7"/>
  <c r="H290" i="7" a="1"/>
  <c r="H290" i="7" s="1"/>
  <c r="H291" i="7" a="1"/>
  <c r="H291" i="7" s="1"/>
  <c r="H292" i="7" a="1"/>
  <c r="H292" i="7" s="1"/>
  <c r="H293" i="7" a="1"/>
  <c r="H293" i="7"/>
  <c r="H294" i="7" a="1"/>
  <c r="H294" i="7" s="1"/>
  <c r="H295" i="7" a="1"/>
  <c r="H295" i="7" s="1"/>
  <c r="H296" i="7" a="1"/>
  <c r="H296" i="7" s="1"/>
  <c r="H297" i="7" a="1"/>
  <c r="H297" i="7"/>
  <c r="H298" i="7" a="1"/>
  <c r="H298" i="7"/>
  <c r="H299" i="7" a="1"/>
  <c r="H299" i="7" s="1"/>
  <c r="H300" i="7" a="1"/>
  <c r="H300" i="7" s="1"/>
  <c r="H301" i="7" a="1"/>
  <c r="H301" i="7"/>
  <c r="H302" i="7" a="1"/>
  <c r="H302" i="7"/>
  <c r="H303" i="7" a="1"/>
  <c r="H303" i="7"/>
  <c r="H304" i="7" a="1"/>
  <c r="H304" i="7" s="1"/>
  <c r="H305" i="7" a="1"/>
  <c r="H305" i="7" s="1"/>
  <c r="H306" i="7" a="1"/>
  <c r="H306" i="7"/>
  <c r="H307" i="7" a="1"/>
  <c r="H307" i="7" s="1"/>
  <c r="H308" i="7" a="1"/>
  <c r="H308" i="7" s="1"/>
  <c r="H309" i="7" a="1"/>
  <c r="H309" i="7" s="1"/>
  <c r="H310" i="7" a="1"/>
  <c r="H310" i="7"/>
  <c r="H311" i="7" a="1"/>
  <c r="H311" i="7"/>
  <c r="H312" i="7" a="1"/>
  <c r="H312" i="7"/>
  <c r="H313" i="7" a="1"/>
  <c r="H313" i="7" s="1"/>
  <c r="H314" i="7" a="1"/>
  <c r="H314" i="7" s="1"/>
  <c r="H315" i="7" a="1"/>
  <c r="H315" i="7" s="1"/>
  <c r="H316" i="7" a="1"/>
  <c r="H316" i="7" s="1"/>
  <c r="H317" i="7" a="1"/>
  <c r="H317" i="7"/>
  <c r="H318" i="7" a="1"/>
  <c r="H318" i="7" s="1"/>
  <c r="H319" i="7" a="1"/>
  <c r="H319" i="7"/>
  <c r="H320" i="7" a="1"/>
  <c r="H320" i="7"/>
  <c r="H321" i="7" a="1"/>
  <c r="H321" i="7"/>
  <c r="H322" i="7" a="1"/>
  <c r="H322" i="7" s="1"/>
  <c r="H323" i="7" a="1"/>
  <c r="H323" i="7" s="1"/>
  <c r="H324" i="7" a="1"/>
  <c r="H324" i="7" s="1"/>
  <c r="H325" i="7" a="1"/>
  <c r="H325" i="7"/>
  <c r="H326" i="7" a="1"/>
  <c r="H326" i="7" s="1"/>
  <c r="H327" i="7" a="1"/>
  <c r="H327" i="7" s="1"/>
  <c r="H328" i="7" a="1"/>
  <c r="H328" i="7"/>
  <c r="H329" i="7" a="1"/>
  <c r="H329" i="7"/>
  <c r="H330" i="7" a="1"/>
  <c r="H330" i="7"/>
  <c r="H331" i="7" a="1"/>
  <c r="H331" i="7" s="1"/>
  <c r="H332" i="7" a="1"/>
  <c r="H332" i="7" s="1"/>
  <c r="H333" i="7" a="1"/>
  <c r="H333" i="7" s="1"/>
  <c r="H334" i="7" a="1"/>
  <c r="H334" i="7"/>
  <c r="H335" i="7" a="1"/>
  <c r="H335" i="7"/>
  <c r="H336" i="7" a="1"/>
  <c r="H336" i="7" s="1"/>
  <c r="H337" i="7" a="1"/>
  <c r="H337" i="7" s="1"/>
  <c r="H338" i="7" a="1"/>
  <c r="H338" i="7"/>
  <c r="H339" i="7" a="1"/>
  <c r="H339" i="7" s="1"/>
  <c r="H340" i="7" a="1"/>
  <c r="H340" i="7" s="1"/>
  <c r="H341" i="7" a="1"/>
  <c r="H341" i="7" s="1"/>
  <c r="H342" i="7" a="1"/>
  <c r="H342" i="7" s="1"/>
  <c r="H343" i="7" a="1"/>
  <c r="H343" i="7"/>
  <c r="H344" i="7" a="1"/>
  <c r="H344" i="7"/>
  <c r="H345" i="7" a="1"/>
  <c r="H345" i="7" s="1"/>
  <c r="H346" i="7" a="1"/>
  <c r="H346" i="7"/>
  <c r="H347" i="7" a="1"/>
  <c r="H347" i="7" s="1"/>
  <c r="H348" i="7" a="1"/>
  <c r="H348" i="7" s="1"/>
  <c r="H349" i="7" a="1"/>
  <c r="H349" i="7"/>
  <c r="H350" i="7" a="1"/>
  <c r="H350" i="7" s="1"/>
  <c r="H351" i="7" a="1"/>
  <c r="H351" i="7" s="1"/>
  <c r="H352" i="7" a="1"/>
  <c r="H352" i="7"/>
  <c r="H353" i="7" a="1"/>
  <c r="H353" i="7"/>
  <c r="H354" i="7" a="1"/>
  <c r="H354" i="7" s="1"/>
  <c r="H355" i="7" a="1"/>
  <c r="H355" i="7" s="1"/>
  <c r="H356" i="7" a="1"/>
  <c r="H356" i="7" s="1"/>
  <c r="H357" i="7" a="1"/>
  <c r="H357" i="7"/>
  <c r="H358" i="7" a="1"/>
  <c r="H358" i="7"/>
  <c r="H359" i="7" a="1"/>
  <c r="H359" i="7" s="1"/>
  <c r="H360" i="7" a="1"/>
  <c r="H360" i="7" s="1"/>
  <c r="H361" i="7" a="1"/>
  <c r="H361" i="7"/>
  <c r="H362" i="7" a="1"/>
  <c r="H362" i="7"/>
  <c r="H363" i="7" a="1"/>
  <c r="H363" i="7" s="1"/>
  <c r="H364" i="7" a="1"/>
  <c r="H364" i="7" s="1"/>
  <c r="H365" i="7" a="1"/>
  <c r="H365" i="7"/>
  <c r="H366" i="7" a="1"/>
  <c r="H366" i="7"/>
  <c r="H367" i="7" a="1"/>
  <c r="H367" i="7"/>
  <c r="H368" i="7" a="1"/>
  <c r="H368" i="7" s="1"/>
  <c r="H369" i="7" a="1"/>
  <c r="H369" i="7" s="1"/>
  <c r="H370" i="7" a="1"/>
  <c r="H370" i="7" s="1"/>
  <c r="H371" i="7" a="1"/>
  <c r="H371" i="7" s="1"/>
  <c r="H372" i="7" a="1"/>
  <c r="H372" i="7" s="1"/>
  <c r="H373" i="7" a="1"/>
  <c r="H373" i="7" s="1"/>
  <c r="H374" i="7" a="1"/>
  <c r="H374" i="7"/>
  <c r="H375" i="7" a="1"/>
  <c r="H375" i="7"/>
  <c r="H376" i="7" a="1"/>
  <c r="H376" i="7"/>
  <c r="H377" i="7" a="1"/>
  <c r="H377" i="7" s="1"/>
  <c r="H378" i="7" a="1"/>
  <c r="H378" i="7" s="1"/>
  <c r="H379" i="7" a="1"/>
  <c r="H379" i="7" s="1"/>
  <c r="H380" i="7" a="1"/>
  <c r="H380" i="7" s="1"/>
  <c r="H381" i="7" a="1"/>
  <c r="H381" i="7" s="1"/>
  <c r="H382" i="7" a="1"/>
  <c r="H382" i="7" s="1"/>
  <c r="H383" i="7" a="1"/>
  <c r="H383" i="7"/>
  <c r="H384" i="7" a="1"/>
  <c r="H384" i="7"/>
  <c r="H385" i="7" a="1"/>
  <c r="H385" i="7"/>
  <c r="H386" i="7" a="1"/>
  <c r="H386" i="7" s="1"/>
  <c r="H387" i="7" a="1"/>
  <c r="H387" i="7" s="1"/>
  <c r="H388" i="7" a="1"/>
  <c r="H388" i="7" s="1"/>
  <c r="H389" i="7" a="1"/>
  <c r="H389" i="7"/>
  <c r="H390" i="7" a="1"/>
  <c r="H390" i="7"/>
  <c r="H391" i="7" a="1"/>
  <c r="H391" i="7" s="1"/>
  <c r="H392" i="7" a="1"/>
  <c r="H392" i="7" s="1"/>
  <c r="H393" i="7" a="1"/>
  <c r="H393" i="7"/>
  <c r="H394" i="7" a="1"/>
  <c r="H394" i="7"/>
  <c r="H395" i="7" a="1"/>
  <c r="H395" i="7" s="1"/>
  <c r="H396" i="7" a="1"/>
  <c r="H396" i="7" s="1"/>
  <c r="H397" i="7" a="1"/>
  <c r="H397" i="7" s="1"/>
  <c r="H398" i="7" a="1"/>
  <c r="H398" i="7"/>
  <c r="H399" i="7" a="1"/>
  <c r="H399" i="7"/>
  <c r="H400" i="7" a="1"/>
  <c r="H400" i="7" s="1"/>
  <c r="H401" i="7" a="1"/>
  <c r="H401" i="7"/>
  <c r="H402" i="7" a="1"/>
  <c r="H402" i="7" s="1"/>
  <c r="H403" i="7" a="1"/>
  <c r="H403" i="7" s="1"/>
  <c r="H404" i="7" a="1"/>
  <c r="H404" i="7" s="1"/>
  <c r="H405" i="7" a="1"/>
  <c r="H405" i="7" s="1"/>
  <c r="H406" i="7" a="1"/>
  <c r="H406" i="7" s="1"/>
  <c r="H407" i="7" a="1"/>
  <c r="H407" i="7"/>
  <c r="H408" i="7" a="1"/>
  <c r="H408" i="7"/>
  <c r="H409" i="7" a="1"/>
  <c r="H409" i="7" s="1"/>
  <c r="H410" i="7" a="1"/>
  <c r="H410" i="7"/>
  <c r="H411" i="7" a="1"/>
  <c r="H411" i="7" s="1"/>
  <c r="H412" i="7" a="1"/>
  <c r="H412" i="7" s="1"/>
  <c r="H413" i="7" a="1"/>
  <c r="H413" i="7" s="1"/>
  <c r="H414" i="7" a="1"/>
  <c r="H414" i="7" s="1"/>
  <c r="H415" i="7" a="1"/>
  <c r="H415" i="7" s="1"/>
  <c r="H416" i="7" a="1"/>
  <c r="H416" i="7"/>
  <c r="H417" i="7" a="1"/>
  <c r="H417" i="7"/>
  <c r="H418" i="7" a="1"/>
  <c r="H418" i="7" s="1"/>
  <c r="H419" i="7" a="1"/>
  <c r="H419" i="7" s="1"/>
  <c r="H420" i="7" a="1"/>
  <c r="H420" i="7" s="1"/>
  <c r="H421" i="7" a="1"/>
  <c r="H421" i="7"/>
  <c r="H422" i="7" a="1"/>
  <c r="H422" i="7"/>
  <c r="H423" i="7" a="1"/>
  <c r="H423" i="7" s="1"/>
  <c r="H424" i="7" a="1"/>
  <c r="H424" i="7" s="1"/>
  <c r="H425" i="7" a="1"/>
  <c r="H425" i="7" s="1"/>
  <c r="H426" i="7" a="1"/>
  <c r="H426" i="7"/>
  <c r="H427" i="7" a="1"/>
  <c r="H427" i="7" s="1"/>
  <c r="H428" i="7" a="1"/>
  <c r="H428" i="7" s="1"/>
  <c r="H429" i="7" a="1"/>
  <c r="H429" i="7"/>
  <c r="H430" i="7" a="1"/>
  <c r="H430" i="7"/>
  <c r="H431" i="7" a="1"/>
  <c r="H431" i="7"/>
  <c r="H432" i="7" a="1"/>
  <c r="H432" i="7" s="1"/>
  <c r="H433" i="7" a="1"/>
  <c r="H433" i="7" s="1"/>
  <c r="H434" i="7" a="1"/>
  <c r="H434" i="7"/>
  <c r="H435" i="7" a="1"/>
  <c r="H435" i="7" s="1"/>
  <c r="H436" i="7" a="1"/>
  <c r="H436" i="7" s="1"/>
  <c r="H437" i="7" a="1"/>
  <c r="H437" i="7" s="1"/>
  <c r="H438" i="7" a="1"/>
  <c r="H438" i="7"/>
  <c r="H439" i="7" a="1"/>
  <c r="H439" i="7"/>
  <c r="H440" i="7" a="1"/>
  <c r="H440" i="7"/>
  <c r="H441" i="7" a="1"/>
  <c r="H441" i="7" s="1"/>
  <c r="H442" i="7" a="1"/>
  <c r="H442" i="7" s="1"/>
  <c r="H443" i="7" a="1"/>
  <c r="H443" i="7" s="1"/>
  <c r="H444" i="7" a="1"/>
  <c r="H444" i="7" s="1"/>
  <c r="H445" i="7" a="1"/>
  <c r="H445" i="7"/>
  <c r="H446" i="7" a="1"/>
  <c r="H446" i="7" s="1"/>
  <c r="H447" i="7" a="1"/>
  <c r="H447" i="7" s="1"/>
  <c r="H448" i="7" a="1"/>
  <c r="H448" i="7"/>
  <c r="H449" i="7" a="1"/>
  <c r="H449" i="7"/>
  <c r="H450" i="7" a="1"/>
  <c r="H450" i="7" s="1"/>
  <c r="H451" i="7" a="1"/>
  <c r="H451" i="7" s="1"/>
  <c r="H452" i="7" a="1"/>
  <c r="H452" i="7" s="1"/>
  <c r="H453" i="7" a="1"/>
  <c r="H453" i="7"/>
  <c r="H454" i="7" a="1"/>
  <c r="H454" i="7"/>
  <c r="H455" i="7" a="1"/>
  <c r="H455" i="7" s="1"/>
  <c r="H456" i="7" a="1"/>
  <c r="H456" i="7"/>
  <c r="H457" i="7" a="1"/>
  <c r="H457" i="7" s="1"/>
  <c r="H458" i="7" a="1"/>
  <c r="H458" i="7"/>
  <c r="H459" i="7" a="1"/>
  <c r="H459" i="7" s="1"/>
  <c r="H460" i="7" a="1"/>
  <c r="H460" i="7"/>
  <c r="H461" i="7" a="1"/>
  <c r="H461" i="7"/>
  <c r="H462" i="7" a="1"/>
  <c r="H462" i="7"/>
  <c r="H463" i="7" a="1"/>
  <c r="H463" i="7"/>
  <c r="H464" i="7" a="1"/>
  <c r="H464" i="7"/>
  <c r="H465" i="7" a="1"/>
  <c r="H465" i="7" s="1"/>
  <c r="H466" i="7" a="1"/>
  <c r="H466" i="7"/>
  <c r="H467" i="7" a="1"/>
  <c r="H467" i="7" s="1"/>
  <c r="H468" i="7" a="1"/>
  <c r="H468" i="7" s="1"/>
  <c r="H469" i="7" a="1"/>
  <c r="H469" i="7" s="1"/>
  <c r="H470" i="7" a="1"/>
  <c r="H470" i="7"/>
  <c r="H471" i="7" a="1"/>
  <c r="H471" i="7"/>
  <c r="H472" i="7" a="1"/>
  <c r="H472" i="7" s="1"/>
  <c r="H473" i="7" a="1"/>
  <c r="H473" i="7"/>
  <c r="H474" i="7" a="1"/>
  <c r="H474" i="7"/>
  <c r="H475" i="7" a="1"/>
  <c r="H475" i="7" s="1"/>
  <c r="H476" i="7" a="1"/>
  <c r="H476" i="7" s="1"/>
  <c r="H477" i="7" a="1"/>
  <c r="H477" i="7"/>
  <c r="H478" i="7" a="1"/>
  <c r="H478" i="7"/>
  <c r="H479" i="7" a="1"/>
  <c r="H479" i="7"/>
  <c r="H480" i="7" a="1"/>
  <c r="H480" i="7"/>
  <c r="H481" i="7" a="1"/>
  <c r="H481" i="7"/>
  <c r="H482" i="7" a="1"/>
  <c r="H482" i="7"/>
  <c r="H483" i="7" a="1"/>
  <c r="H483" i="7" s="1"/>
  <c r="H484" i="7" a="1"/>
  <c r="H484" i="7" s="1"/>
  <c r="H485" i="7" a="1"/>
  <c r="H485" i="7" s="1"/>
  <c r="H486" i="7" a="1"/>
  <c r="H486" i="7" s="1"/>
  <c r="H487" i="7" a="1"/>
  <c r="H487" i="7"/>
  <c r="H488" i="7" a="1"/>
  <c r="H488" i="7"/>
  <c r="H489" i="7" a="1"/>
  <c r="H489" i="7" s="1"/>
  <c r="H490" i="7" a="1"/>
  <c r="H490" i="7"/>
  <c r="H491" i="7" a="1"/>
  <c r="H491" i="7" s="1"/>
  <c r="H492" i="7" a="1"/>
  <c r="H492" i="7"/>
  <c r="H493" i="7" a="1"/>
  <c r="H493" i="7"/>
  <c r="H494" i="7" a="1"/>
  <c r="H494" i="7"/>
  <c r="H495" i="7" a="1"/>
  <c r="H495" i="7"/>
  <c r="H496" i="7" a="1"/>
  <c r="H496" i="7"/>
  <c r="H497" i="7" a="1"/>
  <c r="H497" i="7"/>
  <c r="H498" i="7" a="1"/>
  <c r="H498" i="7"/>
  <c r="H499" i="7" a="1"/>
  <c r="H499" i="7" s="1"/>
  <c r="H500" i="7" a="1"/>
  <c r="H500" i="7"/>
  <c r="H501" i="7" a="1"/>
  <c r="H501" i="7"/>
  <c r="H502" i="7" a="1"/>
  <c r="H502" i="7" s="1"/>
  <c r="H503" i="7" a="1"/>
  <c r="H503" i="7" s="1"/>
  <c r="H504" i="7" a="1"/>
  <c r="H504" i="7" s="1"/>
  <c r="H505" i="7" a="1"/>
  <c r="H505" i="7"/>
  <c r="H506" i="7" a="1"/>
  <c r="H506" i="7" s="1"/>
  <c r="H507" i="7" a="1"/>
  <c r="H507" i="7" s="1"/>
  <c r="H508" i="7" a="1"/>
  <c r="H508" i="7"/>
  <c r="H509" i="7" a="1"/>
  <c r="H509" i="7"/>
  <c r="H510" i="7" a="1"/>
  <c r="H510" i="7"/>
  <c r="H511" i="7" a="1"/>
  <c r="H511" i="7"/>
  <c r="H512" i="7" a="1"/>
  <c r="H512" i="7"/>
  <c r="H513" i="7" a="1"/>
  <c r="H513" i="7" s="1"/>
  <c r="H514" i="7" a="1"/>
  <c r="H514" i="7"/>
  <c r="H515" i="7" a="1"/>
  <c r="H515" i="7" s="1"/>
  <c r="H516" i="7" a="1"/>
  <c r="H516" i="7"/>
  <c r="H517" i="7" a="1"/>
  <c r="H517" i="7"/>
  <c r="H518" i="7" a="1"/>
  <c r="H518" i="7"/>
  <c r="H519" i="7" a="1"/>
  <c r="H519" i="7" s="1"/>
  <c r="H520" i="7" a="1"/>
  <c r="H520" i="7" s="1"/>
  <c r="H521" i="7" a="1"/>
  <c r="H521" i="7"/>
  <c r="H522" i="7" a="1"/>
  <c r="H522" i="7" s="1"/>
  <c r="H523" i="7" a="1"/>
  <c r="H523" i="7" s="1"/>
  <c r="H524" i="7" a="1"/>
  <c r="H524" i="7"/>
  <c r="H525" i="7" a="1"/>
  <c r="H525" i="7"/>
  <c r="H526" i="7" a="1"/>
  <c r="H526" i="7"/>
  <c r="H527" i="7" a="1"/>
  <c r="H527" i="7" s="1"/>
  <c r="H528" i="7" a="1"/>
  <c r="H528" i="7"/>
  <c r="H529" i="7" a="1"/>
  <c r="H529" i="7"/>
  <c r="H530" i="7" a="1"/>
  <c r="H530" i="7"/>
  <c r="H531" i="7" a="1"/>
  <c r="H531" i="7" s="1"/>
  <c r="H532" i="7" a="1"/>
  <c r="H532" i="7" s="1"/>
  <c r="H533" i="7" a="1"/>
  <c r="H533" i="7"/>
  <c r="H534" i="7" a="1"/>
  <c r="H534" i="7"/>
  <c r="H535" i="7" a="1"/>
  <c r="H535" i="7"/>
  <c r="H536" i="7" a="1"/>
  <c r="H536" i="7" s="1"/>
  <c r="H537" i="7" a="1"/>
  <c r="H537" i="7" s="1"/>
  <c r="H538" i="7" a="1"/>
  <c r="H538" i="7"/>
  <c r="H539" i="7" a="1"/>
  <c r="H539" i="7" s="1"/>
  <c r="H540" i="7" a="1"/>
  <c r="H540" i="7"/>
  <c r="H541" i="7" a="1"/>
  <c r="H541" i="7"/>
  <c r="H542" i="7" a="1"/>
  <c r="H542" i="7"/>
  <c r="H543" i="7" a="1"/>
  <c r="H543" i="7"/>
  <c r="H544" i="7" a="1"/>
  <c r="H544" i="7"/>
  <c r="H545" i="7" a="1"/>
  <c r="H545" i="7"/>
  <c r="H546" i="7" a="1"/>
  <c r="H546" i="7"/>
  <c r="H547" i="7" a="1"/>
  <c r="H547" i="7" s="1"/>
  <c r="H548" i="7" a="1"/>
  <c r="H548" i="7"/>
  <c r="H549" i="7" a="1"/>
  <c r="H549" i="7"/>
  <c r="H550" i="7" a="1"/>
  <c r="H550" i="7" s="1"/>
  <c r="H551" i="7" a="1"/>
  <c r="H551" i="7"/>
  <c r="H552" i="7" a="1"/>
  <c r="H552" i="7"/>
  <c r="H553" i="7" a="1"/>
  <c r="H553" i="7" s="1"/>
  <c r="H554" i="7" a="1"/>
  <c r="H554" i="7" s="1"/>
  <c r="H555" i="7" a="1"/>
  <c r="H555" i="7" s="1"/>
  <c r="H556" i="7" a="1"/>
  <c r="H556" i="7"/>
  <c r="H557" i="7" a="1"/>
  <c r="H557" i="7"/>
  <c r="H558" i="7" a="1"/>
  <c r="H558" i="7"/>
  <c r="H559" i="7" a="1"/>
  <c r="H559" i="7" s="1"/>
  <c r="H560" i="7" a="1"/>
  <c r="H560" i="7"/>
  <c r="H561" i="7" a="1"/>
  <c r="H561" i="7"/>
  <c r="H562" i="7" a="1"/>
  <c r="H562" i="7"/>
  <c r="H563" i="7" a="1"/>
  <c r="H563" i="7" s="1"/>
  <c r="H564" i="7" a="1"/>
  <c r="H564" i="7"/>
  <c r="H565" i="7" a="1"/>
  <c r="H565" i="7"/>
  <c r="H566" i="7" a="1"/>
  <c r="H566" i="7"/>
  <c r="H567" i="7" a="1"/>
  <c r="H567" i="7"/>
  <c r="H568" i="7" a="1"/>
  <c r="H568" i="7" s="1"/>
  <c r="H569" i="7" a="1"/>
  <c r="H569" i="7"/>
  <c r="H570" i="7" a="1"/>
  <c r="H570" i="7" s="1"/>
  <c r="H571" i="7" a="1"/>
  <c r="H571" i="7" s="1"/>
  <c r="H572" i="7" a="1"/>
  <c r="H572" i="7"/>
  <c r="H573" i="7" a="1"/>
  <c r="H573" i="7"/>
  <c r="H574" i="7" a="1"/>
  <c r="H574" i="7"/>
  <c r="H575" i="7" a="1"/>
  <c r="H575" i="7"/>
  <c r="H576" i="7" a="1"/>
  <c r="H576" i="7"/>
  <c r="H577" i="7" a="1"/>
  <c r="H577" i="7" s="1"/>
  <c r="H578" i="7" a="1"/>
  <c r="H578" i="7"/>
  <c r="H579" i="7" a="1"/>
  <c r="H579" i="7" s="1"/>
  <c r="H580" i="7" a="1"/>
  <c r="H580" i="7" s="1"/>
  <c r="H581" i="7" a="1"/>
  <c r="H581" i="7"/>
  <c r="H582" i="7" a="1"/>
  <c r="H582" i="7"/>
  <c r="H583" i="7" a="1"/>
  <c r="H583" i="7"/>
  <c r="H584" i="7" a="1"/>
  <c r="H584" i="7"/>
  <c r="H585" i="7" a="1"/>
  <c r="H585" i="7"/>
  <c r="H586" i="7" a="1"/>
  <c r="H586" i="7" s="1"/>
  <c r="H587" i="7" a="1"/>
  <c r="H587" i="7" s="1"/>
  <c r="H588" i="7" a="1"/>
  <c r="H588" i="7"/>
  <c r="H589" i="7" a="1"/>
  <c r="H589" i="7"/>
  <c r="H590" i="7" a="1"/>
  <c r="H590" i="7"/>
  <c r="H591" i="7" a="1"/>
  <c r="H591" i="7"/>
  <c r="H592" i="7" a="1"/>
  <c r="H592" i="7"/>
  <c r="H593" i="7" a="1"/>
  <c r="H593" i="7"/>
  <c r="H594" i="7" a="1"/>
  <c r="H594" i="7" s="1"/>
  <c r="H595" i="7" a="1"/>
  <c r="H595" i="7" s="1"/>
  <c r="H596" i="7" a="1"/>
  <c r="H596" i="7" s="1"/>
  <c r="H597" i="7" a="1"/>
  <c r="H597" i="7" s="1"/>
  <c r="H598" i="7" a="1"/>
  <c r="H598" i="7"/>
  <c r="H599" i="7" a="1"/>
  <c r="H599" i="7"/>
  <c r="H600" i="7" a="1"/>
  <c r="H600" i="7"/>
  <c r="H601" i="7" a="1"/>
  <c r="H601" i="7"/>
  <c r="H602" i="7" a="1"/>
  <c r="H602" i="7"/>
  <c r="H603" i="7" a="1"/>
  <c r="H603" i="7" s="1"/>
  <c r="H604" i="7" a="1"/>
  <c r="H604" i="7" s="1"/>
  <c r="H605" i="7" a="1"/>
  <c r="H605" i="7"/>
  <c r="H606" i="7" a="1"/>
  <c r="H606" i="7"/>
  <c r="H607" i="7" a="1"/>
  <c r="H607" i="7"/>
  <c r="H608" i="7" a="1"/>
  <c r="H608" i="7"/>
  <c r="H609" i="7" a="1"/>
  <c r="H609" i="7"/>
  <c r="H610" i="7" a="1"/>
  <c r="H610" i="7"/>
  <c r="H611" i="7" a="1"/>
  <c r="H611" i="7" s="1"/>
  <c r="H612" i="7" a="1"/>
  <c r="H612" i="7"/>
  <c r="H613" i="7" a="1"/>
  <c r="H613" i="7" s="1"/>
  <c r="H614" i="7" a="1"/>
  <c r="H614" i="7" s="1"/>
  <c r="H615" i="7" a="1"/>
  <c r="H615" i="7"/>
  <c r="H616" i="7" a="1"/>
  <c r="H616" i="7"/>
  <c r="H617" i="7" a="1"/>
  <c r="H617" i="7"/>
  <c r="H618" i="7" a="1"/>
  <c r="H618" i="7"/>
  <c r="H619" i="7" a="1"/>
  <c r="H619" i="7" s="1"/>
  <c r="H620" i="7" a="1"/>
  <c r="H620" i="7"/>
  <c r="H621" i="7" a="1"/>
  <c r="H621" i="7"/>
  <c r="H622" i="7" a="1"/>
  <c r="H622" i="7" s="1"/>
  <c r="H623" i="7" a="1"/>
  <c r="H623" i="7"/>
  <c r="H624" i="7" a="1"/>
  <c r="H624" i="7"/>
  <c r="H625" i="7" a="1"/>
  <c r="H625" i="7"/>
  <c r="H626" i="7" a="1"/>
  <c r="H626" i="7"/>
  <c r="H627" i="7" a="1"/>
  <c r="H627" i="7" s="1"/>
  <c r="H628" i="7" a="1"/>
  <c r="H628" i="7"/>
  <c r="H629" i="7" a="1"/>
  <c r="H629" i="7"/>
  <c r="H630" i="7" a="1"/>
  <c r="H630" i="7" s="1"/>
  <c r="H631" i="7" a="1"/>
  <c r="H631" i="7" s="1"/>
  <c r="H632" i="7" a="1"/>
  <c r="H632" i="7"/>
  <c r="H633" i="7" a="1"/>
  <c r="H633" i="7"/>
  <c r="H634" i="7" a="1"/>
  <c r="H634" i="7"/>
  <c r="H635" i="7" a="1"/>
  <c r="H635" i="7" s="1"/>
  <c r="H636" i="7" a="1"/>
  <c r="H636" i="7"/>
  <c r="H637" i="7" a="1"/>
  <c r="H637" i="7"/>
  <c r="H638" i="7" a="1"/>
  <c r="H638" i="7"/>
  <c r="H639" i="7" a="1"/>
  <c r="H639" i="7" s="1"/>
  <c r="H640" i="7" a="1"/>
  <c r="H640" i="7"/>
  <c r="H641" i="7" a="1"/>
  <c r="H641" i="7"/>
  <c r="H642" i="7" a="1"/>
  <c r="H642" i="7"/>
  <c r="H643" i="7" a="1"/>
  <c r="H643" i="7" s="1"/>
  <c r="H644" i="7" a="1"/>
  <c r="H644" i="7"/>
  <c r="H645" i="7" a="1"/>
  <c r="H645" i="7"/>
  <c r="H646" i="7" a="1"/>
  <c r="H646" i="7"/>
  <c r="H647" i="7" a="1"/>
  <c r="H647" i="7"/>
  <c r="H648" i="7" a="1"/>
  <c r="H648" i="7" s="1"/>
  <c r="H649" i="7" a="1"/>
  <c r="H649" i="7"/>
  <c r="H650" i="7" a="1"/>
  <c r="H650" i="7"/>
  <c r="H651" i="7" a="1"/>
  <c r="H651" i="7" s="1"/>
  <c r="H652" i="7" a="1"/>
  <c r="H652" i="7"/>
  <c r="H653" i="7" a="1"/>
  <c r="H653" i="7"/>
  <c r="H654" i="7" a="1"/>
  <c r="H654" i="7"/>
  <c r="H655" i="7" a="1"/>
  <c r="H655" i="7"/>
  <c r="H656" i="7" a="1"/>
  <c r="H656" i="7"/>
  <c r="H657" i="7" a="1"/>
  <c r="H657" i="7"/>
  <c r="H658" i="7" a="1"/>
  <c r="H658" i="7"/>
  <c r="H659" i="7" a="1"/>
  <c r="H659" i="7" s="1"/>
  <c r="H660" i="7" a="1"/>
  <c r="H660" i="7"/>
  <c r="H661" i="7" a="1"/>
  <c r="H661" i="7"/>
  <c r="H662" i="7" a="1"/>
  <c r="H662" i="7"/>
  <c r="H663" i="7" a="1"/>
  <c r="H663" i="7"/>
  <c r="H664" i="7" a="1"/>
  <c r="H664" i="7"/>
  <c r="H665" i="7" a="1"/>
  <c r="H665" i="7" s="1"/>
  <c r="H666" i="7" a="1"/>
  <c r="H666" i="7" s="1"/>
  <c r="H667" i="7" a="1"/>
  <c r="H667" i="7" s="1"/>
  <c r="H668" i="7" a="1"/>
  <c r="H668" i="7"/>
  <c r="H669" i="7" a="1"/>
  <c r="H669" i="7"/>
  <c r="H670" i="7" a="1"/>
  <c r="H670" i="7"/>
  <c r="H671" i="7" a="1"/>
  <c r="H671" i="7"/>
  <c r="H672" i="7" a="1"/>
  <c r="H672" i="7"/>
  <c r="H673" i="7" a="1"/>
  <c r="H673" i="7"/>
  <c r="H674" i="7" a="1"/>
  <c r="H674" i="7"/>
  <c r="H675" i="7" a="1"/>
  <c r="H675" i="7" s="1"/>
  <c r="H676" i="7" a="1"/>
  <c r="H676" i="7"/>
  <c r="H677" i="7" a="1"/>
  <c r="H677" i="7"/>
  <c r="H678" i="7" a="1"/>
  <c r="H678" i="7"/>
  <c r="H679" i="7" a="1"/>
  <c r="H679" i="7"/>
  <c r="H680" i="7" a="1"/>
  <c r="H680" i="7"/>
  <c r="H681" i="7" a="1"/>
  <c r="H681" i="7"/>
  <c r="H682" i="7" a="1"/>
  <c r="H682" i="7" s="1"/>
  <c r="H683" i="7" a="1"/>
  <c r="H683" i="7" s="1"/>
  <c r="H684" i="7" a="1"/>
  <c r="H684" i="7"/>
  <c r="H685" i="7" a="1"/>
  <c r="H685" i="7"/>
  <c r="H686" i="7" a="1"/>
  <c r="H686" i="7"/>
  <c r="H687" i="7" a="1"/>
  <c r="H687" i="7"/>
  <c r="H688" i="7" a="1"/>
  <c r="H688" i="7"/>
  <c r="H689" i="7" a="1"/>
  <c r="H689" i="7"/>
  <c r="H690" i="7" a="1"/>
  <c r="H690" i="7" s="1"/>
  <c r="H691" i="7" a="1"/>
  <c r="H691" i="7"/>
  <c r="H692" i="7" a="1"/>
  <c r="H692" i="7" s="1"/>
  <c r="H693" i="7" a="1"/>
  <c r="H693" i="7"/>
  <c r="H694" i="7" a="1"/>
  <c r="H694" i="7"/>
  <c r="H695" i="7" a="1"/>
  <c r="H695" i="7"/>
  <c r="H696" i="7" a="1"/>
  <c r="H696" i="7"/>
  <c r="H697" i="7" a="1"/>
  <c r="H697" i="7"/>
  <c r="H698" i="7" a="1"/>
  <c r="H698" i="7" s="1"/>
  <c r="H699" i="7" a="1"/>
  <c r="H699" i="7"/>
  <c r="H700" i="7" a="1"/>
  <c r="H700" i="7" s="1"/>
  <c r="H701" i="7" a="1"/>
  <c r="H701" i="7"/>
  <c r="H702" i="7" a="1"/>
  <c r="H702" i="7"/>
  <c r="H703" i="7" a="1"/>
  <c r="H703" i="7"/>
  <c r="H704" i="7" a="1"/>
  <c r="H704" i="7"/>
  <c r="H705" i="7" a="1"/>
  <c r="H705" i="7"/>
  <c r="H706" i="7" a="1"/>
  <c r="H706" i="7" s="1"/>
  <c r="H707" i="7" a="1"/>
  <c r="H707" i="7"/>
  <c r="H708" i="7" a="1"/>
  <c r="H708" i="7"/>
  <c r="H709" i="7" a="1"/>
  <c r="H709" i="7" s="1"/>
  <c r="H710" i="7" a="1"/>
  <c r="H710" i="7"/>
  <c r="H711" i="7" a="1"/>
  <c r="H711" i="7"/>
  <c r="H712" i="7" a="1"/>
  <c r="H712" i="7"/>
  <c r="H713" i="7" a="1"/>
  <c r="H713" i="7"/>
  <c r="H714" i="7" a="1"/>
  <c r="H714" i="7" s="1"/>
  <c r="H715" i="7" a="1"/>
  <c r="H715" i="7"/>
  <c r="H716" i="7" a="1"/>
  <c r="H716" i="7"/>
  <c r="H717" i="7" a="1"/>
  <c r="H717" i="7" s="1"/>
  <c r="H718" i="7" a="1"/>
  <c r="H718" i="7"/>
  <c r="H719" i="7" a="1"/>
  <c r="H719" i="7"/>
  <c r="H720" i="7" a="1"/>
  <c r="H720" i="7"/>
  <c r="H721" i="7" a="1"/>
  <c r="H721" i="7"/>
  <c r="H722" i="7" a="1"/>
  <c r="H722" i="7" s="1"/>
  <c r="H723" i="7" a="1"/>
  <c r="H723" i="7"/>
  <c r="H724" i="7" a="1"/>
  <c r="H724" i="7"/>
  <c r="H725" i="7" a="1"/>
  <c r="H725" i="7"/>
  <c r="H726" i="7" a="1"/>
  <c r="H726" i="7" s="1"/>
  <c r="H727" i="7" a="1"/>
  <c r="H727" i="7"/>
  <c r="H728" i="7" a="1"/>
  <c r="H728" i="7"/>
  <c r="H729" i="7" a="1"/>
  <c r="H729" i="7"/>
  <c r="H730" i="7" a="1"/>
  <c r="H730" i="7" s="1"/>
  <c r="H731" i="7" a="1"/>
  <c r="H731" i="7"/>
  <c r="H732" i="7" a="1"/>
  <c r="H732" i="7"/>
  <c r="H733" i="7" a="1"/>
  <c r="H733" i="7"/>
  <c r="H734" i="7" a="1"/>
  <c r="H734" i="7" s="1"/>
  <c r="H735" i="7" a="1"/>
  <c r="H735" i="7"/>
  <c r="H736" i="7" a="1"/>
  <c r="H736" i="7"/>
  <c r="H737" i="7" a="1"/>
  <c r="H737" i="7"/>
  <c r="H738" i="7" a="1"/>
  <c r="H738" i="7" s="1"/>
  <c r="H739" i="7" a="1"/>
  <c r="H739" i="7"/>
  <c r="H740" i="7" a="1"/>
  <c r="H740" i="7"/>
  <c r="H741" i="7" a="1"/>
  <c r="H741" i="7"/>
  <c r="H742" i="7" a="1"/>
  <c r="H742" i="7"/>
  <c r="H743" i="7" a="1"/>
  <c r="H743" i="7" s="1"/>
  <c r="H744" i="7" a="1"/>
  <c r="H744" i="7"/>
  <c r="H745" i="7" a="1"/>
  <c r="H745" i="7"/>
  <c r="H746" i="7" a="1"/>
  <c r="H746" i="7" s="1"/>
  <c r="H747" i="7" a="1"/>
  <c r="H747" i="7"/>
  <c r="H748" i="7" a="1"/>
  <c r="H748" i="7"/>
  <c r="H749" i="7" a="1"/>
  <c r="H749" i="7"/>
  <c r="H750" i="7" a="1"/>
  <c r="H750" i="7"/>
  <c r="H751" i="7" a="1"/>
  <c r="H751" i="7" s="1"/>
  <c r="H752" i="7" a="1"/>
  <c r="H752" i="7"/>
  <c r="H753" i="7" a="1"/>
  <c r="H753" i="7"/>
  <c r="H754" i="7" a="1"/>
  <c r="H754" i="7" s="1"/>
  <c r="H755" i="7" a="1"/>
  <c r="H755" i="7"/>
  <c r="H756" i="7" a="1"/>
  <c r="H756" i="7"/>
  <c r="H757" i="7" a="1"/>
  <c r="H757" i="7"/>
  <c r="H758" i="7" a="1"/>
  <c r="H758" i="7"/>
  <c r="H759" i="7" a="1"/>
  <c r="H759" i="7"/>
  <c r="H760" i="7" a="1"/>
  <c r="H760" i="7" s="1"/>
  <c r="H761" i="7" a="1"/>
  <c r="H761" i="7"/>
  <c r="H762" i="7" a="1"/>
  <c r="H762" i="7" s="1"/>
  <c r="H763" i="7" a="1"/>
  <c r="H763" i="7"/>
  <c r="H764" i="7" a="1"/>
  <c r="H764" i="7"/>
  <c r="H765" i="7" a="1"/>
  <c r="H765" i="7"/>
  <c r="H766" i="7" a="1"/>
  <c r="H766" i="7"/>
  <c r="H767" i="7" a="1"/>
  <c r="H767" i="7"/>
  <c r="H768" i="7" a="1"/>
  <c r="H768" i="7" s="1"/>
  <c r="H769" i="7" a="1"/>
  <c r="H769" i="7"/>
  <c r="H770" i="7" a="1"/>
  <c r="H770" i="7" s="1"/>
  <c r="H771" i="7" a="1"/>
  <c r="H771" i="7"/>
  <c r="H772" i="7" a="1"/>
  <c r="H772" i="7"/>
  <c r="H773" i="7" a="1"/>
  <c r="H773" i="7"/>
  <c r="H774" i="7" a="1"/>
  <c r="H774" i="7"/>
  <c r="H775" i="7" a="1"/>
  <c r="H775" i="7"/>
  <c r="H776" i="7" a="1"/>
  <c r="H776" i="7"/>
  <c r="H777" i="7" a="1"/>
  <c r="H777" i="7" s="1"/>
  <c r="H778" i="7" a="1"/>
  <c r="H778" i="7" s="1"/>
  <c r="H779" i="7" a="1"/>
  <c r="H779" i="7"/>
  <c r="H780" i="7" a="1"/>
  <c r="H780" i="7"/>
  <c r="H781" i="7" a="1"/>
  <c r="H781" i="7"/>
  <c r="H782" i="7" a="1"/>
  <c r="H782" i="7"/>
  <c r="H783" i="7" a="1"/>
  <c r="H783" i="7"/>
  <c r="H784" i="7" a="1"/>
  <c r="H784" i="7"/>
  <c r="H785" i="7" a="1"/>
  <c r="H785" i="7" s="1"/>
  <c r="H786" i="7" a="1"/>
  <c r="H786" i="7" s="1"/>
  <c r="H787" i="7" a="1"/>
  <c r="H787" i="7"/>
  <c r="H788" i="7" a="1"/>
  <c r="H788" i="7"/>
  <c r="H789" i="7" a="1"/>
  <c r="H789" i="7"/>
  <c r="H790" i="7" a="1"/>
  <c r="H790" i="7"/>
  <c r="H791" i="7" a="1"/>
  <c r="H791" i="7"/>
  <c r="H792" i="7" a="1"/>
  <c r="H792" i="7"/>
  <c r="H793" i="7" a="1"/>
  <c r="H793" i="7"/>
  <c r="H794" i="7" a="1"/>
  <c r="H794" i="7" s="1"/>
  <c r="H795" i="7" a="1"/>
  <c r="H795" i="7"/>
  <c r="H796" i="7" a="1"/>
  <c r="H796" i="7"/>
  <c r="H797" i="7" a="1"/>
  <c r="H797" i="7"/>
  <c r="H798" i="7" a="1"/>
  <c r="H798" i="7"/>
  <c r="H799" i="7" a="1"/>
  <c r="H799" i="7"/>
  <c r="H800" i="7" a="1"/>
  <c r="H800" i="7"/>
  <c r="H801" i="7" a="1"/>
  <c r="H801" i="7"/>
  <c r="H802" i="7" a="1"/>
  <c r="H802" i="7" s="1"/>
  <c r="H803" i="7" a="1"/>
  <c r="H803" i="7" s="1"/>
  <c r="H804" i="7" a="1"/>
  <c r="H804" i="7"/>
  <c r="H805" i="7" a="1"/>
  <c r="H805" i="7"/>
  <c r="H806" i="7" a="1"/>
  <c r="H806" i="7"/>
  <c r="H807" i="7" a="1"/>
  <c r="H807" i="7"/>
  <c r="H808" i="7" a="1"/>
  <c r="H808" i="7"/>
  <c r="H809" i="7" a="1"/>
  <c r="H809" i="7"/>
  <c r="H810" i="7" a="1"/>
  <c r="H810" i="7" s="1"/>
  <c r="H811" i="7" a="1"/>
  <c r="H811" i="7" s="1"/>
  <c r="H812" i="7" a="1"/>
  <c r="H812" i="7"/>
  <c r="H813" i="7" a="1"/>
  <c r="H813" i="7"/>
  <c r="H814" i="7" a="1"/>
  <c r="H814" i="7"/>
  <c r="H815" i="7" a="1"/>
  <c r="H815" i="7"/>
  <c r="H816" i="7" a="1"/>
  <c r="H816" i="7"/>
  <c r="H817" i="7" a="1"/>
  <c r="H817" i="7"/>
  <c r="H818" i="7" a="1"/>
  <c r="H818" i="7" s="1"/>
  <c r="H819" i="7" a="1"/>
  <c r="H819" i="7"/>
  <c r="H820" i="7" a="1"/>
  <c r="H820" i="7" s="1"/>
  <c r="H821" i="7" a="1"/>
  <c r="H821" i="7"/>
  <c r="H822" i="7" a="1"/>
  <c r="H822" i="7"/>
  <c r="H823" i="7" a="1"/>
  <c r="H823" i="7"/>
  <c r="H824" i="7" a="1"/>
  <c r="H824" i="7"/>
  <c r="H825" i="7" a="1"/>
  <c r="H825" i="7"/>
  <c r="H826" i="7" a="1"/>
  <c r="H826" i="7" s="1"/>
  <c r="H827" i="7" a="1"/>
  <c r="H827" i="7"/>
  <c r="H828" i="7" a="1"/>
  <c r="H828" i="7" s="1"/>
  <c r="H829" i="7" a="1"/>
  <c r="H829" i="7"/>
  <c r="H830" i="7" a="1"/>
  <c r="H830" i="7"/>
  <c r="H831" i="7" a="1"/>
  <c r="H831" i="7"/>
  <c r="H832" i="7" a="1"/>
  <c r="H832" i="7"/>
  <c r="H833" i="7" a="1"/>
  <c r="H833" i="7"/>
  <c r="H834" i="7" a="1"/>
  <c r="H834" i="7" s="1"/>
  <c r="H835" i="7" a="1"/>
  <c r="H835" i="7"/>
  <c r="H836" i="7" a="1"/>
  <c r="H836" i="7"/>
  <c r="H837" i="7" a="1"/>
  <c r="H837" i="7" s="1"/>
  <c r="H838" i="7" a="1"/>
  <c r="H838" i="7"/>
  <c r="H839" i="7" a="1"/>
  <c r="H839" i="7"/>
  <c r="H840" i="7" a="1"/>
  <c r="H840" i="7"/>
  <c r="H841" i="7" a="1"/>
  <c r="H841" i="7"/>
  <c r="H842" i="7" a="1"/>
  <c r="H842" i="7" s="1"/>
  <c r="H843" i="7" a="1"/>
  <c r="H843" i="7"/>
  <c r="H844" i="7" a="1"/>
  <c r="H844" i="7"/>
  <c r="H845" i="7" a="1"/>
  <c r="H845" i="7" s="1"/>
  <c r="H846" i="7" a="1"/>
  <c r="H846" i="7"/>
  <c r="H847" i="7" a="1"/>
  <c r="H847" i="7"/>
  <c r="H848" i="7" a="1"/>
  <c r="H848" i="7"/>
  <c r="H849" i="7" a="1"/>
  <c r="H849" i="7"/>
  <c r="H850" i="7" a="1"/>
  <c r="H850" i="7" s="1"/>
  <c r="H851" i="7" a="1"/>
  <c r="H851" i="7"/>
  <c r="H852" i="7" a="1"/>
  <c r="H852" i="7"/>
  <c r="H853" i="7" a="1"/>
  <c r="H853" i="7"/>
  <c r="H854" i="7" a="1"/>
  <c r="H854" i="7" s="1"/>
  <c r="H855" i="7" a="1"/>
  <c r="H855" i="7"/>
  <c r="H856" i="7" a="1"/>
  <c r="H856" i="7"/>
  <c r="H857" i="7" a="1"/>
  <c r="H857" i="7"/>
  <c r="H858" i="7" a="1"/>
  <c r="H858" i="7" s="1"/>
  <c r="H859" i="7" a="1"/>
  <c r="H859" i="7"/>
  <c r="H860" i="7" a="1"/>
  <c r="H860" i="7"/>
  <c r="H861" i="7" a="1"/>
  <c r="H861" i="7"/>
  <c r="H862" i="7" a="1"/>
  <c r="H862" i="7" s="1"/>
  <c r="H863" i="7" a="1"/>
  <c r="H863" i="7"/>
  <c r="H864" i="7" a="1"/>
  <c r="H864" i="7"/>
  <c r="H865" i="7" a="1"/>
  <c r="H865" i="7"/>
  <c r="H866" i="7" a="1"/>
  <c r="H866" i="7" s="1"/>
  <c r="H867" i="7" a="1"/>
  <c r="H867" i="7"/>
  <c r="H868" i="7" a="1"/>
  <c r="H868" i="7"/>
  <c r="H869" i="7" a="1"/>
  <c r="H869" i="7"/>
  <c r="H870" i="7" a="1"/>
  <c r="H870" i="7"/>
  <c r="H871" i="7" a="1"/>
  <c r="H871" i="7" s="1"/>
  <c r="H872" i="7" a="1"/>
  <c r="H872" i="7"/>
  <c r="H873" i="7" a="1"/>
  <c r="H873" i="7"/>
  <c r="H874" i="7" a="1"/>
  <c r="H874" i="7" s="1"/>
  <c r="H875" i="7" a="1"/>
  <c r="H875" i="7"/>
  <c r="H876" i="7" a="1"/>
  <c r="H876" i="7"/>
  <c r="H877" i="7" a="1"/>
  <c r="H877" i="7"/>
  <c r="H878" i="7" a="1"/>
  <c r="H878" i="7"/>
  <c r="H879" i="7" a="1"/>
  <c r="H879" i="7" s="1"/>
  <c r="H880" i="7" a="1"/>
  <c r="H880" i="7"/>
  <c r="H881" i="7" a="1"/>
  <c r="H881" i="7"/>
  <c r="H882" i="7" a="1"/>
  <c r="H882" i="7" s="1"/>
  <c r="H883" i="7" a="1"/>
  <c r="H883" i="7"/>
  <c r="H884" i="7" a="1"/>
  <c r="H884" i="7"/>
  <c r="H885" i="7" a="1"/>
  <c r="H885" i="7"/>
  <c r="H886" i="7" a="1"/>
  <c r="H886" i="7"/>
  <c r="H887" i="7" a="1"/>
  <c r="H887" i="7"/>
  <c r="H888" i="7" a="1"/>
  <c r="H888" i="7" s="1"/>
  <c r="H889" i="7" a="1"/>
  <c r="H889" i="7"/>
  <c r="H890" i="7" a="1"/>
  <c r="H890" i="7" s="1"/>
  <c r="H891" i="7" a="1"/>
  <c r="H891" i="7"/>
  <c r="H892" i="7" a="1"/>
  <c r="H892" i="7"/>
  <c r="H893" i="7" a="1"/>
  <c r="H893" i="7"/>
  <c r="H894" i="7" a="1"/>
  <c r="H894" i="7"/>
  <c r="H895" i="7" a="1"/>
  <c r="H895" i="7"/>
  <c r="H896" i="7" a="1"/>
  <c r="H896" i="7" s="1"/>
  <c r="H897" i="7" a="1"/>
  <c r="H897" i="7"/>
  <c r="H898" i="7" a="1"/>
  <c r="H898" i="7" s="1"/>
  <c r="H899" i="7" a="1"/>
  <c r="H899" i="7"/>
  <c r="H900" i="7" a="1"/>
  <c r="H900" i="7"/>
  <c r="H901" i="7" a="1"/>
  <c r="H901" i="7"/>
  <c r="H902" i="7" a="1"/>
  <c r="H902" i="7"/>
  <c r="H903" i="7" a="1"/>
  <c r="H903" i="7"/>
  <c r="H904" i="7" a="1"/>
  <c r="H904" i="7"/>
  <c r="H905" i="7" a="1"/>
  <c r="H905" i="7" s="1"/>
  <c r="H906" i="7" a="1"/>
  <c r="H906" i="7" s="1"/>
  <c r="H907" i="7" a="1"/>
  <c r="H907" i="7"/>
  <c r="H908" i="7" a="1"/>
  <c r="H908" i="7"/>
  <c r="H909" i="7" a="1"/>
  <c r="H909" i="7"/>
  <c r="H910" i="7" a="1"/>
  <c r="H910" i="7"/>
  <c r="H911" i="7" a="1"/>
  <c r="H911" i="7"/>
  <c r="H912" i="7" a="1"/>
  <c r="H912" i="7"/>
  <c r="H913" i="7" a="1"/>
  <c r="H913" i="7" s="1"/>
  <c r="H914" i="7" a="1"/>
  <c r="H914" i="7" s="1"/>
  <c r="H915" i="7" a="1"/>
  <c r="H915" i="7"/>
  <c r="H916" i="7" a="1"/>
  <c r="H916" i="7"/>
  <c r="H917" i="7" a="1"/>
  <c r="H917" i="7"/>
  <c r="H918" i="7" a="1"/>
  <c r="H918" i="7"/>
  <c r="H919" i="7" a="1"/>
  <c r="H919" i="7"/>
  <c r="H920" i="7" a="1"/>
  <c r="H920" i="7"/>
  <c r="H921" i="7" a="1"/>
  <c r="H921" i="7"/>
  <c r="H922" i="7" a="1"/>
  <c r="H922" i="7" s="1"/>
  <c r="H923" i="7" a="1"/>
  <c r="H923" i="7"/>
  <c r="H924" i="7" a="1"/>
  <c r="H924" i="7"/>
  <c r="H925" i="7" a="1"/>
  <c r="H925" i="7"/>
  <c r="H926" i="7" a="1"/>
  <c r="H926" i="7"/>
  <c r="H927" i="7" a="1"/>
  <c r="H927" i="7"/>
  <c r="H928" i="7" a="1"/>
  <c r="H928" i="7"/>
  <c r="H929" i="7" a="1"/>
  <c r="H929" i="7"/>
  <c r="H930" i="7" a="1"/>
  <c r="H930" i="7" s="1"/>
  <c r="H931" i="7" a="1"/>
  <c r="H931" i="7" s="1"/>
  <c r="H932" i="7" a="1"/>
  <c r="H932" i="7"/>
  <c r="H933" i="7" a="1"/>
  <c r="H933" i="7"/>
  <c r="H934" i="7" a="1"/>
  <c r="H934" i="7"/>
  <c r="H935" i="7" a="1"/>
  <c r="H935" i="7"/>
  <c r="H936" i="7" a="1"/>
  <c r="H936" i="7"/>
  <c r="H937" i="7" a="1"/>
  <c r="H937" i="7"/>
  <c r="H938" i="7" a="1"/>
  <c r="H938" i="7"/>
  <c r="H939" i="7" a="1"/>
  <c r="H939" i="7" s="1"/>
  <c r="H940" i="7" a="1"/>
  <c r="H940" i="7"/>
  <c r="H941" i="7" a="1"/>
  <c r="H941" i="7"/>
  <c r="H942" i="7" a="1"/>
  <c r="H942" i="7"/>
  <c r="H943" i="7" a="1"/>
  <c r="H943" i="7"/>
  <c r="H944" i="7" a="1"/>
  <c r="H944" i="7"/>
  <c r="H945" i="7" a="1"/>
  <c r="H945" i="7"/>
  <c r="H946" i="7" a="1"/>
  <c r="H946" i="7"/>
  <c r="H947" i="7" a="1"/>
  <c r="H947" i="7" s="1"/>
  <c r="H948" i="7" a="1"/>
  <c r="H948" i="7"/>
  <c r="H949" i="7" a="1"/>
  <c r="H949" i="7"/>
  <c r="H950" i="7" a="1"/>
  <c r="H950" i="7"/>
  <c r="H951" i="7" a="1"/>
  <c r="H951" i="7"/>
  <c r="H952" i="7" a="1"/>
  <c r="H952" i="7"/>
  <c r="H953" i="7" a="1"/>
  <c r="H953" i="7"/>
  <c r="H954" i="7" a="1"/>
  <c r="H954" i="7"/>
  <c r="H955" i="7" a="1"/>
  <c r="H955" i="7" s="1"/>
  <c r="H956" i="7" a="1"/>
  <c r="H956" i="7"/>
  <c r="H957" i="7" a="1"/>
  <c r="H957" i="7"/>
  <c r="H958" i="7" a="1"/>
  <c r="H958" i="7"/>
  <c r="H959" i="7" a="1"/>
  <c r="H959" i="7"/>
  <c r="H960" i="7" a="1"/>
  <c r="H960" i="7"/>
  <c r="H961" i="7" a="1"/>
  <c r="H961" i="7"/>
  <c r="H962" i="7" a="1"/>
  <c r="H962" i="7"/>
  <c r="H963" i="7" a="1"/>
  <c r="H963" i="7" s="1"/>
  <c r="H964" i="7" a="1"/>
  <c r="H964" i="7"/>
  <c r="H965" i="7" a="1"/>
  <c r="H965" i="7"/>
  <c r="H966" i="7" a="1"/>
  <c r="H966" i="7"/>
  <c r="H967" i="7" a="1"/>
  <c r="H967" i="7"/>
  <c r="H968" i="7" a="1"/>
  <c r="H968" i="7"/>
  <c r="H969" i="7" a="1"/>
  <c r="H969" i="7"/>
  <c r="H970" i="7" a="1"/>
  <c r="H970" i="7"/>
  <c r="H971" i="7" a="1"/>
  <c r="H971" i="7" s="1"/>
  <c r="H972" i="7" a="1"/>
  <c r="H972" i="7"/>
  <c r="H973" i="7" a="1"/>
  <c r="H973" i="7"/>
  <c r="H974" i="7" a="1"/>
  <c r="H974" i="7"/>
  <c r="H975" i="7" a="1"/>
  <c r="H975" i="7"/>
  <c r="H976" i="7" a="1"/>
  <c r="H976" i="7"/>
  <c r="H977" i="7" a="1"/>
  <c r="H977" i="7"/>
  <c r="H978" i="7" a="1"/>
  <c r="H978" i="7"/>
  <c r="H979" i="7" a="1"/>
  <c r="H979" i="7" s="1"/>
  <c r="H980" i="7" a="1"/>
  <c r="H980" i="7"/>
  <c r="H981" i="7" a="1"/>
  <c r="H981" i="7"/>
  <c r="H982" i="7" a="1"/>
  <c r="H982" i="7"/>
  <c r="H983" i="7" a="1"/>
  <c r="H983" i="7"/>
  <c r="H984" i="7" a="1"/>
  <c r="H984" i="7"/>
  <c r="H985" i="7" a="1"/>
  <c r="H985" i="7"/>
  <c r="H986" i="7" a="1"/>
  <c r="H986" i="7"/>
  <c r="H987" i="7" a="1"/>
  <c r="H987" i="7" s="1"/>
  <c r="H988" i="7" a="1"/>
  <c r="H988" i="7"/>
  <c r="H989" i="7" a="1"/>
  <c r="H989" i="7"/>
  <c r="H990" i="7" a="1"/>
  <c r="H990" i="7"/>
  <c r="H991" i="7" a="1"/>
  <c r="H991" i="7"/>
  <c r="H992" i="7" a="1"/>
  <c r="H992" i="7"/>
  <c r="H993" i="7" a="1"/>
  <c r="H993" i="7"/>
  <c r="H994" i="7" a="1"/>
  <c r="H994" i="7"/>
  <c r="H995" i="7" a="1"/>
  <c r="H995" i="7" s="1"/>
  <c r="H996" i="7" a="1"/>
  <c r="H996" i="7"/>
  <c r="H997" i="7" a="1"/>
  <c r="H997" i="7"/>
  <c r="H998" i="7" a="1"/>
  <c r="H998" i="7"/>
  <c r="H999" i="7" a="1"/>
  <c r="H999" i="7"/>
  <c r="H1000" i="7" a="1"/>
  <c r="H1000" i="7"/>
  <c r="H1001" i="7" a="1"/>
  <c r="H1001" i="7"/>
  <c r="H2" i="7" a="1"/>
  <c r="H2" i="7" s="1"/>
  <c r="H3" i="6" a="1"/>
  <c r="H3" i="6"/>
  <c r="H4" i="6" a="1"/>
  <c r="H4" i="6" s="1"/>
  <c r="H5" i="6" a="1"/>
  <c r="H5" i="6"/>
  <c r="H6" i="6" a="1"/>
  <c r="H6" i="6"/>
  <c r="H7" i="6" a="1"/>
  <c r="H7" i="6" s="1"/>
  <c r="H8" i="6" a="1"/>
  <c r="H8" i="6"/>
  <c r="H9" i="6" a="1"/>
  <c r="H9" i="6"/>
  <c r="H10" i="6" a="1"/>
  <c r="H10" i="6"/>
  <c r="H11" i="6" a="1"/>
  <c r="H11" i="6"/>
  <c r="H12" i="6" a="1"/>
  <c r="H12" i="6" s="1"/>
  <c r="H13" i="6" a="1"/>
  <c r="H13" i="6"/>
  <c r="H14" i="6" a="1"/>
  <c r="H14" i="6"/>
  <c r="H15" i="6" a="1"/>
  <c r="H15" i="6" s="1"/>
  <c r="H16" i="6" a="1"/>
  <c r="H16" i="6"/>
  <c r="H17" i="6" a="1"/>
  <c r="H17" i="6"/>
  <c r="H18" i="6" a="1"/>
  <c r="H18" i="6"/>
  <c r="H19" i="6" a="1"/>
  <c r="H19" i="6"/>
  <c r="H20" i="6" a="1"/>
  <c r="H20" i="6" s="1"/>
  <c r="H21" i="6" a="1"/>
  <c r="H21" i="6"/>
  <c r="H22" i="6" a="1"/>
  <c r="H22" i="6"/>
  <c r="H23" i="6" a="1"/>
  <c r="H23" i="6" s="1"/>
  <c r="H24" i="6" a="1"/>
  <c r="H24" i="6"/>
  <c r="H25" i="6" a="1"/>
  <c r="H25" i="6"/>
  <c r="H26" i="6" a="1"/>
  <c r="H26" i="6"/>
  <c r="H27" i="6" a="1"/>
  <c r="H27" i="6"/>
  <c r="H28" i="6" a="1"/>
  <c r="H28" i="6" s="1"/>
  <c r="H29" i="6" a="1"/>
  <c r="H29" i="6"/>
  <c r="H30" i="6" a="1"/>
  <c r="H30" i="6"/>
  <c r="H31" i="6" a="1"/>
  <c r="H31" i="6" s="1"/>
  <c r="H32" i="6" a="1"/>
  <c r="H32" i="6"/>
  <c r="H33" i="6" a="1"/>
  <c r="H33" i="6"/>
  <c r="H34" i="6" a="1"/>
  <c r="H34" i="6"/>
  <c r="H35" i="6" a="1"/>
  <c r="H35" i="6"/>
  <c r="H36" i="6" a="1"/>
  <c r="H36" i="6" s="1"/>
  <c r="H37" i="6" a="1"/>
  <c r="H37" i="6"/>
  <c r="H38" i="6" a="1"/>
  <c r="H38" i="6"/>
  <c r="H39" i="6" a="1"/>
  <c r="H39" i="6" s="1"/>
  <c r="H40" i="6" a="1"/>
  <c r="H40" i="6"/>
  <c r="H41" i="6" a="1"/>
  <c r="H41" i="6"/>
  <c r="H42" i="6" a="1"/>
  <c r="H42" i="6"/>
  <c r="H43" i="6" a="1"/>
  <c r="H43" i="6"/>
  <c r="H44" i="6" a="1"/>
  <c r="H44" i="6" s="1"/>
  <c r="H45" i="6" a="1"/>
  <c r="H45" i="6"/>
  <c r="H46" i="6" a="1"/>
  <c r="H46" i="6"/>
  <c r="H47" i="6" a="1"/>
  <c r="H47" i="6" s="1"/>
  <c r="H48" i="6" a="1"/>
  <c r="H48" i="6"/>
  <c r="H49" i="6" a="1"/>
  <c r="H49" i="6"/>
  <c r="H50" i="6" a="1"/>
  <c r="H50" i="6"/>
  <c r="H51" i="6" a="1"/>
  <c r="H51" i="6"/>
  <c r="H52" i="6" a="1"/>
  <c r="H52" i="6" s="1"/>
  <c r="H53" i="6" a="1"/>
  <c r="H53" i="6"/>
  <c r="H54" i="6" a="1"/>
  <c r="H54" i="6"/>
  <c r="H55" i="6" a="1"/>
  <c r="H55" i="6" s="1"/>
  <c r="H56" i="6" a="1"/>
  <c r="H56" i="6"/>
  <c r="H57" i="6" a="1"/>
  <c r="H57" i="6"/>
  <c r="H58" i="6" a="1"/>
  <c r="H58" i="6"/>
  <c r="H59" i="6" a="1"/>
  <c r="H59" i="6"/>
  <c r="H60" i="6" a="1"/>
  <c r="H60" i="6" s="1"/>
  <c r="H61" i="6" a="1"/>
  <c r="H61" i="6"/>
  <c r="H62" i="6" a="1"/>
  <c r="H62" i="6"/>
  <c r="H63" i="6" a="1"/>
  <c r="H63" i="6" s="1"/>
  <c r="H64" i="6" a="1"/>
  <c r="H64" i="6"/>
  <c r="H65" i="6" a="1"/>
  <c r="H65" i="6"/>
  <c r="H66" i="6" a="1"/>
  <c r="H66" i="6"/>
  <c r="H67" i="6" a="1"/>
  <c r="H67" i="6"/>
  <c r="H68" i="6" a="1"/>
  <c r="H68" i="6" s="1"/>
  <c r="H69" i="6" a="1"/>
  <c r="H69" i="6"/>
  <c r="H70" i="6" a="1"/>
  <c r="H70" i="6"/>
  <c r="H71" i="6" a="1"/>
  <c r="H71" i="6" s="1"/>
  <c r="H72" i="6" a="1"/>
  <c r="H72" i="6"/>
  <c r="H73" i="6" a="1"/>
  <c r="H73" i="6"/>
  <c r="H74" i="6" a="1"/>
  <c r="H74" i="6"/>
  <c r="H75" i="6" a="1"/>
  <c r="H75" i="6"/>
  <c r="H76" i="6" a="1"/>
  <c r="H76" i="6" s="1"/>
  <c r="H77" i="6" a="1"/>
  <c r="H77" i="6"/>
  <c r="H78" i="6" a="1"/>
  <c r="H78" i="6"/>
  <c r="H79" i="6" a="1"/>
  <c r="H79" i="6" s="1"/>
  <c r="H80" i="6" a="1"/>
  <c r="H80" i="6"/>
  <c r="H81" i="6" a="1"/>
  <c r="H81" i="6"/>
  <c r="H82" i="6" a="1"/>
  <c r="H82" i="6"/>
  <c r="H83" i="6" a="1"/>
  <c r="H83" i="6"/>
  <c r="H84" i="6" a="1"/>
  <c r="H84" i="6" s="1"/>
  <c r="H85" i="6" a="1"/>
  <c r="H85" i="6"/>
  <c r="H86" i="6" a="1"/>
  <c r="H86" i="6"/>
  <c r="H87" i="6" a="1"/>
  <c r="H87" i="6" s="1"/>
  <c r="H88" i="6" a="1"/>
  <c r="H88" i="6"/>
  <c r="H89" i="6" a="1"/>
  <c r="H89" i="6"/>
  <c r="H90" i="6" a="1"/>
  <c r="H90" i="6"/>
  <c r="H91" i="6" a="1"/>
  <c r="H91" i="6"/>
  <c r="H92" i="6" a="1"/>
  <c r="H92" i="6" s="1"/>
  <c r="H93" i="6" a="1"/>
  <c r="H93" i="6"/>
  <c r="H94" i="6" a="1"/>
  <c r="H94" i="6"/>
  <c r="H95" i="6" a="1"/>
  <c r="H95" i="6" s="1"/>
  <c r="H96" i="6" a="1"/>
  <c r="H96" i="6"/>
  <c r="H97" i="6" a="1"/>
  <c r="H97" i="6"/>
  <c r="H98" i="6" a="1"/>
  <c r="H98" i="6"/>
  <c r="H99" i="6" a="1"/>
  <c r="H99" i="6"/>
  <c r="H100" i="6" a="1"/>
  <c r="H100" i="6" s="1"/>
  <c r="H101" i="6" a="1"/>
  <c r="H101" i="6"/>
  <c r="H102" i="6" a="1"/>
  <c r="H102" i="6"/>
  <c r="H103" i="6" a="1"/>
  <c r="H103" i="6" s="1"/>
  <c r="H104" i="6" a="1"/>
  <c r="H104" i="6"/>
  <c r="H105" i="6" a="1"/>
  <c r="H105" i="6"/>
  <c r="H106" i="6" a="1"/>
  <c r="H106" i="6"/>
  <c r="H107" i="6" a="1"/>
  <c r="H107" i="6"/>
  <c r="H108" i="6" a="1"/>
  <c r="H108" i="6" s="1"/>
  <c r="H109" i="6" a="1"/>
  <c r="H109" i="6"/>
  <c r="H110" i="6" a="1"/>
  <c r="H110" i="6"/>
  <c r="H111" i="6" a="1"/>
  <c r="H111" i="6" s="1"/>
  <c r="H112" i="6" a="1"/>
  <c r="H112" i="6"/>
  <c r="H113" i="6" a="1"/>
  <c r="H113" i="6"/>
  <c r="H114" i="6" a="1"/>
  <c r="H114" i="6"/>
  <c r="H115" i="6" a="1"/>
  <c r="H115" i="6"/>
  <c r="H116" i="6" a="1"/>
  <c r="H116" i="6" s="1"/>
  <c r="H117" i="6" a="1"/>
  <c r="H117" i="6"/>
  <c r="H118" i="6" a="1"/>
  <c r="H118" i="6"/>
  <c r="H119" i="6" a="1"/>
  <c r="H119" i="6" s="1"/>
  <c r="H120" i="6" a="1"/>
  <c r="H120" i="6"/>
  <c r="H121" i="6" a="1"/>
  <c r="H121" i="6"/>
  <c r="H122" i="6" a="1"/>
  <c r="H122" i="6"/>
  <c r="H123" i="6" a="1"/>
  <c r="H123" i="6" s="1"/>
  <c r="H124" i="6" a="1"/>
  <c r="H124" i="6" s="1"/>
  <c r="H125" i="6" a="1"/>
  <c r="H125" i="6"/>
  <c r="H126" i="6" a="1"/>
  <c r="H126" i="6"/>
  <c r="H127" i="6" a="1"/>
  <c r="H127" i="6" s="1"/>
  <c r="H128" i="6" a="1"/>
  <c r="H128" i="6"/>
  <c r="H129" i="6" a="1"/>
  <c r="H129" i="6"/>
  <c r="H130" i="6" a="1"/>
  <c r="H130" i="6"/>
  <c r="H131" i="6" a="1"/>
  <c r="H131" i="6" s="1"/>
  <c r="H132" i="6" a="1"/>
  <c r="H132" i="6" s="1"/>
  <c r="H133" i="6" a="1"/>
  <c r="H133" i="6"/>
  <c r="H134" i="6" a="1"/>
  <c r="H134" i="6"/>
  <c r="H135" i="6" a="1"/>
  <c r="H135" i="6" s="1"/>
  <c r="H136" i="6" a="1"/>
  <c r="H136" i="6"/>
  <c r="H137" i="6" a="1"/>
  <c r="H137" i="6"/>
  <c r="H138" i="6" a="1"/>
  <c r="H138" i="6"/>
  <c r="H139" i="6" a="1"/>
  <c r="H139" i="6" s="1"/>
  <c r="H140" i="6" a="1"/>
  <c r="H140" i="6" s="1"/>
  <c r="H141" i="6" a="1"/>
  <c r="H141" i="6"/>
  <c r="H142" i="6" a="1"/>
  <c r="H142" i="6"/>
  <c r="H143" i="6" a="1"/>
  <c r="H143" i="6" s="1"/>
  <c r="H144" i="6" a="1"/>
  <c r="H144" i="6"/>
  <c r="H145" i="6" a="1"/>
  <c r="H145" i="6"/>
  <c r="H146" i="6" a="1"/>
  <c r="H146" i="6"/>
  <c r="H147" i="6" a="1"/>
  <c r="H147" i="6" s="1"/>
  <c r="H148" i="6" a="1"/>
  <c r="H148" i="6" s="1"/>
  <c r="H149" i="6" a="1"/>
  <c r="H149" i="6"/>
  <c r="H150" i="6" a="1"/>
  <c r="H150" i="6"/>
  <c r="H151" i="6" a="1"/>
  <c r="H151" i="6" s="1"/>
  <c r="H152" i="6" a="1"/>
  <c r="H152" i="6"/>
  <c r="H153" i="6" a="1"/>
  <c r="H153" i="6"/>
  <c r="H154" i="6" a="1"/>
  <c r="H154" i="6"/>
  <c r="H155" i="6" a="1"/>
  <c r="H155" i="6" s="1"/>
  <c r="H156" i="6" a="1"/>
  <c r="H156" i="6" s="1"/>
  <c r="H157" i="6" a="1"/>
  <c r="H157" i="6"/>
  <c r="H158" i="6" a="1"/>
  <c r="H158" i="6"/>
  <c r="H159" i="6" a="1"/>
  <c r="H159" i="6" s="1"/>
  <c r="H160" i="6" a="1"/>
  <c r="H160" i="6"/>
  <c r="H161" i="6" a="1"/>
  <c r="H161" i="6"/>
  <c r="H162" i="6" a="1"/>
  <c r="H162" i="6"/>
  <c r="H163" i="6" a="1"/>
  <c r="H163" i="6" s="1"/>
  <c r="H164" i="6" a="1"/>
  <c r="H164" i="6" s="1"/>
  <c r="H165" i="6" a="1"/>
  <c r="H165" i="6"/>
  <c r="H166" i="6" a="1"/>
  <c r="H166" i="6"/>
  <c r="H167" i="6" a="1"/>
  <c r="H167" i="6" s="1"/>
  <c r="H168" i="6" a="1"/>
  <c r="H168" i="6"/>
  <c r="H169" i="6" a="1"/>
  <c r="H169" i="6"/>
  <c r="H170" i="6" a="1"/>
  <c r="H170" i="6"/>
  <c r="H171" i="6" a="1"/>
  <c r="H171" i="6" s="1"/>
  <c r="H172" i="6" a="1"/>
  <c r="H172" i="6" s="1"/>
  <c r="H173" i="6" a="1"/>
  <c r="H173" i="6"/>
  <c r="H174" i="6" a="1"/>
  <c r="H174" i="6"/>
  <c r="H175" i="6" a="1"/>
  <c r="H175" i="6" s="1"/>
  <c r="H176" i="6" a="1"/>
  <c r="H176" i="6"/>
  <c r="H177" i="6" a="1"/>
  <c r="H177" i="6"/>
  <c r="H178" i="6" a="1"/>
  <c r="H178" i="6"/>
  <c r="H179" i="6" a="1"/>
  <c r="H179" i="6" s="1"/>
  <c r="H180" i="6" a="1"/>
  <c r="H180" i="6" s="1"/>
  <c r="H181" i="6" a="1"/>
  <c r="H181" i="6"/>
  <c r="H182" i="6" a="1"/>
  <c r="H182" i="6"/>
  <c r="H183" i="6" a="1"/>
  <c r="H183" i="6" s="1"/>
  <c r="H184" i="6" a="1"/>
  <c r="H184" i="6"/>
  <c r="H185" i="6" a="1"/>
  <c r="H185" i="6"/>
  <c r="H186" i="6" a="1"/>
  <c r="H186" i="6"/>
  <c r="H187" i="6" a="1"/>
  <c r="H187" i="6" s="1"/>
  <c r="H188" i="6" a="1"/>
  <c r="H188" i="6" s="1"/>
  <c r="H189" i="6" a="1"/>
  <c r="H189" i="6"/>
  <c r="H190" i="6" a="1"/>
  <c r="H190" i="6"/>
  <c r="H191" i="6" a="1"/>
  <c r="H191" i="6" s="1"/>
  <c r="H192" i="6" a="1"/>
  <c r="H192" i="6"/>
  <c r="H193" i="6" a="1"/>
  <c r="H193" i="6"/>
  <c r="H194" i="6" a="1"/>
  <c r="H194" i="6"/>
  <c r="H195" i="6" a="1"/>
  <c r="H195" i="6" s="1"/>
  <c r="H196" i="6" a="1"/>
  <c r="H196" i="6" s="1"/>
  <c r="H197" i="6" a="1"/>
  <c r="H197" i="6"/>
  <c r="H198" i="6" a="1"/>
  <c r="H198" i="6"/>
  <c r="H199" i="6" a="1"/>
  <c r="H199" i="6" s="1"/>
  <c r="H200" i="6" a="1"/>
  <c r="H200" i="6"/>
  <c r="H201" i="6" a="1"/>
  <c r="H201" i="6"/>
  <c r="H202" i="6" a="1"/>
  <c r="H202" i="6"/>
  <c r="H203" i="6" a="1"/>
  <c r="H203" i="6" s="1"/>
  <c r="H204" i="6" a="1"/>
  <c r="H204" i="6" s="1"/>
  <c r="H205" i="6" a="1"/>
  <c r="H205" i="6"/>
  <c r="H206" i="6" a="1"/>
  <c r="H206" i="6"/>
  <c r="H207" i="6" a="1"/>
  <c r="H207" i="6" s="1"/>
  <c r="H208" i="6" a="1"/>
  <c r="H208" i="6"/>
  <c r="H209" i="6" a="1"/>
  <c r="H209" i="6"/>
  <c r="H210" i="6" a="1"/>
  <c r="H210" i="6"/>
  <c r="H211" i="6" a="1"/>
  <c r="H211" i="6" s="1"/>
  <c r="H212" i="6" a="1"/>
  <c r="H212" i="6" s="1"/>
  <c r="H213" i="6" a="1"/>
  <c r="H213" i="6"/>
  <c r="H214" i="6" a="1"/>
  <c r="H214" i="6"/>
  <c r="H215" i="6" a="1"/>
  <c r="H215" i="6" s="1"/>
  <c r="H216" i="6" a="1"/>
  <c r="H216" i="6"/>
  <c r="H217" i="6" a="1"/>
  <c r="H217" i="6"/>
  <c r="H218" i="6" a="1"/>
  <c r="H218" i="6"/>
  <c r="H219" i="6" a="1"/>
  <c r="H219" i="6" s="1"/>
  <c r="H220" i="6" a="1"/>
  <c r="H220" i="6" s="1"/>
  <c r="H221" i="6" a="1"/>
  <c r="H221" i="6"/>
  <c r="H222" i="6" a="1"/>
  <c r="H222" i="6"/>
  <c r="H223" i="6" a="1"/>
  <c r="H223" i="6" s="1"/>
  <c r="H224" i="6" a="1"/>
  <c r="H224" i="6"/>
  <c r="H225" i="6" a="1"/>
  <c r="H225" i="6"/>
  <c r="H226" i="6" a="1"/>
  <c r="H226" i="6"/>
  <c r="H227" i="6" a="1"/>
  <c r="H227" i="6" s="1"/>
  <c r="H228" i="6" a="1"/>
  <c r="H228" i="6" s="1"/>
  <c r="H229" i="6" a="1"/>
  <c r="H229" i="6"/>
  <c r="H230" i="6" a="1"/>
  <c r="H230" i="6"/>
  <c r="H231" i="6" a="1"/>
  <c r="H231" i="6" s="1"/>
  <c r="H232" i="6" a="1"/>
  <c r="H232" i="6"/>
  <c r="H233" i="6" a="1"/>
  <c r="H233" i="6"/>
  <c r="H234" i="6" a="1"/>
  <c r="H234" i="6"/>
  <c r="H235" i="6" a="1"/>
  <c r="H235" i="6" s="1"/>
  <c r="H236" i="6" a="1"/>
  <c r="H236" i="6" s="1"/>
  <c r="H237" i="6" a="1"/>
  <c r="H237" i="6"/>
  <c r="H238" i="6" a="1"/>
  <c r="H238" i="6"/>
  <c r="H239" i="6" a="1"/>
  <c r="H239" i="6" s="1"/>
  <c r="H240" i="6" a="1"/>
  <c r="H240" i="6"/>
  <c r="H241" i="6" a="1"/>
  <c r="H241" i="6"/>
  <c r="H242" i="6" a="1"/>
  <c r="H242" i="6"/>
  <c r="H243" i="6" a="1"/>
  <c r="H243" i="6" s="1"/>
  <c r="H244" i="6" a="1"/>
  <c r="H244" i="6" s="1"/>
  <c r="H245" i="6" a="1"/>
  <c r="H245" i="6"/>
  <c r="H246" i="6" a="1"/>
  <c r="H246" i="6"/>
  <c r="H247" i="6" a="1"/>
  <c r="H247" i="6" s="1"/>
  <c r="H248" i="6" a="1"/>
  <c r="H248" i="6"/>
  <c r="H249" i="6" a="1"/>
  <c r="H249" i="6"/>
  <c r="H250" i="6" a="1"/>
  <c r="H250" i="6"/>
  <c r="H251" i="6" a="1"/>
  <c r="H251" i="6" s="1"/>
  <c r="H252" i="6" a="1"/>
  <c r="H252" i="6" s="1"/>
  <c r="H253" i="6" a="1"/>
  <c r="H253" i="6"/>
  <c r="H254" i="6" a="1"/>
  <c r="H254" i="6"/>
  <c r="H255" i="6" a="1"/>
  <c r="H255" i="6" s="1"/>
  <c r="H256" i="6" a="1"/>
  <c r="H256" i="6"/>
  <c r="H257" i="6" a="1"/>
  <c r="H257" i="6"/>
  <c r="H258" i="6" a="1"/>
  <c r="H258" i="6"/>
  <c r="H259" i="6" a="1"/>
  <c r="H259" i="6" s="1"/>
  <c r="H260" i="6" a="1"/>
  <c r="H260" i="6" s="1"/>
  <c r="H261" i="6" a="1"/>
  <c r="H261" i="6"/>
  <c r="H262" i="6" a="1"/>
  <c r="H262" i="6"/>
  <c r="H263" i="6" a="1"/>
  <c r="H263" i="6" s="1"/>
  <c r="H264" i="6" a="1"/>
  <c r="H264" i="6"/>
  <c r="H265" i="6" a="1"/>
  <c r="H265" i="6"/>
  <c r="H266" i="6" a="1"/>
  <c r="H266" i="6"/>
  <c r="H267" i="6" a="1"/>
  <c r="H267" i="6" s="1"/>
  <c r="H268" i="6" a="1"/>
  <c r="H268" i="6" s="1"/>
  <c r="H269" i="6" a="1"/>
  <c r="H269" i="6"/>
  <c r="H270" i="6" a="1"/>
  <c r="H270" i="6"/>
  <c r="H271" i="6" a="1"/>
  <c r="H271" i="6" s="1"/>
  <c r="H272" i="6" a="1"/>
  <c r="H272" i="6"/>
  <c r="H273" i="6" a="1"/>
  <c r="H273" i="6"/>
  <c r="H274" i="6" a="1"/>
  <c r="H274" i="6"/>
  <c r="H275" i="6" a="1"/>
  <c r="H275" i="6" s="1"/>
  <c r="H276" i="6" a="1"/>
  <c r="H276" i="6" s="1"/>
  <c r="H277" i="6" a="1"/>
  <c r="H277" i="6"/>
  <c r="H278" i="6" a="1"/>
  <c r="H278" i="6"/>
  <c r="H279" i="6" a="1"/>
  <c r="H279" i="6" s="1"/>
  <c r="H280" i="6" a="1"/>
  <c r="H280" i="6"/>
  <c r="H281" i="6" a="1"/>
  <c r="H281" i="6"/>
  <c r="H282" i="6" a="1"/>
  <c r="H282" i="6"/>
  <c r="H283" i="6" a="1"/>
  <c r="H283" i="6" s="1"/>
  <c r="H284" i="6" a="1"/>
  <c r="H284" i="6" s="1"/>
  <c r="H285" i="6" a="1"/>
  <c r="H285" i="6"/>
  <c r="H286" i="6" a="1"/>
  <c r="H286" i="6"/>
  <c r="H287" i="6" a="1"/>
  <c r="H287" i="6" s="1"/>
  <c r="H288" i="6" a="1"/>
  <c r="H288" i="6"/>
  <c r="H289" i="6" a="1"/>
  <c r="H289" i="6"/>
  <c r="H290" i="6" a="1"/>
  <c r="H290" i="6"/>
  <c r="H291" i="6" a="1"/>
  <c r="H291" i="6" s="1"/>
  <c r="H292" i="6" a="1"/>
  <c r="H292" i="6" s="1"/>
  <c r="H293" i="6" a="1"/>
  <c r="H293" i="6"/>
  <c r="H294" i="6" a="1"/>
  <c r="H294" i="6"/>
  <c r="H295" i="6" a="1"/>
  <c r="H295" i="6" s="1"/>
  <c r="H296" i="6" a="1"/>
  <c r="H296" i="6"/>
  <c r="H297" i="6" a="1"/>
  <c r="H297" i="6"/>
  <c r="H298" i="6" a="1"/>
  <c r="H298" i="6"/>
  <c r="H299" i="6" a="1"/>
  <c r="H299" i="6" s="1"/>
  <c r="H300" i="6" a="1"/>
  <c r="H300" i="6" s="1"/>
  <c r="H301" i="6" a="1"/>
  <c r="H301" i="6"/>
  <c r="H2" i="6" a="1"/>
  <c r="H2" i="6" s="1"/>
  <c r="I3" i="5" a="1"/>
  <c r="I3" i="5"/>
  <c r="I4" i="5" a="1"/>
  <c r="I4" i="5" s="1"/>
  <c r="I5" i="5" a="1"/>
  <c r="I5" i="5"/>
  <c r="I6" i="5" a="1"/>
  <c r="I6" i="5"/>
  <c r="I7" i="5" a="1"/>
  <c r="I7" i="5"/>
  <c r="I8" i="5" a="1"/>
  <c r="I8" i="5"/>
  <c r="I9" i="5" a="1"/>
  <c r="I9" i="5"/>
  <c r="I10" i="5" a="1"/>
  <c r="I10" i="5" s="1"/>
  <c r="I11" i="5" a="1"/>
  <c r="I11" i="5"/>
  <c r="I12" i="5" a="1"/>
  <c r="I12" i="5" s="1"/>
  <c r="I13" i="5" a="1"/>
  <c r="I13" i="5"/>
  <c r="I14" i="5" a="1"/>
  <c r="I14" i="5"/>
  <c r="I15" i="5" a="1"/>
  <c r="I15" i="5"/>
  <c r="I16" i="5" a="1"/>
  <c r="I16" i="5" s="1"/>
  <c r="I17" i="5" a="1"/>
  <c r="I17" i="5"/>
  <c r="I18" i="5" a="1"/>
  <c r="I18" i="5"/>
  <c r="I19" i="5" a="1"/>
  <c r="I19" i="5"/>
  <c r="I20" i="5" a="1"/>
  <c r="I20" i="5" s="1"/>
  <c r="I21" i="5" a="1"/>
  <c r="I21" i="5"/>
  <c r="I22" i="5" a="1"/>
  <c r="I22" i="5"/>
  <c r="I23" i="5" a="1"/>
  <c r="I23" i="5"/>
  <c r="I24" i="5" a="1"/>
  <c r="I24" i="5"/>
  <c r="I25" i="5" a="1"/>
  <c r="I25" i="5"/>
  <c r="I26" i="5" a="1"/>
  <c r="I26" i="5"/>
  <c r="I27" i="5" a="1"/>
  <c r="I27" i="5"/>
  <c r="I28" i="5" a="1"/>
  <c r="I28" i="5" s="1"/>
  <c r="I29" i="5" a="1"/>
  <c r="I29" i="5"/>
  <c r="I30" i="5" a="1"/>
  <c r="I30" i="5" s="1"/>
  <c r="I31" i="5" a="1"/>
  <c r="I31" i="5"/>
  <c r="I32" i="5" a="1"/>
  <c r="I32" i="5"/>
  <c r="I33" i="5" a="1"/>
  <c r="I33" i="5" s="1"/>
  <c r="I34" i="5" a="1"/>
  <c r="I34" i="5"/>
  <c r="I35" i="5" a="1"/>
  <c r="I35" i="5"/>
  <c r="I36" i="5" a="1"/>
  <c r="I36" i="5" s="1"/>
  <c r="I37" i="5" a="1"/>
  <c r="I37" i="5"/>
  <c r="I38" i="5" a="1"/>
  <c r="I38" i="5"/>
  <c r="I39" i="5" a="1"/>
  <c r="I39" i="5"/>
  <c r="I40" i="5" a="1"/>
  <c r="I40" i="5" s="1"/>
  <c r="I41" i="5" a="1"/>
  <c r="I41" i="5"/>
  <c r="I42" i="5" a="1"/>
  <c r="I42" i="5"/>
  <c r="I43" i="5" a="1"/>
  <c r="I43" i="5"/>
  <c r="I44" i="5" a="1"/>
  <c r="I44" i="5" s="1"/>
  <c r="I45" i="5" a="1"/>
  <c r="I45" i="5"/>
  <c r="I46" i="5" a="1"/>
  <c r="I46" i="5"/>
  <c r="I47" i="5" a="1"/>
  <c r="I47" i="5" s="1"/>
  <c r="I48" i="5" a="1"/>
  <c r="I48" i="5"/>
  <c r="I49" i="5" a="1"/>
  <c r="I49" i="5" s="1"/>
  <c r="I50" i="5" a="1"/>
  <c r="I50" i="5" s="1"/>
  <c r="I51" i="5" a="1"/>
  <c r="I51" i="5"/>
  <c r="I52" i="5" a="1"/>
  <c r="I52" i="5" s="1"/>
  <c r="I53" i="5" a="1"/>
  <c r="I53" i="5"/>
  <c r="I54" i="5" a="1"/>
  <c r="I54" i="5" s="1"/>
  <c r="I55" i="5" a="1"/>
  <c r="I55" i="5"/>
  <c r="I56" i="5" a="1"/>
  <c r="I56" i="5"/>
  <c r="I57" i="5" a="1"/>
  <c r="I57" i="5" s="1"/>
  <c r="I58" i="5" a="1"/>
  <c r="I58" i="5"/>
  <c r="I59" i="5" a="1"/>
  <c r="I59" i="5"/>
  <c r="I60" i="5" a="1"/>
  <c r="I60" i="5" s="1"/>
  <c r="I61" i="5" a="1"/>
  <c r="I61" i="5"/>
  <c r="I62" i="5" a="1"/>
  <c r="I62" i="5" s="1"/>
  <c r="I63" i="5" a="1"/>
  <c r="I63" i="5"/>
  <c r="I64" i="5" a="1"/>
  <c r="I64" i="5" s="1"/>
  <c r="I65" i="5" a="1"/>
  <c r="I65" i="5"/>
  <c r="I66" i="5" a="1"/>
  <c r="I66" i="5" s="1"/>
  <c r="I67" i="5" a="1"/>
  <c r="I67" i="5"/>
  <c r="I68" i="5" a="1"/>
  <c r="I68" i="5" s="1"/>
  <c r="I69" i="5" a="1"/>
  <c r="I69" i="5"/>
  <c r="I70" i="5" a="1"/>
  <c r="I70" i="5"/>
  <c r="I71" i="5" a="1"/>
  <c r="I71" i="5" s="1"/>
  <c r="I72" i="5" a="1"/>
  <c r="I72" i="5"/>
  <c r="I73" i="5" a="1"/>
  <c r="I73" i="5"/>
  <c r="I74" i="5" a="1"/>
  <c r="I74" i="5" s="1"/>
  <c r="I75" i="5" a="1"/>
  <c r="I75" i="5"/>
  <c r="I76" i="5" a="1"/>
  <c r="I76" i="5" s="1"/>
  <c r="I77" i="5" a="1"/>
  <c r="I77" i="5" s="1"/>
  <c r="I78" i="5" a="1"/>
  <c r="I78" i="5"/>
  <c r="I79" i="5" a="1"/>
  <c r="I79" i="5"/>
  <c r="I80" i="5" a="1"/>
  <c r="I80" i="5"/>
  <c r="I81" i="5" a="1"/>
  <c r="I81" i="5" s="1"/>
  <c r="I82" i="5" a="1"/>
  <c r="I82" i="5"/>
  <c r="I83" i="5" a="1"/>
  <c r="I83" i="5"/>
  <c r="I84" i="5" a="1"/>
  <c r="I84" i="5" s="1"/>
  <c r="I85" i="5" a="1"/>
  <c r="I85" i="5"/>
  <c r="I86" i="5" a="1"/>
  <c r="I86" i="5" s="1"/>
  <c r="I87" i="5" a="1"/>
  <c r="I87" i="5"/>
  <c r="I88" i="5" a="1"/>
  <c r="I88" i="5" s="1"/>
  <c r="I89" i="5" a="1"/>
  <c r="I89" i="5"/>
  <c r="I90" i="5" a="1"/>
  <c r="I90" i="5"/>
  <c r="I91" i="5" a="1"/>
  <c r="I91" i="5"/>
  <c r="I92" i="5" a="1"/>
  <c r="I92" i="5" s="1"/>
  <c r="I93" i="5" a="1"/>
  <c r="I93" i="5" s="1"/>
  <c r="I94" i="5" a="1"/>
  <c r="I94" i="5" s="1"/>
  <c r="I95" i="5" a="1"/>
  <c r="I95" i="5"/>
  <c r="I96" i="5" a="1"/>
  <c r="I96" i="5"/>
  <c r="I97" i="5" a="1"/>
  <c r="I97" i="5"/>
  <c r="I98" i="5" a="1"/>
  <c r="I98" i="5" s="1"/>
  <c r="I99" i="5" a="1"/>
  <c r="I99" i="5"/>
  <c r="I100" i="5" a="1"/>
  <c r="I100" i="5" s="1"/>
  <c r="I101" i="5" a="1"/>
  <c r="I101" i="5"/>
  <c r="I102" i="5" a="1"/>
  <c r="I102" i="5"/>
  <c r="I103" i="5" a="1"/>
  <c r="I103" i="5" s="1"/>
  <c r="I104" i="5" a="1"/>
  <c r="I104" i="5"/>
  <c r="I105" i="5" a="1"/>
  <c r="I105" i="5" s="1"/>
  <c r="I106" i="5" a="1"/>
  <c r="I106" i="5"/>
  <c r="I107" i="5" a="1"/>
  <c r="I107" i="5"/>
  <c r="I108" i="5" a="1"/>
  <c r="I108" i="5" s="1"/>
  <c r="I109" i="5" a="1"/>
  <c r="I109" i="5"/>
  <c r="I110" i="5" a="1"/>
  <c r="I110" i="5" s="1"/>
  <c r="I111" i="5" a="1"/>
  <c r="I111" i="5"/>
  <c r="I112" i="5" a="1"/>
  <c r="I112" i="5"/>
  <c r="I113" i="5" a="1"/>
  <c r="I113" i="5"/>
  <c r="I114" i="5" a="1"/>
  <c r="I114" i="5"/>
  <c r="I115" i="5" a="1"/>
  <c r="I115" i="5"/>
  <c r="I116" i="5" a="1"/>
  <c r="I116" i="5" s="1"/>
  <c r="I117" i="5" a="1"/>
  <c r="I117" i="5"/>
  <c r="I118" i="5" a="1"/>
  <c r="I118" i="5"/>
  <c r="I119" i="5" a="1"/>
  <c r="I119" i="5"/>
  <c r="I120" i="5" a="1"/>
  <c r="I120" i="5" s="1"/>
  <c r="I121" i="5" a="1"/>
  <c r="I121" i="5" s="1"/>
  <c r="I122" i="5" a="1"/>
  <c r="I122" i="5" s="1"/>
  <c r="I123" i="5" a="1"/>
  <c r="I123" i="5"/>
  <c r="I124" i="5" a="1"/>
  <c r="I124" i="5" s="1"/>
  <c r="I125" i="5" a="1"/>
  <c r="I125" i="5"/>
  <c r="I126" i="5" a="1"/>
  <c r="I126" i="5"/>
  <c r="I127" i="5" a="1"/>
  <c r="I127" i="5" s="1"/>
  <c r="I128" i="5" a="1"/>
  <c r="I128" i="5"/>
  <c r="I129" i="5" a="1"/>
  <c r="I129" i="5"/>
  <c r="I130" i="5" a="1"/>
  <c r="I130" i="5"/>
  <c r="I131" i="5" a="1"/>
  <c r="I131" i="5"/>
  <c r="I132" i="5" a="1"/>
  <c r="I132" i="5" s="1"/>
  <c r="I133" i="5" a="1"/>
  <c r="I133" i="5"/>
  <c r="I134" i="5" a="1"/>
  <c r="I134" i="5"/>
  <c r="I135" i="5" a="1"/>
  <c r="I135" i="5"/>
  <c r="I136" i="5" a="1"/>
  <c r="I136" i="5"/>
  <c r="I137" i="5" a="1"/>
  <c r="I137" i="5"/>
  <c r="I138" i="5" a="1"/>
  <c r="I138" i="5" s="1"/>
  <c r="I139" i="5" a="1"/>
  <c r="I139" i="5" s="1"/>
  <c r="I140" i="5" a="1"/>
  <c r="I140" i="5" s="1"/>
  <c r="I141" i="5" a="1"/>
  <c r="I141" i="5" s="1"/>
  <c r="I142" i="5" a="1"/>
  <c r="I142" i="5"/>
  <c r="I143" i="5" a="1"/>
  <c r="I143" i="5"/>
  <c r="I144" i="5" a="1"/>
  <c r="I144" i="5" s="1"/>
  <c r="I145" i="5" a="1"/>
  <c r="I145" i="5"/>
  <c r="I146" i="5" a="1"/>
  <c r="I146" i="5"/>
  <c r="I147" i="5" a="1"/>
  <c r="I147" i="5"/>
  <c r="I148" i="5" a="1"/>
  <c r="I148" i="5" s="1"/>
  <c r="I149" i="5" a="1"/>
  <c r="I149" i="5"/>
  <c r="I150" i="5" a="1"/>
  <c r="I150" i="5"/>
  <c r="I151" i="5" a="1"/>
  <c r="I151" i="5" s="1"/>
  <c r="I152" i="5" a="1"/>
  <c r="I152" i="5"/>
  <c r="I153" i="5" a="1"/>
  <c r="I153" i="5"/>
  <c r="I154" i="5" a="1"/>
  <c r="I154" i="5" s="1"/>
  <c r="I155" i="5" a="1"/>
  <c r="I155" i="5"/>
  <c r="I156" i="5" a="1"/>
  <c r="I156" i="5" s="1"/>
  <c r="I157" i="5" a="1"/>
  <c r="I157" i="5"/>
  <c r="I158" i="5" a="1"/>
  <c r="I158" i="5" s="1"/>
  <c r="I159" i="5" a="1"/>
  <c r="I159" i="5"/>
  <c r="I160" i="5" a="1"/>
  <c r="I160" i="5" s="1"/>
  <c r="I161" i="5" a="1"/>
  <c r="I161" i="5" s="1"/>
  <c r="I162" i="5" a="1"/>
  <c r="I162" i="5"/>
  <c r="I163" i="5" a="1"/>
  <c r="I163" i="5"/>
  <c r="I164" i="5" a="1"/>
  <c r="I164" i="5" s="1"/>
  <c r="I165" i="5" a="1"/>
  <c r="I165" i="5" s="1"/>
  <c r="I166" i="5" a="1"/>
  <c r="I166" i="5"/>
  <c r="I167" i="5" a="1"/>
  <c r="I167" i="5"/>
  <c r="I168" i="5" a="1"/>
  <c r="I168" i="5" s="1"/>
  <c r="I169" i="5" a="1"/>
  <c r="I169" i="5"/>
  <c r="I170" i="5" a="1"/>
  <c r="I170" i="5"/>
  <c r="I171" i="5" a="1"/>
  <c r="I171" i="5"/>
  <c r="I172" i="5" a="1"/>
  <c r="I172" i="5" s="1"/>
  <c r="I173" i="5" a="1"/>
  <c r="I173" i="5" s="1"/>
  <c r="I174" i="5" a="1"/>
  <c r="I174" i="5"/>
  <c r="I175" i="5" a="1"/>
  <c r="I175" i="5" s="1"/>
  <c r="I176" i="5" a="1"/>
  <c r="I176" i="5"/>
  <c r="I177" i="5" a="1"/>
  <c r="I177" i="5" s="1"/>
  <c r="I178" i="5" a="1"/>
  <c r="I178" i="5" s="1"/>
  <c r="I179" i="5" a="1"/>
  <c r="I179" i="5" s="1"/>
  <c r="I180" i="5" a="1"/>
  <c r="I180" i="5" s="1"/>
  <c r="I181" i="5" a="1"/>
  <c r="I181" i="5"/>
  <c r="I182" i="5" a="1"/>
  <c r="I182" i="5" s="1"/>
  <c r="I183" i="5" a="1"/>
  <c r="I183" i="5"/>
  <c r="I184" i="5" a="1"/>
  <c r="I184" i="5"/>
  <c r="I185" i="5" a="1"/>
  <c r="I185" i="5"/>
  <c r="I186" i="5" a="1"/>
  <c r="I186" i="5"/>
  <c r="I187" i="5" a="1"/>
  <c r="I187" i="5"/>
  <c r="I188" i="5" a="1"/>
  <c r="I188" i="5" s="1"/>
  <c r="I189" i="5" a="1"/>
  <c r="I189" i="5"/>
  <c r="I190" i="5" a="1"/>
  <c r="I190" i="5"/>
  <c r="I191" i="5" a="1"/>
  <c r="I191" i="5"/>
  <c r="I192" i="5" a="1"/>
  <c r="I192" i="5" s="1"/>
  <c r="I193" i="5" a="1"/>
  <c r="I193" i="5"/>
  <c r="I194" i="5" a="1"/>
  <c r="I194" i="5"/>
  <c r="I195" i="5" a="1"/>
  <c r="I195" i="5" s="1"/>
  <c r="I196" i="5" a="1"/>
  <c r="I196" i="5" s="1"/>
  <c r="I197" i="5" a="1"/>
  <c r="I197" i="5"/>
  <c r="I198" i="5" a="1"/>
  <c r="I198" i="5" s="1"/>
  <c r="I199" i="5" a="1"/>
  <c r="I199" i="5" s="1"/>
  <c r="I200" i="5" a="1"/>
  <c r="I200" i="5"/>
  <c r="I201" i="5" a="1"/>
  <c r="I201" i="5"/>
  <c r="I202" i="5" a="1"/>
  <c r="I202" i="5"/>
  <c r="I203" i="5" a="1"/>
  <c r="I203" i="5"/>
  <c r="I204" i="5" a="1"/>
  <c r="I204" i="5" s="1"/>
  <c r="I205" i="5" a="1"/>
  <c r="I205" i="5"/>
  <c r="I206" i="5" a="1"/>
  <c r="I206" i="5"/>
  <c r="I207" i="5" a="1"/>
  <c r="I207" i="5" s="1"/>
  <c r="I208" i="5" a="1"/>
  <c r="I208" i="5"/>
  <c r="I209" i="5" a="1"/>
  <c r="I209" i="5" s="1"/>
  <c r="I210" i="5" a="1"/>
  <c r="I210" i="5"/>
  <c r="I211" i="5" a="1"/>
  <c r="I211" i="5"/>
  <c r="I212" i="5" a="1"/>
  <c r="I212" i="5" s="1"/>
  <c r="I213" i="5" a="1"/>
  <c r="I213" i="5"/>
  <c r="I214" i="5" a="1"/>
  <c r="I214" i="5"/>
  <c r="I215" i="5" a="1"/>
  <c r="I215" i="5"/>
  <c r="I216" i="5" a="1"/>
  <c r="I216" i="5" s="1"/>
  <c r="I217" i="5" a="1"/>
  <c r="I217" i="5"/>
  <c r="I218" i="5" a="1"/>
  <c r="I218" i="5"/>
  <c r="I219" i="5" a="1"/>
  <c r="I219" i="5"/>
  <c r="I220" i="5" a="1"/>
  <c r="I220" i="5" s="1"/>
  <c r="I221" i="5" a="1"/>
  <c r="I221" i="5" s="1"/>
  <c r="I222" i="5" a="1"/>
  <c r="I222" i="5"/>
  <c r="I223" i="5" a="1"/>
  <c r="I223" i="5" s="1"/>
  <c r="I224" i="5" a="1"/>
  <c r="I224" i="5" s="1"/>
  <c r="I225" i="5" a="1"/>
  <c r="I225" i="5"/>
  <c r="I226" i="5" a="1"/>
  <c r="I226" i="5" s="1"/>
  <c r="I227" i="5" a="1"/>
  <c r="I227" i="5"/>
  <c r="I228" i="5" a="1"/>
  <c r="I228" i="5" s="1"/>
  <c r="I229" i="5" a="1"/>
  <c r="I229" i="5"/>
  <c r="I230" i="5" a="1"/>
  <c r="I230" i="5"/>
  <c r="I231" i="5" a="1"/>
  <c r="I231" i="5"/>
  <c r="I232" i="5" a="1"/>
  <c r="I232" i="5" s="1"/>
  <c r="I233" i="5" a="1"/>
  <c r="I233" i="5" s="1"/>
  <c r="I234" i="5" a="1"/>
  <c r="I234" i="5"/>
  <c r="I235" i="5" a="1"/>
  <c r="I235" i="5"/>
  <c r="I236" i="5" a="1"/>
  <c r="I236" i="5" s="1"/>
  <c r="I237" i="5" a="1"/>
  <c r="I237" i="5"/>
  <c r="I238" i="5" a="1"/>
  <c r="I238" i="5" s="1"/>
  <c r="I239" i="5" a="1"/>
  <c r="I239" i="5" s="1"/>
  <c r="I240" i="5" a="1"/>
  <c r="I240" i="5"/>
  <c r="I241" i="5" a="1"/>
  <c r="I241" i="5"/>
  <c r="I242" i="5" a="1"/>
  <c r="I242" i="5"/>
  <c r="I243" i="5" a="1"/>
  <c r="I243" i="5" s="1"/>
  <c r="I244" i="5" a="1"/>
  <c r="I244" i="5" s="1"/>
  <c r="I245" i="5" a="1"/>
  <c r="I245" i="5" s="1"/>
  <c r="I246" i="5" a="1"/>
  <c r="I246" i="5"/>
  <c r="I247" i="5" a="1"/>
  <c r="I247" i="5"/>
  <c r="I248" i="5" a="1"/>
  <c r="I248" i="5" s="1"/>
  <c r="I249" i="5" a="1"/>
  <c r="I249" i="5"/>
  <c r="I250" i="5" a="1"/>
  <c r="I250" i="5" s="1"/>
  <c r="I251" i="5" a="1"/>
  <c r="I251" i="5"/>
  <c r="I252" i="5" a="1"/>
  <c r="I252" i="5" s="1"/>
  <c r="I253" i="5" a="1"/>
  <c r="I253" i="5"/>
  <c r="I254" i="5" a="1"/>
  <c r="I254" i="5" s="1"/>
  <c r="I255" i="5" a="1"/>
  <c r="I255" i="5" s="1"/>
  <c r="I256" i="5" a="1"/>
  <c r="I256" i="5"/>
  <c r="I257" i="5" a="1"/>
  <c r="I257" i="5"/>
  <c r="I258" i="5" a="1"/>
  <c r="I258" i="5"/>
  <c r="I259" i="5" a="1"/>
  <c r="I259" i="5"/>
  <c r="I260" i="5" a="1"/>
  <c r="I260" i="5" s="1"/>
  <c r="I261" i="5" a="1"/>
  <c r="I261" i="5"/>
  <c r="I262" i="5" a="1"/>
  <c r="I262" i="5"/>
  <c r="I263" i="5" a="1"/>
  <c r="I263" i="5" s="1"/>
  <c r="I264" i="5" a="1"/>
  <c r="I264" i="5"/>
  <c r="I265" i="5" a="1"/>
  <c r="I265" i="5"/>
  <c r="I266" i="5" a="1"/>
  <c r="I266" i="5" s="1"/>
  <c r="I267" i="5" a="1"/>
  <c r="I267" i="5" s="1"/>
  <c r="I268" i="5" a="1"/>
  <c r="I268" i="5" s="1"/>
  <c r="I269" i="5" a="1"/>
  <c r="I269" i="5" s="1"/>
  <c r="I270" i="5" a="1"/>
  <c r="I270" i="5"/>
  <c r="I271" i="5" a="1"/>
  <c r="I271" i="5" s="1"/>
  <c r="I272" i="5" a="1"/>
  <c r="I272" i="5" s="1"/>
  <c r="I273" i="5" a="1"/>
  <c r="I273" i="5" s="1"/>
  <c r="I274" i="5" a="1"/>
  <c r="I274" i="5"/>
  <c r="I275" i="5" a="1"/>
  <c r="I275" i="5"/>
  <c r="I276" i="5" a="1"/>
  <c r="I276" i="5" s="1"/>
  <c r="I277" i="5" a="1"/>
  <c r="I277" i="5"/>
  <c r="I278" i="5" a="1"/>
  <c r="I278" i="5"/>
  <c r="I279" i="5" a="1"/>
  <c r="I279" i="5" s="1"/>
  <c r="I280" i="5" a="1"/>
  <c r="I280" i="5" s="1"/>
  <c r="I281" i="5" a="1"/>
  <c r="I281" i="5"/>
  <c r="I282" i="5" a="1"/>
  <c r="I282" i="5"/>
  <c r="I283" i="5" a="1"/>
  <c r="I283" i="5"/>
  <c r="I284" i="5" a="1"/>
  <c r="I284" i="5" s="1"/>
  <c r="I285" i="5" a="1"/>
  <c r="I285" i="5"/>
  <c r="I286" i="5" a="1"/>
  <c r="I286" i="5" s="1"/>
  <c r="I287" i="5" a="1"/>
  <c r="I287" i="5"/>
  <c r="I288" i="5" a="1"/>
  <c r="I288" i="5" s="1"/>
  <c r="I289" i="5" a="1"/>
  <c r="I289" i="5" s="1"/>
  <c r="I290" i="5" a="1"/>
  <c r="I290" i="5"/>
  <c r="I291" i="5" a="1"/>
  <c r="I291" i="5" s="1"/>
  <c r="I292" i="5" a="1"/>
  <c r="I292" i="5" s="1"/>
  <c r="I293" i="5" a="1"/>
  <c r="I293" i="5" s="1"/>
  <c r="I294" i="5" a="1"/>
  <c r="I294" i="5"/>
  <c r="I295" i="5" a="1"/>
  <c r="I295" i="5"/>
  <c r="I296" i="5" a="1"/>
  <c r="I296" i="5"/>
  <c r="I297" i="5" a="1"/>
  <c r="I297" i="5"/>
  <c r="I298" i="5" a="1"/>
  <c r="I298" i="5"/>
  <c r="I299" i="5" a="1"/>
  <c r="I299" i="5"/>
  <c r="I300" i="5" a="1"/>
  <c r="I300" i="5" s="1"/>
  <c r="I301" i="5" a="1"/>
  <c r="I301" i="5"/>
  <c r="I302" i="5" a="1"/>
  <c r="I302" i="5"/>
  <c r="I303" i="5" a="1"/>
  <c r="I303" i="5" s="1"/>
  <c r="I304" i="5" a="1"/>
  <c r="I304" i="5"/>
  <c r="I305" i="5" a="1"/>
  <c r="I305" i="5"/>
  <c r="I306" i="5" a="1"/>
  <c r="I306" i="5" s="1"/>
  <c r="I307" i="5" a="1"/>
  <c r="I307" i="5" s="1"/>
  <c r="I308" i="5" a="1"/>
  <c r="I308" i="5" s="1"/>
  <c r="I309" i="5" a="1"/>
  <c r="I309" i="5"/>
  <c r="I310" i="5" a="1"/>
  <c r="I310" i="5" s="1"/>
  <c r="I311" i="5" a="1"/>
  <c r="I311" i="5"/>
  <c r="I312" i="5" a="1"/>
  <c r="I312" i="5"/>
  <c r="I313" i="5" a="1"/>
  <c r="I313" i="5"/>
  <c r="I314" i="5" a="1"/>
  <c r="I314" i="5"/>
  <c r="I315" i="5" a="1"/>
  <c r="I315" i="5"/>
  <c r="I316" i="5" a="1"/>
  <c r="I316" i="5" s="1"/>
  <c r="I317" i="5" a="1"/>
  <c r="I317" i="5"/>
  <c r="I318" i="5" a="1"/>
  <c r="I318" i="5"/>
  <c r="I319" i="5" a="1"/>
  <c r="I319" i="5"/>
  <c r="I320" i="5" a="1"/>
  <c r="I320" i="5" s="1"/>
  <c r="I321" i="5" a="1"/>
  <c r="I321" i="5"/>
  <c r="I322" i="5" a="1"/>
  <c r="I322" i="5"/>
  <c r="I323" i="5" a="1"/>
  <c r="I323" i="5" s="1"/>
  <c r="I324" i="5" a="1"/>
  <c r="I324" i="5" s="1"/>
  <c r="I325" i="5" a="1"/>
  <c r="I325" i="5"/>
  <c r="I326" i="5" a="1"/>
  <c r="I326" i="5" s="1"/>
  <c r="I327" i="5" a="1"/>
  <c r="I327" i="5" s="1"/>
  <c r="I328" i="5" a="1"/>
  <c r="I328" i="5"/>
  <c r="I329" i="5" a="1"/>
  <c r="I329" i="5"/>
  <c r="I330" i="5" a="1"/>
  <c r="I330" i="5"/>
  <c r="I331" i="5" a="1"/>
  <c r="I331" i="5"/>
  <c r="I332" i="5" a="1"/>
  <c r="I332" i="5" s="1"/>
  <c r="I333" i="5" a="1"/>
  <c r="I333" i="5"/>
  <c r="I334" i="5" a="1"/>
  <c r="I334" i="5"/>
  <c r="I335" i="5" a="1"/>
  <c r="I335" i="5" s="1"/>
  <c r="I336" i="5" a="1"/>
  <c r="I336" i="5"/>
  <c r="I337" i="5" a="1"/>
  <c r="I337" i="5" s="1"/>
  <c r="I338" i="5" a="1"/>
  <c r="I338" i="5"/>
  <c r="I339" i="5" a="1"/>
  <c r="I339" i="5"/>
  <c r="I340" i="5" a="1"/>
  <c r="I340" i="5" s="1"/>
  <c r="I341" i="5" a="1"/>
  <c r="I341" i="5"/>
  <c r="I342" i="5" a="1"/>
  <c r="I342" i="5"/>
  <c r="I343" i="5" a="1"/>
  <c r="I343" i="5"/>
  <c r="I344" i="5" a="1"/>
  <c r="I344" i="5" s="1"/>
  <c r="I345" i="5" a="1"/>
  <c r="I345" i="5"/>
  <c r="I346" i="5" a="1"/>
  <c r="I346" i="5"/>
  <c r="I347" i="5" a="1"/>
  <c r="I347" i="5" s="1"/>
  <c r="I348" i="5" a="1"/>
  <c r="I348" i="5" s="1"/>
  <c r="I349" i="5" a="1"/>
  <c r="I349" i="5" s="1"/>
  <c r="I350" i="5" a="1"/>
  <c r="I350" i="5"/>
  <c r="I351" i="5" a="1"/>
  <c r="I351" i="5" s="1"/>
  <c r="I352" i="5" a="1"/>
  <c r="I352" i="5"/>
  <c r="I353" i="5" a="1"/>
  <c r="I353" i="5"/>
  <c r="I354" i="5" a="1"/>
  <c r="I354" i="5" s="1"/>
  <c r="I355" i="5" a="1"/>
  <c r="I355" i="5"/>
  <c r="I356" i="5" a="1"/>
  <c r="I356" i="5" s="1"/>
  <c r="I357" i="5" a="1"/>
  <c r="I357" i="5" s="1"/>
  <c r="I358" i="5" a="1"/>
  <c r="I358" i="5"/>
  <c r="I359" i="5" a="1"/>
  <c r="I359" i="5"/>
  <c r="I360" i="5" a="1"/>
  <c r="I360" i="5" s="1"/>
  <c r="I361" i="5" a="1"/>
  <c r="I361" i="5" s="1"/>
  <c r="I362" i="5" a="1"/>
  <c r="I362" i="5"/>
  <c r="I363" i="5" a="1"/>
  <c r="I363" i="5"/>
  <c r="I364" i="5" a="1"/>
  <c r="I364" i="5" s="1"/>
  <c r="I365" i="5" a="1"/>
  <c r="I365" i="5"/>
  <c r="I366" i="5" a="1"/>
  <c r="I366" i="5" s="1"/>
  <c r="I367" i="5" a="1"/>
  <c r="I367" i="5"/>
  <c r="I368" i="5" a="1"/>
  <c r="I368" i="5"/>
  <c r="I369" i="5" a="1"/>
  <c r="I369" i="5"/>
  <c r="I370" i="5" a="1"/>
  <c r="I370" i="5"/>
  <c r="I371" i="5" a="1"/>
  <c r="I371" i="5" s="1"/>
  <c r="I372" i="5" a="1"/>
  <c r="I372" i="5" s="1"/>
  <c r="I373" i="5" a="1"/>
  <c r="I373" i="5" s="1"/>
  <c r="I374" i="5" a="1"/>
  <c r="I374" i="5" s="1"/>
  <c r="I375" i="5" a="1"/>
  <c r="I375" i="5"/>
  <c r="I376" i="5" a="1"/>
  <c r="I376" i="5"/>
  <c r="I377" i="5" a="1"/>
  <c r="I377" i="5"/>
  <c r="I378" i="5" a="1"/>
  <c r="I378" i="5" s="1"/>
  <c r="I379" i="5" a="1"/>
  <c r="I379" i="5"/>
  <c r="I380" i="5" a="1"/>
  <c r="I380" i="5" s="1"/>
  <c r="I381" i="5" a="1"/>
  <c r="I381" i="5"/>
  <c r="I382" i="5" a="1"/>
  <c r="I382" i="5" s="1"/>
  <c r="I383" i="5" a="1"/>
  <c r="I383" i="5" s="1"/>
  <c r="I384" i="5" a="1"/>
  <c r="I384" i="5"/>
  <c r="I385" i="5" a="1"/>
  <c r="I385" i="5" s="1"/>
  <c r="I386" i="5" a="1"/>
  <c r="I386" i="5"/>
  <c r="I387" i="5" a="1"/>
  <c r="I387" i="5"/>
  <c r="I388" i="5" a="1"/>
  <c r="I388" i="5" s="1"/>
  <c r="I389" i="5" a="1"/>
  <c r="I389" i="5"/>
  <c r="I390" i="5" a="1"/>
  <c r="I390" i="5"/>
  <c r="I391" i="5" a="1"/>
  <c r="I391" i="5" s="1"/>
  <c r="I392" i="5" a="1"/>
  <c r="I392" i="5"/>
  <c r="I393" i="5" a="1"/>
  <c r="I393" i="5"/>
  <c r="I394" i="5" a="1"/>
  <c r="I394" i="5"/>
  <c r="I395" i="5" a="1"/>
  <c r="I395" i="5" s="1"/>
  <c r="I396" i="5" a="1"/>
  <c r="I396" i="5" s="1"/>
  <c r="I397" i="5" a="1"/>
  <c r="I397" i="5" s="1"/>
  <c r="I398" i="5" a="1"/>
  <c r="I398" i="5"/>
  <c r="I399" i="5" a="1"/>
  <c r="I399" i="5"/>
  <c r="I400" i="5" a="1"/>
  <c r="I400" i="5" s="1"/>
  <c r="I401" i="5" a="1"/>
  <c r="I401" i="5" s="1"/>
  <c r="I402" i="5" a="1"/>
  <c r="I402" i="5" s="1"/>
  <c r="I403" i="5" a="1"/>
  <c r="I403" i="5"/>
  <c r="I404" i="5" a="1"/>
  <c r="I404" i="5" s="1"/>
  <c r="I405" i="5" a="1"/>
  <c r="I405" i="5"/>
  <c r="I406" i="5" a="1"/>
  <c r="I406" i="5"/>
  <c r="I407" i="5" a="1"/>
  <c r="I407" i="5" s="1"/>
  <c r="I408" i="5" a="1"/>
  <c r="I408" i="5"/>
  <c r="I409" i="5" a="1"/>
  <c r="I409" i="5"/>
  <c r="I410" i="5" a="1"/>
  <c r="I410" i="5"/>
  <c r="I411" i="5" a="1"/>
  <c r="I411" i="5"/>
  <c r="I412" i="5" a="1"/>
  <c r="I412" i="5" s="1"/>
  <c r="I413" i="5" a="1"/>
  <c r="I413" i="5"/>
  <c r="I414" i="5" a="1"/>
  <c r="I414" i="5" s="1"/>
  <c r="I415" i="5" a="1"/>
  <c r="I415" i="5"/>
  <c r="I416" i="5" a="1"/>
  <c r="I416" i="5" s="1"/>
  <c r="I417" i="5" a="1"/>
  <c r="I417" i="5" s="1"/>
  <c r="I418" i="5" a="1"/>
  <c r="I418" i="5"/>
  <c r="I419" i="5" a="1"/>
  <c r="I419" i="5" s="1"/>
  <c r="I420" i="5" a="1"/>
  <c r="I420" i="5" s="1"/>
  <c r="I421" i="5" a="1"/>
  <c r="I421" i="5" s="1"/>
  <c r="I422" i="5" a="1"/>
  <c r="I422" i="5"/>
  <c r="I423" i="5" a="1"/>
  <c r="I423" i="5"/>
  <c r="I424" i="5" a="1"/>
  <c r="I424" i="5"/>
  <c r="I425" i="5" a="1"/>
  <c r="I425" i="5"/>
  <c r="I426" i="5" a="1"/>
  <c r="I426" i="5"/>
  <c r="I427" i="5" a="1"/>
  <c r="I427" i="5"/>
  <c r="I428" i="5" a="1"/>
  <c r="I428" i="5" s="1"/>
  <c r="I429" i="5" a="1"/>
  <c r="I429" i="5"/>
  <c r="I430" i="5" a="1"/>
  <c r="I430" i="5"/>
  <c r="I431" i="5" a="1"/>
  <c r="I431" i="5" s="1"/>
  <c r="I432" i="5" a="1"/>
  <c r="I432" i="5"/>
  <c r="I433" i="5" a="1"/>
  <c r="I433" i="5"/>
  <c r="I434" i="5" a="1"/>
  <c r="I434" i="5" s="1"/>
  <c r="I435" i="5" a="1"/>
  <c r="I435" i="5" s="1"/>
  <c r="I436" i="5" a="1"/>
  <c r="I436" i="5" s="1"/>
  <c r="I437" i="5" a="1"/>
  <c r="I437" i="5"/>
  <c r="I438" i="5" a="1"/>
  <c r="I438" i="5" s="1"/>
  <c r="I439" i="5" a="1"/>
  <c r="I439" i="5"/>
  <c r="I440" i="5" a="1"/>
  <c r="I440" i="5"/>
  <c r="I441" i="5" a="1"/>
  <c r="I441" i="5" s="1"/>
  <c r="I442" i="5" a="1"/>
  <c r="I442" i="5"/>
  <c r="I443" i="5" a="1"/>
  <c r="I443" i="5"/>
  <c r="I444" i="5" a="1"/>
  <c r="I444" i="5" s="1"/>
  <c r="I445" i="5" a="1"/>
  <c r="I445" i="5"/>
  <c r="I446" i="5" a="1"/>
  <c r="I446" i="5"/>
  <c r="I447" i="5" a="1"/>
  <c r="I447" i="5"/>
  <c r="I448" i="5" a="1"/>
  <c r="I448" i="5" s="1"/>
  <c r="I449" i="5" a="1"/>
  <c r="I449" i="5"/>
  <c r="I450" i="5" a="1"/>
  <c r="I450" i="5" s="1"/>
  <c r="I451" i="5" a="1"/>
  <c r="I451" i="5" s="1"/>
  <c r="I452" i="5" a="1"/>
  <c r="I452" i="5" s="1"/>
  <c r="I453" i="5" a="1"/>
  <c r="I453" i="5"/>
  <c r="I454" i="5" a="1"/>
  <c r="I454" i="5" s="1"/>
  <c r="I455" i="5" a="1"/>
  <c r="I455" i="5" s="1"/>
  <c r="I456" i="5" a="1"/>
  <c r="I456" i="5"/>
  <c r="I457" i="5" a="1"/>
  <c r="I457" i="5"/>
  <c r="I458" i="5" a="1"/>
  <c r="I458" i="5" s="1"/>
  <c r="I459" i="5" a="1"/>
  <c r="I459" i="5"/>
  <c r="I460" i="5" a="1"/>
  <c r="I460" i="5" s="1"/>
  <c r="I461" i="5" a="1"/>
  <c r="I461" i="5"/>
  <c r="I462" i="5" a="1"/>
  <c r="I462" i="5"/>
  <c r="I463" i="5" a="1"/>
  <c r="I463" i="5" s="1"/>
  <c r="I464" i="5" a="1"/>
  <c r="I464" i="5"/>
  <c r="I465" i="5" a="1"/>
  <c r="I465" i="5" s="1"/>
  <c r="I466" i="5" a="1"/>
  <c r="I466" i="5"/>
  <c r="I467" i="5" a="1"/>
  <c r="I467" i="5" s="1"/>
  <c r="I468" i="5" a="1"/>
  <c r="I468" i="5" s="1"/>
  <c r="I469" i="5" a="1"/>
  <c r="I469" i="5"/>
  <c r="I470" i="5" a="1"/>
  <c r="I470" i="5"/>
  <c r="I471" i="5" a="1"/>
  <c r="I471" i="5"/>
  <c r="I472" i="5" a="1"/>
  <c r="I472" i="5" s="1"/>
  <c r="I473" i="5" a="1"/>
  <c r="I473" i="5"/>
  <c r="I474" i="5" a="1"/>
  <c r="I474" i="5"/>
  <c r="I475" i="5" a="1"/>
  <c r="I475" i="5" s="1"/>
  <c r="I476" i="5" a="1"/>
  <c r="I476" i="5" s="1"/>
  <c r="I477" i="5" a="1"/>
  <c r="I477" i="5" s="1"/>
  <c r="I478" i="5" a="1"/>
  <c r="I478" i="5"/>
  <c r="I479" i="5" a="1"/>
  <c r="I479" i="5"/>
  <c r="I480" i="5" a="1"/>
  <c r="I480" i="5"/>
  <c r="I481" i="5" a="1"/>
  <c r="I481" i="5"/>
  <c r="I482" i="5" a="1"/>
  <c r="I482" i="5" s="1"/>
  <c r="I483" i="5" a="1"/>
  <c r="I483" i="5"/>
  <c r="I484" i="5" a="1"/>
  <c r="I484" i="5" s="1"/>
  <c r="I485" i="5" a="1"/>
  <c r="I485" i="5" s="1"/>
  <c r="I486" i="5" a="1"/>
  <c r="I486" i="5"/>
  <c r="I487" i="5" a="1"/>
  <c r="I487" i="5"/>
  <c r="I488" i="5" a="1"/>
  <c r="I488" i="5"/>
  <c r="I489" i="5" a="1"/>
  <c r="I489" i="5" s="1"/>
  <c r="I490" i="5" a="1"/>
  <c r="I490" i="5"/>
  <c r="I491" i="5" a="1"/>
  <c r="I491" i="5"/>
  <c r="I492" i="5" a="1"/>
  <c r="I492" i="5" s="1"/>
  <c r="I493" i="5" a="1"/>
  <c r="I493" i="5"/>
  <c r="I494" i="5" a="1"/>
  <c r="I494" i="5" s="1"/>
  <c r="I495" i="5" a="1"/>
  <c r="I495" i="5"/>
  <c r="I496" i="5" a="1"/>
  <c r="I496" i="5"/>
  <c r="I497" i="5" a="1"/>
  <c r="I497" i="5" s="1"/>
  <c r="I498" i="5" a="1"/>
  <c r="I498" i="5"/>
  <c r="I499" i="5" a="1"/>
  <c r="I499" i="5" s="1"/>
  <c r="I500" i="5" a="1"/>
  <c r="I500" i="5" s="1"/>
  <c r="I501" i="5" a="1"/>
  <c r="I501" i="5" s="1"/>
  <c r="I502" i="5" a="1"/>
  <c r="I502" i="5"/>
  <c r="I503" i="5" a="1"/>
  <c r="I503" i="5"/>
  <c r="I504" i="5" a="1"/>
  <c r="I504" i="5"/>
  <c r="I505" i="5" a="1"/>
  <c r="I505" i="5"/>
  <c r="I506" i="5" a="1"/>
  <c r="I506" i="5" s="1"/>
  <c r="I507" i="5" a="1"/>
  <c r="I507" i="5"/>
  <c r="I508" i="5" a="1"/>
  <c r="I508" i="5" s="1"/>
  <c r="I509" i="5" a="1"/>
  <c r="I509" i="5"/>
  <c r="I510" i="5" a="1"/>
  <c r="I510" i="5" s="1"/>
  <c r="I511" i="5" a="1"/>
  <c r="I511" i="5" s="1"/>
  <c r="I512" i="5" a="1"/>
  <c r="I512" i="5"/>
  <c r="I513" i="5" a="1"/>
  <c r="I513" i="5" s="1"/>
  <c r="I514" i="5" a="1"/>
  <c r="I514" i="5" s="1"/>
  <c r="I515" i="5" a="1"/>
  <c r="I515" i="5"/>
  <c r="I516" i="5" a="1"/>
  <c r="I516" i="5" s="1"/>
  <c r="I517" i="5" a="1"/>
  <c r="I517" i="5"/>
  <c r="I518" i="5" a="1"/>
  <c r="I518" i="5"/>
  <c r="I519" i="5" a="1"/>
  <c r="I519" i="5" s="1"/>
  <c r="I520" i="5" a="1"/>
  <c r="I520" i="5"/>
  <c r="I521" i="5" a="1"/>
  <c r="I521" i="5"/>
  <c r="I522" i="5" a="1"/>
  <c r="I522" i="5"/>
  <c r="I523" i="5" a="1"/>
  <c r="I523" i="5" s="1"/>
  <c r="I524" i="5" a="1"/>
  <c r="I524" i="5" s="1"/>
  <c r="I525" i="5" a="1"/>
  <c r="I525" i="5" s="1"/>
  <c r="I526" i="5" a="1"/>
  <c r="I526" i="5"/>
  <c r="I527" i="5" a="1"/>
  <c r="I527" i="5"/>
  <c r="I528" i="5" a="1"/>
  <c r="I528" i="5"/>
  <c r="I529" i="5" a="1"/>
  <c r="I529" i="5"/>
  <c r="I530" i="5" a="1"/>
  <c r="I530" i="5"/>
  <c r="I531" i="5" a="1"/>
  <c r="I531" i="5" s="1"/>
  <c r="I532" i="5" a="1"/>
  <c r="I532" i="5" s="1"/>
  <c r="I533" i="5" a="1"/>
  <c r="I533" i="5"/>
  <c r="I534" i="5" a="1"/>
  <c r="I534" i="5"/>
  <c r="I535" i="5" a="1"/>
  <c r="I535" i="5"/>
  <c r="I536" i="5" a="1"/>
  <c r="I536" i="5"/>
  <c r="I537" i="5" a="1"/>
  <c r="I537" i="5" s="1"/>
  <c r="I538" i="5" a="1"/>
  <c r="I538" i="5"/>
  <c r="I539" i="5" a="1"/>
  <c r="I539" i="5"/>
  <c r="I540" i="5" a="1"/>
  <c r="I540" i="5" s="1"/>
  <c r="I541" i="5" a="1"/>
  <c r="I541" i="5"/>
  <c r="I542" i="5" a="1"/>
  <c r="I542" i="5" s="1"/>
  <c r="I543" i="5" a="1"/>
  <c r="I543" i="5"/>
  <c r="I544" i="5" a="1"/>
  <c r="I544" i="5"/>
  <c r="I545" i="5" a="1"/>
  <c r="I545" i="5"/>
  <c r="I546" i="5" a="1"/>
  <c r="I546" i="5" s="1"/>
  <c r="I547" i="5" a="1"/>
  <c r="I547" i="5"/>
  <c r="I548" i="5" a="1"/>
  <c r="I548" i="5" s="1"/>
  <c r="I549" i="5" a="1"/>
  <c r="I549" i="5" s="1"/>
  <c r="I550" i="5" a="1"/>
  <c r="I550" i="5"/>
  <c r="I551" i="5" a="1"/>
  <c r="I551" i="5"/>
  <c r="I552" i="5" a="1"/>
  <c r="I552" i="5" s="1"/>
  <c r="I553" i="5" a="1"/>
  <c r="I553" i="5"/>
  <c r="I554" i="5" a="1"/>
  <c r="I554" i="5"/>
  <c r="I555" i="5" a="1"/>
  <c r="I555" i="5" s="1"/>
  <c r="I556" i="5" a="1"/>
  <c r="I556" i="5" s="1"/>
  <c r="I557" i="5" a="1"/>
  <c r="I557" i="5"/>
  <c r="I558" i="5" a="1"/>
  <c r="I558" i="5"/>
  <c r="I559" i="5" a="1"/>
  <c r="I559" i="5" s="1"/>
  <c r="I560" i="5" a="1"/>
  <c r="I560" i="5"/>
  <c r="I561" i="5" a="1"/>
  <c r="I561" i="5" s="1"/>
  <c r="I562" i="5" a="1"/>
  <c r="I562" i="5"/>
  <c r="I563" i="5" a="1"/>
  <c r="I563" i="5"/>
  <c r="I564" i="5" a="1"/>
  <c r="I564" i="5" s="1"/>
  <c r="I565" i="5" a="1"/>
  <c r="I565" i="5"/>
  <c r="I566" i="5" a="1"/>
  <c r="I566" i="5" s="1"/>
  <c r="I567" i="5" a="1"/>
  <c r="I567" i="5"/>
  <c r="I568" i="5" a="1"/>
  <c r="I568" i="5"/>
  <c r="I569" i="5" a="1"/>
  <c r="I569" i="5"/>
  <c r="I570" i="5" a="1"/>
  <c r="I570" i="5" s="1"/>
  <c r="I571" i="5" a="1"/>
  <c r="I571" i="5"/>
  <c r="I572" i="5" a="1"/>
  <c r="I572" i="5" s="1"/>
  <c r="I573" i="5" a="1"/>
  <c r="I573" i="5"/>
  <c r="I574" i="5" a="1"/>
  <c r="I574" i="5"/>
  <c r="I575" i="5" a="1"/>
  <c r="I575" i="5"/>
  <c r="I576" i="5" a="1"/>
  <c r="I576" i="5" s="1"/>
  <c r="I577" i="5" a="1"/>
  <c r="I577" i="5"/>
  <c r="I578" i="5" a="1"/>
  <c r="I578" i="5"/>
  <c r="I579" i="5" a="1"/>
  <c r="I579" i="5" s="1"/>
  <c r="I580" i="5" a="1"/>
  <c r="I580" i="5" s="1"/>
  <c r="I581" i="5" a="1"/>
  <c r="I581" i="5"/>
  <c r="I582" i="5" a="1"/>
  <c r="I582" i="5"/>
  <c r="I583" i="5" a="1"/>
  <c r="I583" i="5" s="1"/>
  <c r="I584" i="5" a="1"/>
  <c r="I584" i="5"/>
  <c r="I585" i="5" a="1"/>
  <c r="I585" i="5"/>
  <c r="I586" i="5" a="1"/>
  <c r="I586" i="5"/>
  <c r="I587" i="5" a="1"/>
  <c r="I587" i="5"/>
  <c r="I588" i="5" a="1"/>
  <c r="I588" i="5" s="1"/>
  <c r="I589" i="5" a="1"/>
  <c r="I589" i="5"/>
  <c r="I590" i="5" a="1"/>
  <c r="I590" i="5"/>
  <c r="I591" i="5" a="1"/>
  <c r="I591" i="5"/>
  <c r="I592" i="5" a="1"/>
  <c r="I592" i="5" s="1"/>
  <c r="I593" i="5" a="1"/>
  <c r="I593" i="5" s="1"/>
  <c r="I594" i="5" a="1"/>
  <c r="I594" i="5"/>
  <c r="I595" i="5" a="1"/>
  <c r="I595" i="5" s="1"/>
  <c r="I596" i="5" a="1"/>
  <c r="I596" i="5" s="1"/>
  <c r="I597" i="5" a="1"/>
  <c r="I597" i="5"/>
  <c r="I598" i="5" a="1"/>
  <c r="I598" i="5" s="1"/>
  <c r="I599" i="5" a="1"/>
  <c r="I599" i="5"/>
  <c r="I600" i="5" a="1"/>
  <c r="I600" i="5" s="1"/>
  <c r="I601" i="5" a="1"/>
  <c r="I601" i="5"/>
  <c r="I602" i="5" a="1"/>
  <c r="I602" i="5"/>
  <c r="I603" i="5" a="1"/>
  <c r="I603" i="5"/>
  <c r="I604" i="5" a="1"/>
  <c r="I604" i="5" s="1"/>
  <c r="I605" i="5" a="1"/>
  <c r="I605" i="5"/>
  <c r="I606" i="5" a="1"/>
  <c r="I606" i="5"/>
  <c r="I607" i="5" a="1"/>
  <c r="I607" i="5" s="1"/>
  <c r="I608" i="5" a="1"/>
  <c r="I608" i="5"/>
  <c r="I609" i="5" a="1"/>
  <c r="I609" i="5" s="1"/>
  <c r="I610" i="5" a="1"/>
  <c r="I610" i="5" s="1"/>
  <c r="I611" i="5" a="1"/>
  <c r="I611" i="5"/>
  <c r="I612" i="5" a="1"/>
  <c r="I612" i="5" s="1"/>
  <c r="I613" i="5" a="1"/>
  <c r="I613" i="5"/>
  <c r="I614" i="5" a="1"/>
  <c r="I614" i="5" s="1"/>
  <c r="I615" i="5" a="1"/>
  <c r="I615" i="5" s="1"/>
  <c r="I616" i="5" a="1"/>
  <c r="I616" i="5"/>
  <c r="I617" i="5" a="1"/>
  <c r="I617" i="5" s="1"/>
  <c r="I618" i="5" a="1"/>
  <c r="I618" i="5" s="1"/>
  <c r="I619" i="5" a="1"/>
  <c r="I619" i="5"/>
  <c r="I620" i="5" a="1"/>
  <c r="I620" i="5" s="1"/>
  <c r="I621" i="5" a="1"/>
  <c r="I621" i="5" s="1"/>
  <c r="I622" i="5" a="1"/>
  <c r="I622" i="5"/>
  <c r="I623" i="5" a="1"/>
  <c r="I623" i="5"/>
  <c r="I624" i="5" a="1"/>
  <c r="I624" i="5"/>
  <c r="I625" i="5" a="1"/>
  <c r="I625" i="5"/>
  <c r="I626" i="5" a="1"/>
  <c r="I626" i="5" s="1"/>
  <c r="I627" i="5" a="1"/>
  <c r="I627" i="5" s="1"/>
  <c r="I628" i="5" a="1"/>
  <c r="I628" i="5" s="1"/>
  <c r="I629" i="5" a="1"/>
  <c r="I629" i="5"/>
  <c r="I630" i="5" a="1"/>
  <c r="I630" i="5"/>
  <c r="I631" i="5" a="1"/>
  <c r="I631" i="5"/>
  <c r="I632" i="5" a="1"/>
  <c r="I632" i="5"/>
  <c r="I633" i="5" a="1"/>
  <c r="I633" i="5" s="1"/>
  <c r="I634" i="5" a="1"/>
  <c r="I634" i="5" s="1"/>
  <c r="I635" i="5" a="1"/>
  <c r="I635" i="5"/>
  <c r="I636" i="5" a="1"/>
  <c r="I636" i="5" s="1"/>
  <c r="I637" i="5" a="1"/>
  <c r="I637" i="5"/>
  <c r="I638" i="5" a="1"/>
  <c r="I638" i="5"/>
  <c r="I639" i="5" a="1"/>
  <c r="I639" i="5"/>
  <c r="I640" i="5" a="1"/>
  <c r="I640" i="5"/>
  <c r="I641" i="5" a="1"/>
  <c r="I641" i="5"/>
  <c r="I642" i="5" a="1"/>
  <c r="I642" i="5" s="1"/>
  <c r="I643" i="5" a="1"/>
  <c r="I643" i="5" s="1"/>
  <c r="I644" i="5" a="1"/>
  <c r="I644" i="5" s="1"/>
  <c r="I645" i="5" a="1"/>
  <c r="I645" i="5"/>
  <c r="I646" i="5" a="1"/>
  <c r="I646" i="5"/>
  <c r="I647" i="5" a="1"/>
  <c r="I647" i="5"/>
  <c r="I648" i="5" a="1"/>
  <c r="I648" i="5"/>
  <c r="I649" i="5" a="1"/>
  <c r="I649" i="5"/>
  <c r="I650" i="5" a="1"/>
  <c r="I650" i="5"/>
  <c r="I651" i="5" a="1"/>
  <c r="I651" i="5" s="1"/>
  <c r="I652" i="5" a="1"/>
  <c r="I652" i="5" s="1"/>
  <c r="I653" i="5" a="1"/>
  <c r="I653" i="5" s="1"/>
  <c r="I654" i="5" a="1"/>
  <c r="I654" i="5"/>
  <c r="I655" i="5" a="1"/>
  <c r="I655" i="5" s="1"/>
  <c r="I656" i="5" a="1"/>
  <c r="I656" i="5"/>
  <c r="I657" i="5" a="1"/>
  <c r="I657" i="5"/>
  <c r="I658" i="5" a="1"/>
  <c r="I658" i="5" s="1"/>
  <c r="I659" i="5" a="1"/>
  <c r="I659" i="5"/>
  <c r="I660" i="5" a="1"/>
  <c r="I660" i="5" s="1"/>
  <c r="I661" i="5" a="1"/>
  <c r="I661" i="5"/>
  <c r="I662" i="5" a="1"/>
  <c r="I662" i="5"/>
  <c r="I663" i="5" a="1"/>
  <c r="I663" i="5"/>
  <c r="I664" i="5" a="1"/>
  <c r="I664" i="5"/>
  <c r="I665" i="5" a="1"/>
  <c r="I665" i="5"/>
  <c r="I666" i="5" a="1"/>
  <c r="I666" i="5"/>
  <c r="I667" i="5" a="1"/>
  <c r="I667" i="5"/>
  <c r="I668" i="5" a="1"/>
  <c r="I668" i="5" s="1"/>
  <c r="I669" i="5" a="1"/>
  <c r="I669" i="5" s="1"/>
  <c r="I670" i="5" a="1"/>
  <c r="I670" i="5" s="1"/>
  <c r="I671" i="5" a="1"/>
  <c r="I671" i="5"/>
  <c r="I672" i="5" a="1"/>
  <c r="I672" i="5"/>
  <c r="I673" i="5" a="1"/>
  <c r="I673" i="5" s="1"/>
  <c r="I674" i="5" a="1"/>
  <c r="I674" i="5"/>
  <c r="I675" i="5" a="1"/>
  <c r="I675" i="5"/>
  <c r="I676" i="5" a="1"/>
  <c r="I676" i="5" s="1"/>
  <c r="I677" i="5" a="1"/>
  <c r="I677" i="5" s="1"/>
  <c r="I678" i="5" a="1"/>
  <c r="I678" i="5"/>
  <c r="I679" i="5" a="1"/>
  <c r="I679" i="5"/>
  <c r="I680" i="5" a="1"/>
  <c r="I680" i="5"/>
  <c r="I681" i="5" a="1"/>
  <c r="I681" i="5"/>
  <c r="I682" i="5" a="1"/>
  <c r="I682" i="5" s="1"/>
  <c r="I683" i="5" a="1"/>
  <c r="I683" i="5"/>
  <c r="I684" i="5" a="1"/>
  <c r="I684" i="5"/>
  <c r="I685" i="5" a="1"/>
  <c r="I685" i="5" s="1"/>
  <c r="I686" i="5" a="1"/>
  <c r="I686" i="5"/>
  <c r="I687" i="5" a="1"/>
  <c r="I687" i="5"/>
  <c r="I688" i="5" a="1"/>
  <c r="I688" i="5" s="1"/>
  <c r="I689" i="5" a="1"/>
  <c r="I689" i="5" s="1"/>
  <c r="I690" i="5" a="1"/>
  <c r="I690" i="5"/>
  <c r="I691" i="5" a="1"/>
  <c r="I691" i="5"/>
  <c r="I692" i="5" a="1"/>
  <c r="I692" i="5"/>
  <c r="I693" i="5" a="1"/>
  <c r="I693" i="5" s="1"/>
  <c r="I694" i="5" a="1"/>
  <c r="I694" i="5"/>
  <c r="I695" i="5" a="1"/>
  <c r="I695" i="5"/>
  <c r="I696" i="5" a="1"/>
  <c r="I696" i="5"/>
  <c r="I697" i="5" a="1"/>
  <c r="I697" i="5"/>
  <c r="I698" i="5" a="1"/>
  <c r="I698" i="5"/>
  <c r="I699" i="5" a="1"/>
  <c r="I699" i="5" s="1"/>
  <c r="I700" i="5" a="1"/>
  <c r="I700" i="5"/>
  <c r="I701" i="5" a="1"/>
  <c r="I701" i="5" s="1"/>
  <c r="I702" i="5" a="1"/>
  <c r="I702" i="5"/>
  <c r="I703" i="5" a="1"/>
  <c r="I703" i="5"/>
  <c r="I704" i="5" a="1"/>
  <c r="I704" i="5"/>
  <c r="I705" i="5" a="1"/>
  <c r="I705" i="5" s="1"/>
  <c r="I706" i="5" a="1"/>
  <c r="I706" i="5" s="1"/>
  <c r="I707" i="5" a="1"/>
  <c r="I707" i="5"/>
  <c r="I708" i="5" a="1"/>
  <c r="I708" i="5"/>
  <c r="I709" i="5" a="1"/>
  <c r="I709" i="5" s="1"/>
  <c r="I710" i="5" a="1"/>
  <c r="I710" i="5"/>
  <c r="I711" i="5" a="1"/>
  <c r="I711" i="5"/>
  <c r="I712" i="5" a="1"/>
  <c r="I712" i="5"/>
  <c r="I713" i="5" a="1"/>
  <c r="I713" i="5"/>
  <c r="I714" i="5" a="1"/>
  <c r="I714" i="5"/>
  <c r="I715" i="5" a="1"/>
  <c r="I715" i="5"/>
  <c r="I716" i="5" a="1"/>
  <c r="I716" i="5" s="1"/>
  <c r="I717" i="5" a="1"/>
  <c r="I717" i="5" s="1"/>
  <c r="I718" i="5" a="1"/>
  <c r="I718" i="5"/>
  <c r="I719" i="5" a="1"/>
  <c r="I719" i="5"/>
  <c r="I720" i="5" a="1"/>
  <c r="I720" i="5"/>
  <c r="I721" i="5" a="1"/>
  <c r="I721" i="5"/>
  <c r="I722" i="5" a="1"/>
  <c r="I722" i="5" s="1"/>
  <c r="I723" i="5" a="1"/>
  <c r="I723" i="5" s="1"/>
  <c r="I724" i="5" a="1"/>
  <c r="I724" i="5"/>
  <c r="I725" i="5" a="1"/>
  <c r="I725" i="5" s="1"/>
  <c r="I726" i="5" a="1"/>
  <c r="I726" i="5"/>
  <c r="I727" i="5" a="1"/>
  <c r="I727" i="5"/>
  <c r="I728" i="5" a="1"/>
  <c r="I728" i="5" s="1"/>
  <c r="I729" i="5" a="1"/>
  <c r="I729" i="5"/>
  <c r="I730" i="5" a="1"/>
  <c r="I730" i="5"/>
  <c r="I731" i="5" a="1"/>
  <c r="I731" i="5"/>
  <c r="I732" i="5" a="1"/>
  <c r="I732" i="5"/>
  <c r="I733" i="5" a="1"/>
  <c r="I733" i="5" s="1"/>
  <c r="I734" i="5" a="1"/>
  <c r="I734" i="5"/>
  <c r="I735" i="5" a="1"/>
  <c r="I735" i="5"/>
  <c r="I736" i="5" a="1"/>
  <c r="I736" i="5"/>
  <c r="I737" i="5" a="1"/>
  <c r="I737" i="5"/>
  <c r="I738" i="5" a="1"/>
  <c r="I738" i="5"/>
  <c r="I739" i="5" a="1"/>
  <c r="I739" i="5" s="1"/>
  <c r="I740" i="5" a="1"/>
  <c r="I740" i="5" s="1"/>
  <c r="I741" i="5" a="1"/>
  <c r="I741" i="5" s="1"/>
  <c r="I742" i="5" a="1"/>
  <c r="I742" i="5"/>
  <c r="I743" i="5" a="1"/>
  <c r="I743" i="5"/>
  <c r="I744" i="5" a="1"/>
  <c r="I744" i="5"/>
  <c r="I745" i="5" a="1"/>
  <c r="I745" i="5" s="1"/>
  <c r="I746" i="5" a="1"/>
  <c r="I746" i="5"/>
  <c r="I747" i="5" a="1"/>
  <c r="I747" i="5"/>
  <c r="I748" i="5" a="1"/>
  <c r="I748" i="5"/>
  <c r="I749" i="5" a="1"/>
  <c r="I749" i="5" s="1"/>
  <c r="I750" i="5" a="1"/>
  <c r="I750" i="5"/>
  <c r="I751" i="5" a="1"/>
  <c r="I751" i="5"/>
  <c r="I752" i="5" a="1"/>
  <c r="I752" i="5"/>
  <c r="I753" i="5" a="1"/>
  <c r="I753" i="5"/>
  <c r="I754" i="5" a="1"/>
  <c r="I754" i="5"/>
  <c r="I755" i="5" a="1"/>
  <c r="I755" i="5"/>
  <c r="I756" i="5" a="1"/>
  <c r="I756" i="5" s="1"/>
  <c r="I757" i="5" a="1"/>
  <c r="I757" i="5" s="1"/>
  <c r="I758" i="5" a="1"/>
  <c r="I758" i="5"/>
  <c r="I759" i="5" a="1"/>
  <c r="I759" i="5"/>
  <c r="I760" i="5" a="1"/>
  <c r="I760" i="5"/>
  <c r="I761" i="5" a="1"/>
  <c r="I761" i="5"/>
  <c r="I762" i="5" a="1"/>
  <c r="I762" i="5" s="1"/>
  <c r="I763" i="5" a="1"/>
  <c r="I763" i="5"/>
  <c r="I764" i="5" a="1"/>
  <c r="I764" i="5"/>
  <c r="I765" i="5" a="1"/>
  <c r="I765" i="5" s="1"/>
  <c r="I766" i="5" a="1"/>
  <c r="I766" i="5"/>
  <c r="I767" i="5" a="1"/>
  <c r="I767" i="5"/>
  <c r="I768" i="5" a="1"/>
  <c r="I768" i="5"/>
  <c r="I769" i="5" a="1"/>
  <c r="I769" i="5"/>
  <c r="I770" i="5" a="1"/>
  <c r="I770" i="5"/>
  <c r="I771" i="5" a="1"/>
  <c r="I771" i="5"/>
  <c r="I772" i="5" a="1"/>
  <c r="I772" i="5"/>
  <c r="I773" i="5" a="1"/>
  <c r="I773" i="5" s="1"/>
  <c r="I774" i="5" a="1"/>
  <c r="I774" i="5"/>
  <c r="I775" i="5" a="1"/>
  <c r="I775" i="5"/>
  <c r="I776" i="5" a="1"/>
  <c r="I776" i="5" s="1"/>
  <c r="I777" i="5" a="1"/>
  <c r="I777" i="5"/>
  <c r="I778" i="5" a="1"/>
  <c r="I778" i="5"/>
  <c r="I779" i="5" a="1"/>
  <c r="I779" i="5" s="1"/>
  <c r="I780" i="5" a="1"/>
  <c r="I780" i="5"/>
  <c r="I781" i="5" a="1"/>
  <c r="I781" i="5" s="1"/>
  <c r="I782" i="5" a="1"/>
  <c r="I782" i="5"/>
  <c r="I783" i="5" a="1"/>
  <c r="I783" i="5"/>
  <c r="I784" i="5" a="1"/>
  <c r="I784" i="5"/>
  <c r="I785" i="5" a="1"/>
  <c r="I785" i="5"/>
  <c r="I786" i="5" a="1"/>
  <c r="I786" i="5"/>
  <c r="I787" i="5" a="1"/>
  <c r="I787" i="5"/>
  <c r="I788" i="5" a="1"/>
  <c r="I788" i="5"/>
  <c r="I789" i="5" a="1"/>
  <c r="I789" i="5" s="1"/>
  <c r="I790" i="5" a="1"/>
  <c r="I790" i="5"/>
  <c r="I791" i="5" a="1"/>
  <c r="I791" i="5"/>
  <c r="I792" i="5" a="1"/>
  <c r="I792" i="5"/>
  <c r="I793" i="5" a="1"/>
  <c r="I793" i="5" s="1"/>
  <c r="I794" i="5" a="1"/>
  <c r="I794" i="5"/>
  <c r="I795" i="5" a="1"/>
  <c r="I795" i="5"/>
  <c r="I796" i="5" a="1"/>
  <c r="I796" i="5" s="1"/>
  <c r="I797" i="5" a="1"/>
  <c r="I797" i="5" s="1"/>
  <c r="I798" i="5" a="1"/>
  <c r="I798" i="5"/>
  <c r="I799" i="5" a="1"/>
  <c r="I799" i="5"/>
  <c r="I800" i="5" a="1"/>
  <c r="I800" i="5" s="1"/>
  <c r="I801" i="5" a="1"/>
  <c r="I801" i="5"/>
  <c r="I802" i="5" a="1"/>
  <c r="I802" i="5"/>
  <c r="I803" i="5" a="1"/>
  <c r="I803" i="5"/>
  <c r="I804" i="5" a="1"/>
  <c r="I804" i="5"/>
  <c r="I805" i="5" a="1"/>
  <c r="I805" i="5" s="1"/>
  <c r="I806" i="5" a="1"/>
  <c r="I806" i="5"/>
  <c r="I807" i="5" a="1"/>
  <c r="I807" i="5"/>
  <c r="I808" i="5" a="1"/>
  <c r="I808" i="5"/>
  <c r="I809" i="5" a="1"/>
  <c r="I809" i="5"/>
  <c r="I810" i="5" a="1"/>
  <c r="I810" i="5" s="1"/>
  <c r="I811" i="5" a="1"/>
  <c r="I811" i="5"/>
  <c r="I812" i="5" a="1"/>
  <c r="I812" i="5"/>
  <c r="I813" i="5" a="1"/>
  <c r="I813" i="5" s="1"/>
  <c r="I814" i="5" a="1"/>
  <c r="I814" i="5"/>
  <c r="I815" i="5" a="1"/>
  <c r="I815" i="5"/>
  <c r="I816" i="5" a="1"/>
  <c r="I816" i="5" s="1"/>
  <c r="I817" i="5" a="1"/>
  <c r="I817" i="5" s="1"/>
  <c r="I818" i="5" a="1"/>
  <c r="I818" i="5"/>
  <c r="I819" i="5" a="1"/>
  <c r="I819" i="5"/>
  <c r="I820" i="5" a="1"/>
  <c r="I820" i="5"/>
  <c r="I821" i="5" a="1"/>
  <c r="I821" i="5" s="1"/>
  <c r="I822" i="5" a="1"/>
  <c r="I822" i="5"/>
  <c r="I823" i="5" a="1"/>
  <c r="I823" i="5"/>
  <c r="I824" i="5" a="1"/>
  <c r="I824" i="5"/>
  <c r="I825" i="5" a="1"/>
  <c r="I825" i="5"/>
  <c r="I826" i="5" a="1"/>
  <c r="I826" i="5"/>
  <c r="I827" i="5" a="1"/>
  <c r="I827" i="5" s="1"/>
  <c r="I828" i="5" a="1"/>
  <c r="I828" i="5"/>
  <c r="I829" i="5" a="1"/>
  <c r="I829" i="5" s="1"/>
  <c r="I830" i="5" a="1"/>
  <c r="I830" i="5"/>
  <c r="I831" i="5" a="1"/>
  <c r="I831" i="5"/>
  <c r="I832" i="5" a="1"/>
  <c r="I832" i="5"/>
  <c r="I833" i="5" a="1"/>
  <c r="I833" i="5" s="1"/>
  <c r="I834" i="5" a="1"/>
  <c r="I834" i="5" s="1"/>
  <c r="I835" i="5" a="1"/>
  <c r="I835" i="5"/>
  <c r="I836" i="5" a="1"/>
  <c r="I836" i="5"/>
  <c r="I837" i="5" a="1"/>
  <c r="I837" i="5" s="1"/>
  <c r="I838" i="5" a="1"/>
  <c r="I838" i="5"/>
  <c r="I839" i="5" a="1"/>
  <c r="I839" i="5"/>
  <c r="I840" i="5" a="1"/>
  <c r="I840" i="5"/>
  <c r="I841" i="5" a="1"/>
  <c r="I841" i="5"/>
  <c r="I842" i="5" a="1"/>
  <c r="I842" i="5"/>
  <c r="I843" i="5" a="1"/>
  <c r="I843" i="5"/>
  <c r="I844" i="5" a="1"/>
  <c r="I844" i="5" s="1"/>
  <c r="I845" i="5" a="1"/>
  <c r="I845" i="5" s="1"/>
  <c r="I846" i="5" a="1"/>
  <c r="I846" i="5"/>
  <c r="I847" i="5" a="1"/>
  <c r="I847" i="5"/>
  <c r="I848" i="5" a="1"/>
  <c r="I848" i="5"/>
  <c r="I849" i="5" a="1"/>
  <c r="I849" i="5"/>
  <c r="I850" i="5" a="1"/>
  <c r="I850" i="5" s="1"/>
  <c r="I851" i="5" a="1"/>
  <c r="I851" i="5" s="1"/>
  <c r="I852" i="5" a="1"/>
  <c r="I852" i="5"/>
  <c r="I853" i="5" a="1"/>
  <c r="I853" i="5" s="1"/>
  <c r="I854" i="5" a="1"/>
  <c r="I854" i="5"/>
  <c r="I855" i="5" a="1"/>
  <c r="I855" i="5"/>
  <c r="I856" i="5" a="1"/>
  <c r="I856" i="5" s="1"/>
  <c r="I857" i="5" a="1"/>
  <c r="I857" i="5"/>
  <c r="I858" i="5" a="1"/>
  <c r="I858" i="5"/>
  <c r="I859" i="5" a="1"/>
  <c r="I859" i="5"/>
  <c r="I860" i="5" a="1"/>
  <c r="I860" i="5"/>
  <c r="I861" i="5" a="1"/>
  <c r="I861" i="5" s="1"/>
  <c r="I862" i="5" a="1"/>
  <c r="I862" i="5"/>
  <c r="I863" i="5" a="1"/>
  <c r="I863" i="5"/>
  <c r="I864" i="5" a="1"/>
  <c r="I864" i="5"/>
  <c r="I865" i="5" a="1"/>
  <c r="I865" i="5"/>
  <c r="I866" i="5" a="1"/>
  <c r="I866" i="5"/>
  <c r="I867" i="5" a="1"/>
  <c r="I867" i="5" s="1"/>
  <c r="I868" i="5" a="1"/>
  <c r="I868" i="5" s="1"/>
  <c r="I869" i="5" a="1"/>
  <c r="I869" i="5" s="1"/>
  <c r="I870" i="5" a="1"/>
  <c r="I870" i="5"/>
  <c r="I871" i="5" a="1"/>
  <c r="I871" i="5"/>
  <c r="I872" i="5" a="1"/>
  <c r="I872" i="5"/>
  <c r="I873" i="5" a="1"/>
  <c r="I873" i="5" s="1"/>
  <c r="I874" i="5" a="1"/>
  <c r="I874" i="5"/>
  <c r="I875" i="5" a="1"/>
  <c r="I875" i="5"/>
  <c r="I876" i="5" a="1"/>
  <c r="I876" i="5"/>
  <c r="I877" i="5" a="1"/>
  <c r="I877" i="5" s="1"/>
  <c r="I878" i="5" a="1"/>
  <c r="I878" i="5"/>
  <c r="I879" i="5" a="1"/>
  <c r="I879" i="5"/>
  <c r="I880" i="5" a="1"/>
  <c r="I880" i="5"/>
  <c r="I881" i="5" a="1"/>
  <c r="I881" i="5"/>
  <c r="I882" i="5" a="1"/>
  <c r="I882" i="5"/>
  <c r="I883" i="5" a="1"/>
  <c r="I883" i="5"/>
  <c r="I884" i="5" a="1"/>
  <c r="I884" i="5" s="1"/>
  <c r="I885" i="5" a="1"/>
  <c r="I885" i="5" s="1"/>
  <c r="I886" i="5" a="1"/>
  <c r="I886" i="5"/>
  <c r="I887" i="5" a="1"/>
  <c r="I887" i="5"/>
  <c r="I888" i="5" a="1"/>
  <c r="I888" i="5"/>
  <c r="I889" i="5" a="1"/>
  <c r="I889" i="5"/>
  <c r="I890" i="5" a="1"/>
  <c r="I890" i="5" s="1"/>
  <c r="I891" i="5" a="1"/>
  <c r="I891" i="5"/>
  <c r="I892" i="5" a="1"/>
  <c r="I892" i="5"/>
  <c r="I893" i="5" a="1"/>
  <c r="I893" i="5" s="1"/>
  <c r="I894" i="5" a="1"/>
  <c r="I894" i="5"/>
  <c r="I895" i="5" a="1"/>
  <c r="I895" i="5"/>
  <c r="I896" i="5" a="1"/>
  <c r="I896" i="5"/>
  <c r="I897" i="5" a="1"/>
  <c r="I897" i="5"/>
  <c r="I898" i="5" a="1"/>
  <c r="I898" i="5"/>
  <c r="I899" i="5" a="1"/>
  <c r="I899" i="5"/>
  <c r="I900" i="5" a="1"/>
  <c r="I900" i="5"/>
  <c r="I901" i="5" a="1"/>
  <c r="I901" i="5" s="1"/>
  <c r="I902" i="5" a="1"/>
  <c r="I902" i="5"/>
  <c r="I903" i="5" a="1"/>
  <c r="I903" i="5"/>
  <c r="I904" i="5" a="1"/>
  <c r="I904" i="5" s="1"/>
  <c r="I905" i="5" a="1"/>
  <c r="I905" i="5"/>
  <c r="I906" i="5" a="1"/>
  <c r="I906" i="5"/>
  <c r="I907" i="5" a="1"/>
  <c r="I907" i="5" s="1"/>
  <c r="I908" i="5" a="1"/>
  <c r="I908" i="5"/>
  <c r="I909" i="5" a="1"/>
  <c r="I909" i="5" s="1"/>
  <c r="I910" i="5" a="1"/>
  <c r="I910" i="5"/>
  <c r="I911" i="5" a="1"/>
  <c r="I911" i="5"/>
  <c r="I912" i="5" a="1"/>
  <c r="I912" i="5"/>
  <c r="I913" i="5" a="1"/>
  <c r="I913" i="5"/>
  <c r="I914" i="5" a="1"/>
  <c r="I914" i="5"/>
  <c r="I915" i="5" a="1"/>
  <c r="I915" i="5"/>
  <c r="I916" i="5" a="1"/>
  <c r="I916" i="5"/>
  <c r="I917" i="5" a="1"/>
  <c r="I917" i="5" s="1"/>
  <c r="I918" i="5" a="1"/>
  <c r="I918" i="5"/>
  <c r="I919" i="5" a="1"/>
  <c r="I919" i="5"/>
  <c r="I920" i="5" a="1"/>
  <c r="I920" i="5"/>
  <c r="I921" i="5" a="1"/>
  <c r="I921" i="5" s="1"/>
  <c r="I922" i="5" a="1"/>
  <c r="I922" i="5"/>
  <c r="I923" i="5" a="1"/>
  <c r="I923" i="5"/>
  <c r="I924" i="5" a="1"/>
  <c r="I924" i="5" s="1"/>
  <c r="I925" i="5" a="1"/>
  <c r="I925" i="5" s="1"/>
  <c r="I926" i="5" a="1"/>
  <c r="I926" i="5"/>
  <c r="I927" i="5" a="1"/>
  <c r="I927" i="5" s="1"/>
  <c r="I928" i="5" a="1"/>
  <c r="I928" i="5"/>
  <c r="I929" i="5" a="1"/>
  <c r="I929" i="5"/>
  <c r="I930" i="5" a="1"/>
  <c r="I930" i="5" s="1"/>
  <c r="I931" i="5" a="1"/>
  <c r="I931" i="5"/>
  <c r="I932" i="5" a="1"/>
  <c r="I932" i="5"/>
  <c r="I933" i="5" a="1"/>
  <c r="I933" i="5" s="1"/>
  <c r="I934" i="5" a="1"/>
  <c r="I934" i="5"/>
  <c r="I935" i="5" a="1"/>
  <c r="I935" i="5" s="1"/>
  <c r="I936" i="5" a="1"/>
  <c r="I936" i="5"/>
  <c r="I937" i="5" a="1"/>
  <c r="I937" i="5"/>
  <c r="I938" i="5" a="1"/>
  <c r="I938" i="5"/>
  <c r="I939" i="5" a="1"/>
  <c r="I939" i="5" s="1"/>
  <c r="I940" i="5" a="1"/>
  <c r="I940" i="5"/>
  <c r="I941" i="5" a="1"/>
  <c r="I941" i="5" s="1"/>
  <c r="I942" i="5" a="1"/>
  <c r="I942" i="5"/>
  <c r="I943" i="5" a="1"/>
  <c r="I943" i="5" s="1"/>
  <c r="I944" i="5" a="1"/>
  <c r="I944" i="5"/>
  <c r="I945" i="5" a="1"/>
  <c r="I945" i="5"/>
  <c r="I946" i="5" a="1"/>
  <c r="I946" i="5"/>
  <c r="I947" i="5" a="1"/>
  <c r="I947" i="5"/>
  <c r="I948" i="5" a="1"/>
  <c r="I948" i="5" s="1"/>
  <c r="I949" i="5" a="1"/>
  <c r="I949" i="5" s="1"/>
  <c r="I950" i="5" a="1"/>
  <c r="I950" i="5"/>
  <c r="I951" i="5" a="1"/>
  <c r="I951" i="5" s="1"/>
  <c r="I952" i="5" a="1"/>
  <c r="I952" i="5" s="1"/>
  <c r="I953" i="5" a="1"/>
  <c r="I953" i="5"/>
  <c r="I954" i="5" a="1"/>
  <c r="I954" i="5"/>
  <c r="I955" i="5" a="1"/>
  <c r="I955" i="5"/>
  <c r="I956" i="5" a="1"/>
  <c r="I956" i="5"/>
  <c r="I957" i="5" a="1"/>
  <c r="I957" i="5" s="1"/>
  <c r="I958" i="5" a="1"/>
  <c r="I958" i="5"/>
  <c r="I959" i="5" a="1"/>
  <c r="I959" i="5" s="1"/>
  <c r="I960" i="5" a="1"/>
  <c r="I960" i="5"/>
  <c r="I961" i="5" a="1"/>
  <c r="I961" i="5" s="1"/>
  <c r="I962" i="5" a="1"/>
  <c r="I962" i="5"/>
  <c r="I963" i="5" a="1"/>
  <c r="I963" i="5"/>
  <c r="I964" i="5" a="1"/>
  <c r="I964" i="5"/>
  <c r="I965" i="5" a="1"/>
  <c r="I965" i="5" s="1"/>
  <c r="I966" i="5" a="1"/>
  <c r="I966" i="5"/>
  <c r="I967" i="5" a="1"/>
  <c r="I967" i="5" s="1"/>
  <c r="I968" i="5" a="1"/>
  <c r="I968" i="5"/>
  <c r="I969" i="5" a="1"/>
  <c r="I969" i="5"/>
  <c r="I970" i="5" a="1"/>
  <c r="I970" i="5" s="1"/>
  <c r="I971" i="5" a="1"/>
  <c r="I971" i="5"/>
  <c r="I972" i="5" a="1"/>
  <c r="I972" i="5"/>
  <c r="I973" i="5" a="1"/>
  <c r="I973" i="5" s="1"/>
  <c r="I974" i="5" a="1"/>
  <c r="I974" i="5"/>
  <c r="I975" i="5" a="1"/>
  <c r="I975" i="5" s="1"/>
  <c r="I976" i="5" a="1"/>
  <c r="I976" i="5" s="1"/>
  <c r="I977" i="5" a="1"/>
  <c r="I977" i="5"/>
  <c r="I978" i="5" a="1"/>
  <c r="I978" i="5"/>
  <c r="I979" i="5" a="1"/>
  <c r="I979" i="5" s="1"/>
  <c r="I980" i="5" a="1"/>
  <c r="I980" i="5"/>
  <c r="I981" i="5" a="1"/>
  <c r="I981" i="5" s="1"/>
  <c r="I982" i="5" a="1"/>
  <c r="I982" i="5"/>
  <c r="I983" i="5" a="1"/>
  <c r="I983" i="5" s="1"/>
  <c r="I984" i="5" a="1"/>
  <c r="I984" i="5"/>
  <c r="I985" i="5" a="1"/>
  <c r="I985" i="5" s="1"/>
  <c r="I986" i="5" a="1"/>
  <c r="I986" i="5"/>
  <c r="I987" i="5" a="1"/>
  <c r="I987" i="5"/>
  <c r="I988" i="5" a="1"/>
  <c r="I988" i="5" s="1"/>
  <c r="I989" i="5" a="1"/>
  <c r="I989" i="5" s="1"/>
  <c r="I990" i="5" a="1"/>
  <c r="I990" i="5"/>
  <c r="I991" i="5" a="1"/>
  <c r="I991" i="5" s="1"/>
  <c r="I992" i="5" a="1"/>
  <c r="I992" i="5"/>
  <c r="I993" i="5" a="1"/>
  <c r="I993" i="5"/>
  <c r="I994" i="5" a="1"/>
  <c r="I994" i="5" s="1"/>
  <c r="I995" i="5" a="1"/>
  <c r="I995" i="5"/>
  <c r="I996" i="5" a="1"/>
  <c r="I996" i="5"/>
  <c r="I997" i="5" a="1"/>
  <c r="I997" i="5" s="1"/>
  <c r="I998" i="5" a="1"/>
  <c r="I998" i="5"/>
  <c r="I999" i="5" a="1"/>
  <c r="I999" i="5" s="1"/>
  <c r="I1000" i="5" a="1"/>
  <c r="I1000" i="5"/>
  <c r="I1001" i="5" a="1"/>
  <c r="I1001" i="5"/>
  <c r="I1002" i="5" a="1"/>
  <c r="I1002" i="5"/>
  <c r="I1003" i="5" a="1"/>
  <c r="I1003" i="5" s="1"/>
  <c r="I1004" i="5" a="1"/>
  <c r="I1004" i="5"/>
  <c r="I1005" i="5" a="1"/>
  <c r="I1005" i="5" s="1"/>
  <c r="I1006" i="5" a="1"/>
  <c r="I1006" i="5"/>
  <c r="I1007" i="5" a="1"/>
  <c r="I1007" i="5" s="1"/>
  <c r="I1008" i="5" a="1"/>
  <c r="I1008" i="5"/>
  <c r="I1009" i="5" a="1"/>
  <c r="I1009" i="5"/>
  <c r="I1010" i="5" a="1"/>
  <c r="I1010" i="5"/>
  <c r="I1011" i="5" a="1"/>
  <c r="I1011" i="5" s="1"/>
  <c r="I1012" i="5" a="1"/>
  <c r="I1012" i="5" s="1"/>
  <c r="I1013" i="5" a="1"/>
  <c r="I1013" i="5" s="1"/>
  <c r="I1014" i="5" a="1"/>
  <c r="I1014" i="5"/>
  <c r="I1015" i="5" a="1"/>
  <c r="I1015" i="5" s="1"/>
  <c r="I1016" i="5" a="1"/>
  <c r="I1016" i="5" s="1"/>
  <c r="I1017" i="5" a="1"/>
  <c r="I1017" i="5"/>
  <c r="I1018" i="5" a="1"/>
  <c r="I1018" i="5"/>
  <c r="I1019" i="5" a="1"/>
  <c r="I1019" i="5"/>
  <c r="I1020" i="5" a="1"/>
  <c r="I1020" i="5" s="1"/>
  <c r="I1021" i="5" a="1"/>
  <c r="I1021" i="5" s="1"/>
  <c r="I1022" i="5" a="1"/>
  <c r="I1022" i="5"/>
  <c r="I1023" i="5" a="1"/>
  <c r="I1023" i="5" s="1"/>
  <c r="I1024" i="5" a="1"/>
  <c r="I1024" i="5"/>
  <c r="I1025" i="5" a="1"/>
  <c r="I1025" i="5" s="1"/>
  <c r="I1026" i="5" a="1"/>
  <c r="I1026" i="5"/>
  <c r="I1027" i="5" a="1"/>
  <c r="I1027" i="5"/>
  <c r="I1028" i="5" a="1"/>
  <c r="I1028" i="5"/>
  <c r="I1029" i="5" a="1"/>
  <c r="I1029" i="5" s="1"/>
  <c r="I1030" i="5" a="1"/>
  <c r="I1030" i="5"/>
  <c r="I1031" i="5" a="1"/>
  <c r="I1031" i="5" s="1"/>
  <c r="I1032" i="5" a="1"/>
  <c r="I1032" i="5"/>
  <c r="I1033" i="5" a="1"/>
  <c r="I1033" i="5"/>
  <c r="I1034" i="5" a="1"/>
  <c r="I1034" i="5" s="1"/>
  <c r="I1035" i="5" a="1"/>
  <c r="I1035" i="5"/>
  <c r="I1036" i="5" a="1"/>
  <c r="I1036" i="5"/>
  <c r="I1037" i="5" a="1"/>
  <c r="I1037" i="5" s="1"/>
  <c r="I1038" i="5" a="1"/>
  <c r="I1038" i="5"/>
  <c r="I1039" i="5" a="1"/>
  <c r="I1039" i="5" s="1"/>
  <c r="I1040" i="5" a="1"/>
  <c r="I1040" i="5" s="1"/>
  <c r="I1041" i="5" a="1"/>
  <c r="I1041" i="5"/>
  <c r="I1042" i="5" a="1"/>
  <c r="I1042" i="5"/>
  <c r="I1043" i="5" a="1"/>
  <c r="I1043" i="5" s="1"/>
  <c r="I1044" i="5" a="1"/>
  <c r="I1044" i="5"/>
  <c r="I1045" i="5" a="1"/>
  <c r="I1045" i="5" s="1"/>
  <c r="I1046" i="5" a="1"/>
  <c r="I1046" i="5"/>
  <c r="I1047" i="5" a="1"/>
  <c r="I1047" i="5" s="1"/>
  <c r="I1048" i="5" a="1"/>
  <c r="I1048" i="5" s="1"/>
  <c r="I1049" i="5" a="1"/>
  <c r="I1049" i="5" s="1"/>
  <c r="I1050" i="5" a="1"/>
  <c r="I1050" i="5"/>
  <c r="I1051" i="5" a="1"/>
  <c r="I1051" i="5"/>
  <c r="I1052" i="5" a="1"/>
  <c r="I1052" i="5" s="1"/>
  <c r="I1053" i="5" a="1"/>
  <c r="I1053" i="5" s="1"/>
  <c r="I1054" i="5" a="1"/>
  <c r="I1054" i="5"/>
  <c r="I1055" i="5" a="1"/>
  <c r="I1055" i="5" s="1"/>
  <c r="I1056" i="5" a="1"/>
  <c r="I1056" i="5"/>
  <c r="I1057" i="5" a="1"/>
  <c r="I1057" i="5" s="1"/>
  <c r="I1058" i="5" a="1"/>
  <c r="I1058" i="5" s="1"/>
  <c r="I1059" i="5" a="1"/>
  <c r="I1059" i="5"/>
  <c r="I1060" i="5" a="1"/>
  <c r="I1060" i="5"/>
  <c r="I1061" i="5" a="1"/>
  <c r="I1061" i="5" s="1"/>
  <c r="I1062" i="5" a="1"/>
  <c r="I1062" i="5"/>
  <c r="I1063" i="5" a="1"/>
  <c r="I1063" i="5" s="1"/>
  <c r="I1064" i="5" a="1"/>
  <c r="I1064" i="5"/>
  <c r="I1065" i="5" a="1"/>
  <c r="I1065" i="5"/>
  <c r="I1066" i="5" a="1"/>
  <c r="I1066" i="5" s="1"/>
  <c r="I1067" i="5" a="1"/>
  <c r="I1067" i="5" s="1"/>
  <c r="I1068" i="5" a="1"/>
  <c r="I1068" i="5"/>
  <c r="I1069" i="5" a="1"/>
  <c r="I1069" i="5" s="1"/>
  <c r="I1070" i="5" a="1"/>
  <c r="I1070" i="5"/>
  <c r="I1071" i="5" a="1"/>
  <c r="I1071" i="5" s="1"/>
  <c r="I1072" i="5" a="1"/>
  <c r="I1072" i="5"/>
  <c r="I1073" i="5" a="1"/>
  <c r="I1073" i="5"/>
  <c r="I1074" i="5" a="1"/>
  <c r="I1074" i="5"/>
  <c r="I1075" i="5" a="1"/>
  <c r="I1075" i="5" s="1"/>
  <c r="I1076" i="5" a="1"/>
  <c r="I1076" i="5" s="1"/>
  <c r="I1077" i="5" a="1"/>
  <c r="I1077" i="5" s="1"/>
  <c r="I1078" i="5" a="1"/>
  <c r="I1078" i="5"/>
  <c r="I1079" i="5" a="1"/>
  <c r="I1079" i="5" s="1"/>
  <c r="I1080" i="5" a="1"/>
  <c r="I1080" i="5" s="1"/>
  <c r="I1081" i="5" a="1"/>
  <c r="I1081" i="5"/>
  <c r="I1082" i="5" a="1"/>
  <c r="I1082" i="5"/>
  <c r="I1083" i="5" a="1"/>
  <c r="I1083" i="5"/>
  <c r="I1084" i="5" a="1"/>
  <c r="I1084" i="5" s="1"/>
  <c r="I1085" i="5" a="1"/>
  <c r="I1085" i="5" s="1"/>
  <c r="I1086" i="5" a="1"/>
  <c r="I1086" i="5"/>
  <c r="I1087" i="5" a="1"/>
  <c r="I1087" i="5" s="1"/>
  <c r="I1088" i="5" a="1"/>
  <c r="I1088" i="5"/>
  <c r="I1089" i="5" a="1"/>
  <c r="I1089" i="5"/>
  <c r="I1090" i="5" a="1"/>
  <c r="I1090" i="5"/>
  <c r="I1091" i="5" a="1"/>
  <c r="I1091" i="5" s="1"/>
  <c r="I1092" i="5" a="1"/>
  <c r="I1092" i="5" s="1"/>
  <c r="I1093" i="5" a="1"/>
  <c r="I1093" i="5"/>
  <c r="I1094" i="5" a="1"/>
  <c r="I1094" i="5"/>
  <c r="I1095" i="5" a="1"/>
  <c r="I1095" i="5" s="1"/>
  <c r="I1096" i="5" a="1"/>
  <c r="I1096" i="5"/>
  <c r="I1097" i="5" a="1"/>
  <c r="I1097" i="5" s="1"/>
  <c r="I1098" i="5" a="1"/>
  <c r="I1098" i="5"/>
  <c r="I1099" i="5" a="1"/>
  <c r="I1099" i="5"/>
  <c r="I1100" i="5" a="1"/>
  <c r="I1100" i="5"/>
  <c r="I1101" i="5" a="1"/>
  <c r="I1101" i="5" s="1"/>
  <c r="I1102" i="5" a="1"/>
  <c r="I1102" i="5"/>
  <c r="I1103" i="5" a="1"/>
  <c r="I1103" i="5" s="1"/>
  <c r="I1104" i="5" a="1"/>
  <c r="I1104" i="5"/>
  <c r="I1105" i="5" a="1"/>
  <c r="I1105" i="5"/>
  <c r="I1106" i="5" a="1"/>
  <c r="I1106" i="5"/>
  <c r="I1107" i="5" a="1"/>
  <c r="I1107" i="5"/>
  <c r="I1108" i="5" a="1"/>
  <c r="I1108" i="5" s="1"/>
  <c r="I1109" i="5" a="1"/>
  <c r="I1109" i="5" s="1"/>
  <c r="I1110" i="5" a="1"/>
  <c r="I1110" i="5"/>
  <c r="I1111" i="5" a="1"/>
  <c r="I1111" i="5" s="1"/>
  <c r="I1112" i="5" a="1"/>
  <c r="I1112" i="5"/>
  <c r="I1113" i="5" a="1"/>
  <c r="I1113" i="5"/>
  <c r="I1114" i="5" a="1"/>
  <c r="I1114" i="5" s="1"/>
  <c r="I1115" i="5" a="1"/>
  <c r="I1115" i="5"/>
  <c r="I1116" i="5" a="1"/>
  <c r="I1116" i="5"/>
  <c r="I1117" i="5" a="1"/>
  <c r="I1117" i="5"/>
  <c r="I1118" i="5" a="1"/>
  <c r="I1118" i="5"/>
  <c r="I1119" i="5" a="1"/>
  <c r="I1119" i="5" s="1"/>
  <c r="I1120" i="5" a="1"/>
  <c r="I1120" i="5"/>
  <c r="I1121" i="5" a="1"/>
  <c r="I1121" i="5"/>
  <c r="I1122" i="5" a="1"/>
  <c r="I1122" i="5"/>
  <c r="I1123" i="5" a="1"/>
  <c r="I1123" i="5"/>
  <c r="I1124" i="5" a="1"/>
  <c r="I1124" i="5"/>
  <c r="I1125" i="5" a="1"/>
  <c r="I1125" i="5" s="1"/>
  <c r="I1126" i="5" a="1"/>
  <c r="I1126" i="5"/>
  <c r="I1127" i="5" a="1"/>
  <c r="I1127" i="5" s="1"/>
  <c r="I1128" i="5" a="1"/>
  <c r="I1128" i="5" s="1"/>
  <c r="I1129" i="5" a="1"/>
  <c r="I1129" i="5"/>
  <c r="I1130" i="5" a="1"/>
  <c r="I1130" i="5"/>
  <c r="I1131" i="5" a="1"/>
  <c r="I1131" i="5" s="1"/>
  <c r="I1132" i="5" a="1"/>
  <c r="I1132" i="5"/>
  <c r="I1133" i="5" a="1"/>
  <c r="I1133" i="5"/>
  <c r="I1134" i="5" a="1"/>
  <c r="I1134" i="5"/>
  <c r="I1135" i="5" a="1"/>
  <c r="I1135" i="5" s="1"/>
  <c r="I1136" i="5" a="1"/>
  <c r="I1136" i="5"/>
  <c r="I1137" i="5" a="1"/>
  <c r="I1137" i="5"/>
  <c r="I1138" i="5" a="1"/>
  <c r="I1138" i="5"/>
  <c r="I1139" i="5" a="1"/>
  <c r="I1139" i="5"/>
  <c r="I1140" i="5" a="1"/>
  <c r="I1140" i="5"/>
  <c r="I1141" i="5" a="1"/>
  <c r="I1141" i="5"/>
  <c r="I1142" i="5" a="1"/>
  <c r="I1142" i="5"/>
  <c r="I1143" i="5" a="1"/>
  <c r="I1143" i="5" s="1"/>
  <c r="I1144" i="5" a="1"/>
  <c r="I1144" i="5" s="1"/>
  <c r="I1145" i="5" a="1"/>
  <c r="I1145" i="5" s="1"/>
  <c r="I1146" i="5" a="1"/>
  <c r="I1146" i="5"/>
  <c r="I1147" i="5" a="1"/>
  <c r="I1147" i="5"/>
  <c r="I1148" i="5" a="1"/>
  <c r="I1148" i="5" s="1"/>
  <c r="I1149" i="5" a="1"/>
  <c r="I1149" i="5"/>
  <c r="I1150" i="5" a="1"/>
  <c r="I1150" i="5"/>
  <c r="I1151" i="5" a="1"/>
  <c r="I1151" i="5" s="1"/>
  <c r="I1152" i="5" a="1"/>
  <c r="I1152" i="5" s="1"/>
  <c r="I1153" i="5" a="1"/>
  <c r="I1153" i="5"/>
  <c r="I1154" i="5" a="1"/>
  <c r="I1154" i="5"/>
  <c r="I1155" i="5" a="1"/>
  <c r="I1155" i="5"/>
  <c r="I1156" i="5" a="1"/>
  <c r="I1156" i="5"/>
  <c r="I1157" i="5" a="1"/>
  <c r="I1157" i="5"/>
  <c r="I1158" i="5" a="1"/>
  <c r="I1158" i="5"/>
  <c r="I1159" i="5" a="1"/>
  <c r="I1159" i="5" s="1"/>
  <c r="I1160" i="5" a="1"/>
  <c r="I1160" i="5"/>
  <c r="I1161" i="5" a="1"/>
  <c r="I1161" i="5" s="1"/>
  <c r="I1162" i="5" a="1"/>
  <c r="I1162" i="5" s="1"/>
  <c r="I1163" i="5" a="1"/>
  <c r="I1163" i="5"/>
  <c r="I1164" i="5" a="1"/>
  <c r="I1164" i="5"/>
  <c r="I1165" i="5" a="1"/>
  <c r="I1165" i="5" s="1"/>
  <c r="I1166" i="5" a="1"/>
  <c r="I1166" i="5"/>
  <c r="I1167" i="5" a="1"/>
  <c r="I1167" i="5" s="1"/>
  <c r="I1168" i="5" a="1"/>
  <c r="I1168" i="5" s="1"/>
  <c r="I1169" i="5" a="1"/>
  <c r="I1169" i="5" s="1"/>
  <c r="I1170" i="5" a="1"/>
  <c r="I1170" i="5"/>
  <c r="I1171" i="5" a="1"/>
  <c r="I1171" i="5"/>
  <c r="I1172" i="5" a="1"/>
  <c r="I1172" i="5"/>
  <c r="I1173" i="5" a="1"/>
  <c r="I1173" i="5"/>
  <c r="I1174" i="5" a="1"/>
  <c r="I1174" i="5"/>
  <c r="I1175" i="5" a="1"/>
  <c r="I1175" i="5" s="1"/>
  <c r="I1176" i="5" a="1"/>
  <c r="I1176" i="5"/>
  <c r="I1177" i="5" a="1"/>
  <c r="I1177" i="5"/>
  <c r="I1178" i="5" a="1"/>
  <c r="I1178" i="5" s="1"/>
  <c r="I1179" i="5" a="1"/>
  <c r="I1179" i="5" s="1"/>
  <c r="I1180" i="5" a="1"/>
  <c r="I1180" i="5"/>
  <c r="I1181" i="5" a="1"/>
  <c r="I1181" i="5"/>
  <c r="I1182" i="5" a="1"/>
  <c r="I1182" i="5" s="1"/>
  <c r="I1183" i="5" a="1"/>
  <c r="I1183" i="5" s="1"/>
  <c r="I1184" i="5" a="1"/>
  <c r="I1184" i="5"/>
  <c r="I1185" i="5" a="1"/>
  <c r="I1185" i="5" s="1"/>
  <c r="I1186" i="5" a="1"/>
  <c r="I1186" i="5" s="1"/>
  <c r="I1187" i="5" a="1"/>
  <c r="I1187" i="5"/>
  <c r="I1188" i="5" a="1"/>
  <c r="I1188" i="5"/>
  <c r="I1189" i="5" a="1"/>
  <c r="I1189" i="5"/>
  <c r="I1190" i="5" a="1"/>
  <c r="I1190" i="5"/>
  <c r="I1191" i="5" a="1"/>
  <c r="I1191" i="5" s="1"/>
  <c r="I1192" i="5" a="1"/>
  <c r="I1192" i="5"/>
  <c r="I1193" i="5" a="1"/>
  <c r="I1193" i="5"/>
  <c r="I1194" i="5" a="1"/>
  <c r="I1194" i="5"/>
  <c r="I1195" i="5" a="1"/>
  <c r="I1195" i="5" s="1"/>
  <c r="I1196" i="5" a="1"/>
  <c r="I1196" i="5" s="1"/>
  <c r="I1197" i="5" a="1"/>
  <c r="I1197" i="5"/>
  <c r="I1198" i="5" a="1"/>
  <c r="I1198" i="5"/>
  <c r="I1199" i="5" a="1"/>
  <c r="I1199" i="5" s="1"/>
  <c r="I1200" i="5" a="1"/>
  <c r="I1200" i="5"/>
  <c r="I1201" i="5" a="1"/>
  <c r="I1201" i="5"/>
  <c r="I1202" i="5" a="1"/>
  <c r="I1202" i="5" s="1"/>
  <c r="I1203" i="5" a="1"/>
  <c r="I1203" i="5" s="1"/>
  <c r="I1204" i="5" a="1"/>
  <c r="I1204" i="5"/>
  <c r="I1205" i="5" a="1"/>
  <c r="I1205" i="5"/>
  <c r="I1206" i="5" a="1"/>
  <c r="I1206" i="5"/>
  <c r="I1207" i="5" a="1"/>
  <c r="I1207" i="5" s="1"/>
  <c r="I1208" i="5" a="1"/>
  <c r="I1208" i="5" s="1"/>
  <c r="I1209" i="5" a="1"/>
  <c r="I1209" i="5"/>
  <c r="I1210" i="5" a="1"/>
  <c r="I1210" i="5"/>
  <c r="I1211" i="5" a="1"/>
  <c r="I1211" i="5"/>
  <c r="I1212" i="5" a="1"/>
  <c r="I1212" i="5" s="1"/>
  <c r="I1213" i="5" a="1"/>
  <c r="I1213" i="5" s="1"/>
  <c r="I1214" i="5" a="1"/>
  <c r="I1214" i="5"/>
  <c r="I1215" i="5" a="1"/>
  <c r="I1215" i="5" s="1"/>
  <c r="I1216" i="5" a="1"/>
  <c r="I1216" i="5"/>
  <c r="I1217" i="5" a="1"/>
  <c r="I1217" i="5"/>
  <c r="I1218" i="5" a="1"/>
  <c r="I1218" i="5"/>
  <c r="I1219" i="5" a="1"/>
  <c r="I1219" i="5" s="1"/>
  <c r="I1220" i="5" a="1"/>
  <c r="I1220" i="5" s="1"/>
  <c r="I1221" i="5" a="1"/>
  <c r="I1221" i="5"/>
  <c r="I1222" i="5" a="1"/>
  <c r="I1222" i="5"/>
  <c r="I1223" i="5" a="1"/>
  <c r="I1223" i="5" s="1"/>
  <c r="I1224" i="5" a="1"/>
  <c r="I1224" i="5"/>
  <c r="I1225" i="5" a="1"/>
  <c r="I1225" i="5" s="1"/>
  <c r="I1226" i="5" a="1"/>
  <c r="I1226" i="5"/>
  <c r="I1227" i="5" a="1"/>
  <c r="I1227" i="5"/>
  <c r="I1228" i="5" a="1"/>
  <c r="I1228" i="5"/>
  <c r="I1229" i="5" a="1"/>
  <c r="I1229" i="5" s="1"/>
  <c r="I1230" i="5" a="1"/>
  <c r="I1230" i="5" s="1"/>
  <c r="I1231" i="5" a="1"/>
  <c r="I1231" i="5" s="1"/>
  <c r="I1232" i="5" a="1"/>
  <c r="I1232" i="5"/>
  <c r="I1233" i="5" a="1"/>
  <c r="I1233" i="5"/>
  <c r="I1234" i="5" a="1"/>
  <c r="I1234" i="5"/>
  <c r="I1235" i="5" a="1"/>
  <c r="I1235" i="5"/>
  <c r="I1236" i="5" a="1"/>
  <c r="I1236" i="5" s="1"/>
  <c r="I1237" i="5" a="1"/>
  <c r="I1237" i="5" s="1"/>
  <c r="I1238" i="5" a="1"/>
  <c r="I1238" i="5"/>
  <c r="I1239" i="5" a="1"/>
  <c r="I1239" i="5" s="1"/>
  <c r="I1240" i="5" a="1"/>
  <c r="I1240" i="5"/>
  <c r="I1241" i="5" a="1"/>
  <c r="I1241" i="5"/>
  <c r="I1242" i="5" a="1"/>
  <c r="I1242" i="5" s="1"/>
  <c r="I1243" i="5" a="1"/>
  <c r="I1243" i="5"/>
  <c r="I1244" i="5" a="1"/>
  <c r="I1244" i="5"/>
  <c r="I1245" i="5" a="1"/>
  <c r="I1245" i="5"/>
  <c r="I1246" i="5" a="1"/>
  <c r="I1246" i="5"/>
  <c r="I1247" i="5" a="1"/>
  <c r="I1247" i="5" s="1"/>
  <c r="I1248" i="5" a="1"/>
  <c r="I1248" i="5"/>
  <c r="I1249" i="5" a="1"/>
  <c r="I1249" i="5"/>
  <c r="I1250" i="5" a="1"/>
  <c r="I1250" i="5"/>
  <c r="I1251" i="5" a="1"/>
  <c r="I1251" i="5"/>
  <c r="I1252" i="5" a="1"/>
  <c r="I1252" i="5"/>
  <c r="I1253" i="5" a="1"/>
  <c r="I1253" i="5" s="1"/>
  <c r="I1254" i="5" a="1"/>
  <c r="I1254" i="5" s="1"/>
  <c r="I1255" i="5" a="1"/>
  <c r="I1255" i="5" s="1"/>
  <c r="I1256" i="5" a="1"/>
  <c r="I1256" i="5" s="1"/>
  <c r="I1257" i="5" a="1"/>
  <c r="I1257" i="5"/>
  <c r="I1258" i="5" a="1"/>
  <c r="I1258" i="5"/>
  <c r="I1259" i="5" a="1"/>
  <c r="I1259" i="5" s="1"/>
  <c r="I1260" i="5" a="1"/>
  <c r="I1260" i="5"/>
  <c r="I1261" i="5" a="1"/>
  <c r="I1261" i="5"/>
  <c r="I1262" i="5" a="1"/>
  <c r="I1262" i="5"/>
  <c r="I1263" i="5" a="1"/>
  <c r="I1263" i="5" s="1"/>
  <c r="I1264" i="5" a="1"/>
  <c r="I1264" i="5"/>
  <c r="I1265" i="5" a="1"/>
  <c r="I1265" i="5"/>
  <c r="I1266" i="5" a="1"/>
  <c r="I1266" i="5"/>
  <c r="I1267" i="5" a="1"/>
  <c r="I1267" i="5"/>
  <c r="I1268" i="5" a="1"/>
  <c r="I1268" i="5"/>
  <c r="I1269" i="5" a="1"/>
  <c r="I1269" i="5"/>
  <c r="I1270" i="5" a="1"/>
  <c r="I1270" i="5" s="1"/>
  <c r="I1271" i="5" a="1"/>
  <c r="I1271" i="5" s="1"/>
  <c r="I1272" i="5" a="1"/>
  <c r="I1272" i="5"/>
  <c r="I1273" i="5" a="1"/>
  <c r="I1273" i="5" s="1"/>
  <c r="I1274" i="5" a="1"/>
  <c r="I1274" i="5"/>
  <c r="I1275" i="5" a="1"/>
  <c r="I1275" i="5"/>
  <c r="I1276" i="5" a="1"/>
  <c r="I1276" i="5" s="1"/>
  <c r="I1277" i="5" a="1"/>
  <c r="I1277" i="5"/>
  <c r="I1278" i="5" a="1"/>
  <c r="I1278" i="5"/>
  <c r="I1279" i="5" a="1"/>
  <c r="I1279" i="5" s="1"/>
  <c r="I1280" i="5" a="1"/>
  <c r="I1280" i="5" s="1"/>
  <c r="I1281" i="5" a="1"/>
  <c r="I1281" i="5"/>
  <c r="I1282" i="5" a="1"/>
  <c r="I1282" i="5"/>
  <c r="I1283" i="5" a="1"/>
  <c r="I1283" i="5"/>
  <c r="I1284" i="5" a="1"/>
  <c r="I1284" i="5"/>
  <c r="I1285" i="5" a="1"/>
  <c r="I1285" i="5"/>
  <c r="I1286" i="5" a="1"/>
  <c r="I1286" i="5"/>
  <c r="I1287" i="5" a="1"/>
  <c r="I1287" i="5" s="1"/>
  <c r="I1288" i="5" a="1"/>
  <c r="I1288" i="5"/>
  <c r="I1289" i="5" a="1"/>
  <c r="I1289" i="5"/>
  <c r="I1290" i="5" a="1"/>
  <c r="I1290" i="5" s="1"/>
  <c r="I1291" i="5" a="1"/>
  <c r="I1291" i="5"/>
  <c r="I1292" i="5" a="1"/>
  <c r="I1292" i="5"/>
  <c r="I1293" i="5" a="1"/>
  <c r="I1293" i="5" s="1"/>
  <c r="I1294" i="5" a="1"/>
  <c r="I1294" i="5"/>
  <c r="I1295" i="5" a="1"/>
  <c r="I1295" i="5" s="1"/>
  <c r="I1296" i="5" a="1"/>
  <c r="I1296" i="5" s="1"/>
  <c r="I1297" i="5" a="1"/>
  <c r="I1297" i="5" s="1"/>
  <c r="I1298" i="5" a="1"/>
  <c r="I1298" i="5"/>
  <c r="I1299" i="5" a="1"/>
  <c r="I1299" i="5"/>
  <c r="I1300" i="5" a="1"/>
  <c r="I1300" i="5"/>
  <c r="I1301" i="5" a="1"/>
  <c r="I1301" i="5"/>
  <c r="I1302" i="5" a="1"/>
  <c r="I1302" i="5"/>
  <c r="I1303" i="5" a="1"/>
  <c r="I1303" i="5" s="1"/>
  <c r="I1304" i="5" a="1"/>
  <c r="I1304" i="5"/>
  <c r="I1305" i="5" a="1"/>
  <c r="I1305" i="5"/>
  <c r="I1306" i="5" a="1"/>
  <c r="I1306" i="5"/>
  <c r="I1307" i="5" a="1"/>
  <c r="I1307" i="5" s="1"/>
  <c r="I1308" i="5" a="1"/>
  <c r="I1308" i="5"/>
  <c r="I1309" i="5" a="1"/>
  <c r="I1309" i="5"/>
  <c r="I1310" i="5" a="1"/>
  <c r="I1310" i="5" s="1"/>
  <c r="I1311" i="5" a="1"/>
  <c r="I1311" i="5" s="1"/>
  <c r="I1312" i="5" a="1"/>
  <c r="I1312" i="5"/>
  <c r="I1313" i="5" a="1"/>
  <c r="I1313" i="5" s="1"/>
  <c r="I1314" i="5" a="1"/>
  <c r="I1314" i="5" s="1"/>
  <c r="I1315" i="5" a="1"/>
  <c r="I1315" i="5"/>
  <c r="I1316" i="5" a="1"/>
  <c r="I1316" i="5"/>
  <c r="I1317" i="5" a="1"/>
  <c r="I1317" i="5"/>
  <c r="I1318" i="5" a="1"/>
  <c r="I1318" i="5"/>
  <c r="I1319" i="5" a="1"/>
  <c r="I1319" i="5" s="1"/>
  <c r="I1320" i="5" a="1"/>
  <c r="I1320" i="5"/>
  <c r="I1321" i="5" a="1"/>
  <c r="I1321" i="5"/>
  <c r="I1322" i="5" a="1"/>
  <c r="I1322" i="5"/>
  <c r="I1323" i="5" a="1"/>
  <c r="I1323" i="5"/>
  <c r="I1324" i="5" a="1"/>
  <c r="I1324" i="5" s="1"/>
  <c r="I1325" i="5" a="1"/>
  <c r="I1325" i="5"/>
  <c r="I1326" i="5" a="1"/>
  <c r="I1326" i="5"/>
  <c r="I1327" i="5" a="1"/>
  <c r="I1327" i="5" s="1"/>
  <c r="I1328" i="5" a="1"/>
  <c r="I1328" i="5"/>
  <c r="I1329" i="5" a="1"/>
  <c r="I1329" i="5"/>
  <c r="I1330" i="5" a="1"/>
  <c r="I1330" i="5" s="1"/>
  <c r="I1331" i="5" a="1"/>
  <c r="I1331" i="5" s="1"/>
  <c r="I1332" i="5" a="1"/>
  <c r="I1332" i="5"/>
  <c r="I1333" i="5" a="1"/>
  <c r="I1333" i="5"/>
  <c r="I1334" i="5" a="1"/>
  <c r="I1334" i="5"/>
  <c r="I1335" i="5" a="1"/>
  <c r="I1335" i="5" s="1"/>
  <c r="I1336" i="5" a="1"/>
  <c r="I1336" i="5" s="1"/>
  <c r="I1337" i="5" a="1"/>
  <c r="I1337" i="5"/>
  <c r="I1338" i="5" a="1"/>
  <c r="I1338" i="5"/>
  <c r="I1339" i="5" a="1"/>
  <c r="I1339" i="5"/>
  <c r="I1340" i="5" a="1"/>
  <c r="I1340" i="5"/>
  <c r="I1341" i="5" a="1"/>
  <c r="I1341" i="5" s="1"/>
  <c r="I1342" i="5" a="1"/>
  <c r="I1342" i="5"/>
  <c r="I1343" i="5" a="1"/>
  <c r="I1343" i="5" s="1"/>
  <c r="I1344" i="5" a="1"/>
  <c r="I1344" i="5"/>
  <c r="I1345" i="5" a="1"/>
  <c r="I1345" i="5"/>
  <c r="I1346" i="5" a="1"/>
  <c r="I1346" i="5"/>
  <c r="I1347" i="5" a="1"/>
  <c r="I1347" i="5" s="1"/>
  <c r="I1348" i="5" a="1"/>
  <c r="I1348" i="5" s="1"/>
  <c r="I1349" i="5" a="1"/>
  <c r="I1349" i="5"/>
  <c r="I1350" i="5" a="1"/>
  <c r="I1350" i="5"/>
  <c r="I1351" i="5" a="1"/>
  <c r="I1351" i="5" s="1"/>
  <c r="I1352" i="5" a="1"/>
  <c r="I1352" i="5"/>
  <c r="I1353" i="5" a="1"/>
  <c r="I1353" i="5" s="1"/>
  <c r="I1354" i="5" a="1"/>
  <c r="I1354" i="5"/>
  <c r="I1355" i="5" a="1"/>
  <c r="I1355" i="5"/>
  <c r="I1356" i="5" a="1"/>
  <c r="I1356" i="5"/>
  <c r="I1357" i="5" a="1"/>
  <c r="I1357" i="5"/>
  <c r="I1358" i="5" a="1"/>
  <c r="I1358" i="5" s="1"/>
  <c r="I1359" i="5" a="1"/>
  <c r="I1359" i="5" s="1"/>
  <c r="I1360" i="5" a="1"/>
  <c r="I1360" i="5"/>
  <c r="I1361" i="5" a="1"/>
  <c r="I1361" i="5"/>
  <c r="I1362" i="5" a="1"/>
  <c r="I1362" i="5"/>
  <c r="I1363" i="5" a="1"/>
  <c r="I1363" i="5"/>
  <c r="I1364" i="5" a="1"/>
  <c r="I1364" i="5" s="1"/>
  <c r="I1365" i="5" a="1"/>
  <c r="I1365" i="5" s="1"/>
  <c r="I1366" i="5" a="1"/>
  <c r="I1366" i="5"/>
  <c r="I1367" i="5" a="1"/>
  <c r="I1367" i="5" s="1"/>
  <c r="I1368" i="5" a="1"/>
  <c r="I1368" i="5"/>
  <c r="I1369" i="5" a="1"/>
  <c r="I1369" i="5"/>
  <c r="I1370" i="5" a="1"/>
  <c r="I1370" i="5" s="1"/>
  <c r="I1371" i="5" a="1"/>
  <c r="I1371" i="5"/>
  <c r="I1372" i="5" a="1"/>
  <c r="I1372" i="5"/>
  <c r="I1373" i="5" a="1"/>
  <c r="I1373" i="5"/>
  <c r="I1374" i="5" a="1"/>
  <c r="I1374" i="5"/>
  <c r="I1375" i="5" a="1"/>
  <c r="I1375" i="5" s="1"/>
  <c r="I1376" i="5" a="1"/>
  <c r="I1376" i="5"/>
  <c r="I1377" i="5" a="1"/>
  <c r="I1377" i="5"/>
  <c r="I1378" i="5" a="1"/>
  <c r="I1378" i="5"/>
  <c r="I1379" i="5" a="1"/>
  <c r="I1379" i="5"/>
  <c r="I1380" i="5" a="1"/>
  <c r="I1380" i="5"/>
  <c r="I1381" i="5" a="1"/>
  <c r="I1381" i="5" s="1"/>
  <c r="I1382" i="5" a="1"/>
  <c r="I1382" i="5" s="1"/>
  <c r="I1383" i="5" a="1"/>
  <c r="I1383" i="5" s="1"/>
  <c r="I1384" i="5" a="1"/>
  <c r="I1384" i="5" s="1"/>
  <c r="I1385" i="5" a="1"/>
  <c r="I1385" i="5"/>
  <c r="I1386" i="5" a="1"/>
  <c r="I1386" i="5"/>
  <c r="I1387" i="5" a="1"/>
  <c r="I1387" i="5" s="1"/>
  <c r="I1388" i="5" a="1"/>
  <c r="I1388" i="5"/>
  <c r="I1389" i="5" a="1"/>
  <c r="I1389" i="5"/>
  <c r="I1390" i="5" a="1"/>
  <c r="I1390" i="5"/>
  <c r="I1391" i="5" a="1"/>
  <c r="I1391" i="5" s="1"/>
  <c r="I1392" i="5" a="1"/>
  <c r="I1392" i="5"/>
  <c r="I1393" i="5" a="1"/>
  <c r="I1393" i="5"/>
  <c r="I1394" i="5" a="1"/>
  <c r="I1394" i="5"/>
  <c r="I1395" i="5" a="1"/>
  <c r="I1395" i="5"/>
  <c r="I1396" i="5" a="1"/>
  <c r="I1396" i="5"/>
  <c r="I1397" i="5" a="1"/>
  <c r="I1397" i="5"/>
  <c r="I1398" i="5" a="1"/>
  <c r="I1398" i="5" s="1"/>
  <c r="I1399" i="5" a="1"/>
  <c r="I1399" i="5" s="1"/>
  <c r="I1400" i="5" a="1"/>
  <c r="I1400" i="5"/>
  <c r="I1401" i="5" a="1"/>
  <c r="I1401" i="5" s="1"/>
  <c r="I1402" i="5" a="1"/>
  <c r="I1402" i="5"/>
  <c r="I1403" i="5" a="1"/>
  <c r="I1403" i="5"/>
  <c r="I1404" i="5" a="1"/>
  <c r="I1404" i="5" s="1"/>
  <c r="I1405" i="5" a="1"/>
  <c r="I1405" i="5"/>
  <c r="I1406" i="5" a="1"/>
  <c r="I1406" i="5"/>
  <c r="I1407" i="5" a="1"/>
  <c r="I1407" i="5" s="1"/>
  <c r="I2" i="5" a="1"/>
  <c r="I2" i="5" s="1"/>
  <c r="J3" i="4" a="1"/>
  <c r="J3" i="4"/>
  <c r="J4" i="4" a="1"/>
  <c r="J4" i="4" s="1"/>
  <c r="J5" i="4" a="1"/>
  <c r="J5" i="4" s="1"/>
  <c r="J6" i="4" a="1"/>
  <c r="J6" i="4"/>
  <c r="J7" i="4" a="1"/>
  <c r="J7" i="4"/>
  <c r="J8" i="4" a="1"/>
  <c r="J8" i="4" s="1"/>
  <c r="J9" i="4" a="1"/>
  <c r="J9" i="4"/>
  <c r="J10" i="4" a="1"/>
  <c r="J10" i="4"/>
  <c r="J11" i="4" a="1"/>
  <c r="J11" i="4"/>
  <c r="J12" i="4" a="1"/>
  <c r="J12" i="4" s="1"/>
  <c r="J13" i="4" a="1"/>
  <c r="J13" i="4" s="1"/>
  <c r="J14" i="4" a="1"/>
  <c r="J14" i="4" s="1"/>
  <c r="J15" i="4" a="1"/>
  <c r="J15" i="4"/>
  <c r="J16" i="4" a="1"/>
  <c r="J16" i="4"/>
  <c r="J17" i="4" a="1"/>
  <c r="J17" i="4"/>
  <c r="J18" i="4" a="1"/>
  <c r="J18" i="4"/>
  <c r="J19" i="4" a="1"/>
  <c r="J19" i="4"/>
  <c r="J20" i="4" a="1"/>
  <c r="J20" i="4" s="1"/>
  <c r="J21" i="4" a="1"/>
  <c r="J21" i="4" s="1"/>
  <c r="J22" i="4" a="1"/>
  <c r="J22" i="4"/>
  <c r="J23" i="4" a="1"/>
  <c r="J23" i="4" s="1"/>
  <c r="J24" i="4" a="1"/>
  <c r="J24" i="4"/>
  <c r="J25" i="4" a="1"/>
  <c r="J25" i="4"/>
  <c r="J26" i="4" a="1"/>
  <c r="J26" i="4"/>
  <c r="J27" i="4" a="1"/>
  <c r="J27" i="4"/>
  <c r="J28" i="4" a="1"/>
  <c r="J28" i="4" s="1"/>
  <c r="J29" i="4" a="1"/>
  <c r="J29" i="4" s="1"/>
  <c r="J30" i="4" a="1"/>
  <c r="J30" i="4"/>
  <c r="J31" i="4" a="1"/>
  <c r="J31" i="4"/>
  <c r="J32" i="4" a="1"/>
  <c r="J32" i="4" s="1"/>
  <c r="J33" i="4" a="1"/>
  <c r="J33" i="4"/>
  <c r="J34" i="4" a="1"/>
  <c r="J34" i="4" s="1"/>
  <c r="J35" i="4" a="1"/>
  <c r="J35" i="4"/>
  <c r="J36" i="4" a="1"/>
  <c r="J36" i="4" s="1"/>
  <c r="J37" i="4" a="1"/>
  <c r="J37" i="4" s="1"/>
  <c r="J38" i="4" a="1"/>
  <c r="J38" i="4"/>
  <c r="J39" i="4" a="1"/>
  <c r="J39" i="4"/>
  <c r="J40" i="4" a="1"/>
  <c r="J40" i="4"/>
  <c r="J41" i="4" a="1"/>
  <c r="J41" i="4" s="1"/>
  <c r="J42" i="4" a="1"/>
  <c r="J42" i="4" s="1"/>
  <c r="J43" i="4" a="1"/>
  <c r="J43" i="4"/>
  <c r="J44" i="4" a="1"/>
  <c r="J44" i="4" s="1"/>
  <c r="J45" i="4" a="1"/>
  <c r="J45" i="4" s="1"/>
  <c r="J46" i="4" a="1"/>
  <c r="J46" i="4" s="1"/>
  <c r="J47" i="4" a="1"/>
  <c r="J47" i="4"/>
  <c r="J48" i="4" a="1"/>
  <c r="J48" i="4"/>
  <c r="J49" i="4" a="1"/>
  <c r="J49" i="4"/>
  <c r="J50" i="4" a="1"/>
  <c r="J50" i="4" s="1"/>
  <c r="J51" i="4" a="1"/>
  <c r="J51" i="4"/>
  <c r="J52" i="4" a="1"/>
  <c r="J52" i="4" s="1"/>
  <c r="J53" i="4" a="1"/>
  <c r="J53" i="4" s="1"/>
  <c r="J54" i="4" a="1"/>
  <c r="J54" i="4"/>
  <c r="J55" i="4" a="1"/>
  <c r="J55" i="4"/>
  <c r="J56" i="4" a="1"/>
  <c r="J56" i="4"/>
  <c r="J57" i="4" a="1"/>
  <c r="J57" i="4" s="1"/>
  <c r="J58" i="4" a="1"/>
  <c r="J58" i="4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/>
  <c r="J68" i="4" a="1"/>
  <c r="J68" i="4" s="1"/>
  <c r="J69" i="4" a="1"/>
  <c r="J69" i="4" s="1"/>
  <c r="J70" i="4" a="1"/>
  <c r="J70" i="4" s="1"/>
  <c r="J71" i="4" a="1"/>
  <c r="J71" i="4"/>
  <c r="J72" i="4" a="1"/>
  <c r="J72" i="4"/>
  <c r="J73" i="4" a="1"/>
  <c r="J73" i="4"/>
  <c r="J74" i="4" a="1"/>
  <c r="J74" i="4"/>
  <c r="J75" i="4" a="1"/>
  <c r="J75" i="4" s="1"/>
  <c r="J76" i="4" a="1"/>
  <c r="J76" i="4" s="1"/>
  <c r="J77" i="4" a="1"/>
  <c r="J77" i="4" s="1"/>
  <c r="J78" i="4" a="1"/>
  <c r="J78" i="4" s="1"/>
  <c r="J79" i="4" a="1"/>
  <c r="J79" i="4" s="1"/>
  <c r="J80" i="4" a="1"/>
  <c r="J80" i="4"/>
  <c r="J81" i="4" a="1"/>
  <c r="J81" i="4"/>
  <c r="J82" i="4" a="1"/>
  <c r="J82" i="4"/>
  <c r="J83" i="4" a="1"/>
  <c r="J83" i="4"/>
  <c r="J84" i="4" a="1"/>
  <c r="J84" i="4" s="1"/>
  <c r="J85" i="4" a="1"/>
  <c r="J85" i="4" s="1"/>
  <c r="J86" i="4" a="1"/>
  <c r="J86" i="4"/>
  <c r="J87" i="4" a="1"/>
  <c r="J87" i="4" s="1"/>
  <c r="J88" i="4" a="1"/>
  <c r="J88" i="4" s="1"/>
  <c r="J89" i="4" a="1"/>
  <c r="J89" i="4"/>
  <c r="J90" i="4" a="1"/>
  <c r="J90" i="4"/>
  <c r="J91" i="4" a="1"/>
  <c r="J91" i="4"/>
  <c r="J92" i="4" a="1"/>
  <c r="J92" i="4" s="1"/>
  <c r="J93" i="4" a="1"/>
  <c r="J93" i="4" s="1"/>
  <c r="J94" i="4" a="1"/>
  <c r="J94" i="4"/>
  <c r="J95" i="4" a="1"/>
  <c r="J95" i="4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J101" i="4" a="1"/>
  <c r="J101" i="4" s="1"/>
  <c r="J102" i="4" a="1"/>
  <c r="J102" i="4"/>
  <c r="J103" i="4" a="1"/>
  <c r="J103" i="4"/>
  <c r="J104" i="4" a="1"/>
  <c r="J104" i="4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111" i="4" a="1"/>
  <c r="J111" i="4"/>
  <c r="J112" i="4" a="1"/>
  <c r="J112" i="4" s="1"/>
  <c r="J113" i="4" a="1"/>
  <c r="J113" i="4"/>
  <c r="J114" i="4" a="1"/>
  <c r="J114" i="4" s="1"/>
  <c r="J115" i="4" a="1"/>
  <c r="J115" i="4" s="1"/>
  <c r="J116" i="4" a="1"/>
  <c r="J116" i="4" s="1"/>
  <c r="J117" i="4" a="1"/>
  <c r="J117" i="4" s="1"/>
  <c r="J118" i="4" a="1"/>
  <c r="J118" i="4" s="1"/>
  <c r="J119" i="4" a="1"/>
  <c r="J119" i="4" s="1"/>
  <c r="J120" i="4" a="1"/>
  <c r="J120" i="4"/>
  <c r="J121" i="4" a="1"/>
  <c r="J121" i="4"/>
  <c r="J122" i="4" a="1"/>
  <c r="J122" i="4"/>
  <c r="J123" i="4" a="1"/>
  <c r="J123" i="4" s="1"/>
  <c r="J124" i="4" a="1"/>
  <c r="J124" i="4" s="1"/>
  <c r="J125" i="4" a="1"/>
  <c r="J125" i="4" s="1"/>
  <c r="J126" i="4" a="1"/>
  <c r="J126" i="4" s="1"/>
  <c r="J127" i="4" a="1"/>
  <c r="J127" i="4"/>
  <c r="J128" i="4" a="1"/>
  <c r="J128" i="4"/>
  <c r="J129" i="4" a="1"/>
  <c r="J129" i="4"/>
  <c r="J130" i="4" a="1"/>
  <c r="J130" i="4"/>
  <c r="J131" i="4" a="1"/>
  <c r="J131" i="4"/>
  <c r="J132" i="4" a="1"/>
  <c r="J132" i="4" s="1"/>
  <c r="J133" i="4" a="1"/>
  <c r="J133" i="4" s="1"/>
  <c r="J134" i="4" a="1"/>
  <c r="J134" i="4" s="1"/>
  <c r="J135" i="4" a="1"/>
  <c r="J135" i="4"/>
  <c r="J136" i="4" a="1"/>
  <c r="J136" i="4"/>
  <c r="J137" i="4" a="1"/>
  <c r="J137" i="4"/>
  <c r="J138" i="4" a="1"/>
  <c r="J138" i="4" s="1"/>
  <c r="J139" i="4" a="1"/>
  <c r="J139" i="4" s="1"/>
  <c r="J140" i="4" a="1"/>
  <c r="J140" i="4" s="1"/>
  <c r="J141" i="4" a="1"/>
  <c r="J141" i="4" s="1"/>
  <c r="J142" i="4" a="1"/>
  <c r="J142" i="4" s="1"/>
  <c r="J143" i="4" a="1"/>
  <c r="J143" i="4" s="1"/>
  <c r="J144" i="4" a="1"/>
  <c r="J144" i="4"/>
  <c r="J145" i="4" a="1"/>
  <c r="J145" i="4"/>
  <c r="J146" i="4" a="1"/>
  <c r="J146" i="4"/>
  <c r="J147" i="4" a="1"/>
  <c r="J147" i="4" s="1"/>
  <c r="J148" i="4" a="1"/>
  <c r="J148" i="4" s="1"/>
  <c r="J149" i="4" a="1"/>
  <c r="J149" i="4" s="1"/>
  <c r="J150" i="4" a="1"/>
  <c r="J150" i="4"/>
  <c r="J151" i="4" a="1"/>
  <c r="J151" i="4" s="1"/>
  <c r="J152" i="4" a="1"/>
  <c r="J152" i="4" s="1"/>
  <c r="J153" i="4" a="1"/>
  <c r="J153" i="4"/>
  <c r="J154" i="4" a="1"/>
  <c r="J154" i="4"/>
  <c r="J155" i="4" a="1"/>
  <c r="J155" i="4"/>
  <c r="J156" i="4" a="1"/>
  <c r="J156" i="4" s="1"/>
  <c r="J157" i="4" a="1"/>
  <c r="J157" i="4" s="1"/>
  <c r="J158" i="4" a="1"/>
  <c r="J158" i="4" s="1"/>
  <c r="J159" i="4" a="1"/>
  <c r="J159" i="4"/>
  <c r="J160" i="4" a="1"/>
  <c r="J160" i="4" s="1"/>
  <c r="J161" i="4" a="1"/>
  <c r="J161" i="4" s="1"/>
  <c r="J162" i="4" a="1"/>
  <c r="J162" i="4"/>
  <c r="J163" i="4" a="1"/>
  <c r="J163" i="4"/>
  <c r="J164" i="4" a="1"/>
  <c r="J164" i="4" s="1"/>
  <c r="J165" i="4" a="1"/>
  <c r="J165" i="4" s="1"/>
  <c r="J166" i="4" a="1"/>
  <c r="J166" i="4"/>
  <c r="J167" i="4" a="1"/>
  <c r="J167" i="4"/>
  <c r="J168" i="4" a="1"/>
  <c r="J168" i="4"/>
  <c r="J169" i="4" a="1"/>
  <c r="J169" i="4" s="1"/>
  <c r="J170" i="4" a="1"/>
  <c r="J170" i="4" s="1"/>
  <c r="J171" i="4" a="1"/>
  <c r="J171" i="4" s="1"/>
  <c r="J172" i="4" a="1"/>
  <c r="J172" i="4" s="1"/>
  <c r="J173" i="4" a="1"/>
  <c r="J173" i="4" s="1"/>
  <c r="J174" i="4" a="1"/>
  <c r="J174" i="4"/>
  <c r="J175" i="4" a="1"/>
  <c r="J175" i="4"/>
  <c r="J176" i="4" a="1"/>
  <c r="J176" i="4"/>
  <c r="J177" i="4" a="1"/>
  <c r="J177" i="4"/>
  <c r="J178" i="4" a="1"/>
  <c r="J178" i="4" s="1"/>
  <c r="J179" i="4" a="1"/>
  <c r="J179" i="4" s="1"/>
  <c r="J180" i="4" a="1"/>
  <c r="J180" i="4" s="1"/>
  <c r="J181" i="4" a="1"/>
  <c r="J181" i="4" s="1"/>
  <c r="J182" i="4" a="1"/>
  <c r="J182" i="4" s="1"/>
  <c r="J183" i="4" a="1"/>
  <c r="J183" i="4"/>
  <c r="J184" i="4" a="1"/>
  <c r="J184" i="4"/>
  <c r="J185" i="4" a="1"/>
  <c r="J185" i="4"/>
  <c r="J186" i="4" a="1"/>
  <c r="J186" i="4"/>
  <c r="J187" i="4" a="1"/>
  <c r="J187" i="4" s="1"/>
  <c r="J188" i="4" a="1"/>
  <c r="J188" i="4" s="1"/>
  <c r="J189" i="4" a="1"/>
  <c r="J189" i="4" s="1"/>
  <c r="J190" i="4" a="1"/>
  <c r="J190" i="4"/>
  <c r="J191" i="4" a="1"/>
  <c r="J191" i="4"/>
  <c r="J192" i="4" a="1"/>
  <c r="J192" i="4" s="1"/>
  <c r="J193" i="4" a="1"/>
  <c r="J193" i="4" s="1"/>
  <c r="J194" i="4" a="1"/>
  <c r="J194" i="4" s="1"/>
  <c r="J195" i="4" a="1"/>
  <c r="J195" i="4"/>
  <c r="J196" i="4" a="1"/>
  <c r="J196" i="4" s="1"/>
  <c r="J197" i="4" a="1"/>
  <c r="J197" i="4" s="1"/>
  <c r="J198" i="4" a="1"/>
  <c r="J198" i="4" s="1"/>
  <c r="J199" i="4" a="1"/>
  <c r="J199" i="4"/>
  <c r="J200" i="4" a="1"/>
  <c r="J200" i="4" s="1"/>
  <c r="J201" i="4" a="1"/>
  <c r="J201" i="4" s="1"/>
  <c r="J202" i="4" a="1"/>
  <c r="J202" i="4" s="1"/>
  <c r="J203" i="4" a="1"/>
  <c r="J203" i="4"/>
  <c r="J204" i="4" a="1"/>
  <c r="J204" i="4" s="1"/>
  <c r="J205" i="4" a="1"/>
  <c r="J205" i="4" s="1"/>
  <c r="J206" i="4" a="1"/>
  <c r="J206" i="4" s="1"/>
  <c r="J207" i="4" a="1"/>
  <c r="J207" i="4" s="1"/>
  <c r="J208" i="4" a="1"/>
  <c r="J208" i="4"/>
  <c r="J209" i="4" a="1"/>
  <c r="J209" i="4" s="1"/>
  <c r="J210" i="4" a="1"/>
  <c r="J210" i="4" s="1"/>
  <c r="J211" i="4" a="1"/>
  <c r="J211" i="4" s="1"/>
  <c r="J212" i="4" a="1"/>
  <c r="J212" i="4" s="1"/>
  <c r="J213" i="4" a="1"/>
  <c r="J213" i="4" s="1"/>
  <c r="J214" i="4" a="1"/>
  <c r="J214" i="4"/>
  <c r="J215" i="4" a="1"/>
  <c r="J215" i="4" s="1"/>
  <c r="J216" i="4" a="1"/>
  <c r="J216" i="4" s="1"/>
  <c r="J217" i="4" a="1"/>
  <c r="J217" i="4"/>
  <c r="J218" i="4" a="1"/>
  <c r="J218" i="4"/>
  <c r="J219" i="4" a="1"/>
  <c r="J219" i="4"/>
  <c r="J220" i="4" a="1"/>
  <c r="J220" i="4" s="1"/>
  <c r="J221" i="4" a="1"/>
  <c r="J221" i="4" s="1"/>
  <c r="J222" i="4" a="1"/>
  <c r="J222" i="4" s="1"/>
  <c r="J223" i="4" a="1"/>
  <c r="J223" i="4"/>
  <c r="J224" i="4" a="1"/>
  <c r="J224" i="4" s="1"/>
  <c r="J225" i="4" a="1"/>
  <c r="J225" i="4" s="1"/>
  <c r="J226" i="4" a="1"/>
  <c r="J226" i="4"/>
  <c r="J227" i="4" a="1"/>
  <c r="J227" i="4"/>
  <c r="J228" i="4" a="1"/>
  <c r="J228" i="4" s="1"/>
  <c r="J229" i="4" a="1"/>
  <c r="J229" i="4" s="1"/>
  <c r="J230" i="4" a="1"/>
  <c r="J230" i="4"/>
  <c r="J231" i="4" a="1"/>
  <c r="J231" i="4" s="1"/>
  <c r="J232" i="4" a="1"/>
  <c r="J232" i="4"/>
  <c r="J233" i="4" a="1"/>
  <c r="J233" i="4" s="1"/>
  <c r="J234" i="4" a="1"/>
  <c r="J234" i="4" s="1"/>
  <c r="J235" i="4" a="1"/>
  <c r="J235" i="4" s="1"/>
  <c r="J236" i="4" a="1"/>
  <c r="J236" i="4" s="1"/>
  <c r="J237" i="4" a="1"/>
  <c r="J237" i="4" s="1"/>
  <c r="J238" i="4" a="1"/>
  <c r="J238" i="4"/>
  <c r="J239" i="4" a="1"/>
  <c r="J239" i="4"/>
  <c r="J240" i="4" a="1"/>
  <c r="J240" i="4"/>
  <c r="J241" i="4" a="1"/>
  <c r="J241" i="4"/>
  <c r="J242" i="4" a="1"/>
  <c r="J242" i="4" s="1"/>
  <c r="J243" i="4" a="1"/>
  <c r="J243" i="4" s="1"/>
  <c r="J244" i="4" a="1"/>
  <c r="J244" i="4" s="1"/>
  <c r="J245" i="4" a="1"/>
  <c r="J245" i="4" s="1"/>
  <c r="J246" i="4" a="1"/>
  <c r="J246" i="4" s="1"/>
  <c r="J247" i="4" a="1"/>
  <c r="J247" i="4"/>
  <c r="J248" i="4" a="1"/>
  <c r="J248" i="4"/>
  <c r="J249" i="4" a="1"/>
  <c r="J249" i="4"/>
  <c r="J250" i="4" a="1"/>
  <c r="J250" i="4"/>
  <c r="J251" i="4" a="1"/>
  <c r="J251" i="4" s="1"/>
  <c r="J252" i="4" a="1"/>
  <c r="J252" i="4" s="1"/>
  <c r="J253" i="4" a="1"/>
  <c r="J253" i="4" s="1"/>
  <c r="J254" i="4" a="1"/>
  <c r="J254" i="4"/>
  <c r="J255" i="4" a="1"/>
  <c r="J255" i="4" s="1"/>
  <c r="J256" i="4" a="1"/>
  <c r="J256" i="4" s="1"/>
  <c r="J257" i="4" a="1"/>
  <c r="J257" i="4" s="1"/>
  <c r="J258" i="4" a="1"/>
  <c r="J258" i="4" s="1"/>
  <c r="J259" i="4" a="1"/>
  <c r="J259" i="4" s="1"/>
  <c r="J260" i="4" a="1"/>
  <c r="J260" i="4" s="1"/>
  <c r="J261" i="4" a="1"/>
  <c r="J261" i="4" s="1"/>
  <c r="J262" i="4" a="1"/>
  <c r="J262" i="4" s="1"/>
  <c r="J263" i="4" a="1"/>
  <c r="J263" i="4"/>
  <c r="J264" i="4" a="1"/>
  <c r="J264" i="4" s="1"/>
  <c r="J265" i="4" a="1"/>
  <c r="J265" i="4"/>
  <c r="J266" i="4" a="1"/>
  <c r="J266" i="4" s="1"/>
  <c r="J267" i="4" a="1"/>
  <c r="J267" i="4" s="1"/>
  <c r="J268" i="4" a="1"/>
  <c r="J268" i="4" s="1"/>
  <c r="J269" i="4" a="1"/>
  <c r="J269" i="4" s="1"/>
  <c r="J270" i="4" a="1"/>
  <c r="J270" i="4" s="1"/>
  <c r="J271" i="4" a="1"/>
  <c r="J271" i="4" s="1"/>
  <c r="J272" i="4" a="1"/>
  <c r="J272" i="4"/>
  <c r="J273" i="4" a="1"/>
  <c r="J273" i="4"/>
  <c r="J274" i="4" a="1"/>
  <c r="J274" i="4" s="1"/>
  <c r="J275" i="4" a="1"/>
  <c r="J275" i="4"/>
  <c r="J276" i="4" a="1"/>
  <c r="J276" i="4" s="1"/>
  <c r="J277" i="4" a="1"/>
  <c r="J277" i="4" s="1"/>
  <c r="J278" i="4" a="1"/>
  <c r="J278" i="4" s="1"/>
  <c r="J279" i="4" a="1"/>
  <c r="J279" i="4" s="1"/>
  <c r="J280" i="4" a="1"/>
  <c r="J280" i="4" s="1"/>
  <c r="J281" i="4" a="1"/>
  <c r="J281" i="4"/>
  <c r="J282" i="4" a="1"/>
  <c r="J282" i="4" s="1"/>
  <c r="J283" i="4" a="1"/>
  <c r="J283" i="4" s="1"/>
  <c r="J284" i="4" a="1"/>
  <c r="J284" i="4" s="1"/>
  <c r="J285" i="4" a="1"/>
  <c r="J285" i="4" s="1"/>
  <c r="J286" i="4" a="1"/>
  <c r="J286" i="4" s="1"/>
  <c r="J287" i="4" a="1"/>
  <c r="J287" i="4" s="1"/>
  <c r="J288" i="4" a="1"/>
  <c r="J288" i="4" s="1"/>
  <c r="J289" i="4" a="1"/>
  <c r="J289" i="4" s="1"/>
  <c r="J290" i="4" a="1"/>
  <c r="J290" i="4" s="1"/>
  <c r="J291" i="4" a="1"/>
  <c r="J291" i="4" s="1"/>
  <c r="J292" i="4" a="1"/>
  <c r="J292" i="4" s="1"/>
  <c r="J293" i="4" a="1"/>
  <c r="J293" i="4" s="1"/>
  <c r="J294" i="4" a="1"/>
  <c r="J294" i="4" s="1"/>
  <c r="J295" i="4" a="1"/>
  <c r="J295" i="4"/>
  <c r="J296" i="4" a="1"/>
  <c r="J296" i="4" s="1"/>
  <c r="J297" i="4" a="1"/>
  <c r="J297" i="4" s="1"/>
  <c r="J298" i="4" a="1"/>
  <c r="J298" i="4" s="1"/>
  <c r="J299" i="4" a="1"/>
  <c r="J299" i="4"/>
  <c r="J300" i="4" a="1"/>
  <c r="J300" i="4" s="1"/>
  <c r="J301" i="4" a="1"/>
  <c r="J301" i="4" s="1"/>
  <c r="J302" i="4" a="1"/>
  <c r="J302" i="4"/>
  <c r="J303" i="4" a="1"/>
  <c r="J303" i="4"/>
  <c r="J304" i="4" a="1"/>
  <c r="J304" i="4" s="1"/>
  <c r="J305" i="4" a="1"/>
  <c r="J305" i="4" s="1"/>
  <c r="J306" i="4" a="1"/>
  <c r="J306" i="4" s="1"/>
  <c r="J307" i="4" a="1"/>
  <c r="J307" i="4" s="1"/>
  <c r="J308" i="4" a="1"/>
  <c r="J308" i="4" s="1"/>
  <c r="J309" i="4" a="1"/>
  <c r="J309" i="4" s="1"/>
  <c r="J310" i="4" a="1"/>
  <c r="J310" i="4"/>
  <c r="J311" i="4" a="1"/>
  <c r="J311" i="4" s="1"/>
  <c r="J312" i="4" a="1"/>
  <c r="J312" i="4" s="1"/>
  <c r="J313" i="4" a="1"/>
  <c r="J313" i="4" s="1"/>
  <c r="J314" i="4" a="1"/>
  <c r="J314" i="4" s="1"/>
  <c r="J315" i="4" a="1"/>
  <c r="J315" i="4" s="1"/>
  <c r="J316" i="4" a="1"/>
  <c r="J316" i="4" s="1"/>
  <c r="J317" i="4" a="1"/>
  <c r="J317" i="4" s="1"/>
  <c r="J318" i="4" a="1"/>
  <c r="J318" i="4"/>
  <c r="J319" i="4" a="1"/>
  <c r="J319" i="4"/>
  <c r="J320" i="4" a="1"/>
  <c r="J320" i="4"/>
  <c r="J321" i="4" a="1"/>
  <c r="J321" i="4" s="1"/>
  <c r="J322" i="4" a="1"/>
  <c r="J322" i="4" s="1"/>
  <c r="J323" i="4" a="1"/>
  <c r="J323" i="4" s="1"/>
  <c r="J324" i="4" a="1"/>
  <c r="J324" i="4" s="1"/>
  <c r="J325" i="4" a="1"/>
  <c r="J325" i="4" s="1"/>
  <c r="J326" i="4" a="1"/>
  <c r="J326" i="4" s="1"/>
  <c r="J327" i="4" a="1"/>
  <c r="J327" i="4"/>
  <c r="J328" i="4" a="1"/>
  <c r="J328" i="4"/>
  <c r="J329" i="4" a="1"/>
  <c r="J329" i="4" s="1"/>
  <c r="J330" i="4" a="1"/>
  <c r="J330" i="4"/>
  <c r="J331" i="4" a="1"/>
  <c r="J331" i="4" s="1"/>
  <c r="J332" i="4" a="1"/>
  <c r="J332" i="4" s="1"/>
  <c r="J333" i="4" a="1"/>
  <c r="J333" i="4" s="1"/>
  <c r="J334" i="4" a="1"/>
  <c r="J334" i="4" s="1"/>
  <c r="J335" i="4" a="1"/>
  <c r="J335" i="4" s="1"/>
  <c r="J336" i="4" a="1"/>
  <c r="J336" i="4"/>
  <c r="J337" i="4" a="1"/>
  <c r="J337" i="4" s="1"/>
  <c r="J338" i="4" a="1"/>
  <c r="J338" i="4"/>
  <c r="J339" i="4" a="1"/>
  <c r="J339" i="4" s="1"/>
  <c r="J340" i="4" a="1"/>
  <c r="J340" i="4" s="1"/>
  <c r="J341" i="4" a="1"/>
  <c r="J341" i="4" s="1"/>
  <c r="J342" i="4" a="1"/>
  <c r="J342" i="4" s="1"/>
  <c r="J343" i="4" a="1"/>
  <c r="J343" i="4" s="1"/>
  <c r="J344" i="4" a="1"/>
  <c r="J344" i="4" s="1"/>
  <c r="J345" i="4" a="1"/>
  <c r="J345" i="4"/>
  <c r="J346" i="4" a="1"/>
  <c r="J346" i="4"/>
  <c r="J347" i="4" a="1"/>
  <c r="J347" i="4"/>
  <c r="J348" i="4" a="1"/>
  <c r="J348" i="4" s="1"/>
  <c r="J349" i="4" a="1"/>
  <c r="J349" i="4" s="1"/>
  <c r="J350" i="4" a="1"/>
  <c r="J350" i="4"/>
  <c r="J351" i="4" a="1"/>
  <c r="J351" i="4" s="1"/>
  <c r="J352" i="4" a="1"/>
  <c r="J352" i="4" s="1"/>
  <c r="J353" i="4" a="1"/>
  <c r="J353" i="4" s="1"/>
  <c r="J354" i="4" a="1"/>
  <c r="J354" i="4" s="1"/>
  <c r="J355" i="4" a="1"/>
  <c r="J355" i="4" s="1"/>
  <c r="J356" i="4" a="1"/>
  <c r="J356" i="4" s="1"/>
  <c r="J357" i="4" a="1"/>
  <c r="J357" i="4" s="1"/>
  <c r="J358" i="4" a="1"/>
  <c r="J358" i="4" s="1"/>
  <c r="J359" i="4" a="1"/>
  <c r="J359" i="4"/>
  <c r="J360" i="4" a="1"/>
  <c r="J360" i="4" s="1"/>
  <c r="J361" i="4" a="1"/>
  <c r="J361" i="4" s="1"/>
  <c r="J362" i="4" a="1"/>
  <c r="J362" i="4" s="1"/>
  <c r="J363" i="4" a="1"/>
  <c r="J363" i="4" s="1"/>
  <c r="J364" i="4" a="1"/>
  <c r="J364" i="4" s="1"/>
  <c r="J365" i="4" a="1"/>
  <c r="J365" i="4" s="1"/>
  <c r="J366" i="4" a="1"/>
  <c r="J366" i="4"/>
  <c r="J367" i="4" a="1"/>
  <c r="J367" i="4"/>
  <c r="J368" i="4" a="1"/>
  <c r="J368" i="4"/>
  <c r="J369" i="4" a="1"/>
  <c r="J369" i="4" s="1"/>
  <c r="J370" i="4" a="1"/>
  <c r="J370" i="4" s="1"/>
  <c r="J371" i="4" a="1"/>
  <c r="J371" i="4" s="1"/>
  <c r="J372" i="4" a="1"/>
  <c r="J372" i="4" s="1"/>
  <c r="J373" i="4" a="1"/>
  <c r="J373" i="4" s="1"/>
  <c r="J374" i="4" a="1"/>
  <c r="J374" i="4"/>
  <c r="J375" i="4" a="1"/>
  <c r="J375" i="4"/>
  <c r="J376" i="4" a="1"/>
  <c r="J376" i="4" s="1"/>
  <c r="J377" i="4" a="1"/>
  <c r="J377" i="4" s="1"/>
  <c r="J378" i="4" a="1"/>
  <c r="J378" i="4" s="1"/>
  <c r="J379" i="4" a="1"/>
  <c r="J379" i="4" s="1"/>
  <c r="J380" i="4" a="1"/>
  <c r="J380" i="4" s="1"/>
  <c r="J381" i="4" a="1"/>
  <c r="J381" i="4" s="1"/>
  <c r="J382" i="4" a="1"/>
  <c r="J382" i="4" s="1"/>
  <c r="J383" i="4" a="1"/>
  <c r="J383" i="4"/>
  <c r="J384" i="4" a="1"/>
  <c r="J384" i="4"/>
  <c r="J385" i="4" a="1"/>
  <c r="J385" i="4"/>
  <c r="J386" i="4" a="1"/>
  <c r="J386" i="4" s="1"/>
  <c r="J387" i="4" a="1"/>
  <c r="J387" i="4" s="1"/>
  <c r="J388" i="4" a="1"/>
  <c r="J388" i="4" s="1"/>
  <c r="J389" i="4" a="1"/>
  <c r="J389" i="4" s="1"/>
  <c r="J390" i="4" a="1"/>
  <c r="J390" i="4" s="1"/>
  <c r="J391" i="4" a="1"/>
  <c r="J391" i="4"/>
  <c r="J392" i="4" a="1"/>
  <c r="J392" i="4"/>
  <c r="J393" i="4" a="1"/>
  <c r="J393" i="4"/>
  <c r="J394" i="4" a="1"/>
  <c r="J394" i="4"/>
  <c r="J395" i="4" a="1"/>
  <c r="J395" i="4" s="1"/>
  <c r="J396" i="4" a="1"/>
  <c r="J396" i="4" s="1"/>
  <c r="J397" i="4" a="1"/>
  <c r="J397" i="4" s="1"/>
  <c r="J398" i="4" a="1"/>
  <c r="J398" i="4" s="1"/>
  <c r="J399" i="4" a="1"/>
  <c r="J399" i="4" s="1"/>
  <c r="J400" i="4" a="1"/>
  <c r="J400" i="4" s="1"/>
  <c r="J401" i="4" a="1"/>
  <c r="J401" i="4" s="1"/>
  <c r="J402" i="4" a="1"/>
  <c r="J402" i="4" s="1"/>
  <c r="J403" i="4" a="1"/>
  <c r="J403" i="4"/>
  <c r="J404" i="4" a="1"/>
  <c r="J404" i="4" s="1"/>
  <c r="J405" i="4" a="1"/>
  <c r="J405" i="4" s="1"/>
  <c r="J406" i="4" a="1"/>
  <c r="J406" i="4" s="1"/>
  <c r="J407" i="4" a="1"/>
  <c r="J407" i="4" s="1"/>
  <c r="J408" i="4" a="1"/>
  <c r="J408" i="4" s="1"/>
  <c r="J409" i="4" a="1"/>
  <c r="J409" i="4"/>
  <c r="J410" i="4" a="1"/>
  <c r="J410" i="4"/>
  <c r="J411" i="4" a="1"/>
  <c r="J411" i="4"/>
  <c r="J412" i="4" a="1"/>
  <c r="J412" i="4" s="1"/>
  <c r="J413" i="4" a="1"/>
  <c r="J413" i="4" s="1"/>
  <c r="J414" i="4" a="1"/>
  <c r="J414" i="4" s="1"/>
  <c r="J415" i="4" a="1"/>
  <c r="J415" i="4" s="1"/>
  <c r="J416" i="4" a="1"/>
  <c r="J416" i="4" s="1"/>
  <c r="J417" i="4" a="1"/>
  <c r="J417" i="4" s="1"/>
  <c r="J418" i="4" a="1"/>
  <c r="J418" i="4"/>
  <c r="J419" i="4" a="1"/>
  <c r="J419" i="4" s="1"/>
  <c r="J420" i="4" a="1"/>
  <c r="J420" i="4" s="1"/>
  <c r="J421" i="4" a="1"/>
  <c r="J421" i="4" s="1"/>
  <c r="J422" i="4" a="1"/>
  <c r="J422" i="4" s="1"/>
  <c r="J423" i="4" a="1"/>
  <c r="J423" i="4" s="1"/>
  <c r="J424" i="4" a="1"/>
  <c r="J424" i="4" s="1"/>
  <c r="J425" i="4" a="1"/>
  <c r="J425" i="4" s="1"/>
  <c r="J426" i="4" a="1"/>
  <c r="J426" i="4" s="1"/>
  <c r="J427" i="4" a="1"/>
  <c r="J427" i="4" s="1"/>
  <c r="J428" i="4" a="1"/>
  <c r="J428" i="4" s="1"/>
  <c r="J429" i="4" a="1"/>
  <c r="J429" i="4" s="1"/>
  <c r="J430" i="4" a="1"/>
  <c r="J430" i="4" s="1"/>
  <c r="J431" i="4" a="1"/>
  <c r="J431" i="4"/>
  <c r="J432" i="4" a="1"/>
  <c r="J432" i="4"/>
  <c r="J433" i="4" a="1"/>
  <c r="J433" i="4" s="1"/>
  <c r="J434" i="4" a="1"/>
  <c r="J434" i="4" s="1"/>
  <c r="J435" i="4" a="1"/>
  <c r="J435" i="4" s="1"/>
  <c r="J436" i="4" a="1"/>
  <c r="J436" i="4" s="1"/>
  <c r="J437" i="4" a="1"/>
  <c r="J437" i="4" s="1"/>
  <c r="J438" i="4" a="1"/>
  <c r="J438" i="4"/>
  <c r="J439" i="4" a="1"/>
  <c r="J439" i="4" s="1"/>
  <c r="J440" i="4" a="1"/>
  <c r="J440" i="4"/>
  <c r="J441" i="4" a="1"/>
  <c r="J441" i="4" s="1"/>
  <c r="J442" i="4" a="1"/>
  <c r="J442" i="4" s="1"/>
  <c r="J443" i="4" a="1"/>
  <c r="J443" i="4" s="1"/>
  <c r="J444" i="4" a="1"/>
  <c r="J444" i="4" s="1"/>
  <c r="J445" i="4" a="1"/>
  <c r="J445" i="4" s="1"/>
  <c r="J446" i="4" a="1"/>
  <c r="J446" i="4"/>
  <c r="J447" i="4" a="1"/>
  <c r="J447" i="4" s="1"/>
  <c r="J448" i="4" a="1"/>
  <c r="J448" i="4"/>
  <c r="J449" i="4" a="1"/>
  <c r="J449" i="4" s="1"/>
  <c r="J450" i="4" a="1"/>
  <c r="J450" i="4" s="1"/>
  <c r="J451" i="4" a="1"/>
  <c r="J451" i="4" s="1"/>
  <c r="J452" i="4" a="1"/>
  <c r="J452" i="4" s="1"/>
  <c r="J453" i="4" a="1"/>
  <c r="J453" i="4" s="1"/>
  <c r="J454" i="4" a="1"/>
  <c r="J454" i="4" s="1"/>
  <c r="J455" i="4" a="1"/>
  <c r="J455" i="4" s="1"/>
  <c r="J456" i="4" a="1"/>
  <c r="J456" i="4"/>
  <c r="J457" i="4" a="1"/>
  <c r="J457" i="4" s="1"/>
  <c r="J458" i="4" a="1"/>
  <c r="J458" i="4"/>
  <c r="J459" i="4" a="1"/>
  <c r="J459" i="4"/>
  <c r="J460" i="4" a="1"/>
  <c r="J460" i="4" s="1"/>
  <c r="J461" i="4" a="1"/>
  <c r="J461" i="4" s="1"/>
  <c r="J462" i="4" a="1"/>
  <c r="J462" i="4" s="1"/>
  <c r="J463" i="4" a="1"/>
  <c r="J463" i="4" s="1"/>
  <c r="J464" i="4" a="1"/>
  <c r="J464" i="4" s="1"/>
  <c r="J465" i="4" a="1"/>
  <c r="J465" i="4" s="1"/>
  <c r="J466" i="4" a="1"/>
  <c r="J466" i="4"/>
  <c r="J467" i="4" a="1"/>
  <c r="J467" i="4"/>
  <c r="J468" i="4" a="1"/>
  <c r="J468" i="4" s="1"/>
  <c r="J469" i="4" a="1"/>
  <c r="J469" i="4" s="1"/>
  <c r="J470" i="4" a="1"/>
  <c r="J470" i="4" s="1"/>
  <c r="J471" i="4" a="1"/>
  <c r="J471" i="4" s="1"/>
  <c r="J472" i="4" a="1"/>
  <c r="J472" i="4" s="1"/>
  <c r="J473" i="4" a="1"/>
  <c r="J473" i="4"/>
  <c r="J474" i="4" a="1"/>
  <c r="J474" i="4"/>
  <c r="J475" i="4" a="1"/>
  <c r="J475" i="4"/>
  <c r="J476" i="4" a="1"/>
  <c r="J476" i="4" s="1"/>
  <c r="J477" i="4" a="1"/>
  <c r="J477" i="4" s="1"/>
  <c r="J478" i="4" a="1"/>
  <c r="J478" i="4"/>
  <c r="J479" i="4" a="1"/>
  <c r="J479" i="4" s="1"/>
  <c r="J480" i="4" a="1"/>
  <c r="J480" i="4" s="1"/>
  <c r="J481" i="4" a="1"/>
  <c r="J481" i="4" s="1"/>
  <c r="J482" i="4" a="1"/>
  <c r="J482" i="4"/>
  <c r="J483" i="4" a="1"/>
  <c r="J483" i="4"/>
  <c r="J484" i="4" a="1"/>
  <c r="J484" i="4" s="1"/>
  <c r="J485" i="4" a="1"/>
  <c r="J485" i="4" s="1"/>
  <c r="J486" i="4" a="1"/>
  <c r="J486" i="4" s="1"/>
  <c r="J487" i="4" a="1"/>
  <c r="J487" i="4" s="1"/>
  <c r="J488" i="4" a="1"/>
  <c r="J488" i="4" s="1"/>
  <c r="J489" i="4" a="1"/>
  <c r="J489" i="4" s="1"/>
  <c r="J490" i="4" a="1"/>
  <c r="J490" i="4" s="1"/>
  <c r="J491" i="4" a="1"/>
  <c r="J491" i="4" s="1"/>
  <c r="J492" i="4" a="1"/>
  <c r="J492" i="4" s="1"/>
  <c r="J493" i="4" a="1"/>
  <c r="J493" i="4" s="1"/>
  <c r="J494" i="4" a="1"/>
  <c r="J494" i="4" s="1"/>
  <c r="J495" i="4" a="1"/>
  <c r="J495" i="4"/>
  <c r="J496" i="4" a="1"/>
  <c r="J496" i="4"/>
  <c r="J497" i="4" a="1"/>
  <c r="J497" i="4" s="1"/>
  <c r="J498" i="4" a="1"/>
  <c r="J498" i="4" s="1"/>
  <c r="J499" i="4" a="1"/>
  <c r="J499" i="4" s="1"/>
  <c r="J500" i="4" a="1"/>
  <c r="J500" i="4" s="1"/>
  <c r="J501" i="4" a="1"/>
  <c r="J501" i="4" s="1"/>
  <c r="J502" i="4" a="1"/>
  <c r="J502" i="4"/>
  <c r="J503" i="4" a="1"/>
  <c r="J503" i="4"/>
  <c r="J504" i="4" a="1"/>
  <c r="J504" i="4"/>
  <c r="J505" i="4" a="1"/>
  <c r="J505" i="4" s="1"/>
  <c r="J506" i="4" a="1"/>
  <c r="J506" i="4" s="1"/>
  <c r="J507" i="4" a="1"/>
  <c r="J507" i="4" s="1"/>
  <c r="J508" i="4" a="1"/>
  <c r="J508" i="4" s="1"/>
  <c r="J509" i="4" a="1"/>
  <c r="J509" i="4" s="1"/>
  <c r="J510" i="4" a="1"/>
  <c r="J510" i="4" s="1"/>
  <c r="J511" i="4" a="1"/>
  <c r="J511" i="4"/>
  <c r="J512" i="4" a="1"/>
  <c r="J512" i="4" s="1"/>
  <c r="J513" i="4" a="1"/>
  <c r="J513" i="4"/>
  <c r="J514" i="4" a="1"/>
  <c r="J514" i="4"/>
  <c r="J515" i="4" a="1"/>
  <c r="J515" i="4" s="1"/>
  <c r="J516" i="4" a="1"/>
  <c r="J516" i="4" s="1"/>
  <c r="J517" i="4" a="1"/>
  <c r="J517" i="4" s="1"/>
  <c r="J518" i="4" a="1"/>
  <c r="J518" i="4" s="1"/>
  <c r="J519" i="4" a="1"/>
  <c r="J519" i="4" s="1"/>
  <c r="J520" i="4" a="1"/>
  <c r="J520" i="4" s="1"/>
  <c r="J521" i="4" a="1"/>
  <c r="J521" i="4"/>
  <c r="J522" i="4" a="1"/>
  <c r="J522" i="4"/>
  <c r="J523" i="4" a="1"/>
  <c r="J523" i="4"/>
  <c r="J524" i="4" a="1"/>
  <c r="J524" i="4" s="1"/>
  <c r="J525" i="4" a="1"/>
  <c r="J525" i="4" s="1"/>
  <c r="J526" i="4" a="1"/>
  <c r="J526" i="4" s="1"/>
  <c r="J527" i="4" a="1"/>
  <c r="J527" i="4" s="1"/>
  <c r="J528" i="4" a="1"/>
  <c r="J528" i="4" s="1"/>
  <c r="J529" i="4" a="1"/>
  <c r="J529" i="4" s="1"/>
  <c r="J530" i="4" a="1"/>
  <c r="J530" i="4" s="1"/>
  <c r="J531" i="4" a="1"/>
  <c r="J531" i="4" s="1"/>
  <c r="J532" i="4" a="1"/>
  <c r="J532" i="4" s="1"/>
  <c r="J533" i="4" a="1"/>
  <c r="J533" i="4" s="1"/>
  <c r="J534" i="4" a="1"/>
  <c r="J534" i="4" s="1"/>
  <c r="J535" i="4" a="1"/>
  <c r="J535" i="4" s="1"/>
  <c r="J536" i="4" a="1"/>
  <c r="J536" i="4" s="1"/>
  <c r="J537" i="4" a="1"/>
  <c r="J537" i="4" s="1"/>
  <c r="J538" i="4" a="1"/>
  <c r="J538" i="4" s="1"/>
  <c r="J539" i="4" a="1"/>
  <c r="J539" i="4"/>
  <c r="J540" i="4" a="1"/>
  <c r="J540" i="4" s="1"/>
  <c r="J541" i="4" a="1"/>
  <c r="J541" i="4" s="1"/>
  <c r="J542" i="4" a="1"/>
  <c r="J542" i="4"/>
  <c r="J543" i="4" a="1"/>
  <c r="J543" i="4" s="1"/>
  <c r="J544" i="4" a="1"/>
  <c r="J544" i="4" s="1"/>
  <c r="J545" i="4" a="1"/>
  <c r="J545" i="4" s="1"/>
  <c r="J546" i="4" a="1"/>
  <c r="J546" i="4"/>
  <c r="J547" i="4" a="1"/>
  <c r="J547" i="4"/>
  <c r="J548" i="4" a="1"/>
  <c r="J548" i="4" s="1"/>
  <c r="J549" i="4" a="1"/>
  <c r="J549" i="4" s="1"/>
  <c r="J550" i="4" a="1"/>
  <c r="J550" i="4" s="1"/>
  <c r="J551" i="4" a="1"/>
  <c r="J551" i="4" s="1"/>
  <c r="J552" i="4" a="1"/>
  <c r="J552" i="4" s="1"/>
  <c r="J553" i="4" a="1"/>
  <c r="J553" i="4" s="1"/>
  <c r="J554" i="4" a="1"/>
  <c r="J554" i="4" s="1"/>
  <c r="J555" i="4" a="1"/>
  <c r="J555" i="4"/>
  <c r="J556" i="4" a="1"/>
  <c r="J556" i="4" s="1"/>
  <c r="J557" i="4" a="1"/>
  <c r="J557" i="4" s="1"/>
  <c r="J558" i="4" a="1"/>
  <c r="J558" i="4" s="1"/>
  <c r="J559" i="4" a="1"/>
  <c r="J559" i="4"/>
  <c r="J560" i="4" a="1"/>
  <c r="J560" i="4" s="1"/>
  <c r="J561" i="4" a="1"/>
  <c r="J561" i="4" s="1"/>
  <c r="J562" i="4" a="1"/>
  <c r="J562" i="4" s="1"/>
  <c r="J563" i="4" a="1"/>
  <c r="J563" i="4" s="1"/>
  <c r="J564" i="4" a="1"/>
  <c r="J564" i="4" s="1"/>
  <c r="J565" i="4" a="1"/>
  <c r="J565" i="4" s="1"/>
  <c r="J566" i="4" a="1"/>
  <c r="J566" i="4" s="1"/>
  <c r="J567" i="4" a="1"/>
  <c r="J567" i="4" s="1"/>
  <c r="J568" i="4" a="1"/>
  <c r="J568" i="4"/>
  <c r="J569" i="4" a="1"/>
  <c r="J569" i="4" s="1"/>
  <c r="J570" i="4" a="1"/>
  <c r="J570" i="4"/>
  <c r="J571" i="4" a="1"/>
  <c r="J571" i="4"/>
  <c r="J572" i="4" a="1"/>
  <c r="J572" i="4"/>
  <c r="J573" i="4" a="1"/>
  <c r="J573" i="4" s="1"/>
  <c r="J574" i="4" a="1"/>
  <c r="J574" i="4"/>
  <c r="J575" i="4" a="1"/>
  <c r="J575" i="4"/>
  <c r="J576" i="4" a="1"/>
  <c r="J576" i="4" s="1"/>
  <c r="J577" i="4" a="1"/>
  <c r="J577" i="4" s="1"/>
  <c r="J578" i="4" a="1"/>
  <c r="J578" i="4" s="1"/>
  <c r="J579" i="4" a="1"/>
  <c r="J579" i="4" s="1"/>
  <c r="J580" i="4" a="1"/>
  <c r="J580" i="4" s="1"/>
  <c r="J581" i="4" a="1"/>
  <c r="J581" i="4" s="1"/>
  <c r="J582" i="4" a="1"/>
  <c r="J582" i="4"/>
  <c r="J583" i="4" a="1"/>
  <c r="J583" i="4"/>
  <c r="J584" i="4" a="1"/>
  <c r="J584" i="4"/>
  <c r="J585" i="4" a="1"/>
  <c r="J585" i="4"/>
  <c r="J586" i="4" a="1"/>
  <c r="J586" i="4" s="1"/>
  <c r="J587" i="4" a="1"/>
  <c r="J587" i="4"/>
  <c r="J588" i="4" a="1"/>
  <c r="J588" i="4"/>
  <c r="J589" i="4" a="1"/>
  <c r="J589" i="4" s="1"/>
  <c r="J590" i="4" a="1"/>
  <c r="J590" i="4"/>
  <c r="J591" i="4" a="1"/>
  <c r="J591" i="4"/>
  <c r="J592" i="4" a="1"/>
  <c r="J592" i="4"/>
  <c r="J593" i="4" a="1"/>
  <c r="J593" i="4"/>
  <c r="J594" i="4" a="1"/>
  <c r="J594" i="4"/>
  <c r="J595" i="4" a="1"/>
  <c r="J595" i="4" s="1"/>
  <c r="J596" i="4" a="1"/>
  <c r="J596" i="4" s="1"/>
  <c r="J597" i="4" a="1"/>
  <c r="J597" i="4" s="1"/>
  <c r="J598" i="4" a="1"/>
  <c r="J598" i="4"/>
  <c r="J599" i="4" a="1"/>
  <c r="J599" i="4"/>
  <c r="J600" i="4" a="1"/>
  <c r="J600" i="4" s="1"/>
  <c r="J601" i="4" a="1"/>
  <c r="J601" i="4" s="1"/>
  <c r="J602" i="4" a="1"/>
  <c r="J602" i="4" s="1"/>
  <c r="J603" i="4" a="1"/>
  <c r="J603" i="4" s="1"/>
  <c r="J604" i="4" a="1"/>
  <c r="J604" i="4"/>
  <c r="J605" i="4" a="1"/>
  <c r="J605" i="4" s="1"/>
  <c r="J606" i="4" a="1"/>
  <c r="J606" i="4" s="1"/>
  <c r="J607" i="4" a="1"/>
  <c r="J607" i="4" s="1"/>
  <c r="J608" i="4" a="1"/>
  <c r="J608" i="4"/>
  <c r="J609" i="4" a="1"/>
  <c r="J609" i="4"/>
  <c r="J610" i="4" a="1"/>
  <c r="J610" i="4"/>
  <c r="J611" i="4" a="1"/>
  <c r="J611" i="4"/>
  <c r="J612" i="4" a="1"/>
  <c r="J612" i="4" s="1"/>
  <c r="J613" i="4" a="1"/>
  <c r="J613" i="4" s="1"/>
  <c r="J614" i="4" a="1"/>
  <c r="J614" i="4"/>
  <c r="J615" i="4" a="1"/>
  <c r="J615" i="4"/>
  <c r="J616" i="4" a="1"/>
  <c r="J616" i="4" s="1"/>
  <c r="J617" i="4" a="1"/>
  <c r="J617" i="4"/>
  <c r="J618" i="4" a="1"/>
  <c r="J618" i="4"/>
  <c r="J619" i="4" a="1"/>
  <c r="J619" i="4"/>
  <c r="J620" i="4" a="1"/>
  <c r="J620" i="4" s="1"/>
  <c r="J621" i="4" a="1"/>
  <c r="J621" i="4" s="1"/>
  <c r="J622" i="4" a="1"/>
  <c r="J622" i="4" s="1"/>
  <c r="J623" i="4" a="1"/>
  <c r="J623" i="4" s="1"/>
  <c r="J624" i="4" a="1"/>
  <c r="J624" i="4" s="1"/>
  <c r="J625" i="4" a="1"/>
  <c r="J625" i="4" s="1"/>
  <c r="J626" i="4" a="1"/>
  <c r="J626" i="4"/>
  <c r="J627" i="4" a="1"/>
  <c r="J627" i="4" s="1"/>
  <c r="J628" i="4" a="1"/>
  <c r="J628" i="4" s="1"/>
  <c r="J629" i="4" a="1"/>
  <c r="J629" i="4" s="1"/>
  <c r="J630" i="4" a="1"/>
  <c r="J630" i="4"/>
  <c r="J631" i="4" a="1"/>
  <c r="J631" i="4"/>
  <c r="J632" i="4" a="1"/>
  <c r="J632" i="4"/>
  <c r="J633" i="4" a="1"/>
  <c r="J633" i="4"/>
  <c r="J634" i="4" a="1"/>
  <c r="J634" i="4"/>
  <c r="J635" i="4" a="1"/>
  <c r="J635" i="4" s="1"/>
  <c r="J636" i="4" a="1"/>
  <c r="J636" i="4"/>
  <c r="J637" i="4" a="1"/>
  <c r="J637" i="4" s="1"/>
  <c r="J638" i="4" a="1"/>
  <c r="J638" i="4" s="1"/>
  <c r="J639" i="4" a="1"/>
  <c r="J639" i="4" s="1"/>
  <c r="J640" i="4" a="1"/>
  <c r="J640" i="4" s="1"/>
  <c r="J641" i="4" a="1"/>
  <c r="J641" i="4" s="1"/>
  <c r="J642" i="4" a="1"/>
  <c r="J642" i="4"/>
  <c r="J643" i="4" a="1"/>
  <c r="J643" i="4"/>
  <c r="J644" i="4" a="1"/>
  <c r="J644" i="4"/>
  <c r="J645" i="4" a="1"/>
  <c r="J645" i="4" s="1"/>
  <c r="J646" i="4" a="1"/>
  <c r="J646" i="4" s="1"/>
  <c r="J647" i="4" a="1"/>
  <c r="J647" i="4"/>
  <c r="J648" i="4" a="1"/>
  <c r="J648" i="4"/>
  <c r="J649" i="4" a="1"/>
  <c r="J649" i="4"/>
  <c r="J650" i="4" a="1"/>
  <c r="J650" i="4" s="1"/>
  <c r="J651" i="4" a="1"/>
  <c r="J651" i="4" s="1"/>
  <c r="J652" i="4" a="1"/>
  <c r="J652" i="4" s="1"/>
  <c r="J653" i="4" a="1"/>
  <c r="J653" i="4" s="1"/>
  <c r="J654" i="4" a="1"/>
  <c r="J654" i="4"/>
  <c r="J655" i="4" a="1"/>
  <c r="J655" i="4" s="1"/>
  <c r="J656" i="4" a="1"/>
  <c r="J656" i="4" s="1"/>
  <c r="J657" i="4" a="1"/>
  <c r="J657" i="4" s="1"/>
  <c r="J658" i="4" a="1"/>
  <c r="J658" i="4" s="1"/>
  <c r="J659" i="4" a="1"/>
  <c r="J659" i="4" s="1"/>
  <c r="J660" i="4" a="1"/>
  <c r="J660" i="4" s="1"/>
  <c r="J661" i="4" a="1"/>
  <c r="J661" i="4" s="1"/>
  <c r="J662" i="4" a="1"/>
  <c r="J662" i="4" s="1"/>
  <c r="J663" i="4" a="1"/>
  <c r="J663" i="4" s="1"/>
  <c r="J664" i="4" a="1"/>
  <c r="J664" i="4"/>
  <c r="J665" i="4" a="1"/>
  <c r="J665" i="4"/>
  <c r="J666" i="4" a="1"/>
  <c r="J666" i="4"/>
  <c r="J667" i="4" a="1"/>
  <c r="J667" i="4" s="1"/>
  <c r="J668" i="4" a="1"/>
  <c r="J668" i="4" s="1"/>
  <c r="J669" i="4" a="1"/>
  <c r="J669" i="4" s="1"/>
  <c r="J670" i="4" a="1"/>
  <c r="J670" i="4"/>
  <c r="J671" i="4" a="1"/>
  <c r="J671" i="4"/>
  <c r="J672" i="4" a="1"/>
  <c r="J672" i="4" s="1"/>
  <c r="J673" i="4" a="1"/>
  <c r="J673" i="4" s="1"/>
  <c r="J674" i="4" a="1"/>
  <c r="J674" i="4" s="1"/>
  <c r="J675" i="4" a="1"/>
  <c r="J675" i="4"/>
  <c r="J676" i="4" a="1"/>
  <c r="J676" i="4"/>
  <c r="J677" i="4" a="1"/>
  <c r="J677" i="4" s="1"/>
  <c r="J678" i="4" a="1"/>
  <c r="J678" i="4"/>
  <c r="J679" i="4" a="1"/>
  <c r="J679" i="4"/>
  <c r="J680" i="4" a="1"/>
  <c r="J680" i="4" s="1"/>
  <c r="J681" i="4" a="1"/>
  <c r="J681" i="4"/>
  <c r="J682" i="4" a="1"/>
  <c r="J682" i="4"/>
  <c r="J683" i="4" a="1"/>
  <c r="J683" i="4"/>
  <c r="J684" i="4" a="1"/>
  <c r="J684" i="4"/>
  <c r="J685" i="4" a="1"/>
  <c r="J685" i="4"/>
  <c r="J686" i="4" a="1"/>
  <c r="J686" i="4" s="1"/>
  <c r="J687" i="4" a="1"/>
  <c r="J687" i="4" s="1"/>
  <c r="J688" i="4" a="1"/>
  <c r="J688" i="4" s="1"/>
  <c r="J689" i="4" a="1"/>
  <c r="J689" i="4"/>
  <c r="J690" i="4" a="1"/>
  <c r="J690" i="4"/>
  <c r="J691" i="4" a="1"/>
  <c r="J691" i="4"/>
  <c r="J692" i="4" a="1"/>
  <c r="J692" i="4" s="1"/>
  <c r="J693" i="4" a="1"/>
  <c r="J693" i="4" s="1"/>
  <c r="J694" i="4" a="1"/>
  <c r="J694" i="4" s="1"/>
  <c r="J695" i="4" a="1"/>
  <c r="J695" i="4"/>
  <c r="J696" i="4" a="1"/>
  <c r="J696" i="4" s="1"/>
  <c r="J697" i="4" a="1"/>
  <c r="J697" i="4"/>
  <c r="J698" i="4" a="1"/>
  <c r="J698" i="4"/>
  <c r="J699" i="4" a="1"/>
  <c r="J699" i="4"/>
  <c r="J700" i="4" a="1"/>
  <c r="J700" i="4"/>
  <c r="J701" i="4" a="1"/>
  <c r="J701" i="4"/>
  <c r="J702" i="4" a="1"/>
  <c r="J702" i="4"/>
  <c r="J703" i="4" a="1"/>
  <c r="J703" i="4" s="1"/>
  <c r="J704" i="4" a="1"/>
  <c r="J704" i="4" s="1"/>
  <c r="J705" i="4" a="1"/>
  <c r="J705" i="4"/>
  <c r="J706" i="4" a="1"/>
  <c r="J706" i="4"/>
  <c r="J707" i="4" a="1"/>
  <c r="J707" i="4"/>
  <c r="J708" i="4" a="1"/>
  <c r="J708" i="4" s="1"/>
  <c r="J709" i="4" a="1"/>
  <c r="J709" i="4"/>
  <c r="J710" i="4" a="1"/>
  <c r="J710" i="4" s="1"/>
  <c r="J711" i="4" a="1"/>
  <c r="J711" i="4" s="1"/>
  <c r="J712" i="4" a="1"/>
  <c r="J712" i="4" s="1"/>
  <c r="J713" i="4" a="1"/>
  <c r="J713" i="4"/>
  <c r="J714" i="4" a="1"/>
  <c r="J714" i="4"/>
  <c r="J715" i="4" a="1"/>
  <c r="J715" i="4"/>
  <c r="J716" i="4" a="1"/>
  <c r="J716" i="4" s="1"/>
  <c r="J717" i="4" a="1"/>
  <c r="J717" i="4"/>
  <c r="J718" i="4" a="1"/>
  <c r="J718" i="4"/>
  <c r="J719" i="4" a="1"/>
  <c r="J719" i="4" s="1"/>
  <c r="J720" i="4" a="1"/>
  <c r="J720" i="4" s="1"/>
  <c r="J721" i="4" a="1"/>
  <c r="J721" i="4"/>
  <c r="J722" i="4" a="1"/>
  <c r="J722" i="4"/>
  <c r="J723" i="4" a="1"/>
  <c r="J723" i="4"/>
  <c r="J724" i="4" a="1"/>
  <c r="J724" i="4" s="1"/>
  <c r="J725" i="4" a="1"/>
  <c r="J725" i="4" s="1"/>
  <c r="J726" i="4" a="1"/>
  <c r="J726" i="4" s="1"/>
  <c r="J727" i="4" a="1"/>
  <c r="J727" i="4"/>
  <c r="J728" i="4" a="1"/>
  <c r="J728" i="4" s="1"/>
  <c r="J729" i="4" a="1"/>
  <c r="J729" i="4"/>
  <c r="J730" i="4" a="1"/>
  <c r="J730" i="4"/>
  <c r="J731" i="4" a="1"/>
  <c r="J731" i="4"/>
  <c r="J732" i="4" a="1"/>
  <c r="J732" i="4"/>
  <c r="J733" i="4" a="1"/>
  <c r="J733" i="4" s="1"/>
  <c r="J734" i="4" a="1"/>
  <c r="J734" i="4"/>
  <c r="J735" i="4" a="1"/>
  <c r="J735" i="4"/>
  <c r="J736" i="4" a="1"/>
  <c r="J736" i="4" s="1"/>
  <c r="J737" i="4" a="1"/>
  <c r="J737" i="4"/>
  <c r="J738" i="4" a="1"/>
  <c r="J738" i="4"/>
  <c r="J739" i="4" a="1"/>
  <c r="J739" i="4"/>
  <c r="J740" i="4" a="1"/>
  <c r="J740" i="4"/>
  <c r="J741" i="4" a="1"/>
  <c r="J741" i="4"/>
  <c r="J742" i="4" a="1"/>
  <c r="J742" i="4" s="1"/>
  <c r="J743" i="4" a="1"/>
  <c r="J743" i="4"/>
  <c r="J744" i="4" a="1"/>
  <c r="J744" i="4" s="1"/>
  <c r="J745" i="4" a="1"/>
  <c r="J745" i="4"/>
  <c r="J746" i="4" a="1"/>
  <c r="J746" i="4"/>
  <c r="J747" i="4" a="1"/>
  <c r="J747" i="4"/>
  <c r="J748" i="4" a="1"/>
  <c r="J748" i="4" s="1"/>
  <c r="J749" i="4" a="1"/>
  <c r="J749" i="4" s="1"/>
  <c r="J750" i="4" a="1"/>
  <c r="J750" i="4" s="1"/>
  <c r="J751" i="4" a="1"/>
  <c r="J751" i="4"/>
  <c r="J752" i="4" a="1"/>
  <c r="J752" i="4" s="1"/>
  <c r="J753" i="4" a="1"/>
  <c r="J753" i="4"/>
  <c r="J754" i="4" a="1"/>
  <c r="J754" i="4"/>
  <c r="J755" i="4" a="1"/>
  <c r="J755" i="4"/>
  <c r="J756" i="4" a="1"/>
  <c r="J756" i="4"/>
  <c r="J757" i="4" a="1"/>
  <c r="J757" i="4"/>
  <c r="J758" i="4" a="1"/>
  <c r="J758" i="4"/>
  <c r="J759" i="4" a="1"/>
  <c r="J759" i="4" s="1"/>
  <c r="J760" i="4" a="1"/>
  <c r="J760" i="4" s="1"/>
  <c r="J761" i="4" a="1"/>
  <c r="J761" i="4"/>
  <c r="J762" i="4" a="1"/>
  <c r="J762" i="4"/>
  <c r="J763" i="4" a="1"/>
  <c r="J763" i="4"/>
  <c r="J764" i="4" a="1"/>
  <c r="J764" i="4" s="1"/>
  <c r="J765" i="4" a="1"/>
  <c r="J765" i="4" s="1"/>
  <c r="J766" i="4" a="1"/>
  <c r="J766" i="4"/>
  <c r="J767" i="4" a="1"/>
  <c r="J767" i="4"/>
  <c r="J768" i="4" a="1"/>
  <c r="J768" i="4" s="1"/>
  <c r="J769" i="4" a="1"/>
  <c r="J769" i="4"/>
  <c r="J770" i="4" a="1"/>
  <c r="J770" i="4"/>
  <c r="J771" i="4" a="1"/>
  <c r="J771" i="4"/>
  <c r="J772" i="4" a="1"/>
  <c r="J772" i="4"/>
  <c r="J773" i="4" a="1"/>
  <c r="J773" i="4"/>
  <c r="J774" i="4" a="1"/>
  <c r="J774" i="4"/>
  <c r="J775" i="4" a="1"/>
  <c r="J775" i="4" s="1"/>
  <c r="J776" i="4" a="1"/>
  <c r="J776" i="4" s="1"/>
  <c r="J777" i="4" a="1"/>
  <c r="J777" i="4"/>
  <c r="J778" i="4" a="1"/>
  <c r="J778" i="4"/>
  <c r="J779" i="4" a="1"/>
  <c r="J779" i="4"/>
  <c r="J780" i="4" a="1"/>
  <c r="J780" i="4" s="1"/>
  <c r="J781" i="4" a="1"/>
  <c r="J781" i="4" s="1"/>
  <c r="J782" i="4" a="1"/>
  <c r="J782" i="4" s="1"/>
  <c r="J783" i="4" a="1"/>
  <c r="J783" i="4"/>
  <c r="J784" i="4" a="1"/>
  <c r="J784" i="4" s="1"/>
  <c r="J785" i="4" a="1"/>
  <c r="J785" i="4"/>
  <c r="J786" i="4" a="1"/>
  <c r="J786" i="4"/>
  <c r="J787" i="4" a="1"/>
  <c r="J787" i="4"/>
  <c r="J788" i="4" a="1"/>
  <c r="J788" i="4"/>
  <c r="J789" i="4" a="1"/>
  <c r="J789" i="4"/>
  <c r="J790" i="4" a="1"/>
  <c r="J790" i="4"/>
  <c r="J791" i="4" a="1"/>
  <c r="J791" i="4"/>
  <c r="J792" i="4" a="1"/>
  <c r="J792" i="4" s="1"/>
  <c r="J793" i="4" a="1"/>
  <c r="J793" i="4"/>
  <c r="J794" i="4" a="1"/>
  <c r="J794" i="4"/>
  <c r="J795" i="4" a="1"/>
  <c r="J795" i="4"/>
  <c r="J796" i="4" a="1"/>
  <c r="J796" i="4" s="1"/>
  <c r="J797" i="4" a="1"/>
  <c r="J797" i="4" s="1"/>
  <c r="J798" i="4" a="1"/>
  <c r="J798" i="4" s="1"/>
  <c r="J799" i="4" a="1"/>
  <c r="J799" i="4" s="1"/>
  <c r="J800" i="4" a="1"/>
  <c r="J800" i="4" s="1"/>
  <c r="J801" i="4" a="1"/>
  <c r="J801" i="4"/>
  <c r="J802" i="4" a="1"/>
  <c r="J802" i="4"/>
  <c r="J803" i="4" a="1"/>
  <c r="J803" i="4"/>
  <c r="J804" i="4" a="1"/>
  <c r="J804" i="4" s="1"/>
  <c r="J805" i="4" a="1"/>
  <c r="J805" i="4" s="1"/>
  <c r="J806" i="4" a="1"/>
  <c r="J806" i="4"/>
  <c r="J807" i="4" a="1"/>
  <c r="J807" i="4"/>
  <c r="J808" i="4" a="1"/>
  <c r="J808" i="4" s="1"/>
  <c r="J809" i="4" a="1"/>
  <c r="J809" i="4"/>
  <c r="J810" i="4" a="1"/>
  <c r="J810" i="4"/>
  <c r="J811" i="4" a="1"/>
  <c r="J811" i="4"/>
  <c r="J812" i="4" a="1"/>
  <c r="J812" i="4"/>
  <c r="J813" i="4" a="1"/>
  <c r="J813" i="4"/>
  <c r="J814" i="4" a="1"/>
  <c r="J814" i="4" s="1"/>
  <c r="J815" i="4" a="1"/>
  <c r="J815" i="4" s="1"/>
  <c r="J816" i="4" a="1"/>
  <c r="J816" i="4" s="1"/>
  <c r="J817" i="4" a="1"/>
  <c r="J817" i="4"/>
  <c r="J818" i="4" a="1"/>
  <c r="J818" i="4"/>
  <c r="J819" i="4" a="1"/>
  <c r="J819" i="4"/>
  <c r="J820" i="4" a="1"/>
  <c r="J820" i="4"/>
  <c r="J821" i="4" a="1"/>
  <c r="J821" i="4"/>
  <c r="J822" i="4" a="1"/>
  <c r="J822" i="4" s="1"/>
  <c r="J823" i="4" a="1"/>
  <c r="J823" i="4"/>
  <c r="J824" i="4" a="1"/>
  <c r="J824" i="4" s="1"/>
  <c r="J825" i="4" a="1"/>
  <c r="J825" i="4"/>
  <c r="J826" i="4" a="1"/>
  <c r="J826" i="4"/>
  <c r="J827" i="4" a="1"/>
  <c r="J827" i="4"/>
  <c r="J828" i="4" a="1"/>
  <c r="J828" i="4"/>
  <c r="J829" i="4" a="1"/>
  <c r="J829" i="4"/>
  <c r="J830" i="4" a="1"/>
  <c r="J830" i="4"/>
  <c r="J831" i="4" a="1"/>
  <c r="J831" i="4" s="1"/>
  <c r="J832" i="4" a="1"/>
  <c r="J832" i="4" s="1"/>
  <c r="J833" i="4" a="1"/>
  <c r="J833" i="4"/>
  <c r="J834" i="4" a="1"/>
  <c r="J834" i="4" s="1"/>
  <c r="J835" i="4" a="1"/>
  <c r="J835" i="4"/>
  <c r="J836" i="4" a="1"/>
  <c r="J836" i="4"/>
  <c r="J837" i="4" a="1"/>
  <c r="J837" i="4"/>
  <c r="J838" i="4" a="1"/>
  <c r="J838" i="4"/>
  <c r="J839" i="4" a="1"/>
  <c r="J839" i="4"/>
  <c r="J840" i="4" a="1"/>
  <c r="J840" i="4" s="1"/>
  <c r="J841" i="4" a="1"/>
  <c r="J841" i="4"/>
  <c r="J842" i="4" a="1"/>
  <c r="J842" i="4" s="1"/>
  <c r="J843" i="4" a="1"/>
  <c r="J843" i="4"/>
  <c r="J844" i="4" a="1"/>
  <c r="J844" i="4" s="1"/>
  <c r="J845" i="4" a="1"/>
  <c r="J845" i="4"/>
  <c r="J846" i="4" a="1"/>
  <c r="J846" i="4"/>
  <c r="J847" i="4" a="1"/>
  <c r="J847" i="4"/>
  <c r="J848" i="4" a="1"/>
  <c r="J848" i="4" s="1"/>
  <c r="J849" i="4" a="1"/>
  <c r="J849" i="4"/>
  <c r="J850" i="4" a="1"/>
  <c r="J850" i="4" s="1"/>
  <c r="J851" i="4" a="1"/>
  <c r="J851" i="4"/>
  <c r="J852" i="4" a="1"/>
  <c r="J852" i="4" s="1"/>
  <c r="J853" i="4" a="1"/>
  <c r="J853" i="4" s="1"/>
  <c r="J854" i="4" a="1"/>
  <c r="J854" i="4" s="1"/>
  <c r="J855" i="4" a="1"/>
  <c r="J855" i="4"/>
  <c r="J856" i="4" a="1"/>
  <c r="J856" i="4" s="1"/>
  <c r="J857" i="4" a="1"/>
  <c r="J857" i="4"/>
  <c r="J858" i="4" a="1"/>
  <c r="J858" i="4" s="1"/>
  <c r="J859" i="4" a="1"/>
  <c r="J859" i="4"/>
  <c r="J860" i="4" a="1"/>
  <c r="J860" i="4" s="1"/>
  <c r="J861" i="4" a="1"/>
  <c r="J861" i="4" s="1"/>
  <c r="J862" i="4" a="1"/>
  <c r="J862" i="4"/>
  <c r="J863" i="4" a="1"/>
  <c r="J863" i="4"/>
  <c r="J864" i="4" a="1"/>
  <c r="J864" i="4" s="1"/>
  <c r="J865" i="4" a="1"/>
  <c r="J865" i="4"/>
  <c r="J866" i="4" a="1"/>
  <c r="J866" i="4" s="1"/>
  <c r="J867" i="4" a="1"/>
  <c r="J867" i="4"/>
  <c r="J868" i="4" a="1"/>
  <c r="J868" i="4" s="1"/>
  <c r="J869" i="4" a="1"/>
  <c r="J869" i="4" s="1"/>
  <c r="J870" i="4" a="1"/>
  <c r="J870" i="4" s="1"/>
  <c r="J871" i="4" a="1"/>
  <c r="J871" i="4"/>
  <c r="J872" i="4" a="1"/>
  <c r="J872" i="4" s="1"/>
  <c r="J873" i="4" a="1"/>
  <c r="J873" i="4"/>
  <c r="J874" i="4" a="1"/>
  <c r="J874" i="4" s="1"/>
  <c r="J875" i="4" a="1"/>
  <c r="J875" i="4"/>
  <c r="J876" i="4" a="1"/>
  <c r="J876" i="4"/>
  <c r="J877" i="4" a="1"/>
  <c r="J877" i="4" s="1"/>
  <c r="J878" i="4" a="1"/>
  <c r="J878" i="4" s="1"/>
  <c r="J879" i="4" a="1"/>
  <c r="J879" i="4" s="1"/>
  <c r="J880" i="4" a="1"/>
  <c r="J880" i="4" s="1"/>
  <c r="J881" i="4" a="1"/>
  <c r="J881" i="4"/>
  <c r="J882" i="4" a="1"/>
  <c r="J882" i="4" s="1"/>
  <c r="J883" i="4" a="1"/>
  <c r="J883" i="4"/>
  <c r="J884" i="4" a="1"/>
  <c r="J884" i="4"/>
  <c r="J885" i="4" a="1"/>
  <c r="J885" i="4"/>
  <c r="J886" i="4" a="1"/>
  <c r="J886" i="4" s="1"/>
  <c r="J887" i="4" a="1"/>
  <c r="J887" i="4" s="1"/>
  <c r="J888" i="4" a="1"/>
  <c r="J888" i="4" s="1"/>
  <c r="J889" i="4" a="1"/>
  <c r="J889" i="4"/>
  <c r="J890" i="4" a="1"/>
  <c r="J890" i="4" s="1"/>
  <c r="J891" i="4" a="1"/>
  <c r="J891" i="4"/>
  <c r="J892" i="4" a="1"/>
  <c r="J892" i="4"/>
  <c r="J893" i="4" a="1"/>
  <c r="J893" i="4"/>
  <c r="J894" i="4" a="1"/>
  <c r="J894" i="4"/>
  <c r="J895" i="4" a="1"/>
  <c r="J895" i="4" s="1"/>
  <c r="J896" i="4" a="1"/>
  <c r="J896" i="4" s="1"/>
  <c r="J897" i="4" a="1"/>
  <c r="J897" i="4"/>
  <c r="J898" i="4" a="1"/>
  <c r="J898" i="4" s="1"/>
  <c r="J899" i="4" a="1"/>
  <c r="J899" i="4"/>
  <c r="J900" i="4" a="1"/>
  <c r="J900" i="4"/>
  <c r="J901" i="4" a="1"/>
  <c r="J901" i="4"/>
  <c r="J902" i="4" a="1"/>
  <c r="J902" i="4"/>
  <c r="J903" i="4" a="1"/>
  <c r="J903" i="4" s="1"/>
  <c r="J904" i="4" a="1"/>
  <c r="J904" i="4" s="1"/>
  <c r="J905" i="4" a="1"/>
  <c r="J905" i="4"/>
  <c r="J906" i="4" a="1"/>
  <c r="J906" i="4" s="1"/>
  <c r="J907" i="4" a="1"/>
  <c r="J907" i="4"/>
  <c r="J908" i="4" a="1"/>
  <c r="J908" i="4"/>
  <c r="J909" i="4" a="1"/>
  <c r="J909" i="4"/>
  <c r="J910" i="4" a="1"/>
  <c r="J910" i="4"/>
  <c r="J911" i="4" a="1"/>
  <c r="J911" i="4"/>
  <c r="J912" i="4" a="1"/>
  <c r="J912" i="4" s="1"/>
  <c r="J913" i="4" a="1"/>
  <c r="J913" i="4"/>
  <c r="J914" i="4" a="1"/>
  <c r="J914" i="4" s="1"/>
  <c r="J915" i="4" a="1"/>
  <c r="J915" i="4"/>
  <c r="J916" i="4" a="1"/>
  <c r="J916" i="4" s="1"/>
  <c r="J917" i="4" a="1"/>
  <c r="J917" i="4" s="1"/>
  <c r="J918" i="4" a="1"/>
  <c r="J918" i="4"/>
  <c r="J919" i="4" a="1"/>
  <c r="J919" i="4"/>
  <c r="J920" i="4" a="1"/>
  <c r="J920" i="4" s="1"/>
  <c r="J921" i="4" a="1"/>
  <c r="J921" i="4"/>
  <c r="J922" i="4" a="1"/>
  <c r="J922" i="4" s="1"/>
  <c r="J923" i="4" a="1"/>
  <c r="J923" i="4"/>
  <c r="J924" i="4" a="1"/>
  <c r="J924" i="4" s="1"/>
  <c r="J925" i="4" a="1"/>
  <c r="J925" i="4" s="1"/>
  <c r="J926" i="4" a="1"/>
  <c r="J926" i="4" s="1"/>
  <c r="J927" i="4" a="1"/>
  <c r="J927" i="4" s="1"/>
  <c r="J928" i="4" a="1"/>
  <c r="J928" i="4" s="1"/>
  <c r="J929" i="4" a="1"/>
  <c r="J929" i="4"/>
  <c r="J930" i="4" a="1"/>
  <c r="J930" i="4" s="1"/>
  <c r="J931" i="4" a="1"/>
  <c r="J931" i="4"/>
  <c r="J932" i="4" a="1"/>
  <c r="J932" i="4" s="1"/>
  <c r="J933" i="4" a="1"/>
  <c r="J933" i="4" s="1"/>
  <c r="J934" i="4" a="1"/>
  <c r="J934" i="4" s="1"/>
  <c r="J935" i="4" a="1"/>
  <c r="J935" i="4"/>
  <c r="J936" i="4" a="1"/>
  <c r="J936" i="4" s="1"/>
  <c r="J937" i="4" a="1"/>
  <c r="J937" i="4"/>
  <c r="J938" i="4" a="1"/>
  <c r="J938" i="4" s="1"/>
  <c r="J939" i="4" a="1"/>
  <c r="J939" i="4"/>
  <c r="J940" i="4" a="1"/>
  <c r="J940" i="4" s="1"/>
  <c r="J941" i="4" a="1"/>
  <c r="J941" i="4" s="1"/>
  <c r="J942" i="4" a="1"/>
  <c r="J942" i="4" s="1"/>
  <c r="J943" i="4" a="1"/>
  <c r="J943" i="4" s="1"/>
  <c r="J944" i="4" a="1"/>
  <c r="J944" i="4" s="1"/>
  <c r="J945" i="4" a="1"/>
  <c r="J945" i="4"/>
  <c r="J946" i="4" a="1"/>
  <c r="J946" i="4" s="1"/>
  <c r="J947" i="4" a="1"/>
  <c r="J947" i="4"/>
  <c r="J948" i="4" a="1"/>
  <c r="J948" i="4" s="1"/>
  <c r="J949" i="4" a="1"/>
  <c r="J949" i="4" s="1"/>
  <c r="J950" i="4" a="1"/>
  <c r="J950" i="4" s="1"/>
  <c r="J951" i="4" a="1"/>
  <c r="J951" i="4" s="1"/>
  <c r="J952" i="4" a="1"/>
  <c r="J952" i="4" s="1"/>
  <c r="J953" i="4" a="1"/>
  <c r="J953" i="4"/>
  <c r="J954" i="4" a="1"/>
  <c r="J954" i="4" s="1"/>
  <c r="J955" i="4" a="1"/>
  <c r="J955" i="4"/>
  <c r="J956" i="4" a="1"/>
  <c r="J956" i="4"/>
  <c r="J957" i="4" a="1"/>
  <c r="J957" i="4"/>
  <c r="J958" i="4" a="1"/>
  <c r="J958" i="4" s="1"/>
  <c r="J959" i="4" a="1"/>
  <c r="J959" i="4" s="1"/>
  <c r="J960" i="4" a="1"/>
  <c r="J960" i="4" s="1"/>
  <c r="J961" i="4" a="1"/>
  <c r="J961" i="4"/>
  <c r="J962" i="4" a="1"/>
  <c r="J962" i="4" s="1"/>
  <c r="J963" i="4" a="1"/>
  <c r="J963" i="4"/>
  <c r="J964" i="4" a="1"/>
  <c r="J964" i="4"/>
  <c r="J965" i="4" a="1"/>
  <c r="J965" i="4"/>
  <c r="J966" i="4" a="1"/>
  <c r="J966" i="4"/>
  <c r="J967" i="4" a="1"/>
  <c r="J967" i="4"/>
  <c r="J968" i="4" a="1"/>
  <c r="J968" i="4" s="1"/>
  <c r="J969" i="4" a="1"/>
  <c r="J969" i="4"/>
  <c r="J970" i="4" a="1"/>
  <c r="J970" i="4" s="1"/>
  <c r="J971" i="4" a="1"/>
  <c r="J971" i="4"/>
  <c r="J972" i="4" a="1"/>
  <c r="J972" i="4" s="1"/>
  <c r="J973" i="4" a="1"/>
  <c r="J973" i="4"/>
  <c r="J974" i="4" a="1"/>
  <c r="J974" i="4"/>
  <c r="J975" i="4" a="1"/>
  <c r="J975" i="4"/>
  <c r="J976" i="4" a="1"/>
  <c r="J976" i="4" s="1"/>
  <c r="J977" i="4" a="1"/>
  <c r="J977" i="4"/>
  <c r="J978" i="4" a="1"/>
  <c r="J978" i="4" s="1"/>
  <c r="J979" i="4" a="1"/>
  <c r="J979" i="4"/>
  <c r="J980" i="4" a="1"/>
  <c r="J980" i="4" s="1"/>
  <c r="J981" i="4" a="1"/>
  <c r="J981" i="4"/>
  <c r="J982" i="4" a="1"/>
  <c r="J982" i="4" s="1"/>
  <c r="J983" i="4" a="1"/>
  <c r="J983" i="4"/>
  <c r="J984" i="4" a="1"/>
  <c r="J984" i="4" s="1"/>
  <c r="J985" i="4" a="1"/>
  <c r="J985" i="4"/>
  <c r="J986" i="4" a="1"/>
  <c r="J986" i="4" s="1"/>
  <c r="J987" i="4" a="1"/>
  <c r="J987" i="4"/>
  <c r="J988" i="4" a="1"/>
  <c r="J988" i="4" s="1"/>
  <c r="J989" i="4" a="1"/>
  <c r="J989" i="4" s="1"/>
  <c r="J990" i="4" a="1"/>
  <c r="J990" i="4" s="1"/>
  <c r="J991" i="4" a="1"/>
  <c r="J991" i="4" s="1"/>
  <c r="J992" i="4" a="1"/>
  <c r="J992" i="4" s="1"/>
  <c r="J993" i="4" a="1"/>
  <c r="J993" i="4"/>
  <c r="J994" i="4" a="1"/>
  <c r="J994" i="4" s="1"/>
  <c r="J995" i="4" a="1"/>
  <c r="J995" i="4"/>
  <c r="J996" i="4" a="1"/>
  <c r="J996" i="4" s="1"/>
  <c r="J997" i="4" a="1"/>
  <c r="J997" i="4" s="1"/>
  <c r="J998" i="4" a="1"/>
  <c r="J998" i="4" s="1"/>
  <c r="J999" i="4" a="1"/>
  <c r="J999" i="4"/>
  <c r="J1000" i="4" a="1"/>
  <c r="J1000" i="4" s="1"/>
  <c r="J1001" i="4" a="1"/>
  <c r="J1001" i="4"/>
  <c r="J1002" i="4" a="1"/>
  <c r="J1002" i="4" s="1"/>
  <c r="J1003" i="4" a="1"/>
  <c r="J1003" i="4"/>
  <c r="J1004" i="4" a="1"/>
  <c r="J1004" i="4"/>
  <c r="J1005" i="4" a="1"/>
  <c r="J1005" i="4" s="1"/>
  <c r="J1006" i="4" a="1"/>
  <c r="J1006" i="4" s="1"/>
  <c r="J1007" i="4" a="1"/>
  <c r="J1007" i="4" s="1"/>
  <c r="J1008" i="4" a="1"/>
  <c r="J1008" i="4" s="1"/>
  <c r="J1009" i="4" a="1"/>
  <c r="J1009" i="4"/>
  <c r="J1010" i="4" a="1"/>
  <c r="J1010" i="4" s="1"/>
  <c r="J1011" i="4" a="1"/>
  <c r="J1011" i="4"/>
  <c r="J1012" i="4" a="1"/>
  <c r="J1012" i="4" s="1"/>
  <c r="J1013" i="4" a="1"/>
  <c r="J1013" i="4" s="1"/>
  <c r="J1014" i="4" a="1"/>
  <c r="J1014" i="4" s="1"/>
  <c r="J1015" i="4" a="1"/>
  <c r="J1015" i="4" s="1"/>
  <c r="J1016" i="4" a="1"/>
  <c r="J1016" i="4" s="1"/>
  <c r="J1017" i="4" a="1"/>
  <c r="J1017" i="4"/>
  <c r="J1018" i="4" a="1"/>
  <c r="J1018" i="4" s="1"/>
  <c r="J1019" i="4" a="1"/>
  <c r="J1019" i="4"/>
  <c r="J1020" i="4" a="1"/>
  <c r="J1020" i="4"/>
  <c r="J1021" i="4" a="1"/>
  <c r="J1021" i="4" s="1"/>
  <c r="J1022" i="4" a="1"/>
  <c r="J1022" i="4"/>
  <c r="J1023" i="4" a="1"/>
  <c r="J1023" i="4" s="1"/>
  <c r="J1024" i="4" a="1"/>
  <c r="J1024" i="4" s="1"/>
  <c r="J1025" i="4" a="1"/>
  <c r="J1025" i="4"/>
  <c r="J1026" i="4" a="1"/>
  <c r="J1026" i="4" s="1"/>
  <c r="J1027" i="4" a="1"/>
  <c r="J1027" i="4"/>
  <c r="J1028" i="4" a="1"/>
  <c r="J1028" i="4"/>
  <c r="J1029" i="4" a="1"/>
  <c r="J1029" i="4"/>
  <c r="J1030" i="4" a="1"/>
  <c r="J1030" i="4"/>
  <c r="J1031" i="4" a="1"/>
  <c r="J1031" i="4"/>
  <c r="J1032" i="4" a="1"/>
  <c r="J1032" i="4" s="1"/>
  <c r="J1033" i="4" a="1"/>
  <c r="J1033" i="4"/>
  <c r="J1034" i="4" a="1"/>
  <c r="J1034" i="4" s="1"/>
  <c r="J1035" i="4" a="1"/>
  <c r="J1035" i="4"/>
  <c r="J1036" i="4" a="1"/>
  <c r="J1036" i="4" s="1"/>
  <c r="J1037" i="4" a="1"/>
  <c r="J1037" i="4"/>
  <c r="J1038" i="4" a="1"/>
  <c r="J1038" i="4"/>
  <c r="J1039" i="4" a="1"/>
  <c r="J1039" i="4"/>
  <c r="J1040" i="4" a="1"/>
  <c r="J1040" i="4" s="1"/>
  <c r="J1041" i="4" a="1"/>
  <c r="J1041" i="4"/>
  <c r="J1042" i="4" a="1"/>
  <c r="J1042" i="4" s="1"/>
  <c r="J1043" i="4" a="1"/>
  <c r="J1043" i="4"/>
  <c r="J1044" i="4" a="1"/>
  <c r="J1044" i="4" s="1"/>
  <c r="J1045" i="4" a="1"/>
  <c r="J1045" i="4"/>
  <c r="J1046" i="4" a="1"/>
  <c r="J1046" i="4"/>
  <c r="J1047" i="4" a="1"/>
  <c r="J1047" i="4"/>
  <c r="J1048" i="4" a="1"/>
  <c r="J1048" i="4" s="1"/>
  <c r="J1049" i="4" a="1"/>
  <c r="J1049" i="4"/>
  <c r="J1050" i="4" a="1"/>
  <c r="J1050" i="4" s="1"/>
  <c r="J1051" i="4" a="1"/>
  <c r="J1051" i="4"/>
  <c r="J1052" i="4" a="1"/>
  <c r="J1052" i="4" s="1"/>
  <c r="J1053" i="4" a="1"/>
  <c r="J1053" i="4" s="1"/>
  <c r="J1054" i="4" a="1"/>
  <c r="J1054" i="4" s="1"/>
  <c r="J1055" i="4" a="1"/>
  <c r="J1055" i="4"/>
  <c r="J1056" i="4" a="1"/>
  <c r="J1056" i="4" s="1"/>
  <c r="J1057" i="4" a="1"/>
  <c r="J1057" i="4"/>
  <c r="J1058" i="4" a="1"/>
  <c r="J1058" i="4" s="1"/>
  <c r="J1059" i="4" a="1"/>
  <c r="J1059" i="4"/>
  <c r="J1060" i="4" a="1"/>
  <c r="J1060" i="4" s="1"/>
  <c r="J1061" i="4" a="1"/>
  <c r="J1061" i="4" s="1"/>
  <c r="J1062" i="4" a="1"/>
  <c r="J1062" i="4" s="1"/>
  <c r="J1063" i="4" a="1"/>
  <c r="J1063" i="4"/>
  <c r="J1064" i="4" a="1"/>
  <c r="J1064" i="4" s="1"/>
  <c r="J1065" i="4" a="1"/>
  <c r="J1065" i="4"/>
  <c r="J1066" i="4" a="1"/>
  <c r="J1066" i="4" s="1"/>
  <c r="J1067" i="4" a="1"/>
  <c r="J1067" i="4"/>
  <c r="J1068" i="4" a="1"/>
  <c r="J1068" i="4"/>
  <c r="J1069" i="4" a="1"/>
  <c r="J1069" i="4" s="1"/>
  <c r="J1070" i="4" a="1"/>
  <c r="J1070" i="4" s="1"/>
  <c r="J1071" i="4" a="1"/>
  <c r="J1071" i="4" s="1"/>
  <c r="J1072" i="4" a="1"/>
  <c r="J1072" i="4" s="1"/>
  <c r="J1073" i="4" a="1"/>
  <c r="J1073" i="4"/>
  <c r="J1074" i="4" a="1"/>
  <c r="J1074" i="4" s="1"/>
  <c r="J1075" i="4" a="1"/>
  <c r="J1075" i="4"/>
  <c r="J1076" i="4" a="1"/>
  <c r="J1076" i="4" s="1"/>
  <c r="J1077" i="4" a="1"/>
  <c r="J1077" i="4"/>
  <c r="J1078" i="4" a="1"/>
  <c r="J1078" i="4" s="1"/>
  <c r="J1079" i="4" a="1"/>
  <c r="J1079" i="4" s="1"/>
  <c r="J1080" i="4" a="1"/>
  <c r="J1080" i="4" s="1"/>
  <c r="J1081" i="4" a="1"/>
  <c r="J1081" i="4"/>
  <c r="J1082" i="4" a="1"/>
  <c r="J1082" i="4" s="1"/>
  <c r="J1083" i="4" a="1"/>
  <c r="J1083" i="4" s="1"/>
  <c r="J1084" i="4" a="1"/>
  <c r="J1084" i="4"/>
  <c r="J1085" i="4" a="1"/>
  <c r="J1085" i="4"/>
  <c r="J1086" i="4" a="1"/>
  <c r="J1086" i="4"/>
  <c r="J1087" i="4" a="1"/>
  <c r="J1087" i="4" s="1"/>
  <c r="J1088" i="4" a="1"/>
  <c r="J1088" i="4" s="1"/>
  <c r="J1089" i="4" a="1"/>
  <c r="J1089" i="4"/>
  <c r="J1090" i="4" a="1"/>
  <c r="J1090" i="4" s="1"/>
  <c r="J1091" i="4" a="1"/>
  <c r="J1091" i="4"/>
  <c r="J1092" i="4" a="1"/>
  <c r="J1092" i="4"/>
  <c r="J1093" i="4" a="1"/>
  <c r="J1093" i="4"/>
  <c r="J1094" i="4" a="1"/>
  <c r="J1094" i="4"/>
  <c r="J1095" i="4" a="1"/>
  <c r="J1095" i="4"/>
  <c r="J1096" i="4" a="1"/>
  <c r="J1096" i="4" s="1"/>
  <c r="J1097" i="4" a="1"/>
  <c r="J1097" i="4"/>
  <c r="J1098" i="4" a="1"/>
  <c r="J1098" i="4" s="1"/>
  <c r="J1099" i="4" a="1"/>
  <c r="J1099" i="4" s="1"/>
  <c r="J1100" i="4" a="1"/>
  <c r="J1100" i="4"/>
  <c r="J1101" i="4" a="1"/>
  <c r="J1101" i="4" s="1"/>
  <c r="J1102" i="4" a="1"/>
  <c r="J1102" i="4"/>
  <c r="J1103" i="4" a="1"/>
  <c r="J1103" i="4"/>
  <c r="J1104" i="4" a="1"/>
  <c r="J1104" i="4" s="1"/>
  <c r="J1105" i="4" a="1"/>
  <c r="J1105" i="4"/>
  <c r="J1106" i="4" a="1"/>
  <c r="J1106" i="4" s="1"/>
  <c r="J1107" i="4" a="1"/>
  <c r="J1107" i="4" s="1"/>
  <c r="J1108" i="4" a="1"/>
  <c r="J1108" i="4" s="1"/>
  <c r="J1109" i="4" a="1"/>
  <c r="J1109" i="4"/>
  <c r="J1110" i="4" a="1"/>
  <c r="J1110" i="4"/>
  <c r="J1111" i="4" a="1"/>
  <c r="J1111" i="4"/>
  <c r="J1112" i="4" a="1"/>
  <c r="J1112" i="4" s="1"/>
  <c r="J1113" i="4" a="1"/>
  <c r="J1113" i="4"/>
  <c r="J1114" i="4" a="1"/>
  <c r="J1114" i="4" s="1"/>
  <c r="J1115" i="4" a="1"/>
  <c r="J1115" i="4" s="1"/>
  <c r="J1116" i="4" a="1"/>
  <c r="J1116" i="4" s="1"/>
  <c r="J1117" i="4" a="1"/>
  <c r="J1117" i="4" s="1"/>
  <c r="J1118" i="4" a="1"/>
  <c r="J1118" i="4"/>
  <c r="J1119" i="4" a="1"/>
  <c r="J1119" i="4" s="1"/>
  <c r="J1120" i="4" a="1"/>
  <c r="J1120" i="4" s="1"/>
  <c r="J1121" i="4" a="1"/>
  <c r="J1121" i="4"/>
  <c r="J1122" i="4" a="1"/>
  <c r="J1122" i="4" s="1"/>
  <c r="J1123" i="4" a="1"/>
  <c r="J1123" i="4"/>
  <c r="J1124" i="4" a="1"/>
  <c r="J1124" i="4" s="1"/>
  <c r="J1125" i="4" a="1"/>
  <c r="J1125" i="4" s="1"/>
  <c r="J1126" i="4" a="1"/>
  <c r="J1126" i="4" s="1"/>
  <c r="J1127" i="4" a="1"/>
  <c r="J1127" i="4"/>
  <c r="J1128" i="4" a="1"/>
  <c r="J1128" i="4" s="1"/>
  <c r="J1129" i="4" a="1"/>
  <c r="J1129" i="4" s="1"/>
  <c r="J1130" i="4" a="1"/>
  <c r="J1130" i="4" s="1"/>
  <c r="J1131" i="4" a="1"/>
  <c r="J1131" i="4" s="1"/>
  <c r="J1132" i="4" a="1"/>
  <c r="J1132" i="4" s="1"/>
  <c r="J1133" i="4" a="1"/>
  <c r="J1133" i="4" s="1"/>
  <c r="J1134" i="4" a="1"/>
  <c r="J1134" i="4" s="1"/>
  <c r="J1135" i="4" a="1"/>
  <c r="J1135" i="4" s="1"/>
  <c r="J1136" i="4" a="1"/>
  <c r="J1136" i="4" s="1"/>
  <c r="J1137" i="4" a="1"/>
  <c r="J1137" i="4"/>
  <c r="J1138" i="4" a="1"/>
  <c r="J1138" i="4" s="1"/>
  <c r="J1139" i="4" a="1"/>
  <c r="J1139" i="4"/>
  <c r="J1140" i="4" a="1"/>
  <c r="J1140" i="4"/>
  <c r="J1141" i="4" a="1"/>
  <c r="J1141" i="4" s="1"/>
  <c r="J1142" i="4" a="1"/>
  <c r="J1142" i="4" s="1"/>
  <c r="J1143" i="4" a="1"/>
  <c r="J1143" i="4" s="1"/>
  <c r="J1144" i="4" a="1"/>
  <c r="J1144" i="4" s="1"/>
  <c r="J1145" i="4" a="1"/>
  <c r="J1145" i="4"/>
  <c r="J1146" i="4" a="1"/>
  <c r="J1146" i="4" s="1"/>
  <c r="J1147" i="4" a="1"/>
  <c r="J1147" i="4" s="1"/>
  <c r="J1148" i="4" a="1"/>
  <c r="J1148" i="4"/>
  <c r="J1149" i="4" a="1"/>
  <c r="J1149" i="4"/>
  <c r="J1150" i="4" a="1"/>
  <c r="J1150" i="4" s="1"/>
  <c r="J1151" i="4" a="1"/>
  <c r="J1151" i="4" s="1"/>
  <c r="J1152" i="4" a="1"/>
  <c r="J1152" i="4" s="1"/>
  <c r="J1153" i="4" a="1"/>
  <c r="J1153" i="4"/>
  <c r="J1154" i="4" a="1"/>
  <c r="J1154" i="4" s="1"/>
  <c r="J1155" i="4" a="1"/>
  <c r="J1155" i="4"/>
  <c r="J1156" i="4" a="1"/>
  <c r="J1156" i="4"/>
  <c r="J1157" i="4" a="1"/>
  <c r="J1157" i="4"/>
  <c r="J1158" i="4" a="1"/>
  <c r="J1158" i="4"/>
  <c r="J1159" i="4" a="1"/>
  <c r="J1159" i="4"/>
  <c r="J1160" i="4" a="1"/>
  <c r="J1160" i="4" s="1"/>
  <c r="J1161" i="4" a="1"/>
  <c r="J1161" i="4"/>
  <c r="J1162" i="4" a="1"/>
  <c r="J1162" i="4" s="1"/>
  <c r="J1163" i="4" a="1"/>
  <c r="J1163" i="4" s="1"/>
  <c r="J1164" i="4" a="1"/>
  <c r="J1164" i="4" s="1"/>
  <c r="J1165" i="4" a="1"/>
  <c r="J1165" i="4" s="1"/>
  <c r="J1166" i="4" a="1"/>
  <c r="J1166" i="4"/>
  <c r="J1167" i="4" a="1"/>
  <c r="J1167" i="4"/>
  <c r="J1168" i="4" a="1"/>
  <c r="J1168" i="4" s="1"/>
  <c r="J1169" i="4" a="1"/>
  <c r="J1169" i="4"/>
  <c r="J1170" i="4" a="1"/>
  <c r="J1170" i="4" s="1"/>
  <c r="J1171" i="4" a="1"/>
  <c r="J1171" i="4" s="1"/>
  <c r="J1172" i="4" a="1"/>
  <c r="J1172" i="4" s="1"/>
  <c r="J1173" i="4" a="1"/>
  <c r="J1173" i="4" s="1"/>
  <c r="J1174" i="4" a="1"/>
  <c r="J1174" i="4"/>
  <c r="J1175" i="4" a="1"/>
  <c r="J1175" i="4"/>
  <c r="J1176" i="4" a="1"/>
  <c r="J1176" i="4" s="1"/>
  <c r="J1177" i="4" a="1"/>
  <c r="J1177" i="4"/>
  <c r="J1178" i="4" a="1"/>
  <c r="J1178" i="4" s="1"/>
  <c r="J1179" i="4" a="1"/>
  <c r="J1179" i="4" s="1"/>
  <c r="J1180" i="4" a="1"/>
  <c r="J1180" i="4" s="1"/>
  <c r="J1181" i="4" a="1"/>
  <c r="J1181" i="4" s="1"/>
  <c r="J1182" i="4" a="1"/>
  <c r="J1182" i="4"/>
  <c r="J1183" i="4" a="1"/>
  <c r="J1183" i="4" s="1"/>
  <c r="J1184" i="4" a="1"/>
  <c r="J1184" i="4" s="1"/>
  <c r="J1185" i="4" a="1"/>
  <c r="J1185" i="4"/>
  <c r="J1186" i="4" a="1"/>
  <c r="J1186" i="4" s="1"/>
  <c r="J1187" i="4" a="1"/>
  <c r="J1187" i="4"/>
  <c r="J1188" i="4" a="1"/>
  <c r="J1188" i="4" s="1"/>
  <c r="J1189" i="4" a="1"/>
  <c r="J1189" i="4" s="1"/>
  <c r="J1190" i="4" a="1"/>
  <c r="J1190" i="4" s="1"/>
  <c r="J1191" i="4" a="1"/>
  <c r="J1191" i="4" s="1"/>
  <c r="J1192" i="4" a="1"/>
  <c r="J1192" i="4" s="1"/>
  <c r="J1193" i="4" a="1"/>
  <c r="J1193" i="4"/>
  <c r="J1194" i="4" a="1"/>
  <c r="J1194" i="4" s="1"/>
  <c r="J1195" i="4" a="1"/>
  <c r="J1195" i="4" s="1"/>
  <c r="J1196" i="4" a="1"/>
  <c r="J1196" i="4"/>
  <c r="J1197" i="4" a="1"/>
  <c r="J1197" i="4" s="1"/>
  <c r="J1198" i="4" a="1"/>
  <c r="J1198" i="4" s="1"/>
  <c r="J1199" i="4" a="1"/>
  <c r="J1199" i="4" s="1"/>
  <c r="J1200" i="4" a="1"/>
  <c r="J1200" i="4" s="1"/>
  <c r="J1201" i="4" a="1"/>
  <c r="J1201" i="4"/>
  <c r="J1202" i="4" a="1"/>
  <c r="J1202" i="4" s="1"/>
  <c r="J1203" i="4" a="1"/>
  <c r="J1203" i="4" s="1"/>
  <c r="J1204" i="4" a="1"/>
  <c r="J1204" i="4"/>
  <c r="J1205" i="4" a="1"/>
  <c r="J1205" i="4"/>
  <c r="J1206" i="4" a="1"/>
  <c r="J1206" i="4" s="1"/>
  <c r="J1207" i="4" a="1"/>
  <c r="J1207" i="4" s="1"/>
  <c r="J1208" i="4" a="1"/>
  <c r="J1208" i="4" s="1"/>
  <c r="J1209" i="4" a="1"/>
  <c r="J1209" i="4"/>
  <c r="J1210" i="4" a="1"/>
  <c r="J1210" i="4" s="1"/>
  <c r="J1211" i="4" a="1"/>
  <c r="J1211" i="4"/>
  <c r="J1212" i="4" a="1"/>
  <c r="J1212" i="4" s="1"/>
  <c r="J1213" i="4" a="1"/>
  <c r="J1213" i="4" s="1"/>
  <c r="J1214" i="4" a="1"/>
  <c r="J1214" i="4"/>
  <c r="J1215" i="4" a="1"/>
  <c r="J1215" i="4" s="1"/>
  <c r="J1216" i="4" a="1"/>
  <c r="J1216" i="4" s="1"/>
  <c r="J1217" i="4" a="1"/>
  <c r="J1217" i="4"/>
  <c r="J1218" i="4" a="1"/>
  <c r="J1218" i="4" s="1"/>
  <c r="J1219" i="4" a="1"/>
  <c r="J1219" i="4" s="1"/>
  <c r="J1220" i="4" a="1"/>
  <c r="J1220" i="4" s="1"/>
  <c r="J1221" i="4" a="1"/>
  <c r="J1221" i="4"/>
  <c r="J1222" i="4" a="1"/>
  <c r="J1222" i="4"/>
  <c r="J1223" i="4" a="1"/>
  <c r="J1223" i="4"/>
  <c r="J1224" i="4" a="1"/>
  <c r="J1224" i="4" s="1"/>
  <c r="J1225" i="4" a="1"/>
  <c r="J1225" i="4"/>
  <c r="J1226" i="4" a="1"/>
  <c r="J1226" i="4" s="1"/>
  <c r="J1227" i="4" a="1"/>
  <c r="J1227" i="4" s="1"/>
  <c r="J1228" i="4" a="1"/>
  <c r="J1228" i="4" s="1"/>
  <c r="J1229" i="4" a="1"/>
  <c r="J1229" i="4"/>
  <c r="J1230" i="4" a="1"/>
  <c r="J1230" i="4"/>
  <c r="J1231" i="4" a="1"/>
  <c r="J1231" i="4"/>
  <c r="J1232" i="4" a="1"/>
  <c r="J1232" i="4" s="1"/>
  <c r="J1233" i="4" a="1"/>
  <c r="J1233" i="4" s="1"/>
  <c r="J1234" i="4" a="1"/>
  <c r="J1234" i="4" s="1"/>
  <c r="J1235" i="4" a="1"/>
  <c r="J1235" i="4" s="1"/>
  <c r="J1236" i="4" a="1"/>
  <c r="J1236" i="4" s="1"/>
  <c r="J1237" i="4" a="1"/>
  <c r="J1237" i="4"/>
  <c r="J1238" i="4" a="1"/>
  <c r="J1238" i="4" s="1"/>
  <c r="J1239" i="4" a="1"/>
  <c r="J1239" i="4"/>
  <c r="J1240" i="4" a="1"/>
  <c r="J1240" i="4" s="1"/>
  <c r="J1241" i="4" a="1"/>
  <c r="J1241" i="4"/>
  <c r="J1242" i="4" a="1"/>
  <c r="J1242" i="4" s="1"/>
  <c r="J1243" i="4" a="1"/>
  <c r="J1243" i="4" s="1"/>
  <c r="J1244" i="4" a="1"/>
  <c r="J1244" i="4" s="1"/>
  <c r="J1245" i="4" a="1"/>
  <c r="J1245" i="4" s="1"/>
  <c r="J1246" i="4" a="1"/>
  <c r="J1246" i="4"/>
  <c r="J1247" i="4" a="1"/>
  <c r="J1247" i="4"/>
  <c r="J1248" i="4" a="1"/>
  <c r="J1248" i="4" s="1"/>
  <c r="J1249" i="4" a="1"/>
  <c r="J1249" i="4" s="1"/>
  <c r="J1250" i="4" a="1"/>
  <c r="J1250" i="4" s="1"/>
  <c r="J1251" i="4" a="1"/>
  <c r="J1251" i="4" s="1"/>
  <c r="J1252" i="4" a="1"/>
  <c r="J1252" i="4" s="1"/>
  <c r="J1253" i="4" a="1"/>
  <c r="J1253" i="4" s="1"/>
  <c r="J1254" i="4" a="1"/>
  <c r="J1254" i="4" s="1"/>
  <c r="J1255" i="4" a="1"/>
  <c r="J1255" i="4"/>
  <c r="J1256" i="4" a="1"/>
  <c r="J1256" i="4" s="1"/>
  <c r="J1257" i="4" a="1"/>
  <c r="J1257" i="4"/>
  <c r="J1258" i="4" a="1"/>
  <c r="J1258" i="4" s="1"/>
  <c r="J1259" i="4" a="1"/>
  <c r="J1259" i="4" s="1"/>
  <c r="J1260" i="4" a="1"/>
  <c r="J1260" i="4" s="1"/>
  <c r="J1261" i="4" a="1"/>
  <c r="J1261" i="4" s="1"/>
  <c r="J1262" i="4" a="1"/>
  <c r="J1262" i="4" s="1"/>
  <c r="J1263" i="4" a="1"/>
  <c r="J1263" i="4" s="1"/>
  <c r="J1264" i="4" a="1"/>
  <c r="J1264" i="4" s="1"/>
  <c r="J1265" i="4" a="1"/>
  <c r="J1265" i="4"/>
  <c r="J1266" i="4" a="1"/>
  <c r="J1266" i="4" s="1"/>
  <c r="J1267" i="4" a="1"/>
  <c r="J1267" i="4"/>
  <c r="J1268" i="4" a="1"/>
  <c r="J1268" i="4" s="1"/>
  <c r="J1269" i="4" a="1"/>
  <c r="J1269" i="4" s="1"/>
  <c r="J1270" i="4" a="1"/>
  <c r="J1270" i="4" s="1"/>
  <c r="J1271" i="4" a="1"/>
  <c r="J1271" i="4" s="1"/>
  <c r="J1272" i="4" a="1"/>
  <c r="J1272" i="4" s="1"/>
  <c r="J1273" i="4" a="1"/>
  <c r="J1273" i="4"/>
  <c r="J1274" i="4" a="1"/>
  <c r="J1274" i="4" s="1"/>
  <c r="J1275" i="4" a="1"/>
  <c r="J1275" i="4"/>
  <c r="J1276" i="4" a="1"/>
  <c r="J1276" i="4"/>
  <c r="J1277" i="4" a="1"/>
  <c r="J1277" i="4"/>
  <c r="J1278" i="4" a="1"/>
  <c r="J1278" i="4" s="1"/>
  <c r="J1279" i="4" a="1"/>
  <c r="J1279" i="4" s="1"/>
  <c r="J1280" i="4" a="1"/>
  <c r="J1280" i="4" s="1"/>
  <c r="J1281" i="4" a="1"/>
  <c r="J1281" i="4"/>
  <c r="J1282" i="4" a="1"/>
  <c r="J1282" i="4" s="1"/>
  <c r="J1283" i="4" a="1"/>
  <c r="J1283" i="4"/>
  <c r="J1284" i="4" a="1"/>
  <c r="J1284" i="4"/>
  <c r="J1285" i="4" a="1"/>
  <c r="J1285" i="4"/>
  <c r="J1286" i="4" a="1"/>
  <c r="J1286" i="4"/>
  <c r="J1287" i="4" a="1"/>
  <c r="J1287" i="4"/>
  <c r="J1288" i="4" a="1"/>
  <c r="J1288" i="4" s="1"/>
  <c r="J1289" i="4" a="1"/>
  <c r="J1289" i="4"/>
  <c r="J1290" i="4" a="1"/>
  <c r="J1290" i="4" s="1"/>
  <c r="J1291" i="4" a="1"/>
  <c r="J1291" i="4" s="1"/>
  <c r="J1292" i="4" a="1"/>
  <c r="J1292" i="4" s="1"/>
  <c r="J1293" i="4" a="1"/>
  <c r="J1293" i="4" s="1"/>
  <c r="J1294" i="4" a="1"/>
  <c r="J1294" i="4" s="1"/>
  <c r="J1295" i="4" a="1"/>
  <c r="J1295" i="4" s="1"/>
  <c r="J1296" i="4" a="1"/>
  <c r="J1296" i="4" s="1"/>
  <c r="J1297" i="4" a="1"/>
  <c r="J1297" i="4"/>
  <c r="J1298" i="4" a="1"/>
  <c r="J1298" i="4" s="1"/>
  <c r="J1299" i="4" a="1"/>
  <c r="J1299" i="4" s="1"/>
  <c r="J1300" i="4" a="1"/>
  <c r="J1300" i="4" s="1"/>
  <c r="J1301" i="4" a="1"/>
  <c r="J1301" i="4"/>
  <c r="J1302" i="4" a="1"/>
  <c r="J1302" i="4" s="1"/>
  <c r="J1303" i="4" a="1"/>
  <c r="J1303" i="4" s="1"/>
  <c r="J1304" i="4" a="1"/>
  <c r="J1304" i="4" s="1"/>
  <c r="J1305" i="4" a="1"/>
  <c r="J1305" i="4"/>
  <c r="J1306" i="4" a="1"/>
  <c r="J1306" i="4" s="1"/>
  <c r="J1307" i="4" a="1"/>
  <c r="J1307" i="4" s="1"/>
  <c r="J1308" i="4" a="1"/>
  <c r="J1308" i="4" s="1"/>
  <c r="J1309" i="4" a="1"/>
  <c r="J1309" i="4" s="1"/>
  <c r="J1310" i="4" a="1"/>
  <c r="J1310" i="4"/>
  <c r="J1311" i="4" a="1"/>
  <c r="J1311" i="4"/>
  <c r="J1312" i="4" a="1"/>
  <c r="J1312" i="4" s="1"/>
  <c r="J1313" i="4" a="1"/>
  <c r="J1313" i="4"/>
  <c r="J1314" i="4" a="1"/>
  <c r="J1314" i="4" s="1"/>
  <c r="J1315" i="4" a="1"/>
  <c r="J1315" i="4" s="1"/>
  <c r="J1316" i="4" a="1"/>
  <c r="J1316" i="4"/>
  <c r="J1317" i="4" a="1"/>
  <c r="J1317" i="4"/>
  <c r="J1318" i="4" a="1"/>
  <c r="J1318" i="4"/>
  <c r="J1319" i="4" a="1"/>
  <c r="J1319" i="4"/>
  <c r="J1320" i="4" a="1"/>
  <c r="J1320" i="4"/>
  <c r="J1321" i="4" a="1"/>
  <c r="J1321" i="4" s="1"/>
  <c r="J1322" i="4" a="1"/>
  <c r="J1322" i="4" s="1"/>
  <c r="J1323" i="4" a="1"/>
  <c r="J1323" i="4" s="1"/>
  <c r="J1324" i="4" a="1"/>
  <c r="J1324" i="4"/>
  <c r="J1325" i="4" a="1"/>
  <c r="J1325" i="4"/>
  <c r="J1326" i="4" a="1"/>
  <c r="J1326" i="4"/>
  <c r="J1327" i="4" a="1"/>
  <c r="J1327" i="4"/>
  <c r="J1328" i="4" a="1"/>
  <c r="J1328" i="4"/>
  <c r="J1329" i="4" a="1"/>
  <c r="J1329" i="4" s="1"/>
  <c r="J1330" i="4" a="1"/>
  <c r="J1330" i="4" s="1"/>
  <c r="J1331" i="4" a="1"/>
  <c r="J1331" i="4" s="1"/>
  <c r="J1332" i="4" a="1"/>
  <c r="J1332" i="4"/>
  <c r="J1333" i="4" a="1"/>
  <c r="J1333" i="4"/>
  <c r="J1334" i="4" a="1"/>
  <c r="J1334" i="4"/>
  <c r="J1335" i="4" a="1"/>
  <c r="J1335" i="4"/>
  <c r="J1336" i="4" a="1"/>
  <c r="J1336" i="4"/>
  <c r="J1337" i="4" a="1"/>
  <c r="J1337" i="4" s="1"/>
  <c r="J1338" i="4" a="1"/>
  <c r="J1338" i="4" s="1"/>
  <c r="J1339" i="4" a="1"/>
  <c r="J1339" i="4"/>
  <c r="J1340" i="4" a="1"/>
  <c r="J1340" i="4"/>
  <c r="J1341" i="4" a="1"/>
  <c r="J1341" i="4"/>
  <c r="J1342" i="4" a="1"/>
  <c r="J1342" i="4"/>
  <c r="J1343" i="4" a="1"/>
  <c r="J1343" i="4" s="1"/>
  <c r="J1344" i="4" a="1"/>
  <c r="J1344" i="4"/>
  <c r="J1345" i="4" a="1"/>
  <c r="J1345" i="4" s="1"/>
  <c r="J1346" i="4" a="1"/>
  <c r="J1346" i="4" s="1"/>
  <c r="J1347" i="4" a="1"/>
  <c r="J1347" i="4"/>
  <c r="J1348" i="4" a="1"/>
  <c r="J1348" i="4"/>
  <c r="J1349" i="4" a="1"/>
  <c r="J1349" i="4"/>
  <c r="J1350" i="4" a="1"/>
  <c r="J1350" i="4"/>
  <c r="J1351" i="4" a="1"/>
  <c r="J1351" i="4" s="1"/>
  <c r="J1352" i="4" a="1"/>
  <c r="J1352" i="4" s="1"/>
  <c r="J1353" i="4" a="1"/>
  <c r="J1353" i="4" s="1"/>
  <c r="J1354" i="4" a="1"/>
  <c r="J1354" i="4" s="1"/>
  <c r="J1355" i="4" a="1"/>
  <c r="J1355" i="4"/>
  <c r="J1356" i="4" a="1"/>
  <c r="J1356" i="4"/>
  <c r="J1357" i="4" a="1"/>
  <c r="J1357" i="4"/>
  <c r="J1358" i="4" a="1"/>
  <c r="J1358" i="4"/>
  <c r="J1359" i="4" a="1"/>
  <c r="J1359" i="4"/>
  <c r="J1360" i="4" a="1"/>
  <c r="J1360" i="4" s="1"/>
  <c r="J1361" i="4" a="1"/>
  <c r="J1361" i="4" s="1"/>
  <c r="J1362" i="4" a="1"/>
  <c r="J1362" i="4" s="1"/>
  <c r="J1363" i="4" a="1"/>
  <c r="J1363" i="4" s="1"/>
  <c r="J1364" i="4" a="1"/>
  <c r="J1364" i="4"/>
  <c r="J1365" i="4" a="1"/>
  <c r="J1365" i="4"/>
  <c r="J1366" i="4" a="1"/>
  <c r="J1366" i="4"/>
  <c r="J1367" i="4" a="1"/>
  <c r="J1367" i="4"/>
  <c r="J1368" i="4" a="1"/>
  <c r="J1368" i="4"/>
  <c r="J1369" i="4" a="1"/>
  <c r="J1369" i="4" s="1"/>
  <c r="J1370" i="4" a="1"/>
  <c r="J1370" i="4" s="1"/>
  <c r="J1371" i="4" a="1"/>
  <c r="J1371" i="4" s="1"/>
  <c r="J1372" i="4" a="1"/>
  <c r="J1372" i="4"/>
  <c r="J1373" i="4" a="1"/>
  <c r="J1373" i="4"/>
  <c r="J1374" i="4" a="1"/>
  <c r="J1374" i="4"/>
  <c r="J1375" i="4" a="1"/>
  <c r="J1375" i="4" s="1"/>
  <c r="J1376" i="4" a="1"/>
  <c r="J1376" i="4"/>
  <c r="J1377" i="4" a="1"/>
  <c r="J1377" i="4" s="1"/>
  <c r="J1378" i="4" a="1"/>
  <c r="J1378" i="4" s="1"/>
  <c r="J1379" i="4" a="1"/>
  <c r="J1379" i="4" s="1"/>
  <c r="J1380" i="4" a="1"/>
  <c r="J1380" i="4"/>
  <c r="J1381" i="4" a="1"/>
  <c r="J1381" i="4"/>
  <c r="J1382" i="4" a="1"/>
  <c r="J1382" i="4"/>
  <c r="J1383" i="4" a="1"/>
  <c r="J1383" i="4"/>
  <c r="J1384" i="4" a="1"/>
  <c r="J1384" i="4"/>
  <c r="J1385" i="4" a="1"/>
  <c r="J1385" i="4" s="1"/>
  <c r="J1386" i="4" a="1"/>
  <c r="J1386" i="4" s="1"/>
  <c r="J1387" i="4" a="1"/>
  <c r="J1387" i="4"/>
  <c r="J1388" i="4" a="1"/>
  <c r="J1388" i="4"/>
  <c r="J1389" i="4" a="1"/>
  <c r="J1389" i="4"/>
  <c r="J1390" i="4" a="1"/>
  <c r="J1390" i="4"/>
  <c r="J1391" i="4" a="1"/>
  <c r="J1391" i="4" s="1"/>
  <c r="J1392" i="4" a="1"/>
  <c r="J1392" i="4"/>
  <c r="J1393" i="4" a="1"/>
  <c r="J1393" i="4" s="1"/>
  <c r="J1394" i="4" a="1"/>
  <c r="J1394" i="4" s="1"/>
  <c r="J1395" i="4" a="1"/>
  <c r="J1395" i="4"/>
  <c r="J1396" i="4" a="1"/>
  <c r="J1396" i="4"/>
  <c r="J1397" i="4" a="1"/>
  <c r="J1397" i="4"/>
  <c r="J1398" i="4" a="1"/>
  <c r="J1398" i="4"/>
  <c r="J1399" i="4" a="1"/>
  <c r="J1399" i="4" s="1"/>
  <c r="J1400" i="4" a="1"/>
  <c r="J1400" i="4" s="1"/>
  <c r="J1401" i="4" a="1"/>
  <c r="J1401" i="4" s="1"/>
  <c r="J1402" i="4" a="1"/>
  <c r="J1402" i="4" s="1"/>
  <c r="J1403" i="4" a="1"/>
  <c r="J1403" i="4"/>
  <c r="J1404" i="4" a="1"/>
  <c r="J1404" i="4"/>
  <c r="J1405" i="4" a="1"/>
  <c r="J1405" i="4"/>
  <c r="J1406" i="4" a="1"/>
  <c r="J1406" i="4"/>
  <c r="J1407" i="4" a="1"/>
  <c r="J1407" i="4" s="1"/>
  <c r="J1408" i="4" a="1"/>
  <c r="J1408" i="4"/>
  <c r="J1409" i="4" a="1"/>
  <c r="J1409" i="4" s="1"/>
  <c r="J1410" i="4" a="1"/>
  <c r="J1410" i="4" s="1"/>
  <c r="J1411" i="4" a="1"/>
  <c r="J1411" i="4"/>
  <c r="J1412" i="4" a="1"/>
  <c r="J1412" i="4"/>
  <c r="J1413" i="4" a="1"/>
  <c r="J1413" i="4"/>
  <c r="J1414" i="4" a="1"/>
  <c r="J1414" i="4"/>
  <c r="J1415" i="4" a="1"/>
  <c r="J1415" i="4" s="1"/>
  <c r="J1416" i="4" a="1"/>
  <c r="J1416" i="4" s="1"/>
  <c r="J1417" i="4" a="1"/>
  <c r="J1417" i="4" s="1"/>
  <c r="J1418" i="4" a="1"/>
  <c r="J1418" i="4" s="1"/>
  <c r="J1419" i="4" a="1"/>
  <c r="J1419" i="4"/>
  <c r="J1420" i="4" a="1"/>
  <c r="J1420" i="4"/>
  <c r="J1421" i="4" a="1"/>
  <c r="J1421" i="4"/>
  <c r="J1422" i="4" a="1"/>
  <c r="J1422" i="4"/>
  <c r="J1423" i="4" a="1"/>
  <c r="J1423" i="4" s="1"/>
  <c r="J1424" i="4" a="1"/>
  <c r="J1424" i="4" s="1"/>
  <c r="J1425" i="4" a="1"/>
  <c r="J1425" i="4" s="1"/>
  <c r="J1426" i="4" a="1"/>
  <c r="J1426" i="4" s="1"/>
  <c r="J1427" i="4" a="1"/>
  <c r="J1427" i="4"/>
  <c r="J1428" i="4" a="1"/>
  <c r="J1428" i="4"/>
  <c r="J1429" i="4" a="1"/>
  <c r="J1429" i="4"/>
  <c r="J1430" i="4" a="1"/>
  <c r="J1430" i="4"/>
  <c r="J1431" i="4" a="1"/>
  <c r="J1431" i="4"/>
  <c r="J1432" i="4" a="1"/>
  <c r="J1432" i="4"/>
  <c r="J1433" i="4" a="1"/>
  <c r="J1433" i="4" s="1"/>
  <c r="J1434" i="4" a="1"/>
  <c r="J1434" i="4" s="1"/>
  <c r="J1435" i="4" a="1"/>
  <c r="J1435" i="4" s="1"/>
  <c r="J1436" i="4" a="1"/>
  <c r="J1436" i="4"/>
  <c r="J1437" i="4" a="1"/>
  <c r="J1437" i="4"/>
  <c r="J1438" i="4" a="1"/>
  <c r="J1438" i="4"/>
  <c r="J1439" i="4" a="1"/>
  <c r="J1439" i="4"/>
  <c r="J1440" i="4" a="1"/>
  <c r="J1440" i="4"/>
  <c r="J1441" i="4" a="1"/>
  <c r="J1441" i="4" s="1"/>
  <c r="J1442" i="4" a="1"/>
  <c r="J1442" i="4" s="1"/>
  <c r="J1443" i="4" a="1"/>
  <c r="J1443" i="4" s="1"/>
  <c r="J1444" i="4" a="1"/>
  <c r="J1444" i="4"/>
  <c r="J1445" i="4" a="1"/>
  <c r="J1445" i="4"/>
  <c r="J1446" i="4" a="1"/>
  <c r="J1446" i="4"/>
  <c r="J1447" i="4" a="1"/>
  <c r="J1447" i="4" s="1"/>
  <c r="J1448" i="4" a="1"/>
  <c r="J1448" i="4" s="1"/>
  <c r="J1449" i="4" a="1"/>
  <c r="J1449" i="4" s="1"/>
  <c r="J1450" i="4" a="1"/>
  <c r="J1450" i="4" s="1"/>
  <c r="J1451" i="4" a="1"/>
  <c r="J1451" i="4"/>
  <c r="J1452" i="4" a="1"/>
  <c r="J1452" i="4"/>
  <c r="J1453" i="4" a="1"/>
  <c r="J1453" i="4"/>
  <c r="J1454" i="4" a="1"/>
  <c r="J1454" i="4"/>
  <c r="J1455" i="4" a="1"/>
  <c r="J1455" i="4"/>
  <c r="J1456" i="4" a="1"/>
  <c r="J1456" i="4" s="1"/>
  <c r="J1457" i="4" a="1"/>
  <c r="J1457" i="4" s="1"/>
  <c r="J1458" i="4" a="1"/>
  <c r="J1458" i="4" s="1"/>
  <c r="J1459" i="4" a="1"/>
  <c r="J1459" i="4" s="1"/>
  <c r="J1460" i="4" a="1"/>
  <c r="J1460" i="4"/>
  <c r="J1461" i="4" a="1"/>
  <c r="J1461" i="4"/>
  <c r="J1462" i="4" a="1"/>
  <c r="J1462" i="4"/>
  <c r="J1463" i="4" a="1"/>
  <c r="J1463" i="4"/>
  <c r="J1464" i="4" a="1"/>
  <c r="J1464" i="4"/>
  <c r="J1465" i="4" a="1"/>
  <c r="J1465" i="4" s="1"/>
  <c r="J1466" i="4" a="1"/>
  <c r="J1466" i="4" s="1"/>
  <c r="J1467" i="4" a="1"/>
  <c r="J1467" i="4" s="1"/>
  <c r="J1468" i="4" a="1"/>
  <c r="J1468" i="4"/>
  <c r="J1469" i="4" a="1"/>
  <c r="J1469" i="4"/>
  <c r="J1470" i="4" a="1"/>
  <c r="J1470" i="4"/>
  <c r="J1471" i="4" a="1"/>
  <c r="J1471" i="4" s="1"/>
  <c r="J1472" i="4" a="1"/>
  <c r="J1472" i="4"/>
  <c r="J1473" i="4" a="1"/>
  <c r="J1473" i="4" s="1"/>
  <c r="J1474" i="4" a="1"/>
  <c r="J1474" i="4" s="1"/>
  <c r="J1475" i="4" a="1"/>
  <c r="J1475" i="4"/>
  <c r="J1476" i="4" a="1"/>
  <c r="J1476" i="4"/>
  <c r="J1477" i="4" a="1"/>
  <c r="J1477" i="4"/>
  <c r="J1478" i="4" a="1"/>
  <c r="J1478" i="4"/>
  <c r="J1479" i="4" a="1"/>
  <c r="J1479" i="4" s="1"/>
  <c r="J1480" i="4" a="1"/>
  <c r="J1480" i="4" s="1"/>
  <c r="J1481" i="4" a="1"/>
  <c r="J1481" i="4" s="1"/>
  <c r="J1482" i="4" a="1"/>
  <c r="J1482" i="4" s="1"/>
  <c r="J1483" i="4" a="1"/>
  <c r="J1483" i="4"/>
  <c r="J1484" i="4" a="1"/>
  <c r="J1484" i="4"/>
  <c r="J1485" i="4" a="1"/>
  <c r="J1485" i="4"/>
  <c r="J1486" i="4" a="1"/>
  <c r="J1486" i="4"/>
  <c r="J1487" i="4" a="1"/>
  <c r="J1487" i="4"/>
  <c r="J1488" i="4" a="1"/>
  <c r="J1488" i="4" s="1"/>
  <c r="J1489" i="4" a="1"/>
  <c r="J1489" i="4" s="1"/>
  <c r="J1490" i="4" a="1"/>
  <c r="J1490" i="4" s="1"/>
  <c r="J1491" i="4" a="1"/>
  <c r="J1491" i="4"/>
  <c r="J1492" i="4" a="1"/>
  <c r="J1492" i="4"/>
  <c r="J1493" i="4" a="1"/>
  <c r="J1493" i="4"/>
  <c r="J1494" i="4" a="1"/>
  <c r="J1494" i="4"/>
  <c r="J1495" i="4" a="1"/>
  <c r="J1495" i="4" s="1"/>
  <c r="J1496" i="4" a="1"/>
  <c r="J1496" i="4" s="1"/>
  <c r="J1497" i="4" a="1"/>
  <c r="J1497" i="4" s="1"/>
  <c r="J1498" i="4" a="1"/>
  <c r="J1498" i="4" s="1"/>
  <c r="J1499" i="4" a="1"/>
  <c r="J1499" i="4" s="1"/>
  <c r="J1500" i="4" a="1"/>
  <c r="J1500" i="4"/>
  <c r="J1501" i="4" a="1"/>
  <c r="J1501" i="4"/>
  <c r="J1502" i="4" a="1"/>
  <c r="J1502" i="4"/>
  <c r="J1503" i="4" a="1"/>
  <c r="J1503" i="4"/>
  <c r="J1504" i="4" a="1"/>
  <c r="J1504" i="4"/>
  <c r="J1505" i="4" a="1"/>
  <c r="J1505" i="4" s="1"/>
  <c r="J1506" i="4" a="1"/>
  <c r="J1506" i="4" s="1"/>
  <c r="J1507" i="4" a="1"/>
  <c r="J1507" i="4" s="1"/>
  <c r="J1508" i="4" a="1"/>
  <c r="J1508" i="4"/>
  <c r="J1509" i="4" a="1"/>
  <c r="J1509" i="4"/>
  <c r="J1510" i="4" a="1"/>
  <c r="J1510" i="4"/>
  <c r="J1511" i="4" a="1"/>
  <c r="J1511" i="4"/>
  <c r="J1512" i="4" a="1"/>
  <c r="J1512" i="4"/>
  <c r="J1513" i="4" a="1"/>
  <c r="J1513" i="4" s="1"/>
  <c r="J1514" i="4" a="1"/>
  <c r="J1514" i="4" s="1"/>
  <c r="J1515" i="4" a="1"/>
  <c r="J1515" i="4" s="1"/>
  <c r="J1516" i="4" a="1"/>
  <c r="J1516" i="4"/>
  <c r="J1517" i="4" a="1"/>
  <c r="J1517" i="4"/>
  <c r="J1518" i="4" a="1"/>
  <c r="J1518" i="4"/>
  <c r="J1519" i="4" a="1"/>
  <c r="J1519" i="4"/>
  <c r="J1520" i="4" a="1"/>
  <c r="J1520" i="4"/>
  <c r="J1521" i="4" a="1"/>
  <c r="J1521" i="4" s="1"/>
  <c r="J1522" i="4" a="1"/>
  <c r="J1522" i="4" s="1"/>
  <c r="J1523" i="4" a="1"/>
  <c r="J1523" i="4"/>
  <c r="J1524" i="4" a="1"/>
  <c r="J1524" i="4"/>
  <c r="J1525" i="4" a="1"/>
  <c r="J1525" i="4"/>
  <c r="J1526" i="4" a="1"/>
  <c r="J1526" i="4"/>
  <c r="J1527" i="4" a="1"/>
  <c r="J1527" i="4"/>
  <c r="J1528" i="4" a="1"/>
  <c r="J1528" i="4"/>
  <c r="J1529" i="4" a="1"/>
  <c r="J1529" i="4" s="1"/>
  <c r="J1530" i="4" a="1"/>
  <c r="J1530" i="4" s="1"/>
  <c r="J1531" i="4" a="1"/>
  <c r="J1531" i="4"/>
  <c r="J1532" i="4" a="1"/>
  <c r="J1532" i="4"/>
  <c r="J1533" i="4" a="1"/>
  <c r="J1533" i="4"/>
  <c r="J1534" i="4" a="1"/>
  <c r="J1534" i="4"/>
  <c r="J1535" i="4" a="1"/>
  <c r="J1535" i="4" s="1"/>
  <c r="J1536" i="4" a="1"/>
  <c r="J1536" i="4"/>
  <c r="J1537" i="4" a="1"/>
  <c r="J1537" i="4" s="1"/>
  <c r="J1538" i="4" a="1"/>
  <c r="J1538" i="4" s="1"/>
  <c r="J1539" i="4" a="1"/>
  <c r="J1539" i="4" s="1"/>
  <c r="J1540" i="4" a="1"/>
  <c r="J1540" i="4"/>
  <c r="J1541" i="4" a="1"/>
  <c r="J1541" i="4"/>
  <c r="J1542" i="4" a="1"/>
  <c r="J1542" i="4"/>
  <c r="J1543" i="4" a="1"/>
  <c r="J1543" i="4" s="1"/>
  <c r="J1544" i="4" a="1"/>
  <c r="J1544" i="4" s="1"/>
  <c r="J1545" i="4" a="1"/>
  <c r="J1545" i="4" s="1"/>
  <c r="J1546" i="4" a="1"/>
  <c r="J1546" i="4" s="1"/>
  <c r="J1547" i="4" a="1"/>
  <c r="J1547" i="4"/>
  <c r="J1548" i="4" a="1"/>
  <c r="J1548" i="4"/>
  <c r="J1549" i="4" a="1"/>
  <c r="J1549" i="4"/>
  <c r="J1550" i="4" a="1"/>
  <c r="J1550" i="4"/>
  <c r="J1551" i="4" a="1"/>
  <c r="J1551" i="4"/>
  <c r="J1552" i="4" a="1"/>
  <c r="J1552" i="4" s="1"/>
  <c r="J1553" i="4" a="1"/>
  <c r="J1553" i="4" s="1"/>
  <c r="J1554" i="4" a="1"/>
  <c r="J1554" i="4" s="1"/>
  <c r="J1555" i="4" a="1"/>
  <c r="J1555" i="4" s="1"/>
  <c r="J1556" i="4" a="1"/>
  <c r="J1556" i="4"/>
  <c r="J1557" i="4" a="1"/>
  <c r="J1557" i="4"/>
  <c r="J1558" i="4" a="1"/>
  <c r="J1558" i="4"/>
  <c r="J1559" i="4" a="1"/>
  <c r="J1559" i="4"/>
  <c r="J1560" i="4" a="1"/>
  <c r="J1560" i="4"/>
  <c r="J1561" i="4" a="1"/>
  <c r="J1561" i="4" s="1"/>
  <c r="J1562" i="4" a="1"/>
  <c r="J1562" i="4" s="1"/>
  <c r="J1563" i="4" a="1"/>
  <c r="J1563" i="4" s="1"/>
  <c r="J1564" i="4" a="1"/>
  <c r="J1564" i="4"/>
  <c r="J1565" i="4" a="1"/>
  <c r="J1565" i="4"/>
  <c r="J1566" i="4" a="1"/>
  <c r="J1566" i="4"/>
  <c r="J1567" i="4" a="1"/>
  <c r="J1567" i="4"/>
  <c r="J1568" i="4" a="1"/>
  <c r="J1568" i="4" s="1"/>
  <c r="J1569" i="4" a="1"/>
  <c r="J1569" i="4" s="1"/>
  <c r="J1570" i="4" a="1"/>
  <c r="J1570" i="4" s="1"/>
  <c r="J1571" i="4" a="1"/>
  <c r="J1571" i="4" s="1"/>
  <c r="J1572" i="4" a="1"/>
  <c r="J1572" i="4"/>
  <c r="J1573" i="4" a="1"/>
  <c r="J1573" i="4"/>
  <c r="J1574" i="4" a="1"/>
  <c r="J1574" i="4"/>
  <c r="J1575" i="4" a="1"/>
  <c r="J1575" i="4" s="1"/>
  <c r="J1576" i="4" a="1"/>
  <c r="J1576" i="4"/>
  <c r="J1577" i="4" a="1"/>
  <c r="J1577" i="4" s="1"/>
  <c r="J1578" i="4" a="1"/>
  <c r="J1578" i="4" s="1"/>
  <c r="J1579" i="4" a="1"/>
  <c r="J1579" i="4"/>
  <c r="J1580" i="4" a="1"/>
  <c r="J1580" i="4"/>
  <c r="J1581" i="4" a="1"/>
  <c r="J1581" i="4"/>
  <c r="J1582" i="4" a="1"/>
  <c r="J1582" i="4"/>
  <c r="J1583" i="4" a="1"/>
  <c r="J1583" i="4" s="1"/>
  <c r="J1584" i="4" a="1"/>
  <c r="J1584" i="4" s="1"/>
  <c r="J1585" i="4" a="1"/>
  <c r="J1585" i="4" s="1"/>
  <c r="J1586" i="4" a="1"/>
  <c r="J1586" i="4" s="1"/>
  <c r="J1587" i="4" a="1"/>
  <c r="J1587" i="4"/>
  <c r="J1588" i="4" a="1"/>
  <c r="J1588" i="4"/>
  <c r="J1589" i="4" a="1"/>
  <c r="J1589" i="4"/>
  <c r="J1590" i="4" a="1"/>
  <c r="J1590" i="4"/>
  <c r="J1591" i="4" a="1"/>
  <c r="J1591" i="4" s="1"/>
  <c r="J1592" i="4" a="1"/>
  <c r="J1592" i="4" s="1"/>
  <c r="J1593" i="4" a="1"/>
  <c r="J1593" i="4" s="1"/>
  <c r="J1594" i="4" a="1"/>
  <c r="J1594" i="4" s="1"/>
  <c r="J1595" i="4" a="1"/>
  <c r="J1595" i="4"/>
  <c r="J1596" i="4" a="1"/>
  <c r="J1596" i="4"/>
  <c r="J1597" i="4" a="1"/>
  <c r="J1597" i="4"/>
  <c r="J1598" i="4" a="1"/>
  <c r="J1598" i="4"/>
  <c r="J1599" i="4" a="1"/>
  <c r="J1599" i="4" s="1"/>
  <c r="J1600" i="4" a="1"/>
  <c r="J1600" i="4"/>
  <c r="J1601" i="4" a="1"/>
  <c r="J1601" i="4" s="1"/>
  <c r="J1602" i="4" a="1"/>
  <c r="J1602" i="4" s="1"/>
  <c r="J1603" i="4" a="1"/>
  <c r="J1603" i="4"/>
  <c r="J1604" i="4" a="1"/>
  <c r="J1604" i="4"/>
  <c r="J1605" i="4" a="1"/>
  <c r="J1605" i="4"/>
  <c r="J1606" i="4" a="1"/>
  <c r="J1606" i="4"/>
  <c r="J1607" i="4" a="1"/>
  <c r="J1607" i="4" s="1"/>
  <c r="J1608" i="4" a="1"/>
  <c r="J1608" i="4" s="1"/>
  <c r="J1609" i="4" a="1"/>
  <c r="J1609" i="4" s="1"/>
  <c r="J1610" i="4" a="1"/>
  <c r="J1610" i="4" s="1"/>
  <c r="J1611" i="4" a="1"/>
  <c r="J1611" i="4"/>
  <c r="J1612" i="4" a="1"/>
  <c r="J1612" i="4"/>
  <c r="J1613" i="4" a="1"/>
  <c r="J1613" i="4"/>
  <c r="J1614" i="4" a="1"/>
  <c r="J1614" i="4"/>
  <c r="J1615" i="4" a="1"/>
  <c r="J1615" i="4"/>
  <c r="J1616" i="4" a="1"/>
  <c r="J1616" i="4" s="1"/>
  <c r="J1617" i="4" a="1"/>
  <c r="J1617" i="4" s="1"/>
  <c r="J1618" i="4" a="1"/>
  <c r="J1618" i="4" s="1"/>
  <c r="J1619" i="4" a="1"/>
  <c r="J1619" i="4"/>
  <c r="J1620" i="4" a="1"/>
  <c r="J1620" i="4"/>
  <c r="J1621" i="4" a="1"/>
  <c r="J1621" i="4"/>
  <c r="J1622" i="4" a="1"/>
  <c r="J1622" i="4"/>
  <c r="J1623" i="4" a="1"/>
  <c r="J1623" i="4" s="1"/>
  <c r="J1624" i="4" a="1"/>
  <c r="J1624" i="4"/>
  <c r="J1625" i="4" a="1"/>
  <c r="J1625" i="4" s="1"/>
  <c r="J1626" i="4" a="1"/>
  <c r="J1626" i="4" s="1"/>
  <c r="J1627" i="4" a="1"/>
  <c r="J1627" i="4" s="1"/>
  <c r="J1628" i="4" a="1"/>
  <c r="J1628" i="4"/>
  <c r="J1629" i="4" a="1"/>
  <c r="J1629" i="4"/>
  <c r="J1630" i="4" a="1"/>
  <c r="J1630" i="4"/>
  <c r="J1631" i="4" a="1"/>
  <c r="J1631" i="4"/>
  <c r="J1632" i="4" a="1"/>
  <c r="J1632" i="4"/>
  <c r="J1633" i="4" a="1"/>
  <c r="J1633" i="4" s="1"/>
  <c r="J1634" i="4" a="1"/>
  <c r="J1634" i="4" s="1"/>
  <c r="J1635" i="4" a="1"/>
  <c r="J1635" i="4" s="1"/>
  <c r="J1636" i="4" a="1"/>
  <c r="J1636" i="4"/>
  <c r="J1637" i="4" a="1"/>
  <c r="J1637" i="4"/>
  <c r="J1638" i="4" a="1"/>
  <c r="J1638" i="4"/>
  <c r="J1639" i="4" a="1"/>
  <c r="J1639" i="4"/>
  <c r="J1640" i="4" a="1"/>
  <c r="J1640" i="4" s="1"/>
  <c r="J1641" i="4" a="1"/>
  <c r="J1641" i="4" s="1"/>
  <c r="J1642" i="4" a="1"/>
  <c r="J1642" i="4" s="1"/>
  <c r="J1643" i="4" a="1"/>
  <c r="J1643" i="4" s="1"/>
  <c r="J1644" i="4" a="1"/>
  <c r="J1644" i="4"/>
  <c r="J1645" i="4" a="1"/>
  <c r="J1645" i="4"/>
  <c r="J1646" i="4" a="1"/>
  <c r="J1646" i="4"/>
  <c r="J1647" i="4" a="1"/>
  <c r="J1647" i="4"/>
  <c r="J1648" i="4" a="1"/>
  <c r="J1648" i="4"/>
  <c r="J1649" i="4" a="1"/>
  <c r="J1649" i="4" s="1"/>
  <c r="J1650" i="4" a="1"/>
  <c r="J1650" i="4" s="1"/>
  <c r="J1651" i="4" a="1"/>
  <c r="J1651" i="4" s="1"/>
  <c r="J1652" i="4" a="1"/>
  <c r="J1652" i="4"/>
  <c r="J1653" i="4" a="1"/>
  <c r="J1653" i="4"/>
  <c r="J1654" i="4" a="1"/>
  <c r="J1654" i="4"/>
  <c r="J1655" i="4" a="1"/>
  <c r="J1655" i="4"/>
  <c r="J1656" i="4" a="1"/>
  <c r="J1656" i="4"/>
  <c r="J1657" i="4" a="1"/>
  <c r="J1657" i="4" s="1"/>
  <c r="J1658" i="4" a="1"/>
  <c r="J1658" i="4" s="1"/>
  <c r="J1659" i="4" a="1"/>
  <c r="J1659" i="4" s="1"/>
  <c r="J1660" i="4" a="1"/>
  <c r="J1660" i="4"/>
  <c r="J1661" i="4" a="1"/>
  <c r="J1661" i="4"/>
  <c r="J1662" i="4" a="1"/>
  <c r="J1662" i="4"/>
  <c r="J1663" i="4" a="1"/>
  <c r="J1663" i="4" s="1"/>
  <c r="J1664" i="4" a="1"/>
  <c r="J1664" i="4" s="1"/>
  <c r="J1665" i="4" a="1"/>
  <c r="J1665" i="4" s="1"/>
  <c r="J1666" i="4" a="1"/>
  <c r="J1666" i="4" s="1"/>
  <c r="J1667" i="4" a="1"/>
  <c r="J1667" i="4"/>
  <c r="J1668" i="4" a="1"/>
  <c r="J1668" i="4"/>
  <c r="J1669" i="4" a="1"/>
  <c r="J1669" i="4"/>
  <c r="J1670" i="4" a="1"/>
  <c r="J1670" i="4"/>
  <c r="J1671" i="4" a="1"/>
  <c r="J1671" i="4" s="1"/>
  <c r="J1672" i="4" a="1"/>
  <c r="J1672" i="4" s="1"/>
  <c r="J1673" i="4" a="1"/>
  <c r="J1673" i="4" s="1"/>
  <c r="J1674" i="4" a="1"/>
  <c r="J1674" i="4" s="1"/>
  <c r="J1675" i="4" a="1"/>
  <c r="J1675" i="4" s="1"/>
  <c r="J1676" i="4" a="1"/>
  <c r="J1676" i="4"/>
  <c r="J1677" i="4" a="1"/>
  <c r="J1677" i="4"/>
  <c r="J1678" i="4" a="1"/>
  <c r="J1678" i="4"/>
  <c r="J1679" i="4" a="1"/>
  <c r="J1679" i="4"/>
  <c r="J1680" i="4" a="1"/>
  <c r="J1680" i="4" s="1"/>
  <c r="J1681" i="4" a="1"/>
  <c r="J1681" i="4" s="1"/>
  <c r="J1682" i="4" a="1"/>
  <c r="J1682" i="4" s="1"/>
  <c r="J1683" i="4" a="1"/>
  <c r="J1683" i="4"/>
  <c r="J1684" i="4" a="1"/>
  <c r="J1684" i="4"/>
  <c r="J1685" i="4" a="1"/>
  <c r="J1685" i="4"/>
  <c r="J1686" i="4" a="1"/>
  <c r="J1686" i="4"/>
  <c r="J1687" i="4" a="1"/>
  <c r="J1687" i="4"/>
  <c r="J1688" i="4" a="1"/>
  <c r="J1688" i="4" s="1"/>
  <c r="J1689" i="4" a="1"/>
  <c r="J1689" i="4" s="1"/>
  <c r="J1690" i="4" a="1"/>
  <c r="J1690" i="4" s="1"/>
  <c r="J1691" i="4" a="1"/>
  <c r="J1691" i="4" s="1"/>
  <c r="J1692" i="4" a="1"/>
  <c r="J1692" i="4"/>
  <c r="J1693" i="4" a="1"/>
  <c r="J1693" i="4"/>
  <c r="J1694" i="4" a="1"/>
  <c r="J1694" i="4"/>
  <c r="J1695" i="4" a="1"/>
  <c r="J1695" i="4"/>
  <c r="J1696" i="4" a="1"/>
  <c r="J1696" i="4"/>
  <c r="J1697" i="4" a="1"/>
  <c r="J1697" i="4" s="1"/>
  <c r="J1698" i="4" a="1"/>
  <c r="J1698" i="4" s="1"/>
  <c r="J1699" i="4" a="1"/>
  <c r="J1699" i="4" s="1"/>
  <c r="J1700" i="4" a="1"/>
  <c r="J1700" i="4"/>
  <c r="J1701" i="4" a="1"/>
  <c r="J1701" i="4"/>
  <c r="J1702" i="4" a="1"/>
  <c r="J1702" i="4"/>
  <c r="J1703" i="4" a="1"/>
  <c r="J1703" i="4"/>
  <c r="J1704" i="4" a="1"/>
  <c r="J1704" i="4"/>
  <c r="J1705" i="4" a="1"/>
  <c r="J1705" i="4" s="1"/>
  <c r="J1706" i="4" a="1"/>
  <c r="J1706" i="4" s="1"/>
  <c r="J1707" i="4" a="1"/>
  <c r="J1707" i="4"/>
  <c r="J1708" i="4" a="1"/>
  <c r="J1708" i="4"/>
  <c r="J1709" i="4" a="1"/>
  <c r="J1709" i="4"/>
  <c r="J1710" i="4" a="1"/>
  <c r="J1710" i="4"/>
  <c r="J1711" i="4" a="1"/>
  <c r="J1711" i="4"/>
  <c r="J1712" i="4" a="1"/>
  <c r="J1712" i="4"/>
  <c r="J1713" i="4" a="1"/>
  <c r="J1713" i="4" s="1"/>
  <c r="J1714" i="4" a="1"/>
  <c r="J1714" i="4" s="1"/>
  <c r="J1715" i="4" a="1"/>
  <c r="J1715" i="4"/>
  <c r="J1716" i="4" a="1"/>
  <c r="J1716" i="4"/>
  <c r="J1717" i="4" a="1"/>
  <c r="J1717" i="4"/>
  <c r="J1718" i="4" a="1"/>
  <c r="J1718" i="4"/>
  <c r="J1719" i="4" a="1"/>
  <c r="J1719" i="4" s="1"/>
  <c r="J1720" i="4" a="1"/>
  <c r="J1720" i="4"/>
  <c r="J1721" i="4" a="1"/>
  <c r="J1721" i="4" s="1"/>
  <c r="J1722" i="4" a="1"/>
  <c r="J1722" i="4" s="1"/>
  <c r="J1723" i="4" a="1"/>
  <c r="J1723" i="4"/>
  <c r="J1724" i="4" a="1"/>
  <c r="J1724" i="4"/>
  <c r="J1725" i="4" a="1"/>
  <c r="J1725" i="4"/>
  <c r="J1726" i="4" a="1"/>
  <c r="J1726" i="4"/>
  <c r="J1727" i="4" a="1"/>
  <c r="J1727" i="4" s="1"/>
  <c r="J1728" i="4" a="1"/>
  <c r="J1728" i="4"/>
  <c r="J1729" i="4" a="1"/>
  <c r="J1729" i="4" s="1"/>
  <c r="J1730" i="4" a="1"/>
  <c r="J1730" i="4" s="1"/>
  <c r="J1731" i="4" a="1"/>
  <c r="J1731" i="4"/>
  <c r="J1732" i="4" a="1"/>
  <c r="J1732" i="4"/>
  <c r="J1733" i="4" a="1"/>
  <c r="J1733" i="4"/>
  <c r="J1734" i="4" a="1"/>
  <c r="J1734" i="4"/>
  <c r="J1735" i="4" a="1"/>
  <c r="J1735" i="4" s="1"/>
  <c r="J1736" i="4" a="1"/>
  <c r="J1736" i="4" s="1"/>
  <c r="J1737" i="4" a="1"/>
  <c r="J1737" i="4" s="1"/>
  <c r="J1738" i="4" a="1"/>
  <c r="J1738" i="4" s="1"/>
  <c r="J1739" i="4" a="1"/>
  <c r="J1739" i="4"/>
  <c r="J1740" i="4" a="1"/>
  <c r="J1740" i="4"/>
  <c r="J1741" i="4" a="1"/>
  <c r="J1741" i="4"/>
  <c r="J1742" i="4" a="1"/>
  <c r="J1742" i="4"/>
  <c r="J1743" i="4" a="1"/>
  <c r="J1743" i="4"/>
  <c r="J1744" i="4" a="1"/>
  <c r="J1744" i="4" s="1"/>
  <c r="J1745" i="4" a="1"/>
  <c r="J1745" i="4" s="1"/>
  <c r="J1746" i="4" a="1"/>
  <c r="J1746" i="4" s="1"/>
  <c r="J1747" i="4" a="1"/>
  <c r="J1747" i="4" s="1"/>
  <c r="J1748" i="4" a="1"/>
  <c r="J1748" i="4"/>
  <c r="J1749" i="4" a="1"/>
  <c r="J1749" i="4"/>
  <c r="J1750" i="4" a="1"/>
  <c r="J1750" i="4"/>
  <c r="J1751" i="4" a="1"/>
  <c r="J1751" i="4"/>
  <c r="J1752" i="4" a="1"/>
  <c r="J1752" i="4"/>
  <c r="J1753" i="4" a="1"/>
  <c r="J1753" i="4" s="1"/>
  <c r="J1754" i="4" a="1"/>
  <c r="J1754" i="4" s="1"/>
  <c r="J1755" i="4" a="1"/>
  <c r="J1755" i="4"/>
  <c r="J1756" i="4" a="1"/>
  <c r="J1756" i="4"/>
  <c r="J1757" i="4" a="1"/>
  <c r="J1757" i="4"/>
  <c r="J1758" i="4" a="1"/>
  <c r="J1758" i="4"/>
  <c r="J1759" i="4" a="1"/>
  <c r="J1759" i="4"/>
  <c r="J1760" i="4" a="1"/>
  <c r="J1760" i="4"/>
  <c r="J1761" i="4" a="1"/>
  <c r="J1761" i="4"/>
  <c r="J1762" i="4" a="1"/>
  <c r="J1762" i="4" s="1"/>
  <c r="J1763" i="4" a="1"/>
  <c r="J1763" i="4" s="1"/>
  <c r="J1764" i="4" a="1"/>
  <c r="J1764" i="4"/>
  <c r="J1765" i="4" a="1"/>
  <c r="J1765" i="4"/>
  <c r="J1766" i="4" a="1"/>
  <c r="J1766" i="4"/>
  <c r="J1767" i="4" a="1"/>
  <c r="J1767" i="4" s="1"/>
  <c r="J1768" i="4" a="1"/>
  <c r="J1768" i="4"/>
  <c r="J1769" i="4" a="1"/>
  <c r="J1769" i="4"/>
  <c r="J1770" i="4" a="1"/>
  <c r="J1770" i="4" s="1"/>
  <c r="J1771" i="4" a="1"/>
  <c r="J1771" i="4"/>
  <c r="J1772" i="4" a="1"/>
  <c r="J1772" i="4"/>
  <c r="J1773" i="4" a="1"/>
  <c r="J1773" i="4"/>
  <c r="J1774" i="4" a="1"/>
  <c r="J1774" i="4"/>
  <c r="J1775" i="4" a="1"/>
  <c r="J1775" i="4"/>
  <c r="J1776" i="4" a="1"/>
  <c r="J1776" i="4"/>
  <c r="J1777" i="4" a="1"/>
  <c r="J1777" i="4"/>
  <c r="J1778" i="4" a="1"/>
  <c r="J1778" i="4" s="1"/>
  <c r="J1779" i="4" a="1"/>
  <c r="J1779" i="4" s="1"/>
  <c r="J1780" i="4" a="1"/>
  <c r="J1780" i="4"/>
  <c r="J1781" i="4" a="1"/>
  <c r="J1781" i="4"/>
  <c r="J1782" i="4" a="1"/>
  <c r="J1782" i="4"/>
  <c r="J1783" i="4" a="1"/>
  <c r="J1783" i="4"/>
  <c r="J1784" i="4" a="1"/>
  <c r="J1784" i="4"/>
  <c r="J1785" i="4" a="1"/>
  <c r="J1785" i="4"/>
  <c r="J1786" i="4" a="1"/>
  <c r="J1786" i="4" s="1"/>
  <c r="J1787" i="4" a="1"/>
  <c r="J1787" i="4"/>
  <c r="J1788" i="4" a="1"/>
  <c r="J1788" i="4"/>
  <c r="J1789" i="4" a="1"/>
  <c r="J1789" i="4"/>
  <c r="J1790" i="4" a="1"/>
  <c r="J1790" i="4"/>
  <c r="J1791" i="4" a="1"/>
  <c r="J1791" i="4" s="1"/>
  <c r="J1792" i="4" a="1"/>
  <c r="J1792" i="4" s="1"/>
  <c r="J1793" i="4" a="1"/>
  <c r="J1793" i="4" s="1"/>
  <c r="J1794" i="4" a="1"/>
  <c r="J1794" i="4" s="1"/>
  <c r="J1795" i="4" a="1"/>
  <c r="J1795" i="4"/>
  <c r="J1796" i="4" a="1"/>
  <c r="J1796" i="4"/>
  <c r="J1797" i="4" a="1"/>
  <c r="J1797" i="4"/>
  <c r="J1798" i="4" a="1"/>
  <c r="J1798" i="4"/>
  <c r="J1799" i="4" a="1"/>
  <c r="J1799" i="4"/>
  <c r="J1800" i="4" a="1"/>
  <c r="J1800" i="4"/>
  <c r="J1801" i="4" a="1"/>
  <c r="J1801" i="4"/>
  <c r="J1802" i="4" a="1"/>
  <c r="J1802" i="4" s="1"/>
  <c r="J1803" i="4" a="1"/>
  <c r="J1803" i="4"/>
  <c r="J1804" i="4" a="1"/>
  <c r="J1804" i="4"/>
  <c r="J1805" i="4" a="1"/>
  <c r="J1805" i="4"/>
  <c r="J1806" i="4" a="1"/>
  <c r="J1806" i="4"/>
  <c r="J1807" i="4" a="1"/>
  <c r="J1807" i="4"/>
  <c r="J1808" i="4" a="1"/>
  <c r="J1808" i="4" s="1"/>
  <c r="J1809" i="4" a="1"/>
  <c r="J1809" i="4" s="1"/>
  <c r="J1810" i="4" a="1"/>
  <c r="J1810" i="4" s="1"/>
  <c r="J1811" i="4" a="1"/>
  <c r="J1811" i="4"/>
  <c r="J1812" i="4" a="1"/>
  <c r="J1812" i="4"/>
  <c r="J1813" i="4" a="1"/>
  <c r="J1813" i="4"/>
  <c r="J1814" i="4" a="1"/>
  <c r="J1814" i="4"/>
  <c r="J1815" i="4" a="1"/>
  <c r="J1815" i="4"/>
  <c r="J1816" i="4" a="1"/>
  <c r="J1816" i="4"/>
  <c r="J1817" i="4" a="1"/>
  <c r="J1817" i="4"/>
  <c r="J1818" i="4" a="1"/>
  <c r="J1818" i="4" s="1"/>
  <c r="J1819" i="4" a="1"/>
  <c r="J1819" i="4" s="1"/>
  <c r="J1820" i="4" a="1"/>
  <c r="J1820" i="4"/>
  <c r="J1821" i="4" a="1"/>
  <c r="J1821" i="4"/>
  <c r="J1822" i="4" a="1"/>
  <c r="J1822" i="4"/>
  <c r="J1823" i="4" a="1"/>
  <c r="J1823" i="4"/>
  <c r="J1824" i="4" a="1"/>
  <c r="J1824" i="4"/>
  <c r="J1825" i="4" a="1"/>
  <c r="J1825" i="4" s="1"/>
  <c r="J1826" i="4" a="1"/>
  <c r="J1826" i="4" s="1"/>
  <c r="J1827" i="4" a="1"/>
  <c r="J1827" i="4"/>
  <c r="J1828" i="4" a="1"/>
  <c r="J1828" i="4"/>
  <c r="J1829" i="4" a="1"/>
  <c r="J1829" i="4"/>
  <c r="J1830" i="4" a="1"/>
  <c r="J1830" i="4"/>
  <c r="J1831" i="4" a="1"/>
  <c r="J1831" i="4" s="1"/>
  <c r="J1832" i="4" a="1"/>
  <c r="J1832" i="4"/>
  <c r="J1833" i="4" a="1"/>
  <c r="J1833" i="4"/>
  <c r="J1834" i="4" a="1"/>
  <c r="J1834" i="4" s="1"/>
  <c r="J1835" i="4" a="1"/>
  <c r="J1835" i="4"/>
  <c r="J1836" i="4" a="1"/>
  <c r="J1836" i="4"/>
  <c r="J1837" i="4" a="1"/>
  <c r="J1837" i="4"/>
  <c r="J1838" i="4" a="1"/>
  <c r="J1838" i="4"/>
  <c r="J1839" i="4" a="1"/>
  <c r="J1839" i="4"/>
  <c r="J1840" i="4" a="1"/>
  <c r="J1840" i="4"/>
  <c r="J1841" i="4" a="1"/>
  <c r="J1841" i="4"/>
  <c r="J1842" i="4" a="1"/>
  <c r="J1842" i="4"/>
  <c r="J1843" i="4" a="1"/>
  <c r="J1843" i="4"/>
  <c r="J1844" i="4" a="1"/>
  <c r="J1844" i="4"/>
  <c r="J1845" i="4" a="1"/>
  <c r="J1845" i="4"/>
  <c r="J1846" i="4" a="1"/>
  <c r="J1846" i="4"/>
  <c r="J1847" i="4" a="1"/>
  <c r="J1847" i="4"/>
  <c r="J1848" i="4" a="1"/>
  <c r="J1848" i="4"/>
  <c r="J1849" i="4" a="1"/>
  <c r="J1849" i="4"/>
  <c r="J1850" i="4" a="1"/>
  <c r="J1850" i="4"/>
  <c r="J1851" i="4" a="1"/>
  <c r="J1851" i="4"/>
  <c r="J1852" i="4" a="1"/>
  <c r="J1852" i="4"/>
  <c r="J1853" i="4" a="1"/>
  <c r="J1853" i="4"/>
  <c r="J1854" i="4" a="1"/>
  <c r="J1854" i="4"/>
  <c r="J1855" i="4" a="1"/>
  <c r="J1855" i="4"/>
  <c r="J1856" i="4" a="1"/>
  <c r="J1856" i="4"/>
  <c r="J1857" i="4" a="1"/>
  <c r="J1857" i="4"/>
  <c r="J1858" i="4" a="1"/>
  <c r="J1858" i="4"/>
  <c r="J1859" i="4" a="1"/>
  <c r="J1859" i="4"/>
  <c r="J1860" i="4" a="1"/>
  <c r="J1860" i="4"/>
  <c r="J1861" i="4" a="1"/>
  <c r="J1861" i="4"/>
  <c r="J1862" i="4" a="1"/>
  <c r="J1862" i="4"/>
  <c r="J1863" i="4" a="1"/>
  <c r="J1863" i="4"/>
  <c r="J1864" i="4" a="1"/>
  <c r="J1864" i="4"/>
  <c r="J1865" i="4" a="1"/>
  <c r="J1865" i="4"/>
  <c r="J1866" i="4" a="1"/>
  <c r="J1866" i="4"/>
  <c r="J1867" i="4" a="1"/>
  <c r="J1867" i="4"/>
  <c r="J1868" i="4" a="1"/>
  <c r="J1868" i="4"/>
  <c r="J1869" i="4" a="1"/>
  <c r="J1869" i="4"/>
  <c r="J1870" i="4" a="1"/>
  <c r="J1870" i="4"/>
  <c r="J1871" i="4" a="1"/>
  <c r="J1871" i="4"/>
  <c r="J1872" i="4" a="1"/>
  <c r="J1872" i="4"/>
  <c r="J1873" i="4" a="1"/>
  <c r="J1873" i="4"/>
  <c r="J1874" i="4" a="1"/>
  <c r="J1874" i="4"/>
  <c r="J1875" i="4" a="1"/>
  <c r="J1875" i="4"/>
  <c r="J1876" i="4" a="1"/>
  <c r="J1876" i="4"/>
  <c r="J1877" i="4" a="1"/>
  <c r="J1877" i="4"/>
  <c r="J1878" i="4" a="1"/>
  <c r="J1878" i="4"/>
  <c r="J1879" i="4" a="1"/>
  <c r="J1879" i="4"/>
  <c r="J1880" i="4" a="1"/>
  <c r="J1880" i="4"/>
  <c r="J1881" i="4" a="1"/>
  <c r="J1881" i="4"/>
  <c r="J1882" i="4" a="1"/>
  <c r="J1882" i="4"/>
  <c r="J1883" i="4" a="1"/>
  <c r="J1883" i="4"/>
  <c r="J1884" i="4" a="1"/>
  <c r="J1884" i="4"/>
  <c r="J1885" i="4" a="1"/>
  <c r="J1885" i="4"/>
  <c r="J1886" i="4" a="1"/>
  <c r="J1886" i="4"/>
  <c r="J1887" i="4" a="1"/>
  <c r="J1887" i="4"/>
  <c r="J1888" i="4" a="1"/>
  <c r="J1888" i="4"/>
  <c r="J1889" i="4" a="1"/>
  <c r="J1889" i="4"/>
  <c r="J1890" i="4" a="1"/>
  <c r="J1890" i="4"/>
  <c r="J1891" i="4" a="1"/>
  <c r="J1891" i="4"/>
  <c r="J1892" i="4" a="1"/>
  <c r="J1892" i="4"/>
  <c r="J1893" i="4" a="1"/>
  <c r="J1893" i="4"/>
  <c r="J1894" i="4" a="1"/>
  <c r="J1894" i="4"/>
  <c r="J1895" i="4" a="1"/>
  <c r="J1895" i="4"/>
  <c r="J1896" i="4" a="1"/>
  <c r="J1896" i="4"/>
  <c r="J1897" i="4" a="1"/>
  <c r="J1897" i="4"/>
  <c r="J1898" i="4" a="1"/>
  <c r="J1898" i="4"/>
  <c r="J1899" i="4" a="1"/>
  <c r="J1899" i="4"/>
  <c r="J1900" i="4" a="1"/>
  <c r="J1900" i="4"/>
  <c r="J1901" i="4" a="1"/>
  <c r="J1901" i="4"/>
  <c r="J1902" i="4" a="1"/>
  <c r="J1902" i="4"/>
  <c r="J1903" i="4" a="1"/>
  <c r="J1903" i="4"/>
  <c r="J1904" i="4" a="1"/>
  <c r="J1904" i="4"/>
  <c r="J1905" i="4" a="1"/>
  <c r="J1905" i="4"/>
  <c r="J1906" i="4" a="1"/>
  <c r="J1906" i="4"/>
  <c r="J1907" i="4" a="1"/>
  <c r="J1907" i="4"/>
  <c r="J1908" i="4" a="1"/>
  <c r="J1908" i="4"/>
  <c r="J1909" i="4" a="1"/>
  <c r="J1909" i="4"/>
  <c r="J1910" i="4" a="1"/>
  <c r="J1910" i="4"/>
  <c r="J1911" i="4" a="1"/>
  <c r="J1911" i="4"/>
  <c r="J1912" i="4" a="1"/>
  <c r="J1912" i="4"/>
  <c r="J1913" i="4" a="1"/>
  <c r="J1913" i="4"/>
  <c r="J1914" i="4" a="1"/>
  <c r="J1914" i="4"/>
  <c r="J1915" i="4" a="1"/>
  <c r="J1915" i="4"/>
  <c r="J1916" i="4" a="1"/>
  <c r="J1916" i="4"/>
  <c r="J1917" i="4" a="1"/>
  <c r="J1917" i="4"/>
  <c r="J1918" i="4" a="1"/>
  <c r="J1918" i="4"/>
  <c r="J1919" i="4" a="1"/>
  <c r="J1919" i="4"/>
  <c r="J1920" i="4" a="1"/>
  <c r="J1920" i="4"/>
  <c r="J1921" i="4" a="1"/>
  <c r="J1921" i="4"/>
  <c r="J1922" i="4" a="1"/>
  <c r="J1922" i="4"/>
  <c r="J1923" i="4" a="1"/>
  <c r="J1923" i="4"/>
  <c r="J1924" i="4" a="1"/>
  <c r="J1924" i="4"/>
  <c r="J1925" i="4" a="1"/>
  <c r="J1925" i="4"/>
  <c r="J1926" i="4" a="1"/>
  <c r="J1926" i="4"/>
  <c r="J1927" i="4" a="1"/>
  <c r="J1927" i="4"/>
  <c r="J1928" i="4" a="1"/>
  <c r="J1928" i="4"/>
  <c r="J1929" i="4" a="1"/>
  <c r="J1929" i="4"/>
  <c r="J1930" i="4" a="1"/>
  <c r="J1930" i="4"/>
  <c r="J1931" i="4" a="1"/>
  <c r="J1931" i="4"/>
  <c r="J1932" i="4" a="1"/>
  <c r="J1932" i="4"/>
  <c r="J1933" i="4" a="1"/>
  <c r="J1933" i="4"/>
  <c r="J1934" i="4" a="1"/>
  <c r="J1934" i="4"/>
  <c r="J1935" i="4" a="1"/>
  <c r="J1935" i="4"/>
  <c r="J1936" i="4" a="1"/>
  <c r="J1936" i="4"/>
  <c r="J1937" i="4" a="1"/>
  <c r="J1937" i="4"/>
  <c r="J1938" i="4" a="1"/>
  <c r="J1938" i="4"/>
  <c r="J1939" i="4" a="1"/>
  <c r="J1939" i="4"/>
  <c r="J1940" i="4" a="1"/>
  <c r="J1940" i="4" s="1"/>
  <c r="J1941" i="4" a="1"/>
  <c r="J1941" i="4"/>
  <c r="J1942" i="4" a="1"/>
  <c r="J1942" i="4"/>
  <c r="J1943" i="4" a="1"/>
  <c r="J1943" i="4" s="1"/>
  <c r="J1944" i="4" a="1"/>
  <c r="J1944" i="4" s="1"/>
  <c r="J1945" i="4" a="1"/>
  <c r="J1945" i="4"/>
  <c r="J1946" i="4" a="1"/>
  <c r="J1946" i="4"/>
  <c r="J1947" i="4" a="1"/>
  <c r="J1947" i="4"/>
  <c r="J1948" i="4" a="1"/>
  <c r="J1948" i="4" s="1"/>
  <c r="J1949" i="4" a="1"/>
  <c r="J1949" i="4"/>
  <c r="J1950" i="4" a="1"/>
  <c r="J1950" i="4"/>
  <c r="J1951" i="4" a="1"/>
  <c r="J1951" i="4"/>
  <c r="J1952" i="4" a="1"/>
  <c r="J1952" i="4"/>
  <c r="J1953" i="4" a="1"/>
  <c r="J1953" i="4"/>
  <c r="J1954" i="4" a="1"/>
  <c r="J1954" i="4"/>
  <c r="J1955" i="4" a="1"/>
  <c r="J1955" i="4"/>
  <c r="J1956" i="4" a="1"/>
  <c r="J1956" i="4" s="1"/>
  <c r="J1957" i="4" a="1"/>
  <c r="J1957" i="4"/>
  <c r="J1958" i="4" a="1"/>
  <c r="J1958" i="4"/>
  <c r="J1959" i="4" a="1"/>
  <c r="J1959" i="4" s="1"/>
  <c r="J1960" i="4" a="1"/>
  <c r="J1960" i="4" s="1"/>
  <c r="J1961" i="4" a="1"/>
  <c r="J1961" i="4" s="1"/>
  <c r="J1962" i="4" a="1"/>
  <c r="J1962" i="4"/>
  <c r="J1963" i="4" a="1"/>
  <c r="J1963" i="4"/>
  <c r="J1964" i="4" a="1"/>
  <c r="J1964" i="4" s="1"/>
  <c r="J1965" i="4" a="1"/>
  <c r="J1965" i="4"/>
  <c r="J1966" i="4" a="1"/>
  <c r="J1966" i="4"/>
  <c r="J1967" i="4" a="1"/>
  <c r="J1967" i="4"/>
  <c r="J1968" i="4" a="1"/>
  <c r="J1968" i="4"/>
  <c r="J1969" i="4" a="1"/>
  <c r="J1969" i="4"/>
  <c r="J1970" i="4" a="1"/>
  <c r="J1970" i="4"/>
  <c r="J1971" i="4" a="1"/>
  <c r="J1971" i="4" s="1"/>
  <c r="J1972" i="4" a="1"/>
  <c r="J1972" i="4" s="1"/>
  <c r="J1973" i="4" a="1"/>
  <c r="J1973" i="4"/>
  <c r="J1974" i="4" a="1"/>
  <c r="J1974" i="4"/>
  <c r="J1975" i="4" a="1"/>
  <c r="J1975" i="4" s="1"/>
  <c r="J1976" i="4" a="1"/>
  <c r="J1976" i="4" s="1"/>
  <c r="J1977" i="4" a="1"/>
  <c r="J1977" i="4" s="1"/>
  <c r="J1978" i="4" a="1"/>
  <c r="J1978" i="4" s="1"/>
  <c r="J1979" i="4" a="1"/>
  <c r="J1979" i="4"/>
  <c r="J1980" i="4" a="1"/>
  <c r="J1980" i="4" s="1"/>
  <c r="J1981" i="4" a="1"/>
  <c r="J1981" i="4"/>
  <c r="J1982" i="4" a="1"/>
  <c r="J1982" i="4"/>
  <c r="J1983" i="4" a="1"/>
  <c r="J1983" i="4"/>
  <c r="J1984" i="4" a="1"/>
  <c r="J1984" i="4"/>
  <c r="J1985" i="4" a="1"/>
  <c r="J1985" i="4"/>
  <c r="J1986" i="4" a="1"/>
  <c r="J1986" i="4"/>
  <c r="J1987" i="4" a="1"/>
  <c r="J1987" i="4"/>
  <c r="J1988" i="4" a="1"/>
  <c r="J1988" i="4" s="1"/>
  <c r="J1989" i="4" a="1"/>
  <c r="J1989" i="4"/>
  <c r="J1990" i="4" a="1"/>
  <c r="J1990" i="4"/>
  <c r="J1991" i="4" a="1"/>
  <c r="J1991" i="4"/>
  <c r="J1992" i="4" a="1"/>
  <c r="J1992" i="4"/>
  <c r="J1993" i="4" a="1"/>
  <c r="J1993" i="4" s="1"/>
  <c r="J1994" i="4" a="1"/>
  <c r="J1994" i="4" s="1"/>
  <c r="J1995" i="4" a="1"/>
  <c r="J1995" i="4" s="1"/>
  <c r="J1996" i="4" a="1"/>
  <c r="J1996" i="4" s="1"/>
  <c r="J1997" i="4" a="1"/>
  <c r="J1997" i="4"/>
  <c r="J1998" i="4" a="1"/>
  <c r="J1998" i="4"/>
  <c r="J1999" i="4" a="1"/>
  <c r="J1999" i="4" s="1"/>
  <c r="J2000" i="4" a="1"/>
  <c r="J2000" i="4"/>
  <c r="J2001" i="4" a="1"/>
  <c r="J2001" i="4"/>
  <c r="J2002" i="4" a="1"/>
  <c r="J2002" i="4"/>
  <c r="J2003" i="4" a="1"/>
  <c r="J2003" i="4"/>
  <c r="J2004" i="4" a="1"/>
  <c r="J2004" i="4" s="1"/>
  <c r="J2005" i="4" a="1"/>
  <c r="J2005" i="4"/>
  <c r="J2006" i="4" a="1"/>
  <c r="J2006" i="4"/>
  <c r="J2007" i="4" a="1"/>
  <c r="J2007" i="4"/>
  <c r="J2008" i="4" a="1"/>
  <c r="J2008" i="4"/>
  <c r="J2009" i="4" a="1"/>
  <c r="J2009" i="4"/>
  <c r="J2010" i="4" a="1"/>
  <c r="J2010" i="4"/>
  <c r="J2011" i="4" a="1"/>
  <c r="J2011" i="4" s="1"/>
  <c r="J2012" i="4" a="1"/>
  <c r="J2012" i="4" s="1"/>
  <c r="J2013" i="4" a="1"/>
  <c r="J2013" i="4"/>
  <c r="J2014" i="4" a="1"/>
  <c r="J2014" i="4"/>
  <c r="J2015" i="4" a="1"/>
  <c r="J2015" i="4"/>
  <c r="J2016" i="4" a="1"/>
  <c r="J2016" i="4"/>
  <c r="J2017" i="4" a="1"/>
  <c r="J2017" i="4"/>
  <c r="J2018" i="4" a="1"/>
  <c r="J2018" i="4"/>
  <c r="J2019" i="4" a="1"/>
  <c r="J2019" i="4"/>
  <c r="J2020" i="4" a="1"/>
  <c r="J2020" i="4" s="1"/>
  <c r="J2021" i="4" a="1"/>
  <c r="J2021" i="4"/>
  <c r="J2022" i="4" a="1"/>
  <c r="J2022" i="4"/>
  <c r="J2023" i="4" a="1"/>
  <c r="J2023" i="4"/>
  <c r="J2024" i="4" a="1"/>
  <c r="J2024" i="4"/>
  <c r="J2025" i="4" a="1"/>
  <c r="J2025" i="4" s="1"/>
  <c r="J2026" i="4" a="1"/>
  <c r="J2026" i="4"/>
  <c r="J2027" i="4" a="1"/>
  <c r="J2027" i="4"/>
  <c r="J2028" i="4" a="1"/>
  <c r="J2028" i="4" s="1"/>
  <c r="J2029" i="4" a="1"/>
  <c r="J2029" i="4"/>
  <c r="J2030" i="4" a="1"/>
  <c r="J2030" i="4"/>
  <c r="J2031" i="4" a="1"/>
  <c r="J2031" i="4" s="1"/>
  <c r="J2032" i="4" a="1"/>
  <c r="J2032" i="4"/>
  <c r="J2033" i="4" a="1"/>
  <c r="J2033" i="4"/>
  <c r="J2034" i="4" a="1"/>
  <c r="J2034" i="4"/>
  <c r="J2035" i="4" a="1"/>
  <c r="J2035" i="4"/>
  <c r="J2036" i="4" a="1"/>
  <c r="J2036" i="4" s="1"/>
  <c r="J2037" i="4" a="1"/>
  <c r="J2037" i="4"/>
  <c r="J2038" i="4" a="1"/>
  <c r="J2038" i="4"/>
  <c r="J2039" i="4" a="1"/>
  <c r="J2039" i="4"/>
  <c r="J2040" i="4" a="1"/>
  <c r="J2040" i="4"/>
  <c r="J2041" i="4" a="1"/>
  <c r="J2041" i="4"/>
  <c r="J2042" i="4" a="1"/>
  <c r="J2042" i="4" s="1"/>
  <c r="J2043" i="4" a="1"/>
  <c r="J2043" i="4"/>
  <c r="J2044" i="4" a="1"/>
  <c r="J2044" i="4" s="1"/>
  <c r="J2045" i="4" a="1"/>
  <c r="J2045" i="4"/>
  <c r="J2046" i="4" a="1"/>
  <c r="J2046" i="4"/>
  <c r="J2047" i="4" a="1"/>
  <c r="J2047" i="4"/>
  <c r="J2048" i="4" a="1"/>
  <c r="J2048" i="4" s="1"/>
  <c r="J2049" i="4" a="1"/>
  <c r="J2049" i="4"/>
  <c r="J2050" i="4" a="1"/>
  <c r="J2050" i="4"/>
  <c r="J2051" i="4" a="1"/>
  <c r="J2051" i="4"/>
  <c r="J2052" i="4" a="1"/>
  <c r="J2052" i="4" s="1"/>
  <c r="J2053" i="4" a="1"/>
  <c r="J2053" i="4"/>
  <c r="J2054" i="4" a="1"/>
  <c r="J2054" i="4"/>
  <c r="J2055" i="4" a="1"/>
  <c r="J2055" i="4" s="1"/>
  <c r="J2056" i="4" a="1"/>
  <c r="J2056" i="4" s="1"/>
  <c r="J2057" i="4" a="1"/>
  <c r="J2057" i="4" s="1"/>
  <c r="J2058" i="4" a="1"/>
  <c r="J2058" i="4"/>
  <c r="J2059" i="4" a="1"/>
  <c r="J2059" i="4"/>
  <c r="J2060" i="4" a="1"/>
  <c r="J2060" i="4" s="1"/>
  <c r="J2061" i="4" a="1"/>
  <c r="J2061" i="4"/>
  <c r="J2062" i="4" a="1"/>
  <c r="J2062" i="4"/>
  <c r="J2063" i="4" a="1"/>
  <c r="J2063" i="4"/>
  <c r="J2064" i="4" a="1"/>
  <c r="J2064" i="4"/>
  <c r="J2065" i="4" a="1"/>
  <c r="J2065" i="4"/>
  <c r="J2066" i="4" a="1"/>
  <c r="J2066" i="4"/>
  <c r="J2067" i="4" a="1"/>
  <c r="J2067" i="4"/>
  <c r="J2068" i="4" a="1"/>
  <c r="J2068" i="4" s="1"/>
  <c r="J2069" i="4" a="1"/>
  <c r="J2069" i="4"/>
  <c r="J2070" i="4" a="1"/>
  <c r="J2070" i="4"/>
  <c r="J2071" i="4" a="1"/>
  <c r="J2071" i="4" s="1"/>
  <c r="J2072" i="4" a="1"/>
  <c r="J2072" i="4" s="1"/>
  <c r="J2073" i="4" a="1"/>
  <c r="J2073" i="4" s="1"/>
  <c r="J2074" i="4" a="1"/>
  <c r="J2074" i="4" s="1"/>
  <c r="J2075" i="4" a="1"/>
  <c r="J2075" i="4" s="1"/>
  <c r="J2076" i="4" a="1"/>
  <c r="J2076" i="4" s="1"/>
  <c r="J2077" i="4" a="1"/>
  <c r="J2077" i="4" s="1"/>
  <c r="J2078" i="4" a="1"/>
  <c r="J2078" i="4"/>
  <c r="J2079" i="4" a="1"/>
  <c r="J2079" i="4"/>
  <c r="J2080" i="4" a="1"/>
  <c r="J2080" i="4" s="1"/>
  <c r="J2081" i="4" a="1"/>
  <c r="J2081" i="4" s="1"/>
  <c r="J2082" i="4" a="1"/>
  <c r="J2082" i="4"/>
  <c r="J2083" i="4" a="1"/>
  <c r="J2083" i="4" s="1"/>
  <c r="J2084" i="4" a="1"/>
  <c r="J2084" i="4" s="1"/>
  <c r="J2085" i="4" a="1"/>
  <c r="J2085" i="4" s="1"/>
  <c r="J2086" i="4" a="1"/>
  <c r="J2086" i="4"/>
  <c r="J2087" i="4" a="1"/>
  <c r="J2087" i="4"/>
  <c r="J2088" i="4" a="1"/>
  <c r="J2088" i="4"/>
  <c r="J2089" i="4" a="1"/>
  <c r="J2089" i="4" s="1"/>
  <c r="J2090" i="4" a="1"/>
  <c r="J2090" i="4" s="1"/>
  <c r="J2091" i="4" a="1"/>
  <c r="J2091" i="4"/>
  <c r="J2092" i="4" a="1"/>
  <c r="J2092" i="4" s="1"/>
  <c r="J2093" i="4" a="1"/>
  <c r="J2093" i="4" s="1"/>
  <c r="J2094" i="4" a="1"/>
  <c r="J2094" i="4"/>
  <c r="J2095" i="4" a="1"/>
  <c r="J2095" i="4" s="1"/>
  <c r="J2096" i="4" a="1"/>
  <c r="J2096" i="4" s="1"/>
  <c r="J2097" i="4" a="1"/>
  <c r="J2097" i="4"/>
  <c r="J2098" i="4" a="1"/>
  <c r="J2098" i="4" s="1"/>
  <c r="J2099" i="4" a="1"/>
  <c r="J2099" i="4" s="1"/>
  <c r="J2100" i="4" a="1"/>
  <c r="J2100" i="4" s="1"/>
  <c r="J2101" i="4" a="1"/>
  <c r="J2101" i="4" s="1"/>
  <c r="J2102" i="4" a="1"/>
  <c r="J2102" i="4"/>
  <c r="J2103" i="4" a="1"/>
  <c r="J2103" i="4"/>
  <c r="J2104" i="4" a="1"/>
  <c r="J2104" i="4" s="1"/>
  <c r="J2105" i="4" a="1"/>
  <c r="J2105" i="4" s="1"/>
  <c r="J2106" i="4" a="1"/>
  <c r="J2106" i="4" s="1"/>
  <c r="J2107" i="4" a="1"/>
  <c r="J2107" i="4" s="1"/>
  <c r="J2108" i="4" a="1"/>
  <c r="J2108" i="4" s="1"/>
  <c r="J2109" i="4" a="1"/>
  <c r="J2109" i="4" s="1"/>
  <c r="J2110" i="4" a="1"/>
  <c r="J2110" i="4"/>
  <c r="J2111" i="4" a="1"/>
  <c r="J2111" i="4"/>
  <c r="J2112" i="4" a="1"/>
  <c r="J2112" i="4"/>
  <c r="J2113" i="4" a="1"/>
  <c r="J2113" i="4"/>
  <c r="J2114" i="4" a="1"/>
  <c r="J2114" i="4"/>
  <c r="J2115" i="4" a="1"/>
  <c r="J2115" i="4"/>
  <c r="J2116" i="4" a="1"/>
  <c r="J2116" i="4" s="1"/>
  <c r="J2117" i="4" a="1"/>
  <c r="J2117" i="4" s="1"/>
  <c r="J2118" i="4" a="1"/>
  <c r="J2118" i="4"/>
  <c r="J2119" i="4" a="1"/>
  <c r="J2119" i="4" s="1"/>
  <c r="J2120" i="4" a="1"/>
  <c r="J2120" i="4"/>
  <c r="J2121" i="4" a="1"/>
  <c r="J2121" i="4"/>
  <c r="J2122" i="4" a="1"/>
  <c r="J2122" i="4"/>
  <c r="J2123" i="4" a="1"/>
  <c r="J2123" i="4"/>
  <c r="J2124" i="4" a="1"/>
  <c r="J2124" i="4" s="1"/>
  <c r="J2125" i="4" a="1"/>
  <c r="J2125" i="4" s="1"/>
  <c r="J2126" i="4" a="1"/>
  <c r="J2126" i="4"/>
  <c r="J2127" i="4" a="1"/>
  <c r="J2127" i="4" s="1"/>
  <c r="J2128" i="4" a="1"/>
  <c r="J2128" i="4"/>
  <c r="J2129" i="4" a="1"/>
  <c r="J2129" i="4"/>
  <c r="J2130" i="4" a="1"/>
  <c r="J2130" i="4"/>
  <c r="J2131" i="4" a="1"/>
  <c r="J2131" i="4"/>
  <c r="J2132" i="4" a="1"/>
  <c r="J2132" i="4" s="1"/>
  <c r="J2133" i="4" a="1"/>
  <c r="J2133" i="4" s="1"/>
  <c r="J2134" i="4" a="1"/>
  <c r="J2134" i="4"/>
  <c r="J2135" i="4" a="1"/>
  <c r="J2135" i="4" s="1"/>
  <c r="J2136" i="4" a="1"/>
  <c r="J2136" i="4" s="1"/>
  <c r="J2137" i="4" a="1"/>
  <c r="J2137" i="4"/>
  <c r="J2138" i="4" a="1"/>
  <c r="J2138" i="4"/>
  <c r="J2139" i="4" a="1"/>
  <c r="J2139" i="4"/>
  <c r="J2140" i="4" a="1"/>
  <c r="J2140" i="4" s="1"/>
  <c r="J2141" i="4" a="1"/>
  <c r="J2141" i="4" s="1"/>
  <c r="J2142" i="4" a="1"/>
  <c r="J2142" i="4"/>
  <c r="J2143" i="4" a="1"/>
  <c r="J2143" i="4" s="1"/>
  <c r="J2144" i="4" a="1"/>
  <c r="J2144" i="4" s="1"/>
  <c r="J2145" i="4" a="1"/>
  <c r="J2145" i="4" s="1"/>
  <c r="J2146" i="4" a="1"/>
  <c r="J2146" i="4" s="1"/>
  <c r="J2147" i="4" a="1"/>
  <c r="J2147" i="4"/>
  <c r="J2148" i="4" a="1"/>
  <c r="J2148" i="4" s="1"/>
  <c r="J2149" i="4" a="1"/>
  <c r="J2149" i="4" s="1"/>
  <c r="J2150" i="4" a="1"/>
  <c r="J2150" i="4"/>
  <c r="J2151" i="4" a="1"/>
  <c r="J2151" i="4"/>
  <c r="J2152" i="4" a="1"/>
  <c r="J2152" i="4"/>
  <c r="J2153" i="4" a="1"/>
  <c r="J2153" i="4" s="1"/>
  <c r="J2154" i="4" a="1"/>
  <c r="J2154" i="4" s="1"/>
  <c r="J2155" i="4" a="1"/>
  <c r="J2155" i="4" s="1"/>
  <c r="J2156" i="4" a="1"/>
  <c r="J2156" i="4" s="1"/>
  <c r="J2157" i="4" a="1"/>
  <c r="J2157" i="4" s="1"/>
  <c r="J2158" i="4" a="1"/>
  <c r="J2158" i="4"/>
  <c r="J2159" i="4" a="1"/>
  <c r="J2159" i="4"/>
  <c r="J2160" i="4" a="1"/>
  <c r="J2160" i="4"/>
  <c r="J2161" i="4" a="1"/>
  <c r="J2161" i="4"/>
  <c r="J2162" i="4" a="1"/>
  <c r="J2162" i="4" s="1"/>
  <c r="J2163" i="4" a="1"/>
  <c r="J2163" i="4" s="1"/>
  <c r="J2164" i="4" a="1"/>
  <c r="J2164" i="4" s="1"/>
  <c r="J2165" i="4" a="1"/>
  <c r="J2165" i="4" s="1"/>
  <c r="J2166" i="4" a="1"/>
  <c r="J2166" i="4"/>
  <c r="J2167" i="4" a="1"/>
  <c r="J2167" i="4" s="1"/>
  <c r="J2168" i="4" a="1"/>
  <c r="J2168" i="4"/>
  <c r="J2169" i="4" a="1"/>
  <c r="J2169" i="4"/>
  <c r="J2170" i="4" a="1"/>
  <c r="J2170" i="4"/>
  <c r="J2171" i="4" a="1"/>
  <c r="J2171" i="4" s="1"/>
  <c r="J2172" i="4" a="1"/>
  <c r="J2172" i="4" s="1"/>
  <c r="J2173" i="4" a="1"/>
  <c r="J2173" i="4" s="1"/>
  <c r="J2174" i="4" a="1"/>
  <c r="J2174" i="4"/>
  <c r="J2175" i="4" a="1"/>
  <c r="J2175" i="4"/>
  <c r="J2176" i="4" a="1"/>
  <c r="J2176" i="4"/>
  <c r="J2177" i="4" a="1"/>
  <c r="J2177" i="4"/>
  <c r="J2178" i="4" a="1"/>
  <c r="J2178" i="4"/>
  <c r="J2179" i="4" a="1"/>
  <c r="J2179" i="4" s="1"/>
  <c r="J2180" i="4" a="1"/>
  <c r="J2180" i="4" s="1"/>
  <c r="J2181" i="4" a="1"/>
  <c r="J2181" i="4" s="1"/>
  <c r="J2182" i="4" a="1"/>
  <c r="J2182" i="4" s="1"/>
  <c r="J2183" i="4" a="1"/>
  <c r="J2183" i="4"/>
  <c r="J2184" i="4" a="1"/>
  <c r="J2184" i="4" s="1"/>
  <c r="J2185" i="4" a="1"/>
  <c r="J2185" i="4" s="1"/>
  <c r="J2186" i="4" a="1"/>
  <c r="J2186" i="4" s="1"/>
  <c r="J2187" i="4" a="1"/>
  <c r="J2187" i="4"/>
  <c r="J2188" i="4" a="1"/>
  <c r="J2188" i="4" s="1"/>
  <c r="J2189" i="4" a="1"/>
  <c r="J2189" i="4" s="1"/>
  <c r="J2190" i="4" a="1"/>
  <c r="J2190" i="4" s="1"/>
  <c r="J2191" i="4" a="1"/>
  <c r="J2191" i="4" s="1"/>
  <c r="J2192" i="4" a="1"/>
  <c r="J2192" i="4"/>
  <c r="J2193" i="4" a="1"/>
  <c r="J2193" i="4"/>
  <c r="J2194" i="4" a="1"/>
  <c r="J2194" i="4" s="1"/>
  <c r="J2195" i="4" a="1"/>
  <c r="J2195" i="4" s="1"/>
  <c r="J2196" i="4" a="1"/>
  <c r="J2196" i="4" s="1"/>
  <c r="J2197" i="4" a="1"/>
  <c r="J2197" i="4" s="1"/>
  <c r="J2198" i="4" a="1"/>
  <c r="J2198" i="4"/>
  <c r="J2199" i="4" a="1"/>
  <c r="J2199" i="4" s="1"/>
  <c r="J2200" i="4" a="1"/>
  <c r="J2200" i="4" s="1"/>
  <c r="J2201" i="4" a="1"/>
  <c r="J2201" i="4"/>
  <c r="J2202" i="4" a="1"/>
  <c r="J2202" i="4"/>
  <c r="J2203" i="4" a="1"/>
  <c r="J2203" i="4"/>
  <c r="J2204" i="4" a="1"/>
  <c r="J2204" i="4" s="1"/>
  <c r="J2205" i="4" a="1"/>
  <c r="J2205" i="4" s="1"/>
  <c r="J2206" i="4" a="1"/>
  <c r="J2206" i="4" s="1"/>
  <c r="J2207" i="4" a="1"/>
  <c r="J2207" i="4" s="1"/>
  <c r="J2208" i="4" a="1"/>
  <c r="J2208" i="4" s="1"/>
  <c r="J2209" i="4" a="1"/>
  <c r="J2209" i="4" s="1"/>
  <c r="J2210" i="4" a="1"/>
  <c r="J2210" i="4"/>
  <c r="J2211" i="4" a="1"/>
  <c r="J2211" i="4"/>
  <c r="J2212" i="4" a="1"/>
  <c r="J2212" i="4" s="1"/>
  <c r="J2213" i="4" a="1"/>
  <c r="J2213" i="4" s="1"/>
  <c r="J2214" i="4" a="1"/>
  <c r="J2214" i="4"/>
  <c r="J2215" i="4" a="1"/>
  <c r="J2215" i="4" s="1"/>
  <c r="J2216" i="4" a="1"/>
  <c r="J2216" i="4" s="1"/>
  <c r="J2217" i="4" a="1"/>
  <c r="J2217" i="4" s="1"/>
  <c r="J2218" i="4" a="1"/>
  <c r="J2218" i="4" s="1"/>
  <c r="J2219" i="4" a="1"/>
  <c r="J2219" i="4"/>
  <c r="J2220" i="4" a="1"/>
  <c r="J2220" i="4" s="1"/>
  <c r="J2221" i="4" a="1"/>
  <c r="J2221" i="4" s="1"/>
  <c r="J2222" i="4" a="1"/>
  <c r="J2222" i="4"/>
  <c r="J2223" i="4" a="1"/>
  <c r="J2223" i="4"/>
  <c r="J2224" i="4" a="1"/>
  <c r="J2224" i="4"/>
  <c r="J2225" i="4" a="1"/>
  <c r="J2225" i="4" s="1"/>
  <c r="J2226" i="4" a="1"/>
  <c r="J2226" i="4" s="1"/>
  <c r="J2227" i="4" a="1"/>
  <c r="J2227" i="4" s="1"/>
  <c r="J2228" i="4" a="1"/>
  <c r="J2228" i="4" s="1"/>
  <c r="J2229" i="4" a="1"/>
  <c r="J2229" i="4" s="1"/>
  <c r="J2230" i="4" a="1"/>
  <c r="J2230" i="4"/>
  <c r="J2231" i="4" a="1"/>
  <c r="J2231" i="4"/>
  <c r="J2232" i="4" a="1"/>
  <c r="J2232" i="4"/>
  <c r="J2233" i="4" a="1"/>
  <c r="J2233" i="4"/>
  <c r="J2234" i="4" a="1"/>
  <c r="J2234" i="4"/>
  <c r="J2235" i="4" a="1"/>
  <c r="J2235" i="4" s="1"/>
  <c r="J2236" i="4" a="1"/>
  <c r="J2236" i="4" s="1"/>
  <c r="J2237" i="4" a="1"/>
  <c r="J2237" i="4" s="1"/>
  <c r="J2238" i="4" a="1"/>
  <c r="J2238" i="4"/>
  <c r="J2239" i="4" a="1"/>
  <c r="J2239" i="4"/>
  <c r="J2240" i="4" a="1"/>
  <c r="J2240" i="4"/>
  <c r="J2241" i="4" a="1"/>
  <c r="J2241" i="4" s="1"/>
  <c r="J2242" i="4" a="1"/>
  <c r="J2242" i="4"/>
  <c r="J2243" i="4" a="1"/>
  <c r="J2243" i="4"/>
  <c r="J2244" i="4" a="1"/>
  <c r="J2244" i="4" s="1"/>
  <c r="J2245" i="4" a="1"/>
  <c r="J2245" i="4" s="1"/>
  <c r="J2246" i="4" a="1"/>
  <c r="J2246" i="4" s="1"/>
  <c r="J2247" i="4" a="1"/>
  <c r="J2247" i="4" s="1"/>
  <c r="J2248" i="4" a="1"/>
  <c r="J2248" i="4" s="1"/>
  <c r="J2249" i="4" a="1"/>
  <c r="J2249" i="4"/>
  <c r="J2250" i="4" a="1"/>
  <c r="J2250" i="4"/>
  <c r="J2251" i="4" a="1"/>
  <c r="J2251" i="4"/>
  <c r="J2252" i="4" a="1"/>
  <c r="J2252" i="4" s="1"/>
  <c r="J2253" i="4" a="1"/>
  <c r="J2253" i="4" s="1"/>
  <c r="J2254" i="4" a="1"/>
  <c r="J2254" i="4" s="1"/>
  <c r="J2255" i="4" a="1"/>
  <c r="J2255" i="4" s="1"/>
  <c r="J2256" i="4" a="1"/>
  <c r="J2256" i="4" s="1"/>
  <c r="J2257" i="4" a="1"/>
  <c r="J2257" i="4" s="1"/>
  <c r="J2258" i="4" a="1"/>
  <c r="J2258" i="4" s="1"/>
  <c r="J2259" i="4" a="1"/>
  <c r="J2259" i="4"/>
  <c r="J2260" i="4" a="1"/>
  <c r="J2260" i="4" s="1"/>
  <c r="J2261" i="4" a="1"/>
  <c r="J2261" i="4" s="1"/>
  <c r="J2262" i="4" a="1"/>
  <c r="J2262" i="4"/>
  <c r="J2263" i="4" a="1"/>
  <c r="J2263" i="4" s="1"/>
  <c r="J2264" i="4" a="1"/>
  <c r="J2264" i="4" s="1"/>
  <c r="J2265" i="4" a="1"/>
  <c r="J2265" i="4"/>
  <c r="J2266" i="4" a="1"/>
  <c r="J2266" i="4" s="1"/>
  <c r="J2267" i="4" a="1"/>
  <c r="J2267" i="4" s="1"/>
  <c r="J2268" i="4" a="1"/>
  <c r="J2268" i="4" s="1"/>
  <c r="J2269" i="4" a="1"/>
  <c r="J2269" i="4" s="1"/>
  <c r="J2270" i="4" a="1"/>
  <c r="J2270" i="4"/>
  <c r="J2271" i="4" a="1"/>
  <c r="J2271" i="4"/>
  <c r="J2272" i="4" a="1"/>
  <c r="J2272" i="4" s="1"/>
  <c r="J2273" i="4" a="1"/>
  <c r="J2273" i="4" s="1"/>
  <c r="J2274" i="4" a="1"/>
  <c r="J2274" i="4"/>
  <c r="J2275" i="4" a="1"/>
  <c r="J2275" i="4"/>
  <c r="J2276" i="4" a="1"/>
  <c r="J2276" i="4" s="1"/>
  <c r="J2277" i="4" a="1"/>
  <c r="J2277" i="4" s="1"/>
  <c r="J2278" i="4" a="1"/>
  <c r="J2278" i="4" s="1"/>
  <c r="J2279" i="4" a="1"/>
  <c r="J2279" i="4" s="1"/>
  <c r="J2280" i="4" a="1"/>
  <c r="J2280" i="4"/>
  <c r="J2281" i="4" a="1"/>
  <c r="J2281" i="4" s="1"/>
  <c r="J2282" i="4" a="1"/>
  <c r="J2282" i="4" s="1"/>
  <c r="J2283" i="4" a="1"/>
  <c r="J2283" i="4"/>
  <c r="J2284" i="4" a="1"/>
  <c r="J2284" i="4" s="1"/>
  <c r="J2285" i="4" a="1"/>
  <c r="J2285" i="4" s="1"/>
  <c r="J2286" i="4" a="1"/>
  <c r="J2286" i="4"/>
  <c r="J2287" i="4" a="1"/>
  <c r="J2287" i="4" s="1"/>
  <c r="J2288" i="4" a="1"/>
  <c r="J2288" i="4" s="1"/>
  <c r="J2289" i="4" a="1"/>
  <c r="J2289" i="4" s="1"/>
  <c r="J2290" i="4" a="1"/>
  <c r="J2290" i="4" s="1"/>
  <c r="J2291" i="4" a="1"/>
  <c r="J2291" i="4" s="1"/>
  <c r="J2292" i="4" a="1"/>
  <c r="J2292" i="4" s="1"/>
  <c r="J2293" i="4" a="1"/>
  <c r="J2293" i="4" s="1"/>
  <c r="J2294" i="4" a="1"/>
  <c r="J2294" i="4"/>
  <c r="J2295" i="4" a="1"/>
  <c r="J2295" i="4"/>
  <c r="J2296" i="4" a="1"/>
  <c r="J2296" i="4"/>
  <c r="J2297" i="4" a="1"/>
  <c r="J2297" i="4" s="1"/>
  <c r="J2298" i="4" a="1"/>
  <c r="J2298" i="4" s="1"/>
  <c r="J2299" i="4" a="1"/>
  <c r="J2299" i="4" s="1"/>
  <c r="J2300" i="4" a="1"/>
  <c r="J2300" i="4" s="1"/>
  <c r="J2301" i="4" a="1"/>
  <c r="J2301" i="4" s="1"/>
  <c r="J2302" i="4" a="1"/>
  <c r="J2302" i="4"/>
  <c r="J2303" i="4" a="1"/>
  <c r="J2303" i="4" s="1"/>
  <c r="J2304" i="4" a="1"/>
  <c r="J2304" i="4"/>
  <c r="J2305" i="4" a="1"/>
  <c r="J2305" i="4"/>
  <c r="J2306" i="4" a="1"/>
  <c r="J2306" i="4"/>
  <c r="J2307" i="4" a="1"/>
  <c r="J2307" i="4"/>
  <c r="J2308" i="4" a="1"/>
  <c r="J2308" i="4" s="1"/>
  <c r="J2309" i="4" a="1"/>
  <c r="J2309" i="4" s="1"/>
  <c r="J2310" i="4" a="1"/>
  <c r="J2310" i="4"/>
  <c r="J2311" i="4" a="1"/>
  <c r="J2311" i="4"/>
  <c r="J2312" i="4" a="1"/>
  <c r="J2312" i="4" s="1"/>
  <c r="J2313" i="4" a="1"/>
  <c r="J2313" i="4"/>
  <c r="J2314" i="4" a="1"/>
  <c r="J2314" i="4"/>
  <c r="J2315" i="4" a="1"/>
  <c r="J2315" i="4"/>
  <c r="J2316" i="4" a="1"/>
  <c r="J2316" i="4" s="1"/>
  <c r="J2317" i="4" a="1"/>
  <c r="J2317" i="4" s="1"/>
  <c r="J2318" i="4" a="1"/>
  <c r="J2318" i="4" s="1"/>
  <c r="J2319" i="4" a="1"/>
  <c r="J2319" i="4" s="1"/>
  <c r="J2320" i="4" a="1"/>
  <c r="J2320" i="4"/>
  <c r="J2321" i="4" a="1"/>
  <c r="J2321" i="4"/>
  <c r="J2322" i="4" a="1"/>
  <c r="J2322" i="4"/>
  <c r="J2323" i="4" a="1"/>
  <c r="J2323" i="4"/>
  <c r="J2324" i="4" a="1"/>
  <c r="J2324" i="4" s="1"/>
  <c r="J2325" i="4" a="1"/>
  <c r="J2325" i="4" s="1"/>
  <c r="J2326" i="4" a="1"/>
  <c r="J2326" i="4" s="1"/>
  <c r="J2327" i="4" a="1"/>
  <c r="J2327" i="4" s="1"/>
  <c r="J2328" i="4" a="1"/>
  <c r="J2328" i="4"/>
  <c r="J2329" i="4" a="1"/>
  <c r="J2329" i="4"/>
  <c r="J2330" i="4" a="1"/>
  <c r="J2330" i="4"/>
  <c r="J2331" i="4" a="1"/>
  <c r="J2331" i="4" s="1"/>
  <c r="J2332" i="4" a="1"/>
  <c r="J2332" i="4" s="1"/>
  <c r="J2333" i="4" a="1"/>
  <c r="J2333" i="4" s="1"/>
  <c r="J2334" i="4" a="1"/>
  <c r="J2334" i="4"/>
  <c r="J2335" i="4" a="1"/>
  <c r="J2335" i="4"/>
  <c r="J2336" i="4" a="1"/>
  <c r="J2336" i="4" s="1"/>
  <c r="J2337" i="4" a="1"/>
  <c r="J2337" i="4" s="1"/>
  <c r="J2338" i="4" a="1"/>
  <c r="J2338" i="4" s="1"/>
  <c r="J2339" i="4" a="1"/>
  <c r="J2339" i="4"/>
  <c r="J2340" i="4" a="1"/>
  <c r="J2340" i="4" s="1"/>
  <c r="J2341" i="4" a="1"/>
  <c r="J2341" i="4" s="1"/>
  <c r="J2342" i="4" a="1"/>
  <c r="J2342" i="4"/>
  <c r="J2343" i="4" a="1"/>
  <c r="J2343" i="4"/>
  <c r="J2344" i="4" a="1"/>
  <c r="J2344" i="4"/>
  <c r="J2345" i="4" a="1"/>
  <c r="J2345" i="4" s="1"/>
  <c r="J2346" i="4" a="1"/>
  <c r="J2346" i="4"/>
  <c r="J2347" i="4" a="1"/>
  <c r="J2347" i="4"/>
  <c r="J2348" i="4" a="1"/>
  <c r="J2348" i="4" s="1"/>
  <c r="J2349" i="4" a="1"/>
  <c r="J2349" i="4" s="1"/>
  <c r="J2350" i="4" a="1"/>
  <c r="J2350" i="4"/>
  <c r="J2351" i="4" a="1"/>
  <c r="J2351" i="4" s="1"/>
  <c r="J2352" i="4" a="1"/>
  <c r="J2352" i="4"/>
  <c r="J2353" i="4" a="1"/>
  <c r="J2353" i="4"/>
  <c r="J2354" i="4" a="1"/>
  <c r="J2354" i="4" s="1"/>
  <c r="J2355" i="4" a="1"/>
  <c r="J2355" i="4" s="1"/>
  <c r="J2356" i="4" a="1"/>
  <c r="J2356" i="4" s="1"/>
  <c r="J2357" i="4" a="1"/>
  <c r="J2357" i="4" s="1"/>
  <c r="J2358" i="4" a="1"/>
  <c r="J2358" i="4" s="1"/>
  <c r="J2359" i="4" a="1"/>
  <c r="J2359" i="4"/>
  <c r="J2360" i="4" a="1"/>
  <c r="J2360" i="4"/>
  <c r="J2361" i="4" a="1"/>
  <c r="J2361" i="4"/>
  <c r="J2362" i="4" a="1"/>
  <c r="J2362" i="4"/>
  <c r="J2363" i="4" a="1"/>
  <c r="J2363" i="4" s="1"/>
  <c r="J2364" i="4" a="1"/>
  <c r="J2364" i="4" s="1"/>
  <c r="J2365" i="4" a="1"/>
  <c r="J2365" i="4" s="1"/>
  <c r="J2366" i="4" a="1"/>
  <c r="J2366" i="4"/>
  <c r="J2367" i="4" a="1"/>
  <c r="J2367" i="4"/>
  <c r="J2368" i="4" a="1"/>
  <c r="J2368" i="4"/>
  <c r="J2369" i="4" a="1"/>
  <c r="J2369" i="4"/>
  <c r="J2370" i="4" a="1"/>
  <c r="J2370" i="4" s="1"/>
  <c r="J2371" i="4" a="1"/>
  <c r="J2371" i="4"/>
  <c r="J2372" i="4" a="1"/>
  <c r="J2372" i="4" s="1"/>
  <c r="J2373" i="4" a="1"/>
  <c r="J2373" i="4" s="1"/>
  <c r="J2374" i="4" a="1"/>
  <c r="J2374" i="4"/>
  <c r="J2375" i="4" a="1"/>
  <c r="J2375" i="4"/>
  <c r="J2376" i="4" a="1"/>
  <c r="J2376" i="4"/>
  <c r="J2377" i="4" a="1"/>
  <c r="J2377" i="4"/>
  <c r="J2378" i="4" a="1"/>
  <c r="J2378" i="4"/>
  <c r="J2379" i="4" a="1"/>
  <c r="J2379" i="4" s="1"/>
  <c r="J2380" i="4" a="1"/>
  <c r="J2380" i="4" s="1"/>
  <c r="J2381" i="4" a="1"/>
  <c r="J2381" i="4" s="1"/>
  <c r="J2382" i="4" a="1"/>
  <c r="J2382" i="4" s="1"/>
  <c r="J2383" i="4" a="1"/>
  <c r="J2383" i="4"/>
  <c r="J2384" i="4" a="1"/>
  <c r="J2384" i="4" s="1"/>
  <c r="J2385" i="4" a="1"/>
  <c r="J2385" i="4" s="1"/>
  <c r="J2386" i="4" a="1"/>
  <c r="J2386" i="4" s="1"/>
  <c r="J2387" i="4" a="1"/>
  <c r="J2387" i="4"/>
  <c r="J2388" i="4" a="1"/>
  <c r="J2388" i="4" s="1"/>
  <c r="J2389" i="4" a="1"/>
  <c r="J2389" i="4" s="1"/>
  <c r="J2390" i="4" a="1"/>
  <c r="J2390" i="4"/>
  <c r="J2391" i="4" a="1"/>
  <c r="J2391" i="4" s="1"/>
  <c r="J2392" i="4" a="1"/>
  <c r="J2392" i="4"/>
  <c r="J2393" i="4" a="1"/>
  <c r="J2393" i="4"/>
  <c r="J2394" i="4" a="1"/>
  <c r="J2394" i="4"/>
  <c r="J2395" i="4" a="1"/>
  <c r="J2395" i="4"/>
  <c r="J2396" i="4" a="1"/>
  <c r="J2396" i="4" s="1"/>
  <c r="J2397" i="4" a="1"/>
  <c r="J2397" i="4" s="1"/>
  <c r="J2398" i="4" a="1"/>
  <c r="J2398" i="4"/>
  <c r="J2399" i="4" a="1"/>
  <c r="J2399" i="4" s="1"/>
  <c r="J2400" i="4" a="1"/>
  <c r="J2400" i="4" s="1"/>
  <c r="J2401" i="4" a="1"/>
  <c r="J2401" i="4"/>
  <c r="J2402" i="4" a="1"/>
  <c r="J2402" i="4"/>
  <c r="J2403" i="4" a="1"/>
  <c r="J2403" i="4" s="1"/>
  <c r="J2404" i="4" a="1"/>
  <c r="J2404" i="4" s="1"/>
  <c r="J2405" i="4" a="1"/>
  <c r="J2405" i="4" s="1"/>
  <c r="J2406" i="4" a="1"/>
  <c r="J2406" i="4" s="1"/>
  <c r="J2407" i="4" a="1"/>
  <c r="J2407" i="4"/>
  <c r="J2408" i="4" a="1"/>
  <c r="J2408" i="4"/>
  <c r="J2409" i="4" a="1"/>
  <c r="J2409" i="4" s="1"/>
  <c r="J2410" i="4" a="1"/>
  <c r="J2410" i="4"/>
  <c r="J2411" i="4" a="1"/>
  <c r="J2411" i="4"/>
  <c r="J2412" i="4" a="1"/>
  <c r="J2412" i="4" s="1"/>
  <c r="J2413" i="4" a="1"/>
  <c r="J2413" i="4" s="1"/>
  <c r="J2414" i="4" a="1"/>
  <c r="J2414" i="4"/>
  <c r="J2415" i="4" a="1"/>
  <c r="J2415" i="4"/>
  <c r="J2416" i="4" a="1"/>
  <c r="J2416" i="4"/>
  <c r="J2417" i="4" a="1"/>
  <c r="J2417" i="4"/>
  <c r="J2418" i="4" a="1"/>
  <c r="J2418" i="4" s="1"/>
  <c r="J2419" i="4" a="1"/>
  <c r="J2419" i="4"/>
  <c r="J2420" i="4" a="1"/>
  <c r="J2420" i="4" s="1"/>
  <c r="J2421" i="4" a="1"/>
  <c r="J2421" i="4" s="1"/>
  <c r="J2422" i="4" a="1"/>
  <c r="J2422" i="4"/>
  <c r="J2423" i="4" a="1"/>
  <c r="J2423" i="4" s="1"/>
  <c r="J2424" i="4" a="1"/>
  <c r="J2424" i="4" s="1"/>
  <c r="J2425" i="4" a="1"/>
  <c r="J2425" i="4" s="1"/>
  <c r="J2426" i="4" a="1"/>
  <c r="J2426" i="4"/>
  <c r="J2427" i="4" a="1"/>
  <c r="J2427" i="4" s="1"/>
  <c r="J2428" i="4" a="1"/>
  <c r="J2428" i="4" s="1"/>
  <c r="J2429" i="4" a="1"/>
  <c r="J2429" i="4" s="1"/>
  <c r="J2430" i="4" a="1"/>
  <c r="J2430" i="4"/>
  <c r="J2431" i="4" a="1"/>
  <c r="J2431" i="4"/>
  <c r="J2432" i="4" a="1"/>
  <c r="J2432" i="4"/>
  <c r="J2433" i="4" a="1"/>
  <c r="J2433" i="4"/>
  <c r="J2434" i="4" a="1"/>
  <c r="J2434" i="4"/>
  <c r="J2435" i="4" a="1"/>
  <c r="J2435" i="4"/>
  <c r="J2436" i="4" a="1"/>
  <c r="J2436" i="4" s="1"/>
  <c r="J2437" i="4" a="1"/>
  <c r="J2437" i="4" s="1"/>
  <c r="J2438" i="4" a="1"/>
  <c r="J2438" i="4" s="1"/>
  <c r="J2439" i="4" a="1"/>
  <c r="J2439" i="4"/>
  <c r="J2440" i="4" a="1"/>
  <c r="J2440" i="4"/>
  <c r="J2441" i="4" a="1"/>
  <c r="J2441" i="4"/>
  <c r="J2442" i="4" a="1"/>
  <c r="J2442" i="4"/>
  <c r="J2443" i="4" a="1"/>
  <c r="J2443" i="4"/>
  <c r="J2444" i="4" a="1"/>
  <c r="J2444" i="4" s="1"/>
  <c r="J2445" i="4" a="1"/>
  <c r="J2445" i="4" s="1"/>
  <c r="J2446" i="4" a="1"/>
  <c r="J2446" i="4" s="1"/>
  <c r="J2447" i="4" a="1"/>
  <c r="J2447" i="4"/>
  <c r="J2448" i="4" a="1"/>
  <c r="J2448" i="4"/>
  <c r="J2449" i="4" a="1"/>
  <c r="J2449" i="4"/>
  <c r="J2450" i="4" a="1"/>
  <c r="J2450" i="4"/>
  <c r="J2451" i="4" a="1"/>
  <c r="J2451" i="4" s="1"/>
  <c r="J2452" i="4" a="1"/>
  <c r="J2452" i="4" s="1"/>
  <c r="J2453" i="4" a="1"/>
  <c r="J2453" i="4" s="1"/>
  <c r="J2454" i="4" a="1"/>
  <c r="J2454" i="4" s="1"/>
  <c r="J2455" i="4" a="1"/>
  <c r="J2455" i="4" s="1"/>
  <c r="J2456" i="4" a="1"/>
  <c r="J2456" i="4"/>
  <c r="J2457" i="4" a="1"/>
  <c r="J2457" i="4" s="1"/>
  <c r="J2458" i="4" a="1"/>
  <c r="J2458" i="4"/>
  <c r="J2459" i="4" a="1"/>
  <c r="J2459" i="4"/>
  <c r="J2460" i="4" a="1"/>
  <c r="J2460" i="4" s="1"/>
  <c r="J2461" i="4" a="1"/>
  <c r="J2461" i="4" s="1"/>
  <c r="J2462" i="4" a="1"/>
  <c r="J2462" i="4"/>
  <c r="J2463" i="4" a="1"/>
  <c r="J2463" i="4"/>
  <c r="J2464" i="4" a="1"/>
  <c r="J2464" i="4" s="1"/>
  <c r="J2465" i="4" a="1"/>
  <c r="J2465" i="4"/>
  <c r="J2466" i="4" a="1"/>
  <c r="J2466" i="4"/>
  <c r="J2467" i="4" a="1"/>
  <c r="J2467" i="4"/>
  <c r="J2468" i="4" a="1"/>
  <c r="J2468" i="4" s="1"/>
  <c r="J2469" i="4" a="1"/>
  <c r="J2469" i="4" s="1"/>
  <c r="J2470" i="4" a="1"/>
  <c r="J2470" i="4"/>
  <c r="J2471" i="4" a="1"/>
  <c r="J2471" i="4" s="1"/>
  <c r="J2472" i="4" a="1"/>
  <c r="J2472" i="4" s="1"/>
  <c r="J2473" i="4" a="1"/>
  <c r="J2473" i="4" s="1"/>
  <c r="J2474" i="4" a="1"/>
  <c r="J2474" i="4"/>
  <c r="J2475" i="4" a="1"/>
  <c r="J2475" i="4"/>
  <c r="J2476" i="4" a="1"/>
  <c r="J2476" i="4" s="1"/>
  <c r="J2477" i="4" a="1"/>
  <c r="J2477" i="4" s="1"/>
  <c r="J2478" i="4" a="1"/>
  <c r="J2478" i="4"/>
  <c r="J2479" i="4" a="1"/>
  <c r="J2479" i="4"/>
  <c r="J2480" i="4" a="1"/>
  <c r="J2480" i="4"/>
  <c r="J2481" i="4" a="1"/>
  <c r="J2481" i="4"/>
  <c r="J2482" i="4" a="1"/>
  <c r="J2482" i="4" s="1"/>
  <c r="J2483" i="4" a="1"/>
  <c r="J2483" i="4" s="1"/>
  <c r="J2484" i="4" a="1"/>
  <c r="J2484" i="4" s="1"/>
  <c r="J2485" i="4" a="1"/>
  <c r="J2485" i="4" s="1"/>
  <c r="J2486" i="4" a="1"/>
  <c r="J2486" i="4"/>
  <c r="J2487" i="4" a="1"/>
  <c r="J2487" i="4"/>
  <c r="J2488" i="4" a="1"/>
  <c r="J2488" i="4"/>
  <c r="J2489" i="4" a="1"/>
  <c r="J2489" i="4"/>
  <c r="J2490" i="4" a="1"/>
  <c r="J2490" i="4" s="1"/>
  <c r="J2491" i="4" a="1"/>
  <c r="J2491" i="4" s="1"/>
  <c r="J2492" i="4" a="1"/>
  <c r="J2492" i="4" s="1"/>
  <c r="J2493" i="4" a="1"/>
  <c r="J2493" i="4" s="1"/>
  <c r="J2494" i="4" a="1"/>
  <c r="J2494" i="4"/>
  <c r="J2495" i="4" a="1"/>
  <c r="J2495" i="4"/>
  <c r="J2496" i="4" a="1"/>
  <c r="J2496" i="4" s="1"/>
  <c r="J2497" i="4" a="1"/>
  <c r="J2497" i="4"/>
  <c r="J2498" i="4" a="1"/>
  <c r="J2498" i="4"/>
  <c r="J2499" i="4" a="1"/>
  <c r="J2499" i="4"/>
  <c r="J2500" i="4" a="1"/>
  <c r="J2500" i="4" s="1"/>
  <c r="J2501" i="4" a="1"/>
  <c r="J2501" i="4" s="1"/>
  <c r="J2502" i="4" a="1"/>
  <c r="J2502" i="4"/>
  <c r="J2503" i="4" a="1"/>
  <c r="J2503" i="4"/>
  <c r="J2504" i="4" a="1"/>
  <c r="J2504" i="4"/>
  <c r="J2505" i="4" a="1"/>
  <c r="J2505" i="4" s="1"/>
  <c r="J2506" i="4" a="1"/>
  <c r="J2506" i="4"/>
  <c r="J2507" i="4" a="1"/>
  <c r="J2507" i="4"/>
  <c r="J2508" i="4" a="1"/>
  <c r="J2508" i="4" s="1"/>
  <c r="J2509" i="4" a="1"/>
  <c r="J2509" i="4" s="1"/>
  <c r="J2510" i="4" a="1"/>
  <c r="J2510" i="4" s="1"/>
  <c r="J2511" i="4" a="1"/>
  <c r="J2511" i="4" s="1"/>
  <c r="J2512" i="4" a="1"/>
  <c r="J2512" i="4" s="1"/>
  <c r="J2513" i="4" a="1"/>
  <c r="J2513" i="4"/>
  <c r="J2514" i="4" a="1"/>
  <c r="J2514" i="4"/>
  <c r="J2515" i="4" a="1"/>
  <c r="J2515" i="4"/>
  <c r="J2516" i="4" a="1"/>
  <c r="J2516" i="4" s="1"/>
  <c r="J2517" i="4" a="1"/>
  <c r="J2517" i="4" s="1"/>
  <c r="J2518" i="4" a="1"/>
  <c r="J2518" i="4"/>
  <c r="J2519" i="4" a="1"/>
  <c r="J2519" i="4" s="1"/>
  <c r="J2520" i="4" a="1"/>
  <c r="J2520" i="4"/>
  <c r="J2521" i="4" a="1"/>
  <c r="J2521" i="4"/>
  <c r="J2522" i="4" a="1"/>
  <c r="J2522" i="4"/>
  <c r="J2523" i="4" a="1"/>
  <c r="J2523" i="4"/>
  <c r="J2524" i="4" a="1"/>
  <c r="J2524" i="4" s="1"/>
  <c r="J2525" i="4" a="1"/>
  <c r="J2525" i="4" s="1"/>
  <c r="J2526" i="4" a="1"/>
  <c r="J2526" i="4"/>
  <c r="J2527" i="4" a="1"/>
  <c r="J2527" i="4"/>
  <c r="J2528" i="4" a="1"/>
  <c r="J2528" i="4" s="1"/>
  <c r="J2529" i="4" a="1"/>
  <c r="J2529" i="4" s="1"/>
  <c r="J2530" i="4" a="1"/>
  <c r="J2530" i="4" s="1"/>
  <c r="J2531" i="4" a="1"/>
  <c r="J2531" i="4" s="1"/>
  <c r="J2532" i="4" a="1"/>
  <c r="J2532" i="4" s="1"/>
  <c r="J2533" i="4" a="1"/>
  <c r="J2533" i="4" s="1"/>
  <c r="J2534" i="4" a="1"/>
  <c r="J2534" i="4"/>
  <c r="J2535" i="4" a="1"/>
  <c r="J2535" i="4"/>
  <c r="J2536" i="4" a="1"/>
  <c r="J2536" i="4"/>
  <c r="J2537" i="4" a="1"/>
  <c r="J2537" i="4" s="1"/>
  <c r="J2538" i="4" a="1"/>
  <c r="J2538" i="4"/>
  <c r="J2539" i="4" a="1"/>
  <c r="J2539" i="4"/>
  <c r="J2540" i="4" a="1"/>
  <c r="J2540" i="4" s="1"/>
  <c r="J2541" i="4" a="1"/>
  <c r="J2541" i="4" s="1"/>
  <c r="J2542" i="4" a="1"/>
  <c r="J2542" i="4"/>
  <c r="J2543" i="4" a="1"/>
  <c r="J2543" i="4"/>
  <c r="J2544" i="4" a="1"/>
  <c r="J2544" i="4" s="1"/>
  <c r="J2545" i="4" a="1"/>
  <c r="J2545" i="4"/>
  <c r="J2546" i="4" a="1"/>
  <c r="J2546" i="4" s="1"/>
  <c r="J2547" i="4" a="1"/>
  <c r="J2547" i="4"/>
  <c r="J2548" i="4" a="1"/>
  <c r="J2548" i="4" s="1"/>
  <c r="J2549" i="4" a="1"/>
  <c r="J2549" i="4" s="1"/>
  <c r="J2550" i="4" a="1"/>
  <c r="J2550" i="4" s="1"/>
  <c r="J2551" i="4" a="1"/>
  <c r="J2551" i="4" s="1"/>
  <c r="J2552" i="4" a="1"/>
  <c r="J2552" i="4"/>
  <c r="J2553" i="4" a="1"/>
  <c r="J2553" i="4"/>
  <c r="J2554" i="4" a="1"/>
  <c r="J2554" i="4"/>
  <c r="J2555" i="4" a="1"/>
  <c r="J2555" i="4" s="1"/>
  <c r="J2556" i="4" a="1"/>
  <c r="J2556" i="4" s="1"/>
  <c r="J2557" i="4" a="1"/>
  <c r="J2557" i="4" s="1"/>
  <c r="J2558" i="4" a="1"/>
  <c r="J2558" i="4"/>
  <c r="J2559" i="4" a="1"/>
  <c r="J2559" i="4"/>
  <c r="J2560" i="4" a="1"/>
  <c r="J2560" i="4"/>
  <c r="J2561" i="4" a="1"/>
  <c r="J2561" i="4"/>
  <c r="J2562" i="4" a="1"/>
  <c r="J2562" i="4"/>
  <c r="J2563" i="4" a="1"/>
  <c r="J2563" i="4" s="1"/>
  <c r="J2564" i="4" a="1"/>
  <c r="J2564" i="4" s="1"/>
  <c r="J2565" i="4" a="1"/>
  <c r="J2565" i="4" s="1"/>
  <c r="J2566" i="4" a="1"/>
  <c r="J2566" i="4"/>
  <c r="J2567" i="4" a="1"/>
  <c r="J2567" i="4"/>
  <c r="J2568" i="4" a="1"/>
  <c r="J2568" i="4"/>
  <c r="J2569" i="4" a="1"/>
  <c r="J2569" i="4"/>
  <c r="J2570" i="4" a="1"/>
  <c r="J2570" i="4"/>
  <c r="J2571" i="4" a="1"/>
  <c r="J2571" i="4"/>
  <c r="J2572" i="4" a="1"/>
  <c r="J2572" i="4" s="1"/>
  <c r="J2573" i="4" a="1"/>
  <c r="J2573" i="4" s="1"/>
  <c r="J2574" i="4" a="1"/>
  <c r="J2574" i="4" s="1"/>
  <c r="J2575" i="4" a="1"/>
  <c r="J2575" i="4"/>
  <c r="J2576" i="4" a="1"/>
  <c r="J2576" i="4"/>
  <c r="J2577" i="4" a="1"/>
  <c r="J2577" i="4" s="1"/>
  <c r="J2578" i="4" a="1"/>
  <c r="J2578" i="4" s="1"/>
  <c r="J2579" i="4" a="1"/>
  <c r="J2579" i="4" s="1"/>
  <c r="J2580" i="4" a="1"/>
  <c r="J2580" i="4" s="1"/>
  <c r="J2581" i="4" a="1"/>
  <c r="J2581" i="4" s="1"/>
  <c r="J2582" i="4" a="1"/>
  <c r="J2582" i="4"/>
  <c r="J2583" i="4" a="1"/>
  <c r="J2583" i="4"/>
  <c r="J2584" i="4" a="1"/>
  <c r="J2584" i="4"/>
  <c r="J2585" i="4" a="1"/>
  <c r="J2585" i="4"/>
  <c r="J2586" i="4" a="1"/>
  <c r="J2586" i="4" s="1"/>
  <c r="J2587" i="4" a="1"/>
  <c r="J2587" i="4" s="1"/>
  <c r="J2588" i="4" a="1"/>
  <c r="J2588" i="4" s="1"/>
  <c r="J2589" i="4" a="1"/>
  <c r="J2589" i="4" s="1"/>
  <c r="J2590" i="4" a="1"/>
  <c r="J2590" i="4"/>
  <c r="J2591" i="4" a="1"/>
  <c r="J2591" i="4"/>
  <c r="J2592" i="4" a="1"/>
  <c r="J2592" i="4"/>
  <c r="J2593" i="4" a="1"/>
  <c r="J2593" i="4"/>
  <c r="J2594" i="4" a="1"/>
  <c r="J2594" i="4"/>
  <c r="J2595" i="4" a="1"/>
  <c r="J2595" i="4" s="1"/>
  <c r="J2596" i="4" a="1"/>
  <c r="J2596" i="4" s="1"/>
  <c r="J2597" i="4" a="1"/>
  <c r="J2597" i="4" s="1"/>
  <c r="J2598" i="4" a="1"/>
  <c r="J2598" i="4" s="1"/>
  <c r="J2599" i="4" a="1"/>
  <c r="J2599" i="4"/>
  <c r="J2600" i="4" a="1"/>
  <c r="J2600" i="4"/>
  <c r="J2601" i="4" a="1"/>
  <c r="J2601" i="4"/>
  <c r="J2602" i="4" a="1"/>
  <c r="J2602" i="4"/>
  <c r="J2603" i="4" a="1"/>
  <c r="J2603" i="4"/>
  <c r="J2604" i="4" a="1"/>
  <c r="J2604" i="4" s="1"/>
  <c r="J2605" i="4" a="1"/>
  <c r="J2605" i="4" s="1"/>
  <c r="J2606" i="4" a="1"/>
  <c r="J2606" i="4" s="1"/>
  <c r="J2607" i="4" a="1"/>
  <c r="J2607" i="4" s="1"/>
  <c r="J2608" i="4" a="1"/>
  <c r="J2608" i="4"/>
  <c r="J2609" i="4" a="1"/>
  <c r="J2609" i="4"/>
  <c r="J2610" i="4" a="1"/>
  <c r="J2610" i="4"/>
  <c r="J2611" i="4" a="1"/>
  <c r="J2611" i="4"/>
  <c r="J2612" i="4" a="1"/>
  <c r="J2612" i="4" s="1"/>
  <c r="J2613" i="4" a="1"/>
  <c r="J2613" i="4" s="1"/>
  <c r="J2614" i="4" a="1"/>
  <c r="J2614" i="4" s="1"/>
  <c r="J2615" i="4" a="1"/>
  <c r="J2615" i="4" s="1"/>
  <c r="J2616" i="4" a="1"/>
  <c r="J2616" i="4" s="1"/>
  <c r="J2617" i="4" a="1"/>
  <c r="J2617" i="4"/>
  <c r="J2618" i="4" a="1"/>
  <c r="J2618" i="4"/>
  <c r="J2619" i="4" a="1"/>
  <c r="J2619" i="4"/>
  <c r="J2620" i="4" a="1"/>
  <c r="J2620" i="4"/>
  <c r="J2621" i="4" a="1"/>
  <c r="J2621" i="4" s="1"/>
  <c r="J2622" i="4" a="1"/>
  <c r="J2622" i="4"/>
  <c r="J2623" i="4" a="1"/>
  <c r="J2623" i="4"/>
  <c r="J2624" i="4" a="1"/>
  <c r="J2624" i="4"/>
  <c r="J2625" i="4" a="1"/>
  <c r="J2625" i="4"/>
  <c r="J2626" i="4" a="1"/>
  <c r="J2626" i="4"/>
  <c r="J2627" i="4" a="1"/>
  <c r="J2627" i="4" s="1"/>
  <c r="J2628" i="4" a="1"/>
  <c r="J2628" i="4"/>
  <c r="J2629" i="4" a="1"/>
  <c r="J2629" i="4"/>
  <c r="J2630" i="4" a="1"/>
  <c r="J2630" i="4"/>
  <c r="J2631" i="4" a="1"/>
  <c r="J2631" i="4"/>
  <c r="J2632" i="4" a="1"/>
  <c r="J2632" i="4"/>
  <c r="J2633" i="4" a="1"/>
  <c r="J2633" i="4"/>
  <c r="J2634" i="4" a="1"/>
  <c r="J2634" i="4"/>
  <c r="J2635" i="4" a="1"/>
  <c r="J2635" i="4" s="1"/>
  <c r="J2636" i="4" a="1"/>
  <c r="J2636" i="4"/>
  <c r="J2637" i="4" a="1"/>
  <c r="J2637" i="4"/>
  <c r="J2638" i="4" a="1"/>
  <c r="J2638" i="4"/>
  <c r="J2639" i="4" a="1"/>
  <c r="J2639" i="4"/>
  <c r="J2640" i="4" a="1"/>
  <c r="J2640" i="4"/>
  <c r="J2641" i="4" a="1"/>
  <c r="J2641" i="4"/>
  <c r="J2642" i="4" a="1"/>
  <c r="J2642" i="4"/>
  <c r="J2643" i="4" a="1"/>
  <c r="J2643" i="4" s="1"/>
  <c r="J2644" i="4" a="1"/>
  <c r="J2644" i="4"/>
  <c r="J2645" i="4" a="1"/>
  <c r="J2645" i="4"/>
  <c r="J2646" i="4" a="1"/>
  <c r="J2646" i="4"/>
  <c r="J2647" i="4" a="1"/>
  <c r="J2647" i="4"/>
  <c r="J2648" i="4" a="1"/>
  <c r="J2648" i="4"/>
  <c r="J2649" i="4" a="1"/>
  <c r="J2649" i="4"/>
  <c r="J2650" i="4" a="1"/>
  <c r="J2650" i="4"/>
  <c r="J2651" i="4" a="1"/>
  <c r="J2651" i="4" s="1"/>
  <c r="J2652" i="4" a="1"/>
  <c r="J2652" i="4"/>
  <c r="J2653" i="4" a="1"/>
  <c r="J2653" i="4"/>
  <c r="J2654" i="4" a="1"/>
  <c r="J2654" i="4"/>
  <c r="J2655" i="4" a="1"/>
  <c r="J2655" i="4"/>
  <c r="J2656" i="4" a="1"/>
  <c r="J2656" i="4"/>
  <c r="J2657" i="4" a="1"/>
  <c r="J2657" i="4"/>
  <c r="J2658" i="4" a="1"/>
  <c r="J2658" i="4"/>
  <c r="J2659" i="4" a="1"/>
  <c r="J2659" i="4" s="1"/>
  <c r="J2660" i="4" a="1"/>
  <c r="J2660" i="4"/>
  <c r="J2661" i="4" a="1"/>
  <c r="J2661" i="4"/>
  <c r="J2662" i="4" a="1"/>
  <c r="J2662" i="4"/>
  <c r="J2663" i="4" a="1"/>
  <c r="J2663" i="4"/>
  <c r="J2664" i="4" a="1"/>
  <c r="J2664" i="4"/>
  <c r="J2665" i="4" a="1"/>
  <c r="J2665" i="4"/>
  <c r="J2666" i="4" a="1"/>
  <c r="J2666" i="4"/>
  <c r="J2667" i="4" a="1"/>
  <c r="J2667" i="4" s="1"/>
  <c r="J2668" i="4" a="1"/>
  <c r="J2668" i="4"/>
  <c r="J2669" i="4" a="1"/>
  <c r="J2669" i="4"/>
  <c r="J2670" i="4" a="1"/>
  <c r="J2670" i="4"/>
  <c r="J2671" i="4" a="1"/>
  <c r="J2671" i="4"/>
  <c r="J2672" i="4" a="1"/>
  <c r="J2672" i="4"/>
  <c r="J2673" i="4" a="1"/>
  <c r="J2673" i="4"/>
  <c r="J2674" i="4" a="1"/>
  <c r="J2674" i="4"/>
  <c r="J2675" i="4" a="1"/>
  <c r="J2675" i="4" s="1"/>
  <c r="J2676" i="4" a="1"/>
  <c r="J2676" i="4"/>
  <c r="J2677" i="4" a="1"/>
  <c r="J2677" i="4"/>
  <c r="J2678" i="4" a="1"/>
  <c r="J2678" i="4"/>
  <c r="J2679" i="4" a="1"/>
  <c r="J2679" i="4"/>
  <c r="J2680" i="4" a="1"/>
  <c r="J2680" i="4"/>
  <c r="J2681" i="4" a="1"/>
  <c r="J2681" i="4"/>
  <c r="J2682" i="4" a="1"/>
  <c r="J2682" i="4"/>
  <c r="J2683" i="4" a="1"/>
  <c r="J2683" i="4" s="1"/>
  <c r="J2684" i="4" a="1"/>
  <c r="J2684" i="4"/>
  <c r="J2685" i="4" a="1"/>
  <c r="J2685" i="4"/>
  <c r="J2686" i="4" a="1"/>
  <c r="J2686" i="4"/>
  <c r="J2687" i="4" a="1"/>
  <c r="J2687" i="4"/>
  <c r="J2688" i="4" a="1"/>
  <c r="J2688" i="4"/>
  <c r="J2689" i="4" a="1"/>
  <c r="J2689" i="4"/>
  <c r="J2690" i="4" a="1"/>
  <c r="J2690" i="4"/>
  <c r="J2691" i="4" a="1"/>
  <c r="J2691" i="4" s="1"/>
  <c r="J2692" i="4" a="1"/>
  <c r="J2692" i="4"/>
  <c r="J2693" i="4" a="1"/>
  <c r="J2693" i="4"/>
  <c r="J2694" i="4" a="1"/>
  <c r="J2694" i="4"/>
  <c r="J2695" i="4" a="1"/>
  <c r="J2695" i="4"/>
  <c r="J2696" i="4" a="1"/>
  <c r="J2696" i="4"/>
  <c r="J2697" i="4" a="1"/>
  <c r="J2697" i="4"/>
  <c r="J2698" i="4" a="1"/>
  <c r="J2698" i="4"/>
  <c r="J2699" i="4" a="1"/>
  <c r="J2699" i="4" s="1"/>
  <c r="J2700" i="4" a="1"/>
  <c r="J2700" i="4"/>
  <c r="J2701" i="4" a="1"/>
  <c r="J2701" i="4"/>
  <c r="J2702" i="4" a="1"/>
  <c r="J2702" i="4"/>
  <c r="J2703" i="4" a="1"/>
  <c r="J2703" i="4"/>
  <c r="J2704" i="4" a="1"/>
  <c r="J2704" i="4"/>
  <c r="J2705" i="4" a="1"/>
  <c r="J2705" i="4"/>
  <c r="J2706" i="4" a="1"/>
  <c r="J2706" i="4"/>
  <c r="J2707" i="4" a="1"/>
  <c r="J2707" i="4" s="1"/>
  <c r="J2708" i="4" a="1"/>
  <c r="J2708" i="4"/>
  <c r="J2709" i="4" a="1"/>
  <c r="J2709" i="4"/>
  <c r="J2710" i="4" a="1"/>
  <c r="J2710" i="4"/>
  <c r="J2711" i="4" a="1"/>
  <c r="J2711" i="4"/>
  <c r="J2712" i="4" a="1"/>
  <c r="J2712" i="4"/>
  <c r="J2713" i="4" a="1"/>
  <c r="J2713" i="4"/>
  <c r="J2714" i="4" a="1"/>
  <c r="J2714" i="4"/>
  <c r="J2715" i="4" a="1"/>
  <c r="J2715" i="4" s="1"/>
  <c r="J2716" i="4" a="1"/>
  <c r="J2716" i="4"/>
  <c r="J2717" i="4" a="1"/>
  <c r="J2717" i="4"/>
  <c r="J2718" i="4" a="1"/>
  <c r="J2718" i="4"/>
  <c r="J2719" i="4" a="1"/>
  <c r="J2719" i="4"/>
  <c r="J2720" i="4" a="1"/>
  <c r="J2720" i="4"/>
  <c r="J2721" i="4" a="1"/>
  <c r="J2721" i="4"/>
  <c r="J2722" i="4" a="1"/>
  <c r="J2722" i="4"/>
  <c r="J2723" i="4" a="1"/>
  <c r="J2723" i="4" s="1"/>
  <c r="J2724" i="4" a="1"/>
  <c r="J2724" i="4"/>
  <c r="J2725" i="4" a="1"/>
  <c r="J2725" i="4"/>
  <c r="J2726" i="4" a="1"/>
  <c r="J2726" i="4"/>
  <c r="J2727" i="4" a="1"/>
  <c r="J2727" i="4"/>
  <c r="J2728" i="4" a="1"/>
  <c r="J2728" i="4"/>
  <c r="J2729" i="4" a="1"/>
  <c r="J2729" i="4"/>
  <c r="J2730" i="4" a="1"/>
  <c r="J2730" i="4"/>
  <c r="J2731" i="4" a="1"/>
  <c r="J2731" i="4" s="1"/>
  <c r="J2732" i="4" a="1"/>
  <c r="J2732" i="4"/>
  <c r="J2733" i="4" a="1"/>
  <c r="J2733" i="4"/>
  <c r="J2734" i="4" a="1"/>
  <c r="J2734" i="4"/>
  <c r="J2735" i="4" a="1"/>
  <c r="J2735" i="4"/>
  <c r="J2736" i="4" a="1"/>
  <c r="J2736" i="4"/>
  <c r="J2737" i="4" a="1"/>
  <c r="J2737" i="4"/>
  <c r="J2738" i="4" a="1"/>
  <c r="J2738" i="4"/>
  <c r="J2739" i="4" a="1"/>
  <c r="J2739" i="4" s="1"/>
  <c r="J2740" i="4" a="1"/>
  <c r="J2740" i="4"/>
  <c r="J2741" i="4" a="1"/>
  <c r="J2741" i="4"/>
  <c r="J2742" i="4" a="1"/>
  <c r="J2742" i="4"/>
  <c r="J2743" i="4" a="1"/>
  <c r="J2743" i="4"/>
  <c r="J2744" i="4" a="1"/>
  <c r="J2744" i="4"/>
  <c r="J2745" i="4" a="1"/>
  <c r="J2745" i="4"/>
  <c r="J2746" i="4" a="1"/>
  <c r="J2746" i="4"/>
  <c r="J2747" i="4" a="1"/>
  <c r="J2747" i="4" s="1"/>
  <c r="J2748" i="4" a="1"/>
  <c r="J2748" i="4"/>
  <c r="J2749" i="4" a="1"/>
  <c r="J2749" i="4"/>
  <c r="J2750" i="4" a="1"/>
  <c r="J2750" i="4"/>
  <c r="J2751" i="4" a="1"/>
  <c r="J2751" i="4"/>
  <c r="J2752" i="4" a="1"/>
  <c r="J2752" i="4"/>
  <c r="J2753" i="4" a="1"/>
  <c r="J2753" i="4"/>
  <c r="J2754" i="4" a="1"/>
  <c r="J2754" i="4"/>
  <c r="J2755" i="4" a="1"/>
  <c r="J2755" i="4" s="1"/>
  <c r="J2756" i="4" a="1"/>
  <c r="J2756" i="4"/>
  <c r="J2757" i="4" a="1"/>
  <c r="J2757" i="4"/>
  <c r="J2758" i="4" a="1"/>
  <c r="J2758" i="4"/>
  <c r="J2759" i="4" a="1"/>
  <c r="J2759" i="4"/>
  <c r="J2760" i="4" a="1"/>
  <c r="J2760" i="4"/>
  <c r="J2761" i="4" a="1"/>
  <c r="J2761" i="4"/>
  <c r="J2762" i="4" a="1"/>
  <c r="J2762" i="4"/>
  <c r="J2763" i="4" a="1"/>
  <c r="J2763" i="4" s="1"/>
  <c r="J2764" i="4" a="1"/>
  <c r="J2764" i="4"/>
  <c r="J2765" i="4" a="1"/>
  <c r="J2765" i="4"/>
  <c r="J2766" i="4" a="1"/>
  <c r="J2766" i="4"/>
  <c r="J2767" i="4" a="1"/>
  <c r="J2767" i="4"/>
  <c r="J2768" i="4" a="1"/>
  <c r="J2768" i="4"/>
  <c r="J2769" i="4" a="1"/>
  <c r="J2769" i="4"/>
  <c r="J2770" i="4" a="1"/>
  <c r="J2770" i="4"/>
  <c r="J2771" i="4" a="1"/>
  <c r="J2771" i="4" s="1"/>
  <c r="J2772" i="4" a="1"/>
  <c r="J2772" i="4"/>
  <c r="J2773" i="4" a="1"/>
  <c r="J2773" i="4"/>
  <c r="J2774" i="4" a="1"/>
  <c r="J2774" i="4"/>
  <c r="J2775" i="4" a="1"/>
  <c r="J2775" i="4"/>
  <c r="J2776" i="4" a="1"/>
  <c r="J2776" i="4"/>
  <c r="J2777" i="4" a="1"/>
  <c r="J2777" i="4"/>
  <c r="J2778" i="4" a="1"/>
  <c r="J2778" i="4"/>
  <c r="J2779" i="4" a="1"/>
  <c r="J2779" i="4" s="1"/>
  <c r="J2780" i="4" a="1"/>
  <c r="J2780" i="4"/>
  <c r="J2781" i="4" a="1"/>
  <c r="J2781" i="4"/>
  <c r="J2782" i="4" a="1"/>
  <c r="J2782" i="4"/>
  <c r="J2783" i="4" a="1"/>
  <c r="J2783" i="4"/>
  <c r="J2784" i="4" a="1"/>
  <c r="J2784" i="4"/>
  <c r="J2785" i="4" a="1"/>
  <c r="J2785" i="4"/>
  <c r="J2786" i="4" a="1"/>
  <c r="J2786" i="4"/>
  <c r="J2787" i="4" a="1"/>
  <c r="J2787" i="4" s="1"/>
  <c r="J2788" i="4" a="1"/>
  <c r="J2788" i="4"/>
  <c r="J2789" i="4" a="1"/>
  <c r="J2789" i="4"/>
  <c r="J2790" i="4" a="1"/>
  <c r="J2790" i="4"/>
  <c r="J2791" i="4" a="1"/>
  <c r="J2791" i="4"/>
  <c r="J2792" i="4" a="1"/>
  <c r="J2792" i="4"/>
  <c r="J2793" i="4" a="1"/>
  <c r="J2793" i="4"/>
  <c r="J2794" i="4" a="1"/>
  <c r="J2794" i="4"/>
  <c r="J2795" i="4" a="1"/>
  <c r="J2795" i="4" s="1"/>
  <c r="J2796" i="4" a="1"/>
  <c r="J2796" i="4"/>
  <c r="J2797" i="4" a="1"/>
  <c r="J2797" i="4"/>
  <c r="J2798" i="4" a="1"/>
  <c r="J2798" i="4"/>
  <c r="J2799" i="4" a="1"/>
  <c r="J2799" i="4"/>
  <c r="J2800" i="4" a="1"/>
  <c r="J2800" i="4"/>
  <c r="J2801" i="4" a="1"/>
  <c r="J2801" i="4"/>
  <c r="J2802" i="4" a="1"/>
  <c r="J2802" i="4"/>
  <c r="J2803" i="4" a="1"/>
  <c r="J2803" i="4" s="1"/>
  <c r="J2804" i="4" a="1"/>
  <c r="J2804" i="4"/>
  <c r="J2805" i="4" a="1"/>
  <c r="J2805" i="4"/>
  <c r="J2806" i="4" a="1"/>
  <c r="J2806" i="4"/>
  <c r="J2807" i="4" a="1"/>
  <c r="J2807" i="4"/>
  <c r="J2808" i="4" a="1"/>
  <c r="J2808" i="4"/>
  <c r="J2809" i="4" a="1"/>
  <c r="J2809" i="4"/>
  <c r="J2810" i="4" a="1"/>
  <c r="J2810" i="4"/>
  <c r="J2811" i="4" a="1"/>
  <c r="J2811" i="4" s="1"/>
  <c r="J2812" i="4" a="1"/>
  <c r="J2812" i="4"/>
  <c r="J2813" i="4" a="1"/>
  <c r="J2813" i="4"/>
  <c r="J2814" i="4" a="1"/>
  <c r="J2814" i="4"/>
  <c r="J2815" i="4" a="1"/>
  <c r="J2815" i="4"/>
  <c r="J2816" i="4" a="1"/>
  <c r="J2816" i="4"/>
  <c r="J2817" i="4" a="1"/>
  <c r="J2817" i="4"/>
  <c r="J2818" i="4" a="1"/>
  <c r="J2818" i="4"/>
  <c r="J2819" i="4" a="1"/>
  <c r="J2819" i="4" s="1"/>
  <c r="J2820" i="4" a="1"/>
  <c r="J2820" i="4"/>
  <c r="J2821" i="4" a="1"/>
  <c r="J2821" i="4"/>
  <c r="J2822" i="4" a="1"/>
  <c r="J2822" i="4"/>
  <c r="J2823" i="4" a="1"/>
  <c r="J2823" i="4"/>
  <c r="J2824" i="4" a="1"/>
  <c r="J2824" i="4"/>
  <c r="J2825" i="4" a="1"/>
  <c r="J2825" i="4"/>
  <c r="J2826" i="4" a="1"/>
  <c r="J2826" i="4"/>
  <c r="J2827" i="4" a="1"/>
  <c r="J2827" i="4" s="1"/>
  <c r="J2828" i="4" a="1"/>
  <c r="J2828" i="4"/>
  <c r="J2829" i="4" a="1"/>
  <c r="J2829" i="4"/>
  <c r="J2" i="4" a="1"/>
  <c r="J2" i="4"/>
  <c r="L3" i="3" a="1"/>
  <c r="L3" i="3" s="1"/>
  <c r="L4" i="3" a="1"/>
  <c r="L4" i="3"/>
  <c r="L5" i="3" a="1"/>
  <c r="L5" i="3"/>
  <c r="L6" i="3" a="1"/>
  <c r="L6" i="3"/>
  <c r="L7" i="3" a="1"/>
  <c r="L7" i="3"/>
  <c r="L8" i="3" a="1"/>
  <c r="L8" i="3"/>
  <c r="L9" i="3" a="1"/>
  <c r="L9" i="3"/>
  <c r="L10" i="3" a="1"/>
  <c r="L10" i="3"/>
  <c r="L11" i="3" a="1"/>
  <c r="L11" i="3" s="1"/>
  <c r="L12" i="3" a="1"/>
  <c r="L12" i="3" s="1"/>
  <c r="L13" i="3" a="1"/>
  <c r="L13" i="3"/>
  <c r="L14" i="3" a="1"/>
  <c r="L14" i="3"/>
  <c r="L15" i="3" a="1"/>
  <c r="L15" i="3"/>
  <c r="L16" i="3" a="1"/>
  <c r="L16" i="3"/>
  <c r="L17" i="3" a="1"/>
  <c r="L17" i="3"/>
  <c r="L18" i="3" a="1"/>
  <c r="L18" i="3"/>
  <c r="L19" i="3" a="1"/>
  <c r="L19" i="3" s="1"/>
  <c r="L20" i="3" a="1"/>
  <c r="L20" i="3"/>
  <c r="L21" i="3" a="1"/>
  <c r="L21" i="3"/>
  <c r="L22" i="3" a="1"/>
  <c r="L22" i="3"/>
  <c r="L23" i="3" a="1"/>
  <c r="L23" i="3" s="1"/>
  <c r="L24" i="3" a="1"/>
  <c r="L24" i="3"/>
  <c r="L25" i="3" a="1"/>
  <c r="L25" i="3"/>
  <c r="L26" i="3" a="1"/>
  <c r="L26" i="3"/>
  <c r="L27" i="3" a="1"/>
  <c r="L27" i="3" s="1"/>
  <c r="L28" i="3" a="1"/>
  <c r="L28" i="3" s="1"/>
  <c r="L29" i="3" a="1"/>
  <c r="L29" i="3" s="1"/>
  <c r="L30" i="3" a="1"/>
  <c r="L30" i="3"/>
  <c r="L31" i="3" a="1"/>
  <c r="L31" i="3"/>
  <c r="L32" i="3" a="1"/>
  <c r="L32" i="3"/>
  <c r="L33" i="3" a="1"/>
  <c r="L33" i="3" s="1"/>
  <c r="L34" i="3" a="1"/>
  <c r="L34" i="3"/>
  <c r="L35" i="3" a="1"/>
  <c r="L35" i="3" s="1"/>
  <c r="L36" i="3" a="1"/>
  <c r="L36" i="3"/>
  <c r="L37" i="3" a="1"/>
  <c r="L37" i="3"/>
  <c r="L38" i="3" a="1"/>
  <c r="L38" i="3"/>
  <c r="L39" i="3" a="1"/>
  <c r="L39" i="3"/>
  <c r="L40" i="3" a="1"/>
  <c r="L40" i="3" s="1"/>
  <c r="L41" i="3" a="1"/>
  <c r="L41" i="3"/>
  <c r="L42" i="3" a="1"/>
  <c r="L42" i="3" s="1"/>
  <c r="L43" i="3" a="1"/>
  <c r="L43" i="3" s="1"/>
  <c r="L44" i="3" a="1"/>
  <c r="L44" i="3"/>
  <c r="L45" i="3" a="1"/>
  <c r="L45" i="3"/>
  <c r="L46" i="3" a="1"/>
  <c r="L46" i="3"/>
  <c r="L47" i="3" a="1"/>
  <c r="L47" i="3" s="1"/>
  <c r="L48" i="3" a="1"/>
  <c r="L48" i="3" s="1"/>
  <c r="L49" i="3" a="1"/>
  <c r="L49" i="3"/>
  <c r="L50" i="3" a="1"/>
  <c r="L50" i="3"/>
  <c r="L51" i="3" a="1"/>
  <c r="L51" i="3" s="1"/>
  <c r="L52" i="3" a="1"/>
  <c r="L52" i="3"/>
  <c r="L53" i="3" a="1"/>
  <c r="L53" i="3"/>
  <c r="L54" i="3" a="1"/>
  <c r="L54" i="3"/>
  <c r="L55" i="3" a="1"/>
  <c r="L55" i="3"/>
  <c r="L56" i="3" a="1"/>
  <c r="L56" i="3" s="1"/>
  <c r="L57" i="3" a="1"/>
  <c r="L57" i="3" s="1"/>
  <c r="L58" i="3" a="1"/>
  <c r="L58" i="3"/>
  <c r="L59" i="3" a="1"/>
  <c r="L59" i="3" s="1"/>
  <c r="L60" i="3" a="1"/>
  <c r="L60" i="3" s="1"/>
  <c r="L61" i="3" a="1"/>
  <c r="L61" i="3"/>
  <c r="L62" i="3" a="1"/>
  <c r="L62" i="3"/>
  <c r="L63" i="3" a="1"/>
  <c r="L63" i="3" s="1"/>
  <c r="L64" i="3" a="1"/>
  <c r="L64" i="3"/>
  <c r="L65" i="3" a="1"/>
  <c r="L65" i="3"/>
  <c r="L66" i="3" a="1"/>
  <c r="L66" i="3"/>
  <c r="L67" i="3" a="1"/>
  <c r="L67" i="3" s="1"/>
  <c r="L68" i="3" a="1"/>
  <c r="L68" i="3"/>
  <c r="L69" i="3" a="1"/>
  <c r="L69" i="3" s="1"/>
  <c r="L70" i="3" a="1"/>
  <c r="L70" i="3"/>
  <c r="L71" i="3" a="1"/>
  <c r="L71" i="3"/>
  <c r="L72" i="3" a="1"/>
  <c r="L72" i="3"/>
  <c r="L73" i="3" a="1"/>
  <c r="L73" i="3"/>
  <c r="L74" i="3" a="1"/>
  <c r="L74" i="3" s="1"/>
  <c r="L75" i="3" a="1"/>
  <c r="L75" i="3" s="1"/>
  <c r="L76" i="3" a="1"/>
  <c r="L76" i="3"/>
  <c r="L77" i="3" a="1"/>
  <c r="L77" i="3"/>
  <c r="L78" i="3" a="1"/>
  <c r="L78" i="3"/>
  <c r="L79" i="3" a="1"/>
  <c r="L79" i="3"/>
  <c r="L80" i="3" a="1"/>
  <c r="L80" i="3" s="1"/>
  <c r="L81" i="3" a="1"/>
  <c r="L81" i="3"/>
  <c r="L82" i="3" a="1"/>
  <c r="L82" i="3"/>
  <c r="L83" i="3" a="1"/>
  <c r="L83" i="3" s="1"/>
  <c r="L84" i="3" a="1"/>
  <c r="L84" i="3"/>
  <c r="L85" i="3" a="1"/>
  <c r="L85" i="3"/>
  <c r="L86" i="3" a="1"/>
  <c r="L86" i="3"/>
  <c r="L87" i="3" a="1"/>
  <c r="L87" i="3" s="1"/>
  <c r="L88" i="3" a="1"/>
  <c r="L88" i="3"/>
  <c r="L89" i="3" a="1"/>
  <c r="L89" i="3"/>
  <c r="L90" i="3" a="1"/>
  <c r="L90" i="3"/>
  <c r="L91" i="3" a="1"/>
  <c r="L91" i="3" s="1"/>
  <c r="L92" i="3" a="1"/>
  <c r="L92" i="3"/>
  <c r="L93" i="3" a="1"/>
  <c r="L93" i="3"/>
  <c r="L94" i="3" a="1"/>
  <c r="L94" i="3"/>
  <c r="L95" i="3" a="1"/>
  <c r="L95" i="3"/>
  <c r="L96" i="3" a="1"/>
  <c r="L96" i="3"/>
  <c r="L97" i="3" a="1"/>
  <c r="L97" i="3" s="1"/>
  <c r="L98" i="3" a="1"/>
  <c r="L98" i="3"/>
  <c r="L99" i="3" a="1"/>
  <c r="L99" i="3" s="1"/>
  <c r="L100" i="3" a="1"/>
  <c r="L100" i="3" s="1"/>
  <c r="L101" i="3" a="1"/>
  <c r="L101" i="3"/>
  <c r="L102" i="3" a="1"/>
  <c r="L102" i="3"/>
  <c r="L103" i="3" a="1"/>
  <c r="L103" i="3"/>
  <c r="L104" i="3" a="1"/>
  <c r="L104" i="3" s="1"/>
  <c r="L105" i="3" a="1"/>
  <c r="L105" i="3" s="1"/>
  <c r="L106" i="3" a="1"/>
  <c r="L106" i="3"/>
  <c r="L107" i="3" a="1"/>
  <c r="L107" i="3" s="1"/>
  <c r="L108" i="3" a="1"/>
  <c r="L108" i="3"/>
  <c r="L109" i="3" a="1"/>
  <c r="L109" i="3"/>
  <c r="L110" i="3" a="1"/>
  <c r="L110" i="3"/>
  <c r="L111" i="3" a="1"/>
  <c r="L111" i="3"/>
  <c r="L112" i="3" a="1"/>
  <c r="L112" i="3"/>
  <c r="L113" i="3" a="1"/>
  <c r="L113" i="3" s="1"/>
  <c r="L114" i="3" a="1"/>
  <c r="L114" i="3" s="1"/>
  <c r="L115" i="3" a="1"/>
  <c r="L115" i="3" s="1"/>
  <c r="L116" i="3" a="1"/>
  <c r="L116" i="3"/>
  <c r="L117" i="3" a="1"/>
  <c r="L117" i="3" s="1"/>
  <c r="L118" i="3" a="1"/>
  <c r="L118" i="3"/>
  <c r="L119" i="3" a="1"/>
  <c r="L119" i="3" s="1"/>
  <c r="L120" i="3" a="1"/>
  <c r="L120" i="3" s="1"/>
  <c r="L121" i="3" a="1"/>
  <c r="L121" i="3"/>
  <c r="L122" i="3" a="1"/>
  <c r="L122" i="3"/>
  <c r="L123" i="3" a="1"/>
  <c r="L123" i="3" s="1"/>
  <c r="L124" i="3" a="1"/>
  <c r="L124" i="3"/>
  <c r="L125" i="3" a="1"/>
  <c r="L125" i="3" s="1"/>
  <c r="L126" i="3" a="1"/>
  <c r="L126" i="3"/>
  <c r="L127" i="3" a="1"/>
  <c r="L127" i="3"/>
  <c r="L128" i="3" a="1"/>
  <c r="L128" i="3" s="1"/>
  <c r="L129" i="3" a="1"/>
  <c r="L129" i="3"/>
  <c r="L130" i="3" a="1"/>
  <c r="L130" i="3"/>
  <c r="L131" i="3" a="1"/>
  <c r="L131" i="3" s="1"/>
  <c r="L132" i="3" a="1"/>
  <c r="L132" i="3"/>
  <c r="L133" i="3" a="1"/>
  <c r="L133" i="3"/>
  <c r="L134" i="3" a="1"/>
  <c r="L134" i="3"/>
  <c r="L135" i="3" a="1"/>
  <c r="L135" i="3"/>
  <c r="L136" i="3" a="1"/>
  <c r="L136" i="3"/>
  <c r="L137" i="3" a="1"/>
  <c r="L137" i="3" s="1"/>
  <c r="L138" i="3" a="1"/>
  <c r="L138" i="3"/>
  <c r="L139" i="3" a="1"/>
  <c r="L139" i="3" s="1"/>
  <c r="L140" i="3" a="1"/>
  <c r="L140" i="3" s="1"/>
  <c r="L141" i="3" a="1"/>
  <c r="L141" i="3" s="1"/>
  <c r="L142" i="3" a="1"/>
  <c r="L142" i="3"/>
  <c r="L143" i="3" a="1"/>
  <c r="L143" i="3"/>
  <c r="L144" i="3" a="1"/>
  <c r="L144" i="3"/>
  <c r="L145" i="3" a="1"/>
  <c r="L145" i="3"/>
  <c r="L146" i="3" a="1"/>
  <c r="L146" i="3" s="1"/>
  <c r="L147" i="3" a="1"/>
  <c r="L147" i="3" s="1"/>
  <c r="L148" i="3" a="1"/>
  <c r="L148" i="3"/>
  <c r="L149" i="3" a="1"/>
  <c r="L149" i="3"/>
  <c r="L150" i="3" a="1"/>
  <c r="L150" i="3"/>
  <c r="L151" i="3" a="1"/>
  <c r="L151" i="3" s="1"/>
  <c r="L152" i="3" a="1"/>
  <c r="L152" i="3"/>
  <c r="L153" i="3" a="1"/>
  <c r="L153" i="3" s="1"/>
  <c r="L154" i="3" a="1"/>
  <c r="L154" i="3"/>
  <c r="L155" i="3" a="1"/>
  <c r="L155" i="3" s="1"/>
  <c r="L156" i="3" a="1"/>
  <c r="L156" i="3"/>
  <c r="L157" i="3" a="1"/>
  <c r="L157" i="3" s="1"/>
  <c r="L158" i="3" a="1"/>
  <c r="L158" i="3"/>
  <c r="L159" i="3" a="1"/>
  <c r="L159" i="3" s="1"/>
  <c r="L160" i="3" a="1"/>
  <c r="L160" i="3"/>
  <c r="L161" i="3" a="1"/>
  <c r="L161" i="3" s="1"/>
  <c r="L162" i="3" a="1"/>
  <c r="L162" i="3"/>
  <c r="L163" i="3" a="1"/>
  <c r="L163" i="3" s="1"/>
  <c r="L164" i="3" a="1"/>
  <c r="L164" i="3"/>
  <c r="L165" i="3" a="1"/>
  <c r="L165" i="3" s="1"/>
  <c r="L166" i="3" a="1"/>
  <c r="L166" i="3"/>
  <c r="L167" i="3" a="1"/>
  <c r="L167" i="3"/>
  <c r="L168" i="3" a="1"/>
  <c r="L168" i="3" s="1"/>
  <c r="L169" i="3" a="1"/>
  <c r="L169" i="3"/>
  <c r="L170" i="3" a="1"/>
  <c r="L170" i="3"/>
  <c r="L171" i="3" a="1"/>
  <c r="L171" i="3" s="1"/>
  <c r="L172" i="3" a="1"/>
  <c r="L172" i="3"/>
  <c r="L173" i="3" a="1"/>
  <c r="L173" i="3"/>
  <c r="L174" i="3" a="1"/>
  <c r="L174" i="3"/>
  <c r="L175" i="3" a="1"/>
  <c r="L175" i="3"/>
  <c r="L176" i="3" a="1"/>
  <c r="L176" i="3" s="1"/>
  <c r="L177" i="3" a="1"/>
  <c r="L177" i="3"/>
  <c r="L178" i="3" a="1"/>
  <c r="L178" i="3"/>
  <c r="L179" i="3" a="1"/>
  <c r="L179" i="3" s="1"/>
  <c r="L180" i="3" a="1"/>
  <c r="L180" i="3"/>
  <c r="L181" i="3" a="1"/>
  <c r="L181" i="3" s="1"/>
  <c r="L182" i="3" a="1"/>
  <c r="L182" i="3"/>
  <c r="L183" i="3" a="1"/>
  <c r="L183" i="3"/>
  <c r="L184" i="3" a="1"/>
  <c r="L184" i="3" s="1"/>
  <c r="L185" i="3" a="1"/>
  <c r="L185" i="3" s="1"/>
  <c r="L186" i="3" a="1"/>
  <c r="L186" i="3"/>
  <c r="L187" i="3" a="1"/>
  <c r="L187" i="3" s="1"/>
  <c r="L188" i="3" a="1"/>
  <c r="L188" i="3"/>
  <c r="L189" i="3" a="1"/>
  <c r="L189" i="3"/>
  <c r="L190" i="3" a="1"/>
  <c r="L190" i="3"/>
  <c r="L191" i="3" a="1"/>
  <c r="L191" i="3" s="1"/>
  <c r="L192" i="3" a="1"/>
  <c r="L192" i="3" s="1"/>
  <c r="L193" i="3" a="1"/>
  <c r="L193" i="3"/>
  <c r="L194" i="3" a="1"/>
  <c r="L194" i="3"/>
  <c r="L195" i="3" a="1"/>
  <c r="L195" i="3" s="1"/>
  <c r="L196" i="3" a="1"/>
  <c r="L196" i="3"/>
  <c r="L197" i="3" a="1"/>
  <c r="L197" i="3"/>
  <c r="L198" i="3" a="1"/>
  <c r="L198" i="3"/>
  <c r="L199" i="3" a="1"/>
  <c r="L199" i="3"/>
  <c r="L200" i="3" a="1"/>
  <c r="L200" i="3"/>
  <c r="L201" i="3" a="1"/>
  <c r="L201" i="3"/>
  <c r="L202" i="3" a="1"/>
  <c r="L202" i="3" s="1"/>
  <c r="L203" i="3" a="1"/>
  <c r="L203" i="3" s="1"/>
  <c r="L204" i="3" a="1"/>
  <c r="L204" i="3" s="1"/>
  <c r="L205" i="3" a="1"/>
  <c r="L205" i="3"/>
  <c r="L206" i="3" a="1"/>
  <c r="L206" i="3"/>
  <c r="L207" i="3" a="1"/>
  <c r="L207" i="3"/>
  <c r="L208" i="3" a="1"/>
  <c r="L208" i="3" s="1"/>
  <c r="L209" i="3" a="1"/>
  <c r="L209" i="3"/>
  <c r="L210" i="3" a="1"/>
  <c r="L210" i="3" s="1"/>
  <c r="L211" i="3" a="1"/>
  <c r="L211" i="3" s="1"/>
  <c r="L212" i="3" a="1"/>
  <c r="L212" i="3"/>
  <c r="L213" i="3" a="1"/>
  <c r="L213" i="3" s="1"/>
  <c r="L214" i="3" a="1"/>
  <c r="L214" i="3"/>
  <c r="L215" i="3" a="1"/>
  <c r="L215" i="3"/>
  <c r="L216" i="3" a="1"/>
  <c r="L216" i="3"/>
  <c r="L217" i="3" a="1"/>
  <c r="L217" i="3"/>
  <c r="L218" i="3" a="1"/>
  <c r="L218" i="3" s="1"/>
  <c r="L219" i="3" a="1"/>
  <c r="L219" i="3" s="1"/>
  <c r="L220" i="3" a="1"/>
  <c r="L220" i="3"/>
  <c r="L221" i="3" a="1"/>
  <c r="L221" i="3"/>
  <c r="L222" i="3" a="1"/>
  <c r="L222" i="3"/>
  <c r="L223" i="3" a="1"/>
  <c r="L223" i="3" s="1"/>
  <c r="L224" i="3" a="1"/>
  <c r="L224" i="3"/>
  <c r="L225" i="3" a="1"/>
  <c r="L225" i="3" s="1"/>
  <c r="L226" i="3" a="1"/>
  <c r="L226" i="3"/>
  <c r="L227" i="3" a="1"/>
  <c r="L227" i="3" s="1"/>
  <c r="L228" i="3" a="1"/>
  <c r="L228" i="3" s="1"/>
  <c r="L229" i="3" a="1"/>
  <c r="L229" i="3"/>
  <c r="L230" i="3" a="1"/>
  <c r="L230" i="3"/>
  <c r="L231" i="3" a="1"/>
  <c r="L231" i="3" s="1"/>
  <c r="L232" i="3" a="1"/>
  <c r="L232" i="3"/>
  <c r="L233" i="3" a="1"/>
  <c r="L233" i="3" s="1"/>
  <c r="L234" i="3" a="1"/>
  <c r="L234" i="3"/>
  <c r="L235" i="3" a="1"/>
  <c r="L235" i="3" s="1"/>
  <c r="L236" i="3" a="1"/>
  <c r="L236" i="3"/>
  <c r="L237" i="3" a="1"/>
  <c r="L237" i="3"/>
  <c r="L238" i="3" a="1"/>
  <c r="L238" i="3"/>
  <c r="L239" i="3" a="1"/>
  <c r="L239" i="3"/>
  <c r="L240" i="3" a="1"/>
  <c r="L240" i="3"/>
  <c r="L241" i="3" a="1"/>
  <c r="L241" i="3"/>
  <c r="L242" i="3" a="1"/>
  <c r="L242" i="3" s="1"/>
  <c r="L243" i="3" a="1"/>
  <c r="L243" i="3" s="1"/>
  <c r="L244" i="3" a="1"/>
  <c r="L244" i="3"/>
  <c r="L245" i="3" a="1"/>
  <c r="L245" i="3" s="1"/>
  <c r="L246" i="3" a="1"/>
  <c r="L246" i="3"/>
  <c r="L247" i="3" a="1"/>
  <c r="L247" i="3"/>
  <c r="L248" i="3" a="1"/>
  <c r="L248" i="3" s="1"/>
  <c r="L249" i="3" a="1"/>
  <c r="L249" i="3" s="1"/>
  <c r="L250" i="3" a="1"/>
  <c r="L250" i="3"/>
  <c r="L251" i="3" a="1"/>
  <c r="L251" i="3" s="1"/>
  <c r="L252" i="3" a="1"/>
  <c r="L252" i="3" s="1"/>
  <c r="L253" i="3" a="1"/>
  <c r="L253" i="3"/>
  <c r="L254" i="3" a="1"/>
  <c r="L254" i="3"/>
  <c r="L255" i="3" a="1"/>
  <c r="L255" i="3" s="1"/>
  <c r="L256" i="3" a="1"/>
  <c r="L256" i="3" s="1"/>
  <c r="L257" i="3" a="1"/>
  <c r="L257" i="3"/>
  <c r="L258" i="3" a="1"/>
  <c r="L258" i="3"/>
  <c r="L259" i="3" a="1"/>
  <c r="L259" i="3" s="1"/>
  <c r="L260" i="3" a="1"/>
  <c r="L260" i="3"/>
  <c r="L261" i="3" a="1"/>
  <c r="L261" i="3" s="1"/>
  <c r="L262" i="3" a="1"/>
  <c r="L262" i="3"/>
  <c r="L263" i="3" a="1"/>
  <c r="L263" i="3"/>
  <c r="L264" i="3" a="1"/>
  <c r="L264" i="3"/>
  <c r="L265" i="3" a="1"/>
  <c r="L265" i="3"/>
  <c r="L266" i="3" a="1"/>
  <c r="L266" i="3" s="1"/>
  <c r="L267" i="3" a="1"/>
  <c r="L267" i="3" s="1"/>
  <c r="L268" i="3" a="1"/>
  <c r="L268" i="3" s="1"/>
  <c r="L269" i="3" a="1"/>
  <c r="L269" i="3"/>
  <c r="L270" i="3" a="1"/>
  <c r="L270" i="3"/>
  <c r="L271" i="3" a="1"/>
  <c r="L271" i="3"/>
  <c r="L272" i="3" a="1"/>
  <c r="L272" i="3" s="1"/>
  <c r="L273" i="3" a="1"/>
  <c r="L273" i="3"/>
  <c r="L274" i="3" a="1"/>
  <c r="L274" i="3"/>
  <c r="L275" i="3" a="1"/>
  <c r="L275" i="3" s="1"/>
  <c r="L276" i="3" a="1"/>
  <c r="L276" i="3"/>
  <c r="L277" i="3" a="1"/>
  <c r="L277" i="3"/>
  <c r="L278" i="3" a="1"/>
  <c r="L278" i="3"/>
  <c r="L279" i="3" a="1"/>
  <c r="L279" i="3" s="1"/>
  <c r="L280" i="3" a="1"/>
  <c r="L280" i="3"/>
  <c r="L281" i="3" a="1"/>
  <c r="L281" i="3" s="1"/>
  <c r="L282" i="3" a="1"/>
  <c r="L282" i="3"/>
  <c r="L283" i="3" a="1"/>
  <c r="L283" i="3" s="1"/>
  <c r="L284" i="3" a="1"/>
  <c r="L284" i="3"/>
  <c r="L285" i="3" a="1"/>
  <c r="L285" i="3" s="1"/>
  <c r="L286" i="3" a="1"/>
  <c r="L286" i="3"/>
  <c r="L287" i="3" a="1"/>
  <c r="L287" i="3"/>
  <c r="L288" i="3" a="1"/>
  <c r="L288" i="3"/>
  <c r="L289" i="3" a="1"/>
  <c r="L289" i="3"/>
  <c r="L290" i="3" a="1"/>
  <c r="L290" i="3" s="1"/>
  <c r="L291" i="3" a="1"/>
  <c r="L291" i="3" s="1"/>
  <c r="L292" i="3" a="1"/>
  <c r="L292" i="3"/>
  <c r="L293" i="3" a="1"/>
  <c r="L293" i="3"/>
  <c r="L294" i="3" a="1"/>
  <c r="L294" i="3"/>
  <c r="L295" i="3" a="1"/>
  <c r="L295" i="3"/>
  <c r="L296" i="3" a="1"/>
  <c r="L296" i="3" s="1"/>
  <c r="L297" i="3" a="1"/>
  <c r="L297" i="3"/>
  <c r="L298" i="3" a="1"/>
  <c r="L298" i="3"/>
  <c r="L299" i="3" a="1"/>
  <c r="L299" i="3" s="1"/>
  <c r="L300" i="3" a="1"/>
  <c r="L300" i="3"/>
  <c r="L301" i="3" a="1"/>
  <c r="L301" i="3"/>
  <c r="L302" i="3" a="1"/>
  <c r="L302" i="3" s="1"/>
  <c r="L303" i="3" a="1"/>
  <c r="L303" i="3" s="1"/>
  <c r="L304" i="3" a="1"/>
  <c r="L304" i="3"/>
  <c r="L305" i="3" a="1"/>
  <c r="L305" i="3"/>
  <c r="L306" i="3" a="1"/>
  <c r="L306" i="3"/>
  <c r="L307" i="3" a="1"/>
  <c r="L307" i="3" s="1"/>
  <c r="L308" i="3" a="1"/>
  <c r="L308" i="3"/>
  <c r="L309" i="3" a="1"/>
  <c r="L309" i="3" s="1"/>
  <c r="L310" i="3" a="1"/>
  <c r="L310" i="3"/>
  <c r="L311" i="3" a="1"/>
  <c r="L311" i="3"/>
  <c r="L312" i="3" a="1"/>
  <c r="L312" i="3"/>
  <c r="L313" i="3" a="1"/>
  <c r="L313" i="3" s="1"/>
  <c r="L314" i="3" a="1"/>
  <c r="L314" i="3"/>
  <c r="L315" i="3" a="1"/>
  <c r="L315" i="3" s="1"/>
  <c r="L316" i="3" a="1"/>
  <c r="L316" i="3"/>
  <c r="L317" i="3" a="1"/>
  <c r="L317" i="3"/>
  <c r="L318" i="3" a="1"/>
  <c r="L318" i="3" s="1"/>
  <c r="L319" i="3" a="1"/>
  <c r="L319" i="3" s="1"/>
  <c r="L320" i="3" a="1"/>
  <c r="L320" i="3"/>
  <c r="L321" i="3" a="1"/>
  <c r="L321" i="3" s="1"/>
  <c r="L322" i="3" a="1"/>
  <c r="L322" i="3"/>
  <c r="L323" i="3" a="1"/>
  <c r="L323" i="3" s="1"/>
  <c r="L324" i="3" a="1"/>
  <c r="L324" i="3" s="1"/>
  <c r="L325" i="3" a="1"/>
  <c r="L325" i="3"/>
  <c r="L326" i="3" a="1"/>
  <c r="L326" i="3"/>
  <c r="L327" i="3" a="1"/>
  <c r="L327" i="3" s="1"/>
  <c r="L328" i="3" a="1"/>
  <c r="L328" i="3"/>
  <c r="L329" i="3" a="1"/>
  <c r="L329" i="3" s="1"/>
  <c r="L330" i="3" a="1"/>
  <c r="L330" i="3" s="1"/>
  <c r="L331" i="3" a="1"/>
  <c r="L331" i="3" s="1"/>
  <c r="L332" i="3" a="1"/>
  <c r="L332" i="3"/>
  <c r="L333" i="3" a="1"/>
  <c r="L333" i="3"/>
  <c r="L334" i="3" a="1"/>
  <c r="L334" i="3"/>
  <c r="L335" i="3" a="1"/>
  <c r="L335" i="3" s="1"/>
  <c r="L336" i="3" a="1"/>
  <c r="L336" i="3" s="1"/>
  <c r="L337" i="3" a="1"/>
  <c r="L337" i="3"/>
  <c r="L338" i="3" a="1"/>
  <c r="L338" i="3"/>
  <c r="L339" i="3" a="1"/>
  <c r="L339" i="3" s="1"/>
  <c r="L340" i="3" a="1"/>
  <c r="L340" i="3"/>
  <c r="L341" i="3" a="1"/>
  <c r="L341" i="3"/>
  <c r="L342" i="3" a="1"/>
  <c r="L342" i="3"/>
  <c r="L343" i="3" a="1"/>
  <c r="L343" i="3"/>
  <c r="L344" i="3" a="1"/>
  <c r="L344" i="3" s="1"/>
  <c r="L345" i="3" a="1"/>
  <c r="L345" i="3"/>
  <c r="L346" i="3" a="1"/>
  <c r="L346" i="3"/>
  <c r="L347" i="3" a="1"/>
  <c r="L347" i="3" s="1"/>
  <c r="L348" i="3" a="1"/>
  <c r="L348" i="3"/>
  <c r="L349" i="3" a="1"/>
  <c r="L349" i="3"/>
  <c r="L350" i="3" a="1"/>
  <c r="L350" i="3"/>
  <c r="L351" i="3" a="1"/>
  <c r="L351" i="3" s="1"/>
  <c r="L352" i="3" a="1"/>
  <c r="L352" i="3"/>
  <c r="L353" i="3" a="1"/>
  <c r="L353" i="3" s="1"/>
  <c r="L354" i="3" a="1"/>
  <c r="L354" i="3" s="1"/>
  <c r="L355" i="3" a="1"/>
  <c r="L355" i="3" s="1"/>
  <c r="L356" i="3" a="1"/>
  <c r="L356" i="3" s="1"/>
  <c r="L357" i="3" a="1"/>
  <c r="L357" i="3"/>
  <c r="L358" i="3" a="1"/>
  <c r="L358" i="3"/>
  <c r="L359" i="3" a="1"/>
  <c r="L359" i="3"/>
  <c r="L360" i="3" a="1"/>
  <c r="L360" i="3"/>
  <c r="L361" i="3" a="1"/>
  <c r="L361" i="3" s="1"/>
  <c r="L362" i="3" a="1"/>
  <c r="L362" i="3"/>
  <c r="L363" i="3" a="1"/>
  <c r="L363" i="3" s="1"/>
  <c r="L364" i="3" a="1"/>
  <c r="L364" i="3"/>
  <c r="L365" i="3" a="1"/>
  <c r="L365" i="3"/>
  <c r="L366" i="3" a="1"/>
  <c r="L366" i="3" s="1"/>
  <c r="L367" i="3" a="1"/>
  <c r="L367" i="3"/>
  <c r="L368" i="3" a="1"/>
  <c r="L368" i="3"/>
  <c r="L369" i="3" a="1"/>
  <c r="L369" i="3"/>
  <c r="L370" i="3" a="1"/>
  <c r="L370" i="3" s="1"/>
  <c r="L371" i="3" a="1"/>
  <c r="L371" i="3" s="1"/>
  <c r="L372" i="3" a="1"/>
  <c r="L372" i="3" s="1"/>
  <c r="L373" i="3" a="1"/>
  <c r="L373" i="3" s="1"/>
  <c r="L374" i="3" a="1"/>
  <c r="L374" i="3"/>
  <c r="L375" i="3" a="1"/>
  <c r="L375" i="3"/>
  <c r="L376" i="3" a="1"/>
  <c r="L376" i="3"/>
  <c r="L377" i="3" a="1"/>
  <c r="L377" i="3"/>
  <c r="L378" i="3" a="1"/>
  <c r="L378" i="3"/>
  <c r="L379" i="3" a="1"/>
  <c r="L379" i="3" s="1"/>
  <c r="L380" i="3" a="1"/>
  <c r="L380" i="3"/>
  <c r="L381" i="3" a="1"/>
  <c r="L381" i="3" s="1"/>
  <c r="L382" i="3" a="1"/>
  <c r="L382" i="3"/>
  <c r="L383" i="3" a="1"/>
  <c r="L383" i="3" s="1"/>
  <c r="L384" i="3" a="1"/>
  <c r="L384" i="3" s="1"/>
  <c r="L385" i="3" a="1"/>
  <c r="L385" i="3"/>
  <c r="L386" i="3" a="1"/>
  <c r="L386" i="3" s="1"/>
  <c r="L387" i="3" a="1"/>
  <c r="L387" i="3" s="1"/>
  <c r="L388" i="3" a="1"/>
  <c r="L388" i="3"/>
  <c r="L389" i="3" a="1"/>
  <c r="L389" i="3"/>
  <c r="L390" i="3" a="1"/>
  <c r="L390" i="3" s="1"/>
  <c r="L391" i="3" a="1"/>
  <c r="L391" i="3"/>
  <c r="L392" i="3" a="1"/>
  <c r="L392" i="3" s="1"/>
  <c r="L393" i="3" a="1"/>
  <c r="L393" i="3" s="1"/>
  <c r="L394" i="3" a="1"/>
  <c r="L394" i="3"/>
  <c r="L395" i="3" a="1"/>
  <c r="L395" i="3" s="1"/>
  <c r="L396" i="3" a="1"/>
  <c r="L396" i="3" s="1"/>
  <c r="L397" i="3" a="1"/>
  <c r="L397" i="3"/>
  <c r="L398" i="3" a="1"/>
  <c r="L398" i="3"/>
  <c r="L399" i="3" a="1"/>
  <c r="L399" i="3"/>
  <c r="L400" i="3" a="1"/>
  <c r="L400" i="3"/>
  <c r="L401" i="3" a="1"/>
  <c r="L401" i="3"/>
  <c r="L402" i="3" a="1"/>
  <c r="L402" i="3" s="1"/>
  <c r="L403" i="3" a="1"/>
  <c r="L403" i="3" s="1"/>
  <c r="L404" i="3" a="1"/>
  <c r="L404" i="3"/>
  <c r="L405" i="3" a="1"/>
  <c r="L405" i="3"/>
  <c r="L406" i="3" a="1"/>
  <c r="L406" i="3"/>
  <c r="L407" i="3" a="1"/>
  <c r="L407" i="3" s="1"/>
  <c r="L408" i="3" a="1"/>
  <c r="L408" i="3"/>
  <c r="L409" i="3" a="1"/>
  <c r="L409" i="3"/>
  <c r="L410" i="3" a="1"/>
  <c r="L410" i="3"/>
  <c r="L411" i="3" a="1"/>
  <c r="L411" i="3" s="1"/>
  <c r="L412" i="3" a="1"/>
  <c r="L412" i="3"/>
  <c r="L413" i="3" a="1"/>
  <c r="L413" i="3" s="1"/>
  <c r="L414" i="3" a="1"/>
  <c r="L414" i="3"/>
  <c r="L415" i="3" a="1"/>
  <c r="L415" i="3" s="1"/>
  <c r="L416" i="3" a="1"/>
  <c r="L416" i="3"/>
  <c r="L417" i="3" a="1"/>
  <c r="L417" i="3" s="1"/>
  <c r="L418" i="3" a="1"/>
  <c r="L418" i="3"/>
  <c r="L419" i="3" a="1"/>
  <c r="L419" i="3" s="1"/>
  <c r="L420" i="3" a="1"/>
  <c r="L420" i="3"/>
  <c r="L421" i="3" a="1"/>
  <c r="L421" i="3"/>
  <c r="L422" i="3" a="1"/>
  <c r="L422" i="3"/>
  <c r="L423" i="3" a="1"/>
  <c r="L423" i="3"/>
  <c r="L424" i="3" a="1"/>
  <c r="L424" i="3" s="1"/>
  <c r="L425" i="3" a="1"/>
  <c r="L425" i="3"/>
  <c r="L426" i="3" a="1"/>
  <c r="L426" i="3" s="1"/>
  <c r="L427" i="3" a="1"/>
  <c r="L427" i="3" s="1"/>
  <c r="L428" i="3" a="1"/>
  <c r="L428" i="3"/>
  <c r="L429" i="3" a="1"/>
  <c r="L429" i="3" s="1"/>
  <c r="L430" i="3" a="1"/>
  <c r="L430" i="3" s="1"/>
  <c r="L431" i="3" a="1"/>
  <c r="L431" i="3"/>
  <c r="L432" i="3" a="1"/>
  <c r="L432" i="3"/>
  <c r="L433" i="3" a="1"/>
  <c r="L433" i="3"/>
  <c r="L434" i="3" a="1"/>
  <c r="L434" i="3" s="1"/>
  <c r="L435" i="3" a="1"/>
  <c r="L435" i="3" s="1"/>
  <c r="L436" i="3" a="1"/>
  <c r="L436" i="3" s="1"/>
  <c r="L437" i="3" a="1"/>
  <c r="L437" i="3"/>
  <c r="L438" i="3" a="1"/>
  <c r="L438" i="3"/>
  <c r="L439" i="3" a="1"/>
  <c r="L439" i="3"/>
  <c r="L440" i="3" a="1"/>
  <c r="L440" i="3" s="1"/>
  <c r="L441" i="3" a="1"/>
  <c r="L441" i="3" s="1"/>
  <c r="L442" i="3" a="1"/>
  <c r="L442" i="3"/>
  <c r="L443" i="3" a="1"/>
  <c r="L443" i="3" s="1"/>
  <c r="L444" i="3" a="1"/>
  <c r="L444" i="3" s="1"/>
  <c r="L445" i="3" a="1"/>
  <c r="L445" i="3" s="1"/>
  <c r="L446" i="3" a="1"/>
  <c r="L446" i="3"/>
  <c r="L447" i="3" a="1"/>
  <c r="L447" i="3" s="1"/>
  <c r="L448" i="3" a="1"/>
  <c r="L448" i="3" s="1"/>
  <c r="L449" i="3" a="1"/>
  <c r="L449" i="3"/>
  <c r="L450" i="3" a="1"/>
  <c r="L450" i="3"/>
  <c r="L451" i="3" a="1"/>
  <c r="L451" i="3" s="1"/>
  <c r="L452" i="3" a="1"/>
  <c r="L452" i="3"/>
  <c r="L453" i="3" a="1"/>
  <c r="L453" i="3"/>
  <c r="L454" i="3" a="1"/>
  <c r="L454" i="3" s="1"/>
  <c r="L455" i="3" a="1"/>
  <c r="L455" i="3"/>
  <c r="L456" i="3" a="1"/>
  <c r="L456" i="3"/>
  <c r="L457" i="3" a="1"/>
  <c r="L457" i="3"/>
  <c r="L458" i="3" a="1"/>
  <c r="L458" i="3" s="1"/>
  <c r="L459" i="3" a="1"/>
  <c r="L459" i="3" s="1"/>
  <c r="L460" i="3" a="1"/>
  <c r="L460" i="3"/>
  <c r="L461" i="3" a="1"/>
  <c r="L461" i="3" s="1"/>
  <c r="L462" i="3" a="1"/>
  <c r="L462" i="3"/>
  <c r="L463" i="3" a="1"/>
  <c r="L463" i="3" s="1"/>
  <c r="L464" i="3" a="1"/>
  <c r="L464" i="3" s="1"/>
  <c r="L465" i="3" a="1"/>
  <c r="L465" i="3" s="1"/>
  <c r="L466" i="3" a="1"/>
  <c r="L466" i="3" s="1"/>
  <c r="L467" i="3" a="1"/>
  <c r="L467" i="3" s="1"/>
  <c r="L468" i="3" a="1"/>
  <c r="L468" i="3"/>
  <c r="L469" i="3" a="1"/>
  <c r="L469" i="3" s="1"/>
  <c r="L470" i="3" a="1"/>
  <c r="L470" i="3"/>
  <c r="L471" i="3" a="1"/>
  <c r="L471" i="3" s="1"/>
  <c r="L472" i="3" a="1"/>
  <c r="L472" i="3" s="1"/>
  <c r="L473" i="3" a="1"/>
  <c r="L473" i="3"/>
  <c r="L474" i="3" a="1"/>
  <c r="L474" i="3" s="1"/>
  <c r="L475" i="3" a="1"/>
  <c r="L475" i="3" s="1"/>
  <c r="L476" i="3" a="1"/>
  <c r="L476" i="3"/>
  <c r="L477" i="3" a="1"/>
  <c r="L477" i="3"/>
  <c r="L478" i="3" a="1"/>
  <c r="L478" i="3" s="1"/>
  <c r="L479" i="3" a="1"/>
  <c r="L479" i="3"/>
  <c r="L480" i="3" a="1"/>
  <c r="L480" i="3" s="1"/>
  <c r="L481" i="3" a="1"/>
  <c r="L481" i="3" s="1"/>
  <c r="L482" i="3" a="1"/>
  <c r="L482" i="3"/>
  <c r="L483" i="3" a="1"/>
  <c r="L483" i="3" s="1"/>
  <c r="L484" i="3" a="1"/>
  <c r="L484" i="3" s="1"/>
  <c r="L485" i="3" a="1"/>
  <c r="L485" i="3"/>
  <c r="L486" i="3" a="1"/>
  <c r="L486" i="3"/>
  <c r="L487" i="3" a="1"/>
  <c r="L487" i="3"/>
  <c r="L488" i="3" a="1"/>
  <c r="L488" i="3" s="1"/>
  <c r="L489" i="3" a="1"/>
  <c r="L489" i="3"/>
  <c r="L490" i="3" a="1"/>
  <c r="L490" i="3"/>
  <c r="L491" i="3" a="1"/>
  <c r="L491" i="3" s="1"/>
  <c r="L492" i="3" a="1"/>
  <c r="L492" i="3"/>
  <c r="L493" i="3" a="1"/>
  <c r="L493" i="3"/>
  <c r="L494" i="3" a="1"/>
  <c r="L494" i="3"/>
  <c r="L495" i="3" a="1"/>
  <c r="L495" i="3"/>
  <c r="L496" i="3" a="1"/>
  <c r="L496" i="3"/>
  <c r="L497" i="3" a="1"/>
  <c r="L497" i="3"/>
  <c r="L498" i="3" a="1"/>
  <c r="L498" i="3" s="1"/>
  <c r="L499" i="3" a="1"/>
  <c r="L499" i="3" s="1"/>
  <c r="L500" i="3" a="1"/>
  <c r="L500" i="3"/>
  <c r="L501" i="3" a="1"/>
  <c r="L501" i="3" s="1"/>
  <c r="L502" i="3" a="1"/>
  <c r="L502" i="3"/>
  <c r="L503" i="3" a="1"/>
  <c r="L503" i="3"/>
  <c r="L504" i="3" a="1"/>
  <c r="L504" i="3"/>
  <c r="L505" i="3" a="1"/>
  <c r="L505" i="3"/>
  <c r="L506" i="3" a="1"/>
  <c r="L506" i="3" s="1"/>
  <c r="L507" i="3" a="1"/>
  <c r="L507" i="3" s="1"/>
  <c r="L508" i="3" a="1"/>
  <c r="L508" i="3" s="1"/>
  <c r="L509" i="3" a="1"/>
  <c r="L509" i="3"/>
  <c r="L510" i="3" a="1"/>
  <c r="L510" i="3"/>
  <c r="L511" i="3" a="1"/>
  <c r="L511" i="3" s="1"/>
  <c r="L512" i="3" a="1"/>
  <c r="L512" i="3"/>
  <c r="L513" i="3" a="1"/>
  <c r="L513" i="3"/>
  <c r="L514" i="3" a="1"/>
  <c r="L514" i="3"/>
  <c r="L515" i="3" a="1"/>
  <c r="L515" i="3" s="1"/>
  <c r="L516" i="3" a="1"/>
  <c r="L516" i="3"/>
  <c r="L517" i="3" a="1"/>
  <c r="L517" i="3" s="1"/>
  <c r="L518" i="3" a="1"/>
  <c r="L518" i="3" s="1"/>
  <c r="L519" i="3" a="1"/>
  <c r="L519" i="3"/>
  <c r="L520" i="3" a="1"/>
  <c r="L520" i="3" s="1"/>
  <c r="L521" i="3" a="1"/>
  <c r="L521" i="3"/>
  <c r="L522" i="3" a="1"/>
  <c r="L522" i="3" s="1"/>
  <c r="L523" i="3" a="1"/>
  <c r="L523" i="3" s="1"/>
  <c r="L524" i="3" a="1"/>
  <c r="L524" i="3" s="1"/>
  <c r="L525" i="3" a="1"/>
  <c r="L525" i="3"/>
  <c r="L526" i="3" a="1"/>
  <c r="L526" i="3" s="1"/>
  <c r="L527" i="3" a="1"/>
  <c r="L527" i="3"/>
  <c r="L528" i="3" a="1"/>
  <c r="L528" i="3"/>
  <c r="L529" i="3" a="1"/>
  <c r="L529" i="3" s="1"/>
  <c r="L530" i="3" a="1"/>
  <c r="L530" i="3"/>
  <c r="L531" i="3" a="1"/>
  <c r="L531" i="3" s="1"/>
  <c r="L532" i="3" a="1"/>
  <c r="L532" i="3"/>
  <c r="L533" i="3" a="1"/>
  <c r="L533" i="3"/>
  <c r="L534" i="3" a="1"/>
  <c r="L534" i="3"/>
  <c r="L535" i="3" a="1"/>
  <c r="L535" i="3" s="1"/>
  <c r="L536" i="3" a="1"/>
  <c r="L536" i="3"/>
  <c r="L537" i="3" a="1"/>
  <c r="L537" i="3"/>
  <c r="L538" i="3" a="1"/>
  <c r="L538" i="3" s="1"/>
  <c r="L539" i="3" a="1"/>
  <c r="L539" i="3" s="1"/>
  <c r="L540" i="3" a="1"/>
  <c r="L540" i="3"/>
  <c r="L541" i="3" a="1"/>
  <c r="L541" i="3" s="1"/>
  <c r="L542" i="3" a="1"/>
  <c r="L542" i="3"/>
  <c r="L543" i="3" a="1"/>
  <c r="L543" i="3"/>
  <c r="L544" i="3" a="1"/>
  <c r="L544" i="3"/>
  <c r="L545" i="3" a="1"/>
  <c r="L545" i="3"/>
  <c r="L546" i="3" a="1"/>
  <c r="L546" i="3" s="1"/>
  <c r="L547" i="3" a="1"/>
  <c r="L547" i="3" s="1"/>
  <c r="L548" i="3" a="1"/>
  <c r="L548" i="3"/>
  <c r="L549" i="3" a="1"/>
  <c r="L549" i="3"/>
  <c r="L550" i="3" a="1"/>
  <c r="L550" i="3"/>
  <c r="L551" i="3" a="1"/>
  <c r="L551" i="3" s="1"/>
  <c r="L552" i="3" a="1"/>
  <c r="L552" i="3" s="1"/>
  <c r="L553" i="3" a="1"/>
  <c r="L553" i="3"/>
  <c r="L554" i="3" a="1"/>
  <c r="L554" i="3"/>
  <c r="L555" i="3" a="1"/>
  <c r="L555" i="3" s="1"/>
  <c r="L556" i="3" a="1"/>
  <c r="L556" i="3"/>
  <c r="L557" i="3" a="1"/>
  <c r="L557" i="3"/>
  <c r="L558" i="3" a="1"/>
  <c r="L558" i="3" s="1"/>
  <c r="L559" i="3" a="1"/>
  <c r="L559" i="3"/>
  <c r="L560" i="3" a="1"/>
  <c r="L560" i="3"/>
  <c r="L561" i="3" a="1"/>
  <c r="L561" i="3"/>
  <c r="L562" i="3" a="1"/>
  <c r="L562" i="3" s="1"/>
  <c r="L563" i="3" a="1"/>
  <c r="L563" i="3" s="1"/>
  <c r="L564" i="3" a="1"/>
  <c r="L564" i="3"/>
  <c r="L565" i="3" a="1"/>
  <c r="L565" i="3" s="1"/>
  <c r="L566" i="3" a="1"/>
  <c r="L566" i="3"/>
  <c r="L567" i="3" a="1"/>
  <c r="L567" i="3"/>
  <c r="L568" i="3" a="1"/>
  <c r="L568" i="3"/>
  <c r="L569" i="3" a="1"/>
  <c r="L569" i="3" s="1"/>
  <c r="L570" i="3" a="1"/>
  <c r="L570" i="3"/>
  <c r="L571" i="3" a="1"/>
  <c r="L571" i="3" s="1"/>
  <c r="L572" i="3" a="1"/>
  <c r="L572" i="3" s="1"/>
  <c r="L573" i="3" a="1"/>
  <c r="L573" i="3"/>
  <c r="L574" i="3" a="1"/>
  <c r="L574" i="3"/>
  <c r="L575" i="3" a="1"/>
  <c r="L575" i="3" s="1"/>
  <c r="L576" i="3" a="1"/>
  <c r="L576" i="3"/>
  <c r="L577" i="3" a="1"/>
  <c r="L577" i="3" s="1"/>
  <c r="L578" i="3" a="1"/>
  <c r="L578" i="3"/>
  <c r="L579" i="3" a="1"/>
  <c r="L579" i="3" s="1"/>
  <c r="L580" i="3" a="1"/>
  <c r="L580" i="3" s="1"/>
  <c r="L581" i="3" a="1"/>
  <c r="L581" i="3" s="1"/>
  <c r="L582" i="3" a="1"/>
  <c r="L582" i="3"/>
  <c r="L583" i="3" a="1"/>
  <c r="L583" i="3"/>
  <c r="L584" i="3" a="1"/>
  <c r="L584" i="3"/>
  <c r="L585" i="3" a="1"/>
  <c r="L585" i="3"/>
  <c r="L586" i="3" a="1"/>
  <c r="L586" i="3" s="1"/>
  <c r="L587" i="3" a="1"/>
  <c r="L587" i="3" s="1"/>
  <c r="L588" i="3" a="1"/>
  <c r="L588" i="3"/>
  <c r="L589" i="3" a="1"/>
  <c r="L589" i="3"/>
  <c r="L590" i="3" a="1"/>
  <c r="L590" i="3" s="1"/>
  <c r="L591" i="3" a="1"/>
  <c r="L591" i="3"/>
  <c r="L592" i="3" a="1"/>
  <c r="L592" i="3" s="1"/>
  <c r="L593" i="3" a="1"/>
  <c r="L593" i="3" s="1"/>
  <c r="L594" i="3" a="1"/>
  <c r="L594" i="3"/>
  <c r="L595" i="3" a="1"/>
  <c r="L595" i="3" s="1"/>
  <c r="L596" i="3" a="1"/>
  <c r="L596" i="3"/>
  <c r="L597" i="3" a="1"/>
  <c r="L597" i="3" s="1"/>
  <c r="L598" i="3" a="1"/>
  <c r="L598" i="3"/>
  <c r="L599" i="3" a="1"/>
  <c r="L599" i="3" s="1"/>
  <c r="L600" i="3" a="1"/>
  <c r="L600" i="3" s="1"/>
  <c r="L601" i="3" a="1"/>
  <c r="L601" i="3"/>
  <c r="L602" i="3" a="1"/>
  <c r="L602" i="3"/>
  <c r="L603" i="3" a="1"/>
  <c r="L603" i="3" s="1"/>
  <c r="L604" i="3" a="1"/>
  <c r="L604" i="3"/>
  <c r="L605" i="3" a="1"/>
  <c r="L605" i="3"/>
  <c r="L606" i="3" a="1"/>
  <c r="L606" i="3" s="1"/>
  <c r="L607" i="3" a="1"/>
  <c r="L607" i="3" s="1"/>
  <c r="L608" i="3" a="1"/>
  <c r="L608" i="3"/>
  <c r="L609" i="3" a="1"/>
  <c r="L609" i="3" s="1"/>
  <c r="L610" i="3" a="1"/>
  <c r="L610" i="3"/>
  <c r="L611" i="3" a="1"/>
  <c r="L611" i="3" s="1"/>
  <c r="L612" i="3" a="1"/>
  <c r="L612" i="3" s="1"/>
  <c r="L613" i="3" a="1"/>
  <c r="L613" i="3"/>
  <c r="L614" i="3" a="1"/>
  <c r="L614" i="3" s="1"/>
  <c r="L615" i="3" a="1"/>
  <c r="L615" i="3"/>
  <c r="L616" i="3" a="1"/>
  <c r="L616" i="3" s="1"/>
  <c r="L617" i="3" a="1"/>
  <c r="L617" i="3" s="1"/>
  <c r="L618" i="3" a="1"/>
  <c r="L618" i="3"/>
  <c r="L619" i="3" a="1"/>
  <c r="L619" i="3" s="1"/>
  <c r="L620" i="3" a="1"/>
  <c r="L620" i="3" s="1"/>
  <c r="L621" i="3" a="1"/>
  <c r="L621" i="3"/>
  <c r="L622" i="3" a="1"/>
  <c r="L622" i="3"/>
  <c r="L623" i="3" a="1"/>
  <c r="L623" i="3"/>
  <c r="L624" i="3" a="1"/>
  <c r="L624" i="3"/>
  <c r="L625" i="3" a="1"/>
  <c r="L625" i="3" s="1"/>
  <c r="L626" i="3" a="1"/>
  <c r="L626" i="3" s="1"/>
  <c r="L627" i="3" a="1"/>
  <c r="L627" i="3" s="1"/>
  <c r="L628" i="3" a="1"/>
  <c r="L628" i="3"/>
  <c r="L629" i="3" a="1"/>
  <c r="L629" i="3" s="1"/>
  <c r="L630" i="3" a="1"/>
  <c r="L630" i="3"/>
  <c r="L631" i="3" a="1"/>
  <c r="L631" i="3"/>
  <c r="L632" i="3" a="1"/>
  <c r="L632" i="3"/>
  <c r="L633" i="3" a="1"/>
  <c r="L633" i="3"/>
  <c r="L634" i="3" a="1"/>
  <c r="L634" i="3"/>
  <c r="L635" i="3" a="1"/>
  <c r="L635" i="3" s="1"/>
  <c r="L636" i="3" a="1"/>
  <c r="L636" i="3"/>
  <c r="L637" i="3" a="1"/>
  <c r="L637" i="3"/>
  <c r="L638" i="3" a="1"/>
  <c r="L638" i="3"/>
  <c r="L639" i="3" a="1"/>
  <c r="L639" i="3"/>
  <c r="L640" i="3" a="1"/>
  <c r="L640" i="3"/>
  <c r="L641" i="3" a="1"/>
  <c r="L641" i="3"/>
  <c r="L642" i="3" a="1"/>
  <c r="L642" i="3" s="1"/>
  <c r="L643" i="3" a="1"/>
  <c r="L643" i="3" s="1"/>
  <c r="L644" i="3" a="1"/>
  <c r="L644" i="3"/>
  <c r="L645" i="3" a="1"/>
  <c r="L645" i="3"/>
  <c r="L646" i="3" a="1"/>
  <c r="L646" i="3" s="1"/>
  <c r="L647" i="3" a="1"/>
  <c r="L647" i="3"/>
  <c r="L648" i="3" a="1"/>
  <c r="L648" i="3"/>
  <c r="L649" i="3" a="1"/>
  <c r="L649" i="3"/>
  <c r="L650" i="3" a="1"/>
  <c r="L650" i="3"/>
  <c r="L651" i="3" a="1"/>
  <c r="L651" i="3" s="1"/>
  <c r="L652" i="3" a="1"/>
  <c r="L652" i="3" s="1"/>
  <c r="L653" i="3" a="1"/>
  <c r="L653" i="3" s="1"/>
  <c r="L654" i="3" a="1"/>
  <c r="L654" i="3"/>
  <c r="L655" i="3" a="1"/>
  <c r="L655" i="3"/>
  <c r="L656" i="3" a="1"/>
  <c r="L656" i="3" s="1"/>
  <c r="L657" i="3" a="1"/>
  <c r="L657" i="3"/>
  <c r="L658" i="3" a="1"/>
  <c r="L658" i="3"/>
  <c r="L659" i="3" a="1"/>
  <c r="L659" i="3" s="1"/>
  <c r="L660" i="3" a="1"/>
  <c r="L660" i="3"/>
  <c r="L661" i="3" a="1"/>
  <c r="L661" i="3"/>
  <c r="L662" i="3" a="1"/>
  <c r="L662" i="3" s="1"/>
  <c r="L663" i="3" a="1"/>
  <c r="L663" i="3" s="1"/>
  <c r="L664" i="3" a="1"/>
  <c r="L664" i="3"/>
  <c r="L665" i="3" a="1"/>
  <c r="L665" i="3" s="1"/>
  <c r="L666" i="3" a="1"/>
  <c r="L666" i="3"/>
  <c r="L667" i="3" a="1"/>
  <c r="L667" i="3" s="1"/>
  <c r="L668" i="3" a="1"/>
  <c r="L668" i="3" s="1"/>
  <c r="L669" i="3" a="1"/>
  <c r="L669" i="3" s="1"/>
  <c r="L670" i="3" a="1"/>
  <c r="L670" i="3"/>
  <c r="L671" i="3" a="1"/>
  <c r="L671" i="3" s="1"/>
  <c r="L672" i="3" a="1"/>
  <c r="L672" i="3"/>
  <c r="L673" i="3" a="1"/>
  <c r="L673" i="3"/>
  <c r="L674" i="3" a="1"/>
  <c r="L674" i="3" s="1"/>
  <c r="L675" i="3" a="1"/>
  <c r="L675" i="3" s="1"/>
  <c r="L676" i="3" a="1"/>
  <c r="L676" i="3"/>
  <c r="L677" i="3" a="1"/>
  <c r="L677" i="3"/>
  <c r="L678" i="3" a="1"/>
  <c r="L678" i="3"/>
  <c r="L679" i="3" a="1"/>
  <c r="L679" i="3"/>
  <c r="L680" i="3" a="1"/>
  <c r="L680" i="3" s="1"/>
  <c r="L681" i="3" a="1"/>
  <c r="L681" i="3"/>
  <c r="L682" i="3" a="1"/>
  <c r="L682" i="3" s="1"/>
  <c r="L683" i="3" a="1"/>
  <c r="L683" i="3" s="1"/>
  <c r="L684" i="3" a="1"/>
  <c r="L684" i="3"/>
  <c r="L685" i="3" a="1"/>
  <c r="L685" i="3"/>
  <c r="L686" i="3" a="1"/>
  <c r="L686" i="3"/>
  <c r="L687" i="3" a="1"/>
  <c r="L687" i="3" s="1"/>
  <c r="L688" i="3" a="1"/>
  <c r="L688" i="3" s="1"/>
  <c r="L689" i="3" a="1"/>
  <c r="L689" i="3"/>
  <c r="L690" i="3" a="1"/>
  <c r="L690" i="3"/>
  <c r="L691" i="3" a="1"/>
  <c r="L691" i="3" s="1"/>
  <c r="L692" i="3" a="1"/>
  <c r="L692" i="3"/>
  <c r="L693" i="3" a="1"/>
  <c r="L693" i="3"/>
  <c r="L694" i="3" a="1"/>
  <c r="L694" i="3"/>
  <c r="L695" i="3" a="1"/>
  <c r="L695" i="3"/>
  <c r="L696" i="3" a="1"/>
  <c r="L696" i="3" s="1"/>
  <c r="L697" i="3" a="1"/>
  <c r="L697" i="3"/>
  <c r="L698" i="3" a="1"/>
  <c r="L698" i="3"/>
  <c r="L699" i="3" a="1"/>
  <c r="L699" i="3"/>
  <c r="L700" i="3" a="1"/>
  <c r="L700" i="3" s="1"/>
  <c r="L701" i="3" a="1"/>
  <c r="L701" i="3"/>
  <c r="L702" i="3" a="1"/>
  <c r="L702" i="3"/>
  <c r="L703" i="3" a="1"/>
  <c r="L703" i="3"/>
  <c r="L704" i="3" a="1"/>
  <c r="L704" i="3" s="1"/>
  <c r="L705" i="3" a="1"/>
  <c r="L705" i="3"/>
  <c r="L706" i="3" a="1"/>
  <c r="L706" i="3" s="1"/>
  <c r="L707" i="3" a="1"/>
  <c r="L707" i="3"/>
  <c r="L708" i="3" a="1"/>
  <c r="L708" i="3"/>
  <c r="L709" i="3" a="1"/>
  <c r="L709" i="3"/>
  <c r="L710" i="3" a="1"/>
  <c r="L710" i="3"/>
  <c r="L711" i="3" a="1"/>
  <c r="L711" i="3" s="1"/>
  <c r="L712" i="3" a="1"/>
  <c r="L712" i="3" s="1"/>
  <c r="L713" i="3" a="1"/>
  <c r="L713" i="3"/>
  <c r="L714" i="3" a="1"/>
  <c r="L714" i="3" s="1"/>
  <c r="L715" i="3" a="1"/>
  <c r="L715" i="3"/>
  <c r="L716" i="3" a="1"/>
  <c r="L716" i="3"/>
  <c r="L717" i="3" a="1"/>
  <c r="L717" i="3" s="1"/>
  <c r="L718" i="3" a="1"/>
  <c r="L718" i="3"/>
  <c r="L719" i="3" a="1"/>
  <c r="L719" i="3"/>
  <c r="L720" i="3" a="1"/>
  <c r="L720" i="3" s="1"/>
  <c r="L721" i="3" a="1"/>
  <c r="L721" i="3"/>
  <c r="L722" i="3" a="1"/>
  <c r="L722" i="3"/>
  <c r="L723" i="3" a="1"/>
  <c r="L723" i="3" s="1"/>
  <c r="L724" i="3" a="1"/>
  <c r="L724" i="3" s="1"/>
  <c r="L725" i="3" a="1"/>
  <c r="L725" i="3"/>
  <c r="L726" i="3" a="1"/>
  <c r="L726" i="3"/>
  <c r="L727" i="3" a="1"/>
  <c r="L727" i="3"/>
  <c r="L728" i="3" a="1"/>
  <c r="L728" i="3" s="1"/>
  <c r="L729" i="3" a="1"/>
  <c r="L729" i="3"/>
  <c r="L730" i="3" a="1"/>
  <c r="L730" i="3" s="1"/>
  <c r="L731" i="3" a="1"/>
  <c r="L731" i="3" s="1"/>
  <c r="L732" i="3" a="1"/>
  <c r="L732" i="3"/>
  <c r="L733" i="3" a="1"/>
  <c r="L733" i="3" s="1"/>
  <c r="L734" i="3" a="1"/>
  <c r="L734" i="3"/>
  <c r="L735" i="3" a="1"/>
  <c r="L735" i="3"/>
  <c r="L736" i="3" a="1"/>
  <c r="L736" i="3" s="1"/>
  <c r="L737" i="3" a="1"/>
  <c r="L737" i="3"/>
  <c r="L738" i="3" a="1"/>
  <c r="L738" i="3"/>
  <c r="L739" i="3" a="1"/>
  <c r="L739" i="3" s="1"/>
  <c r="L740" i="3" a="1"/>
  <c r="L740" i="3" s="1"/>
  <c r="L741" i="3" a="1"/>
  <c r="L741" i="3"/>
  <c r="L742" i="3" a="1"/>
  <c r="L742" i="3"/>
  <c r="L743" i="3" a="1"/>
  <c r="L743" i="3"/>
  <c r="L744" i="3" a="1"/>
  <c r="L744" i="3" s="1"/>
  <c r="L745" i="3" a="1"/>
  <c r="L745" i="3"/>
  <c r="L746" i="3" a="1"/>
  <c r="L746" i="3" s="1"/>
  <c r="L747" i="3" a="1"/>
  <c r="L747" i="3"/>
  <c r="L748" i="3" a="1"/>
  <c r="L748" i="3" s="1"/>
  <c r="L749" i="3" a="1"/>
  <c r="L749" i="3"/>
  <c r="L750" i="3" a="1"/>
  <c r="L750" i="3"/>
  <c r="L751" i="3" a="1"/>
  <c r="L751" i="3" s="1"/>
  <c r="L752" i="3" a="1"/>
  <c r="L752" i="3" s="1"/>
  <c r="L753" i="3" a="1"/>
  <c r="L753" i="3"/>
  <c r="L754" i="3" a="1"/>
  <c r="L754" i="3"/>
  <c r="L755" i="3" a="1"/>
  <c r="L755" i="3"/>
  <c r="L756" i="3" a="1"/>
  <c r="L756" i="3"/>
  <c r="L757" i="3" a="1"/>
  <c r="L757" i="3" s="1"/>
  <c r="L758" i="3" a="1"/>
  <c r="L758" i="3" s="1"/>
  <c r="L759" i="3" a="1"/>
  <c r="L759" i="3"/>
  <c r="L760" i="3" a="1"/>
  <c r="L760" i="3" s="1"/>
  <c r="L761" i="3" a="1"/>
  <c r="L761" i="3"/>
  <c r="L762" i="3" a="1"/>
  <c r="L762" i="3"/>
  <c r="L763" i="3" a="1"/>
  <c r="L763" i="3"/>
  <c r="L764" i="3" a="1"/>
  <c r="L764" i="3"/>
  <c r="L765" i="3" a="1"/>
  <c r="L765" i="3" s="1"/>
  <c r="L766" i="3" a="1"/>
  <c r="L766" i="3"/>
  <c r="L767" i="3" a="1"/>
  <c r="L767" i="3" s="1"/>
  <c r="L768" i="3" a="1"/>
  <c r="L768" i="3" s="1"/>
  <c r="L769" i="3" a="1"/>
  <c r="L769" i="3"/>
  <c r="L770" i="3" a="1"/>
  <c r="L770" i="3" s="1"/>
  <c r="L771" i="3" a="1"/>
  <c r="L771" i="3"/>
  <c r="L772" i="3" a="1"/>
  <c r="L772" i="3"/>
  <c r="L773" i="3" a="1"/>
  <c r="L773" i="3"/>
  <c r="L774" i="3" a="1"/>
  <c r="L774" i="3" s="1"/>
  <c r="L775" i="3" a="1"/>
  <c r="L775" i="3"/>
  <c r="L776" i="3" a="1"/>
  <c r="L776" i="3" s="1"/>
  <c r="L777" i="3" a="1"/>
  <c r="L777" i="3"/>
  <c r="L778" i="3" a="1"/>
  <c r="L778" i="3"/>
  <c r="L779" i="3" a="1"/>
  <c r="L779" i="3" s="1"/>
  <c r="L780" i="3" a="1"/>
  <c r="L780" i="3"/>
  <c r="L781" i="3" a="1"/>
  <c r="L781" i="3"/>
  <c r="L782" i="3" a="1"/>
  <c r="L782" i="3" s="1"/>
  <c r="L783" i="3" a="1"/>
  <c r="L783" i="3"/>
  <c r="L784" i="3" a="1"/>
  <c r="L784" i="3" s="1"/>
  <c r="L785" i="3" a="1"/>
  <c r="L785" i="3"/>
  <c r="L786" i="3" a="1"/>
  <c r="L786" i="3"/>
  <c r="L787" i="3" a="1"/>
  <c r="L787" i="3"/>
  <c r="L788" i="3" a="1"/>
  <c r="L788" i="3" s="1"/>
  <c r="L789" i="3" a="1"/>
  <c r="L789" i="3"/>
  <c r="L790" i="3" a="1"/>
  <c r="L790" i="3"/>
  <c r="L791" i="3" a="1"/>
  <c r="L791" i="3" s="1"/>
  <c r="L792" i="3" a="1"/>
  <c r="L792" i="3" s="1"/>
  <c r="L793" i="3" a="1"/>
  <c r="L793" i="3"/>
  <c r="L794" i="3" a="1"/>
  <c r="L794" i="3" s="1"/>
  <c r="L795" i="3" a="1"/>
  <c r="L795" i="3"/>
  <c r="L796" i="3" a="1"/>
  <c r="L796" i="3"/>
  <c r="L797" i="3" a="1"/>
  <c r="L797" i="3"/>
  <c r="L798" i="3" a="1"/>
  <c r="L798" i="3"/>
  <c r="L799" i="3" a="1"/>
  <c r="L799" i="3" s="1"/>
  <c r="L800" i="3" a="1"/>
  <c r="L800" i="3" s="1"/>
  <c r="L801" i="3" a="1"/>
  <c r="L801" i="3"/>
  <c r="L802" i="3" a="1"/>
  <c r="L802" i="3" s="1"/>
  <c r="L803" i="3" a="1"/>
  <c r="L803" i="3"/>
  <c r="L804" i="3" a="1"/>
  <c r="L804" i="3" s="1"/>
  <c r="L805" i="3" a="1"/>
  <c r="L805" i="3"/>
  <c r="L806" i="3" a="1"/>
  <c r="L806" i="3"/>
  <c r="L807" i="3" a="1"/>
  <c r="L807" i="3"/>
  <c r="L808" i="3" a="1"/>
  <c r="L808" i="3" s="1"/>
  <c r="L809" i="3" a="1"/>
  <c r="L809" i="3"/>
  <c r="L810" i="3" a="1"/>
  <c r="L810" i="3"/>
  <c r="L811" i="3" a="1"/>
  <c r="L811" i="3" s="1"/>
  <c r="L812" i="3" a="1"/>
  <c r="L812" i="3"/>
  <c r="L813" i="3" a="1"/>
  <c r="L813" i="3" s="1"/>
  <c r="L814" i="3" a="1"/>
  <c r="L814" i="3"/>
  <c r="L815" i="3" a="1"/>
  <c r="L815" i="3"/>
  <c r="L816" i="3" a="1"/>
  <c r="L816" i="3" s="1"/>
  <c r="L817" i="3" a="1"/>
  <c r="L817" i="3"/>
  <c r="L818" i="3" a="1"/>
  <c r="L818" i="3"/>
  <c r="L819" i="3" a="1"/>
  <c r="L819" i="3"/>
  <c r="L820" i="3" a="1"/>
  <c r="L820" i="3"/>
  <c r="L821" i="3" a="1"/>
  <c r="L821" i="3" s="1"/>
  <c r="L822" i="3" a="1"/>
  <c r="L822" i="3"/>
  <c r="L823" i="3" a="1"/>
  <c r="L823" i="3"/>
  <c r="L824" i="3" a="1"/>
  <c r="L824" i="3" s="1"/>
  <c r="L825" i="3" a="1"/>
  <c r="L825" i="3"/>
  <c r="L826" i="3" a="1"/>
  <c r="L826" i="3"/>
  <c r="L827" i="3" a="1"/>
  <c r="L827" i="3"/>
  <c r="L828" i="3" a="1"/>
  <c r="L828" i="3" s="1"/>
  <c r="L829" i="3" a="1"/>
  <c r="L829" i="3"/>
  <c r="L830" i="3" a="1"/>
  <c r="L830" i="3" s="1"/>
  <c r="L831" i="3" a="1"/>
  <c r="L831" i="3"/>
  <c r="L832" i="3" a="1"/>
  <c r="L832" i="3" s="1"/>
  <c r="L833" i="3" a="1"/>
  <c r="L833" i="3"/>
  <c r="L834" i="3" a="1"/>
  <c r="L834" i="3" s="1"/>
  <c r="L835" i="3" a="1"/>
  <c r="L835" i="3"/>
  <c r="L836" i="3" a="1"/>
  <c r="L836" i="3"/>
  <c r="L837" i="3" a="1"/>
  <c r="L837" i="3"/>
  <c r="L838" i="3" a="1"/>
  <c r="L838" i="3"/>
  <c r="L839" i="3" a="1"/>
  <c r="L839" i="3" s="1"/>
  <c r="L840" i="3" a="1"/>
  <c r="L840" i="3" s="1"/>
  <c r="L841" i="3" a="1"/>
  <c r="L841" i="3"/>
  <c r="L842" i="3" a="1"/>
  <c r="L842" i="3" s="1"/>
  <c r="L843" i="3" a="1"/>
  <c r="L843" i="3"/>
  <c r="L844" i="3" a="1"/>
  <c r="L844" i="3"/>
  <c r="L845" i="3" a="1"/>
  <c r="L845" i="3" s="1"/>
  <c r="L846" i="3" a="1"/>
  <c r="L846" i="3"/>
  <c r="L847" i="3" a="1"/>
  <c r="L847" i="3" s="1"/>
  <c r="L848" i="3" a="1"/>
  <c r="L848" i="3" s="1"/>
  <c r="L849" i="3" a="1"/>
  <c r="L849" i="3"/>
  <c r="L850" i="3" a="1"/>
  <c r="L850" i="3"/>
  <c r="L851" i="3" a="1"/>
  <c r="L851" i="3" s="1"/>
  <c r="L852" i="3" a="1"/>
  <c r="L852" i="3"/>
  <c r="L853" i="3" a="1"/>
  <c r="L853" i="3"/>
  <c r="L854" i="3" a="1"/>
  <c r="L854" i="3"/>
  <c r="L855" i="3" a="1"/>
  <c r="L855" i="3"/>
  <c r="L856" i="3" a="1"/>
  <c r="L856" i="3" s="1"/>
  <c r="L857" i="3" a="1"/>
  <c r="L857" i="3"/>
  <c r="L858" i="3" a="1"/>
  <c r="L858" i="3" s="1"/>
  <c r="L859" i="3" a="1"/>
  <c r="L859" i="3" s="1"/>
  <c r="L860" i="3" a="1"/>
  <c r="L860" i="3"/>
  <c r="L861" i="3" a="1"/>
  <c r="L861" i="3"/>
  <c r="L862" i="3" a="1"/>
  <c r="L862" i="3" s="1"/>
  <c r="L863" i="3" a="1"/>
  <c r="L863" i="3"/>
  <c r="L864" i="3" a="1"/>
  <c r="L864" i="3" s="1"/>
  <c r="L865" i="3" a="1"/>
  <c r="L865" i="3"/>
  <c r="L866" i="3" a="1"/>
  <c r="L866" i="3" s="1"/>
  <c r="L867" i="3" a="1"/>
  <c r="L867" i="3"/>
  <c r="L868" i="3" a="1"/>
  <c r="L868" i="3" s="1"/>
  <c r="L869" i="3" a="1"/>
  <c r="L869" i="3"/>
  <c r="L870" i="3" a="1"/>
  <c r="L870" i="3"/>
  <c r="L871" i="3" a="1"/>
  <c r="L871" i="3"/>
  <c r="L872" i="3" a="1"/>
  <c r="L872" i="3" s="1"/>
  <c r="L873" i="3" a="1"/>
  <c r="L873" i="3"/>
  <c r="L874" i="3" a="1"/>
  <c r="L874" i="3"/>
  <c r="L875" i="3" a="1"/>
  <c r="L875" i="3" s="1"/>
  <c r="L876" i="3" a="1"/>
  <c r="L876" i="3" s="1"/>
  <c r="L877" i="3" a="1"/>
  <c r="L877" i="3"/>
  <c r="L878" i="3" a="1"/>
  <c r="L878" i="3"/>
  <c r="L879" i="3" a="1"/>
  <c r="L879" i="3" s="1"/>
  <c r="L880" i="3" a="1"/>
  <c r="L880" i="3" s="1"/>
  <c r="L881" i="3" a="1"/>
  <c r="L881" i="3" s="1"/>
  <c r="L882" i="3" a="1"/>
  <c r="L882" i="3"/>
  <c r="L883" i="3" a="1"/>
  <c r="L883" i="3"/>
  <c r="L884" i="3" a="1"/>
  <c r="L884" i="3"/>
  <c r="L885" i="3" a="1"/>
  <c r="L885" i="3" s="1"/>
  <c r="L886" i="3" a="1"/>
  <c r="L886" i="3"/>
  <c r="L887" i="3" a="1"/>
  <c r="L887" i="3" s="1"/>
  <c r="L888" i="3" a="1"/>
  <c r="L888" i="3" s="1"/>
  <c r="L889" i="3" a="1"/>
  <c r="L889" i="3"/>
  <c r="L890" i="3" a="1"/>
  <c r="L890" i="3" s="1"/>
  <c r="L891" i="3" a="1"/>
  <c r="L891" i="3"/>
  <c r="L892" i="3" a="1"/>
  <c r="L892" i="3"/>
  <c r="L893" i="3" a="1"/>
  <c r="L893" i="3" s="1"/>
  <c r="L894" i="3" a="1"/>
  <c r="L894" i="3"/>
  <c r="L895" i="3" a="1"/>
  <c r="L895" i="3"/>
  <c r="L896" i="3" a="1"/>
  <c r="L896" i="3" s="1"/>
  <c r="L897" i="3" a="1"/>
  <c r="L897" i="3"/>
  <c r="L898" i="3" a="1"/>
  <c r="L898" i="3"/>
  <c r="L899" i="3" a="1"/>
  <c r="L899" i="3" s="1"/>
  <c r="L900" i="3" a="1"/>
  <c r="L900" i="3"/>
  <c r="L901" i="3" a="1"/>
  <c r="L901" i="3"/>
  <c r="L902" i="3" a="1"/>
  <c r="L902" i="3" s="1"/>
  <c r="L903" i="3" a="1"/>
  <c r="L903" i="3" s="1"/>
  <c r="L904" i="3" a="1"/>
  <c r="L904" i="3" s="1"/>
  <c r="L905" i="3" a="1"/>
  <c r="L905" i="3" s="1"/>
  <c r="L906" i="3" a="1"/>
  <c r="L906" i="3"/>
  <c r="L907" i="3" a="1"/>
  <c r="L907" i="3"/>
  <c r="L908" i="3" a="1"/>
  <c r="L908" i="3"/>
  <c r="L909" i="3" a="1"/>
  <c r="L909" i="3"/>
  <c r="L910" i="3" a="1"/>
  <c r="L910" i="3" s="1"/>
  <c r="L911" i="3" a="1"/>
  <c r="L911" i="3"/>
  <c r="L912" i="3" a="1"/>
  <c r="L912" i="3" s="1"/>
  <c r="L913" i="3" a="1"/>
  <c r="L913" i="3" s="1"/>
  <c r="L914" i="3" a="1"/>
  <c r="L914" i="3"/>
  <c r="L915" i="3" a="1"/>
  <c r="L915" i="3" s="1"/>
  <c r="L916" i="3" a="1"/>
  <c r="L916" i="3"/>
  <c r="L917" i="3" a="1"/>
  <c r="L917" i="3"/>
  <c r="L918" i="3" a="1"/>
  <c r="L918" i="3"/>
  <c r="L919" i="3" a="1"/>
  <c r="L919" i="3" s="1"/>
  <c r="L920" i="3" a="1"/>
  <c r="L920" i="3" s="1"/>
  <c r="L921" i="3" a="1"/>
  <c r="L921" i="3"/>
  <c r="L922" i="3" a="1"/>
  <c r="L922" i="3" s="1"/>
  <c r="L923" i="3" a="1"/>
  <c r="L923" i="3"/>
  <c r="L924" i="3" a="1"/>
  <c r="L924" i="3" s="1"/>
  <c r="L925" i="3" a="1"/>
  <c r="L925" i="3"/>
  <c r="L926" i="3" a="1"/>
  <c r="L926" i="3"/>
  <c r="L927" i="3" a="1"/>
  <c r="L927" i="3" s="1"/>
  <c r="L928" i="3" a="1"/>
  <c r="L928" i="3" s="1"/>
  <c r="L929" i="3" a="1"/>
  <c r="L929" i="3"/>
  <c r="L930" i="3" a="1"/>
  <c r="L930" i="3"/>
  <c r="L931" i="3" a="1"/>
  <c r="L931" i="3"/>
  <c r="L932" i="3" a="1"/>
  <c r="L932" i="3"/>
  <c r="L933" i="3" a="1"/>
  <c r="L933" i="3" s="1"/>
  <c r="L934" i="3" a="1"/>
  <c r="L934" i="3"/>
  <c r="L935" i="3" a="1"/>
  <c r="L935" i="3"/>
  <c r="L936" i="3" a="1"/>
  <c r="L936" i="3" s="1"/>
  <c r="L937" i="3" a="1"/>
  <c r="L937" i="3"/>
  <c r="L938" i="3" a="1"/>
  <c r="L938" i="3"/>
  <c r="L939" i="3" a="1"/>
  <c r="L939" i="3" s="1"/>
  <c r="L940" i="3" a="1"/>
  <c r="L940" i="3"/>
  <c r="L941" i="3" a="1"/>
  <c r="L941" i="3"/>
  <c r="L942" i="3" a="1"/>
  <c r="L942" i="3" s="1"/>
  <c r="L943" i="3" a="1"/>
  <c r="L943" i="3"/>
  <c r="L944" i="3" a="1"/>
  <c r="L944" i="3" s="1"/>
  <c r="L945" i="3" a="1"/>
  <c r="L945" i="3" s="1"/>
  <c r="L946" i="3" a="1"/>
  <c r="L946" i="3" s="1"/>
  <c r="L947" i="3" a="1"/>
  <c r="L947" i="3"/>
  <c r="L948" i="3" a="1"/>
  <c r="L948" i="3"/>
  <c r="L949" i="3" a="1"/>
  <c r="L949" i="3"/>
  <c r="L950" i="3" a="1"/>
  <c r="L950" i="3"/>
  <c r="L951" i="3" a="1"/>
  <c r="L951" i="3" s="1"/>
  <c r="L952" i="3" a="1"/>
  <c r="L952" i="3" s="1"/>
  <c r="L953" i="3" a="1"/>
  <c r="L953" i="3" s="1"/>
  <c r="L954" i="3" a="1"/>
  <c r="L954" i="3"/>
  <c r="L955" i="3" a="1"/>
  <c r="L955" i="3" s="1"/>
  <c r="L956" i="3" a="1"/>
  <c r="L956" i="3" s="1"/>
  <c r="L957" i="3" a="1"/>
  <c r="L957" i="3"/>
  <c r="L958" i="3" a="1"/>
  <c r="L958" i="3"/>
  <c r="L959" i="3" a="1"/>
  <c r="L959" i="3" s="1"/>
  <c r="L960" i="3" a="1"/>
  <c r="L960" i="3" s="1"/>
  <c r="L961" i="3" a="1"/>
  <c r="L961" i="3" s="1"/>
  <c r="L962" i="3" a="1"/>
  <c r="L962" i="3" s="1"/>
  <c r="L963" i="3" a="1"/>
  <c r="L963" i="3"/>
  <c r="L964" i="3" a="1"/>
  <c r="L964" i="3"/>
  <c r="L965" i="3" a="1"/>
  <c r="L965" i="3"/>
  <c r="L966" i="3" a="1"/>
  <c r="L966" i="3"/>
  <c r="L967" i="3" a="1"/>
  <c r="L967" i="3"/>
  <c r="L968" i="3" a="1"/>
  <c r="L968" i="3" s="1"/>
  <c r="L969" i="3" a="1"/>
  <c r="L969" i="3"/>
  <c r="L970" i="3" a="1"/>
  <c r="L970" i="3" s="1"/>
  <c r="L971" i="3" a="1"/>
  <c r="L971" i="3"/>
  <c r="L972" i="3" a="1"/>
  <c r="L972" i="3"/>
  <c r="L973" i="3" a="1"/>
  <c r="L973" i="3" s="1"/>
  <c r="L974" i="3" a="1"/>
  <c r="L974" i="3"/>
  <c r="L975" i="3" a="1"/>
  <c r="L975" i="3"/>
  <c r="L976" i="3" a="1"/>
  <c r="L976" i="3" s="1"/>
  <c r="L977" i="3" a="1"/>
  <c r="L977" i="3"/>
  <c r="L978" i="3" a="1"/>
  <c r="L978" i="3" s="1"/>
  <c r="L979" i="3" a="1"/>
  <c r="L979" i="3" s="1"/>
  <c r="L980" i="3" a="1"/>
  <c r="L980" i="3" s="1"/>
  <c r="L981" i="3" a="1"/>
  <c r="L981" i="3"/>
  <c r="L982" i="3" a="1"/>
  <c r="L982" i="3"/>
  <c r="L983" i="3" a="1"/>
  <c r="L983" i="3" s="1"/>
  <c r="L984" i="3" a="1"/>
  <c r="L984" i="3" s="1"/>
  <c r="L985" i="3" a="1"/>
  <c r="L985" i="3"/>
  <c r="L986" i="3" a="1"/>
  <c r="L986" i="3"/>
  <c r="L987" i="3" a="1"/>
  <c r="L987" i="3" s="1"/>
  <c r="L988" i="3" a="1"/>
  <c r="L988" i="3"/>
  <c r="L989" i="3" a="1"/>
  <c r="L989" i="3" s="1"/>
  <c r="L990" i="3" a="1"/>
  <c r="L990" i="3" s="1"/>
  <c r="L991" i="3" a="1"/>
  <c r="L991" i="3"/>
  <c r="L992" i="3" a="1"/>
  <c r="L992" i="3" s="1"/>
  <c r="L993" i="3" a="1"/>
  <c r="L993" i="3" s="1"/>
  <c r="L994" i="3" a="1"/>
  <c r="L994" i="3"/>
  <c r="L995" i="3" a="1"/>
  <c r="L995" i="3"/>
  <c r="L996" i="3" a="1"/>
  <c r="L996" i="3" s="1"/>
  <c r="L997" i="3" a="1"/>
  <c r="L997" i="3" s="1"/>
  <c r="L998" i="3" a="1"/>
  <c r="L998" i="3"/>
  <c r="L999" i="3" a="1"/>
  <c r="L999" i="3"/>
  <c r="L1000" i="3" a="1"/>
  <c r="L1000" i="3" s="1"/>
  <c r="L1001" i="3" a="1"/>
  <c r="L1001" i="3"/>
  <c r="L1002" i="3" a="1"/>
  <c r="L1002" i="3" s="1"/>
  <c r="L1003" i="3" a="1"/>
  <c r="L1003" i="3"/>
  <c r="L1004" i="3" a="1"/>
  <c r="L1004" i="3" s="1"/>
  <c r="L1005" i="3" a="1"/>
  <c r="L1005" i="3"/>
  <c r="L1006" i="3" a="1"/>
  <c r="L1006" i="3" s="1"/>
  <c r="L1007" i="3" a="1"/>
  <c r="L1007" i="3" s="1"/>
  <c r="L1008" i="3" a="1"/>
  <c r="L1008" i="3" s="1"/>
  <c r="L1009" i="3" a="1"/>
  <c r="L1009" i="3"/>
  <c r="L1010" i="3" a="1"/>
  <c r="L1010" i="3"/>
  <c r="L1011" i="3" a="1"/>
  <c r="L1011" i="3"/>
  <c r="L1012" i="3" a="1"/>
  <c r="L1012" i="3"/>
  <c r="L1013" i="3" a="1"/>
  <c r="L1013" i="3" s="1"/>
  <c r="L1014" i="3" a="1"/>
  <c r="L1014" i="3"/>
  <c r="L1015" i="3" a="1"/>
  <c r="L1015" i="3"/>
  <c r="L1016" i="3" a="1"/>
  <c r="L1016" i="3" s="1"/>
  <c r="L1017" i="3" a="1"/>
  <c r="L1017" i="3"/>
  <c r="L1018" i="3" a="1"/>
  <c r="L1018" i="3" s="1"/>
  <c r="L1019" i="3" a="1"/>
  <c r="L1019" i="3"/>
  <c r="L1020" i="3" a="1"/>
  <c r="L1020" i="3"/>
  <c r="L1021" i="3" a="1"/>
  <c r="L1021" i="3" s="1"/>
  <c r="L1022" i="3" a="1"/>
  <c r="L1022" i="3"/>
  <c r="L1023" i="3" a="1"/>
  <c r="L1023" i="3"/>
  <c r="L1024" i="3" a="1"/>
  <c r="L1024" i="3" s="1"/>
  <c r="L1025" i="3" a="1"/>
  <c r="L1025" i="3"/>
  <c r="L1026" i="3" a="1"/>
  <c r="L1026" i="3"/>
  <c r="L1027" i="3" a="1"/>
  <c r="L1027" i="3" s="1"/>
  <c r="L1028" i="3" a="1"/>
  <c r="L1028" i="3"/>
  <c r="L1029" i="3" a="1"/>
  <c r="L1029" i="3"/>
  <c r="L1030" i="3" a="1"/>
  <c r="L1030" i="3" s="1"/>
  <c r="L1031" i="3" a="1"/>
  <c r="L1031" i="3"/>
  <c r="L1032" i="3" a="1"/>
  <c r="L1032" i="3" s="1"/>
  <c r="L1033" i="3" a="1"/>
  <c r="L1033" i="3" s="1"/>
  <c r="L1034" i="3" a="1"/>
  <c r="L1034" i="3"/>
  <c r="L1035" i="3" a="1"/>
  <c r="L1035" i="3"/>
  <c r="L1036" i="3" a="1"/>
  <c r="L1036" i="3" s="1"/>
  <c r="L1037" i="3" a="1"/>
  <c r="L1037" i="3"/>
  <c r="L1038" i="3" a="1"/>
  <c r="L1038" i="3" s="1"/>
  <c r="L1039" i="3" a="1"/>
  <c r="L1039" i="3"/>
  <c r="L1040" i="3" a="1"/>
  <c r="L1040" i="3" s="1"/>
  <c r="L1041" i="3" a="1"/>
  <c r="L1041" i="3"/>
  <c r="L1042" i="3" a="1"/>
  <c r="L1042" i="3"/>
  <c r="L1043" i="3" a="1"/>
  <c r="L1043" i="3"/>
  <c r="L1044" i="3" a="1"/>
  <c r="L1044" i="3"/>
  <c r="L1045" i="3" a="1"/>
  <c r="L1045" i="3" s="1"/>
  <c r="L1046" i="3" a="1"/>
  <c r="L1046" i="3"/>
  <c r="L1047" i="3" a="1"/>
  <c r="L1047" i="3" s="1"/>
  <c r="L1048" i="3" a="1"/>
  <c r="L1048" i="3" s="1"/>
  <c r="L1049" i="3" a="1"/>
  <c r="L1049" i="3" s="1"/>
  <c r="L1050" i="3" a="1"/>
  <c r="L1050" i="3" s="1"/>
  <c r="L1051" i="3" a="1"/>
  <c r="L1051" i="3"/>
  <c r="L1052" i="3" a="1"/>
  <c r="L1052" i="3"/>
  <c r="L1053" i="3" a="1"/>
  <c r="L1053" i="3" s="1"/>
  <c r="L1054" i="3" a="1"/>
  <c r="L1054" i="3"/>
  <c r="L1055" i="3" a="1"/>
  <c r="L1055" i="3" s="1"/>
  <c r="L1056" i="3" a="1"/>
  <c r="L1056" i="3" s="1"/>
  <c r="L1057" i="3" a="1"/>
  <c r="L1057" i="3"/>
  <c r="L1058" i="3" a="1"/>
  <c r="L1058" i="3"/>
  <c r="L1059" i="3" a="1"/>
  <c r="L1059" i="3"/>
  <c r="L1060" i="3" a="1"/>
  <c r="L1060" i="3"/>
  <c r="L1061" i="3" a="1"/>
  <c r="L1061" i="3"/>
  <c r="L1062" i="3" a="1"/>
  <c r="L1062" i="3" s="1"/>
  <c r="L1063" i="3" a="1"/>
  <c r="L1063" i="3"/>
  <c r="L1064" i="3" a="1"/>
  <c r="L1064" i="3" s="1"/>
  <c r="L1065" i="3" a="1"/>
  <c r="L1065" i="3"/>
  <c r="L1066" i="3" a="1"/>
  <c r="L1066" i="3"/>
  <c r="L1067" i="3" a="1"/>
  <c r="L1067" i="3" s="1"/>
  <c r="L1068" i="3" a="1"/>
  <c r="L1068" i="3"/>
  <c r="L1069" i="3" a="1"/>
  <c r="L1069" i="3"/>
  <c r="L1070" i="3" a="1"/>
  <c r="L1070" i="3"/>
  <c r="L1071" i="3" a="1"/>
  <c r="L1071" i="3" s="1"/>
  <c r="L1072" i="3" a="1"/>
  <c r="L1072" i="3" s="1"/>
  <c r="L1073" i="3" a="1"/>
  <c r="L1073" i="3" s="1"/>
  <c r="L1074" i="3" a="1"/>
  <c r="L1074" i="3" s="1"/>
  <c r="L1075" i="3" a="1"/>
  <c r="L1075" i="3"/>
  <c r="L1076" i="3" a="1"/>
  <c r="L1076" i="3"/>
  <c r="L1077" i="3" a="1"/>
  <c r="L1077" i="3"/>
  <c r="L1078" i="3" a="1"/>
  <c r="L1078" i="3"/>
  <c r="L1079" i="3" a="1"/>
  <c r="L1079" i="3"/>
  <c r="L1080" i="3" a="1"/>
  <c r="L1080" i="3" s="1"/>
  <c r="L1081" i="3" a="1"/>
  <c r="L1081" i="3" s="1"/>
  <c r="L1082" i="3" a="1"/>
  <c r="L1082" i="3"/>
  <c r="L1083" i="3" a="1"/>
  <c r="L1083" i="3" s="1"/>
  <c r="L1084" i="3" a="1"/>
  <c r="L1084" i="3" s="1"/>
  <c r="L1085" i="3" a="1"/>
  <c r="L1085" i="3"/>
  <c r="L1086" i="3" a="1"/>
  <c r="L1086" i="3" s="1"/>
  <c r="L1087" i="3" a="1"/>
  <c r="L1087" i="3"/>
  <c r="L1088" i="3" a="1"/>
  <c r="L1088" i="3"/>
  <c r="L1089" i="3" a="1"/>
  <c r="L1089" i="3" s="1"/>
  <c r="L1090" i="3" a="1"/>
  <c r="L1090" i="3"/>
  <c r="L1091" i="3" a="1"/>
  <c r="L1091" i="3"/>
  <c r="L1092" i="3" a="1"/>
  <c r="L1092" i="3" s="1"/>
  <c r="L1093" i="3" a="1"/>
  <c r="L1093" i="3"/>
  <c r="L1094" i="3" a="1"/>
  <c r="L1094" i="3"/>
  <c r="L1095" i="3" a="1"/>
  <c r="L1095" i="3" s="1"/>
  <c r="L1096" i="3" a="1"/>
  <c r="L1096" i="3"/>
  <c r="L1097" i="3" a="1"/>
  <c r="L1097" i="3" s="1"/>
  <c r="L1098" i="3" a="1"/>
  <c r="L1098" i="3"/>
  <c r="L1099" i="3" a="1"/>
  <c r="L1099" i="3" s="1"/>
  <c r="L1100" i="3" a="1"/>
  <c r="L1100" i="3" s="1"/>
  <c r="L1101" i="3" a="1"/>
  <c r="L1101" i="3"/>
  <c r="L1102" i="3" a="1"/>
  <c r="L1102" i="3"/>
  <c r="L1103" i="3" a="1"/>
  <c r="L1103" i="3"/>
  <c r="L1104" i="3" a="1"/>
  <c r="L1104" i="3" s="1"/>
  <c r="L1105" i="3" a="1"/>
  <c r="L1105" i="3" s="1"/>
  <c r="L1106" i="3" a="1"/>
  <c r="L1106" i="3"/>
  <c r="L1107" i="3" a="1"/>
  <c r="L1107" i="3"/>
  <c r="L1108" i="3" a="1"/>
  <c r="L1108" i="3" s="1"/>
  <c r="L1109" i="3" a="1"/>
  <c r="L1109" i="3"/>
  <c r="L1110" i="3" a="1"/>
  <c r="L1110" i="3" s="1"/>
  <c r="L1111" i="3" a="1"/>
  <c r="L1111" i="3"/>
  <c r="L1112" i="3" a="1"/>
  <c r="L1112" i="3"/>
  <c r="L1113" i="3" a="1"/>
  <c r="L1113" i="3" s="1"/>
  <c r="L1114" i="3" a="1"/>
  <c r="L1114" i="3"/>
  <c r="L1115" i="3" a="1"/>
  <c r="L1115" i="3"/>
  <c r="L1116" i="3" a="1"/>
  <c r="L1116" i="3" s="1"/>
  <c r="L1117" i="3" a="1"/>
  <c r="L1117" i="3"/>
  <c r="L1118" i="3" a="1"/>
  <c r="L1118" i="3"/>
  <c r="L1119" i="3" a="1"/>
  <c r="L1119" i="3" s="1"/>
  <c r="L1120" i="3" a="1"/>
  <c r="L1120" i="3"/>
  <c r="L1121" i="3" a="1"/>
  <c r="L1121" i="3" s="1"/>
  <c r="L1122" i="3" a="1"/>
  <c r="L1122" i="3"/>
  <c r="L1123" i="3" a="1"/>
  <c r="L1123" i="3"/>
  <c r="L1124" i="3" a="1"/>
  <c r="L1124" i="3" s="1"/>
  <c r="L1125" i="3" a="1"/>
  <c r="L1125" i="3"/>
  <c r="L1126" i="3" a="1"/>
  <c r="L1126" i="3"/>
  <c r="L1127" i="3" a="1"/>
  <c r="L1127" i="3"/>
  <c r="L1128" i="3" a="1"/>
  <c r="L1128" i="3" s="1"/>
  <c r="L1129" i="3" a="1"/>
  <c r="L1129" i="3" s="1"/>
  <c r="L1130" i="3" a="1"/>
  <c r="L1130" i="3"/>
  <c r="L1131" i="3" a="1"/>
  <c r="L1131" i="3"/>
  <c r="L1132" i="3" a="1"/>
  <c r="L1132" i="3" s="1"/>
  <c r="L1133" i="3" a="1"/>
  <c r="L1133" i="3"/>
  <c r="L1134" i="3" a="1"/>
  <c r="L1134" i="3"/>
  <c r="L1135" i="3" a="1"/>
  <c r="L1135" i="3"/>
  <c r="L1136" i="3" a="1"/>
  <c r="L1136" i="3"/>
  <c r="L1137" i="3" a="1"/>
  <c r="L1137" i="3" s="1"/>
  <c r="L1138" i="3" a="1"/>
  <c r="L1138" i="3"/>
  <c r="L1139" i="3" a="1"/>
  <c r="L1139" i="3"/>
  <c r="L1140" i="3" a="1"/>
  <c r="L1140" i="3" s="1"/>
  <c r="L1141" i="3" a="1"/>
  <c r="L1141" i="3"/>
  <c r="L1142" i="3" a="1"/>
  <c r="L1142" i="3"/>
  <c r="L1143" i="3" a="1"/>
  <c r="L1143" i="3"/>
  <c r="L1144" i="3" a="1"/>
  <c r="L1144" i="3"/>
  <c r="L1145" i="3" a="1"/>
  <c r="L1145" i="3" s="1"/>
  <c r="L1146" i="3" a="1"/>
  <c r="L1146" i="3"/>
  <c r="L1147" i="3" a="1"/>
  <c r="L1147" i="3" s="1"/>
  <c r="L1148" i="3" a="1"/>
  <c r="L1148" i="3" s="1"/>
  <c r="L1149" i="3" a="1"/>
  <c r="L1149" i="3"/>
  <c r="L1150" i="3" a="1"/>
  <c r="L1150" i="3" s="1"/>
  <c r="L1151" i="3" a="1"/>
  <c r="L1151" i="3"/>
  <c r="L1152" i="3" a="1"/>
  <c r="L1152" i="3"/>
  <c r="L1153" i="3" a="1"/>
  <c r="L1153" i="3" s="1"/>
  <c r="L1154" i="3" a="1"/>
  <c r="L1154" i="3"/>
  <c r="L1155" i="3" a="1"/>
  <c r="L1155" i="3"/>
  <c r="L1156" i="3" a="1"/>
  <c r="L1156" i="3" s="1"/>
  <c r="L1157" i="3" a="1"/>
  <c r="L1157" i="3"/>
  <c r="L1158" i="3" a="1"/>
  <c r="L1158" i="3"/>
  <c r="L1159" i="3" a="1"/>
  <c r="L1159" i="3" s="1"/>
  <c r="L1160" i="3" a="1"/>
  <c r="L1160" i="3"/>
  <c r="L1161" i="3" a="1"/>
  <c r="L1161" i="3" s="1"/>
  <c r="L1162" i="3" a="1"/>
  <c r="L1162" i="3"/>
  <c r="L1163" i="3" a="1"/>
  <c r="L1163" i="3" s="1"/>
  <c r="L1164" i="3" a="1"/>
  <c r="L1164" i="3" s="1"/>
  <c r="L1165" i="3" a="1"/>
  <c r="L1165" i="3"/>
  <c r="L1166" i="3" a="1"/>
  <c r="L1166" i="3"/>
  <c r="L1167" i="3" a="1"/>
  <c r="L1167" i="3"/>
  <c r="L1168" i="3" a="1"/>
  <c r="L1168" i="3" s="1"/>
  <c r="L1169" i="3" a="1"/>
  <c r="L1169" i="3" s="1"/>
  <c r="L1170" i="3" a="1"/>
  <c r="L1170" i="3"/>
  <c r="L1171" i="3" a="1"/>
  <c r="L1171" i="3"/>
  <c r="L1172" i="3" a="1"/>
  <c r="L1172" i="3" s="1"/>
  <c r="L1173" i="3" a="1"/>
  <c r="L1173" i="3"/>
  <c r="L1174" i="3" a="1"/>
  <c r="L1174" i="3" s="1"/>
  <c r="L1175" i="3" a="1"/>
  <c r="L1175" i="3"/>
  <c r="L1176" i="3" a="1"/>
  <c r="L1176" i="3"/>
  <c r="L1177" i="3" a="1"/>
  <c r="L1177" i="3" s="1"/>
  <c r="L1178" i="3" a="1"/>
  <c r="L1178" i="3"/>
  <c r="L1179" i="3" a="1"/>
  <c r="L1179" i="3"/>
  <c r="L1180" i="3" a="1"/>
  <c r="L1180" i="3" s="1"/>
  <c r="L1181" i="3" a="1"/>
  <c r="L1181" i="3"/>
  <c r="L1182" i="3" a="1"/>
  <c r="L1182" i="3"/>
  <c r="L1183" i="3" a="1"/>
  <c r="L1183" i="3" s="1"/>
  <c r="L1184" i="3" a="1"/>
  <c r="L1184" i="3"/>
  <c r="L1185" i="3" a="1"/>
  <c r="L1185" i="3" s="1"/>
  <c r="L1186" i="3" a="1"/>
  <c r="L1186" i="3"/>
  <c r="L1187" i="3" a="1"/>
  <c r="L1187" i="3"/>
  <c r="L1188" i="3" a="1"/>
  <c r="L1188" i="3" s="1"/>
  <c r="L1189" i="3" a="1"/>
  <c r="L1189" i="3"/>
  <c r="L1190" i="3" a="1"/>
  <c r="L1190" i="3"/>
  <c r="L1191" i="3" a="1"/>
  <c r="L1191" i="3"/>
  <c r="L1192" i="3" a="1"/>
  <c r="L1192" i="3" s="1"/>
  <c r="L1193" i="3" a="1"/>
  <c r="L1193" i="3" s="1"/>
  <c r="L1194" i="3" a="1"/>
  <c r="L1194" i="3"/>
  <c r="L1195" i="3" a="1"/>
  <c r="L1195" i="3"/>
  <c r="L1196" i="3" a="1"/>
  <c r="L1196" i="3" s="1"/>
  <c r="L1197" i="3" a="1"/>
  <c r="L1197" i="3"/>
  <c r="L1198" i="3" a="1"/>
  <c r="L1198" i="3"/>
  <c r="L1199" i="3" a="1"/>
  <c r="L1199" i="3"/>
  <c r="L1200" i="3" a="1"/>
  <c r="L1200" i="3"/>
  <c r="L1201" i="3" a="1"/>
  <c r="L1201" i="3" s="1"/>
  <c r="L1202" i="3" a="1"/>
  <c r="L1202" i="3"/>
  <c r="L1203" i="3" a="1"/>
  <c r="L1203" i="3"/>
  <c r="L1204" i="3" a="1"/>
  <c r="L1204" i="3" s="1"/>
  <c r="L1205" i="3" a="1"/>
  <c r="L1205" i="3"/>
  <c r="L1206" i="3" a="1"/>
  <c r="L1206" i="3"/>
  <c r="L1207" i="3" a="1"/>
  <c r="L1207" i="3"/>
  <c r="L1208" i="3" a="1"/>
  <c r="L1208" i="3"/>
  <c r="L1209" i="3" a="1"/>
  <c r="L1209" i="3" s="1"/>
  <c r="L1210" i="3" a="1"/>
  <c r="L1210" i="3"/>
  <c r="L1211" i="3" a="1"/>
  <c r="L1211" i="3"/>
  <c r="L1212" i="3" a="1"/>
  <c r="L1212" i="3" s="1"/>
  <c r="L1213" i="3" a="1"/>
  <c r="L1213" i="3"/>
  <c r="L1214" i="3" a="1"/>
  <c r="L1214" i="3" s="1"/>
  <c r="L1215" i="3" a="1"/>
  <c r="L1215" i="3"/>
  <c r="L1216" i="3" a="1"/>
  <c r="L1216" i="3"/>
  <c r="L1217" i="3" a="1"/>
  <c r="L1217" i="3" s="1"/>
  <c r="L1218" i="3" a="1"/>
  <c r="L1218" i="3"/>
  <c r="L1219" i="3" a="1"/>
  <c r="L1219" i="3"/>
  <c r="L1220" i="3" a="1"/>
  <c r="L1220" i="3" s="1"/>
  <c r="L1221" i="3" a="1"/>
  <c r="L1221" i="3"/>
  <c r="L1222" i="3" a="1"/>
  <c r="L1222" i="3"/>
  <c r="L1223" i="3" a="1"/>
  <c r="L1223" i="3" s="1"/>
  <c r="L1224" i="3" a="1"/>
  <c r="L1224" i="3"/>
  <c r="L1225" i="3" a="1"/>
  <c r="L1225" i="3" s="1"/>
  <c r="L1226" i="3" a="1"/>
  <c r="L1226" i="3"/>
  <c r="L1227" i="3" a="1"/>
  <c r="L1227" i="3" s="1"/>
  <c r="L1228" i="3" a="1"/>
  <c r="L1228" i="3" s="1"/>
  <c r="L1229" i="3" a="1"/>
  <c r="L1229" i="3"/>
  <c r="L1230" i="3" a="1"/>
  <c r="L1230" i="3"/>
  <c r="L1231" i="3" a="1"/>
  <c r="L1231" i="3"/>
  <c r="L1232" i="3" a="1"/>
  <c r="L1232" i="3" s="1"/>
  <c r="L1233" i="3" a="1"/>
  <c r="L1233" i="3" s="1"/>
  <c r="L1234" i="3" a="1"/>
  <c r="L1234" i="3"/>
  <c r="L1235" i="3" a="1"/>
  <c r="L1235" i="3"/>
  <c r="L1236" i="3" a="1"/>
  <c r="L1236" i="3" s="1"/>
  <c r="L1237" i="3" a="1"/>
  <c r="L1237" i="3"/>
  <c r="L1238" i="3" a="1"/>
  <c r="L1238" i="3" s="1"/>
  <c r="L1239" i="3" a="1"/>
  <c r="L1239" i="3"/>
  <c r="L1240" i="3" a="1"/>
  <c r="L1240" i="3"/>
  <c r="L1241" i="3" a="1"/>
  <c r="L1241" i="3" s="1"/>
  <c r="L1242" i="3" a="1"/>
  <c r="L1242" i="3"/>
  <c r="L1243" i="3" a="1"/>
  <c r="L1243" i="3"/>
  <c r="L1244" i="3" a="1"/>
  <c r="L1244" i="3" s="1"/>
  <c r="L1245" i="3" a="1"/>
  <c r="L1245" i="3"/>
  <c r="L1246" i="3" a="1"/>
  <c r="L1246" i="3"/>
  <c r="L1247" i="3" a="1"/>
  <c r="L1247" i="3" s="1"/>
  <c r="L1248" i="3" a="1"/>
  <c r="L1248" i="3"/>
  <c r="L1249" i="3" a="1"/>
  <c r="L1249" i="3" s="1"/>
  <c r="L1250" i="3" a="1"/>
  <c r="L1250" i="3"/>
  <c r="L1251" i="3" a="1"/>
  <c r="L1251" i="3"/>
  <c r="L1252" i="3" a="1"/>
  <c r="L1252" i="3" s="1"/>
  <c r="L1253" i="3" a="1"/>
  <c r="L1253" i="3"/>
  <c r="L1254" i="3" a="1"/>
  <c r="L1254" i="3"/>
  <c r="L1255" i="3" a="1"/>
  <c r="L1255" i="3"/>
  <c r="L1256" i="3" a="1"/>
  <c r="L1256" i="3" s="1"/>
  <c r="L1257" i="3" a="1"/>
  <c r="L1257" i="3" s="1"/>
  <c r="L1258" i="3" a="1"/>
  <c r="L1258" i="3"/>
  <c r="L1259" i="3" a="1"/>
  <c r="L1259" i="3"/>
  <c r="L1260" i="3" a="1"/>
  <c r="L1260" i="3" s="1"/>
  <c r="L1261" i="3" a="1"/>
  <c r="L1261" i="3"/>
  <c r="L1262" i="3" a="1"/>
  <c r="L1262" i="3"/>
  <c r="L1263" i="3" a="1"/>
  <c r="L1263" i="3"/>
  <c r="L1264" i="3" a="1"/>
  <c r="L1264" i="3"/>
  <c r="L1265" i="3" a="1"/>
  <c r="L1265" i="3" s="1"/>
  <c r="L1266" i="3" a="1"/>
  <c r="L1266" i="3" s="1"/>
  <c r="L1267" i="3" a="1"/>
  <c r="L1267" i="3"/>
  <c r="L1268" i="3" a="1"/>
  <c r="L1268" i="3" s="1"/>
  <c r="L1269" i="3" a="1"/>
  <c r="L1269" i="3"/>
  <c r="L1270" i="3" a="1"/>
  <c r="L1270" i="3"/>
  <c r="L1271" i="3" a="1"/>
  <c r="L1271" i="3"/>
  <c r="L1272" i="3" a="1"/>
  <c r="L1272" i="3"/>
  <c r="L1273" i="3" a="1"/>
  <c r="L1273" i="3" s="1"/>
  <c r="L1274" i="3" a="1"/>
  <c r="L1274" i="3"/>
  <c r="L1275" i="3" a="1"/>
  <c r="L1275" i="3" s="1"/>
  <c r="L1276" i="3" a="1"/>
  <c r="L1276" i="3" s="1"/>
  <c r="L1277" i="3" a="1"/>
  <c r="L1277" i="3"/>
  <c r="L1278" i="3" a="1"/>
  <c r="L1278" i="3" s="1"/>
  <c r="L1279" i="3" a="1"/>
  <c r="L1279" i="3"/>
  <c r="L1280" i="3" a="1"/>
  <c r="L1280" i="3"/>
  <c r="L1281" i="3" a="1"/>
  <c r="L1281" i="3" s="1"/>
  <c r="L1282" i="3" a="1"/>
  <c r="L1282" i="3" s="1"/>
  <c r="L1283" i="3" a="1"/>
  <c r="L1283" i="3"/>
  <c r="L1284" i="3" a="1"/>
  <c r="L1284" i="3" s="1"/>
  <c r="L1285" i="3" a="1"/>
  <c r="L1285" i="3"/>
  <c r="L1286" i="3" a="1"/>
  <c r="L1286" i="3"/>
  <c r="L1287" i="3" a="1"/>
  <c r="L1287" i="3" s="1"/>
  <c r="L1288" i="3" a="1"/>
  <c r="L1288" i="3"/>
  <c r="L1289" i="3" a="1"/>
  <c r="L1289" i="3" s="1"/>
  <c r="L1290" i="3" a="1"/>
  <c r="L1290" i="3"/>
  <c r="L1291" i="3" a="1"/>
  <c r="L1291" i="3" s="1"/>
  <c r="L1292" i="3" a="1"/>
  <c r="L1292" i="3" s="1"/>
  <c r="L1293" i="3" a="1"/>
  <c r="L1293" i="3"/>
  <c r="L1294" i="3" a="1"/>
  <c r="L1294" i="3"/>
  <c r="L1295" i="3" a="1"/>
  <c r="L1295" i="3"/>
  <c r="L1296" i="3" a="1"/>
  <c r="L1296" i="3" s="1"/>
  <c r="L1297" i="3" a="1"/>
  <c r="L1297" i="3" s="1"/>
  <c r="L1298" i="3" a="1"/>
  <c r="L1298" i="3"/>
  <c r="L1299" i="3" a="1"/>
  <c r="L1299" i="3"/>
  <c r="L1300" i="3" a="1"/>
  <c r="L1300" i="3" s="1"/>
  <c r="L1301" i="3" a="1"/>
  <c r="L1301" i="3"/>
  <c r="L1302" i="3" a="1"/>
  <c r="L1302" i="3"/>
  <c r="L1303" i="3" a="1"/>
  <c r="L1303" i="3"/>
  <c r="L1304" i="3" a="1"/>
  <c r="L1304" i="3"/>
  <c r="L1305" i="3" a="1"/>
  <c r="L1305" i="3" s="1"/>
  <c r="L1306" i="3" a="1"/>
  <c r="L1306" i="3"/>
  <c r="L1307" i="3" a="1"/>
  <c r="L1307" i="3"/>
  <c r="L1308" i="3" a="1"/>
  <c r="L1308" i="3" s="1"/>
  <c r="L1309" i="3" a="1"/>
  <c r="L1309" i="3"/>
  <c r="L1310" i="3" a="1"/>
  <c r="L1310" i="3"/>
  <c r="L1311" i="3" a="1"/>
  <c r="L1311" i="3"/>
  <c r="L1312" i="3" a="1"/>
  <c r="L1312" i="3"/>
  <c r="L1313" i="3" a="1"/>
  <c r="L1313" i="3" s="1"/>
  <c r="L1314" i="3" a="1"/>
  <c r="L1314" i="3"/>
  <c r="L1315" i="3" a="1"/>
  <c r="L1315" i="3"/>
  <c r="L1316" i="3" a="1"/>
  <c r="L1316" i="3" s="1"/>
  <c r="L1317" i="3" a="1"/>
  <c r="L1317" i="3"/>
  <c r="L1318" i="3" a="1"/>
  <c r="L1318" i="3"/>
  <c r="L1319" i="3" a="1"/>
  <c r="L1319" i="3"/>
  <c r="L1320" i="3" a="1"/>
  <c r="L1320" i="3"/>
  <c r="L1321" i="3" a="1"/>
  <c r="L1321" i="3" s="1"/>
  <c r="L1322" i="3" a="1"/>
  <c r="L1322" i="3"/>
  <c r="L1323" i="3" a="1"/>
  <c r="L1323" i="3"/>
  <c r="L1324" i="3" a="1"/>
  <c r="L1324" i="3" s="1"/>
  <c r="L1325" i="3" a="1"/>
  <c r="L1325" i="3"/>
  <c r="L1326" i="3" a="1"/>
  <c r="L1326" i="3"/>
  <c r="L1327" i="3" a="1"/>
  <c r="L1327" i="3"/>
  <c r="L1328" i="3" a="1"/>
  <c r="L1328" i="3"/>
  <c r="L1329" i="3" a="1"/>
  <c r="L1329" i="3" s="1"/>
  <c r="L1330" i="3" a="1"/>
  <c r="L1330" i="3" s="1"/>
  <c r="L1331" i="3" a="1"/>
  <c r="L1331" i="3"/>
  <c r="L1332" i="3" a="1"/>
  <c r="L1332" i="3" s="1"/>
  <c r="L1333" i="3" a="1"/>
  <c r="L1333" i="3"/>
  <c r="L1334" i="3" a="1"/>
  <c r="L1334" i="3"/>
  <c r="L1335" i="3" a="1"/>
  <c r="L1335" i="3"/>
  <c r="L1336" i="3" a="1"/>
  <c r="L1336" i="3"/>
  <c r="L1337" i="3" a="1"/>
  <c r="L1337" i="3" s="1"/>
  <c r="L1338" i="3" a="1"/>
  <c r="L1338" i="3"/>
  <c r="L1339" i="3" a="1"/>
  <c r="L1339" i="3" s="1"/>
  <c r="L1340" i="3" a="1"/>
  <c r="L1340" i="3" s="1"/>
  <c r="L1341" i="3" a="1"/>
  <c r="L1341" i="3"/>
  <c r="L1342" i="3" a="1"/>
  <c r="L1342" i="3" s="1"/>
  <c r="L1343" i="3" a="1"/>
  <c r="L1343" i="3"/>
  <c r="L1344" i="3" a="1"/>
  <c r="L1344" i="3"/>
  <c r="L1345" i="3" a="1"/>
  <c r="L1345" i="3" s="1"/>
  <c r="L1346" i="3" a="1"/>
  <c r="L1346" i="3" s="1"/>
  <c r="L1347" i="3" a="1"/>
  <c r="L1347" i="3"/>
  <c r="L1348" i="3" a="1"/>
  <c r="L1348" i="3" s="1"/>
  <c r="L1349" i="3" a="1"/>
  <c r="L1349" i="3"/>
  <c r="L1350" i="3" a="1"/>
  <c r="L1350" i="3"/>
  <c r="L1351" i="3" a="1"/>
  <c r="L1351" i="3" s="1"/>
  <c r="L1352" i="3" a="1"/>
  <c r="L1352" i="3"/>
  <c r="L1353" i="3" a="1"/>
  <c r="L1353" i="3" s="1"/>
  <c r="L1354" i="3" a="1"/>
  <c r="L1354" i="3"/>
  <c r="L1355" i="3" a="1"/>
  <c r="L1355" i="3" s="1"/>
  <c r="L1356" i="3" a="1"/>
  <c r="L1356" i="3" s="1"/>
  <c r="L1357" i="3" a="1"/>
  <c r="L1357" i="3"/>
  <c r="L1358" i="3" a="1"/>
  <c r="L1358" i="3"/>
  <c r="L1359" i="3" a="1"/>
  <c r="L1359" i="3"/>
  <c r="L1360" i="3" a="1"/>
  <c r="L1360" i="3" s="1"/>
  <c r="L1361" i="3" a="1"/>
  <c r="L1361" i="3" s="1"/>
  <c r="L1362" i="3" a="1"/>
  <c r="L1362" i="3"/>
  <c r="L1363" i="3" a="1"/>
  <c r="L1363" i="3"/>
  <c r="L1364" i="3" a="1"/>
  <c r="L1364" i="3" s="1"/>
  <c r="L1365" i="3" a="1"/>
  <c r="L1365" i="3"/>
  <c r="L1366" i="3" a="1"/>
  <c r="L1366" i="3"/>
  <c r="L1367" i="3" a="1"/>
  <c r="L1367" i="3"/>
  <c r="L1368" i="3" a="1"/>
  <c r="L1368" i="3"/>
  <c r="L1369" i="3" a="1"/>
  <c r="L1369" i="3" s="1"/>
  <c r="L1370" i="3" a="1"/>
  <c r="L1370" i="3"/>
  <c r="L1371" i="3" a="1"/>
  <c r="L1371" i="3"/>
  <c r="L1372" i="3" a="1"/>
  <c r="L1372" i="3" s="1"/>
  <c r="L1373" i="3" a="1"/>
  <c r="L1373" i="3"/>
  <c r="L1374" i="3" a="1"/>
  <c r="L1374" i="3"/>
  <c r="L1375" i="3" a="1"/>
  <c r="L1375" i="3"/>
  <c r="L1376" i="3" a="1"/>
  <c r="L1376" i="3"/>
  <c r="L1377" i="3" a="1"/>
  <c r="L1377" i="3" s="1"/>
  <c r="L1378" i="3" a="1"/>
  <c r="L1378" i="3"/>
  <c r="L1379" i="3" a="1"/>
  <c r="L1379" i="3"/>
  <c r="L1380" i="3" a="1"/>
  <c r="L1380" i="3" s="1"/>
  <c r="L1381" i="3" a="1"/>
  <c r="L1381" i="3"/>
  <c r="L1382" i="3" a="1"/>
  <c r="L1382" i="3"/>
  <c r="L1383" i="3" a="1"/>
  <c r="L1383" i="3"/>
  <c r="L1384" i="3" a="1"/>
  <c r="L1384" i="3"/>
  <c r="L1385" i="3" a="1"/>
  <c r="L1385" i="3" s="1"/>
  <c r="L1386" i="3" a="1"/>
  <c r="L1386" i="3"/>
  <c r="L1387" i="3" a="1"/>
  <c r="L1387" i="3"/>
  <c r="L1388" i="3" a="1"/>
  <c r="L1388" i="3" s="1"/>
  <c r="L1389" i="3" a="1"/>
  <c r="L1389" i="3"/>
  <c r="L1390" i="3" a="1"/>
  <c r="L1390" i="3"/>
  <c r="L1391" i="3" a="1"/>
  <c r="L1391" i="3"/>
  <c r="L1392" i="3" a="1"/>
  <c r="L1392" i="3"/>
  <c r="L1393" i="3" a="1"/>
  <c r="L1393" i="3" s="1"/>
  <c r="L1394" i="3" a="1"/>
  <c r="L1394" i="3" s="1"/>
  <c r="L1395" i="3" a="1"/>
  <c r="L1395" i="3"/>
  <c r="L1396" i="3" a="1"/>
  <c r="L1396" i="3" s="1"/>
  <c r="L1397" i="3" a="1"/>
  <c r="L1397" i="3"/>
  <c r="L1398" i="3" a="1"/>
  <c r="L1398" i="3"/>
  <c r="L1399" i="3" a="1"/>
  <c r="L1399" i="3"/>
  <c r="L1400" i="3" a="1"/>
  <c r="L1400" i="3"/>
  <c r="L1401" i="3" a="1"/>
  <c r="L1401" i="3" s="1"/>
  <c r="L1402" i="3" a="1"/>
  <c r="L1402" i="3"/>
  <c r="L1403" i="3" a="1"/>
  <c r="L1403" i="3" s="1"/>
  <c r="L1404" i="3" a="1"/>
  <c r="L1404" i="3" s="1"/>
  <c r="L1405" i="3" a="1"/>
  <c r="L1405" i="3"/>
  <c r="L1406" i="3" a="1"/>
  <c r="L1406" i="3" s="1"/>
  <c r="L1407" i="3" a="1"/>
  <c r="L1407" i="3"/>
  <c r="L1408" i="3" a="1"/>
  <c r="L1408" i="3"/>
  <c r="L1409" i="3" a="1"/>
  <c r="L1409" i="3" s="1"/>
  <c r="L1410" i="3" a="1"/>
  <c r="L1410" i="3" s="1"/>
  <c r="L1411" i="3" a="1"/>
  <c r="L1411" i="3"/>
  <c r="L1412" i="3" a="1"/>
  <c r="L1412" i="3" s="1"/>
  <c r="L1413" i="3" a="1"/>
  <c r="L1413" i="3"/>
  <c r="L1414" i="3" a="1"/>
  <c r="L1414" i="3"/>
  <c r="L1415" i="3" a="1"/>
  <c r="L1415" i="3" s="1"/>
  <c r="L1416" i="3" a="1"/>
  <c r="L1416" i="3"/>
  <c r="L1417" i="3" a="1"/>
  <c r="L1417" i="3" s="1"/>
  <c r="L1418" i="3" a="1"/>
  <c r="L1418" i="3"/>
  <c r="L1419" i="3" a="1"/>
  <c r="L1419" i="3" s="1"/>
  <c r="L1420" i="3" a="1"/>
  <c r="L1420" i="3" s="1"/>
  <c r="L1421" i="3" a="1"/>
  <c r="L1421" i="3"/>
  <c r="L1422" i="3" a="1"/>
  <c r="L1422" i="3"/>
  <c r="L1423" i="3" a="1"/>
  <c r="L1423" i="3"/>
  <c r="L1424" i="3" a="1"/>
  <c r="L1424" i="3" s="1"/>
  <c r="L1425" i="3" a="1"/>
  <c r="L1425" i="3" s="1"/>
  <c r="L1426" i="3" a="1"/>
  <c r="L1426" i="3"/>
  <c r="L1427" i="3" a="1"/>
  <c r="L1427" i="3"/>
  <c r="L1428" i="3" a="1"/>
  <c r="L1428" i="3" s="1"/>
  <c r="L1429" i="3" a="1"/>
  <c r="L1429" i="3"/>
  <c r="L1430" i="3" a="1"/>
  <c r="L1430" i="3"/>
  <c r="L1431" i="3" a="1"/>
  <c r="L1431" i="3"/>
  <c r="L1432" i="3" a="1"/>
  <c r="L1432" i="3"/>
  <c r="L1433" i="3" a="1"/>
  <c r="L1433" i="3" s="1"/>
  <c r="L1434" i="3" a="1"/>
  <c r="L1434" i="3"/>
  <c r="L1435" i="3" a="1"/>
  <c r="L1435" i="3"/>
  <c r="L1436" i="3" a="1"/>
  <c r="L1436" i="3" s="1"/>
  <c r="L1437" i="3" a="1"/>
  <c r="L1437" i="3"/>
  <c r="L1438" i="3" a="1"/>
  <c r="L1438" i="3"/>
  <c r="L1439" i="3" a="1"/>
  <c r="L1439" i="3"/>
  <c r="L1440" i="3" a="1"/>
  <c r="L1440" i="3"/>
  <c r="L1441" i="3" a="1"/>
  <c r="L1441" i="3" s="1"/>
  <c r="L1442" i="3" a="1"/>
  <c r="L1442" i="3"/>
  <c r="L1443" i="3" a="1"/>
  <c r="L1443" i="3"/>
  <c r="L1444" i="3" a="1"/>
  <c r="L1444" i="3" s="1"/>
  <c r="L1445" i="3" a="1"/>
  <c r="L1445" i="3"/>
  <c r="L1446" i="3" a="1"/>
  <c r="L1446" i="3"/>
  <c r="L1447" i="3" a="1"/>
  <c r="L1447" i="3"/>
  <c r="L1448" i="3" a="1"/>
  <c r="L1448" i="3"/>
  <c r="L1449" i="3" a="1"/>
  <c r="L1449" i="3"/>
  <c r="L1450" i="3" a="1"/>
  <c r="L1450" i="3"/>
  <c r="L1451" i="3" a="1"/>
  <c r="L1451" i="3" s="1"/>
  <c r="L1452" i="3" a="1"/>
  <c r="L1452" i="3" s="1"/>
  <c r="L1453" i="3" a="1"/>
  <c r="L1453" i="3"/>
  <c r="L1454" i="3" a="1"/>
  <c r="L1454" i="3"/>
  <c r="L1455" i="3" a="1"/>
  <c r="L1455" i="3" s="1"/>
  <c r="L1456" i="3" a="1"/>
  <c r="L1456" i="3"/>
  <c r="L1457" i="3" a="1"/>
  <c r="L1457" i="3" s="1"/>
  <c r="L1458" i="3" a="1"/>
  <c r="L1458" i="3"/>
  <c r="L1459" i="3" a="1"/>
  <c r="L1459" i="3"/>
  <c r="L1460" i="3" a="1"/>
  <c r="L1460" i="3" s="1"/>
  <c r="L1461" i="3" a="1"/>
  <c r="L1461" i="3"/>
  <c r="L1462" i="3" a="1"/>
  <c r="L1462" i="3"/>
  <c r="L1463" i="3" a="1"/>
  <c r="L1463" i="3"/>
  <c r="L1464" i="3" a="1"/>
  <c r="L1464" i="3"/>
  <c r="L1465" i="3" a="1"/>
  <c r="L1465" i="3"/>
  <c r="L1466" i="3" a="1"/>
  <c r="L1466" i="3"/>
  <c r="L1467" i="3" a="1"/>
  <c r="L1467" i="3"/>
  <c r="L1468" i="3" a="1"/>
  <c r="L1468" i="3" s="1"/>
  <c r="L1469" i="3" a="1"/>
  <c r="L1469" i="3"/>
  <c r="L1470" i="3" a="1"/>
  <c r="L1470" i="3"/>
  <c r="L1471" i="3" a="1"/>
  <c r="L1471" i="3"/>
  <c r="L1472" i="3" a="1"/>
  <c r="L1472" i="3" s="1"/>
  <c r="L1473" i="3" a="1"/>
  <c r="L1473" i="3"/>
  <c r="L1474" i="3" a="1"/>
  <c r="L1474" i="3" s="1"/>
  <c r="L1475" i="3" a="1"/>
  <c r="L1475" i="3"/>
  <c r="L1476" i="3" a="1"/>
  <c r="L1476" i="3" s="1"/>
  <c r="L1477" i="3" a="1"/>
  <c r="L1477" i="3"/>
  <c r="L1478" i="3" a="1"/>
  <c r="L1478" i="3"/>
  <c r="L1479" i="3" a="1"/>
  <c r="L1479" i="3"/>
  <c r="L1480" i="3" a="1"/>
  <c r="L1480" i="3"/>
  <c r="L1481" i="3" a="1"/>
  <c r="L1481" i="3"/>
  <c r="L1482" i="3" a="1"/>
  <c r="L1482" i="3"/>
  <c r="L1483" i="3" a="1"/>
  <c r="L1483" i="3"/>
  <c r="L1484" i="3" a="1"/>
  <c r="L1484" i="3" s="1"/>
  <c r="L1485" i="3" a="1"/>
  <c r="L1485" i="3"/>
  <c r="L1486" i="3" a="1"/>
  <c r="L1486" i="3"/>
  <c r="L1487" i="3" a="1"/>
  <c r="L1487" i="3"/>
  <c r="L1488" i="3" a="1"/>
  <c r="L1488" i="3"/>
  <c r="L1489" i="3" a="1"/>
  <c r="L1489" i="3" s="1"/>
  <c r="L1490" i="3" a="1"/>
  <c r="L1490" i="3"/>
  <c r="L1491" i="3" a="1"/>
  <c r="L1491" i="3" s="1"/>
  <c r="L1492" i="3" a="1"/>
  <c r="L1492" i="3" s="1"/>
  <c r="L1493" i="3" a="1"/>
  <c r="L1493" i="3"/>
  <c r="L1494" i="3" a="1"/>
  <c r="L1494" i="3" s="1"/>
  <c r="L1495" i="3" a="1"/>
  <c r="L1495" i="3"/>
  <c r="L1496" i="3" a="1"/>
  <c r="L1496" i="3"/>
  <c r="L1497" i="3" a="1"/>
  <c r="L1497" i="3"/>
  <c r="L1498" i="3" a="1"/>
  <c r="L1498" i="3"/>
  <c r="L1499" i="3" a="1"/>
  <c r="L1499" i="3"/>
  <c r="L1500" i="3" a="1"/>
  <c r="L1500" i="3" s="1"/>
  <c r="L1501" i="3" a="1"/>
  <c r="L1501" i="3"/>
  <c r="L1502" i="3" a="1"/>
  <c r="L1502" i="3"/>
  <c r="L1503" i="3" a="1"/>
  <c r="L1503" i="3"/>
  <c r="L1504" i="3" a="1"/>
  <c r="L1504" i="3"/>
  <c r="L1505" i="3" a="1"/>
  <c r="L1505" i="3"/>
  <c r="L1506" i="3" a="1"/>
  <c r="L1506" i="3" s="1"/>
  <c r="L1507" i="3" a="1"/>
  <c r="L1507" i="3"/>
  <c r="L1508" i="3" a="1"/>
  <c r="L1508" i="3" s="1"/>
  <c r="L1509" i="3" a="1"/>
  <c r="L1509" i="3"/>
  <c r="L1510" i="3" a="1"/>
  <c r="L1510" i="3"/>
  <c r="L1511" i="3" a="1"/>
  <c r="L1511" i="3" s="1"/>
  <c r="L1512" i="3" a="1"/>
  <c r="L1512" i="3"/>
  <c r="L1513" i="3" a="1"/>
  <c r="L1513" i="3"/>
  <c r="L1514" i="3" a="1"/>
  <c r="L1514" i="3"/>
  <c r="L1515" i="3" a="1"/>
  <c r="L1515" i="3"/>
  <c r="L1516" i="3" a="1"/>
  <c r="L1516" i="3" s="1"/>
  <c r="L1517" i="3" a="1"/>
  <c r="L1517" i="3" s="1"/>
  <c r="L1518" i="3" a="1"/>
  <c r="L1518" i="3"/>
  <c r="L1519" i="3" a="1"/>
  <c r="L1519" i="3"/>
  <c r="L1520" i="3" a="1"/>
  <c r="L1520" i="3"/>
  <c r="L1521" i="3" a="1"/>
  <c r="L1521" i="3"/>
  <c r="L1522" i="3" a="1"/>
  <c r="L1522" i="3"/>
  <c r="L1523" i="3" a="1"/>
  <c r="L1523" i="3" s="1"/>
  <c r="L1524" i="3" a="1"/>
  <c r="L1524" i="3" s="1"/>
  <c r="L1525" i="3" a="1"/>
  <c r="L1525" i="3"/>
  <c r="L1526" i="3" a="1"/>
  <c r="L1526" i="3"/>
  <c r="L1527" i="3" a="1"/>
  <c r="L1527" i="3"/>
  <c r="L1528" i="3" a="1"/>
  <c r="L1528" i="3" s="1"/>
  <c r="L1529" i="3" a="1"/>
  <c r="L1529" i="3"/>
  <c r="L1530" i="3" a="1"/>
  <c r="L1530" i="3"/>
  <c r="L1531" i="3" a="1"/>
  <c r="L1531" i="3"/>
  <c r="L1532" i="3" a="1"/>
  <c r="L1532" i="3" s="1"/>
  <c r="L1533" i="3" a="1"/>
  <c r="L1533" i="3"/>
  <c r="L1534" i="3" a="1"/>
  <c r="L1534" i="3" s="1"/>
  <c r="L1535" i="3" a="1"/>
  <c r="L1535" i="3"/>
  <c r="L1536" i="3" a="1"/>
  <c r="L1536" i="3"/>
  <c r="L1537" i="3" a="1"/>
  <c r="L1537" i="3"/>
  <c r="L1538" i="3" a="1"/>
  <c r="L1538" i="3"/>
  <c r="L1539" i="3" a="1"/>
  <c r="L1539" i="3"/>
  <c r="L1540" i="3" a="1"/>
  <c r="L1540" i="3" s="1"/>
  <c r="L1541" i="3" a="1"/>
  <c r="L1541" i="3"/>
  <c r="L1542" i="3" a="1"/>
  <c r="L1542" i="3"/>
  <c r="L1543" i="3" a="1"/>
  <c r="L1543" i="3"/>
  <c r="L1544" i="3" a="1"/>
  <c r="L1544" i="3"/>
  <c r="L1545" i="3" a="1"/>
  <c r="L1545" i="3" s="1"/>
  <c r="L1546" i="3" a="1"/>
  <c r="L1546" i="3"/>
  <c r="L1547" i="3" a="1"/>
  <c r="L1547" i="3"/>
  <c r="L1548" i="3" a="1"/>
  <c r="L1548" i="3" s="1"/>
  <c r="L1549" i="3" a="1"/>
  <c r="L1549" i="3" s="1"/>
  <c r="L1550" i="3" a="1"/>
  <c r="L1550" i="3"/>
  <c r="L1551" i="3" a="1"/>
  <c r="L1551" i="3" s="1"/>
  <c r="L1552" i="3" a="1"/>
  <c r="L1552" i="3"/>
  <c r="L1553" i="3" a="1"/>
  <c r="L1553" i="3"/>
  <c r="L1554" i="3" a="1"/>
  <c r="L1554" i="3"/>
  <c r="L1555" i="3" a="1"/>
  <c r="L1555" i="3"/>
  <c r="L1556" i="3" a="1"/>
  <c r="L1556" i="3" s="1"/>
  <c r="L1557" i="3" a="1"/>
  <c r="L1557" i="3"/>
  <c r="L1558" i="3" a="1"/>
  <c r="L1558" i="3"/>
  <c r="L1559" i="3" a="1"/>
  <c r="L1559" i="3"/>
  <c r="L1560" i="3" a="1"/>
  <c r="L1560" i="3"/>
  <c r="L1561" i="3" a="1"/>
  <c r="L1561" i="3"/>
  <c r="L1562" i="3" a="1"/>
  <c r="L1562" i="3" s="1"/>
  <c r="L1563" i="3" a="1"/>
  <c r="L1563" i="3"/>
  <c r="L1564" i="3" a="1"/>
  <c r="L1564" i="3" s="1"/>
  <c r="L1565" i="3" a="1"/>
  <c r="L1565" i="3"/>
  <c r="L1566" i="3" a="1"/>
  <c r="L1566" i="3" s="1"/>
  <c r="L1567" i="3" a="1"/>
  <c r="L1567" i="3"/>
  <c r="L1568" i="3" a="1"/>
  <c r="L1568" i="3" s="1"/>
  <c r="L1569" i="3" a="1"/>
  <c r="L1569" i="3"/>
  <c r="L1570" i="3" a="1"/>
  <c r="L1570" i="3"/>
  <c r="L1571" i="3" a="1"/>
  <c r="L1571" i="3"/>
  <c r="L1572" i="3" a="1"/>
  <c r="L1572" i="3" s="1"/>
  <c r="L1573" i="3" a="1"/>
  <c r="L1573" i="3"/>
  <c r="L1574" i="3" a="1"/>
  <c r="L1574" i="3"/>
  <c r="L1575" i="3" a="1"/>
  <c r="L1575" i="3"/>
  <c r="L1576" i="3" a="1"/>
  <c r="L1576" i="3"/>
  <c r="L1577" i="3" a="1"/>
  <c r="L1577" i="3"/>
  <c r="L1578" i="3" a="1"/>
  <c r="L1578" i="3"/>
  <c r="L1579" i="3" a="1"/>
  <c r="L1579" i="3" s="1"/>
  <c r="L1580" i="3" a="1"/>
  <c r="L1580" i="3" s="1"/>
  <c r="L1581" i="3" a="1"/>
  <c r="L1581" i="3"/>
  <c r="L1582" i="3" a="1"/>
  <c r="L1582" i="3"/>
  <c r="L1583" i="3" a="1"/>
  <c r="L1583" i="3" s="1"/>
  <c r="L1584" i="3" a="1"/>
  <c r="L1584" i="3"/>
  <c r="L1585" i="3" a="1"/>
  <c r="L1585" i="3" s="1"/>
  <c r="L1586" i="3" a="1"/>
  <c r="L1586" i="3"/>
  <c r="L1587" i="3" a="1"/>
  <c r="L1587" i="3"/>
  <c r="L1588" i="3" a="1"/>
  <c r="L1588" i="3" s="1"/>
  <c r="L1589" i="3" a="1"/>
  <c r="L1589" i="3"/>
  <c r="L1590" i="3" a="1"/>
  <c r="L1590" i="3"/>
  <c r="L1591" i="3" a="1"/>
  <c r="L1591" i="3"/>
  <c r="L1592" i="3" a="1"/>
  <c r="L1592" i="3"/>
  <c r="L1593" i="3" a="1"/>
  <c r="L1593" i="3"/>
  <c r="L1594" i="3" a="1"/>
  <c r="L1594" i="3"/>
  <c r="L1595" i="3" a="1"/>
  <c r="L1595" i="3"/>
  <c r="L1596" i="3" a="1"/>
  <c r="L1596" i="3" s="1"/>
  <c r="L1597" i="3" a="1"/>
  <c r="L1597" i="3"/>
  <c r="L1598" i="3" a="1"/>
  <c r="L1598" i="3"/>
  <c r="L1599" i="3" a="1"/>
  <c r="L1599" i="3"/>
  <c r="L1600" i="3" a="1"/>
  <c r="L1600" i="3" s="1"/>
  <c r="L1601" i="3" a="1"/>
  <c r="L1601" i="3"/>
  <c r="L1602" i="3" a="1"/>
  <c r="L1602" i="3" s="1"/>
  <c r="L1603" i="3" a="1"/>
  <c r="L1603" i="3"/>
  <c r="L1604" i="3" a="1"/>
  <c r="L1604" i="3" s="1"/>
  <c r="L1605" i="3" a="1"/>
  <c r="L1605" i="3" s="1"/>
  <c r="L1606" i="3" a="1"/>
  <c r="L1606" i="3"/>
  <c r="L1607" i="3" a="1"/>
  <c r="L1607" i="3"/>
  <c r="L1608" i="3" a="1"/>
  <c r="L1608" i="3"/>
  <c r="L1609" i="3" a="1"/>
  <c r="L1609" i="3"/>
  <c r="L1610" i="3" a="1"/>
  <c r="L1610" i="3"/>
  <c r="L1611" i="3" a="1"/>
  <c r="L1611" i="3"/>
  <c r="L1612" i="3" a="1"/>
  <c r="L1612" i="3" s="1"/>
  <c r="L1613" i="3" a="1"/>
  <c r="L1613" i="3"/>
  <c r="L1614" i="3" a="1"/>
  <c r="L1614" i="3"/>
  <c r="L1615" i="3" a="1"/>
  <c r="L1615" i="3"/>
  <c r="L1616" i="3" a="1"/>
  <c r="L1616" i="3"/>
  <c r="L1617" i="3" a="1"/>
  <c r="L1617" i="3" s="1"/>
  <c r="L1618" i="3" a="1"/>
  <c r="L1618" i="3"/>
  <c r="L1619" i="3" a="1"/>
  <c r="L1619" i="3" s="1"/>
  <c r="L1620" i="3" a="1"/>
  <c r="L1620" i="3" s="1"/>
  <c r="L1621" i="3" a="1"/>
  <c r="L1621" i="3"/>
  <c r="L1622" i="3" a="1"/>
  <c r="L1622" i="3" s="1"/>
  <c r="L1623" i="3" a="1"/>
  <c r="L1623" i="3"/>
  <c r="L1624" i="3" a="1"/>
  <c r="L1624" i="3"/>
  <c r="L1625" i="3" a="1"/>
  <c r="L1625" i="3"/>
  <c r="L1626" i="3" a="1"/>
  <c r="L1626" i="3"/>
  <c r="L1627" i="3" a="1"/>
  <c r="L1627" i="3"/>
  <c r="L1628" i="3" a="1"/>
  <c r="L1628" i="3" s="1"/>
  <c r="L1629" i="3" a="1"/>
  <c r="L1629" i="3"/>
  <c r="L1630" i="3" a="1"/>
  <c r="L1630" i="3"/>
  <c r="L1631" i="3" a="1"/>
  <c r="L1631" i="3"/>
  <c r="L1632" i="3" a="1"/>
  <c r="L1632" i="3"/>
  <c r="L1633" i="3" a="1"/>
  <c r="L1633" i="3"/>
  <c r="L1634" i="3" a="1"/>
  <c r="L1634" i="3" s="1"/>
  <c r="L1635" i="3" a="1"/>
  <c r="L1635" i="3"/>
  <c r="L1636" i="3" a="1"/>
  <c r="L1636" i="3" s="1"/>
  <c r="L1637" i="3" a="1"/>
  <c r="L1637" i="3"/>
  <c r="L1638" i="3" a="1"/>
  <c r="L1638" i="3"/>
  <c r="L1639" i="3" a="1"/>
  <c r="L1639" i="3" s="1"/>
  <c r="L1640" i="3" a="1"/>
  <c r="L1640" i="3"/>
  <c r="L1641" i="3" a="1"/>
  <c r="L1641" i="3"/>
  <c r="L1642" i="3" a="1"/>
  <c r="L1642" i="3"/>
  <c r="L1643" i="3" a="1"/>
  <c r="L1643" i="3"/>
  <c r="L1644" i="3" a="1"/>
  <c r="L1644" i="3" s="1"/>
  <c r="L1645" i="3" a="1"/>
  <c r="L1645" i="3" s="1"/>
  <c r="L1646" i="3" a="1"/>
  <c r="L1646" i="3"/>
  <c r="L1647" i="3" a="1"/>
  <c r="L1647" i="3"/>
  <c r="L1648" i="3" a="1"/>
  <c r="L1648" i="3"/>
  <c r="L1649" i="3" a="1"/>
  <c r="L1649" i="3"/>
  <c r="L2" i="3" a="1"/>
  <c r="L2" i="3" s="1"/>
  <c r="C21" i="11"/>
  <c r="B21" i="11"/>
  <c r="E17" i="11"/>
  <c r="D17" i="11"/>
  <c r="F17" i="11" s="1"/>
  <c r="E16" i="11"/>
  <c r="D16" i="11"/>
  <c r="F16" i="11" s="1"/>
  <c r="E15" i="11"/>
  <c r="D15" i="11"/>
  <c r="F15" i="11" s="1"/>
  <c r="E14" i="11"/>
  <c r="D14" i="11"/>
  <c r="F14" i="11" s="1"/>
  <c r="F13" i="11"/>
  <c r="E13" i="11"/>
  <c r="D13" i="11"/>
  <c r="E12" i="11"/>
  <c r="D12" i="11"/>
  <c r="F12" i="11" s="1"/>
  <c r="F11" i="11"/>
  <c r="E11" i="11"/>
  <c r="D11" i="11"/>
  <c r="C7" i="11"/>
  <c r="D7" i="11" s="1"/>
  <c r="C6" i="11"/>
  <c r="D6" i="11" s="1"/>
  <c r="C5" i="11"/>
  <c r="D5" i="11" s="1"/>
  <c r="C4" i="11"/>
  <c r="D4" i="11" s="1"/>
  <c r="D3" i="11"/>
  <c r="C3" i="11"/>
  <c r="F6" i="9"/>
  <c r="G6" i="9" s="1"/>
  <c r="F5" i="9"/>
  <c r="G5" i="9" s="1"/>
  <c r="F4" i="9"/>
  <c r="G4" i="9" s="1"/>
  <c r="F3" i="9"/>
  <c r="G3" i="9" s="1"/>
  <c r="G2" i="9"/>
  <c r="I1001" i="7"/>
  <c r="I1000" i="7"/>
  <c r="I999" i="7"/>
  <c r="I998" i="7"/>
  <c r="I997" i="7"/>
  <c r="I996" i="7"/>
  <c r="I995" i="7"/>
  <c r="I994" i="7"/>
  <c r="I993" i="7"/>
  <c r="I992" i="7"/>
  <c r="I991" i="7"/>
  <c r="I990" i="7"/>
  <c r="I989" i="7"/>
  <c r="I988" i="7"/>
  <c r="I987" i="7"/>
  <c r="I986" i="7"/>
  <c r="I985" i="7"/>
  <c r="I984" i="7"/>
  <c r="I983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940" i="7"/>
  <c r="I939" i="7"/>
  <c r="I938" i="7"/>
  <c r="I937" i="7"/>
  <c r="I936" i="7"/>
  <c r="I935" i="7"/>
  <c r="I934" i="7"/>
  <c r="I933" i="7"/>
  <c r="I932" i="7"/>
  <c r="I931" i="7"/>
  <c r="I930" i="7"/>
  <c r="I929" i="7"/>
  <c r="I928" i="7"/>
  <c r="I927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912" i="7"/>
  <c r="I911" i="7"/>
  <c r="I910" i="7"/>
  <c r="I909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6" i="7"/>
  <c r="I895" i="7"/>
  <c r="I894" i="7"/>
  <c r="I893" i="7"/>
  <c r="I892" i="7"/>
  <c r="I891" i="7"/>
  <c r="I890" i="7"/>
  <c r="I889" i="7"/>
  <c r="I888" i="7"/>
  <c r="I887" i="7"/>
  <c r="I886" i="7"/>
  <c r="I885" i="7"/>
  <c r="I884" i="7"/>
  <c r="I883" i="7"/>
  <c r="I882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5" i="7"/>
  <c r="I844" i="7"/>
  <c r="I843" i="7"/>
  <c r="I842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I828" i="7"/>
  <c r="I827" i="7"/>
  <c r="I826" i="7"/>
  <c r="I825" i="7"/>
  <c r="I824" i="7"/>
  <c r="I823" i="7"/>
  <c r="I822" i="7"/>
  <c r="I821" i="7"/>
  <c r="I820" i="7"/>
  <c r="I819" i="7"/>
  <c r="I818" i="7"/>
  <c r="I817" i="7"/>
  <c r="I816" i="7"/>
  <c r="I815" i="7"/>
  <c r="I814" i="7"/>
  <c r="I813" i="7"/>
  <c r="I812" i="7"/>
  <c r="I811" i="7"/>
  <c r="I810" i="7"/>
  <c r="I809" i="7"/>
  <c r="I808" i="7"/>
  <c r="I807" i="7"/>
  <c r="I806" i="7"/>
  <c r="I805" i="7"/>
  <c r="I804" i="7"/>
  <c r="I803" i="7"/>
  <c r="I802" i="7"/>
  <c r="I801" i="7"/>
  <c r="I800" i="7"/>
  <c r="I799" i="7"/>
  <c r="I798" i="7"/>
  <c r="I797" i="7"/>
  <c r="I796" i="7"/>
  <c r="I795" i="7"/>
  <c r="I794" i="7"/>
  <c r="I793" i="7"/>
  <c r="I792" i="7"/>
  <c r="I791" i="7"/>
  <c r="I790" i="7"/>
  <c r="I789" i="7"/>
  <c r="I788" i="7"/>
  <c r="I787" i="7"/>
  <c r="I786" i="7"/>
  <c r="I785" i="7"/>
  <c r="I784" i="7"/>
  <c r="I783" i="7"/>
  <c r="I782" i="7"/>
  <c r="I781" i="7"/>
  <c r="I780" i="7"/>
  <c r="I779" i="7"/>
  <c r="I778" i="7"/>
  <c r="I777" i="7"/>
  <c r="I776" i="7"/>
  <c r="I775" i="7"/>
  <c r="I774" i="7"/>
  <c r="I773" i="7"/>
  <c r="I772" i="7"/>
  <c r="I771" i="7"/>
  <c r="I770" i="7"/>
  <c r="I769" i="7"/>
  <c r="I768" i="7"/>
  <c r="I767" i="7"/>
  <c r="I766" i="7"/>
  <c r="I765" i="7"/>
  <c r="I764" i="7"/>
  <c r="I763" i="7"/>
  <c r="I762" i="7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5" i="7"/>
  <c r="I744" i="7"/>
  <c r="I743" i="7"/>
  <c r="I742" i="7"/>
  <c r="I741" i="7"/>
  <c r="I740" i="7"/>
  <c r="I739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630" i="7"/>
  <c r="I629" i="7"/>
  <c r="I628" i="7"/>
  <c r="I627" i="7"/>
  <c r="I626" i="7"/>
  <c r="I625" i="7"/>
  <c r="I624" i="7"/>
  <c r="I623" i="7"/>
  <c r="I622" i="7"/>
  <c r="I621" i="7"/>
  <c r="I620" i="7"/>
  <c r="I619" i="7"/>
  <c r="I618" i="7"/>
  <c r="I617" i="7"/>
  <c r="I616" i="7"/>
  <c r="I615" i="7"/>
  <c r="I614" i="7"/>
  <c r="I613" i="7"/>
  <c r="I612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7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71" i="7"/>
  <c r="I570" i="7"/>
  <c r="I569" i="7"/>
  <c r="I568" i="7"/>
  <c r="I567" i="7"/>
  <c r="I566" i="7"/>
  <c r="I565" i="7"/>
  <c r="I564" i="7"/>
  <c r="I563" i="7"/>
  <c r="I562" i="7"/>
  <c r="I561" i="7"/>
  <c r="I560" i="7"/>
  <c r="I559" i="7"/>
  <c r="I558" i="7"/>
  <c r="I557" i="7"/>
  <c r="I556" i="7"/>
  <c r="I555" i="7"/>
  <c r="I554" i="7"/>
  <c r="I553" i="7"/>
  <c r="I552" i="7"/>
  <c r="I551" i="7"/>
  <c r="I550" i="7"/>
  <c r="I549" i="7"/>
  <c r="I548" i="7"/>
  <c r="I547" i="7"/>
  <c r="I546" i="7"/>
  <c r="I545" i="7"/>
  <c r="I544" i="7"/>
  <c r="I543" i="7"/>
  <c r="I542" i="7"/>
  <c r="I541" i="7"/>
  <c r="I540" i="7"/>
  <c r="I539" i="7"/>
  <c r="I538" i="7"/>
  <c r="I537" i="7"/>
  <c r="I536" i="7"/>
  <c r="I535" i="7"/>
  <c r="I534" i="7"/>
  <c r="I533" i="7"/>
  <c r="I532" i="7"/>
  <c r="I531" i="7"/>
  <c r="I530" i="7"/>
  <c r="I529" i="7"/>
  <c r="I528" i="7"/>
  <c r="I527" i="7"/>
  <c r="I526" i="7"/>
  <c r="I525" i="7"/>
  <c r="I524" i="7"/>
  <c r="I523" i="7"/>
  <c r="I522" i="7"/>
  <c r="I521" i="7"/>
  <c r="I520" i="7"/>
  <c r="I519" i="7"/>
  <c r="I518" i="7"/>
  <c r="I517" i="7"/>
  <c r="I516" i="7"/>
  <c r="I515" i="7"/>
  <c r="I514" i="7"/>
  <c r="I513" i="7"/>
  <c r="I512" i="7"/>
  <c r="I511" i="7"/>
  <c r="I510" i="7"/>
  <c r="I509" i="7"/>
  <c r="I508" i="7"/>
  <c r="I507" i="7"/>
  <c r="I506" i="7"/>
  <c r="I505" i="7"/>
  <c r="I504" i="7"/>
  <c r="I503" i="7"/>
  <c r="I502" i="7"/>
  <c r="I501" i="7"/>
  <c r="I500" i="7"/>
  <c r="I499" i="7"/>
  <c r="I498" i="7"/>
  <c r="I497" i="7"/>
  <c r="I496" i="7"/>
  <c r="I495" i="7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5" i="8"/>
  <c r="F7" i="9" s="1"/>
  <c r="G7" i="9" s="1"/>
  <c r="D4" i="8"/>
  <c r="C4" i="8"/>
  <c r="C3" i="8"/>
  <c r="D3" i="8" s="1"/>
  <c r="C2" i="8"/>
  <c r="D2" i="8" s="1"/>
  <c r="D5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<sst xmlns="http://schemas.openxmlformats.org/spreadsheetml/2006/main" count="40244" uniqueCount="9339">
  <si>
    <t>Relationship</t>
  </si>
  <si>
    <t>Expected Orphans</t>
  </si>
  <si>
    <t>Actual Orphans</t>
  </si>
  <si>
    <t>Status</t>
  </si>
  <si>
    <t>policy_details.customer_id → customer_master.customer_id</t>
  </si>
  <si>
    <t>policy_details.agent_id → agent_info.agent_id</t>
  </si>
  <si>
    <t>claim_history.policy_id → policy_details.policy_id</t>
  </si>
  <si>
    <t>customer_feedback.customer_id → customer_master.customer_id</t>
  </si>
  <si>
    <t>Table of Contents</t>
  </si>
  <si>
    <t>Customer_Master</t>
  </si>
  <si>
    <t>Cleaned customer records with validation status</t>
  </si>
  <si>
    <t>Policy_Details</t>
  </si>
  <si>
    <t>Cleaned policy records with validation status</t>
  </si>
  <si>
    <t>Claim_History</t>
  </si>
  <si>
    <t>Cleaned claim records with validation status</t>
  </si>
  <si>
    <t>Agent_Info</t>
  </si>
  <si>
    <t>Cleaned agent records with validation status</t>
  </si>
  <si>
    <t>Customer_Feedback</t>
  </si>
  <si>
    <t>Cleaned feedback records with validation status</t>
  </si>
  <si>
    <t>FK_Integrity_Check</t>
  </si>
  <si>
    <t>Foreign Key Integrity checks across tables</t>
  </si>
  <si>
    <t>Data_Quality_Log</t>
  </si>
  <si>
    <t>Mandated log of data quality issues and resolutions</t>
  </si>
  <si>
    <t>Lookup_Reference</t>
  </si>
  <si>
    <t>Categorical lists and standardization maps</t>
  </si>
  <si>
    <t>SQL_Validation_Summary</t>
  </si>
  <si>
    <t>Pre-SQL ingestion checks and KPI reconciliation</t>
  </si>
  <si>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</si>
  <si>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</si>
  <si>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</si>
  <si>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</si>
  <si>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</si>
  <si>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</si>
  <si>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</si>
  <si>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</si>
  <si>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</si>
  <si>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</si>
  <si>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</si>
  <si>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Validation_Status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</si>
  <si>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</si>
  <si>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</si>
  <si>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</si>
  <si>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</si>
  <si>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</si>
  <si>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</si>
  <si>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</si>
  <si>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</si>
  <si>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</si>
  <si>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</si>
  <si>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</si>
  <si>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</si>
  <si>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</si>
  <si>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</si>
  <si>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</si>
  <si>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</si>
  <si>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</si>
  <si>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</si>
  <si>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</si>
  <si>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</si>
  <si>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</si>
  <si>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</si>
  <si>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</si>
  <si>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</si>
  <si>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</si>
  <si>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</si>
  <si>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</si>
  <si>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</si>
  <si>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</si>
  <si>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</si>
  <si>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</si>
  <si>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</si>
  <si>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</si>
  <si>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</si>
  <si>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</si>
  <si>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</si>
  <si>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</si>
  <si>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</si>
  <si>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</si>
  <si>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</si>
  <si>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</si>
  <si>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</si>
  <si>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</si>
  <si>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</si>
  <si>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</si>
  <si>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</si>
  <si>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</si>
  <si>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</si>
  <si>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</si>
  <si>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</si>
  <si>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</si>
  <si>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</si>
  <si>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</si>
  <si>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</si>
  <si>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</si>
  <si>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</si>
  <si>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</si>
  <si>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</si>
  <si>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</si>
  <si>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</si>
  <si>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</si>
  <si>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</si>
  <si>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</si>
  <si>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</si>
  <si>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</si>
  <si>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</si>
  <si>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</si>
  <si>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</si>
  <si>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</si>
  <si>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</si>
  <si>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</si>
  <si>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</si>
  <si>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</si>
  <si>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</si>
  <si>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</si>
  <si>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</si>
  <si>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</si>
  <si>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</si>
  <si>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</si>
  <si>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</si>
  <si>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</si>
  <si>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</si>
  <si>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</si>
  <si>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</si>
  <si>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</si>
  <si>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</si>
  <si>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</si>
  <si>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</si>
  <si>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</si>
  <si>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</si>
  <si>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</si>
  <si>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</si>
  <si>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</si>
  <si>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</si>
  <si>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</si>
  <si>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</si>
  <si>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</si>
  <si>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</si>
  <si>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</si>
  <si>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</si>
  <si>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</si>
  <si>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</si>
  <si>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</si>
  <si>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</si>
  <si>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</si>
  <si>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</si>
  <si>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</si>
  <si>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</si>
  <si>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</si>
  <si>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</si>
  <si>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</si>
  <si>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</si>
  <si>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</si>
  <si>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</si>
  <si>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</si>
  <si>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</si>
  <si>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</si>
  <si>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</si>
  <si>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</si>
  <si>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CUST10074</t>
  </si>
  <si>
    <t>Hemang Badami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</si>
  <si>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</si>
  <si>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</si>
  <si>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</si>
  <si>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</si>
  <si>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</si>
  <si>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</si>
  <si>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</si>
  <si>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</si>
  <si>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</si>
  <si>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</si>
  <si>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</si>
  <si>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</si>
  <si>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</si>
  <si>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</si>
  <si>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</si>
  <si>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</si>
  <si>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</si>
  <si>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</si>
  <si>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</si>
  <si>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</si>
  <si>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</si>
  <si>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</si>
  <si>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</si>
  <si>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</si>
  <si>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</si>
  <si>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</si>
  <si>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</si>
  <si>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</si>
  <si>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</si>
  <si>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</si>
  <si>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</si>
  <si>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</si>
  <si>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</si>
  <si>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</si>
  <si>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</si>
  <si>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</si>
  <si>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</si>
  <si>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</si>
  <si>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</si>
  <si>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</si>
  <si>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</si>
  <si>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</si>
  <si>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</si>
  <si>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</si>
  <si>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</si>
  <si>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</si>
  <si>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</si>
  <si>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</si>
  <si>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</si>
  <si>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</si>
  <si>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</si>
  <si>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</si>
  <si>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</si>
  <si>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</si>
  <si>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</si>
  <si>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</si>
  <si>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</si>
  <si>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</si>
  <si>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</si>
  <si>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</si>
  <si>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</si>
  <si>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</si>
  <si>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</si>
  <si>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</si>
  <si>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</si>
  <si>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</si>
  <si>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</si>
  <si>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</si>
  <si>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</si>
  <si>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</si>
  <si>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</si>
  <si>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</si>
  <si>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</si>
  <si>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</si>
  <si>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</si>
  <si>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</si>
  <si>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</si>
  <si>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</si>
  <si>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</si>
  <si>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</si>
  <si>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</si>
  <si>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</si>
  <si>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</si>
  <si>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</si>
  <si>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</si>
  <si>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</si>
  <si>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</si>
  <si>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</si>
  <si>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</si>
  <si>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</si>
  <si>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</si>
  <si>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</si>
  <si>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</si>
  <si>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</si>
  <si>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</si>
  <si>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</si>
  <si>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</si>
  <si>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</si>
  <si>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</si>
  <si>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</si>
  <si>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</si>
  <si>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</si>
  <si>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</si>
  <si>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</si>
  <si>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</si>
  <si>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</si>
  <si>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</si>
  <si>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</si>
  <si>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</si>
  <si>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</si>
  <si>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</si>
  <si>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</si>
  <si>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</si>
  <si>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</si>
  <si>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</si>
  <si>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</si>
  <si>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</si>
  <si>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</si>
  <si>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</si>
  <si>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</si>
  <si>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</si>
  <si>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</si>
  <si>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</si>
  <si>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</si>
  <si>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</si>
  <si>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</si>
  <si>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</si>
  <si>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</si>
  <si>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</si>
  <si>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</si>
  <si>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</si>
  <si>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</si>
  <si>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</si>
  <si>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</si>
  <si>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</si>
  <si>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</si>
  <si>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</si>
  <si>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</si>
  <si>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</si>
  <si>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</si>
  <si>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</si>
  <si>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</si>
  <si>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</si>
  <si>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</si>
  <si>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</si>
  <si>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</si>
  <si>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</si>
  <si>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</si>
  <si>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</si>
  <si>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</si>
  <si>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</si>
  <si>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</si>
  <si>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</si>
  <si>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</si>
  <si>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</si>
  <si>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</si>
  <si>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</si>
  <si>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</si>
  <si>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</si>
  <si>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</si>
  <si>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</si>
  <si>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</si>
  <si>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</si>
  <si>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</si>
  <si>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</si>
  <si>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</si>
  <si>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</si>
  <si>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</si>
  <si>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</si>
  <si>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</si>
  <si>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</si>
  <si>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</si>
  <si>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</si>
  <si>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</si>
  <si>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</si>
  <si>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</si>
  <si>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</si>
  <si>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</si>
  <si>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</si>
  <si>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</si>
  <si>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</si>
  <si>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</si>
  <si>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</si>
  <si>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</si>
  <si>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</si>
  <si>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</si>
  <si>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</si>
  <si>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</si>
  <si>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</si>
  <si>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</si>
  <si>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</si>
  <si>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</si>
  <si>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</si>
  <si>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</si>
  <si>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</si>
  <si>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</si>
  <si>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</si>
  <si>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</si>
  <si>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</si>
  <si>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</si>
  <si>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</si>
  <si>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</si>
  <si>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</si>
  <si>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</si>
  <si>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</si>
  <si>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</si>
  <si>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</si>
  <si>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</si>
  <si>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</si>
  <si>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</si>
  <si>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</si>
  <si>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</si>
  <si>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</si>
  <si>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</si>
  <si>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</si>
  <si>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</si>
  <si>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</si>
  <si>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</si>
  <si>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</si>
  <si>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</si>
  <si>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</si>
  <si>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</si>
  <si>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</si>
  <si>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</si>
  <si>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</si>
  <si>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</si>
  <si>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</si>
  <si>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</si>
  <si>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</si>
  <si>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</si>
  <si>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</si>
  <si>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</si>
  <si>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</si>
  <si>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</si>
  <si>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</si>
  <si>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</si>
  <si>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</si>
  <si>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</si>
  <si>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</si>
  <si>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</si>
  <si>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</si>
  <si>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</si>
  <si>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</si>
  <si>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</si>
  <si>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</si>
  <si>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</si>
  <si>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</si>
  <si>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</si>
  <si>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</si>
  <si>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</si>
  <si>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</si>
  <si>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</si>
  <si>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</si>
  <si>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</si>
  <si>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</si>
  <si>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</si>
  <si>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</si>
  <si>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</si>
  <si>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</si>
  <si>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</si>
  <si>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</si>
  <si>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</si>
  <si>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</si>
  <si>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</si>
  <si>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</si>
  <si>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</si>
  <si>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</si>
  <si>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</si>
  <si>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</si>
  <si>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</si>
  <si>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</si>
  <si>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</si>
  <si>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</si>
  <si>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</si>
  <si>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</si>
  <si>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</si>
  <si>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</si>
  <si>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</si>
  <si>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</si>
  <si>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</si>
  <si>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</si>
  <si>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</si>
  <si>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</si>
  <si>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</si>
  <si>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</si>
  <si>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</si>
  <si>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</si>
  <si>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</si>
  <si>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</si>
  <si>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</si>
  <si>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</si>
  <si>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</si>
  <si>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</si>
  <si>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</si>
  <si>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</si>
  <si>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</si>
  <si>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</si>
  <si>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</si>
  <si>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</si>
  <si>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</si>
  <si>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</si>
  <si>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</si>
  <si>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</si>
  <si>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</si>
  <si>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</si>
  <si>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</si>
  <si>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</si>
  <si>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</si>
  <si>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</si>
  <si>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</si>
  <si>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</si>
  <si>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</si>
  <si>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</si>
  <si>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</si>
  <si>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</si>
  <si>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</si>
  <si>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</si>
  <si>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</si>
  <si>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</si>
  <si>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</si>
  <si>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</si>
  <si>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</si>
  <si>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</si>
  <si>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</si>
  <si>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</si>
  <si>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</si>
  <si>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</si>
  <si>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</si>
  <si>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</si>
  <si>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</si>
  <si>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</si>
  <si>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</si>
  <si>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</si>
  <si>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</si>
  <si>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</si>
  <si>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</si>
  <si>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</si>
  <si>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</si>
  <si>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</si>
  <si>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</si>
  <si>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</si>
  <si>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</si>
  <si>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</si>
  <si>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</si>
  <si>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</si>
  <si>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</si>
  <si>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</si>
  <si>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</si>
  <si>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</si>
  <si>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</si>
  <si>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</si>
  <si>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</si>
  <si>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</si>
  <si>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</si>
  <si>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</si>
  <si>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</si>
  <si>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</si>
  <si>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</si>
  <si>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</si>
  <si>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</si>
  <si>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</si>
  <si>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</si>
  <si>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</si>
  <si>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</si>
  <si>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</si>
  <si>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</si>
  <si>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</si>
  <si>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</si>
  <si>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</si>
  <si>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</si>
  <si>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</si>
  <si>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</si>
  <si>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</si>
  <si>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</si>
  <si>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</si>
  <si>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</si>
  <si>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</si>
  <si>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</si>
  <si>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</si>
  <si>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</si>
  <si>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</si>
  <si>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</si>
  <si>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</si>
  <si>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</si>
  <si>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</si>
  <si>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</si>
  <si>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</si>
  <si>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</si>
  <si>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</si>
  <si>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</si>
  <si>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</si>
  <si>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</si>
  <si>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</si>
  <si>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</si>
  <si>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</si>
  <si>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</si>
  <si>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</si>
  <si>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</si>
  <si>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</si>
  <si>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</si>
  <si>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</si>
  <si>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</si>
  <si>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</si>
  <si>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</si>
  <si>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</si>
  <si>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</si>
  <si>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</si>
  <si>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</si>
  <si>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</si>
  <si>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</si>
  <si>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</si>
  <si>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</si>
  <si>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</si>
  <si>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</si>
  <si>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</si>
  <si>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</si>
  <si>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</si>
  <si>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</si>
  <si>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</si>
  <si>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</si>
  <si>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</si>
  <si>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</si>
  <si>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</si>
  <si>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</si>
  <si>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</si>
  <si>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</si>
  <si>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</si>
  <si>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</si>
  <si>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</si>
  <si>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</si>
  <si>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</si>
  <si>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</si>
  <si>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</si>
  <si>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</si>
  <si>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</si>
  <si>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</si>
  <si>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</si>
  <si>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</si>
  <si>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</si>
  <si>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</si>
  <si>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</si>
  <si>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</si>
  <si>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</si>
  <si>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</si>
  <si>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</si>
  <si>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</si>
  <si>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</si>
  <si>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</si>
  <si>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</si>
  <si>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</si>
  <si>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</si>
  <si>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</si>
  <si>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</si>
  <si>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</si>
  <si>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</si>
  <si>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</si>
  <si>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</si>
  <si>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</si>
  <si>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</si>
  <si>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</si>
  <si>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</si>
  <si>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</si>
  <si>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</si>
  <si>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</si>
  <si>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</si>
  <si>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</si>
  <si>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</si>
  <si>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</si>
  <si>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</si>
  <si>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</si>
  <si>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</si>
  <si>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</si>
  <si>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</si>
  <si>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</si>
  <si>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</si>
  <si>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</si>
  <si>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</si>
  <si>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</si>
  <si>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</si>
  <si>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</si>
  <si>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</si>
  <si>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</si>
  <si>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</si>
  <si>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</si>
  <si>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</si>
  <si>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</si>
  <si>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</si>
  <si>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</si>
  <si>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</si>
  <si>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</si>
  <si>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</si>
  <si>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</si>
  <si>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</si>
  <si>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</si>
  <si>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</si>
  <si>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</si>
  <si>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</si>
  <si>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</si>
  <si>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</si>
  <si>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</si>
  <si>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</si>
  <si>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</si>
  <si>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</si>
  <si>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</si>
  <si>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</si>
  <si>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</si>
  <si>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</si>
  <si>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</si>
  <si>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</si>
  <si>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</si>
  <si>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</si>
  <si>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</si>
  <si>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</si>
  <si>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</si>
  <si>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</si>
  <si>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</si>
  <si>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</si>
  <si>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</si>
  <si>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</si>
  <si>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</si>
  <si>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</si>
  <si>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</si>
  <si>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</si>
  <si>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</si>
  <si>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</si>
  <si>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</si>
  <si>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</si>
  <si>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</si>
  <si>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</si>
  <si>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</si>
  <si>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</si>
  <si>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</si>
  <si>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</si>
  <si>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</si>
  <si>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</si>
  <si>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</si>
  <si>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</si>
  <si>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</si>
  <si>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</si>
  <si>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</si>
  <si>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</si>
  <si>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</si>
  <si>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</si>
  <si>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</si>
  <si>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</si>
  <si>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</si>
  <si>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</si>
  <si>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</si>
  <si>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</si>
  <si>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</si>
  <si>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</si>
  <si>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</si>
  <si>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</si>
  <si>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</si>
  <si>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</si>
  <si>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</si>
  <si>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</si>
  <si>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</si>
  <si>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</si>
  <si>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</si>
  <si>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</si>
  <si>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</si>
  <si>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</si>
  <si>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</si>
  <si>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</si>
  <si>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</si>
  <si>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</si>
  <si>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</si>
  <si>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</si>
  <si>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</si>
  <si>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</si>
  <si>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</si>
  <si>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</si>
  <si>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</si>
  <si>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</si>
  <si>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</si>
  <si>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</si>
  <si>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</si>
  <si>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</si>
  <si>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</si>
  <si>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</si>
  <si>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</si>
  <si>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</si>
  <si>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</si>
  <si>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</si>
  <si>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</si>
  <si>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</si>
  <si>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</si>
  <si>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</si>
  <si>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</si>
  <si>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</si>
  <si>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</si>
  <si>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</si>
  <si>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</si>
  <si>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</si>
  <si>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</si>
  <si>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</si>
  <si>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</si>
  <si>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</si>
  <si>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</si>
  <si>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</si>
  <si>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</si>
  <si>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</si>
  <si>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</si>
  <si>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</si>
  <si>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</si>
  <si>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</si>
  <si>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</si>
  <si>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</si>
  <si>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</si>
  <si>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</si>
  <si>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</si>
  <si>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</si>
  <si>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</si>
  <si>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</si>
  <si>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</si>
  <si>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</si>
  <si>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</si>
  <si>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</si>
  <si>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</si>
  <si>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</si>
  <si>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</si>
  <si>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</si>
  <si>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</si>
  <si>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</si>
  <si>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</si>
  <si>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</si>
  <si>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</si>
  <si>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</si>
  <si>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</si>
  <si>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</si>
  <si>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</si>
  <si>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</si>
  <si>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</si>
  <si>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</si>
  <si>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</si>
  <si>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</si>
  <si>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</si>
  <si>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</si>
  <si>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</si>
  <si>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</si>
  <si>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</si>
  <si>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</si>
  <si>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</si>
  <si>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</si>
  <si>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</si>
  <si>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</si>
  <si>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</si>
  <si>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</si>
  <si>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</si>
  <si>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</si>
  <si>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</si>
  <si>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</si>
  <si>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</si>
  <si>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</si>
  <si>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</si>
  <si>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</si>
  <si>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</si>
  <si>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</si>
  <si>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</si>
  <si>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</si>
  <si>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</si>
  <si>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</si>
  <si>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</si>
  <si>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</si>
  <si>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</si>
  <si>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</si>
  <si>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</si>
  <si>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</si>
  <si>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</si>
  <si>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</si>
  <si>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</si>
  <si>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</si>
  <si>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</si>
  <si>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</si>
  <si>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</si>
  <si>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</si>
  <si>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</si>
  <si>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</si>
  <si>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</si>
  <si>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</si>
  <si>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</si>
  <si>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</si>
  <si>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</si>
  <si>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</si>
  <si>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</si>
  <si>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</si>
  <si>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</si>
  <si>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</si>
  <si>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</si>
  <si>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</si>
  <si>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</si>
  <si>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</si>
  <si>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</si>
  <si>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</si>
  <si>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</si>
  <si>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</si>
  <si>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</si>
  <si>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</si>
  <si>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</si>
  <si>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</si>
  <si>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</si>
  <si>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</si>
  <si>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</si>
  <si>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</si>
  <si>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</si>
  <si>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</si>
  <si>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</si>
  <si>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</si>
  <si>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</si>
  <si>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</si>
  <si>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</si>
  <si>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</si>
  <si>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</si>
  <si>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</si>
  <si>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</si>
  <si>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</si>
  <si>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</si>
  <si>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</si>
  <si>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</si>
  <si>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</si>
  <si>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</si>
  <si>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</si>
  <si>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</si>
  <si>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</si>
  <si>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</si>
  <si>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</si>
  <si>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</si>
  <si>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</si>
  <si>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</si>
  <si>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</si>
  <si>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</si>
  <si>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</si>
  <si>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</si>
  <si>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</si>
  <si>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</si>
  <si>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</si>
  <si>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</si>
  <si>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</si>
  <si>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</si>
  <si>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</si>
  <si>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</si>
  <si>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</si>
  <si>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</si>
  <si>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</si>
  <si>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</si>
  <si>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</si>
  <si>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</si>
  <si>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</si>
  <si>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</si>
  <si>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</si>
  <si>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</si>
  <si>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</si>
  <si>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</si>
  <si>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</si>
  <si>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</si>
  <si>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</si>
  <si>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</si>
  <si>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</si>
  <si>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</si>
  <si>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</si>
  <si>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</si>
  <si>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</si>
  <si>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</si>
  <si>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</si>
  <si>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</si>
  <si>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</si>
  <si>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</si>
  <si>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</si>
  <si>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</si>
  <si>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</si>
  <si>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</si>
  <si>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</si>
  <si>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</si>
  <si>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</si>
  <si>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</si>
  <si>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</si>
  <si>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</si>
  <si>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</si>
  <si>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</si>
  <si>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</si>
  <si>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</si>
  <si>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</si>
  <si>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</si>
  <si>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</si>
  <si>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</si>
  <si>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</si>
  <si>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</si>
  <si>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</si>
  <si>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</si>
  <si>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</si>
  <si>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</si>
  <si>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</si>
  <si>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</si>
  <si>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</si>
  <si>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</si>
  <si>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</si>
  <si>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</si>
  <si>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</si>
  <si>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</si>
  <si>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</si>
  <si>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</si>
  <si>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</si>
  <si>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</si>
  <si>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</si>
  <si>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</si>
  <si>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</si>
  <si>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</si>
  <si>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</si>
  <si>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</si>
  <si>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</si>
  <si>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</si>
  <si>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</si>
  <si>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</si>
  <si>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</si>
  <si>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</si>
  <si>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</si>
  <si>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</si>
  <si>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</si>
  <si>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</si>
  <si>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</si>
  <si>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</si>
  <si>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</si>
  <si>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</si>
  <si>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</si>
  <si>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</si>
  <si>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</si>
  <si>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</si>
  <si>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</si>
  <si>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</si>
  <si>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</si>
  <si>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</si>
  <si>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</si>
  <si>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</si>
  <si>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</si>
  <si>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</si>
  <si>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</si>
  <si>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</si>
  <si>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</si>
  <si>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</si>
  <si>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</si>
  <si>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</si>
  <si>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</si>
  <si>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</si>
  <si>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</si>
  <si>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</si>
  <si>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</si>
  <si>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</si>
  <si>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</si>
  <si>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</si>
  <si>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</si>
  <si>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</si>
  <si>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</si>
  <si>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</si>
  <si>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</si>
  <si>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</si>
  <si>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</si>
  <si>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</si>
  <si>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</si>
  <si>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</si>
  <si>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</si>
  <si>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</si>
  <si>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</si>
  <si>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</si>
  <si>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</si>
  <si>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</si>
  <si>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</si>
  <si>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</si>
  <si>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</si>
  <si>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</si>
  <si>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</si>
  <si>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</si>
  <si>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</si>
  <si>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</si>
  <si>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</si>
  <si>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</si>
  <si>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</si>
  <si>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</si>
  <si>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</si>
  <si>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</si>
  <si>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</si>
  <si>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</si>
  <si>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</si>
  <si>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</si>
  <si>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</si>
  <si>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</si>
  <si>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</si>
  <si>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</si>
  <si>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</si>
  <si>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</si>
  <si>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</si>
  <si>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</si>
  <si>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</si>
  <si>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</si>
  <si>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</si>
  <si>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</si>
  <si>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</si>
  <si>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</si>
  <si>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</si>
  <si>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</si>
  <si>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</si>
  <si>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</si>
  <si>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</si>
  <si>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</si>
  <si>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</si>
  <si>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</si>
  <si>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</si>
  <si>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</si>
  <si>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</si>
  <si>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</si>
  <si>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</si>
  <si>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</si>
  <si>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</si>
  <si>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</si>
  <si>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</si>
  <si>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</si>
  <si>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</si>
  <si>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</si>
  <si>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</si>
  <si>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</si>
  <si>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</si>
  <si>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</si>
  <si>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</si>
  <si>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</si>
  <si>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</si>
  <si>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</si>
  <si>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</si>
  <si>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</si>
  <si>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</si>
  <si>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</si>
  <si>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</si>
  <si>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</si>
  <si>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</si>
  <si>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</si>
  <si>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</si>
  <si>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</si>
  <si>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</si>
  <si>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</si>
  <si>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</si>
  <si>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</si>
  <si>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</si>
  <si>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</si>
  <si>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</si>
  <si>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</si>
  <si>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</si>
  <si>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</si>
  <si>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</si>
  <si>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</si>
  <si>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</si>
  <si>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</si>
  <si>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</si>
  <si>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</si>
  <si>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</si>
  <si>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</si>
  <si>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</si>
  <si>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</si>
  <si>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</si>
  <si>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</si>
  <si>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</si>
  <si>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</si>
  <si>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</si>
  <si>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</si>
  <si>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</si>
  <si>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</si>
  <si>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</si>
  <si>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</si>
  <si>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</si>
  <si>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</si>
  <si>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</si>
  <si>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</si>
  <si>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</si>
  <si>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</si>
  <si>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</si>
  <si>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</si>
  <si>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</si>
  <si>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</si>
  <si>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</si>
  <si>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</si>
  <si>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</si>
  <si>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</si>
  <si>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</si>
  <si>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</si>
  <si>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</si>
  <si>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</si>
  <si>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</si>
  <si>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</si>
  <si>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</si>
  <si>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</si>
  <si>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</si>
  <si>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</si>
  <si>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</si>
  <si>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</si>
  <si>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</si>
  <si>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</si>
  <si>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</si>
  <si>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</si>
  <si>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</si>
  <si>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</si>
  <si>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</si>
  <si>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</si>
  <si>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</si>
  <si>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</si>
  <si>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</si>
  <si>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</si>
  <si>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</si>
  <si>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</si>
  <si>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</si>
  <si>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</si>
  <si>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</si>
  <si>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</si>
  <si>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</si>
  <si>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</si>
  <si>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</si>
  <si>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</si>
  <si>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</si>
  <si>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</si>
  <si>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</si>
  <si>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</si>
  <si>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</si>
  <si>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</si>
  <si>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</si>
  <si>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</si>
  <si>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</si>
  <si>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</si>
  <si>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</si>
  <si>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</si>
  <si>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</si>
  <si>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</si>
  <si>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</si>
  <si>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</si>
  <si>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</si>
  <si>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</si>
  <si>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</si>
  <si>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</si>
  <si>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</si>
  <si>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</si>
  <si>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</si>
  <si>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</si>
  <si>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</si>
  <si>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</si>
  <si>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</si>
  <si>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</si>
  <si>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</si>
  <si>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</si>
  <si>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</si>
  <si>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</si>
  <si>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</si>
  <si>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</si>
  <si>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</si>
  <si>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</si>
  <si>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</si>
  <si>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</si>
  <si>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</si>
  <si>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</si>
  <si>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</si>
  <si>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</si>
  <si>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</si>
  <si>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</si>
  <si>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</si>
  <si>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</si>
  <si>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</si>
  <si>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</si>
  <si>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</si>
  <si>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</si>
  <si>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</si>
  <si>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</si>
  <si>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</si>
  <si>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</si>
  <si>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</si>
  <si>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</si>
  <si>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</si>
  <si>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</si>
  <si>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</si>
  <si>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</si>
  <si>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</si>
  <si>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</si>
  <si>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</si>
  <si>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</si>
  <si>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</si>
  <si>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</si>
  <si>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</si>
  <si>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</si>
  <si>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</si>
  <si>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</si>
  <si>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</si>
  <si>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</si>
  <si>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</si>
  <si>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</si>
  <si>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</si>
  <si>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</si>
  <si>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</si>
  <si>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</si>
  <si>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</si>
  <si>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</si>
  <si>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</si>
  <si>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</si>
  <si>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</si>
  <si>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</si>
  <si>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</si>
  <si>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</si>
  <si>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</si>
  <si>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</si>
  <si>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</si>
  <si>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</si>
  <si>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</si>
  <si>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</si>
  <si>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</si>
  <si>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</si>
  <si>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</si>
  <si>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</si>
  <si>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</si>
  <si>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</si>
  <si>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</si>
  <si>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</si>
  <si>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</si>
  <si>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</si>
  <si>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</si>
  <si>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</si>
  <si>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</si>
  <si>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</si>
  <si>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</si>
  <si>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</si>
  <si>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</si>
  <si>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</si>
  <si>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</si>
  <si>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</si>
  <si>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</si>
  <si>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</si>
  <si>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</si>
  <si>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</si>
  <si>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</si>
  <si>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</si>
  <si>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</si>
  <si>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</si>
  <si>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</si>
  <si>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</si>
  <si>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</si>
  <si>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</si>
  <si>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</si>
  <si>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</si>
  <si>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</si>
  <si>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</si>
  <si>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</si>
  <si>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</si>
  <si>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</si>
  <si>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</si>
  <si>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</si>
  <si>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</si>
  <si>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</si>
  <si>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</si>
  <si>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</si>
  <si>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</si>
  <si>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</si>
  <si>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</si>
  <si>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</si>
  <si>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</si>
  <si>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</si>
  <si>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</si>
  <si>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</si>
  <si>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</si>
  <si>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</si>
  <si>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</si>
  <si>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</si>
  <si>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</si>
  <si>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</si>
  <si>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</si>
  <si>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</si>
  <si>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</si>
  <si>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</si>
  <si>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</si>
  <si>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</si>
  <si>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</si>
  <si>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</si>
  <si>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</si>
  <si>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</si>
  <si>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</si>
  <si>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</si>
  <si>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</si>
  <si>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</si>
  <si>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</si>
  <si>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</si>
  <si>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</si>
  <si>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</si>
  <si>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</si>
  <si>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</si>
  <si>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</si>
  <si>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</si>
  <si>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</si>
  <si>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</si>
  <si>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</si>
  <si>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</si>
  <si>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</si>
  <si>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</si>
  <si>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</si>
  <si>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</si>
  <si>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</si>
  <si>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</si>
  <si>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</si>
  <si>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</si>
  <si>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</si>
  <si>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</si>
  <si>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</si>
  <si>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</si>
  <si>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</si>
  <si>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</si>
  <si>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</si>
  <si>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</si>
  <si>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</si>
  <si>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</si>
  <si>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</si>
  <si>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</si>
  <si>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</si>
  <si>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</si>
  <si>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</si>
  <si>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</si>
  <si>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</si>
  <si>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</si>
  <si>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</si>
  <si>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</si>
  <si>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</si>
  <si>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</si>
  <si>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</si>
  <si>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</si>
  <si>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</si>
  <si>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</si>
  <si>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</si>
  <si>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</si>
  <si>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</si>
  <si>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</si>
  <si>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</si>
  <si>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</si>
  <si>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</si>
  <si>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</si>
  <si>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</si>
  <si>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</si>
  <si>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</si>
  <si>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</si>
  <si>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</si>
  <si>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</si>
  <si>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</si>
  <si>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</si>
  <si>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</si>
  <si>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</si>
  <si>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</si>
  <si>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</si>
  <si>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</si>
  <si>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</si>
  <si>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</si>
  <si>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</si>
  <si>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</si>
  <si>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</si>
  <si>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</si>
  <si>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</si>
  <si>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</si>
  <si>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</si>
  <si>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</si>
  <si>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</si>
  <si>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</si>
  <si>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</si>
  <si>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</si>
  <si>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</si>
  <si>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</si>
  <si>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</si>
  <si>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</si>
  <si>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</si>
  <si>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</si>
  <si>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</si>
  <si>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</si>
  <si>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</si>
  <si>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</si>
  <si>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</si>
  <si>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</si>
  <si>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</si>
  <si>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</si>
  <si>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</si>
  <si>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</si>
  <si>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</si>
  <si>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</si>
  <si>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</si>
  <si>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</si>
  <si>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</si>
  <si>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</si>
  <si>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</si>
  <si>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</si>
  <si>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</si>
  <si>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</si>
  <si>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</si>
  <si>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</si>
  <si>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</si>
  <si>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</si>
  <si>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</si>
  <si>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</si>
  <si>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</si>
  <si>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</si>
  <si>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</si>
  <si>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</si>
  <si>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</si>
  <si>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</si>
  <si>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</si>
  <si>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</si>
  <si>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</si>
  <si>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</si>
  <si>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</si>
  <si>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</si>
  <si>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</si>
  <si>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</si>
  <si>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</si>
  <si>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</si>
  <si>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</si>
  <si>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</si>
  <si>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</si>
  <si>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</si>
  <si>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</si>
  <si>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</si>
  <si>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</si>
  <si>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</si>
  <si>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</si>
  <si>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</si>
  <si>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</si>
  <si>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</si>
  <si>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</si>
  <si>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</si>
  <si>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</si>
  <si>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</si>
  <si>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</si>
  <si>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</si>
  <si>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</si>
  <si>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</si>
  <si>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</si>
  <si>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</si>
  <si>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</si>
  <si>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</si>
  <si>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</si>
  <si>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</si>
  <si>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</si>
  <si>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</si>
  <si>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</si>
  <si>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</si>
  <si>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</si>
  <si>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</si>
  <si>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</si>
  <si>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</si>
  <si>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</si>
  <si>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</si>
  <si>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</si>
  <si>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</si>
  <si>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</si>
  <si>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</si>
  <si>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</si>
  <si>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</si>
  <si>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</si>
  <si>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</si>
  <si>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</si>
  <si>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</si>
  <si>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</si>
  <si>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</si>
  <si>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</si>
  <si>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</si>
  <si>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</si>
  <si>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</si>
  <si>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</si>
  <si>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</si>
  <si>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</si>
  <si>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</si>
  <si>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</si>
  <si>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</si>
  <si>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</si>
  <si>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</si>
  <si>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</si>
  <si>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</si>
  <si>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</si>
  <si>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</si>
  <si>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</si>
  <si>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</si>
  <si>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</si>
  <si>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</si>
  <si>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</si>
  <si>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</si>
  <si>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</si>
  <si>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</si>
  <si>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</si>
  <si>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</si>
  <si>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</si>
  <si>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</si>
  <si>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</si>
  <si>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</si>
  <si>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</si>
  <si>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</si>
  <si>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</si>
  <si>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</si>
  <si>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</si>
  <si>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</si>
  <si>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</si>
  <si>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</si>
  <si>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</si>
  <si>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</si>
  <si>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</si>
  <si>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</si>
  <si>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</si>
  <si>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</si>
  <si>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</si>
  <si>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</si>
  <si>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</si>
  <si>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</si>
  <si>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</si>
  <si>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</si>
  <si>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</si>
  <si>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</si>
  <si>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</si>
  <si>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</si>
  <si>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</si>
  <si>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</si>
  <si>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</si>
  <si>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</si>
  <si>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</si>
  <si>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</si>
  <si>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</si>
  <si>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</si>
  <si>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</si>
  <si>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</si>
  <si>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</si>
  <si>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</si>
  <si>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</si>
  <si>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</si>
  <si>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</si>
  <si>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</si>
  <si>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</si>
  <si>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</si>
  <si>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</si>
  <si>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</si>
  <si>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</si>
  <si>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</si>
  <si>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</si>
  <si>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</si>
  <si>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</si>
  <si>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</si>
  <si>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</si>
  <si>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</si>
  <si>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</si>
  <si>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</si>
  <si>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</si>
  <si>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</si>
  <si>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</si>
  <si>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</si>
  <si>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</si>
  <si>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</si>
  <si>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</si>
  <si>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</si>
  <si>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</si>
  <si>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</si>
  <si>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</si>
  <si>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</si>
  <si>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</si>
  <si>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</si>
  <si>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</si>
  <si>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</si>
  <si>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</si>
  <si>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</si>
  <si>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</si>
  <si>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</si>
  <si>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</si>
  <si>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</si>
  <si>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</si>
  <si>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</si>
  <si>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</si>
  <si>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</si>
  <si>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</si>
  <si>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</si>
  <si>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</si>
  <si>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</si>
  <si>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</si>
  <si>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</si>
  <si>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</si>
  <si>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</si>
  <si>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</si>
  <si>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</si>
  <si>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</si>
  <si>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</si>
  <si>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</si>
  <si>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</si>
  <si>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</si>
  <si>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</si>
  <si>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</si>
  <si>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</si>
  <si>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</si>
  <si>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</si>
  <si>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</si>
  <si>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</si>
  <si>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</si>
  <si>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</si>
  <si>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</si>
  <si>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</si>
  <si>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</si>
  <si>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</si>
  <si>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</si>
  <si>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</si>
  <si>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</si>
  <si>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</si>
  <si>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</si>
  <si>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</si>
  <si>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</si>
  <si>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</si>
  <si>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</si>
  <si>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</si>
  <si>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</si>
  <si>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</si>
  <si>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</si>
  <si>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</si>
  <si>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</si>
  <si>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</si>
  <si>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</si>
  <si>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</si>
  <si>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</si>
  <si>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</si>
  <si>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</si>
  <si>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</si>
  <si>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</si>
  <si>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</si>
  <si>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</si>
  <si>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</si>
  <si>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</si>
  <si>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</si>
  <si>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</si>
  <si>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</si>
  <si>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</si>
  <si>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</si>
  <si>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</si>
  <si>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</si>
  <si>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</si>
  <si>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</si>
  <si>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</si>
  <si>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</si>
  <si>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</si>
  <si>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</si>
  <si>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</si>
  <si>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</si>
  <si>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</si>
  <si>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</si>
  <si>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</si>
  <si>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</si>
  <si>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</si>
  <si>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</si>
  <si>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</si>
  <si>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</si>
  <si>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</si>
  <si>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</si>
  <si>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</si>
  <si>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</si>
  <si>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</si>
  <si>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</si>
  <si>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</si>
  <si>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</si>
  <si>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</si>
  <si>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</si>
  <si>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</si>
  <si>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</si>
  <si>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</si>
  <si>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</si>
  <si>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</si>
  <si>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</si>
  <si>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</si>
  <si>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</si>
  <si>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</si>
  <si>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</si>
  <si>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</si>
  <si>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</si>
  <si>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</si>
  <si>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</si>
  <si>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</si>
  <si>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</si>
  <si>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</si>
  <si>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</si>
  <si>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</si>
  <si>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</si>
  <si>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</si>
  <si>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</si>
  <si>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</si>
  <si>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</si>
  <si>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</si>
  <si>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</si>
  <si>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</si>
  <si>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</si>
  <si>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</si>
  <si>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</si>
  <si>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</si>
  <si>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</si>
  <si>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</si>
  <si>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</si>
  <si>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</si>
  <si>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</si>
  <si>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</si>
  <si>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</si>
  <si>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</si>
  <si>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</si>
  <si>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</si>
  <si>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</si>
  <si>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</si>
  <si>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</si>
  <si>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</si>
  <si>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</si>
  <si>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</si>
  <si>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</si>
  <si>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</si>
  <si>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</si>
  <si>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</si>
  <si>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</si>
  <si>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</si>
  <si>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</si>
  <si>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</si>
  <si>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</si>
  <si>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</si>
  <si>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</si>
  <si>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</si>
  <si>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</si>
  <si>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</si>
  <si>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</si>
  <si>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</si>
  <si>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</si>
  <si>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</si>
  <si>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</si>
  <si>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</si>
  <si>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</si>
  <si>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</si>
  <si>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</si>
  <si>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</si>
  <si>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</si>
  <si>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</si>
  <si>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</si>
  <si>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</si>
  <si>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</si>
  <si>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</si>
  <si>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</si>
  <si>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</si>
  <si>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</si>
  <si>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</si>
  <si>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</si>
  <si>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</si>
  <si>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</si>
  <si>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</si>
  <si>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</si>
  <si>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</si>
  <si>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</si>
  <si>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</si>
  <si>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</si>
  <si>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</si>
  <si>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</si>
  <si>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</si>
  <si>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</si>
  <si>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</si>
  <si>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</si>
  <si>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</si>
  <si>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</si>
  <si>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</si>
  <si>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</si>
  <si>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</si>
  <si>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</si>
  <si>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</si>
  <si>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</si>
  <si>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</si>
  <si>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</si>
  <si>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</si>
  <si>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</si>
  <si>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</si>
  <si>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</si>
  <si>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</si>
  <si>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</si>
  <si>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</si>
  <si>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</si>
  <si>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</si>
  <si>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</si>
  <si>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</si>
  <si>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</si>
  <si>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</si>
  <si>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</si>
  <si>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</si>
  <si>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</si>
  <si>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</si>
  <si>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</si>
  <si>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</si>
  <si>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</si>
  <si>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</si>
  <si>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</si>
  <si>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</si>
  <si>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</si>
  <si>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</si>
  <si>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</si>
  <si>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</si>
  <si>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</si>
  <si>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</si>
  <si>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</si>
  <si>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</si>
  <si>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</si>
  <si>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</si>
  <si>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</si>
  <si>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</si>
  <si>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</si>
  <si>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</si>
  <si>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</si>
  <si>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</si>
  <si>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</si>
  <si>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</si>
  <si>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</si>
  <si>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</si>
  <si>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</si>
  <si>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</si>
  <si>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</si>
  <si>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</si>
  <si>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</si>
  <si>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</si>
  <si>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</si>
  <si>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</si>
  <si>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</si>
  <si>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</si>
  <si>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</si>
  <si>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</si>
  <si>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</si>
  <si>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</si>
  <si>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</si>
  <si>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</si>
  <si>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</si>
  <si>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</si>
  <si>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</si>
  <si>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</si>
  <si>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</si>
  <si>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</si>
  <si>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</si>
  <si>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</si>
  <si>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</si>
  <si>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</si>
  <si>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</si>
  <si>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</si>
  <si>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</si>
  <si>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</si>
  <si>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</si>
  <si>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</si>
  <si>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</si>
  <si>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</si>
  <si>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</si>
  <si>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</si>
  <si>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</si>
  <si>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</si>
  <si>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</si>
  <si>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</si>
  <si>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</si>
  <si>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</si>
  <si>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</si>
  <si>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</si>
  <si>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</si>
  <si>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</si>
  <si>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</si>
  <si>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</si>
  <si>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</si>
  <si>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</si>
  <si>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</si>
  <si>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</si>
  <si>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</si>
  <si>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</si>
  <si>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</si>
  <si>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</si>
  <si>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</si>
  <si>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</si>
  <si>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</si>
  <si>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</si>
  <si>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</si>
  <si>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</si>
  <si>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</si>
  <si>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</si>
  <si>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</si>
  <si>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</si>
  <si>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</si>
  <si>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</si>
  <si>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</si>
  <si>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</si>
  <si>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</si>
  <si>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</si>
  <si>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</si>
  <si>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</si>
  <si>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</si>
  <si>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</si>
  <si>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</si>
  <si>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</si>
  <si>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</si>
  <si>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</si>
  <si>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</si>
  <si>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</si>
  <si>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</si>
  <si>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</si>
  <si>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</si>
  <si>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</si>
  <si>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</si>
  <si>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</si>
  <si>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</si>
  <si>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</si>
  <si>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</si>
  <si>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</si>
  <si>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</si>
  <si>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</si>
  <si>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</si>
  <si>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</si>
  <si>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</si>
  <si>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</si>
  <si>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</si>
  <si>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</si>
  <si>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</si>
  <si>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</si>
  <si>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</si>
  <si>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</si>
  <si>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</si>
  <si>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</si>
  <si>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</si>
  <si>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</si>
  <si>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</si>
  <si>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</si>
  <si>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</si>
  <si>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</si>
  <si>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</si>
  <si>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</si>
  <si>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</si>
  <si>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</si>
  <si>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</si>
  <si>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</si>
  <si>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</si>
  <si>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</si>
  <si>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</si>
  <si>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</si>
  <si>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</si>
  <si>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</si>
  <si>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</si>
  <si>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</si>
  <si>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</si>
  <si>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</si>
  <si>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</si>
  <si>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</si>
  <si>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</si>
  <si>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</si>
  <si>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</si>
  <si>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</si>
  <si>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</si>
  <si>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</si>
  <si>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</si>
  <si>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</si>
  <si>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</si>
  <si>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</si>
  <si>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</si>
  <si>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</si>
  <si>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</si>
  <si>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</si>
  <si>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</si>
  <si>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</si>
  <si>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</si>
  <si>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</si>
  <si>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</si>
  <si>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</si>
  <si>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</si>
  <si>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</si>
  <si>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</si>
  <si>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</si>
  <si>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</si>
  <si>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</si>
  <si>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</si>
  <si>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</si>
  <si>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</si>
  <si>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</si>
  <si>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</si>
  <si>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</si>
  <si>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</si>
  <si>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</si>
  <si>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</si>
  <si>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</si>
  <si>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</si>
  <si>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</si>
  <si>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</si>
  <si>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</si>
  <si>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</si>
  <si>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</si>
  <si>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</si>
  <si>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</si>
  <si>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</si>
  <si>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</si>
  <si>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</si>
  <si>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</si>
  <si>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</si>
  <si>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</si>
  <si>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</si>
  <si>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</si>
  <si>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</si>
  <si>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</si>
  <si>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</si>
  <si>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</si>
  <si>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</si>
  <si>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</si>
  <si>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</si>
  <si>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</si>
  <si>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</si>
  <si>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</si>
  <si>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</si>
  <si>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</si>
  <si>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</si>
  <si>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</si>
  <si>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</si>
  <si>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</si>
  <si>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</si>
  <si>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</si>
  <si>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</si>
  <si>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</si>
  <si>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</si>
  <si>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</si>
  <si>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</si>
  <si>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</si>
  <si>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</si>
  <si>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</si>
  <si>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</si>
  <si>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</si>
  <si>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</si>
  <si>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</si>
  <si>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</si>
  <si>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</si>
  <si>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</si>
  <si>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</si>
  <si>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</si>
  <si>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</si>
  <si>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</si>
  <si>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</si>
  <si>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</si>
  <si>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</si>
  <si>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</si>
  <si>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</si>
  <si>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</si>
  <si>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</si>
  <si>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</si>
  <si>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</si>
  <si>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</si>
  <si>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</si>
  <si>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</si>
  <si>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</si>
  <si>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</si>
  <si>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</si>
  <si>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</si>
  <si>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</si>
  <si>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</si>
  <si>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</si>
  <si>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</si>
  <si>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</si>
  <si>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</si>
  <si>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</si>
  <si>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</si>
  <si>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</si>
  <si>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</si>
  <si>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</si>
  <si>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</si>
  <si>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</si>
  <si>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</si>
  <si>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</si>
  <si>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</si>
  <si>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</si>
  <si>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</si>
  <si>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</si>
  <si>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</si>
  <si>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</si>
  <si>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</si>
  <si>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</si>
  <si>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</si>
  <si>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</si>
  <si>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</si>
  <si>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</si>
  <si>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</si>
  <si>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</si>
  <si>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</si>
  <si>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</si>
  <si>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</si>
  <si>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</si>
  <si>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</si>
  <si>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</si>
  <si>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</si>
  <si>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</si>
  <si>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</si>
  <si>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</si>
  <si>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</si>
  <si>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</si>
  <si>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</si>
  <si>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</si>
  <si>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</si>
  <si>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</si>
  <si>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</si>
  <si>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</si>
  <si>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</si>
  <si>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</si>
  <si>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</si>
  <si>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</si>
  <si>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</si>
  <si>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</si>
  <si>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</si>
  <si>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</si>
  <si>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</si>
  <si>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</si>
  <si>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</si>
  <si>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</si>
  <si>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</si>
  <si>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</si>
  <si>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</si>
  <si>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</si>
  <si>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</si>
  <si>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</si>
  <si>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</si>
  <si>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</si>
  <si>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</si>
  <si>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</si>
  <si>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</si>
  <si>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</si>
  <si>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</si>
  <si>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</si>
  <si>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</si>
  <si>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</si>
  <si>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</si>
  <si>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</si>
  <si>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</si>
  <si>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</si>
  <si>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</si>
  <si>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</si>
  <si>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</si>
  <si>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</si>
  <si>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</si>
  <si>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</si>
  <si>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</si>
  <si>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</si>
  <si>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</si>
  <si>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</si>
  <si>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</si>
  <si>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</si>
  <si>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</si>
  <si>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</si>
  <si>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</si>
  <si>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</si>
  <si>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</si>
  <si>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</si>
  <si>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</si>
  <si>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</si>
  <si>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</si>
  <si>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</si>
  <si>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</si>
  <si>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</si>
  <si>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</si>
  <si>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</si>
  <si>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</si>
  <si>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</si>
  <si>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</si>
  <si>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</si>
  <si>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</si>
  <si>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</si>
  <si>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</si>
  <si>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</si>
  <si>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</si>
  <si>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</si>
  <si>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</si>
  <si>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</si>
  <si>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</si>
  <si>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</si>
  <si>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</si>
  <si>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</si>
  <si>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</si>
  <si>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</si>
  <si>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</si>
  <si>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</si>
  <si>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</si>
  <si>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</si>
  <si>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</si>
  <si>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</si>
  <si>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</si>
  <si>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</si>
  <si>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</si>
  <si>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</si>
  <si>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</si>
  <si>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</si>
  <si>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</si>
  <si>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</si>
  <si>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</si>
  <si>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</si>
  <si>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</si>
  <si>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</si>
  <si>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</si>
  <si>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</si>
  <si>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</si>
  <si>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</si>
  <si>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</si>
  <si>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</si>
  <si>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</si>
  <si>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</si>
  <si>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</si>
  <si>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</si>
  <si>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</si>
  <si>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</si>
  <si>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</si>
  <si>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</si>
  <si>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</si>
  <si>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</si>
  <si>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</si>
  <si>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</si>
  <si>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</si>
  <si>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</si>
  <si>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</si>
  <si>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</si>
  <si>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</si>
  <si>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</si>
  <si>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</si>
  <si>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</si>
  <si>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</si>
  <si>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</si>
  <si>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</si>
  <si>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</si>
  <si>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</si>
  <si>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</si>
  <si>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</si>
  <si>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</si>
  <si>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</si>
  <si>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</si>
  <si>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</si>
  <si>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</si>
  <si>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</si>
  <si>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</si>
  <si>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</si>
  <si>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</si>
  <si>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</si>
  <si>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</si>
  <si>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</si>
  <si>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</si>
  <si>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</si>
  <si>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</si>
  <si>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</si>
  <si>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</si>
  <si>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</si>
  <si>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</si>
  <si>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</si>
  <si>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</si>
  <si>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</si>
  <si>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</si>
  <si>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</si>
  <si>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</si>
  <si>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</si>
  <si>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</si>
  <si>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</si>
  <si>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</si>
  <si>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</si>
  <si>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</si>
  <si>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</si>
  <si>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</si>
  <si>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</si>
  <si>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</si>
  <si>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</si>
  <si>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</si>
  <si>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</si>
  <si>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</si>
  <si>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</si>
  <si>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</si>
  <si>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</si>
  <si>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</si>
  <si>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</si>
  <si>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</si>
  <si>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</si>
  <si>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</si>
  <si>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</si>
  <si>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</si>
  <si>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</si>
  <si>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</si>
  <si>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</si>
  <si>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</si>
  <si>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</si>
  <si>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</si>
  <si>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</si>
  <si>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</si>
  <si>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</si>
  <si>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</si>
  <si>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</si>
  <si>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</si>
  <si>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</si>
  <si>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</si>
  <si>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</si>
  <si>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</si>
  <si>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</si>
  <si>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</si>
  <si>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</si>
  <si>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</si>
  <si>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</si>
  <si>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</si>
  <si>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</si>
  <si>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</si>
  <si>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</si>
  <si>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</si>
  <si>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</si>
  <si>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</si>
  <si>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</si>
  <si>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</si>
  <si>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</si>
  <si>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</si>
  <si>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</si>
  <si>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</si>
  <si>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</si>
  <si>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</si>
  <si>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</si>
  <si>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</si>
  <si>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</si>
  <si>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</si>
  <si>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</si>
  <si>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</si>
  <si>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</si>
  <si>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</si>
  <si>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</si>
  <si>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</si>
  <si>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</si>
  <si>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</si>
  <si>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</si>
  <si>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</si>
  <si>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</si>
  <si>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</si>
  <si>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</si>
  <si>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</si>
  <si>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</si>
  <si>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</si>
  <si>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</si>
  <si>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</si>
  <si>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</si>
  <si>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</si>
  <si>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</si>
  <si>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</si>
  <si>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</si>
  <si>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</si>
  <si>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</si>
  <si>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</si>
  <si>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</si>
  <si>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</si>
  <si>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</si>
  <si>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</si>
  <si>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</si>
  <si>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</si>
  <si>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</si>
  <si>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</si>
  <si>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</si>
  <si>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</si>
  <si>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</si>
  <si>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</si>
  <si>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</si>
  <si>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</si>
  <si>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</si>
  <si>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</si>
  <si>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</si>
  <si>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</si>
  <si>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</si>
  <si>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</si>
  <si>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</si>
  <si>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</si>
  <si>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</si>
  <si>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</si>
  <si>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</si>
  <si>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</si>
  <si>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</si>
  <si>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</si>
  <si>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</si>
  <si>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</si>
  <si>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</si>
  <si>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</si>
  <si>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</si>
  <si>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</si>
  <si>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</si>
  <si>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</si>
  <si>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</si>
  <si>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</si>
  <si>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</si>
  <si>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</si>
  <si>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</si>
  <si>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</si>
  <si>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</si>
  <si>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</si>
  <si>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</si>
  <si>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</si>
  <si>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</si>
  <si>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</si>
  <si>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</si>
  <si>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</si>
  <si>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</si>
  <si>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</si>
  <si>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</si>
  <si>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</si>
  <si>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</si>
  <si>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</si>
  <si>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</si>
  <si>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</si>
  <si>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</si>
  <si>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</si>
  <si>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</si>
  <si>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</si>
  <si>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</si>
  <si>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</si>
  <si>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</si>
  <si>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</si>
  <si>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</si>
  <si>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</si>
  <si>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</si>
  <si>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</si>
  <si>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</si>
  <si>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</si>
  <si>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</si>
  <si>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</si>
  <si>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</si>
  <si>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</si>
  <si>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</si>
  <si>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</si>
  <si>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</si>
  <si>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</si>
  <si>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</si>
  <si>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</si>
  <si>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</si>
  <si>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</si>
  <si>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</si>
  <si>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</si>
  <si>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</si>
  <si>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</si>
  <si>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</si>
  <si>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</si>
  <si>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</si>
  <si>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</si>
  <si>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</si>
  <si>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</si>
  <si>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</si>
  <si>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</si>
  <si>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</si>
  <si>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</si>
  <si>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</si>
  <si>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</si>
  <si>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</si>
  <si>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</si>
  <si>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</si>
  <si>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</si>
  <si>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</si>
  <si>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</si>
  <si>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</si>
  <si>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</si>
  <si>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</si>
  <si>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</si>
  <si>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</si>
  <si>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</si>
  <si>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</si>
  <si>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</si>
  <si>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</si>
  <si>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</si>
  <si>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</si>
  <si>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</si>
  <si>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</si>
  <si>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</si>
  <si>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</si>
  <si>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</si>
  <si>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</si>
  <si>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</si>
  <si>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</si>
  <si>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</si>
  <si>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</si>
  <si>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</si>
  <si>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</si>
  <si>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</si>
  <si>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</si>
  <si>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</si>
  <si>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</si>
  <si>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</si>
  <si>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</si>
  <si>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</si>
  <si>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</si>
  <si>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</si>
  <si>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</si>
  <si>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</si>
  <si>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</si>
  <si>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</si>
  <si>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</si>
  <si>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</si>
  <si>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</si>
  <si>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</si>
  <si>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</si>
  <si>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</si>
  <si>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</si>
  <si>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</si>
  <si>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</si>
  <si>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</si>
  <si>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</si>
  <si>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</si>
  <si>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</si>
  <si>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</si>
  <si>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</si>
  <si>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</si>
  <si>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</si>
  <si>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</si>
  <si>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</si>
  <si>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</si>
  <si>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</si>
  <si>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</si>
  <si>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</si>
  <si>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</si>
  <si>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</si>
  <si>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</si>
  <si>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</si>
  <si>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</si>
  <si>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</si>
  <si>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</si>
  <si>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</si>
  <si>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</si>
  <si>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</si>
  <si>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</si>
  <si>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</si>
  <si>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</si>
  <si>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</si>
  <si>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</si>
  <si>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</si>
  <si>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</si>
  <si>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</si>
  <si>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</si>
  <si>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</si>
  <si>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</si>
  <si>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</si>
  <si>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</si>
  <si>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</si>
  <si>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</si>
  <si>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</si>
  <si>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</si>
  <si>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</si>
  <si>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</si>
  <si>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</si>
  <si>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</si>
  <si>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</si>
  <si>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</si>
  <si>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</si>
  <si>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</si>
  <si>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</si>
  <si>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</si>
  <si>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</si>
  <si>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</si>
  <si>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</si>
  <si>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</si>
  <si>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</si>
  <si>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</si>
  <si>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</si>
  <si>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</si>
  <si>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</si>
  <si>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</si>
  <si>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</si>
  <si>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</si>
  <si>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</si>
  <si>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</si>
  <si>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</si>
  <si>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</si>
  <si>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</si>
  <si>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</si>
  <si>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</si>
  <si>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</si>
  <si>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</si>
  <si>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</si>
  <si>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</si>
  <si>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</si>
  <si>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</si>
  <si>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</si>
  <si>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</si>
  <si>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</si>
  <si>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</si>
  <si>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</si>
  <si>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</si>
  <si>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</si>
  <si>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</si>
  <si>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</si>
  <si>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</si>
  <si>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</si>
  <si>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</si>
  <si>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</si>
  <si>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</si>
  <si>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</si>
  <si>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</si>
  <si>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</si>
  <si>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</si>
  <si>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</si>
  <si>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</si>
  <si>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</si>
  <si>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</si>
  <si>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</si>
  <si>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</si>
  <si>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</si>
  <si>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</si>
  <si>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</si>
  <si>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</si>
  <si>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</si>
  <si>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</si>
  <si>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</si>
  <si>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</si>
  <si>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</si>
  <si>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</si>
  <si>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</si>
  <si>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</si>
  <si>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</si>
  <si>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</si>
  <si>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</si>
  <si>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</si>
  <si>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</si>
  <si>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</si>
  <si>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</si>
  <si>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</si>
  <si>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</si>
  <si>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</si>
  <si>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</si>
  <si>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</si>
  <si>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</si>
  <si>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</si>
  <si>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</si>
  <si>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</si>
  <si>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</si>
  <si>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</si>
  <si>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</si>
  <si>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</si>
  <si>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</si>
  <si>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</si>
  <si>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</si>
  <si>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</si>
  <si>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</si>
  <si>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</si>
  <si>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</si>
  <si>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</si>
  <si>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</si>
  <si>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</si>
  <si>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</si>
  <si>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</si>
  <si>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</si>
  <si>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</si>
  <si>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</si>
  <si>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</si>
  <si>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</si>
  <si>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</si>
  <si>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</si>
  <si>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</si>
  <si>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</si>
  <si>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</si>
  <si>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</si>
  <si>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</si>
  <si>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</si>
  <si>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</si>
  <si>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</si>
  <si>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</si>
  <si>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</si>
  <si>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</si>
  <si>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</si>
  <si>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</si>
  <si>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</si>
  <si>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</si>
  <si>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</si>
  <si>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</si>
  <si>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</si>
  <si>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</si>
  <si>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</si>
  <si>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</si>
  <si>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</si>
  <si>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</si>
  <si>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</si>
  <si>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</si>
  <si>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</si>
  <si>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</si>
  <si>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</si>
  <si>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</si>
  <si>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</si>
  <si>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</si>
  <si>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</si>
  <si>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</si>
  <si>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</si>
  <si>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</si>
  <si>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</si>
  <si>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</si>
  <si>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</si>
  <si>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</si>
  <si>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</si>
  <si>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</si>
  <si>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</si>
  <si>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</si>
  <si>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</si>
  <si>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</si>
  <si>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</si>
  <si>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</si>
  <si>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</si>
  <si>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</si>
  <si>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</si>
  <si>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</si>
  <si>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</si>
  <si>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</si>
  <si>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</si>
  <si>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</si>
  <si>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</si>
  <si>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</si>
  <si>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</si>
  <si>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</si>
  <si>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</si>
  <si>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</si>
  <si>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</si>
  <si>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</si>
  <si>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</si>
  <si>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</si>
  <si>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</si>
  <si>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</si>
  <si>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</si>
  <si>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</si>
  <si>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</si>
  <si>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</si>
  <si>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</si>
  <si>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</si>
  <si>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</si>
  <si>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</si>
  <si>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</si>
  <si>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</si>
  <si>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</si>
  <si>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</si>
  <si>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</si>
  <si>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</si>
  <si>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</si>
  <si>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</si>
  <si>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</si>
  <si>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</si>
  <si>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</si>
  <si>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</si>
  <si>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</si>
  <si>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</si>
  <si>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</si>
  <si>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</si>
  <si>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</si>
  <si>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</si>
  <si>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</si>
  <si>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</si>
  <si>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</si>
  <si>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</si>
  <si>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</si>
  <si>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</si>
  <si>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</si>
  <si>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</si>
  <si>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</si>
  <si>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</si>
  <si>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</si>
  <si>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</si>
  <si>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</si>
  <si>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</si>
  <si>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</si>
  <si>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</si>
  <si>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</si>
  <si>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</si>
  <si>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</si>
  <si>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</si>
  <si>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</si>
  <si>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</si>
  <si>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</si>
  <si>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</si>
  <si>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</si>
  <si>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</si>
  <si>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</si>
  <si>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</si>
  <si>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</si>
  <si>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</si>
  <si>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</si>
  <si>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</si>
  <si>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</si>
  <si>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</si>
  <si>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</si>
  <si>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</si>
  <si>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</si>
  <si>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</si>
  <si>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</si>
  <si>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</si>
  <si>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</si>
  <si>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</si>
  <si>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</si>
  <si>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</si>
  <si>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</si>
  <si>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</si>
  <si>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</si>
  <si>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</si>
  <si>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</si>
  <si>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</si>
  <si>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</si>
  <si>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</si>
  <si>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</si>
  <si>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</si>
  <si>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</si>
  <si>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</si>
  <si>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</si>
  <si>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</si>
  <si>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</si>
  <si>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</si>
  <si>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</si>
  <si>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</si>
  <si>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</si>
  <si>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</si>
  <si>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</si>
  <si>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</si>
  <si>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</si>
  <si>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</si>
  <si>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</si>
  <si>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</si>
  <si>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</si>
  <si>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</si>
  <si>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</si>
  <si>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</si>
  <si>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</si>
  <si>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</si>
  <si>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</si>
  <si>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</si>
  <si>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</si>
  <si>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</si>
  <si>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</si>
  <si>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</si>
  <si>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</si>
  <si>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</si>
  <si>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</si>
  <si>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</si>
  <si>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</si>
  <si>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</si>
  <si>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</si>
  <si>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</si>
  <si>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</si>
  <si>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</si>
  <si>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</si>
  <si>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</si>
  <si>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</si>
  <si>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</si>
  <si>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</si>
  <si>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</si>
  <si>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</si>
  <si>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</si>
  <si>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</si>
  <si>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</si>
  <si>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</si>
  <si>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</si>
  <si>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</si>
  <si>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</si>
  <si>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</si>
  <si>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</si>
  <si>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</si>
  <si>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</si>
  <si>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</si>
  <si>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</si>
  <si>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</si>
  <si>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</si>
  <si>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</si>
  <si>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</si>
  <si>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</si>
  <si>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</si>
  <si>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</si>
  <si>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</si>
  <si>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</si>
  <si>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</si>
  <si>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</si>
  <si>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</si>
  <si>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</si>
  <si>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</si>
  <si>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</si>
  <si>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</si>
  <si>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</si>
  <si>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</si>
  <si>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</si>
  <si>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</si>
  <si>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</si>
  <si>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</si>
  <si>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</si>
  <si>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</si>
  <si>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</si>
  <si>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</si>
  <si>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</si>
  <si>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</si>
  <si>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</si>
  <si>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</si>
  <si>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</si>
  <si>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</si>
  <si>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</si>
  <si>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</si>
  <si>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</si>
  <si>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</si>
  <si>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</si>
  <si>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</si>
  <si>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</si>
  <si>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</si>
  <si>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</si>
  <si>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</si>
  <si>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</si>
  <si>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</si>
  <si>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</si>
  <si>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</si>
  <si>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</si>
  <si>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</si>
  <si>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</si>
  <si>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</si>
  <si>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</si>
  <si>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</si>
  <si>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</si>
  <si>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</si>
  <si>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</si>
  <si>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</si>
  <si>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</si>
  <si>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</si>
  <si>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</si>
  <si>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</si>
  <si>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</si>
  <si>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</si>
  <si>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</si>
  <si>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</si>
  <si>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</si>
  <si>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</si>
  <si>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</si>
  <si>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</si>
  <si>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</si>
  <si>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</si>
  <si>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</si>
  <si>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</si>
  <si>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</si>
  <si>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</si>
  <si>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</si>
  <si>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</si>
  <si>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</si>
  <si>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</si>
  <si>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</si>
  <si>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</si>
  <si>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</si>
  <si>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</si>
  <si>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</si>
  <si>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</si>
  <si>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</si>
  <si>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</si>
  <si>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</si>
  <si>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</si>
  <si>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</si>
  <si>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</si>
  <si>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</si>
  <si>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</si>
  <si>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</si>
  <si>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</si>
  <si>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</si>
  <si>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</si>
  <si>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</si>
  <si>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</si>
  <si>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</si>
  <si>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</si>
  <si>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</si>
  <si>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</si>
  <si>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</si>
  <si>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</si>
  <si>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</si>
  <si>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</si>
  <si>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</si>
  <si>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</si>
  <si>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</si>
  <si>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</si>
  <si>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</si>
  <si>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</si>
  <si>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</si>
  <si>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</si>
  <si>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</si>
  <si>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</si>
  <si>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</si>
  <si>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</si>
  <si>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</si>
  <si>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</si>
  <si>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</si>
  <si>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</si>
  <si>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</si>
  <si>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</si>
  <si>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</si>
  <si>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</si>
  <si>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</si>
  <si>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</si>
  <si>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</si>
  <si>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</si>
  <si>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</si>
  <si>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</si>
  <si>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</si>
  <si>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</si>
  <si>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</si>
  <si>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</si>
  <si>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</si>
  <si>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</si>
  <si>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</si>
  <si>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</si>
  <si>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</si>
  <si>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</si>
  <si>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</si>
  <si>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</si>
  <si>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</si>
  <si>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</si>
  <si>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</si>
  <si>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</si>
  <si>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</si>
  <si>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</si>
  <si>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</si>
  <si>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</si>
  <si>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</si>
  <si>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</si>
  <si>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</si>
  <si>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</si>
  <si>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</si>
  <si>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</si>
  <si>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</si>
  <si>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</si>
  <si>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</si>
  <si>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</si>
  <si>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</si>
  <si>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</si>
  <si>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</si>
  <si>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</si>
  <si>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</si>
  <si>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</si>
  <si>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</si>
  <si>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</si>
  <si>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</si>
  <si>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</si>
  <si>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</si>
  <si>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</si>
  <si>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</si>
  <si>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</si>
  <si>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</si>
  <si>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</si>
  <si>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</si>
  <si>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</si>
  <si>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</si>
  <si>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</si>
  <si>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</si>
  <si>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</si>
  <si>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</si>
  <si>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</si>
  <si>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</si>
  <si>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</si>
  <si>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</si>
  <si>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</si>
  <si>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</si>
  <si>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</si>
  <si>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</si>
  <si>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</si>
  <si>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</si>
  <si>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</si>
  <si>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</si>
  <si>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</si>
  <si>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</si>
  <si>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</si>
  <si>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</si>
  <si>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</si>
  <si>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</si>
  <si>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</si>
  <si>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</si>
  <si>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</si>
  <si>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</si>
  <si>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</si>
  <si>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</si>
  <si>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</si>
  <si>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</si>
  <si>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</si>
  <si>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</si>
  <si>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</si>
  <si>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</si>
  <si>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</si>
  <si>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</si>
  <si>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</si>
  <si>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</si>
  <si>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</si>
  <si>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</si>
  <si>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</si>
  <si>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</si>
  <si>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</si>
  <si>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</si>
  <si>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</si>
  <si>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</si>
  <si>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</si>
  <si>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</si>
  <si>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</si>
  <si>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</si>
  <si>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</si>
  <si>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</si>
  <si>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</si>
  <si>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</si>
  <si>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</si>
  <si>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</si>
  <si>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</si>
  <si>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</si>
  <si>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</si>
  <si>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</si>
  <si>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</si>
  <si>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</si>
  <si>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</si>
  <si>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</si>
  <si>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</si>
  <si>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</si>
  <si>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</si>
  <si>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</si>
  <si>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</si>
  <si>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</si>
  <si>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</si>
  <si>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</si>
  <si>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</si>
  <si>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</si>
  <si>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</si>
  <si>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</si>
  <si>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</si>
  <si>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</si>
  <si>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</si>
  <si>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</si>
  <si>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</si>
  <si>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</si>
  <si>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</si>
  <si>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</si>
  <si>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</si>
  <si>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</si>
  <si>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</si>
  <si>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</si>
  <si>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</si>
  <si>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</si>
  <si>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</si>
  <si>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</si>
  <si>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</si>
  <si>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</si>
  <si>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</si>
  <si>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</si>
  <si>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</si>
  <si>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</si>
  <si>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</si>
  <si>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</si>
  <si>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</si>
  <si>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</si>
  <si>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</si>
  <si>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</si>
  <si>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</si>
  <si>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</si>
  <si>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</si>
  <si>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</si>
  <si>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</si>
  <si>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</si>
  <si>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</si>
  <si>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</si>
  <si>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</si>
  <si>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</si>
  <si>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</si>
  <si>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</si>
  <si>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</si>
  <si>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</si>
  <si>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</si>
  <si>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</si>
  <si>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</si>
  <si>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</si>
  <si>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</si>
  <si>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</si>
  <si>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</si>
  <si>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</si>
  <si>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</si>
  <si>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</si>
  <si>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</si>
  <si>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</si>
  <si>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</si>
  <si>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</si>
  <si>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</si>
  <si>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</si>
  <si>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</si>
  <si>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</si>
  <si>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</si>
  <si>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</si>
  <si>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</si>
  <si>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</si>
  <si>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</si>
  <si>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</si>
  <si>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</si>
  <si>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</si>
  <si>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</si>
  <si>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</si>
  <si>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</si>
  <si>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</si>
  <si>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</si>
  <si>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</si>
  <si>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</si>
  <si>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</si>
  <si>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</si>
  <si>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</si>
  <si>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</si>
  <si>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</si>
  <si>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</si>
  <si>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</si>
  <si>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</si>
  <si>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</si>
  <si>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</si>
  <si>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</si>
  <si>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</si>
  <si>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</si>
  <si>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</si>
  <si>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</si>
  <si>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</si>
  <si>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</si>
  <si>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</si>
  <si>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</si>
  <si>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</si>
  <si>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</si>
  <si>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</si>
  <si>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</si>
  <si>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</si>
  <si>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</si>
  <si>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</si>
  <si>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</si>
  <si>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</si>
  <si>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</si>
  <si>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</si>
  <si>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</si>
  <si>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</si>
  <si>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</si>
  <si>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</si>
  <si>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</si>
  <si>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</si>
  <si>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</si>
  <si>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</si>
  <si>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</si>
  <si>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</si>
  <si>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</si>
  <si>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</si>
  <si>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</si>
  <si>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</si>
  <si>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</si>
  <si>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</si>
  <si>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</si>
  <si>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</si>
  <si>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</si>
  <si>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</si>
  <si>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</si>
  <si>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</si>
  <si>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</si>
  <si>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</si>
  <si>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</si>
  <si>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</si>
  <si>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</si>
  <si>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</si>
  <si>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</si>
  <si>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</si>
  <si>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</si>
  <si>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</si>
  <si>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</si>
  <si>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</si>
  <si>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</si>
  <si>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</si>
  <si>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</si>
  <si>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</si>
  <si>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</si>
  <si>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</si>
  <si>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</si>
  <si>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</si>
  <si>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</si>
  <si>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</si>
  <si>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</si>
  <si>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</si>
  <si>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</si>
  <si>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</si>
  <si>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</si>
  <si>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</si>
  <si>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</si>
  <si>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</si>
  <si>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</si>
  <si>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</si>
  <si>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</si>
  <si>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</si>
  <si>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</si>
  <si>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</si>
  <si>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</si>
  <si>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</si>
  <si>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</si>
  <si>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</si>
  <si>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</si>
  <si>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</si>
  <si>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</si>
  <si>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</si>
  <si>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</si>
  <si>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</si>
  <si>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</si>
  <si>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</si>
  <si>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</si>
  <si>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</si>
  <si>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</si>
  <si>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</si>
  <si>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</si>
  <si>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</si>
  <si>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</si>
  <si>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</si>
  <si>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</si>
  <si>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</si>
  <si>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</si>
  <si>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</si>
  <si>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</si>
  <si>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</si>
  <si>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</si>
  <si>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</si>
  <si>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</si>
  <si>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</si>
  <si>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</si>
  <si>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</si>
  <si>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</si>
  <si>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</si>
  <si>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</si>
  <si>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</si>
  <si>
    <t>policy_id</t>
  </si>
  <si>
    <t>product_type</t>
  </si>
  <si>
    <t>coverage_amount</t>
  </si>
  <si>
    <t>annual_premium</t>
  </si>
  <si>
    <t>policy_start_date</t>
  </si>
  <si>
    <t>policy_end_date</t>
  </si>
  <si>
    <t>agent_id</t>
  </si>
  <si>
    <t>status</t>
  </si>
  <si>
    <t>POL50001</t>
  </si>
  <si>
    <t>Property</t>
  </si>
  <si>
    <t>AGT5238</t>
  </si>
  <si>
    <t>Active</t>
  </si>
  <si>
    <t>POL50002</t>
  </si>
  <si>
    <t>Health</t>
  </si>
  <si>
    <t>AGT5008</t>
  </si>
  <si>
    <t>Cancelled</t>
  </si>
  <si>
    <t>POL50003</t>
  </si>
  <si>
    <t>AGT5118</t>
  </si>
  <si>
    <t>POL50004</t>
  </si>
  <si>
    <t>AGT5090</t>
  </si>
  <si>
    <t>POL50005</t>
  </si>
  <si>
    <t>Term</t>
  </si>
  <si>
    <t>AGT5050</t>
  </si>
  <si>
    <t>Lapsed</t>
  </si>
  <si>
    <t>POL50006</t>
  </si>
  <si>
    <t>AGT5264</t>
  </si>
  <si>
    <t>POL50007</t>
  </si>
  <si>
    <t>Whole</t>
  </si>
  <si>
    <t>AGT5028</t>
  </si>
  <si>
    <t>POL50008</t>
  </si>
  <si>
    <t>Vehicle</t>
  </si>
  <si>
    <t>AGT5067</t>
  </si>
  <si>
    <t>POL50010</t>
  </si>
  <si>
    <t>AGT5085</t>
  </si>
  <si>
    <t>POL50011</t>
  </si>
  <si>
    <t>AGT5170</t>
  </si>
  <si>
    <t>POL50012</t>
  </si>
  <si>
    <t>AGT5234</t>
  </si>
  <si>
    <t>POL50013</t>
  </si>
  <si>
    <t>AGT5189</t>
  </si>
  <si>
    <t>POL50015</t>
  </si>
  <si>
    <t>AGT5001</t>
  </si>
  <si>
    <t>POL50016</t>
  </si>
  <si>
    <t>AGT5213</t>
  </si>
  <si>
    <t>POL50017</t>
  </si>
  <si>
    <t>AGT5275</t>
  </si>
  <si>
    <t>POL50018</t>
  </si>
  <si>
    <t>AGT5098</t>
  </si>
  <si>
    <t>POL50019</t>
  </si>
  <si>
    <t>AGT5176</t>
  </si>
  <si>
    <t>POL50025</t>
  </si>
  <si>
    <t>AGT5209</t>
  </si>
  <si>
    <t>POL50026</t>
  </si>
  <si>
    <t>AGT5027</t>
  </si>
  <si>
    <t>POL50027</t>
  </si>
  <si>
    <t>AGT5204</t>
  </si>
  <si>
    <t>POL50028</t>
  </si>
  <si>
    <t>AGT5126</t>
  </si>
  <si>
    <t>POL50029</t>
  </si>
  <si>
    <t>AGT5061</t>
  </si>
  <si>
    <t>POL50030</t>
  </si>
  <si>
    <t>AGT5207</t>
  </si>
  <si>
    <t>POL50032</t>
  </si>
  <si>
    <t>AGT5004</t>
  </si>
  <si>
    <t>POL50035</t>
  </si>
  <si>
    <t>AGT5136</t>
  </si>
  <si>
    <t>POL50036</t>
  </si>
  <si>
    <t>AGT5042</t>
  </si>
  <si>
    <t>POL50037</t>
  </si>
  <si>
    <t>AGT5063</t>
  </si>
  <si>
    <t>POL50040</t>
  </si>
  <si>
    <t>AGT5132</t>
  </si>
  <si>
    <t>POL50041</t>
  </si>
  <si>
    <t>AGT5066</t>
  </si>
  <si>
    <t>POL50042</t>
  </si>
  <si>
    <t>AGT5274</t>
  </si>
  <si>
    <t>POL50043</t>
  </si>
  <si>
    <t>AGT5193</t>
  </si>
  <si>
    <t>POL50044</t>
  </si>
  <si>
    <t>AGT5038</t>
  </si>
  <si>
    <t>POL50046</t>
  </si>
  <si>
    <t>POL50048</t>
  </si>
  <si>
    <t>AGT5197</t>
  </si>
  <si>
    <t>POL50049</t>
  </si>
  <si>
    <t>AGT5137</t>
  </si>
  <si>
    <t>POL50050</t>
  </si>
  <si>
    <t>AGT5125</t>
  </si>
  <si>
    <t>POL50051</t>
  </si>
  <si>
    <t>AGT5150</t>
  </si>
  <si>
    <t>POL50052</t>
  </si>
  <si>
    <t>AGT5016</t>
  </si>
  <si>
    <t>POL50053</t>
  </si>
  <si>
    <t>AGT5122</t>
  </si>
  <si>
    <t>POL50054</t>
  </si>
  <si>
    <t>AGT5200</t>
  </si>
  <si>
    <t>POL50055</t>
  </si>
  <si>
    <t>POL50056</t>
  </si>
  <si>
    <t>AGT5104</t>
  </si>
  <si>
    <t>POL50057</t>
  </si>
  <si>
    <t>AGT5177</t>
  </si>
  <si>
    <t>POL50058</t>
  </si>
  <si>
    <t>AGT5143</t>
  </si>
  <si>
    <t>POL50059</t>
  </si>
  <si>
    <t>POL50060</t>
  </si>
  <si>
    <t>AGT5108</t>
  </si>
  <si>
    <t>POL50063</t>
  </si>
  <si>
    <t>AGT5048</t>
  </si>
  <si>
    <t>POL50064</t>
  </si>
  <si>
    <t>POL50065</t>
  </si>
  <si>
    <t>AGT5124</t>
  </si>
  <si>
    <t>POL50066</t>
  </si>
  <si>
    <t>AGT5064</t>
  </si>
  <si>
    <t>POL50068</t>
  </si>
  <si>
    <t>AGT5287</t>
  </si>
  <si>
    <t>POL50069</t>
  </si>
  <si>
    <t>AGT5107</t>
  </si>
  <si>
    <t>POL50070</t>
  </si>
  <si>
    <t>AGT5271</t>
  </si>
  <si>
    <t>POL50074</t>
  </si>
  <si>
    <t>AGT5141</t>
  </si>
  <si>
    <t>POL50075</t>
  </si>
  <si>
    <t>AGT5117</t>
  </si>
  <si>
    <t>POL50076</t>
  </si>
  <si>
    <t>AGT5165</t>
  </si>
  <si>
    <t>POL50078</t>
  </si>
  <si>
    <t>AGT5142</t>
  </si>
  <si>
    <t>POL50079</t>
  </si>
  <si>
    <t>AGT5293</t>
  </si>
  <si>
    <t>POL50080</t>
  </si>
  <si>
    <t>POL50081</t>
  </si>
  <si>
    <t>AGT5040</t>
  </si>
  <si>
    <t>POL50082</t>
  </si>
  <si>
    <t>AGT5194</t>
  </si>
  <si>
    <t>POL50084</t>
  </si>
  <si>
    <t>AGT5205</t>
  </si>
  <si>
    <t>POL50086</t>
  </si>
  <si>
    <t>AGT5179</t>
  </si>
  <si>
    <t>POL50089</t>
  </si>
  <si>
    <t>AGT5266</t>
  </si>
  <si>
    <t>POL50090</t>
  </si>
  <si>
    <t>AGT5289</t>
  </si>
  <si>
    <t>POL50091</t>
  </si>
  <si>
    <t>AGT5250</t>
  </si>
  <si>
    <t>POL50092</t>
  </si>
  <si>
    <t>POL50093</t>
  </si>
  <si>
    <t>AGT5252</t>
  </si>
  <si>
    <t>POL50095</t>
  </si>
  <si>
    <t>AGT5240</t>
  </si>
  <si>
    <t>POL50097</t>
  </si>
  <si>
    <t>AGT5247</t>
  </si>
  <si>
    <t>POL50098</t>
  </si>
  <si>
    <t>AGT5097</t>
  </si>
  <si>
    <t>POL50099</t>
  </si>
  <si>
    <t>AGT5243</t>
  </si>
  <si>
    <t>POL50100</t>
  </si>
  <si>
    <t>AGT5211</t>
  </si>
  <si>
    <t>POL50102</t>
  </si>
  <si>
    <t>AGT5286</t>
  </si>
  <si>
    <t>POL50103</t>
  </si>
  <si>
    <t>POL50104</t>
  </si>
  <si>
    <t>POL50106</t>
  </si>
  <si>
    <t>AGT5080</t>
  </si>
  <si>
    <t>POL50107</t>
  </si>
  <si>
    <t>POL50108</t>
  </si>
  <si>
    <t>POL50109</t>
  </si>
  <si>
    <t>AGT5203</t>
  </si>
  <si>
    <t>POL50110</t>
  </si>
  <si>
    <t>AGT5298</t>
  </si>
  <si>
    <t>POL50111</t>
  </si>
  <si>
    <t>POL50112</t>
  </si>
  <si>
    <t>POL50114</t>
  </si>
  <si>
    <t>POL50115</t>
  </si>
  <si>
    <t>AGT5261</t>
  </si>
  <si>
    <t>POL50117</t>
  </si>
  <si>
    <t>AGT5255</t>
  </si>
  <si>
    <t>POL50118</t>
  </si>
  <si>
    <t>AGT5019</t>
  </si>
  <si>
    <t>POL50119</t>
  </si>
  <si>
    <t>AGT5222</t>
  </si>
  <si>
    <t>POL50120</t>
  </si>
  <si>
    <t>AGT5020</t>
  </si>
  <si>
    <t>POL50121</t>
  </si>
  <si>
    <t>AGT5012</t>
  </si>
  <si>
    <t>POL50123</t>
  </si>
  <si>
    <t>AGT5183</t>
  </si>
  <si>
    <t>POL50124</t>
  </si>
  <si>
    <t>AGT5148</t>
  </si>
  <si>
    <t>POL50128</t>
  </si>
  <si>
    <t>AGT5135</t>
  </si>
  <si>
    <t>POL50129</t>
  </si>
  <si>
    <t>AGT5156</t>
  </si>
  <si>
    <t>POL50130</t>
  </si>
  <si>
    <t>POL50131</t>
  </si>
  <si>
    <t>AGT5242</t>
  </si>
  <si>
    <t>POL50132</t>
  </si>
  <si>
    <t>AGT5149</t>
  </si>
  <si>
    <t>POL50133</t>
  </si>
  <si>
    <t>AGT5269</t>
  </si>
  <si>
    <t>POL50135</t>
  </si>
  <si>
    <t>AGT5099</t>
  </si>
  <si>
    <t>POL50136</t>
  </si>
  <si>
    <t>AGT5210</t>
  </si>
  <si>
    <t>POL50140</t>
  </si>
  <si>
    <t>AGT5005</t>
  </si>
  <si>
    <t>POL50141</t>
  </si>
  <si>
    <t>AGT5158</t>
  </si>
  <si>
    <t>POL50143</t>
  </si>
  <si>
    <t>POL50144</t>
  </si>
  <si>
    <t>AGT5096</t>
  </si>
  <si>
    <t>POL50145</t>
  </si>
  <si>
    <t>AGT5051</t>
  </si>
  <si>
    <t>POL50148</t>
  </si>
  <si>
    <t>AGT5076</t>
  </si>
  <si>
    <t>POL50149</t>
  </si>
  <si>
    <t>AGT5131</t>
  </si>
  <si>
    <t>POL50150</t>
  </si>
  <si>
    <t>POL50151</t>
  </si>
  <si>
    <t>AGT5241</t>
  </si>
  <si>
    <t>POL50152</t>
  </si>
  <si>
    <t>AGT5037</t>
  </si>
  <si>
    <t>POL50154</t>
  </si>
  <si>
    <t>AGT5119</t>
  </si>
  <si>
    <t>POL50155</t>
  </si>
  <si>
    <t>AGT5002</t>
  </si>
  <si>
    <t>POL50158</t>
  </si>
  <si>
    <t>AGT5191</t>
  </si>
  <si>
    <t>POL50159</t>
  </si>
  <si>
    <t>AGT5260</t>
  </si>
  <si>
    <t>POL50161</t>
  </si>
  <si>
    <t>POL50162</t>
  </si>
  <si>
    <t>POL50164</t>
  </si>
  <si>
    <t>AGT5024</t>
  </si>
  <si>
    <t>POL50166</t>
  </si>
  <si>
    <t>POL50167</t>
  </si>
  <si>
    <t>AGT5105</t>
  </si>
  <si>
    <t>POL50168</t>
  </si>
  <si>
    <t>POL50169</t>
  </si>
  <si>
    <t>AGT5295</t>
  </si>
  <si>
    <t>POL50170</t>
  </si>
  <si>
    <t>POL50171</t>
  </si>
  <si>
    <t>POL50173</t>
  </si>
  <si>
    <t>AGT5192</t>
  </si>
  <si>
    <t>POL50174</t>
  </si>
  <si>
    <t>AGT5017</t>
  </si>
  <si>
    <t>POL50176</t>
  </si>
  <si>
    <t>AGT5049</t>
  </si>
  <si>
    <t>POL50178</t>
  </si>
  <si>
    <t>AGT5254</t>
  </si>
  <si>
    <t>POL50180</t>
  </si>
  <si>
    <t>AGT5111</t>
  </si>
  <si>
    <t>POL50181</t>
  </si>
  <si>
    <t>AGT5082</t>
  </si>
  <si>
    <t>POL50184</t>
  </si>
  <si>
    <t>AGT5232</t>
  </si>
  <si>
    <t>POL50185</t>
  </si>
  <si>
    <t>AGT5228</t>
  </si>
  <si>
    <t>POL50187</t>
  </si>
  <si>
    <t>AGT5236</t>
  </si>
  <si>
    <t>POL50188</t>
  </si>
  <si>
    <t>POL50189</t>
  </si>
  <si>
    <t>AGT5184</t>
  </si>
  <si>
    <t>POL50191</t>
  </si>
  <si>
    <t>AGT5225</t>
  </si>
  <si>
    <t>POL50192</t>
  </si>
  <si>
    <t>AGT5208</t>
  </si>
  <si>
    <t>POL50193</t>
  </si>
  <si>
    <t>POL50194</t>
  </si>
  <si>
    <t>AGT5133</t>
  </si>
  <si>
    <t>POL50195</t>
  </si>
  <si>
    <t>POL50196</t>
  </si>
  <si>
    <t>AGT5116</t>
  </si>
  <si>
    <t>POL50197</t>
  </si>
  <si>
    <t>AGT5083</t>
  </si>
  <si>
    <t>POL50199</t>
  </si>
  <si>
    <t>AGT5055</t>
  </si>
  <si>
    <t>POL50200</t>
  </si>
  <si>
    <t>AGT5041</t>
  </si>
  <si>
    <t>POL50201</t>
  </si>
  <si>
    <t>POL50202</t>
  </si>
  <si>
    <t>POL50203</t>
  </si>
  <si>
    <t>POL50204</t>
  </si>
  <si>
    <t>POL50206</t>
  </si>
  <si>
    <t>AGT5279</t>
  </si>
  <si>
    <t>POL50209</t>
  </si>
  <si>
    <t>AGT5219</t>
  </si>
  <si>
    <t>POL50210</t>
  </si>
  <si>
    <t>AGT5007</t>
  </si>
  <si>
    <t>POL50211</t>
  </si>
  <si>
    <t>AGT5075</t>
  </si>
  <si>
    <t>POL50212</t>
  </si>
  <si>
    <t>AGT5110</t>
  </si>
  <si>
    <t>POL50213</t>
  </si>
  <si>
    <t>POL50214</t>
  </si>
  <si>
    <t>POL50215</t>
  </si>
  <si>
    <t>AGT5121</t>
  </si>
  <si>
    <t>POL50216</t>
  </si>
  <si>
    <t>AGT5229</t>
  </si>
  <si>
    <t>POL50217</t>
  </si>
  <si>
    <t>POL50218</t>
  </si>
  <si>
    <t>AGT5057</t>
  </si>
  <si>
    <t>POL50219</t>
  </si>
  <si>
    <t>POL50220</t>
  </si>
  <si>
    <t>AGT5011</t>
  </si>
  <si>
    <t>POL50221</t>
  </si>
  <si>
    <t>POL50222</t>
  </si>
  <si>
    <t>AGT5144</t>
  </si>
  <si>
    <t>POL50223</t>
  </si>
  <si>
    <t>POL50224</t>
  </si>
  <si>
    <t>AGT5089</t>
  </si>
  <si>
    <t>POL50225</t>
  </si>
  <si>
    <t>AGT5262</t>
  </si>
  <si>
    <t>POL50226</t>
  </si>
  <si>
    <t>AGT5072</t>
  </si>
  <si>
    <t>POL50228</t>
  </si>
  <si>
    <t>POL50229</t>
  </si>
  <si>
    <t>AGT5249</t>
  </si>
  <si>
    <t>POL50231</t>
  </si>
  <si>
    <t>POL50232</t>
  </si>
  <si>
    <t>POL50233</t>
  </si>
  <si>
    <t>POL50234</t>
  </si>
  <si>
    <t>AGT5195</t>
  </si>
  <si>
    <t>POL50237</t>
  </si>
  <si>
    <t>POL50240</t>
  </si>
  <si>
    <t>POL50241</t>
  </si>
  <si>
    <t>POL50244</t>
  </si>
  <si>
    <t>AGT5022</t>
  </si>
  <si>
    <t>POL50246</t>
  </si>
  <si>
    <t>AGT5212</t>
  </si>
  <si>
    <t>POL50247</t>
  </si>
  <si>
    <t>POL50248</t>
  </si>
  <si>
    <t>POL50249</t>
  </si>
  <si>
    <t>POL50250</t>
  </si>
  <si>
    <t>POL50251</t>
  </si>
  <si>
    <t>POL50252</t>
  </si>
  <si>
    <t>POL50253</t>
  </si>
  <si>
    <t>AGT5278</t>
  </si>
  <si>
    <t>POL50256</t>
  </si>
  <si>
    <t>AGT5060</t>
  </si>
  <si>
    <t>POL50258</t>
  </si>
  <si>
    <t>AGT5281</t>
  </si>
  <si>
    <t>POL50259</t>
  </si>
  <si>
    <t>AGT5109</t>
  </si>
  <si>
    <t>POL50260</t>
  </si>
  <si>
    <t>POL50261</t>
  </si>
  <si>
    <t>POL50262</t>
  </si>
  <si>
    <t>POL50264</t>
  </si>
  <si>
    <t>AGT5268</t>
  </si>
  <si>
    <t>POL50265</t>
  </si>
  <si>
    <t>AGT5157</t>
  </si>
  <si>
    <t>POL50268</t>
  </si>
  <si>
    <t>POL50270</t>
  </si>
  <si>
    <t>POL50272</t>
  </si>
  <si>
    <t>POL50273</t>
  </si>
  <si>
    <t>POL50274</t>
  </si>
  <si>
    <t>AGT5180</t>
  </si>
  <si>
    <t>POL50276</t>
  </si>
  <si>
    <t>POL50278</t>
  </si>
  <si>
    <t>AGT5026</t>
  </si>
  <si>
    <t>POL50279</t>
  </si>
  <si>
    <t>AGT5073</t>
  </si>
  <si>
    <t>POL50280</t>
  </si>
  <si>
    <t>POL50281</t>
  </si>
  <si>
    <t>AGT5256</t>
  </si>
  <si>
    <t>POL50282</t>
  </si>
  <si>
    <t>POL50283</t>
  </si>
  <si>
    <t>AGT5244</t>
  </si>
  <si>
    <t>POL50284</t>
  </si>
  <si>
    <t>POL50286</t>
  </si>
  <si>
    <t>AGT5025</t>
  </si>
  <si>
    <t>POL50287</t>
  </si>
  <si>
    <t>POL50288</t>
  </si>
  <si>
    <t>AGT5120</t>
  </si>
  <si>
    <t>POL50289</t>
  </si>
  <si>
    <t>POL50293</t>
  </si>
  <si>
    <t>POL50294</t>
  </si>
  <si>
    <t>AGT5140</t>
  </si>
  <si>
    <t>POL50295</t>
  </si>
  <si>
    <t>POL50296</t>
  </si>
  <si>
    <t>AGT5154</t>
  </si>
  <si>
    <t>POL50297</t>
  </si>
  <si>
    <t>POL50300</t>
  </si>
  <si>
    <t>AGT5161</t>
  </si>
  <si>
    <t>POL50301</t>
  </si>
  <si>
    <t>AGT5280</t>
  </si>
  <si>
    <t>POL50302</t>
  </si>
  <si>
    <t>AGT5273</t>
  </si>
  <si>
    <t>POL50303</t>
  </si>
  <si>
    <t>POL50305</t>
  </si>
  <si>
    <t>AGT5233</t>
  </si>
  <si>
    <t>POL50306</t>
  </si>
  <si>
    <t>AGT5294</t>
  </si>
  <si>
    <t>POL50307</t>
  </si>
  <si>
    <t>POL50309</t>
  </si>
  <si>
    <t>POL50310</t>
  </si>
  <si>
    <t>AGT5284</t>
  </si>
  <si>
    <t>POL50312</t>
  </si>
  <si>
    <t>AGT5031</t>
  </si>
  <si>
    <t>POL50313</t>
  </si>
  <si>
    <t>AGT5282</t>
  </si>
  <si>
    <t>POL50314</t>
  </si>
  <si>
    <t>AGT5086</t>
  </si>
  <si>
    <t>POL50316</t>
  </si>
  <si>
    <t>AGT5043</t>
  </si>
  <si>
    <t>POL50317</t>
  </si>
  <si>
    <t>AGT5196</t>
  </si>
  <si>
    <t>POL50319</t>
  </si>
  <si>
    <t>POL50320</t>
  </si>
  <si>
    <t>POL50322</t>
  </si>
  <si>
    <t>POL50323</t>
  </si>
  <si>
    <t>AGT5172</t>
  </si>
  <si>
    <t>POL50325</t>
  </si>
  <si>
    <t>POL50326</t>
  </si>
  <si>
    <t>AGT5299</t>
  </si>
  <si>
    <t>POL50327</t>
  </si>
  <si>
    <t>AGT5058</t>
  </si>
  <si>
    <t>POL50328</t>
  </si>
  <si>
    <t>POL50329</t>
  </si>
  <si>
    <t>AGT5239</t>
  </si>
  <si>
    <t>POL50330</t>
  </si>
  <si>
    <t>POL50332</t>
  </si>
  <si>
    <t>AGT5174</t>
  </si>
  <si>
    <t>POL50333</t>
  </si>
  <si>
    <t>AGT5270</t>
  </si>
  <si>
    <t>POL50334</t>
  </si>
  <si>
    <t>AGT5237</t>
  </si>
  <si>
    <t>POL50336</t>
  </si>
  <si>
    <t>POL50340</t>
  </si>
  <si>
    <t>POL50342</t>
  </si>
  <si>
    <t>POL50343</t>
  </si>
  <si>
    <t>AGT5188</t>
  </si>
  <si>
    <t>POL50344</t>
  </si>
  <si>
    <t>AGT5163</t>
  </si>
  <si>
    <t>POL50346</t>
  </si>
  <si>
    <t>POL50349</t>
  </si>
  <si>
    <t>POL50351</t>
  </si>
  <si>
    <t>POL50352</t>
  </si>
  <si>
    <t>POL50353</t>
  </si>
  <si>
    <t>AGT5199</t>
  </si>
  <si>
    <t>POL50354</t>
  </si>
  <si>
    <t>AGT5129</t>
  </si>
  <si>
    <t>POL50355</t>
  </si>
  <si>
    <t>POL50356</t>
  </si>
  <si>
    <t>AGT5253</t>
  </si>
  <si>
    <t>POL50358</t>
  </si>
  <si>
    <t>AGT5094</t>
  </si>
  <si>
    <t>POL50360</t>
  </si>
  <si>
    <t>POL50361</t>
  </si>
  <si>
    <t>POL50363</t>
  </si>
  <si>
    <t>AGT5065</t>
  </si>
  <si>
    <t>POL50364</t>
  </si>
  <si>
    <t>POL50366</t>
  </si>
  <si>
    <t>POL50368</t>
  </si>
  <si>
    <t>POL50369</t>
  </si>
  <si>
    <t>POL50370</t>
  </si>
  <si>
    <t>POL50371</t>
  </si>
  <si>
    <t>POL50372</t>
  </si>
  <si>
    <t>AGT5155</t>
  </si>
  <si>
    <t>POL50373</t>
  </si>
  <si>
    <t>POL50375</t>
  </si>
  <si>
    <t>AGT5035</t>
  </si>
  <si>
    <t>POL50376</t>
  </si>
  <si>
    <t>AGT5070</t>
  </si>
  <si>
    <t>POL50377</t>
  </si>
  <si>
    <t>AGT5230</t>
  </si>
  <si>
    <t>POL50378</t>
  </si>
  <si>
    <t>AGT5277</t>
  </si>
  <si>
    <t>POL50381</t>
  </si>
  <si>
    <t>POL50382</t>
  </si>
  <si>
    <t>POL50383</t>
  </si>
  <si>
    <t>AGT5226</t>
  </si>
  <si>
    <t>POL50384</t>
  </si>
  <si>
    <t>POL50386</t>
  </si>
  <si>
    <t>AGT5223</t>
  </si>
  <si>
    <t>POL50387</t>
  </si>
  <si>
    <t>AGT5288</t>
  </si>
  <si>
    <t>POL50388</t>
  </si>
  <si>
    <t>POL50390</t>
  </si>
  <si>
    <t>AGT5245</t>
  </si>
  <si>
    <t>POL50392</t>
  </si>
  <si>
    <t>POL50393</t>
  </si>
  <si>
    <t>AGT5045</t>
  </si>
  <si>
    <t>POL50394</t>
  </si>
  <si>
    <t>POL50395</t>
  </si>
  <si>
    <t>POL50397</t>
  </si>
  <si>
    <t>AGT5173</t>
  </si>
  <si>
    <t>POL50398</t>
  </si>
  <si>
    <t>POL50399</t>
  </si>
  <si>
    <t>POL50400</t>
  </si>
  <si>
    <t>AGT5227</t>
  </si>
  <si>
    <t>POL50401</t>
  </si>
  <si>
    <t>POL50402</t>
  </si>
  <si>
    <t>AGT5030</t>
  </si>
  <si>
    <t>POL50405</t>
  </si>
  <si>
    <t>POL50406</t>
  </si>
  <si>
    <t>POL50407</t>
  </si>
  <si>
    <t>POL50408</t>
  </si>
  <si>
    <t>AGT5166</t>
  </si>
  <si>
    <t>POL50409</t>
  </si>
  <si>
    <t>POL50410</t>
  </si>
  <si>
    <t>POL50411</t>
  </si>
  <si>
    <t>POL50412</t>
  </si>
  <si>
    <t>POL50416</t>
  </si>
  <si>
    <t>AGT5127</t>
  </si>
  <si>
    <t>POL50418</t>
  </si>
  <si>
    <t>AGT5053</t>
  </si>
  <si>
    <t>POL50420</t>
  </si>
  <si>
    <t>POL50421</t>
  </si>
  <si>
    <t>POL50422</t>
  </si>
  <si>
    <t>POL50423</t>
  </si>
  <si>
    <t>AGT5160</t>
  </si>
  <si>
    <t>POL50424</t>
  </si>
  <si>
    <t>AGT5023</t>
  </si>
  <si>
    <t>POL50426</t>
  </si>
  <si>
    <t>AGT5220</t>
  </si>
  <si>
    <t>POL50427</t>
  </si>
  <si>
    <t>AGT5034</t>
  </si>
  <si>
    <t>POL50428</t>
  </si>
  <si>
    <t>POL50429</t>
  </si>
  <si>
    <t>AGT5267</t>
  </si>
  <si>
    <t>POL50430</t>
  </si>
  <si>
    <t>POL50431</t>
  </si>
  <si>
    <t>POL50433</t>
  </si>
  <si>
    <t>POL50434</t>
  </si>
  <si>
    <t>POL50436</t>
  </si>
  <si>
    <t>AGT5296</t>
  </si>
  <si>
    <t>POL50437</t>
  </si>
  <si>
    <t>POL50438</t>
  </si>
  <si>
    <t>POL50439</t>
  </si>
  <si>
    <t>POL50440</t>
  </si>
  <si>
    <t>POL50442</t>
  </si>
  <si>
    <t>POL50443</t>
  </si>
  <si>
    <t>AGT5112</t>
  </si>
  <si>
    <t>POL50445</t>
  </si>
  <si>
    <t>POL50447</t>
  </si>
  <si>
    <t>POL50449</t>
  </si>
  <si>
    <t>POL50451</t>
  </si>
  <si>
    <t>AGT5006</t>
  </si>
  <si>
    <t>POL50452</t>
  </si>
  <si>
    <t>POL50453</t>
  </si>
  <si>
    <t>POL50454</t>
  </si>
  <si>
    <t>POL50455</t>
  </si>
  <si>
    <t>POL50458</t>
  </si>
  <si>
    <t>AGT5182</t>
  </si>
  <si>
    <t>POL50459</t>
  </si>
  <si>
    <t>AGT5095</t>
  </si>
  <si>
    <t>POL50460</t>
  </si>
  <si>
    <t>POL50461</t>
  </si>
  <si>
    <t>POL50463</t>
  </si>
  <si>
    <t>AGT5164</t>
  </si>
  <si>
    <t>POL50464</t>
  </si>
  <si>
    <t>POL50465</t>
  </si>
  <si>
    <t>POL50467</t>
  </si>
  <si>
    <t>POL50469</t>
  </si>
  <si>
    <t>AGT5151</t>
  </si>
  <si>
    <t>POL50470</t>
  </si>
  <si>
    <t>POL50471</t>
  </si>
  <si>
    <t>POL50472</t>
  </si>
  <si>
    <t>POL50473</t>
  </si>
  <si>
    <t>POL50474</t>
  </si>
  <si>
    <t>POL50475</t>
  </si>
  <si>
    <t>POL50476</t>
  </si>
  <si>
    <t>AGT5215</t>
  </si>
  <si>
    <t>POL50477</t>
  </si>
  <si>
    <t>POL50479</t>
  </si>
  <si>
    <t>AGT5181</t>
  </si>
  <si>
    <t>POL50480</t>
  </si>
  <si>
    <t>POL50481</t>
  </si>
  <si>
    <t>POL50482</t>
  </si>
  <si>
    <t>AGT5062</t>
  </si>
  <si>
    <t>POL50483</t>
  </si>
  <si>
    <t>POL50484</t>
  </si>
  <si>
    <t>POL50485</t>
  </si>
  <si>
    <t>POL50486</t>
  </si>
  <si>
    <t>AGT5021</t>
  </si>
  <si>
    <t>POL50489</t>
  </si>
  <si>
    <t>POL50490</t>
  </si>
  <si>
    <t>POL50492</t>
  </si>
  <si>
    <t>POL50493</t>
  </si>
  <si>
    <t>AGT5190</t>
  </si>
  <si>
    <t>POL50494</t>
  </si>
  <si>
    <t>POL50495</t>
  </si>
  <si>
    <t>POL50497</t>
  </si>
  <si>
    <t>POL50499</t>
  </si>
  <si>
    <t>POL50501</t>
  </si>
  <si>
    <t>POL50502</t>
  </si>
  <si>
    <t>POL50503</t>
  </si>
  <si>
    <t>POL50504</t>
  </si>
  <si>
    <t>POL50505</t>
  </si>
  <si>
    <t>POL50506</t>
  </si>
  <si>
    <t>AGT5088</t>
  </si>
  <si>
    <t>POL50508</t>
  </si>
  <si>
    <t>POL50509</t>
  </si>
  <si>
    <t>POL50510</t>
  </si>
  <si>
    <t>POL50511</t>
  </si>
  <si>
    <t>POL50512</t>
  </si>
  <si>
    <t>POL50513</t>
  </si>
  <si>
    <t>POL50514</t>
  </si>
  <si>
    <t>AGT5078</t>
  </si>
  <si>
    <t>POL50515</t>
  </si>
  <si>
    <t>POL50516</t>
  </si>
  <si>
    <t>POL50517</t>
  </si>
  <si>
    <t>POL50518</t>
  </si>
  <si>
    <t>POL50519</t>
  </si>
  <si>
    <t>POL50523</t>
  </si>
  <si>
    <t>POL50524</t>
  </si>
  <si>
    <t>AGT5159</t>
  </si>
  <si>
    <t>POL50525</t>
  </si>
  <si>
    <t>POL50526</t>
  </si>
  <si>
    <t>POL50528</t>
  </si>
  <si>
    <t>POL50529</t>
  </si>
  <si>
    <t>POL50530</t>
  </si>
  <si>
    <t>POL50531</t>
  </si>
  <si>
    <t>POL50533</t>
  </si>
  <si>
    <t>POL50534</t>
  </si>
  <si>
    <t>AGT5167</t>
  </si>
  <si>
    <t>POL50536</t>
  </si>
  <si>
    <t>POL50537</t>
  </si>
  <si>
    <t>POL50538</t>
  </si>
  <si>
    <t>AGT5115</t>
  </si>
  <si>
    <t>POL50539</t>
  </si>
  <si>
    <t>POL50540</t>
  </si>
  <si>
    <t>POL50542</t>
  </si>
  <si>
    <t>POL50543</t>
  </si>
  <si>
    <t>POL50544</t>
  </si>
  <si>
    <t>AGT5292</t>
  </si>
  <si>
    <t>POL50546</t>
  </si>
  <si>
    <t>AGT5224</t>
  </si>
  <si>
    <t>POL50547</t>
  </si>
  <si>
    <t>POL50548</t>
  </si>
  <si>
    <t>POL50551</t>
  </si>
  <si>
    <t>POL50554</t>
  </si>
  <si>
    <t>POL50556</t>
  </si>
  <si>
    <t>AGT5138</t>
  </si>
  <si>
    <t>POL50557</t>
  </si>
  <si>
    <t>POL50559</t>
  </si>
  <si>
    <t>POL50560</t>
  </si>
  <si>
    <t>AGT5147</t>
  </si>
  <si>
    <t>POL50561</t>
  </si>
  <si>
    <t>POL50562</t>
  </si>
  <si>
    <t>POL50564</t>
  </si>
  <si>
    <t>POL50565</t>
  </si>
  <si>
    <t>POL50567</t>
  </si>
  <si>
    <t>AGT5015</t>
  </si>
  <si>
    <t>POL50568</t>
  </si>
  <si>
    <t>POL50569</t>
  </si>
  <si>
    <t>POL50570</t>
  </si>
  <si>
    <t>POL50571</t>
  </si>
  <si>
    <t>AGT5101</t>
  </si>
  <si>
    <t>POL50572</t>
  </si>
  <si>
    <t>POL50573</t>
  </si>
  <si>
    <t>POL50574</t>
  </si>
  <si>
    <t>POL50575</t>
  </si>
  <si>
    <t>POL50577</t>
  </si>
  <si>
    <t>AGT5297</t>
  </si>
  <si>
    <t>POL50581</t>
  </si>
  <si>
    <t>POL50583</t>
  </si>
  <si>
    <t>AGT5114</t>
  </si>
  <si>
    <t>POL50584</t>
  </si>
  <si>
    <t>POL50586</t>
  </si>
  <si>
    <t>POL50588</t>
  </si>
  <si>
    <t>POL50590</t>
  </si>
  <si>
    <t>AGT5178</t>
  </si>
  <si>
    <t>POL50591</t>
  </si>
  <si>
    <t>POL50593</t>
  </si>
  <si>
    <t>POL50595</t>
  </si>
  <si>
    <t>POL50597</t>
  </si>
  <si>
    <t>POL50598</t>
  </si>
  <si>
    <t>POL50599</t>
  </si>
  <si>
    <t>POL50600</t>
  </si>
  <si>
    <t>POL50601</t>
  </si>
  <si>
    <t>POL50604</t>
  </si>
  <si>
    <t>POL50606</t>
  </si>
  <si>
    <t>POL50607</t>
  </si>
  <si>
    <t>POL50609</t>
  </si>
  <si>
    <t>POL50610</t>
  </si>
  <si>
    <t>POL50611</t>
  </si>
  <si>
    <t>POL50612</t>
  </si>
  <si>
    <t>POL50613</t>
  </si>
  <si>
    <t>POL50615</t>
  </si>
  <si>
    <t>POL50617</t>
  </si>
  <si>
    <t>POL50618</t>
  </si>
  <si>
    <t>POL50621</t>
  </si>
  <si>
    <t>AGT5059</t>
  </si>
  <si>
    <t>POL50622</t>
  </si>
  <si>
    <t>POL50626</t>
  </si>
  <si>
    <t>POL50628</t>
  </si>
  <si>
    <t>POL50629</t>
  </si>
  <si>
    <t>POL50632</t>
  </si>
  <si>
    <t>POL50633</t>
  </si>
  <si>
    <t>POL50635</t>
  </si>
  <si>
    <t>POL50636</t>
  </si>
  <si>
    <t>POL50638</t>
  </si>
  <si>
    <t>POL50639</t>
  </si>
  <si>
    <t>AGT5113</t>
  </si>
  <si>
    <t>POL50640</t>
  </si>
  <si>
    <t>AGT5259</t>
  </si>
  <si>
    <t>POL50641</t>
  </si>
  <si>
    <t>POL50643</t>
  </si>
  <si>
    <t>POL50645</t>
  </si>
  <si>
    <t>POL50646</t>
  </si>
  <si>
    <t>POL50647</t>
  </si>
  <si>
    <t>POL50648</t>
  </si>
  <si>
    <t>POL50652</t>
  </si>
  <si>
    <t>POL50653</t>
  </si>
  <si>
    <t>POL50656</t>
  </si>
  <si>
    <t>POL50657</t>
  </si>
  <si>
    <t>AGT5047</t>
  </si>
  <si>
    <t>POL50658</t>
  </si>
  <si>
    <t>POL50660</t>
  </si>
  <si>
    <t>POL50661</t>
  </si>
  <si>
    <t>POL50662</t>
  </si>
  <si>
    <t>POL50664</t>
  </si>
  <si>
    <t>AGT5206</t>
  </si>
  <si>
    <t>POL50665</t>
  </si>
  <si>
    <t>AGT5092</t>
  </si>
  <si>
    <t>POL50666</t>
  </si>
  <si>
    <t>POL50668</t>
  </si>
  <si>
    <t>AGT5071</t>
  </si>
  <si>
    <t>POL50669</t>
  </si>
  <si>
    <t>POL50670</t>
  </si>
  <si>
    <t>POL50672</t>
  </si>
  <si>
    <t>POL50673</t>
  </si>
  <si>
    <t>POL50674</t>
  </si>
  <si>
    <t>POL50675</t>
  </si>
  <si>
    <t>POL50676</t>
  </si>
  <si>
    <t>POL50678</t>
  </si>
  <si>
    <t>AGT5168</t>
  </si>
  <si>
    <t>POL50679</t>
  </si>
  <si>
    <t>POL50680</t>
  </si>
  <si>
    <t>POL50681</t>
  </si>
  <si>
    <t>AGT5003</t>
  </si>
  <si>
    <t>POL50682</t>
  </si>
  <si>
    <t>POL50684</t>
  </si>
  <si>
    <t>POL50685</t>
  </si>
  <si>
    <t>POL50688</t>
  </si>
  <si>
    <t>POL50689</t>
  </si>
  <si>
    <t>POL50690</t>
  </si>
  <si>
    <t>POL50693</t>
  </si>
  <si>
    <t>POL50694</t>
  </si>
  <si>
    <t>POL50695</t>
  </si>
  <si>
    <t>AGT5285</t>
  </si>
  <si>
    <t>POL50696</t>
  </si>
  <si>
    <t>POL50697</t>
  </si>
  <si>
    <t>POL50698</t>
  </si>
  <si>
    <t>POL50699</t>
  </si>
  <si>
    <t>AGT5171</t>
  </si>
  <si>
    <t>POL50701</t>
  </si>
  <si>
    <t>POL50702</t>
  </si>
  <si>
    <t>AGT5033</t>
  </si>
  <si>
    <t>POL50703</t>
  </si>
  <si>
    <t>POL50704</t>
  </si>
  <si>
    <t>POL50705</t>
  </si>
  <si>
    <t>AGT5235</t>
  </si>
  <si>
    <t>POL50706</t>
  </si>
  <si>
    <t>POL50707</t>
  </si>
  <si>
    <t>POL50708</t>
  </si>
  <si>
    <t>POL50709</t>
  </si>
  <si>
    <t>POL50711</t>
  </si>
  <si>
    <t>AGT5130</t>
  </si>
  <si>
    <t>POL50714</t>
  </si>
  <si>
    <t>POL50715</t>
  </si>
  <si>
    <t>POL50716</t>
  </si>
  <si>
    <t>POL50717</t>
  </si>
  <si>
    <t>POL50719</t>
  </si>
  <si>
    <t>AGT5216</t>
  </si>
  <si>
    <t>POL50721</t>
  </si>
  <si>
    <t>AGT5079</t>
  </si>
  <si>
    <t>POL50723</t>
  </si>
  <si>
    <t>POL50724</t>
  </si>
  <si>
    <t>POL50726</t>
  </si>
  <si>
    <t>POL50729</t>
  </si>
  <si>
    <t>POL50730</t>
  </si>
  <si>
    <t>POL50731</t>
  </si>
  <si>
    <t>AGT5013</t>
  </si>
  <si>
    <t>POL50732</t>
  </si>
  <si>
    <t>POL50733</t>
  </si>
  <si>
    <t>POL50735</t>
  </si>
  <si>
    <t>POL50736</t>
  </si>
  <si>
    <t>POL50737</t>
  </si>
  <si>
    <t>POL50738</t>
  </si>
  <si>
    <t>POL50739</t>
  </si>
  <si>
    <t>POL50740</t>
  </si>
  <si>
    <t>POL50741</t>
  </si>
  <si>
    <t>POL50742</t>
  </si>
  <si>
    <t>POL50743</t>
  </si>
  <si>
    <t>POL50747</t>
  </si>
  <si>
    <t>AGT5103</t>
  </si>
  <si>
    <t>POL50748</t>
  </si>
  <si>
    <t>POL50749</t>
  </si>
  <si>
    <t>POL50750</t>
  </si>
  <si>
    <t>POL50751</t>
  </si>
  <si>
    <t>POL50753</t>
  </si>
  <si>
    <t>POL50754</t>
  </si>
  <si>
    <t>AGT5145</t>
  </si>
  <si>
    <t>POL50755</t>
  </si>
  <si>
    <t>POL50757</t>
  </si>
  <si>
    <t>POL50758</t>
  </si>
  <si>
    <t>POL50759</t>
  </si>
  <si>
    <t>POL50760</t>
  </si>
  <si>
    <t>POL50761</t>
  </si>
  <si>
    <t>POL50762</t>
  </si>
  <si>
    <t>AGT5134</t>
  </si>
  <si>
    <t>POL50763</t>
  </si>
  <si>
    <t>POL50764</t>
  </si>
  <si>
    <t>AGT5106</t>
  </si>
  <si>
    <t>POL50765</t>
  </si>
  <si>
    <t>POL50766</t>
  </si>
  <si>
    <t>POL50770</t>
  </si>
  <si>
    <t>AGT5054</t>
  </si>
  <si>
    <t>POL50773</t>
  </si>
  <si>
    <t>POL50774</t>
  </si>
  <si>
    <t>AGT5187</t>
  </si>
  <si>
    <t>POL50775</t>
  </si>
  <si>
    <t>POL50777</t>
  </si>
  <si>
    <t>AGT5032</t>
  </si>
  <si>
    <t>POL50779</t>
  </si>
  <si>
    <t>POL50780</t>
  </si>
  <si>
    <t>POL50782</t>
  </si>
  <si>
    <t>POL50783</t>
  </si>
  <si>
    <t>POL50785</t>
  </si>
  <si>
    <t>AGT5146</t>
  </si>
  <si>
    <t>POL50787</t>
  </si>
  <si>
    <t>POL50788</t>
  </si>
  <si>
    <t>POL50789</t>
  </si>
  <si>
    <t>POL50790</t>
  </si>
  <si>
    <t>POL50791</t>
  </si>
  <si>
    <t>POL50792</t>
  </si>
  <si>
    <t>POL50795</t>
  </si>
  <si>
    <t>POL50797</t>
  </si>
  <si>
    <t>POL50799</t>
  </si>
  <si>
    <t>POL50800</t>
  </si>
  <si>
    <t>POL50801</t>
  </si>
  <si>
    <t>POL50802</t>
  </si>
  <si>
    <t>POL50803</t>
  </si>
  <si>
    <t>POL50805</t>
  </si>
  <si>
    <t>POL50807</t>
  </si>
  <si>
    <t>POL50808</t>
  </si>
  <si>
    <t>AGT5056</t>
  </si>
  <si>
    <t>POL50809</t>
  </si>
  <si>
    <t>POL50811</t>
  </si>
  <si>
    <t>AGT5091</t>
  </si>
  <si>
    <t>POL50812</t>
  </si>
  <si>
    <t>POL50813</t>
  </si>
  <si>
    <t>POL50814</t>
  </si>
  <si>
    <t>POL50815</t>
  </si>
  <si>
    <t>POL50816</t>
  </si>
  <si>
    <t>POL50817</t>
  </si>
  <si>
    <t>POL50819</t>
  </si>
  <si>
    <t>AGT5014</t>
  </si>
  <si>
    <t>POL50820</t>
  </si>
  <si>
    <t>POL50822</t>
  </si>
  <si>
    <t>POL50823</t>
  </si>
  <si>
    <t>POL50825</t>
  </si>
  <si>
    <t>POL50826</t>
  </si>
  <si>
    <t>POL50828</t>
  </si>
  <si>
    <t>POL50829</t>
  </si>
  <si>
    <t>POL50830</t>
  </si>
  <si>
    <t>POL50831</t>
  </si>
  <si>
    <t>AGT5185</t>
  </si>
  <si>
    <t>POL50832</t>
  </si>
  <si>
    <t>POL50833</t>
  </si>
  <si>
    <t>POL50835</t>
  </si>
  <si>
    <t>POL50836</t>
  </si>
  <si>
    <t>POL50837</t>
  </si>
  <si>
    <t>POL50838</t>
  </si>
  <si>
    <t>POL50840</t>
  </si>
  <si>
    <t>POL50841</t>
  </si>
  <si>
    <t>POL50843</t>
  </si>
  <si>
    <t>POL50844</t>
  </si>
  <si>
    <t>POL50845</t>
  </si>
  <si>
    <t>POL50848</t>
  </si>
  <si>
    <t>POL50849</t>
  </si>
  <si>
    <t>POL50851</t>
  </si>
  <si>
    <t>POL50852</t>
  </si>
  <si>
    <t>POL50853</t>
  </si>
  <si>
    <t>POL50854</t>
  </si>
  <si>
    <t>POL50855</t>
  </si>
  <si>
    <t>POL50856</t>
  </si>
  <si>
    <t>POL50857</t>
  </si>
  <si>
    <t>POL50858</t>
  </si>
  <si>
    <t>POL50860</t>
  </si>
  <si>
    <t>AGT5000</t>
  </si>
  <si>
    <t>POL50861</t>
  </si>
  <si>
    <t>POL50862</t>
  </si>
  <si>
    <t>AGT5052</t>
  </si>
  <si>
    <t>POL50863</t>
  </si>
  <si>
    <t>AGT5272</t>
  </si>
  <si>
    <t>POL50864</t>
  </si>
  <si>
    <t>POL50865</t>
  </si>
  <si>
    <t>POL50866</t>
  </si>
  <si>
    <t>AGT5009</t>
  </si>
  <si>
    <t>POL50867</t>
  </si>
  <si>
    <t>POL50869</t>
  </si>
  <si>
    <t>POL50870</t>
  </si>
  <si>
    <t>AGT5077</t>
  </si>
  <si>
    <t>POL50872</t>
  </si>
  <si>
    <t>POL50875</t>
  </si>
  <si>
    <t>AGT5102</t>
  </si>
  <si>
    <t>POL50876</t>
  </si>
  <si>
    <t>AGT5217</t>
  </si>
  <si>
    <t>POL50877</t>
  </si>
  <si>
    <t>POL50878</t>
  </si>
  <si>
    <t>POL50879</t>
  </si>
  <si>
    <t>POL50880</t>
  </si>
  <si>
    <t>AGT5081</t>
  </si>
  <si>
    <t>POL50883</t>
  </si>
  <si>
    <t>POL50884</t>
  </si>
  <si>
    <t>POL50885</t>
  </si>
  <si>
    <t>POL50886</t>
  </si>
  <si>
    <t>POL50887</t>
  </si>
  <si>
    <t>POL50889</t>
  </si>
  <si>
    <t>POL50890</t>
  </si>
  <si>
    <t>POL50891</t>
  </si>
  <si>
    <t>POL50892</t>
  </si>
  <si>
    <t>POL50894</t>
  </si>
  <si>
    <t>POL50896</t>
  </si>
  <si>
    <t>POL50897</t>
  </si>
  <si>
    <t>POL50898</t>
  </si>
  <si>
    <t>POL50899</t>
  </si>
  <si>
    <t>POL50900</t>
  </si>
  <si>
    <t>POL50901</t>
  </si>
  <si>
    <t>POL50902</t>
  </si>
  <si>
    <t>POL50903</t>
  </si>
  <si>
    <t>POL50904</t>
  </si>
  <si>
    <t>POL50906</t>
  </si>
  <si>
    <t>POL50907</t>
  </si>
  <si>
    <t>POL50908</t>
  </si>
  <si>
    <t>POL50909</t>
  </si>
  <si>
    <t>POL50910</t>
  </si>
  <si>
    <t>POL50911</t>
  </si>
  <si>
    <t>POL50912</t>
  </si>
  <si>
    <t>POL50914</t>
  </si>
  <si>
    <t>POL50916</t>
  </si>
  <si>
    <t>POL50918</t>
  </si>
  <si>
    <t>POL50921</t>
  </si>
  <si>
    <t>POL50922</t>
  </si>
  <si>
    <t>POL50923</t>
  </si>
  <si>
    <t>POL50924</t>
  </si>
  <si>
    <t>POL50927</t>
  </si>
  <si>
    <t>POL50928</t>
  </si>
  <si>
    <t>AGT5276</t>
  </si>
  <si>
    <t>POL50929</t>
  </si>
  <si>
    <t>POL50930</t>
  </si>
  <si>
    <t>POL50931</t>
  </si>
  <si>
    <t>POL50932</t>
  </si>
  <si>
    <t>AGT5029</t>
  </si>
  <si>
    <t>POL50934</t>
  </si>
  <si>
    <t>POL50935</t>
  </si>
  <si>
    <t>POL50936</t>
  </si>
  <si>
    <t>POL50937</t>
  </si>
  <si>
    <t>POL50938</t>
  </si>
  <si>
    <t>POL50939</t>
  </si>
  <si>
    <t>POL50941</t>
  </si>
  <si>
    <t>POL50942</t>
  </si>
  <si>
    <t>POL50944</t>
  </si>
  <si>
    <t>POL50946</t>
  </si>
  <si>
    <t>POL50947</t>
  </si>
  <si>
    <t>POL50948</t>
  </si>
  <si>
    <t>POL50949</t>
  </si>
  <si>
    <t>POL50951</t>
  </si>
  <si>
    <t>POL50952</t>
  </si>
  <si>
    <t>POL50953</t>
  </si>
  <si>
    <t>POL50954</t>
  </si>
  <si>
    <t>POL50955</t>
  </si>
  <si>
    <t>POL50956</t>
  </si>
  <si>
    <t>POL50957</t>
  </si>
  <si>
    <t>POL50958</t>
  </si>
  <si>
    <t>POL50959</t>
  </si>
  <si>
    <t>POL50960</t>
  </si>
  <si>
    <t>POL50961</t>
  </si>
  <si>
    <t>POL50962</t>
  </si>
  <si>
    <t>POL50964</t>
  </si>
  <si>
    <t>POL50965</t>
  </si>
  <si>
    <t>POL50966</t>
  </si>
  <si>
    <t>AGT5175</t>
  </si>
  <si>
    <t>POL50967</t>
  </si>
  <si>
    <t>POL50968</t>
  </si>
  <si>
    <t>POL50969</t>
  </si>
  <si>
    <t>AGT5010</t>
  </si>
  <si>
    <t>POL50970</t>
  </si>
  <si>
    <t>POL50972</t>
  </si>
  <si>
    <t>POL50974</t>
  </si>
  <si>
    <t>POL50975</t>
  </si>
  <si>
    <t>POL50976</t>
  </si>
  <si>
    <t>POL50977</t>
  </si>
  <si>
    <t>POL50979</t>
  </si>
  <si>
    <t>POL50980</t>
  </si>
  <si>
    <t>POL50981</t>
  </si>
  <si>
    <t>POL50983</t>
  </si>
  <si>
    <t>POL50984</t>
  </si>
  <si>
    <t>POL50988</t>
  </si>
  <si>
    <t>POL50989</t>
  </si>
  <si>
    <t>POL50990</t>
  </si>
  <si>
    <t>POL50993</t>
  </si>
  <si>
    <t>POL50994</t>
  </si>
  <si>
    <t>POL50995</t>
  </si>
  <si>
    <t>POL50996</t>
  </si>
  <si>
    <t>POL50997</t>
  </si>
  <si>
    <t>POL50999</t>
  </si>
  <si>
    <t>POL51000</t>
  </si>
  <si>
    <t>POL51001</t>
  </si>
  <si>
    <t>POL51002</t>
  </si>
  <si>
    <t>POL51003</t>
  </si>
  <si>
    <t>POL51004</t>
  </si>
  <si>
    <t>POL51005</t>
  </si>
  <si>
    <t>POL51006</t>
  </si>
  <si>
    <t>POL51007</t>
  </si>
  <si>
    <t>POL51008</t>
  </si>
  <si>
    <t>POL51010</t>
  </si>
  <si>
    <t>POL51011</t>
  </si>
  <si>
    <t>POL51012</t>
  </si>
  <si>
    <t>POL51013</t>
  </si>
  <si>
    <t>POL51015</t>
  </si>
  <si>
    <t>POL51016</t>
  </si>
  <si>
    <t>POL51017</t>
  </si>
  <si>
    <t>AGT5074</t>
  </si>
  <si>
    <t>POL51018</t>
  </si>
  <si>
    <t>POL51020</t>
  </si>
  <si>
    <t>POL51022</t>
  </si>
  <si>
    <t>POL51024</t>
  </si>
  <si>
    <t>POL51025</t>
  </si>
  <si>
    <t>POL51026</t>
  </si>
  <si>
    <t>POL51027</t>
  </si>
  <si>
    <t>POL51030</t>
  </si>
  <si>
    <t>AGT5018</t>
  </si>
  <si>
    <t>POL51031</t>
  </si>
  <si>
    <t>POL51032</t>
  </si>
  <si>
    <t>POL51034</t>
  </si>
  <si>
    <t>AGT5169</t>
  </si>
  <si>
    <t>POL51035</t>
  </si>
  <si>
    <t>POL51037</t>
  </si>
  <si>
    <t>POL51038</t>
  </si>
  <si>
    <t>POL51039</t>
  </si>
  <si>
    <t>POL51040</t>
  </si>
  <si>
    <t>POL51041</t>
  </si>
  <si>
    <t>POL51042</t>
  </si>
  <si>
    <t>POL51043</t>
  </si>
  <si>
    <t>POL51045</t>
  </si>
  <si>
    <t>POL51046</t>
  </si>
  <si>
    <t>POL51048</t>
  </si>
  <si>
    <t>POL51049</t>
  </si>
  <si>
    <t>AGT5202</t>
  </si>
  <si>
    <t>POL51050</t>
  </si>
  <si>
    <t>POL51051</t>
  </si>
  <si>
    <t>POL51052</t>
  </si>
  <si>
    <t>POL51053</t>
  </si>
  <si>
    <t>POL51055</t>
  </si>
  <si>
    <t>POL51056</t>
  </si>
  <si>
    <t>AGT5214</t>
  </si>
  <si>
    <t>POL51058</t>
  </si>
  <si>
    <t>POL51060</t>
  </si>
  <si>
    <t>POL51061</t>
  </si>
  <si>
    <t>POL51062</t>
  </si>
  <si>
    <t>POL51064</t>
  </si>
  <si>
    <t>AGT5186</t>
  </si>
  <si>
    <t>POL51065</t>
  </si>
  <si>
    <t>POL51066</t>
  </si>
  <si>
    <t>POL51068</t>
  </si>
  <si>
    <t>POL51069</t>
  </si>
  <si>
    <t>POL51071</t>
  </si>
  <si>
    <t>AGT5068</t>
  </si>
  <si>
    <t>POL51073</t>
  </si>
  <si>
    <t>POL51074</t>
  </si>
  <si>
    <t>POL51075</t>
  </si>
  <si>
    <t>POL51078</t>
  </si>
  <si>
    <t>AGT5100</t>
  </si>
  <si>
    <t>POL51079</t>
  </si>
  <si>
    <t>POL51081</t>
  </si>
  <si>
    <t>POL51082</t>
  </si>
  <si>
    <t>POL51085</t>
  </si>
  <si>
    <t>POL51086</t>
  </si>
  <si>
    <t>POL51087</t>
  </si>
  <si>
    <t>POL51088</t>
  </si>
  <si>
    <t>AGT5153</t>
  </si>
  <si>
    <t>POL51089</t>
  </si>
  <si>
    <t>POL51090</t>
  </si>
  <si>
    <t>POL51092</t>
  </si>
  <si>
    <t>POL51093</t>
  </si>
  <si>
    <t>POL51094</t>
  </si>
  <si>
    <t>POL51095</t>
  </si>
  <si>
    <t>POL51096</t>
  </si>
  <si>
    <t>POL51098</t>
  </si>
  <si>
    <t>POL51099</t>
  </si>
  <si>
    <t>POL51100</t>
  </si>
  <si>
    <t>POL51104</t>
  </si>
  <si>
    <t>POL51105</t>
  </si>
  <si>
    <t>POL51108</t>
  </si>
  <si>
    <t>POL51109</t>
  </si>
  <si>
    <t>POL51110</t>
  </si>
  <si>
    <t>AGT5251</t>
  </si>
  <si>
    <t>POL51111</t>
  </si>
  <si>
    <t>POL51112</t>
  </si>
  <si>
    <t>POL51113</t>
  </si>
  <si>
    <t>POL51114</t>
  </si>
  <si>
    <t>POL51115</t>
  </si>
  <si>
    <t>POL51116</t>
  </si>
  <si>
    <t>POL51117</t>
  </si>
  <si>
    <t>POL51118</t>
  </si>
  <si>
    <t>POL51120</t>
  </si>
  <si>
    <t>POL51121</t>
  </si>
  <si>
    <t>POL51124</t>
  </si>
  <si>
    <t>POL51126</t>
  </si>
  <si>
    <t>POL51127</t>
  </si>
  <si>
    <t>POL51128</t>
  </si>
  <si>
    <t>POL51131</t>
  </si>
  <si>
    <t>POL51133</t>
  </si>
  <si>
    <t>POL51134</t>
  </si>
  <si>
    <t>POL51135</t>
  </si>
  <si>
    <t>POL51136</t>
  </si>
  <si>
    <t>POL51137</t>
  </si>
  <si>
    <t>POL51139</t>
  </si>
  <si>
    <t>POL51140</t>
  </si>
  <si>
    <t>POL51145</t>
  </si>
  <si>
    <t>AGT5263</t>
  </si>
  <si>
    <t>POL51146</t>
  </si>
  <si>
    <t>POL51147</t>
  </si>
  <si>
    <t>POL51148</t>
  </si>
  <si>
    <t>POL51149</t>
  </si>
  <si>
    <t>POL51150</t>
  </si>
  <si>
    <t>POL51151</t>
  </si>
  <si>
    <t>POL51152</t>
  </si>
  <si>
    <t>POL51153</t>
  </si>
  <si>
    <t>POL51154</t>
  </si>
  <si>
    <t>AGT5046</t>
  </si>
  <si>
    <t>POL51155</t>
  </si>
  <si>
    <t>POL51157</t>
  </si>
  <si>
    <t>POL51160</t>
  </si>
  <si>
    <t>POL51161</t>
  </si>
  <si>
    <t>POL51162</t>
  </si>
  <si>
    <t>POL51163</t>
  </si>
  <si>
    <t>POL51165</t>
  </si>
  <si>
    <t>POL51166</t>
  </si>
  <si>
    <t>POL51167</t>
  </si>
  <si>
    <t>POL51169</t>
  </si>
  <si>
    <t>POL51171</t>
  </si>
  <si>
    <t>POL51172</t>
  </si>
  <si>
    <t>POL51173</t>
  </si>
  <si>
    <t>POL51174</t>
  </si>
  <si>
    <t>POL51175</t>
  </si>
  <si>
    <t>POL51176</t>
  </si>
  <si>
    <t>POL51177</t>
  </si>
  <si>
    <t>POL51178</t>
  </si>
  <si>
    <t>POL51179</t>
  </si>
  <si>
    <t>POL51180</t>
  </si>
  <si>
    <t>POL51181</t>
  </si>
  <si>
    <t>POL51182</t>
  </si>
  <si>
    <t>POL51183</t>
  </si>
  <si>
    <t>POL51184</t>
  </si>
  <si>
    <t>POL51186</t>
  </si>
  <si>
    <t>POL51187</t>
  </si>
  <si>
    <t>POL51189</t>
  </si>
  <si>
    <t>POL51190</t>
  </si>
  <si>
    <t>POL51191</t>
  </si>
  <si>
    <t>POL51195</t>
  </si>
  <si>
    <t>POL51196</t>
  </si>
  <si>
    <t>POL51198</t>
  </si>
  <si>
    <t>POL51199</t>
  </si>
  <si>
    <t>POL51200</t>
  </si>
  <si>
    <t>POL51203</t>
  </si>
  <si>
    <t>POL51206</t>
  </si>
  <si>
    <t>POL51207</t>
  </si>
  <si>
    <t>AGT5198</t>
  </si>
  <si>
    <t>POL51212</t>
  </si>
  <si>
    <t>POL51214</t>
  </si>
  <si>
    <t>POL51215</t>
  </si>
  <si>
    <t>POL51216</t>
  </si>
  <si>
    <t>POL51217</t>
  </si>
  <si>
    <t>POL51218</t>
  </si>
  <si>
    <t>POL51219</t>
  </si>
  <si>
    <t>POL51220</t>
  </si>
  <si>
    <t>POL51221</t>
  </si>
  <si>
    <t>POL51222</t>
  </si>
  <si>
    <t>POL51223</t>
  </si>
  <si>
    <t>POL51225</t>
  </si>
  <si>
    <t>POL51227</t>
  </si>
  <si>
    <t>POL51228</t>
  </si>
  <si>
    <t>POL51230</t>
  </si>
  <si>
    <t>POL51231</t>
  </si>
  <si>
    <t>POL51235</t>
  </si>
  <si>
    <t>POL51236</t>
  </si>
  <si>
    <t>POL51237</t>
  </si>
  <si>
    <t>POL51238</t>
  </si>
  <si>
    <t>POL51239</t>
  </si>
  <si>
    <t>POL51240</t>
  </si>
  <si>
    <t>POL51241</t>
  </si>
  <si>
    <t>POL51243</t>
  </si>
  <si>
    <t>POL51244</t>
  </si>
  <si>
    <t>POL51245</t>
  </si>
  <si>
    <t>POL51246</t>
  </si>
  <si>
    <t>POL51247</t>
  </si>
  <si>
    <t>POL51249</t>
  </si>
  <si>
    <t>POL51250</t>
  </si>
  <si>
    <t>POL51253</t>
  </si>
  <si>
    <t>POL51254</t>
  </si>
  <si>
    <t>POL51255</t>
  </si>
  <si>
    <t>POL51256</t>
  </si>
  <si>
    <t>POL51258</t>
  </si>
  <si>
    <t>POL51259</t>
  </si>
  <si>
    <t>POL51260</t>
  </si>
  <si>
    <t>POL51261</t>
  </si>
  <si>
    <t>POL51262</t>
  </si>
  <si>
    <t>POL51263</t>
  </si>
  <si>
    <t>POL51264</t>
  </si>
  <si>
    <t>POL51268</t>
  </si>
  <si>
    <t>POL51269</t>
  </si>
  <si>
    <t>POL51272</t>
  </si>
  <si>
    <t>AGT5257</t>
  </si>
  <si>
    <t>POL51273</t>
  </si>
  <si>
    <t>POL51274</t>
  </si>
  <si>
    <t>POL51275</t>
  </si>
  <si>
    <t>POL51276</t>
  </si>
  <si>
    <t>POL51277</t>
  </si>
  <si>
    <t>POL51279</t>
  </si>
  <si>
    <t>POL51280</t>
  </si>
  <si>
    <t>POL51283</t>
  </si>
  <si>
    <t>POL51286</t>
  </si>
  <si>
    <t>POL51287</t>
  </si>
  <si>
    <t>POL51288</t>
  </si>
  <si>
    <t>POL51290</t>
  </si>
  <si>
    <t>POL51291</t>
  </si>
  <si>
    <t>POL51292</t>
  </si>
  <si>
    <t>POL51293</t>
  </si>
  <si>
    <t>POL51297</t>
  </si>
  <si>
    <t>POL51298</t>
  </si>
  <si>
    <t>POL51299</t>
  </si>
  <si>
    <t>AGT5128</t>
  </si>
  <si>
    <t>POL51300</t>
  </si>
  <si>
    <t>POL51301</t>
  </si>
  <si>
    <t>POL51303</t>
  </si>
  <si>
    <t>POL51304</t>
  </si>
  <si>
    <t>POL51307</t>
  </si>
  <si>
    <t>POL51308</t>
  </si>
  <si>
    <t>POL51312</t>
  </si>
  <si>
    <t>POL51313</t>
  </si>
  <si>
    <t>POL51314</t>
  </si>
  <si>
    <t>POL51317</t>
  </si>
  <si>
    <t>POL51318</t>
  </si>
  <si>
    <t>POL51319</t>
  </si>
  <si>
    <t>POL51320</t>
  </si>
  <si>
    <t>POL51321</t>
  </si>
  <si>
    <t>POL51322</t>
  </si>
  <si>
    <t>POL51323</t>
  </si>
  <si>
    <t>POL51324</t>
  </si>
  <si>
    <t>POL51325</t>
  </si>
  <si>
    <t>POL51326</t>
  </si>
  <si>
    <t>POL51327</t>
  </si>
  <si>
    <t>AGT5084</t>
  </si>
  <si>
    <t>POL51328</t>
  </si>
  <si>
    <t>POL51329</t>
  </si>
  <si>
    <t>POL51330</t>
  </si>
  <si>
    <t>AGT5039</t>
  </si>
  <si>
    <t>POL51331</t>
  </si>
  <si>
    <t>POL51335</t>
  </si>
  <si>
    <t>POL51337</t>
  </si>
  <si>
    <t>POL51338</t>
  </si>
  <si>
    <t>POL51339</t>
  </si>
  <si>
    <t>POL51340</t>
  </si>
  <si>
    <t>POL51341</t>
  </si>
  <si>
    <t>POL51343</t>
  </si>
  <si>
    <t>POL51344</t>
  </si>
  <si>
    <t>POL51345</t>
  </si>
  <si>
    <t>POL51346</t>
  </si>
  <si>
    <t>POL51347</t>
  </si>
  <si>
    <t>POL51348</t>
  </si>
  <si>
    <t>POL51349</t>
  </si>
  <si>
    <t>POL51350</t>
  </si>
  <si>
    <t>POL51351</t>
  </si>
  <si>
    <t>POL51353</t>
  </si>
  <si>
    <t>POL51355</t>
  </si>
  <si>
    <t>POL51356</t>
  </si>
  <si>
    <t>POL51357</t>
  </si>
  <si>
    <t>POL51358</t>
  </si>
  <si>
    <t>POL51360</t>
  </si>
  <si>
    <t>AGT5291</t>
  </si>
  <si>
    <t>POL51361</t>
  </si>
  <si>
    <t>POL51362</t>
  </si>
  <si>
    <t>POL51363</t>
  </si>
  <si>
    <t>POL51364</t>
  </si>
  <si>
    <t>POL51365</t>
  </si>
  <si>
    <t>POL51367</t>
  </si>
  <si>
    <t>AGT5152</t>
  </si>
  <si>
    <t>POL51368</t>
  </si>
  <si>
    <t>POL51370</t>
  </si>
  <si>
    <t>POL51371</t>
  </si>
  <si>
    <t>POL51374</t>
  </si>
  <si>
    <t>POL51376</t>
  </si>
  <si>
    <t>POL51378</t>
  </si>
  <si>
    <t>POL51379</t>
  </si>
  <si>
    <t>POL51381</t>
  </si>
  <si>
    <t>POL51382</t>
  </si>
  <si>
    <t>POL51383</t>
  </si>
  <si>
    <t>POL51384</t>
  </si>
  <si>
    <t>POL51385</t>
  </si>
  <si>
    <t>POL51386</t>
  </si>
  <si>
    <t>POL51387</t>
  </si>
  <si>
    <t>POL51388</t>
  </si>
  <si>
    <t>POL51389</t>
  </si>
  <si>
    <t>POL51390</t>
  </si>
  <si>
    <t>POL51396</t>
  </si>
  <si>
    <t>POL51397</t>
  </si>
  <si>
    <t>AGT5093</t>
  </si>
  <si>
    <t>POL51400</t>
  </si>
  <si>
    <t>POL51401</t>
  </si>
  <si>
    <t>POL51402</t>
  </si>
  <si>
    <t>POL51403</t>
  </si>
  <si>
    <t>POL51404</t>
  </si>
  <si>
    <t>POL51406</t>
  </si>
  <si>
    <t>POL51408</t>
  </si>
  <si>
    <t>POL51409</t>
  </si>
  <si>
    <t>POL51410</t>
  </si>
  <si>
    <t>AGT5162</t>
  </si>
  <si>
    <t>POL51411</t>
  </si>
  <si>
    <t>POL51413</t>
  </si>
  <si>
    <t>POL51414</t>
  </si>
  <si>
    <t>POL51416</t>
  </si>
  <si>
    <t>POL51417</t>
  </si>
  <si>
    <t>POL51418</t>
  </si>
  <si>
    <t>POL51421</t>
  </si>
  <si>
    <t>POL51422</t>
  </si>
  <si>
    <t>POL51423</t>
  </si>
  <si>
    <t>POL51424</t>
  </si>
  <si>
    <t>AGT5221</t>
  </si>
  <si>
    <t>POL51426</t>
  </si>
  <si>
    <t>POL51427</t>
  </si>
  <si>
    <t>POL51428</t>
  </si>
  <si>
    <t>AGT5087</t>
  </si>
  <si>
    <t>POL51431</t>
  </si>
  <si>
    <t>POL51434</t>
  </si>
  <si>
    <t>POL51435</t>
  </si>
  <si>
    <t>POL51438</t>
  </si>
  <si>
    <t>POL51439</t>
  </si>
  <si>
    <t>POL51440</t>
  </si>
  <si>
    <t>POL51441</t>
  </si>
  <si>
    <t>POL51442</t>
  </si>
  <si>
    <t>POL51443</t>
  </si>
  <si>
    <t>POL51444</t>
  </si>
  <si>
    <t>POL51446</t>
  </si>
  <si>
    <t>POL51447</t>
  </si>
  <si>
    <t>POL51448</t>
  </si>
  <si>
    <t>POL51449</t>
  </si>
  <si>
    <t>POL51450</t>
  </si>
  <si>
    <t>POL51451</t>
  </si>
  <si>
    <t>POL51452</t>
  </si>
  <si>
    <t>POL51455</t>
  </si>
  <si>
    <t>POL51456</t>
  </si>
  <si>
    <t>POL51457</t>
  </si>
  <si>
    <t>POL51458</t>
  </si>
  <si>
    <t>POL51461</t>
  </si>
  <si>
    <t>POL51462</t>
  </si>
  <si>
    <t>POL51463</t>
  </si>
  <si>
    <t>POL51464</t>
  </si>
  <si>
    <t>POL51465</t>
  </si>
  <si>
    <t>POL51467</t>
  </si>
  <si>
    <t>POL51469</t>
  </si>
  <si>
    <t>POL51470</t>
  </si>
  <si>
    <t>POL51472</t>
  </si>
  <si>
    <t>POL51473</t>
  </si>
  <si>
    <t>POL51474</t>
  </si>
  <si>
    <t>POL51475</t>
  </si>
  <si>
    <t>POL51476</t>
  </si>
  <si>
    <t>POL51477</t>
  </si>
  <si>
    <t>POL51478</t>
  </si>
  <si>
    <t>POL51479</t>
  </si>
  <si>
    <t>POL51481</t>
  </si>
  <si>
    <t>POL51482</t>
  </si>
  <si>
    <t>POL51484</t>
  </si>
  <si>
    <t>AGT5265</t>
  </si>
  <si>
    <t>POL51485</t>
  </si>
  <si>
    <t>POL51486</t>
  </si>
  <si>
    <t>POL51493</t>
  </si>
  <si>
    <t>POL51495</t>
  </si>
  <si>
    <t>POL51496</t>
  </si>
  <si>
    <t>POL51497</t>
  </si>
  <si>
    <t>POL51499</t>
  </si>
  <si>
    <t>POL51500</t>
  </si>
  <si>
    <t>POL51501</t>
  </si>
  <si>
    <t>POL51502</t>
  </si>
  <si>
    <t>POL51504</t>
  </si>
  <si>
    <t>POL51505</t>
  </si>
  <si>
    <t>POL51507</t>
  </si>
  <si>
    <t>POL51509</t>
  </si>
  <si>
    <t>POL51510</t>
  </si>
  <si>
    <t>AGT5283</t>
  </si>
  <si>
    <t>POL51511</t>
  </si>
  <si>
    <t>POL51512</t>
  </si>
  <si>
    <t>POL51513</t>
  </si>
  <si>
    <t>POL51515</t>
  </si>
  <si>
    <t>POL51516</t>
  </si>
  <si>
    <t>POL51517</t>
  </si>
  <si>
    <t>POL51518</t>
  </si>
  <si>
    <t>POL51519</t>
  </si>
  <si>
    <t>POL51520</t>
  </si>
  <si>
    <t>POL51521</t>
  </si>
  <si>
    <t>POL51524</t>
  </si>
  <si>
    <t>POL51526</t>
  </si>
  <si>
    <t>POL51528</t>
  </si>
  <si>
    <t>POL51529</t>
  </si>
  <si>
    <t>POL51534</t>
  </si>
  <si>
    <t>POL51535</t>
  </si>
  <si>
    <t>AGT5218</t>
  </si>
  <si>
    <t>POL51537</t>
  </si>
  <si>
    <t>POL51538</t>
  </si>
  <si>
    <t>POL51541</t>
  </si>
  <si>
    <t>POL51542</t>
  </si>
  <si>
    <t>POL51543</t>
  </si>
  <si>
    <t>POL51544</t>
  </si>
  <si>
    <t>POL51545</t>
  </si>
  <si>
    <t>POL51547</t>
  </si>
  <si>
    <t>POL51548</t>
  </si>
  <si>
    <t>POL51549</t>
  </si>
  <si>
    <t>POL51550</t>
  </si>
  <si>
    <t>POL51553</t>
  </si>
  <si>
    <t>POL51555</t>
  </si>
  <si>
    <t>POL51557</t>
  </si>
  <si>
    <t>POL51558</t>
  </si>
  <si>
    <t>POL51559</t>
  </si>
  <si>
    <t>AGT5069</t>
  </si>
  <si>
    <t>POL51560</t>
  </si>
  <si>
    <t>POL51561</t>
  </si>
  <si>
    <t>POL51565</t>
  </si>
  <si>
    <t>POL51566</t>
  </si>
  <si>
    <t>POL51567</t>
  </si>
  <si>
    <t>POL51568</t>
  </si>
  <si>
    <t>POL51570</t>
  </si>
  <si>
    <t>POL51571</t>
  </si>
  <si>
    <t>POL51572</t>
  </si>
  <si>
    <t>POL51573</t>
  </si>
  <si>
    <t>POL51574</t>
  </si>
  <si>
    <t>POL51575</t>
  </si>
  <si>
    <t>POL51577</t>
  </si>
  <si>
    <t>POL51578</t>
  </si>
  <si>
    <t>POL51579</t>
  </si>
  <si>
    <t>POL51580</t>
  </si>
  <si>
    <t>POL51581</t>
  </si>
  <si>
    <t>POL51582</t>
  </si>
  <si>
    <t>POL51583</t>
  </si>
  <si>
    <t>POL51584</t>
  </si>
  <si>
    <t>POL51585</t>
  </si>
  <si>
    <t>POL51587</t>
  </si>
  <si>
    <t>POL51589</t>
  </si>
  <si>
    <t>POL51590</t>
  </si>
  <si>
    <t>POL51591</t>
  </si>
  <si>
    <t>POL51593</t>
  </si>
  <si>
    <t>POL51594</t>
  </si>
  <si>
    <t>POL51595</t>
  </si>
  <si>
    <t>POL51597</t>
  </si>
  <si>
    <t>POL51598</t>
  </si>
  <si>
    <t>POL51600</t>
  </si>
  <si>
    <t>POL51601</t>
  </si>
  <si>
    <t>POL51603</t>
  </si>
  <si>
    <t>POL51604</t>
  </si>
  <si>
    <t>POL51606</t>
  </si>
  <si>
    <t>POL51607</t>
  </si>
  <si>
    <t>POL51608</t>
  </si>
  <si>
    <t>POL51610</t>
  </si>
  <si>
    <t>POL51615</t>
  </si>
  <si>
    <t>POL51617</t>
  </si>
  <si>
    <t>POL51618</t>
  </si>
  <si>
    <t>POL51619</t>
  </si>
  <si>
    <t>POL51622</t>
  </si>
  <si>
    <t>POL51623</t>
  </si>
  <si>
    <t>POL51624</t>
  </si>
  <si>
    <t>POL51625</t>
  </si>
  <si>
    <t>POL51626</t>
  </si>
  <si>
    <t>POL51628</t>
  </si>
  <si>
    <t>POL51629</t>
  </si>
  <si>
    <t>POL51631</t>
  </si>
  <si>
    <t>POL51633</t>
  </si>
  <si>
    <t>POL51634</t>
  </si>
  <si>
    <t>POL51635</t>
  </si>
  <si>
    <t>POL51636</t>
  </si>
  <si>
    <t>POL51639</t>
  </si>
  <si>
    <t>POL51642</t>
  </si>
  <si>
    <t>POL51644</t>
  </si>
  <si>
    <t>POL51645</t>
  </si>
  <si>
    <t>POL51647</t>
  </si>
  <si>
    <t>POL51648</t>
  </si>
  <si>
    <t>POL51649</t>
  </si>
  <si>
    <t>POL51650</t>
  </si>
  <si>
    <t>POL51651</t>
  </si>
  <si>
    <t>POL51654</t>
  </si>
  <si>
    <t>POL51655</t>
  </si>
  <si>
    <t>POL51656</t>
  </si>
  <si>
    <t>POL51657</t>
  </si>
  <si>
    <t>POL51658</t>
  </si>
  <si>
    <t>POL51659</t>
  </si>
  <si>
    <t>POL51660</t>
  </si>
  <si>
    <t>POL51662</t>
  </si>
  <si>
    <t>POL51663</t>
  </si>
  <si>
    <t>POL51664</t>
  </si>
  <si>
    <t>POL51666</t>
  </si>
  <si>
    <t>POL51667</t>
  </si>
  <si>
    <t>POL51668</t>
  </si>
  <si>
    <t>POL51669</t>
  </si>
  <si>
    <t>POL51670</t>
  </si>
  <si>
    <t>POL51672</t>
  </si>
  <si>
    <t>POL51674</t>
  </si>
  <si>
    <t>POL51675</t>
  </si>
  <si>
    <t>POL51677</t>
  </si>
  <si>
    <t>POL51678</t>
  </si>
  <si>
    <t>POL51679</t>
  </si>
  <si>
    <t>POL51680</t>
  </si>
  <si>
    <t>POL51681</t>
  </si>
  <si>
    <t>POL51682</t>
  </si>
  <si>
    <t>POL51684</t>
  </si>
  <si>
    <t>POL51685</t>
  </si>
  <si>
    <t>POL51686</t>
  </si>
  <si>
    <t>POL51687</t>
  </si>
  <si>
    <t>POL51689</t>
  </si>
  <si>
    <t>POL51690</t>
  </si>
  <si>
    <t>POL51691</t>
  </si>
  <si>
    <t>POL51692</t>
  </si>
  <si>
    <t>POL51694</t>
  </si>
  <si>
    <t>POL51695</t>
  </si>
  <si>
    <t>POL51696</t>
  </si>
  <si>
    <t>POL51697</t>
  </si>
  <si>
    <t>POL51698</t>
  </si>
  <si>
    <t>POL51699</t>
  </si>
  <si>
    <t>POL51702</t>
  </si>
  <si>
    <t>POL51704</t>
  </si>
  <si>
    <t>POL51707</t>
  </si>
  <si>
    <t>POL51710</t>
  </si>
  <si>
    <t>POL51711</t>
  </si>
  <si>
    <t>POL51712</t>
  </si>
  <si>
    <t>POL51713</t>
  </si>
  <si>
    <t>POL51714</t>
  </si>
  <si>
    <t>POL51715</t>
  </si>
  <si>
    <t>POL51717</t>
  </si>
  <si>
    <t>POL51718</t>
  </si>
  <si>
    <t>POL51719</t>
  </si>
  <si>
    <t>POL51720</t>
  </si>
  <si>
    <t>POL51722</t>
  </si>
  <si>
    <t>POL51723</t>
  </si>
  <si>
    <t>POL51724</t>
  </si>
  <si>
    <t>POL51725</t>
  </si>
  <si>
    <t>POL51726</t>
  </si>
  <si>
    <t>POL51727</t>
  </si>
  <si>
    <t>AGT5044</t>
  </si>
  <si>
    <t>POL51728</t>
  </si>
  <si>
    <t>POL51729</t>
  </si>
  <si>
    <t>POL51730</t>
  </si>
  <si>
    <t>POL51731</t>
  </si>
  <si>
    <t>AGT5258</t>
  </si>
  <si>
    <t>POL51732</t>
  </si>
  <si>
    <t>POL51733</t>
  </si>
  <si>
    <t>POL51735</t>
  </si>
  <si>
    <t>POL51737</t>
  </si>
  <si>
    <t>POL51738</t>
  </si>
  <si>
    <t>POL51739</t>
  </si>
  <si>
    <t>POL51741</t>
  </si>
  <si>
    <t>AGT5139</t>
  </si>
  <si>
    <t>POL51742</t>
  </si>
  <si>
    <t>POL51743</t>
  </si>
  <si>
    <t>POL51744</t>
  </si>
  <si>
    <t>POL51745</t>
  </si>
  <si>
    <t>POL51748</t>
  </si>
  <si>
    <t>POL51751</t>
  </si>
  <si>
    <t>POL51752</t>
  </si>
  <si>
    <t>POL51753</t>
  </si>
  <si>
    <t>POL51754</t>
  </si>
  <si>
    <t>POL51756</t>
  </si>
  <si>
    <t>POL51757</t>
  </si>
  <si>
    <t>POL51760</t>
  </si>
  <si>
    <t>POL51761</t>
  </si>
  <si>
    <t>POL51762</t>
  </si>
  <si>
    <t>POL51763</t>
  </si>
  <si>
    <t>POL51765</t>
  </si>
  <si>
    <t>POL51769</t>
  </si>
  <si>
    <t>POL51770</t>
  </si>
  <si>
    <t>POL51771</t>
  </si>
  <si>
    <t>POL51774</t>
  </si>
  <si>
    <t>POL51775</t>
  </si>
  <si>
    <t>POL51777</t>
  </si>
  <si>
    <t>POL51779</t>
  </si>
  <si>
    <t>POL51780</t>
  </si>
  <si>
    <t>POL51781</t>
  </si>
  <si>
    <t>POL51782</t>
  </si>
  <si>
    <t>POL51783</t>
  </si>
  <si>
    <t>POL51785</t>
  </si>
  <si>
    <t>POL51786</t>
  </si>
  <si>
    <t>POL51788</t>
  </si>
  <si>
    <t>POL51791</t>
  </si>
  <si>
    <t>POL51792</t>
  </si>
  <si>
    <t>POL51793</t>
  </si>
  <si>
    <t>POL51794</t>
  </si>
  <si>
    <t>POL51797</t>
  </si>
  <si>
    <t>POL51798</t>
  </si>
  <si>
    <t>POL51799</t>
  </si>
  <si>
    <t>POL51802</t>
  </si>
  <si>
    <t>POL51803</t>
  </si>
  <si>
    <t>POL51804</t>
  </si>
  <si>
    <t>POL51806</t>
  </si>
  <si>
    <t>POL51808</t>
  </si>
  <si>
    <t>POL51809</t>
  </si>
  <si>
    <t>POL51811</t>
  </si>
  <si>
    <t>POL51812</t>
  </si>
  <si>
    <t>POL51814</t>
  </si>
  <si>
    <t>POL51816</t>
  </si>
  <si>
    <t>POL51817</t>
  </si>
  <si>
    <t>POL51818</t>
  </si>
  <si>
    <t>POL51819</t>
  </si>
  <si>
    <t>POL51820</t>
  </si>
  <si>
    <t>POL51821</t>
  </si>
  <si>
    <t>POL51822</t>
  </si>
  <si>
    <t>POL51823</t>
  </si>
  <si>
    <t>POL51824</t>
  </si>
  <si>
    <t>POL51826</t>
  </si>
  <si>
    <t>POL51827</t>
  </si>
  <si>
    <t>POL51832</t>
  </si>
  <si>
    <t>POL51833</t>
  </si>
  <si>
    <t>POL51834</t>
  </si>
  <si>
    <t>POL51835</t>
  </si>
  <si>
    <t>POL51836</t>
  </si>
  <si>
    <t>POL51837</t>
  </si>
  <si>
    <t>POL51838</t>
  </si>
  <si>
    <t>POL51839</t>
  </si>
  <si>
    <t>POL51840</t>
  </si>
  <si>
    <t>POL51841</t>
  </si>
  <si>
    <t>POL51843</t>
  </si>
  <si>
    <t>POL51844</t>
  </si>
  <si>
    <t>POL51846</t>
  </si>
  <si>
    <t>POL51848</t>
  </si>
  <si>
    <t>POL51849</t>
  </si>
  <si>
    <t>POL51852</t>
  </si>
  <si>
    <t>POL51853</t>
  </si>
  <si>
    <t>POL51854</t>
  </si>
  <si>
    <t>POL51855</t>
  </si>
  <si>
    <t>POL51857</t>
  </si>
  <si>
    <t>POL51859</t>
  </si>
  <si>
    <t>POL51860</t>
  </si>
  <si>
    <t>POL51863</t>
  </si>
  <si>
    <t>POL51864</t>
  </si>
  <si>
    <t>POL51865</t>
  </si>
  <si>
    <t>POL51867</t>
  </si>
  <si>
    <t>POL51868</t>
  </si>
  <si>
    <t>POL51869</t>
  </si>
  <si>
    <t>POL51870</t>
  </si>
  <si>
    <t>POL51871</t>
  </si>
  <si>
    <t>POL51873</t>
  </si>
  <si>
    <t>POL51874</t>
  </si>
  <si>
    <t>POL51875</t>
  </si>
  <si>
    <t>POL51876</t>
  </si>
  <si>
    <t>POL51878</t>
  </si>
  <si>
    <t>POL51879</t>
  </si>
  <si>
    <t>POL51880</t>
  </si>
  <si>
    <t>POL51882</t>
  </si>
  <si>
    <t>POL51883</t>
  </si>
  <si>
    <t>POL51884</t>
  </si>
  <si>
    <t>POL51885</t>
  </si>
  <si>
    <t>POL51886</t>
  </si>
  <si>
    <t>POL51887</t>
  </si>
  <si>
    <t>POL51888</t>
  </si>
  <si>
    <t>POL51889</t>
  </si>
  <si>
    <t>POL51892</t>
  </si>
  <si>
    <t>POL51893</t>
  </si>
  <si>
    <t>POL51894</t>
  </si>
  <si>
    <t>POL51895</t>
  </si>
  <si>
    <t>POL51896</t>
  </si>
  <si>
    <t>POL51897</t>
  </si>
  <si>
    <t>POL51898</t>
  </si>
  <si>
    <t>POL51899</t>
  </si>
  <si>
    <t>POL51901</t>
  </si>
  <si>
    <t>POL51902</t>
  </si>
  <si>
    <t>POL51903</t>
  </si>
  <si>
    <t>POL51905</t>
  </si>
  <si>
    <t>POL51906</t>
  </si>
  <si>
    <t>POL51908</t>
  </si>
  <si>
    <t>POL51909</t>
  </si>
  <si>
    <t>POL51910</t>
  </si>
  <si>
    <t>POL51913</t>
  </si>
  <si>
    <t>POL51915</t>
  </si>
  <si>
    <t>POL51916</t>
  </si>
  <si>
    <t>POL51917</t>
  </si>
  <si>
    <t>POL51918</t>
  </si>
  <si>
    <t>POL51921</t>
  </si>
  <si>
    <t>POL51922</t>
  </si>
  <si>
    <t>POL51923</t>
  </si>
  <si>
    <t>POL51924</t>
  </si>
  <si>
    <t>POL51926</t>
  </si>
  <si>
    <t>POL51927</t>
  </si>
  <si>
    <t>POL51928</t>
  </si>
  <si>
    <t>POL51932</t>
  </si>
  <si>
    <t>POL51933</t>
  </si>
  <si>
    <t>POL51935</t>
  </si>
  <si>
    <t>POL51936</t>
  </si>
  <si>
    <t>POL51937</t>
  </si>
  <si>
    <t>POL51938</t>
  </si>
  <si>
    <t>POL51940</t>
  </si>
  <si>
    <t>POL51941</t>
  </si>
  <si>
    <t>POL51942</t>
  </si>
  <si>
    <t>POL51943</t>
  </si>
  <si>
    <t>POL51944</t>
  </si>
  <si>
    <t>POL51945</t>
  </si>
  <si>
    <t>POL51946</t>
  </si>
  <si>
    <t>POL51947</t>
  </si>
  <si>
    <t>POL51948</t>
  </si>
  <si>
    <t>POL51950</t>
  </si>
  <si>
    <t>POL51951</t>
  </si>
  <si>
    <t>POL51959</t>
  </si>
  <si>
    <t>POL51961</t>
  </si>
  <si>
    <t>POL51962</t>
  </si>
  <si>
    <t>POL51963</t>
  </si>
  <si>
    <t>POL51964</t>
  </si>
  <si>
    <t>POL51965</t>
  </si>
  <si>
    <t>POL51966</t>
  </si>
  <si>
    <t>POL51967</t>
  </si>
  <si>
    <t>POL51968</t>
  </si>
  <si>
    <t>POL51969</t>
  </si>
  <si>
    <t>POL51970</t>
  </si>
  <si>
    <t>POL51971</t>
  </si>
  <si>
    <t>POL51972</t>
  </si>
  <si>
    <t>POL51973</t>
  </si>
  <si>
    <t>POL51975</t>
  </si>
  <si>
    <t>POL51976</t>
  </si>
  <si>
    <t>POL51978</t>
  </si>
  <si>
    <t>POL51979</t>
  </si>
  <si>
    <t>POL51981</t>
  </si>
  <si>
    <t>POL51982</t>
  </si>
  <si>
    <t>POL51983</t>
  </si>
  <si>
    <t>POL51984</t>
  </si>
  <si>
    <t>POL51988</t>
  </si>
  <si>
    <t>POL51992</t>
  </si>
  <si>
    <t>POL51993</t>
  </si>
  <si>
    <t>POL51995</t>
  </si>
  <si>
    <t>POL51996</t>
  </si>
  <si>
    <t>POL51997</t>
  </si>
  <si>
    <t>POL51998</t>
  </si>
  <si>
    <t>POL51999</t>
  </si>
  <si>
    <t>POL52001</t>
  </si>
  <si>
    <t>POL52002</t>
  </si>
  <si>
    <t>POL52004</t>
  </si>
  <si>
    <t>POL52008</t>
  </si>
  <si>
    <t>POL52009</t>
  </si>
  <si>
    <t>POL52010</t>
  </si>
  <si>
    <t>POL52011</t>
  </si>
  <si>
    <t>POL52012</t>
  </si>
  <si>
    <t>POL52013</t>
  </si>
  <si>
    <t>POL52014</t>
  </si>
  <si>
    <t>POL52015</t>
  </si>
  <si>
    <t>POL52016</t>
  </si>
  <si>
    <t>POL52017</t>
  </si>
  <si>
    <t>POL52018</t>
  </si>
  <si>
    <t>POL52019</t>
  </si>
  <si>
    <t>POL52020</t>
  </si>
  <si>
    <t>POL52021</t>
  </si>
  <si>
    <t>POL52023</t>
  </si>
  <si>
    <t>POL52024</t>
  </si>
  <si>
    <t>POL52026</t>
  </si>
  <si>
    <t>POL52028</t>
  </si>
  <si>
    <t>POL52031</t>
  </si>
  <si>
    <t>POL52033</t>
  </si>
  <si>
    <t>POL52035</t>
  </si>
  <si>
    <t>POL52039</t>
  </si>
  <si>
    <t>POL52040</t>
  </si>
  <si>
    <t>POL52041</t>
  </si>
  <si>
    <t>POL52042</t>
  </si>
  <si>
    <t>POL52043</t>
  </si>
  <si>
    <t>POL52044</t>
  </si>
  <si>
    <t>POL52045</t>
  </si>
  <si>
    <t>POL52047</t>
  </si>
  <si>
    <t>POL52048</t>
  </si>
  <si>
    <t>POL52049</t>
  </si>
  <si>
    <t>POL52055</t>
  </si>
  <si>
    <t>POL52056</t>
  </si>
  <si>
    <t>POL52057</t>
  </si>
  <si>
    <t>POL52058</t>
  </si>
  <si>
    <t>POL52060</t>
  </si>
  <si>
    <t>POL52061</t>
  </si>
  <si>
    <t>POL52062</t>
  </si>
  <si>
    <t>POL52063</t>
  </si>
  <si>
    <t>POL52064</t>
  </si>
  <si>
    <t>POL52065</t>
  </si>
  <si>
    <t>POL52066</t>
  </si>
  <si>
    <t>POL52069</t>
  </si>
  <si>
    <t>POL52070</t>
  </si>
  <si>
    <t>POL52071</t>
  </si>
  <si>
    <t>POL52072</t>
  </si>
  <si>
    <t>POL52073</t>
  </si>
  <si>
    <t>POL52074</t>
  </si>
  <si>
    <t>POL52075</t>
  </si>
  <si>
    <t>POL52076</t>
  </si>
  <si>
    <t>POL52077</t>
  </si>
  <si>
    <t>POL52080</t>
  </si>
  <si>
    <t>POL52081</t>
  </si>
  <si>
    <t>POL52084</t>
  </si>
  <si>
    <t>POL52085</t>
  </si>
  <si>
    <t>POL52087</t>
  </si>
  <si>
    <t>POL52088</t>
  </si>
  <si>
    <t>POL52089</t>
  </si>
  <si>
    <t>POL52090</t>
  </si>
  <si>
    <t>POL52091</t>
  </si>
  <si>
    <t>POL52092</t>
  </si>
  <si>
    <t>POL52094</t>
  </si>
  <si>
    <t>POL52095</t>
  </si>
  <si>
    <t>POL52096</t>
  </si>
  <si>
    <t>POL52098</t>
  </si>
  <si>
    <t>POL52099</t>
  </si>
  <si>
    <t>POL52100</t>
  </si>
  <si>
    <t>AGT5231</t>
  </si>
  <si>
    <t>POL52101</t>
  </si>
  <si>
    <t>POL52102</t>
  </si>
  <si>
    <t>POL52105</t>
  </si>
  <si>
    <t>POL52106</t>
  </si>
  <si>
    <t>POL52107</t>
  </si>
  <si>
    <t>POL52108</t>
  </si>
  <si>
    <t>POL52109</t>
  </si>
  <si>
    <t>POL52110</t>
  </si>
  <si>
    <t>POL52111</t>
  </si>
  <si>
    <t>POL52112</t>
  </si>
  <si>
    <t>POL52115</t>
  </si>
  <si>
    <t>POL52117</t>
  </si>
  <si>
    <t>POL52119</t>
  </si>
  <si>
    <t>POL52120</t>
  </si>
  <si>
    <t>POL52122</t>
  </si>
  <si>
    <t>AGT5290</t>
  </si>
  <si>
    <t>POL52123</t>
  </si>
  <si>
    <t>POL52124</t>
  </si>
  <si>
    <t>POL52125</t>
  </si>
  <si>
    <t>POL52126</t>
  </si>
  <si>
    <t>POL52128</t>
  </si>
  <si>
    <t>POL52130</t>
  </si>
  <si>
    <t>AGT5201</t>
  </si>
  <si>
    <t>POL52131</t>
  </si>
  <si>
    <t>POL52132</t>
  </si>
  <si>
    <t>POL52134</t>
  </si>
  <si>
    <t>POL52136</t>
  </si>
  <si>
    <t>POL52139</t>
  </si>
  <si>
    <t>POL52140</t>
  </si>
  <si>
    <t>POL52141</t>
  </si>
  <si>
    <t>POL52143</t>
  </si>
  <si>
    <t>POL52144</t>
  </si>
  <si>
    <t>POL52145</t>
  </si>
  <si>
    <t>POL52146</t>
  </si>
  <si>
    <t>POL52147</t>
  </si>
  <si>
    <t>POL52148</t>
  </si>
  <si>
    <t>POL52149</t>
  </si>
  <si>
    <t>POL52150</t>
  </si>
  <si>
    <t>POL52153</t>
  </si>
  <si>
    <t>POL52154</t>
  </si>
  <si>
    <t>POL52155</t>
  </si>
  <si>
    <t>POL52157</t>
  </si>
  <si>
    <t>POL52158</t>
  </si>
  <si>
    <t>POL52159</t>
  </si>
  <si>
    <t>POL52160</t>
  </si>
  <si>
    <t>POL52161</t>
  </si>
  <si>
    <t>POL52163</t>
  </si>
  <si>
    <t>POL52164</t>
  </si>
  <si>
    <t>POL52165</t>
  </si>
  <si>
    <t>POL52166</t>
  </si>
  <si>
    <t>POL52168</t>
  </si>
  <si>
    <t>POL52169</t>
  </si>
  <si>
    <t>POL52170</t>
  </si>
  <si>
    <t>POL52171</t>
  </si>
  <si>
    <t>POL52172</t>
  </si>
  <si>
    <t>POL52174</t>
  </si>
  <si>
    <t>POL52175</t>
  </si>
  <si>
    <t>POL52176</t>
  </si>
  <si>
    <t>POL52179</t>
  </si>
  <si>
    <t>POL52181</t>
  </si>
  <si>
    <t>POL52182</t>
  </si>
  <si>
    <t>POL52183</t>
  </si>
  <si>
    <t>POL52184</t>
  </si>
  <si>
    <t>POL52186</t>
  </si>
  <si>
    <t>POL52187</t>
  </si>
  <si>
    <t>POL52189</t>
  </si>
  <si>
    <t>POL52190</t>
  </si>
  <si>
    <t>POL52191</t>
  </si>
  <si>
    <t>POL52193</t>
  </si>
  <si>
    <t>POL52194</t>
  </si>
  <si>
    <t>POL52195</t>
  </si>
  <si>
    <t>POL52196</t>
  </si>
  <si>
    <t>POL52197</t>
  </si>
  <si>
    <t>POL52198</t>
  </si>
  <si>
    <t>POL52199</t>
  </si>
  <si>
    <t>POL52200</t>
  </si>
  <si>
    <t>POL52201</t>
  </si>
  <si>
    <t>POL52202</t>
  </si>
  <si>
    <t>POL52203</t>
  </si>
  <si>
    <t>POL52206</t>
  </si>
  <si>
    <t>POL52207</t>
  </si>
  <si>
    <t>POL52208</t>
  </si>
  <si>
    <t>POL52209</t>
  </si>
  <si>
    <t>POL52210</t>
  </si>
  <si>
    <t>POL52212</t>
  </si>
  <si>
    <t>POL52213</t>
  </si>
  <si>
    <t>POL52214</t>
  </si>
  <si>
    <t>POL52217</t>
  </si>
  <si>
    <t>POL52219</t>
  </si>
  <si>
    <t>POL52221</t>
  </si>
  <si>
    <t>POL52224</t>
  </si>
  <si>
    <t>POL52225</t>
  </si>
  <si>
    <t>POL52227</t>
  </si>
  <si>
    <t>POL52228</t>
  </si>
  <si>
    <t>POL52230</t>
  </si>
  <si>
    <t>POL52231</t>
  </si>
  <si>
    <t>POL52232</t>
  </si>
  <si>
    <t>POL52233</t>
  </si>
  <si>
    <t>POL52236</t>
  </si>
  <si>
    <t>POL52238</t>
  </si>
  <si>
    <t>POL52239</t>
  </si>
  <si>
    <t>POL52241</t>
  </si>
  <si>
    <t>POL52242</t>
  </si>
  <si>
    <t>POL52243</t>
  </si>
  <si>
    <t>POL52244</t>
  </si>
  <si>
    <t>POL52245</t>
  </si>
  <si>
    <t>POL52246</t>
  </si>
  <si>
    <t>POL52247</t>
  </si>
  <si>
    <t>POL52248</t>
  </si>
  <si>
    <t>POL52250</t>
  </si>
  <si>
    <t>POL52251</t>
  </si>
  <si>
    <t>POL52252</t>
  </si>
  <si>
    <t>POL52253</t>
  </si>
  <si>
    <t>POL52256</t>
  </si>
  <si>
    <t>POL52257</t>
  </si>
  <si>
    <t>POL52258</t>
  </si>
  <si>
    <t>POL52259</t>
  </si>
  <si>
    <t>POL52261</t>
  </si>
  <si>
    <t>POL52262</t>
  </si>
  <si>
    <t>POL52263</t>
  </si>
  <si>
    <t>POL52265</t>
  </si>
  <si>
    <t>POL52266</t>
  </si>
  <si>
    <t>POL52267</t>
  </si>
  <si>
    <t>POL52268</t>
  </si>
  <si>
    <t>POL52269</t>
  </si>
  <si>
    <t>POL52270</t>
  </si>
  <si>
    <t>POL52272</t>
  </si>
  <si>
    <t>POL52274</t>
  </si>
  <si>
    <t>POL52275</t>
  </si>
  <si>
    <t>POL52276</t>
  </si>
  <si>
    <t>POL52277</t>
  </si>
  <si>
    <t>POL52278</t>
  </si>
  <si>
    <t>POL52279</t>
  </si>
  <si>
    <t>POL52280</t>
  </si>
  <si>
    <t>POL52281</t>
  </si>
  <si>
    <t>POL52285</t>
  </si>
  <si>
    <t>POL52288</t>
  </si>
  <si>
    <t>POL52289</t>
  </si>
  <si>
    <t>POL52290</t>
  </si>
  <si>
    <t>POL52292</t>
  </si>
  <si>
    <t>POL52293</t>
  </si>
  <si>
    <t>POL52294</t>
  </si>
  <si>
    <t>POL52295</t>
  </si>
  <si>
    <t>POL52297</t>
  </si>
  <si>
    <t>POL52298</t>
  </si>
  <si>
    <t>POL52300</t>
  </si>
  <si>
    <t>POL52301</t>
  </si>
  <si>
    <t>POL52302</t>
  </si>
  <si>
    <t>POL52303</t>
  </si>
  <si>
    <t>POL52304</t>
  </si>
  <si>
    <t>POL52305</t>
  </si>
  <si>
    <t>POL52306</t>
  </si>
  <si>
    <t>POL52307</t>
  </si>
  <si>
    <t>POL52308</t>
  </si>
  <si>
    <t>POL52309</t>
  </si>
  <si>
    <t>POL52311</t>
  </si>
  <si>
    <t>POL52314</t>
  </si>
  <si>
    <t>POL52319</t>
  </si>
  <si>
    <t>POL52320</t>
  </si>
  <si>
    <t>POL52321</t>
  </si>
  <si>
    <t>POL52322</t>
  </si>
  <si>
    <t>POL52323</t>
  </si>
  <si>
    <t>POL52324</t>
  </si>
  <si>
    <t>POL52325</t>
  </si>
  <si>
    <t>POL52326</t>
  </si>
  <si>
    <t>POL52327</t>
  </si>
  <si>
    <t>POL52328</t>
  </si>
  <si>
    <t>POL52329</t>
  </si>
  <si>
    <t>POL52331</t>
  </si>
  <si>
    <t>POL52332</t>
  </si>
  <si>
    <t>POL52333</t>
  </si>
  <si>
    <t>POL52336</t>
  </si>
  <si>
    <t>POL52338</t>
  </si>
  <si>
    <t>POL52339</t>
  </si>
  <si>
    <t>POL52340</t>
  </si>
  <si>
    <t>POL52341</t>
  </si>
  <si>
    <t>POL52343</t>
  </si>
  <si>
    <t>POL52344</t>
  </si>
  <si>
    <t>POL52345</t>
  </si>
  <si>
    <t>POL52346</t>
  </si>
  <si>
    <t>POL52348</t>
  </si>
  <si>
    <t>POL52349</t>
  </si>
  <si>
    <t>POL52351</t>
  </si>
  <si>
    <t>POL52352</t>
  </si>
  <si>
    <t>POL52353</t>
  </si>
  <si>
    <t>POL52354</t>
  </si>
  <si>
    <t>POL52355</t>
  </si>
  <si>
    <t>POL52357</t>
  </si>
  <si>
    <t>POL52358</t>
  </si>
  <si>
    <t>POL52359</t>
  </si>
  <si>
    <t>POL52361</t>
  </si>
  <si>
    <t>POL52362</t>
  </si>
  <si>
    <t>POL52364</t>
  </si>
  <si>
    <t>POL52365</t>
  </si>
  <si>
    <t>POL52366</t>
  </si>
  <si>
    <t>POL52367</t>
  </si>
  <si>
    <t>POL52368</t>
  </si>
  <si>
    <t>POL52369</t>
  </si>
  <si>
    <t>POL52370</t>
  </si>
  <si>
    <t>POL52371</t>
  </si>
  <si>
    <t>POL52372</t>
  </si>
  <si>
    <t>POL52374</t>
  </si>
  <si>
    <t>POL52375</t>
  </si>
  <si>
    <t>POL52377</t>
  </si>
  <si>
    <t>POL52380</t>
  </si>
  <si>
    <t>POL52381</t>
  </si>
  <si>
    <t>POL52382</t>
  </si>
  <si>
    <t>POL52384</t>
  </si>
  <si>
    <t>POL52385</t>
  </si>
  <si>
    <t>POL52386</t>
  </si>
  <si>
    <t>POL52389</t>
  </si>
  <si>
    <t>POL52390</t>
  </si>
  <si>
    <t>POL52391</t>
  </si>
  <si>
    <t>POL52392</t>
  </si>
  <si>
    <t>POL52394</t>
  </si>
  <si>
    <t>POL52396</t>
  </si>
  <si>
    <t>POL52397</t>
  </si>
  <si>
    <t>POL52399</t>
  </si>
  <si>
    <t>POL52400</t>
  </si>
  <si>
    <t>POL52401</t>
  </si>
  <si>
    <t>POL52402</t>
  </si>
  <si>
    <t>POL52404</t>
  </si>
  <si>
    <t>POL52407</t>
  </si>
  <si>
    <t>POL52409</t>
  </si>
  <si>
    <t>POL52410</t>
  </si>
  <si>
    <t>POL52412</t>
  </si>
  <si>
    <t>POL52413</t>
  </si>
  <si>
    <t>POL52414</t>
  </si>
  <si>
    <t>POL52415</t>
  </si>
  <si>
    <t>POL52416</t>
  </si>
  <si>
    <t>POL52417</t>
  </si>
  <si>
    <t>POL52419</t>
  </si>
  <si>
    <t>POL52421</t>
  </si>
  <si>
    <t>POL52423</t>
  </si>
  <si>
    <t>POL52426</t>
  </si>
  <si>
    <t>POL52427</t>
  </si>
  <si>
    <t>POL52428</t>
  </si>
  <si>
    <t>POL52429</t>
  </si>
  <si>
    <t>POL52430</t>
  </si>
  <si>
    <t>POL52431</t>
  </si>
  <si>
    <t>POL52433</t>
  </si>
  <si>
    <t>POL52434</t>
  </si>
  <si>
    <t>POL52435</t>
  </si>
  <si>
    <t>POL52437</t>
  </si>
  <si>
    <t>POL52439</t>
  </si>
  <si>
    <t>POL52440</t>
  </si>
  <si>
    <t>POL52442</t>
  </si>
  <si>
    <t>POL52443</t>
  </si>
  <si>
    <t>POL52444</t>
  </si>
  <si>
    <t>POL52446</t>
  </si>
  <si>
    <t>POL52447</t>
  </si>
  <si>
    <t>POL52448</t>
  </si>
  <si>
    <t>POL52449</t>
  </si>
  <si>
    <t>POL52450</t>
  </si>
  <si>
    <t>POL52451</t>
  </si>
  <si>
    <t>POL52452</t>
  </si>
  <si>
    <t>POL52453</t>
  </si>
  <si>
    <t>POL52454</t>
  </si>
  <si>
    <t>POL52456</t>
  </si>
  <si>
    <t>POL52457</t>
  </si>
  <si>
    <t>POL52458</t>
  </si>
  <si>
    <t>POL52460</t>
  </si>
  <si>
    <t>POL52462</t>
  </si>
  <si>
    <t>POL52463</t>
  </si>
  <si>
    <t>POL52464</t>
  </si>
  <si>
    <t>POL52465</t>
  </si>
  <si>
    <t>POL52467</t>
  </si>
  <si>
    <t>POL52469</t>
  </si>
  <si>
    <t>POL52472</t>
  </si>
  <si>
    <t>POL52474</t>
  </si>
  <si>
    <t>POL52476</t>
  </si>
  <si>
    <t>POL52477</t>
  </si>
  <si>
    <t>POL52478</t>
  </si>
  <si>
    <t>POL52479</t>
  </si>
  <si>
    <t>POL52480</t>
  </si>
  <si>
    <t>POL52481</t>
  </si>
  <si>
    <t>POL52482</t>
  </si>
  <si>
    <t>POL52484</t>
  </si>
  <si>
    <t>POL52485</t>
  </si>
  <si>
    <t>POL52487</t>
  </si>
  <si>
    <t>POL52488</t>
  </si>
  <si>
    <t>POL52490</t>
  </si>
  <si>
    <t>POL52491</t>
  </si>
  <si>
    <t>POL52492</t>
  </si>
  <si>
    <t>POL52493</t>
  </si>
  <si>
    <t>POL52494</t>
  </si>
  <si>
    <t>POL52496</t>
  </si>
  <si>
    <t>POL52498</t>
  </si>
  <si>
    <t>POL52500</t>
  </si>
  <si>
    <t>AGT5123</t>
  </si>
  <si>
    <t>POL52501</t>
  </si>
  <si>
    <t>POL52502</t>
  </si>
  <si>
    <t>POL52506</t>
  </si>
  <si>
    <t>POL52508</t>
  </si>
  <si>
    <t>POL52509</t>
  </si>
  <si>
    <t>POL52510</t>
  </si>
  <si>
    <t>POL52511</t>
  </si>
  <si>
    <t>POL52512</t>
  </si>
  <si>
    <t>POL52513</t>
  </si>
  <si>
    <t>POL52515</t>
  </si>
  <si>
    <t>POL52518</t>
  </si>
  <si>
    <t>POL52519</t>
  </si>
  <si>
    <t>POL52520</t>
  </si>
  <si>
    <t>POL52521</t>
  </si>
  <si>
    <t>POL52523</t>
  </si>
  <si>
    <t>POL52527</t>
  </si>
  <si>
    <t>POL52528</t>
  </si>
  <si>
    <t>POL52529</t>
  </si>
  <si>
    <t>POL52533</t>
  </si>
  <si>
    <t>POL52534</t>
  </si>
  <si>
    <t>POL52535</t>
  </si>
  <si>
    <t>POL52538</t>
  </si>
  <si>
    <t>POL52539</t>
  </si>
  <si>
    <t>POL52540</t>
  </si>
  <si>
    <t>POL52541</t>
  </si>
  <si>
    <t>POL52543</t>
  </si>
  <si>
    <t>POL52546</t>
  </si>
  <si>
    <t>POL52547</t>
  </si>
  <si>
    <t>POL52548</t>
  </si>
  <si>
    <t>POL52550</t>
  </si>
  <si>
    <t>POL52553</t>
  </si>
  <si>
    <t>POL52554</t>
  </si>
  <si>
    <t>POL52555</t>
  </si>
  <si>
    <t>POL52556</t>
  </si>
  <si>
    <t>POL52558</t>
  </si>
  <si>
    <t>POL52559</t>
  </si>
  <si>
    <t>POL52560</t>
  </si>
  <si>
    <t>POL52561</t>
  </si>
  <si>
    <t>POL52563</t>
  </si>
  <si>
    <t>POL52564</t>
  </si>
  <si>
    <t>POL52565</t>
  </si>
  <si>
    <t>POL52566</t>
  </si>
  <si>
    <t>POL52567</t>
  </si>
  <si>
    <t>POL52568</t>
  </si>
  <si>
    <t>POL52569</t>
  </si>
  <si>
    <t>POL52570</t>
  </si>
  <si>
    <t>POL52572</t>
  </si>
  <si>
    <t>POL52574</t>
  </si>
  <si>
    <t>POL52577</t>
  </si>
  <si>
    <t>AGT5036</t>
  </si>
  <si>
    <t>POL52578</t>
  </si>
  <si>
    <t>POL52579</t>
  </si>
  <si>
    <t>POL52582</t>
  </si>
  <si>
    <t>POL52583</t>
  </si>
  <si>
    <t>POL52584</t>
  </si>
  <si>
    <t>POL52585</t>
  </si>
  <si>
    <t>POL52586</t>
  </si>
  <si>
    <t>POL52587</t>
  </si>
  <si>
    <t>POL52588</t>
  </si>
  <si>
    <t>POL52589</t>
  </si>
  <si>
    <t>POL52590</t>
  </si>
  <si>
    <t>POL52592</t>
  </si>
  <si>
    <t>POL52593</t>
  </si>
  <si>
    <t>POL52594</t>
  </si>
  <si>
    <t>POL52595</t>
  </si>
  <si>
    <t>POL52596</t>
  </si>
  <si>
    <t>POL52597</t>
  </si>
  <si>
    <t>POL52598</t>
  </si>
  <si>
    <t>POL52599</t>
  </si>
  <si>
    <t>POL52600</t>
  </si>
  <si>
    <t>POL52601</t>
  </si>
  <si>
    <t>POL52603</t>
  </si>
  <si>
    <t>POL52604</t>
  </si>
  <si>
    <t>POL52607</t>
  </si>
  <si>
    <t>POL52609</t>
  </si>
  <si>
    <t>POL52610</t>
  </si>
  <si>
    <t>POL52611</t>
  </si>
  <si>
    <t>POL52613</t>
  </si>
  <si>
    <t>POL52614</t>
  </si>
  <si>
    <t>POL52619</t>
  </si>
  <si>
    <t>POL52621</t>
  </si>
  <si>
    <t>POL52622</t>
  </si>
  <si>
    <t>POL52623</t>
  </si>
  <si>
    <t>POL52624</t>
  </si>
  <si>
    <t>POL52626</t>
  </si>
  <si>
    <t>POL52627</t>
  </si>
  <si>
    <t>POL52628</t>
  </si>
  <si>
    <t>POL52629</t>
  </si>
  <si>
    <t>POL52630</t>
  </si>
  <si>
    <t>POL52631</t>
  </si>
  <si>
    <t>POL52632</t>
  </si>
  <si>
    <t>POL52633</t>
  </si>
  <si>
    <t>POL52634</t>
  </si>
  <si>
    <t>POL52635</t>
  </si>
  <si>
    <t>POL52636</t>
  </si>
  <si>
    <t>POL52637</t>
  </si>
  <si>
    <t>POL52639</t>
  </si>
  <si>
    <t>POL52640</t>
  </si>
  <si>
    <t>POL52641</t>
  </si>
  <si>
    <t>POL52642</t>
  </si>
  <si>
    <t>POL52643</t>
  </si>
  <si>
    <t>POL52644</t>
  </si>
  <si>
    <t>POL52646</t>
  </si>
  <si>
    <t>POL52651</t>
  </si>
  <si>
    <t>POL52652</t>
  </si>
  <si>
    <t>POL52653</t>
  </si>
  <si>
    <t>POL52654</t>
  </si>
  <si>
    <t>POL52656</t>
  </si>
  <si>
    <t>POL52657</t>
  </si>
  <si>
    <t>POL52658</t>
  </si>
  <si>
    <t>POL52659</t>
  </si>
  <si>
    <t>POL52661</t>
  </si>
  <si>
    <t>POL52662</t>
  </si>
  <si>
    <t>POL52663</t>
  </si>
  <si>
    <t>POL52664</t>
  </si>
  <si>
    <t>POL52665</t>
  </si>
  <si>
    <t>POL52666</t>
  </si>
  <si>
    <t>POL52667</t>
  </si>
  <si>
    <t>POL52669</t>
  </si>
  <si>
    <t>POL52670</t>
  </si>
  <si>
    <t>POL52671</t>
  </si>
  <si>
    <t>POL52672</t>
  </si>
  <si>
    <t>POL52674</t>
  </si>
  <si>
    <t>POL52675</t>
  </si>
  <si>
    <t>POL52676</t>
  </si>
  <si>
    <t>POL52677</t>
  </si>
  <si>
    <t>POL52680</t>
  </si>
  <si>
    <t>POL52682</t>
  </si>
  <si>
    <t>POL52684</t>
  </si>
  <si>
    <t>POL52685</t>
  </si>
  <si>
    <t>POL52686</t>
  </si>
  <si>
    <t>POL52687</t>
  </si>
  <si>
    <t>POL52688</t>
  </si>
  <si>
    <t>POL52689</t>
  </si>
  <si>
    <t>POL52691</t>
  </si>
  <si>
    <t>POL52693</t>
  </si>
  <si>
    <t>POL52695</t>
  </si>
  <si>
    <t>POL52698</t>
  </si>
  <si>
    <t>POL52700</t>
  </si>
  <si>
    <t>POL52701</t>
  </si>
  <si>
    <t>POL52702</t>
  </si>
  <si>
    <t>POL52703</t>
  </si>
  <si>
    <t>POL52704</t>
  </si>
  <si>
    <t>POL52705</t>
  </si>
  <si>
    <t>POL52707</t>
  </si>
  <si>
    <t>POL52709</t>
  </si>
  <si>
    <t>POL52710</t>
  </si>
  <si>
    <t>POL52711</t>
  </si>
  <si>
    <t>POL52712</t>
  </si>
  <si>
    <t>POL52713</t>
  </si>
  <si>
    <t>POL52714</t>
  </si>
  <si>
    <t>POL52715</t>
  </si>
  <si>
    <t>POL52718</t>
  </si>
  <si>
    <t>POL52720</t>
  </si>
  <si>
    <t>POL52721</t>
  </si>
  <si>
    <t>POL52722</t>
  </si>
  <si>
    <t>POL52723</t>
  </si>
  <si>
    <t>POL52724</t>
  </si>
  <si>
    <t>POL52726</t>
  </si>
  <si>
    <t>POL52728</t>
  </si>
  <si>
    <t>POL52729</t>
  </si>
  <si>
    <t>POL52730</t>
  </si>
  <si>
    <t>POL52731</t>
  </si>
  <si>
    <t>POL52732</t>
  </si>
  <si>
    <t>POL52734</t>
  </si>
  <si>
    <t>POL52735</t>
  </si>
  <si>
    <t>POL52737</t>
  </si>
  <si>
    <t>POL52738</t>
  </si>
  <si>
    <t>POL52739</t>
  </si>
  <si>
    <t>POL52740</t>
  </si>
  <si>
    <t>POL52741</t>
  </si>
  <si>
    <t>POL52742</t>
  </si>
  <si>
    <t>POL52743</t>
  </si>
  <si>
    <t>POL52744</t>
  </si>
  <si>
    <t>POL52745</t>
  </si>
  <si>
    <t>POL52746</t>
  </si>
  <si>
    <t>POL52747</t>
  </si>
  <si>
    <t>POL52748</t>
  </si>
  <si>
    <t>POL52749</t>
  </si>
  <si>
    <t>POL52750</t>
  </si>
  <si>
    <t>POL52751</t>
  </si>
  <si>
    <t>POL52752</t>
  </si>
  <si>
    <t>POL52753</t>
  </si>
  <si>
    <t>POL52754</t>
  </si>
  <si>
    <t>POL52755</t>
  </si>
  <si>
    <t>POL52756</t>
  </si>
  <si>
    <t>POL52757</t>
  </si>
  <si>
    <t>POL52758</t>
  </si>
  <si>
    <t>POL52760</t>
  </si>
  <si>
    <t>POL52761</t>
  </si>
  <si>
    <t>POL52762</t>
  </si>
  <si>
    <t>POL52763</t>
  </si>
  <si>
    <t>POL52764</t>
  </si>
  <si>
    <t>POL52765</t>
  </si>
  <si>
    <t>POL52767</t>
  </si>
  <si>
    <t>POL52769</t>
  </si>
  <si>
    <t>POL52770</t>
  </si>
  <si>
    <t>POL52771</t>
  </si>
  <si>
    <t>POL52773</t>
  </si>
  <si>
    <t>POL52775</t>
  </si>
  <si>
    <t>POL52776</t>
  </si>
  <si>
    <t>POL52778</t>
  </si>
  <si>
    <t>POL52779</t>
  </si>
  <si>
    <t>POL52780</t>
  </si>
  <si>
    <t>POL52781</t>
  </si>
  <si>
    <t>POL52782</t>
  </si>
  <si>
    <t>POL52783</t>
  </si>
  <si>
    <t>POL52784</t>
  </si>
  <si>
    <t>POL52785</t>
  </si>
  <si>
    <t>POL52786</t>
  </si>
  <si>
    <t>POL52787</t>
  </si>
  <si>
    <t>POL52788</t>
  </si>
  <si>
    <t>POL52789</t>
  </si>
  <si>
    <t>POL52790</t>
  </si>
  <si>
    <t>POL52792</t>
  </si>
  <si>
    <t>POL52793</t>
  </si>
  <si>
    <t>POL52797</t>
  </si>
  <si>
    <t>POL52798</t>
  </si>
  <si>
    <t>POL52800</t>
  </si>
  <si>
    <t>POL52801</t>
  </si>
  <si>
    <t>POL52802</t>
  </si>
  <si>
    <t>POL52804</t>
  </si>
  <si>
    <t>POL52808</t>
  </si>
  <si>
    <t>POL52809</t>
  </si>
  <si>
    <t>POL52810</t>
  </si>
  <si>
    <t>POL52812</t>
  </si>
  <si>
    <t>POL52813</t>
  </si>
  <si>
    <t>POL52814</t>
  </si>
  <si>
    <t>POL52815</t>
  </si>
  <si>
    <t>POL52816</t>
  </si>
  <si>
    <t>POL52817</t>
  </si>
  <si>
    <t>POL52818</t>
  </si>
  <si>
    <t>POL52826</t>
  </si>
  <si>
    <t>POL52827</t>
  </si>
  <si>
    <t>POL52828</t>
  </si>
  <si>
    <t>POL52830</t>
  </si>
  <si>
    <t>POL52832</t>
  </si>
  <si>
    <t>POL52833</t>
  </si>
  <si>
    <t>POL52834</t>
  </si>
  <si>
    <t>POL52838</t>
  </si>
  <si>
    <t>POL52840</t>
  </si>
  <si>
    <t>POL52841</t>
  </si>
  <si>
    <t>POL52842</t>
  </si>
  <si>
    <t>POL52843</t>
  </si>
  <si>
    <t>POL52848</t>
  </si>
  <si>
    <t>POL52849</t>
  </si>
  <si>
    <t>POL52850</t>
  </si>
  <si>
    <t>POL52851</t>
  </si>
  <si>
    <t>POL52852</t>
  </si>
  <si>
    <t>POL52853</t>
  </si>
  <si>
    <t>POL52854</t>
  </si>
  <si>
    <t>POL52855</t>
  </si>
  <si>
    <t>POL52858</t>
  </si>
  <si>
    <t>POL52860</t>
  </si>
  <si>
    <t>POL52863</t>
  </si>
  <si>
    <t>POL52864</t>
  </si>
  <si>
    <t>POL52865</t>
  </si>
  <si>
    <t>POL52866</t>
  </si>
  <si>
    <t>POL52867</t>
  </si>
  <si>
    <t>POL52869</t>
  </si>
  <si>
    <t>POL52870</t>
  </si>
  <si>
    <t>POL52871</t>
  </si>
  <si>
    <t>POL52873</t>
  </si>
  <si>
    <t>POL52874</t>
  </si>
  <si>
    <t>POL52875</t>
  </si>
  <si>
    <t>POL52879</t>
  </si>
  <si>
    <t>POL52880</t>
  </si>
  <si>
    <t>POL52881</t>
  </si>
  <si>
    <t>POL52882</t>
  </si>
  <si>
    <t>POL52883</t>
  </si>
  <si>
    <t>POL52884</t>
  </si>
  <si>
    <t>POL52888</t>
  </si>
  <si>
    <t>POL52889</t>
  </si>
  <si>
    <t>POL52890</t>
  </si>
  <si>
    <t>POL52891</t>
  </si>
  <si>
    <t>POL52894</t>
  </si>
  <si>
    <t>POL52895</t>
  </si>
  <si>
    <t>POL52899</t>
  </si>
  <si>
    <t>POL52902</t>
  </si>
  <si>
    <t>POL52903</t>
  </si>
  <si>
    <t>POL52904</t>
  </si>
  <si>
    <t>POL52905</t>
  </si>
  <si>
    <t>POL52910</t>
  </si>
  <si>
    <t>POL52911</t>
  </si>
  <si>
    <t>POL52912</t>
  </si>
  <si>
    <t>POL52913</t>
  </si>
  <si>
    <t>POL52915</t>
  </si>
  <si>
    <t>POL52916</t>
  </si>
  <si>
    <t>POL52918</t>
  </si>
  <si>
    <t>POL52920</t>
  </si>
  <si>
    <t>POL52922</t>
  </si>
  <si>
    <t>POL52923</t>
  </si>
  <si>
    <t>POL52924</t>
  </si>
  <si>
    <t>POL52927</t>
  </si>
  <si>
    <t>POL52928</t>
  </si>
  <si>
    <t>POL52930</t>
  </si>
  <si>
    <t>POL52931</t>
  </si>
  <si>
    <t>POL52932</t>
  </si>
  <si>
    <t>POL52934</t>
  </si>
  <si>
    <t>POL52937</t>
  </si>
  <si>
    <t>POL52939</t>
  </si>
  <si>
    <t>POL52940</t>
  </si>
  <si>
    <t>POL52942</t>
  </si>
  <si>
    <t>POL52943</t>
  </si>
  <si>
    <t>POL52944</t>
  </si>
  <si>
    <t>POL52945</t>
  </si>
  <si>
    <t>POL52946</t>
  </si>
  <si>
    <t>POL52948</t>
  </si>
  <si>
    <t>POL52949</t>
  </si>
  <si>
    <t>POL52951</t>
  </si>
  <si>
    <t>POL52952</t>
  </si>
  <si>
    <t>POL52953</t>
  </si>
  <si>
    <t>POL52954</t>
  </si>
  <si>
    <t>POL52956</t>
  </si>
  <si>
    <t>POL52957</t>
  </si>
  <si>
    <t>POL52958</t>
  </si>
  <si>
    <t>POL52959</t>
  </si>
  <si>
    <t>POL52960</t>
  </si>
  <si>
    <t>POL52961</t>
  </si>
  <si>
    <t>POL52963</t>
  </si>
  <si>
    <t>POL52965</t>
  </si>
  <si>
    <t>POL52967</t>
  </si>
  <si>
    <t>POL52968</t>
  </si>
  <si>
    <t>POL52969</t>
  </si>
  <si>
    <t>POL52970</t>
  </si>
  <si>
    <t>POL52971</t>
  </si>
  <si>
    <t>POL52973</t>
  </si>
  <si>
    <t>POL52974</t>
  </si>
  <si>
    <t>POL52975</t>
  </si>
  <si>
    <t>POL52976</t>
  </si>
  <si>
    <t>POL52977</t>
  </si>
  <si>
    <t>POL52981</t>
  </si>
  <si>
    <t>POL52986</t>
  </si>
  <si>
    <t>POL52987</t>
  </si>
  <si>
    <t>POL52988</t>
  </si>
  <si>
    <t>POL52989</t>
  </si>
  <si>
    <t>POL52990</t>
  </si>
  <si>
    <t>POL52991</t>
  </si>
  <si>
    <t>POL52992</t>
  </si>
  <si>
    <t>POL52993</t>
  </si>
  <si>
    <t>POL52994</t>
  </si>
  <si>
    <t>POL52995</t>
  </si>
  <si>
    <t>POL52996</t>
  </si>
  <si>
    <t>POL52999</t>
  </si>
  <si>
    <t>POL53000</t>
  </si>
  <si>
    <t>POL53002</t>
  </si>
  <si>
    <t>POL53003</t>
  </si>
  <si>
    <t>POL53007</t>
  </si>
  <si>
    <t>POL53008</t>
  </si>
  <si>
    <t>POL53010</t>
  </si>
  <si>
    <t>POL53011</t>
  </si>
  <si>
    <t>POL53012</t>
  </si>
  <si>
    <t>POL53014</t>
  </si>
  <si>
    <t>POL53016</t>
  </si>
  <si>
    <t>POL53017</t>
  </si>
  <si>
    <t>POL53019</t>
  </si>
  <si>
    <t>POL53021</t>
  </si>
  <si>
    <t>POL53022</t>
  </si>
  <si>
    <t>POL53023</t>
  </si>
  <si>
    <t>POL53024</t>
  </si>
  <si>
    <t>POL53025</t>
  </si>
  <si>
    <t>POL53027</t>
  </si>
  <si>
    <t>POL53028</t>
  </si>
  <si>
    <t>POL53031</t>
  </si>
  <si>
    <t>POL53032</t>
  </si>
  <si>
    <t>POL53033</t>
  </si>
  <si>
    <t>POL53034</t>
  </si>
  <si>
    <t>POL53035</t>
  </si>
  <si>
    <t>POL53037</t>
  </si>
  <si>
    <t>POL53041</t>
  </si>
  <si>
    <t>POL53042</t>
  </si>
  <si>
    <t>POL53043</t>
  </si>
  <si>
    <t>POL53044</t>
  </si>
  <si>
    <t>POL53045</t>
  </si>
  <si>
    <t>POL53047</t>
  </si>
  <si>
    <t>POL53048</t>
  </si>
  <si>
    <t>POL53049</t>
  </si>
  <si>
    <t>POL53050</t>
  </si>
  <si>
    <t>POL53052</t>
  </si>
  <si>
    <t>POL53054</t>
  </si>
  <si>
    <t>POL53055</t>
  </si>
  <si>
    <t>POL53056</t>
  </si>
  <si>
    <t>POL53057</t>
  </si>
  <si>
    <t>POL53058</t>
  </si>
  <si>
    <t>POL53059</t>
  </si>
  <si>
    <t>POL53060</t>
  </si>
  <si>
    <t>POL53061</t>
  </si>
  <si>
    <t>POL53062</t>
  </si>
  <si>
    <t>POL53063</t>
  </si>
  <si>
    <t>POL53064</t>
  </si>
  <si>
    <t>POL53065</t>
  </si>
  <si>
    <t>POL53066</t>
  </si>
  <si>
    <t>POL53068</t>
  </si>
  <si>
    <t>POL53069</t>
  </si>
  <si>
    <t>POL53070</t>
  </si>
  <si>
    <t>POL53071</t>
  </si>
  <si>
    <t>POL53074</t>
  </si>
  <si>
    <t>POL53075</t>
  </si>
  <si>
    <t>POL53078</t>
  </si>
  <si>
    <t>POL53081</t>
  </si>
  <si>
    <t>POL53082</t>
  </si>
  <si>
    <t>POL53083</t>
  </si>
  <si>
    <t>POL53085</t>
  </si>
  <si>
    <t>POL53086</t>
  </si>
  <si>
    <t>POL53088</t>
  </si>
  <si>
    <t>POL53089</t>
  </si>
  <si>
    <t>POL53090</t>
  </si>
  <si>
    <t>POL53093</t>
  </si>
  <si>
    <t>POL53094</t>
  </si>
  <si>
    <t>POL53096</t>
  </si>
  <si>
    <t>POL53098</t>
  </si>
  <si>
    <t>POL53099</t>
  </si>
  <si>
    <t>POL53102</t>
  </si>
  <si>
    <t>POL53104</t>
  </si>
  <si>
    <t>POL53105</t>
  </si>
  <si>
    <t>POL53108</t>
  </si>
  <si>
    <t>POL53109</t>
  </si>
  <si>
    <t>POL53110</t>
  </si>
  <si>
    <t>POL53111</t>
  </si>
  <si>
    <t>POL53113</t>
  </si>
  <si>
    <t>POL53114</t>
  </si>
  <si>
    <t>POL53116</t>
  </si>
  <si>
    <t>POL53117</t>
  </si>
  <si>
    <t>POL53118</t>
  </si>
  <si>
    <t>POL53119</t>
  </si>
  <si>
    <t>POL53120</t>
  </si>
  <si>
    <t>POL53121</t>
  </si>
  <si>
    <t>POL53125</t>
  </si>
  <si>
    <t>POL53128</t>
  </si>
  <si>
    <t>POL53129</t>
  </si>
  <si>
    <t>POL53130</t>
  </si>
  <si>
    <t>POL53131</t>
  </si>
  <si>
    <t>POL53132</t>
  </si>
  <si>
    <t>POL53133</t>
  </si>
  <si>
    <t>POL53135</t>
  </si>
  <si>
    <t>POL53137</t>
  </si>
  <si>
    <t>POL53138</t>
  </si>
  <si>
    <t>POL53140</t>
  </si>
  <si>
    <t>POL53141</t>
  </si>
  <si>
    <t>POL53143</t>
  </si>
  <si>
    <t>POL53145</t>
  </si>
  <si>
    <t>POL53146</t>
  </si>
  <si>
    <t>POL53148</t>
  </si>
  <si>
    <t>POL53151</t>
  </si>
  <si>
    <t>POL53152</t>
  </si>
  <si>
    <t>POL53154</t>
  </si>
  <si>
    <t>POL53155</t>
  </si>
  <si>
    <t>POL53156</t>
  </si>
  <si>
    <t>POL53159</t>
  </si>
  <si>
    <t>POL53160</t>
  </si>
  <si>
    <t>POL53161</t>
  </si>
  <si>
    <t>POL53162</t>
  </si>
  <si>
    <t>POL53163</t>
  </si>
  <si>
    <t>POL53164</t>
  </si>
  <si>
    <t>POL53165</t>
  </si>
  <si>
    <t>POL53167</t>
  </si>
  <si>
    <t>POL53170</t>
  </si>
  <si>
    <t>POL53171</t>
  </si>
  <si>
    <t>POL53172</t>
  </si>
  <si>
    <t>POL53173</t>
  </si>
  <si>
    <t>POL53174</t>
  </si>
  <si>
    <t>POL53175</t>
  </si>
  <si>
    <t>POL53176</t>
  </si>
  <si>
    <t>POL53180</t>
  </si>
  <si>
    <t>POL53181</t>
  </si>
  <si>
    <t>POL53183</t>
  </si>
  <si>
    <t>POL53184</t>
  </si>
  <si>
    <t>POL53185</t>
  </si>
  <si>
    <t>POL53186</t>
  </si>
  <si>
    <t>POL53187</t>
  </si>
  <si>
    <t>POL53188</t>
  </si>
  <si>
    <t>POL53190</t>
  </si>
  <si>
    <t>POL53191</t>
  </si>
  <si>
    <t>POL53192</t>
  </si>
  <si>
    <t>POL53195</t>
  </si>
  <si>
    <t>POL53196</t>
  </si>
  <si>
    <t>POL53197</t>
  </si>
  <si>
    <t>POL53198</t>
  </si>
  <si>
    <t>POL53199</t>
  </si>
  <si>
    <t>POL53201</t>
  </si>
  <si>
    <t>POL53203</t>
  </si>
  <si>
    <t>POL53204</t>
  </si>
  <si>
    <t>POL53205</t>
  </si>
  <si>
    <t>POL53206</t>
  </si>
  <si>
    <t>POL53209</t>
  </si>
  <si>
    <t>POL53213</t>
  </si>
  <si>
    <t>POL53215</t>
  </si>
  <si>
    <t>POL53217</t>
  </si>
  <si>
    <t>POL53218</t>
  </si>
  <si>
    <t>POL53220</t>
  </si>
  <si>
    <t>POL53222</t>
  </si>
  <si>
    <t>POL53225</t>
  </si>
  <si>
    <t>POL53226</t>
  </si>
  <si>
    <t>POL53227</t>
  </si>
  <si>
    <t>POL53228</t>
  </si>
  <si>
    <t>POL53230</t>
  </si>
  <si>
    <t>POL53231</t>
  </si>
  <si>
    <t>POL53233</t>
  </si>
  <si>
    <t>POL53234</t>
  </si>
  <si>
    <t>POL53236</t>
  </si>
  <si>
    <t>POL53237</t>
  </si>
  <si>
    <t>POL53238</t>
  </si>
  <si>
    <t>POL53240</t>
  </si>
  <si>
    <t>POL53241</t>
  </si>
  <si>
    <t>POL53242</t>
  </si>
  <si>
    <t>POL53243</t>
  </si>
  <si>
    <t>POL53244</t>
  </si>
  <si>
    <t>POL53246</t>
  </si>
  <si>
    <t>POL53247</t>
  </si>
  <si>
    <t>POL53248</t>
  </si>
  <si>
    <t>POL53249</t>
  </si>
  <si>
    <t>POL53250</t>
  </si>
  <si>
    <t>POL53254</t>
  </si>
  <si>
    <t>POL53255</t>
  </si>
  <si>
    <t>POL53256</t>
  </si>
  <si>
    <t>POL53257</t>
  </si>
  <si>
    <t>POL53258</t>
  </si>
  <si>
    <t>POL53259</t>
  </si>
  <si>
    <t>POL53260</t>
  </si>
  <si>
    <t>POL53261</t>
  </si>
  <si>
    <t>POL53262</t>
  </si>
  <si>
    <t>POL53263</t>
  </si>
  <si>
    <t>POL53264</t>
  </si>
  <si>
    <t>POL53265</t>
  </si>
  <si>
    <t>POL53266</t>
  </si>
  <si>
    <t>POL53267</t>
  </si>
  <si>
    <t>POL53269</t>
  </si>
  <si>
    <t>POL53270</t>
  </si>
  <si>
    <t>POL53271</t>
  </si>
  <si>
    <t>POL53273</t>
  </si>
  <si>
    <t>POL53274</t>
  </si>
  <si>
    <t>POL53275</t>
  </si>
  <si>
    <t>POL53277</t>
  </si>
  <si>
    <t>POL53278</t>
  </si>
  <si>
    <t>POL53280</t>
  </si>
  <si>
    <t>POL53281</t>
  </si>
  <si>
    <t>POL53282</t>
  </si>
  <si>
    <t>POL53283</t>
  </si>
  <si>
    <t>POL53284</t>
  </si>
  <si>
    <t>POL53285</t>
  </si>
  <si>
    <t>POL53286</t>
  </si>
  <si>
    <t>POL53288</t>
  </si>
  <si>
    <t>POL53290</t>
  </si>
  <si>
    <t>POL53292</t>
  </si>
  <si>
    <t>POL53293</t>
  </si>
  <si>
    <t>POL53294</t>
  </si>
  <si>
    <t>POL53295</t>
  </si>
  <si>
    <t>POL53297</t>
  </si>
  <si>
    <t>POL53299</t>
  </si>
  <si>
    <t>POL53300</t>
  </si>
  <si>
    <t>POL53301</t>
  </si>
  <si>
    <t>POL53302</t>
  </si>
  <si>
    <t>POL53304</t>
  </si>
  <si>
    <t>POL53305</t>
  </si>
  <si>
    <t>POL53307</t>
  </si>
  <si>
    <t>POL53309</t>
  </si>
  <si>
    <t>POL53311</t>
  </si>
  <si>
    <t>POL53313</t>
  </si>
  <si>
    <t>POL53314</t>
  </si>
  <si>
    <t>POL53316</t>
  </si>
  <si>
    <t>POL53317</t>
  </si>
  <si>
    <t>POL53318</t>
  </si>
  <si>
    <t>POL53319</t>
  </si>
  <si>
    <t>POL53320</t>
  </si>
  <si>
    <t>POL53321</t>
  </si>
  <si>
    <t>POL53322</t>
  </si>
  <si>
    <t>POL53323</t>
  </si>
  <si>
    <t>POL53324</t>
  </si>
  <si>
    <t>POL53325</t>
  </si>
  <si>
    <t>POL53326</t>
  </si>
  <si>
    <t>POL53328</t>
  </si>
  <si>
    <t>POL53330</t>
  </si>
  <si>
    <t>POL53331</t>
  </si>
  <si>
    <t>POL53332</t>
  </si>
  <si>
    <t>POL53333</t>
  </si>
  <si>
    <t>POL53334</t>
  </si>
  <si>
    <t>POL53335</t>
  </si>
  <si>
    <t>POL53337</t>
  </si>
  <si>
    <t>POL53338</t>
  </si>
  <si>
    <t>POL53339</t>
  </si>
  <si>
    <t>POL53340</t>
  </si>
  <si>
    <t>POL53341</t>
  </si>
  <si>
    <t>POL53342</t>
  </si>
  <si>
    <t>POL53343</t>
  </si>
  <si>
    <t>POL53344</t>
  </si>
  <si>
    <t>POL53345</t>
  </si>
  <si>
    <t>POL53346</t>
  </si>
  <si>
    <t>POL53348</t>
  </si>
  <si>
    <t>POL53350</t>
  </si>
  <si>
    <t>POL53353</t>
  </si>
  <si>
    <t>POL53354</t>
  </si>
  <si>
    <t>POL53355</t>
  </si>
  <si>
    <t>POL53356</t>
  </si>
  <si>
    <t>POL53357</t>
  </si>
  <si>
    <t>POL53358</t>
  </si>
  <si>
    <t>POL53359</t>
  </si>
  <si>
    <t>POL53360</t>
  </si>
  <si>
    <t>POL53362</t>
  </si>
  <si>
    <t>POL53363</t>
  </si>
  <si>
    <t>POL53364</t>
  </si>
  <si>
    <t>POL53368</t>
  </si>
  <si>
    <t>POL53369</t>
  </si>
  <si>
    <t>POL53371</t>
  </si>
  <si>
    <t>POL53372</t>
  </si>
  <si>
    <t>POL53373</t>
  </si>
  <si>
    <t>POL53374</t>
  </si>
  <si>
    <t>POL53375</t>
  </si>
  <si>
    <t>POL53376</t>
  </si>
  <si>
    <t>POL53377</t>
  </si>
  <si>
    <t>POL53379</t>
  </si>
  <si>
    <t>POL53380</t>
  </si>
  <si>
    <t>POL53381</t>
  </si>
  <si>
    <t>POL53382</t>
  </si>
  <si>
    <t>POL53383</t>
  </si>
  <si>
    <t>POL53385</t>
  </si>
  <si>
    <t>POL53386</t>
  </si>
  <si>
    <t>POL53387</t>
  </si>
  <si>
    <t>POL53388</t>
  </si>
  <si>
    <t>POL53389</t>
  </si>
  <si>
    <t>POL53390</t>
  </si>
  <si>
    <t>POL53391</t>
  </si>
  <si>
    <t>POL53392</t>
  </si>
  <si>
    <t>POL53393</t>
  </si>
  <si>
    <t>POL53394</t>
  </si>
  <si>
    <t>POL53395</t>
  </si>
  <si>
    <t>POL53396</t>
  </si>
  <si>
    <t>POL53397</t>
  </si>
  <si>
    <t>POL53398</t>
  </si>
  <si>
    <t>POL53399</t>
  </si>
  <si>
    <t>POL53400</t>
  </si>
  <si>
    <t>POL53401</t>
  </si>
  <si>
    <t>POL53403</t>
  </si>
  <si>
    <t>POL53404</t>
  </si>
  <si>
    <t>POL53405</t>
  </si>
  <si>
    <t>POL53406</t>
  </si>
  <si>
    <t>POL53408</t>
  </si>
  <si>
    <t>POL53409</t>
  </si>
  <si>
    <t>POL53413</t>
  </si>
  <si>
    <t>POL53416</t>
  </si>
  <si>
    <t>POL53417</t>
  </si>
  <si>
    <t>POL53421</t>
  </si>
  <si>
    <t>POL53423</t>
  </si>
  <si>
    <t>POL53425</t>
  </si>
  <si>
    <t>POL53427</t>
  </si>
  <si>
    <t>POL53428</t>
  </si>
  <si>
    <t>POL53432</t>
  </si>
  <si>
    <t>POL53433</t>
  </si>
  <si>
    <t>POL53434</t>
  </si>
  <si>
    <t>POL53435</t>
  </si>
  <si>
    <t>POL53438</t>
  </si>
  <si>
    <t>POL53439</t>
  </si>
  <si>
    <t>POL53441</t>
  </si>
  <si>
    <t>POL53443</t>
  </si>
  <si>
    <t>POL53444</t>
  </si>
  <si>
    <t>POL53445</t>
  </si>
  <si>
    <t>POL53449</t>
  </si>
  <si>
    <t>POL53451</t>
  </si>
  <si>
    <t>POL53454</t>
  </si>
  <si>
    <t>POL53455</t>
  </si>
  <si>
    <t>POL53457</t>
  </si>
  <si>
    <t>POL53461</t>
  </si>
  <si>
    <t>POL53462</t>
  </si>
  <si>
    <t>POL53466</t>
  </si>
  <si>
    <t>POL53467</t>
  </si>
  <si>
    <t>POL53470</t>
  </si>
  <si>
    <t>POL53471</t>
  </si>
  <si>
    <t>POL53473</t>
  </si>
  <si>
    <t>POL53474</t>
  </si>
  <si>
    <t>POL53475</t>
  </si>
  <si>
    <t>POL53476</t>
  </si>
  <si>
    <t>POL53478</t>
  </si>
  <si>
    <t>POL53480</t>
  </si>
  <si>
    <t>POL53481</t>
  </si>
  <si>
    <t>POL53482</t>
  </si>
  <si>
    <t>POL53483</t>
  </si>
  <si>
    <t>POL53484</t>
  </si>
  <si>
    <t>POL53485</t>
  </si>
  <si>
    <t>POL53486</t>
  </si>
  <si>
    <t>POL53487</t>
  </si>
  <si>
    <t>POL53489</t>
  </si>
  <si>
    <t>POL53490</t>
  </si>
  <si>
    <t>POL53494</t>
  </si>
  <si>
    <t>POL53496</t>
  </si>
  <si>
    <t>POL53497</t>
  </si>
  <si>
    <t>POL53498</t>
  </si>
  <si>
    <t>POL53501</t>
  </si>
  <si>
    <t>POL53502</t>
  </si>
  <si>
    <t>POL53503</t>
  </si>
  <si>
    <t>POL53504</t>
  </si>
  <si>
    <t>POL53506</t>
  </si>
  <si>
    <t>POL53509</t>
  </si>
  <si>
    <t>POL53510</t>
  </si>
  <si>
    <t>POL53511</t>
  </si>
  <si>
    <t>POL53512</t>
  </si>
  <si>
    <t>POL53513</t>
  </si>
  <si>
    <t>POL53514</t>
  </si>
  <si>
    <t>POL53515</t>
  </si>
  <si>
    <t>POL53516</t>
  </si>
  <si>
    <t>POL53517</t>
  </si>
  <si>
    <t>POL53519</t>
  </si>
  <si>
    <t>POL53520</t>
  </si>
  <si>
    <t>POL53521</t>
  </si>
  <si>
    <t>POL53522</t>
  </si>
  <si>
    <t>POL53523</t>
  </si>
  <si>
    <t>POL53524</t>
  </si>
  <si>
    <t>POL53525</t>
  </si>
  <si>
    <t>POL53526</t>
  </si>
  <si>
    <t>POL53527</t>
  </si>
  <si>
    <t>POL53528</t>
  </si>
  <si>
    <t>POL53529</t>
  </si>
  <si>
    <t>POL53530</t>
  </si>
  <si>
    <t>POL53533</t>
  </si>
  <si>
    <t>POL53534</t>
  </si>
  <si>
    <t>POL53535</t>
  </si>
  <si>
    <t>POL53537</t>
  </si>
  <si>
    <t>POL53538</t>
  </si>
  <si>
    <t>POL53539</t>
  </si>
  <si>
    <t>POL53540</t>
  </si>
  <si>
    <t>POL53541</t>
  </si>
  <si>
    <t>POL53542</t>
  </si>
  <si>
    <t>POL53544</t>
  </si>
  <si>
    <t>POL53545</t>
  </si>
  <si>
    <t>POL53546</t>
  </si>
  <si>
    <t>POL53547</t>
  </si>
  <si>
    <t>POL53548</t>
  </si>
  <si>
    <t>POL53549</t>
  </si>
  <si>
    <t>POL53552</t>
  </si>
  <si>
    <t>POL53553</t>
  </si>
  <si>
    <t>POL53554</t>
  </si>
  <si>
    <t>POL53556</t>
  </si>
  <si>
    <t>POL53557</t>
  </si>
  <si>
    <t>POL53558</t>
  </si>
  <si>
    <t>POL53560</t>
  </si>
  <si>
    <t>POL53561</t>
  </si>
  <si>
    <t>POL53562</t>
  </si>
  <si>
    <t>POL53563</t>
  </si>
  <si>
    <t>POL53565</t>
  </si>
  <si>
    <t>POL53566</t>
  </si>
  <si>
    <t>POL53567</t>
  </si>
  <si>
    <t>POL53569</t>
  </si>
  <si>
    <t>POL53570</t>
  </si>
  <si>
    <t>POL53571</t>
  </si>
  <si>
    <t>POL53572</t>
  </si>
  <si>
    <t>POL53573</t>
  </si>
  <si>
    <t>POL53574</t>
  </si>
  <si>
    <t>POL53576</t>
  </si>
  <si>
    <t>POL53577</t>
  </si>
  <si>
    <t>POL53578</t>
  </si>
  <si>
    <t>POL53580</t>
  </si>
  <si>
    <t>POL53581</t>
  </si>
  <si>
    <t>POL53582</t>
  </si>
  <si>
    <t>POL53583</t>
  </si>
  <si>
    <t>POL53584</t>
  </si>
  <si>
    <t>POL53585</t>
  </si>
  <si>
    <t>POL53586</t>
  </si>
  <si>
    <t>POL53587</t>
  </si>
  <si>
    <t>POL53588</t>
  </si>
  <si>
    <t>POL53589</t>
  </si>
  <si>
    <t>POL53590</t>
  </si>
  <si>
    <t>POL53591</t>
  </si>
  <si>
    <t>POL53592</t>
  </si>
  <si>
    <t>POL53593</t>
  </si>
  <si>
    <t>POL53595</t>
  </si>
  <si>
    <t>POL53596</t>
  </si>
  <si>
    <t>POL53597</t>
  </si>
  <si>
    <t>POL53599</t>
  </si>
  <si>
    <t>POL53600</t>
  </si>
  <si>
    <t>POL53603</t>
  </si>
  <si>
    <t>POL53604</t>
  </si>
  <si>
    <t>POL53605</t>
  </si>
  <si>
    <t>POL53607</t>
  </si>
  <si>
    <t>POL53608</t>
  </si>
  <si>
    <t>POL53610</t>
  </si>
  <si>
    <t>POL53611</t>
  </si>
  <si>
    <t>POL53612</t>
  </si>
  <si>
    <t>POL53613</t>
  </si>
  <si>
    <t>POL53614</t>
  </si>
  <si>
    <t>POL53616</t>
  </si>
  <si>
    <t>POL53617</t>
  </si>
  <si>
    <t>POL53618</t>
  </si>
  <si>
    <t>POL53619</t>
  </si>
  <si>
    <t>POL53620</t>
  </si>
  <si>
    <t>POL53622</t>
  </si>
  <si>
    <t>POL53623</t>
  </si>
  <si>
    <t>POL53625</t>
  </si>
  <si>
    <t>POL53626</t>
  </si>
  <si>
    <t>POL53627</t>
  </si>
  <si>
    <t>POL53628</t>
  </si>
  <si>
    <t>POL53630</t>
  </si>
  <si>
    <t>POL53631</t>
  </si>
  <si>
    <t>POL53633</t>
  </si>
  <si>
    <t>POL53637</t>
  </si>
  <si>
    <t>AGT5246</t>
  </si>
  <si>
    <t>POL53638</t>
  </si>
  <si>
    <t>POL53639</t>
  </si>
  <si>
    <t>POL53640</t>
  </si>
  <si>
    <t>POL53641</t>
  </si>
  <si>
    <t>POL53642</t>
  </si>
  <si>
    <t>POL53643</t>
  </si>
  <si>
    <t>POL53644</t>
  </si>
  <si>
    <t>POL53646</t>
  </si>
  <si>
    <t>POL53649</t>
  </si>
  <si>
    <t>POL53650</t>
  </si>
  <si>
    <t>POL53651</t>
  </si>
  <si>
    <t>POL53652</t>
  </si>
  <si>
    <t>POL53653</t>
  </si>
  <si>
    <t>POL53654</t>
  </si>
  <si>
    <t>POL53656</t>
  </si>
  <si>
    <t>POL53658</t>
  </si>
  <si>
    <t>POL53660</t>
  </si>
  <si>
    <t>POL53661</t>
  </si>
  <si>
    <t>POL53662</t>
  </si>
  <si>
    <t>POL53663</t>
  </si>
  <si>
    <t>POL53664</t>
  </si>
  <si>
    <t>POL53665</t>
  </si>
  <si>
    <t>POL53666</t>
  </si>
  <si>
    <t>POL53667</t>
  </si>
  <si>
    <t>POL53669</t>
  </si>
  <si>
    <t>POL53670</t>
  </si>
  <si>
    <t>POL53671</t>
  </si>
  <si>
    <t>POL53672</t>
  </si>
  <si>
    <t>POL53673</t>
  </si>
  <si>
    <t>POL53675</t>
  </si>
  <si>
    <t>POL53676</t>
  </si>
  <si>
    <t>POL53678</t>
  </si>
  <si>
    <t>POL53680</t>
  </si>
  <si>
    <t>POL53682</t>
  </si>
  <si>
    <t>POL53684</t>
  </si>
  <si>
    <t>POL53687</t>
  </si>
  <si>
    <t>POL53688</t>
  </si>
  <si>
    <t>POL53691</t>
  </si>
  <si>
    <t>POL53692</t>
  </si>
  <si>
    <t>POL53693</t>
  </si>
  <si>
    <t>POL53694</t>
  </si>
  <si>
    <t>POL53695</t>
  </si>
  <si>
    <t>POL53696</t>
  </si>
  <si>
    <t>POL53697</t>
  </si>
  <si>
    <t>POL53699</t>
  </si>
  <si>
    <t>POL53700</t>
  </si>
  <si>
    <t>POL53701</t>
  </si>
  <si>
    <t>POL53702</t>
  </si>
  <si>
    <t>POL53703</t>
  </si>
  <si>
    <t>POL53704</t>
  </si>
  <si>
    <t>POL53705</t>
  </si>
  <si>
    <t>POL53706</t>
  </si>
  <si>
    <t>POL53707</t>
  </si>
  <si>
    <t>POL53708</t>
  </si>
  <si>
    <t>POL53709</t>
  </si>
  <si>
    <t>POL53710</t>
  </si>
  <si>
    <t>POL53711</t>
  </si>
  <si>
    <t>POL53714</t>
  </si>
  <si>
    <t>POL53715</t>
  </si>
  <si>
    <t>POL53716</t>
  </si>
  <si>
    <t>POL53717</t>
  </si>
  <si>
    <t>POL53718</t>
  </si>
  <si>
    <t>POL53719</t>
  </si>
  <si>
    <t>POL53720</t>
  </si>
  <si>
    <t>POL53723</t>
  </si>
  <si>
    <t>POL53724</t>
  </si>
  <si>
    <t>POL53725</t>
  </si>
  <si>
    <t>POL53726</t>
  </si>
  <si>
    <t>POL53728</t>
  </si>
  <si>
    <t>POL53729</t>
  </si>
  <si>
    <t>POL53730</t>
  </si>
  <si>
    <t>POL53731</t>
  </si>
  <si>
    <t>POL53732</t>
  </si>
  <si>
    <t>POL53733</t>
  </si>
  <si>
    <t>POL53735</t>
  </si>
  <si>
    <t>POL53738</t>
  </si>
  <si>
    <t>POL53740</t>
  </si>
  <si>
    <t>POL53741</t>
  </si>
  <si>
    <t>POL53742</t>
  </si>
  <si>
    <t>POL53743</t>
  </si>
  <si>
    <t>POL53744</t>
  </si>
  <si>
    <t>POL53745</t>
  </si>
  <si>
    <t>POL53747</t>
  </si>
  <si>
    <t>POL53748</t>
  </si>
  <si>
    <t>POL53749</t>
  </si>
  <si>
    <t>POL53750</t>
  </si>
  <si>
    <t>POL53751</t>
  </si>
  <si>
    <t>POL53752</t>
  </si>
  <si>
    <t>POL53753</t>
  </si>
  <si>
    <t>POL53755</t>
  </si>
  <si>
    <t>POL53756</t>
  </si>
  <si>
    <t>POL53757</t>
  </si>
  <si>
    <t>POL53759</t>
  </si>
  <si>
    <t>POL53760</t>
  </si>
  <si>
    <t>POL53762</t>
  </si>
  <si>
    <t>POL53763</t>
  </si>
  <si>
    <t>POL53766</t>
  </si>
  <si>
    <t>POL53767</t>
  </si>
  <si>
    <t>POL53770</t>
  </si>
  <si>
    <t>POL53771</t>
  </si>
  <si>
    <t>POL53772</t>
  </si>
  <si>
    <t>POL53773</t>
  </si>
  <si>
    <t>POL53774</t>
  </si>
  <si>
    <t>POL53775</t>
  </si>
  <si>
    <t>POL53776</t>
  </si>
  <si>
    <t>POL53778</t>
  </si>
  <si>
    <t>POL53779</t>
  </si>
  <si>
    <t>POL53781</t>
  </si>
  <si>
    <t>POL53782</t>
  </si>
  <si>
    <t>POL53783</t>
  </si>
  <si>
    <t>POL53785</t>
  </si>
  <si>
    <t>POL53786</t>
  </si>
  <si>
    <t>POL53788</t>
  </si>
  <si>
    <t>POL53789</t>
  </si>
  <si>
    <t>POL53792</t>
  </si>
  <si>
    <t>POL53793</t>
  </si>
  <si>
    <t>POL53794</t>
  </si>
  <si>
    <t>POL53796</t>
  </si>
  <si>
    <t>POL53797</t>
  </si>
  <si>
    <t>POL53798</t>
  </si>
  <si>
    <t>POL53800</t>
  </si>
  <si>
    <t>POL53803</t>
  </si>
  <si>
    <t>POL53805</t>
  </si>
  <si>
    <t>POL53806</t>
  </si>
  <si>
    <t>POL53807</t>
  </si>
  <si>
    <t>POL53808</t>
  </si>
  <si>
    <t>POL53809</t>
  </si>
  <si>
    <t>POL53810</t>
  </si>
  <si>
    <t>POL53811</t>
  </si>
  <si>
    <t>POL53812</t>
  </si>
  <si>
    <t>POL53813</t>
  </si>
  <si>
    <t>POL53814</t>
  </si>
  <si>
    <t>POL53816</t>
  </si>
  <si>
    <t>POL53818</t>
  </si>
  <si>
    <t>AGT5248</t>
  </si>
  <si>
    <t>POL53819</t>
  </si>
  <si>
    <t>POL53820</t>
  </si>
  <si>
    <t>POL53821</t>
  </si>
  <si>
    <t>POL53823</t>
  </si>
  <si>
    <t>POL53826</t>
  </si>
  <si>
    <t>POL53828</t>
  </si>
  <si>
    <t>POL53831</t>
  </si>
  <si>
    <t>POL53832</t>
  </si>
  <si>
    <t>POL53833</t>
  </si>
  <si>
    <t>POL53834</t>
  </si>
  <si>
    <t>POL53836</t>
  </si>
  <si>
    <t>POL53837</t>
  </si>
  <si>
    <t>POL53838</t>
  </si>
  <si>
    <t>POL53839</t>
  </si>
  <si>
    <t>POL53840</t>
  </si>
  <si>
    <t>POL53841</t>
  </si>
  <si>
    <t>POL53842</t>
  </si>
  <si>
    <t>POL53843</t>
  </si>
  <si>
    <t>POL53844</t>
  </si>
  <si>
    <t>POL53845</t>
  </si>
  <si>
    <t>POL53848</t>
  </si>
  <si>
    <t>POL53849</t>
  </si>
  <si>
    <t>POL53850</t>
  </si>
  <si>
    <t>POL53851</t>
  </si>
  <si>
    <t>POL53852</t>
  </si>
  <si>
    <t>POL53853</t>
  </si>
  <si>
    <t>POL53854</t>
  </si>
  <si>
    <t>POL53855</t>
  </si>
  <si>
    <t>POL53856</t>
  </si>
  <si>
    <t>POL53857</t>
  </si>
  <si>
    <t>POL53858</t>
  </si>
  <si>
    <t>POL53859</t>
  </si>
  <si>
    <t>POL53861</t>
  </si>
  <si>
    <t>POL53862</t>
  </si>
  <si>
    <t>POL53865</t>
  </si>
  <si>
    <t>POL53866</t>
  </si>
  <si>
    <t>POL53867</t>
  </si>
  <si>
    <t>POL53868</t>
  </si>
  <si>
    <t>POL53869</t>
  </si>
  <si>
    <t>POL53871</t>
  </si>
  <si>
    <t>POL53872</t>
  </si>
  <si>
    <t>POL53873</t>
  </si>
  <si>
    <t>POL53874</t>
  </si>
  <si>
    <t>POL53875</t>
  </si>
  <si>
    <t>POL53877</t>
  </si>
  <si>
    <t>POL53878</t>
  </si>
  <si>
    <t>POL53879</t>
  </si>
  <si>
    <t>POL53882</t>
  </si>
  <si>
    <t>POL53883</t>
  </si>
  <si>
    <t>POL53884</t>
  </si>
  <si>
    <t>POL53886</t>
  </si>
  <si>
    <t>POL53889</t>
  </si>
  <si>
    <t>POL53890</t>
  </si>
  <si>
    <t>POL53892</t>
  </si>
  <si>
    <t>POL53893</t>
  </si>
  <si>
    <t>POL53895</t>
  </si>
  <si>
    <t>POL53900</t>
  </si>
  <si>
    <t>POL53901</t>
  </si>
  <si>
    <t>POL53903</t>
  </si>
  <si>
    <t>POL53904</t>
  </si>
  <si>
    <t>POL53905</t>
  </si>
  <si>
    <t>POL53906</t>
  </si>
  <si>
    <t>POL53907</t>
  </si>
  <si>
    <t>POL53908</t>
  </si>
  <si>
    <t>POL53910</t>
  </si>
  <si>
    <t>POL53911</t>
  </si>
  <si>
    <t>POL53912</t>
  </si>
  <si>
    <t>POL53914</t>
  </si>
  <si>
    <t>POL53916</t>
  </si>
  <si>
    <t>POL53917</t>
  </si>
  <si>
    <t>POL53918</t>
  </si>
  <si>
    <t>POL53919</t>
  </si>
  <si>
    <t>POL53920</t>
  </si>
  <si>
    <t>POL53922</t>
  </si>
  <si>
    <t>POL53923</t>
  </si>
  <si>
    <t>POL53924</t>
  </si>
  <si>
    <t>POL53925</t>
  </si>
  <si>
    <t>POL53926</t>
  </si>
  <si>
    <t>POL53927</t>
  </si>
  <si>
    <t>POL53929</t>
  </si>
  <si>
    <t>POL53930</t>
  </si>
  <si>
    <t>POL53932</t>
  </si>
  <si>
    <t>POL53933</t>
  </si>
  <si>
    <t>POL53934</t>
  </si>
  <si>
    <t>POL53936</t>
  </si>
  <si>
    <t>POL53937</t>
  </si>
  <si>
    <t>POL53940</t>
  </si>
  <si>
    <t>POL53941</t>
  </si>
  <si>
    <t>POL53944</t>
  </si>
  <si>
    <t>POL53945</t>
  </si>
  <si>
    <t>POL53946</t>
  </si>
  <si>
    <t>POL53947</t>
  </si>
  <si>
    <t>POL53951</t>
  </si>
  <si>
    <t>POL53953</t>
  </si>
  <si>
    <t>POL53954</t>
  </si>
  <si>
    <t>POL53955</t>
  </si>
  <si>
    <t>POL53956</t>
  </si>
  <si>
    <t>POL53957</t>
  </si>
  <si>
    <t>POL53959</t>
  </si>
  <si>
    <t>POL53960</t>
  </si>
  <si>
    <t>POL53961</t>
  </si>
  <si>
    <t>POL53962</t>
  </si>
  <si>
    <t>POL53963</t>
  </si>
  <si>
    <t>POL53964</t>
  </si>
  <si>
    <t>POL53968</t>
  </si>
  <si>
    <t>POL53969</t>
  </si>
  <si>
    <t>POL53970</t>
  </si>
  <si>
    <t>POL53971</t>
  </si>
  <si>
    <t>POL53973</t>
  </si>
  <si>
    <t>POL53974</t>
  </si>
  <si>
    <t>POL53975</t>
  </si>
  <si>
    <t>POL53976</t>
  </si>
  <si>
    <t>POL53977</t>
  </si>
  <si>
    <t>POL53978</t>
  </si>
  <si>
    <t>POL53979</t>
  </si>
  <si>
    <t>POL53980</t>
  </si>
  <si>
    <t>POL53985</t>
  </si>
  <si>
    <t>POL53986</t>
  </si>
  <si>
    <t>POL53987</t>
  </si>
  <si>
    <t>POL53988</t>
  </si>
  <si>
    <t>POL53989</t>
  </si>
  <si>
    <t>POL53990</t>
  </si>
  <si>
    <t>POL53991</t>
  </si>
  <si>
    <t>POL53994</t>
  </si>
  <si>
    <t>POL53996</t>
  </si>
  <si>
    <t>POL53998</t>
  </si>
  <si>
    <t>POL53999</t>
  </si>
  <si>
    <t>claim_id</t>
  </si>
  <si>
    <t>claim_date</t>
  </si>
  <si>
    <t>claim_amount</t>
  </si>
  <si>
    <t>claim_status</t>
  </si>
  <si>
    <t>claim_type</t>
  </si>
  <si>
    <t>fraud_flag</t>
  </si>
  <si>
    <t>days_to_process</t>
  </si>
  <si>
    <t>CLM70003</t>
  </si>
  <si>
    <t>Pending</t>
  </si>
  <si>
    <t>Theft</t>
  </si>
  <si>
    <t>CLM70004</t>
  </si>
  <si>
    <t>Approved</t>
  </si>
  <si>
    <t>Hospital</t>
  </si>
  <si>
    <t>CLM70005</t>
  </si>
  <si>
    <t>Rejected</t>
  </si>
  <si>
    <t>Death</t>
  </si>
  <si>
    <t>CLM70006</t>
  </si>
  <si>
    <t>Accident</t>
  </si>
  <si>
    <t>CLM70007</t>
  </si>
  <si>
    <t>CLM70008</t>
  </si>
  <si>
    <t>CLM70010</t>
  </si>
  <si>
    <t>CLM70012</t>
  </si>
  <si>
    <t>Other</t>
  </si>
  <si>
    <t>CLM70013</t>
  </si>
  <si>
    <t>CLM70014</t>
  </si>
  <si>
    <t>CLM70017</t>
  </si>
  <si>
    <t>CLM70018</t>
  </si>
  <si>
    <t>CLM70019</t>
  </si>
  <si>
    <t>CLM70020</t>
  </si>
  <si>
    <t>CLM70021</t>
  </si>
  <si>
    <t>CLM70022</t>
  </si>
  <si>
    <t>CLM70023</t>
  </si>
  <si>
    <t>CLM70024</t>
  </si>
  <si>
    <t>CLM70025</t>
  </si>
  <si>
    <t>CLM70026</t>
  </si>
  <si>
    <t>CLM70028</t>
  </si>
  <si>
    <t>CLM70029</t>
  </si>
  <si>
    <t>CLM70030</t>
  </si>
  <si>
    <t>CLM70031</t>
  </si>
  <si>
    <t>CLM70033</t>
  </si>
  <si>
    <t>CLM70034</t>
  </si>
  <si>
    <t>CLM70036</t>
  </si>
  <si>
    <t>CLM70038</t>
  </si>
  <si>
    <t>CLM70040</t>
  </si>
  <si>
    <t>CLM70042</t>
  </si>
  <si>
    <t>CLM70043</t>
  </si>
  <si>
    <t>CLM70044</t>
  </si>
  <si>
    <t>CLM70045</t>
  </si>
  <si>
    <t>CLM70046</t>
  </si>
  <si>
    <t>CLM70047</t>
  </si>
  <si>
    <t>CLM70048</t>
  </si>
  <si>
    <t>CLM70049</t>
  </si>
  <si>
    <t>CLM70050</t>
  </si>
  <si>
    <t>CLM70052</t>
  </si>
  <si>
    <t>CLM70054</t>
  </si>
  <si>
    <t>CLM70055</t>
  </si>
  <si>
    <t>CLM70056</t>
  </si>
  <si>
    <t>CLM70060</t>
  </si>
  <si>
    <t>CLM70061</t>
  </si>
  <si>
    <t>CLM70064</t>
  </si>
  <si>
    <t>CLM70065</t>
  </si>
  <si>
    <t>CLM70066</t>
  </si>
  <si>
    <t>CLM70068</t>
  </si>
  <si>
    <t>CLM70072</t>
  </si>
  <si>
    <t>CLM70074</t>
  </si>
  <si>
    <t>CLM70075</t>
  </si>
  <si>
    <t>CLM70077</t>
  </si>
  <si>
    <t>CLM70078</t>
  </si>
  <si>
    <t>CLM70081</t>
  </si>
  <si>
    <t>CLM70082</t>
  </si>
  <si>
    <t>CLM70083</t>
  </si>
  <si>
    <t>CLM70085</t>
  </si>
  <si>
    <t>CLM70088</t>
  </si>
  <si>
    <t>CLM70091</t>
  </si>
  <si>
    <t>CLM70092</t>
  </si>
  <si>
    <t>CLM70093</t>
  </si>
  <si>
    <t>CLM70095</t>
  </si>
  <si>
    <t>CLM70096</t>
  </si>
  <si>
    <t>CLM70097</t>
  </si>
  <si>
    <t>CLM70098</t>
  </si>
  <si>
    <t>CLM70099</t>
  </si>
  <si>
    <t>CLM70101</t>
  </si>
  <si>
    <t>CLM70108</t>
  </si>
  <si>
    <t>CLM70109</t>
  </si>
  <si>
    <t>CLM70110</t>
  </si>
  <si>
    <t>CLM70111</t>
  </si>
  <si>
    <t>CLM70112</t>
  </si>
  <si>
    <t>CLM70113</t>
  </si>
  <si>
    <t>CLM70115</t>
  </si>
  <si>
    <t>CLM70116</t>
  </si>
  <si>
    <t>CLM70118</t>
  </si>
  <si>
    <t>CLM70122</t>
  </si>
  <si>
    <t>CLM70123</t>
  </si>
  <si>
    <t>CLM70125</t>
  </si>
  <si>
    <t>CLM70127</t>
  </si>
  <si>
    <t>CLM70128</t>
  </si>
  <si>
    <t>CLM70129</t>
  </si>
  <si>
    <t>CLM70130</t>
  </si>
  <si>
    <t>CLM70131</t>
  </si>
  <si>
    <t>CLM70132</t>
  </si>
  <si>
    <t>CLM70133</t>
  </si>
  <si>
    <t>CLM70135</t>
  </si>
  <si>
    <t>CLM70137</t>
  </si>
  <si>
    <t>CLM70138</t>
  </si>
  <si>
    <t>CLM70140</t>
  </si>
  <si>
    <t>CLM70141</t>
  </si>
  <si>
    <t>CLM70142</t>
  </si>
  <si>
    <t>CLM70143</t>
  </si>
  <si>
    <t>CLM70144</t>
  </si>
  <si>
    <t>CLM70146</t>
  </si>
  <si>
    <t>CLM70147</t>
  </si>
  <si>
    <t>CLM70149</t>
  </si>
  <si>
    <t>CLM70150</t>
  </si>
  <si>
    <t>CLM70151</t>
  </si>
  <si>
    <t>CLM70156</t>
  </si>
  <si>
    <t>CLM70159</t>
  </si>
  <si>
    <t>CLM70160</t>
  </si>
  <si>
    <t>CLM70161</t>
  </si>
  <si>
    <t>CLM70162</t>
  </si>
  <si>
    <t>CLM70163</t>
  </si>
  <si>
    <t>CLM70164</t>
  </si>
  <si>
    <t>CLM70167</t>
  </si>
  <si>
    <t>CLM70168</t>
  </si>
  <si>
    <t>CLM70169</t>
  </si>
  <si>
    <t>CLM70171</t>
  </si>
  <si>
    <t>CLM70172</t>
  </si>
  <si>
    <t>CLM70174</t>
  </si>
  <si>
    <t>CLM70176</t>
  </si>
  <si>
    <t>CLM70178</t>
  </si>
  <si>
    <t>CLM70179</t>
  </si>
  <si>
    <t>CLM70180</t>
  </si>
  <si>
    <t>CLM70182</t>
  </si>
  <si>
    <t>CLM70183</t>
  </si>
  <si>
    <t>CLM70184</t>
  </si>
  <si>
    <t>CLM70187</t>
  </si>
  <si>
    <t>CLM70188</t>
  </si>
  <si>
    <t>CLM70189</t>
  </si>
  <si>
    <t>CLM70190</t>
  </si>
  <si>
    <t>CLM70191</t>
  </si>
  <si>
    <t>CLM70192</t>
  </si>
  <si>
    <t>CLM70193</t>
  </si>
  <si>
    <t>CLM70194</t>
  </si>
  <si>
    <t>CLM70195</t>
  </si>
  <si>
    <t>CLM70196</t>
  </si>
  <si>
    <t>CLM70198</t>
  </si>
  <si>
    <t>CLM70199</t>
  </si>
  <si>
    <t>CLM70200</t>
  </si>
  <si>
    <t>CLM70201</t>
  </si>
  <si>
    <t>CLM70202</t>
  </si>
  <si>
    <t>CLM70204</t>
  </si>
  <si>
    <t>CLM70206</t>
  </si>
  <si>
    <t>CLM70208</t>
  </si>
  <si>
    <t>CLM70209</t>
  </si>
  <si>
    <t>CLM70210</t>
  </si>
  <si>
    <t>CLM70212</t>
  </si>
  <si>
    <t>CLM70214</t>
  </si>
  <si>
    <t>CLM70215</t>
  </si>
  <si>
    <t>CLM70216</t>
  </si>
  <si>
    <t>CLM70218</t>
  </si>
  <si>
    <t>CLM70219</t>
  </si>
  <si>
    <t>CLM70220</t>
  </si>
  <si>
    <t>CLM70221</t>
  </si>
  <si>
    <t>CLM70222</t>
  </si>
  <si>
    <t>CLM70223</t>
  </si>
  <si>
    <t>CLM70224</t>
  </si>
  <si>
    <t>CLM70225</t>
  </si>
  <si>
    <t>CLM70228</t>
  </si>
  <si>
    <t>CLM70229</t>
  </si>
  <si>
    <t>CLM70230</t>
  </si>
  <si>
    <t>CLM70232</t>
  </si>
  <si>
    <t>CLM70235</t>
  </si>
  <si>
    <t>CLM70236</t>
  </si>
  <si>
    <t>CLM70238</t>
  </si>
  <si>
    <t>CLM70240</t>
  </si>
  <si>
    <t>CLM70242</t>
  </si>
  <si>
    <t>CLM70243</t>
  </si>
  <si>
    <t>CLM70244</t>
  </si>
  <si>
    <t>CLM70245</t>
  </si>
  <si>
    <t>CLM70248</t>
  </si>
  <si>
    <t>CLM70249</t>
  </si>
  <si>
    <t>CLM70250</t>
  </si>
  <si>
    <t>CLM70251</t>
  </si>
  <si>
    <t>CLM70252</t>
  </si>
  <si>
    <t>CLM70253</t>
  </si>
  <si>
    <t>CLM70255</t>
  </si>
  <si>
    <t>CLM70256</t>
  </si>
  <si>
    <t>CLM70257</t>
  </si>
  <si>
    <t>CLM70259</t>
  </si>
  <si>
    <t>CLM70261</t>
  </si>
  <si>
    <t>CLM70262</t>
  </si>
  <si>
    <t>CLM70263</t>
  </si>
  <si>
    <t>CLM70264</t>
  </si>
  <si>
    <t>CLM70265</t>
  </si>
  <si>
    <t>CLM70268</t>
  </si>
  <si>
    <t>CLM70269</t>
  </si>
  <si>
    <t>CLM70270</t>
  </si>
  <si>
    <t>CLM70271</t>
  </si>
  <si>
    <t>CLM70272</t>
  </si>
  <si>
    <t>CLM70273</t>
  </si>
  <si>
    <t>CLM70275</t>
  </si>
  <si>
    <t>CLM70276</t>
  </si>
  <si>
    <t>CLM70277</t>
  </si>
  <si>
    <t>CLM70278</t>
  </si>
  <si>
    <t>CLM70280</t>
  </si>
  <si>
    <t>CLM70283</t>
  </si>
  <si>
    <t>CLM70284</t>
  </si>
  <si>
    <t>CLM70285</t>
  </si>
  <si>
    <t>CLM70286</t>
  </si>
  <si>
    <t>CLM70287</t>
  </si>
  <si>
    <t>CLM70288</t>
  </si>
  <si>
    <t>CLM70290</t>
  </si>
  <si>
    <t>CLM70291</t>
  </si>
  <si>
    <t>CLM70292</t>
  </si>
  <si>
    <t>CLM70293</t>
  </si>
  <si>
    <t>CLM70294</t>
  </si>
  <si>
    <t>CLM70296</t>
  </si>
  <si>
    <t>CLM70299</t>
  </si>
  <si>
    <t>CLM70300</t>
  </si>
  <si>
    <t>CLM70301</t>
  </si>
  <si>
    <t>CLM70302</t>
  </si>
  <si>
    <t>CLM70303</t>
  </si>
  <si>
    <t>CLM70304</t>
  </si>
  <si>
    <t>CLM70305</t>
  </si>
  <si>
    <t>CLM70306</t>
  </si>
  <si>
    <t>CLM70311</t>
  </si>
  <si>
    <t>CLM70312</t>
  </si>
  <si>
    <t>CLM70314</t>
  </si>
  <si>
    <t>CLM70315</t>
  </si>
  <si>
    <t>CLM70316</t>
  </si>
  <si>
    <t>CLM70317</t>
  </si>
  <si>
    <t>CLM70318</t>
  </si>
  <si>
    <t>CLM70319</t>
  </si>
  <si>
    <t>CLM70320</t>
  </si>
  <si>
    <t>CLM70321</t>
  </si>
  <si>
    <t>CLM70322</t>
  </si>
  <si>
    <t>CLM70323</t>
  </si>
  <si>
    <t>CLM70324</t>
  </si>
  <si>
    <t>CLM70325</t>
  </si>
  <si>
    <t>CLM70326</t>
  </si>
  <si>
    <t>CLM70327</t>
  </si>
  <si>
    <t>CLM70329</t>
  </si>
  <si>
    <t>CLM70330</t>
  </si>
  <si>
    <t>CLM70331</t>
  </si>
  <si>
    <t>CLM70334</t>
  </si>
  <si>
    <t>CLM70335</t>
  </si>
  <si>
    <t>CLM70337</t>
  </si>
  <si>
    <t>CLM70338</t>
  </si>
  <si>
    <t>CLM70340</t>
  </si>
  <si>
    <t>CLM70341</t>
  </si>
  <si>
    <t>CLM70342</t>
  </si>
  <si>
    <t>CLM70343</t>
  </si>
  <si>
    <t>CLM70344</t>
  </si>
  <si>
    <t>CLM70345</t>
  </si>
  <si>
    <t>CLM70346</t>
  </si>
  <si>
    <t>CLM70347</t>
  </si>
  <si>
    <t>CLM70348</t>
  </si>
  <si>
    <t>CLM70349</t>
  </si>
  <si>
    <t>CLM70350</t>
  </si>
  <si>
    <t>CLM70351</t>
  </si>
  <si>
    <t>CLM70352</t>
  </si>
  <si>
    <t>CLM70356</t>
  </si>
  <si>
    <t>CLM70361</t>
  </si>
  <si>
    <t>CLM70363</t>
  </si>
  <si>
    <t>CLM70365</t>
  </si>
  <si>
    <t>CLM70366</t>
  </si>
  <si>
    <t>CLM70369</t>
  </si>
  <si>
    <t>CLM70370</t>
  </si>
  <si>
    <t>CLM70371</t>
  </si>
  <si>
    <t>CLM70373</t>
  </si>
  <si>
    <t>CLM70374</t>
  </si>
  <si>
    <t>CLM70377</t>
  </si>
  <si>
    <t>CLM70378</t>
  </si>
  <si>
    <t>CLM70379</t>
  </si>
  <si>
    <t>CLM70380</t>
  </si>
  <si>
    <t>CLM70381</t>
  </si>
  <si>
    <t>CLM70382</t>
  </si>
  <si>
    <t>CLM70383</t>
  </si>
  <si>
    <t>CLM70384</t>
  </si>
  <si>
    <t>CLM70387</t>
  </si>
  <si>
    <t>CLM70389</t>
  </si>
  <si>
    <t>CLM70391</t>
  </si>
  <si>
    <t>CLM70393</t>
  </si>
  <si>
    <t>CLM70394</t>
  </si>
  <si>
    <t>CLM70395</t>
  </si>
  <si>
    <t>CLM70396</t>
  </si>
  <si>
    <t>CLM70397</t>
  </si>
  <si>
    <t>CLM70398</t>
  </si>
  <si>
    <t>CLM70399</t>
  </si>
  <si>
    <t>CLM70400</t>
  </si>
  <si>
    <t>CLM70401</t>
  </si>
  <si>
    <t>CLM70402</t>
  </si>
  <si>
    <t>CLM70404</t>
  </si>
  <si>
    <t>CLM70405</t>
  </si>
  <si>
    <t>CLM70406</t>
  </si>
  <si>
    <t>CLM70407</t>
  </si>
  <si>
    <t>CLM70409</t>
  </si>
  <si>
    <t>CLM70410</t>
  </si>
  <si>
    <t>CLM70411</t>
  </si>
  <si>
    <t>CLM70412</t>
  </si>
  <si>
    <t>CLM70414</t>
  </si>
  <si>
    <t>CLM70415</t>
  </si>
  <si>
    <t>CLM70416</t>
  </si>
  <si>
    <t>CLM70417</t>
  </si>
  <si>
    <t>CLM70419</t>
  </si>
  <si>
    <t>CLM70420</t>
  </si>
  <si>
    <t>CLM70424</t>
  </si>
  <si>
    <t>CLM70426</t>
  </si>
  <si>
    <t>CLM70427</t>
  </si>
  <si>
    <t>CLM70429</t>
  </si>
  <si>
    <t>CLM70430</t>
  </si>
  <si>
    <t>CLM70431</t>
  </si>
  <si>
    <t>CLM70432</t>
  </si>
  <si>
    <t>CLM70433</t>
  </si>
  <si>
    <t>CLM70434</t>
  </si>
  <si>
    <t>CLM70438</t>
  </si>
  <si>
    <t>CLM70439</t>
  </si>
  <si>
    <t>CLM70440</t>
  </si>
  <si>
    <t>CLM70441</t>
  </si>
  <si>
    <t>CLM70442</t>
  </si>
  <si>
    <t>CLM70443</t>
  </si>
  <si>
    <t>CLM70444</t>
  </si>
  <si>
    <t>CLM70446</t>
  </si>
  <si>
    <t>CLM70447</t>
  </si>
  <si>
    <t>CLM70448</t>
  </si>
  <si>
    <t>CLM70449</t>
  </si>
  <si>
    <t>CLM70450</t>
  </si>
  <si>
    <t>CLM70451</t>
  </si>
  <si>
    <t>CLM70452</t>
  </si>
  <si>
    <t>CLM70453</t>
  </si>
  <si>
    <t>CLM70455</t>
  </si>
  <si>
    <t>CLM70456</t>
  </si>
  <si>
    <t>CLM70458</t>
  </si>
  <si>
    <t>CLM70459</t>
  </si>
  <si>
    <t>CLM70460</t>
  </si>
  <si>
    <t>CLM70461</t>
  </si>
  <si>
    <t>CLM70463</t>
  </si>
  <si>
    <t>CLM70466</t>
  </si>
  <si>
    <t>CLM70467</t>
  </si>
  <si>
    <t>CLM70468</t>
  </si>
  <si>
    <t>CLM70469</t>
  </si>
  <si>
    <t>CLM70470</t>
  </si>
  <si>
    <t>CLM70471</t>
  </si>
  <si>
    <t>CLM70472</t>
  </si>
  <si>
    <t>CLM70473</t>
  </si>
  <si>
    <t>CLM70474</t>
  </si>
  <si>
    <t>CLM70476</t>
  </si>
  <si>
    <t>CLM70477</t>
  </si>
  <si>
    <t>CLM70480</t>
  </si>
  <si>
    <t>CLM70482</t>
  </si>
  <si>
    <t>CLM70483</t>
  </si>
  <si>
    <t>CLM70485</t>
  </si>
  <si>
    <t>CLM70486</t>
  </si>
  <si>
    <t>CLM70487</t>
  </si>
  <si>
    <t>CLM70488</t>
  </si>
  <si>
    <t>CLM70489</t>
  </si>
  <si>
    <t>CLM70490</t>
  </si>
  <si>
    <t>CLM70491</t>
  </si>
  <si>
    <t>CLM70492</t>
  </si>
  <si>
    <t>CLM70493</t>
  </si>
  <si>
    <t>CLM70494</t>
  </si>
  <si>
    <t>CLM70495</t>
  </si>
  <si>
    <t>CLM70496</t>
  </si>
  <si>
    <t>CLM70498</t>
  </si>
  <si>
    <t>CLM70499</t>
  </si>
  <si>
    <t>CLM70500</t>
  </si>
  <si>
    <t>CLM70501</t>
  </si>
  <si>
    <t>CLM70505</t>
  </si>
  <si>
    <t>CLM70506</t>
  </si>
  <si>
    <t>CLM70508</t>
  </si>
  <si>
    <t>CLM70513</t>
  </si>
  <si>
    <t>CLM70515</t>
  </si>
  <si>
    <t>CLM70516</t>
  </si>
  <si>
    <t>CLM70517</t>
  </si>
  <si>
    <t>CLM70519</t>
  </si>
  <si>
    <t>CLM70520</t>
  </si>
  <si>
    <t>CLM70521</t>
  </si>
  <si>
    <t>CLM70522</t>
  </si>
  <si>
    <t>CLM70523</t>
  </si>
  <si>
    <t>CLM70524</t>
  </si>
  <si>
    <t>CLM70525</t>
  </si>
  <si>
    <t>CLM70526</t>
  </si>
  <si>
    <t>CLM70527</t>
  </si>
  <si>
    <t>CLM70528</t>
  </si>
  <si>
    <t>CLM70529</t>
  </si>
  <si>
    <t>CLM70530</t>
  </si>
  <si>
    <t>CLM70532</t>
  </si>
  <si>
    <t>CLM70533</t>
  </si>
  <si>
    <t>CLM70535</t>
  </si>
  <si>
    <t>CLM70537</t>
  </si>
  <si>
    <t>CLM70542</t>
  </si>
  <si>
    <t>CLM70543</t>
  </si>
  <si>
    <t>CLM70544</t>
  </si>
  <si>
    <t>CLM70545</t>
  </si>
  <si>
    <t>CLM70547</t>
  </si>
  <si>
    <t>CLM70548</t>
  </si>
  <si>
    <t>CLM70549</t>
  </si>
  <si>
    <t>CLM70550</t>
  </si>
  <si>
    <t>CLM70552</t>
  </si>
  <si>
    <t>CLM70554</t>
  </si>
  <si>
    <t>CLM70557</t>
  </si>
  <si>
    <t>CLM70558</t>
  </si>
  <si>
    <t>CLM70559</t>
  </si>
  <si>
    <t>CLM70560</t>
  </si>
  <si>
    <t>CLM70561</t>
  </si>
  <si>
    <t>CLM70562</t>
  </si>
  <si>
    <t>CLM70564</t>
  </si>
  <si>
    <t>CLM70565</t>
  </si>
  <si>
    <t>CLM70566</t>
  </si>
  <si>
    <t>CLM70569</t>
  </si>
  <si>
    <t>CLM70570</t>
  </si>
  <si>
    <t>CLM70571</t>
  </si>
  <si>
    <t>CLM70574</t>
  </si>
  <si>
    <t>CLM70575</t>
  </si>
  <si>
    <t>CLM70577</t>
  </si>
  <si>
    <t>CLM70578</t>
  </si>
  <si>
    <t>CLM70579</t>
  </si>
  <si>
    <t>CLM70580</t>
  </si>
  <si>
    <t>CLM70583</t>
  </si>
  <si>
    <t>CLM70584</t>
  </si>
  <si>
    <t>CLM70585</t>
  </si>
  <si>
    <t>CLM70586</t>
  </si>
  <si>
    <t>CLM70591</t>
  </si>
  <si>
    <t>CLM70593</t>
  </si>
  <si>
    <t>CLM70595</t>
  </si>
  <si>
    <t>CLM70596</t>
  </si>
  <si>
    <t>CLM70598</t>
  </si>
  <si>
    <t>CLM70600</t>
  </si>
  <si>
    <t>CLM70603</t>
  </si>
  <si>
    <t>CLM70604</t>
  </si>
  <si>
    <t>CLM70605</t>
  </si>
  <si>
    <t>CLM70607</t>
  </si>
  <si>
    <t>CLM70610</t>
  </si>
  <si>
    <t>CLM70612</t>
  </si>
  <si>
    <t>CLM70614</t>
  </si>
  <si>
    <t>CLM70615</t>
  </si>
  <si>
    <t>CLM70616</t>
  </si>
  <si>
    <t>CLM70617</t>
  </si>
  <si>
    <t>CLM70619</t>
  </si>
  <si>
    <t>CLM70621</t>
  </si>
  <si>
    <t>CLM70622</t>
  </si>
  <si>
    <t>CLM70625</t>
  </si>
  <si>
    <t>CLM70626</t>
  </si>
  <si>
    <t>CLM70628</t>
  </si>
  <si>
    <t>CLM70629</t>
  </si>
  <si>
    <t>CLM70630</t>
  </si>
  <si>
    <t>CLM70631</t>
  </si>
  <si>
    <t>CLM70632</t>
  </si>
  <si>
    <t>CLM70633</t>
  </si>
  <si>
    <t>CLM70634</t>
  </si>
  <si>
    <t>CLM70635</t>
  </si>
  <si>
    <t>CLM70636</t>
  </si>
  <si>
    <t>CLM70637</t>
  </si>
  <si>
    <t>CLM70638</t>
  </si>
  <si>
    <t>CLM70639</t>
  </si>
  <si>
    <t>CLM70641</t>
  </si>
  <si>
    <t>CLM70642</t>
  </si>
  <si>
    <t>CLM70643</t>
  </si>
  <si>
    <t>CLM70644</t>
  </si>
  <si>
    <t>CLM70645</t>
  </si>
  <si>
    <t>CLM70646</t>
  </si>
  <si>
    <t>CLM70647</t>
  </si>
  <si>
    <t>CLM70648</t>
  </si>
  <si>
    <t>CLM70649</t>
  </si>
  <si>
    <t>CLM70650</t>
  </si>
  <si>
    <t>CLM70651</t>
  </si>
  <si>
    <t>CLM70652</t>
  </si>
  <si>
    <t>CLM70653</t>
  </si>
  <si>
    <t>CLM70655</t>
  </si>
  <si>
    <t>CLM70656</t>
  </si>
  <si>
    <t>CLM70657</t>
  </si>
  <si>
    <t>CLM70661</t>
  </si>
  <si>
    <t>CLM70662</t>
  </si>
  <si>
    <t>CLM70663</t>
  </si>
  <si>
    <t>CLM70664</t>
  </si>
  <si>
    <t>CLM70666</t>
  </si>
  <si>
    <t>CLM70667</t>
  </si>
  <si>
    <t>CLM70668</t>
  </si>
  <si>
    <t>CLM70670</t>
  </si>
  <si>
    <t>CLM70671</t>
  </si>
  <si>
    <t>CLM70672</t>
  </si>
  <si>
    <t>CLM70674</t>
  </si>
  <si>
    <t>CLM70676</t>
  </si>
  <si>
    <t>CLM70677</t>
  </si>
  <si>
    <t>CLM70678</t>
  </si>
  <si>
    <t>CLM70679</t>
  </si>
  <si>
    <t>CLM70680</t>
  </si>
  <si>
    <t>CLM70682</t>
  </si>
  <si>
    <t>CLM70683</t>
  </si>
  <si>
    <t>CLM70685</t>
  </si>
  <si>
    <t>CLM70686</t>
  </si>
  <si>
    <t>CLM70687</t>
  </si>
  <si>
    <t>CLM70688</t>
  </si>
  <si>
    <t>CLM70689</t>
  </si>
  <si>
    <t>CLM70690</t>
  </si>
  <si>
    <t>CLM70691</t>
  </si>
  <si>
    <t>CLM70693</t>
  </si>
  <si>
    <t>CLM70695</t>
  </si>
  <si>
    <t>CLM70696</t>
  </si>
  <si>
    <t>CLM70697</t>
  </si>
  <si>
    <t>CLM70698</t>
  </si>
  <si>
    <t>CLM70699</t>
  </si>
  <si>
    <t>CLM70700</t>
  </si>
  <si>
    <t>CLM70701</t>
  </si>
  <si>
    <t>CLM70702</t>
  </si>
  <si>
    <t>CLM70703</t>
  </si>
  <si>
    <t>CLM70704</t>
  </si>
  <si>
    <t>CLM70705</t>
  </si>
  <si>
    <t>CLM70709</t>
  </si>
  <si>
    <t>CLM70710</t>
  </si>
  <si>
    <t>CLM70712</t>
  </si>
  <si>
    <t>CLM70713</t>
  </si>
  <si>
    <t>CLM70714</t>
  </si>
  <si>
    <t>CLM70715</t>
  </si>
  <si>
    <t>CLM70716</t>
  </si>
  <si>
    <t>CLM70717</t>
  </si>
  <si>
    <t>CLM70721</t>
  </si>
  <si>
    <t>CLM70722</t>
  </si>
  <si>
    <t>CLM70723</t>
  </si>
  <si>
    <t>CLM70724</t>
  </si>
  <si>
    <t>CLM70726</t>
  </si>
  <si>
    <t>CLM70727</t>
  </si>
  <si>
    <t>CLM70729</t>
  </si>
  <si>
    <t>CLM70731</t>
  </si>
  <si>
    <t>CLM70732</t>
  </si>
  <si>
    <t>CLM70733</t>
  </si>
  <si>
    <t>CLM70734</t>
  </si>
  <si>
    <t>CLM70736</t>
  </si>
  <si>
    <t>CLM70737</t>
  </si>
  <si>
    <t>CLM70738</t>
  </si>
  <si>
    <t>CLM70740</t>
  </si>
  <si>
    <t>CLM70741</t>
  </si>
  <si>
    <t>CLM70742</t>
  </si>
  <si>
    <t>CLM70743</t>
  </si>
  <si>
    <t>CLM70744</t>
  </si>
  <si>
    <t>CLM70745</t>
  </si>
  <si>
    <t>CLM70747</t>
  </si>
  <si>
    <t>CLM70748</t>
  </si>
  <si>
    <t>CLM70750</t>
  </si>
  <si>
    <t>CLM70751</t>
  </si>
  <si>
    <t>CLM70753</t>
  </si>
  <si>
    <t>CLM70754</t>
  </si>
  <si>
    <t>CLM70755</t>
  </si>
  <si>
    <t>CLM70756</t>
  </si>
  <si>
    <t>CLM70757</t>
  </si>
  <si>
    <t>CLM70759</t>
  </si>
  <si>
    <t>CLM70762</t>
  </si>
  <si>
    <t>CLM70763</t>
  </si>
  <si>
    <t>CLM70765</t>
  </si>
  <si>
    <t>CLM70766</t>
  </si>
  <si>
    <t>CLM70767</t>
  </si>
  <si>
    <t>CLM70770</t>
  </si>
  <si>
    <t>CLM70772</t>
  </si>
  <si>
    <t>CLM70773</t>
  </si>
  <si>
    <t>CLM70776</t>
  </si>
  <si>
    <t>CLM70777</t>
  </si>
  <si>
    <t>CLM70779</t>
  </si>
  <si>
    <t>CLM70780</t>
  </si>
  <si>
    <t>CLM70782</t>
  </si>
  <si>
    <t>CLM70783</t>
  </si>
  <si>
    <t>CLM70784</t>
  </si>
  <si>
    <t>CLM70786</t>
  </si>
  <si>
    <t>CLM70787</t>
  </si>
  <si>
    <t>CLM70788</t>
  </si>
  <si>
    <t>CLM70789</t>
  </si>
  <si>
    <t>CLM70790</t>
  </si>
  <si>
    <t>CLM70791</t>
  </si>
  <si>
    <t>CLM70792</t>
  </si>
  <si>
    <t>CLM70793</t>
  </si>
  <si>
    <t>CLM70794</t>
  </si>
  <si>
    <t>CLM70795</t>
  </si>
  <si>
    <t>CLM70797</t>
  </si>
  <si>
    <t>CLM70799</t>
  </si>
  <si>
    <t>CLM70800</t>
  </si>
  <si>
    <t>CLM70801</t>
  </si>
  <si>
    <t>CLM70802</t>
  </si>
  <si>
    <t>CLM70803</t>
  </si>
  <si>
    <t>CLM70804</t>
  </si>
  <si>
    <t>CLM70805</t>
  </si>
  <si>
    <t>CLM70806</t>
  </si>
  <si>
    <t>CLM70808</t>
  </si>
  <si>
    <t>CLM70810</t>
  </si>
  <si>
    <t>CLM70811</t>
  </si>
  <si>
    <t>CLM70812</t>
  </si>
  <si>
    <t>CLM70814</t>
  </si>
  <si>
    <t>CLM70815</t>
  </si>
  <si>
    <t>CLM70816</t>
  </si>
  <si>
    <t>CLM70817</t>
  </si>
  <si>
    <t>CLM70818</t>
  </si>
  <si>
    <t>CLM70820</t>
  </si>
  <si>
    <t>CLM70822</t>
  </si>
  <si>
    <t>CLM70823</t>
  </si>
  <si>
    <t>CLM70824</t>
  </si>
  <si>
    <t>CLM70825</t>
  </si>
  <si>
    <t>CLM70826</t>
  </si>
  <si>
    <t>CLM70827</t>
  </si>
  <si>
    <t>CLM70828</t>
  </si>
  <si>
    <t>CLM70830</t>
  </si>
  <si>
    <t>CLM70832</t>
  </si>
  <si>
    <t>CLM70833</t>
  </si>
  <si>
    <t>CLM70834</t>
  </si>
  <si>
    <t>CLM70835</t>
  </si>
  <si>
    <t>CLM70836</t>
  </si>
  <si>
    <t>CLM70837</t>
  </si>
  <si>
    <t>CLM70838</t>
  </si>
  <si>
    <t>CLM70840</t>
  </si>
  <si>
    <t>CLM70843</t>
  </si>
  <si>
    <t>CLM70844</t>
  </si>
  <si>
    <t>CLM70845</t>
  </si>
  <si>
    <t>CLM70846</t>
  </si>
  <si>
    <t>CLM70847</t>
  </si>
  <si>
    <t>CLM70849</t>
  </si>
  <si>
    <t>CLM70850</t>
  </si>
  <si>
    <t>CLM70851</t>
  </si>
  <si>
    <t>CLM70852</t>
  </si>
  <si>
    <t>CLM70853</t>
  </si>
  <si>
    <t>CLM70854</t>
  </si>
  <si>
    <t>CLM70856</t>
  </si>
  <si>
    <t>CLM70857</t>
  </si>
  <si>
    <t>CLM70860</t>
  </si>
  <si>
    <t>CLM70863</t>
  </si>
  <si>
    <t>CLM70864</t>
  </si>
  <si>
    <t>CLM70865</t>
  </si>
  <si>
    <t>CLM70866</t>
  </si>
  <si>
    <t>CLM70867</t>
  </si>
  <si>
    <t>CLM70868</t>
  </si>
  <si>
    <t>CLM70869</t>
  </si>
  <si>
    <t>CLM70871</t>
  </si>
  <si>
    <t>CLM70872</t>
  </si>
  <si>
    <t>CLM70874</t>
  </si>
  <si>
    <t>CLM70875</t>
  </si>
  <si>
    <t>CLM70876</t>
  </si>
  <si>
    <t>CLM70877</t>
  </si>
  <si>
    <t>CLM70878</t>
  </si>
  <si>
    <t>CLM70880</t>
  </si>
  <si>
    <t>CLM70881</t>
  </si>
  <si>
    <t>CLM70882</t>
  </si>
  <si>
    <t>CLM70883</t>
  </si>
  <si>
    <t>CLM70884</t>
  </si>
  <si>
    <t>CLM70885</t>
  </si>
  <si>
    <t>CLM70886</t>
  </si>
  <si>
    <t>CLM70887</t>
  </si>
  <si>
    <t>CLM70888</t>
  </si>
  <si>
    <t>CLM70890</t>
  </si>
  <si>
    <t>CLM70891</t>
  </si>
  <si>
    <t>CLM70892</t>
  </si>
  <si>
    <t>CLM70896</t>
  </si>
  <si>
    <t>CLM70897</t>
  </si>
  <si>
    <t>CLM70898</t>
  </si>
  <si>
    <t>CLM70899</t>
  </si>
  <si>
    <t>CLM70900</t>
  </si>
  <si>
    <t>CLM70902</t>
  </si>
  <si>
    <t>CLM70903</t>
  </si>
  <si>
    <t>CLM70906</t>
  </si>
  <si>
    <t>CLM70907</t>
  </si>
  <si>
    <t>CLM70908</t>
  </si>
  <si>
    <t>CLM70910</t>
  </si>
  <si>
    <t>CLM70912</t>
  </si>
  <si>
    <t>CLM70913</t>
  </si>
  <si>
    <t>CLM70914</t>
  </si>
  <si>
    <t>CLM70915</t>
  </si>
  <si>
    <t>CLM70917</t>
  </si>
  <si>
    <t>CLM70918</t>
  </si>
  <si>
    <t>CLM70919</t>
  </si>
  <si>
    <t>CLM70921</t>
  </si>
  <si>
    <t>CLM70923</t>
  </si>
  <si>
    <t>CLM70924</t>
  </si>
  <si>
    <t>CLM70925</t>
  </si>
  <si>
    <t>CLM70926</t>
  </si>
  <si>
    <t>CLM70928</t>
  </si>
  <si>
    <t>CLM70931</t>
  </si>
  <si>
    <t>CLM70933</t>
  </si>
  <si>
    <t>CLM70934</t>
  </si>
  <si>
    <t>CLM70935</t>
  </si>
  <si>
    <t>CLM70936</t>
  </si>
  <si>
    <t>CLM70939</t>
  </si>
  <si>
    <t>CLM70940</t>
  </si>
  <si>
    <t>CLM70941</t>
  </si>
  <si>
    <t>CLM70942</t>
  </si>
  <si>
    <t>CLM70943</t>
  </si>
  <si>
    <t>CLM70944</t>
  </si>
  <si>
    <t>CLM70945</t>
  </si>
  <si>
    <t>CLM70946</t>
  </si>
  <si>
    <t>CLM70947</t>
  </si>
  <si>
    <t>CLM70948</t>
  </si>
  <si>
    <t>CLM70949</t>
  </si>
  <si>
    <t>CLM70950</t>
  </si>
  <si>
    <t>CLM70951</t>
  </si>
  <si>
    <t>CLM70958</t>
  </si>
  <si>
    <t>CLM70959</t>
  </si>
  <si>
    <t>CLM70960</t>
  </si>
  <si>
    <t>CLM70961</t>
  </si>
  <si>
    <t>CLM70962</t>
  </si>
  <si>
    <t>CLM70963</t>
  </si>
  <si>
    <t>CLM70967</t>
  </si>
  <si>
    <t>CLM70968</t>
  </si>
  <si>
    <t>CLM70972</t>
  </si>
  <si>
    <t>CLM70973</t>
  </si>
  <si>
    <t>CLM70974</t>
  </si>
  <si>
    <t>CLM70976</t>
  </si>
  <si>
    <t>CLM70977</t>
  </si>
  <si>
    <t>CLM70981</t>
  </si>
  <si>
    <t>CLM70982</t>
  </si>
  <si>
    <t>CLM70983</t>
  </si>
  <si>
    <t>CLM70984</t>
  </si>
  <si>
    <t>CLM70985</t>
  </si>
  <si>
    <t>CLM70986</t>
  </si>
  <si>
    <t>CLM70988</t>
  </si>
  <si>
    <t>CLM70989</t>
  </si>
  <si>
    <t>CLM70990</t>
  </si>
  <si>
    <t>CLM70991</t>
  </si>
  <si>
    <t>CLM70992</t>
  </si>
  <si>
    <t>CLM70994</t>
  </si>
  <si>
    <t>CLM70995</t>
  </si>
  <si>
    <t>CLM70996</t>
  </si>
  <si>
    <t>CLM70998</t>
  </si>
  <si>
    <t>CLM71000</t>
  </si>
  <si>
    <t>CLM71002</t>
  </si>
  <si>
    <t>CLM71003</t>
  </si>
  <si>
    <t>CLM71004</t>
  </si>
  <si>
    <t>CLM71005</t>
  </si>
  <si>
    <t>CLM71007</t>
  </si>
  <si>
    <t>CLM71009</t>
  </si>
  <si>
    <t>CLM71010</t>
  </si>
  <si>
    <t>CLM71011</t>
  </si>
  <si>
    <t>CLM71012</t>
  </si>
  <si>
    <t>CLM71013</t>
  </si>
  <si>
    <t>CLM71014</t>
  </si>
  <si>
    <t>CLM71016</t>
  </si>
  <si>
    <t>CLM71017</t>
  </si>
  <si>
    <t>CLM71019</t>
  </si>
  <si>
    <t>CLM71020</t>
  </si>
  <si>
    <t>CLM71022</t>
  </si>
  <si>
    <t>CLM71024</t>
  </si>
  <si>
    <t>CLM71025</t>
  </si>
  <si>
    <t>CLM71026</t>
  </si>
  <si>
    <t>CLM71027</t>
  </si>
  <si>
    <t>CLM71028</t>
  </si>
  <si>
    <t>CLM71030</t>
  </si>
  <si>
    <t>CLM71031</t>
  </si>
  <si>
    <t>CLM71032</t>
  </si>
  <si>
    <t>CLM71033</t>
  </si>
  <si>
    <t>CLM71034</t>
  </si>
  <si>
    <t>CLM71035</t>
  </si>
  <si>
    <t>CLM71037</t>
  </si>
  <si>
    <t>CLM71038</t>
  </si>
  <si>
    <t>CLM71039</t>
  </si>
  <si>
    <t>CLM71040</t>
  </si>
  <si>
    <t>CLM71041</t>
  </si>
  <si>
    <t>CLM71043</t>
  </si>
  <si>
    <t>CLM71044</t>
  </si>
  <si>
    <t>CLM71045</t>
  </si>
  <si>
    <t>CLM71046</t>
  </si>
  <si>
    <t>CLM71047</t>
  </si>
  <si>
    <t>CLM71048</t>
  </si>
  <si>
    <t>CLM71049</t>
  </si>
  <si>
    <t>CLM71052</t>
  </si>
  <si>
    <t>CLM71053</t>
  </si>
  <si>
    <t>CLM71054</t>
  </si>
  <si>
    <t>CLM71056</t>
  </si>
  <si>
    <t>CLM71057</t>
  </si>
  <si>
    <t>CLM71060</t>
  </si>
  <si>
    <t>CLM71061</t>
  </si>
  <si>
    <t>CLM71063</t>
  </si>
  <si>
    <t>CLM71067</t>
  </si>
  <si>
    <t>CLM71068</t>
  </si>
  <si>
    <t>CLM71070</t>
  </si>
  <si>
    <t>CLM71071</t>
  </si>
  <si>
    <t>CLM71072</t>
  </si>
  <si>
    <t>CLM71073</t>
  </si>
  <si>
    <t>CLM71074</t>
  </si>
  <si>
    <t>CLM71075</t>
  </si>
  <si>
    <t>CLM71077</t>
  </si>
  <si>
    <t>CLM71079</t>
  </si>
  <si>
    <t>CLM71081</t>
  </si>
  <si>
    <t>CLM71082</t>
  </si>
  <si>
    <t>CLM71083</t>
  </si>
  <si>
    <t>CLM71084</t>
  </si>
  <si>
    <t>CLM71086</t>
  </si>
  <si>
    <t>CLM71087</t>
  </si>
  <si>
    <t>CLM71088</t>
  </si>
  <si>
    <t>CLM71089</t>
  </si>
  <si>
    <t>CLM71090</t>
  </si>
  <si>
    <t>CLM71091</t>
  </si>
  <si>
    <t>CLM71092</t>
  </si>
  <si>
    <t>CLM71095</t>
  </si>
  <si>
    <t>CLM71096</t>
  </si>
  <si>
    <t>CLM71097</t>
  </si>
  <si>
    <t>CLM71098</t>
  </si>
  <si>
    <t>CLM71099</t>
  </si>
  <si>
    <t>CLM71101</t>
  </si>
  <si>
    <t>CLM71104</t>
  </si>
  <si>
    <t>CLM71105</t>
  </si>
  <si>
    <t>CLM71106</t>
  </si>
  <si>
    <t>CLM71107</t>
  </si>
  <si>
    <t>CLM71108</t>
  </si>
  <si>
    <t>CLM71111</t>
  </si>
  <si>
    <t>CLM71112</t>
  </si>
  <si>
    <t>CLM71113</t>
  </si>
  <si>
    <t>CLM71115</t>
  </si>
  <si>
    <t>CLM71117</t>
  </si>
  <si>
    <t>CLM71119</t>
  </si>
  <si>
    <t>CLM71120</t>
  </si>
  <si>
    <t>CLM71121</t>
  </si>
  <si>
    <t>CLM71123</t>
  </si>
  <si>
    <t>CLM71124</t>
  </si>
  <si>
    <t>CLM71126</t>
  </si>
  <si>
    <t>CLM71127</t>
  </si>
  <si>
    <t>CLM71128</t>
  </si>
  <si>
    <t>CLM71132</t>
  </si>
  <si>
    <t>CLM71133</t>
  </si>
  <si>
    <t>CLM71134</t>
  </si>
  <si>
    <t>CLM71135</t>
  </si>
  <si>
    <t>CLM71136</t>
  </si>
  <si>
    <t>CLM71137</t>
  </si>
  <si>
    <t>CLM71139</t>
  </si>
  <si>
    <t>CLM71140</t>
  </si>
  <si>
    <t>CLM71143</t>
  </si>
  <si>
    <t>CLM71144</t>
  </si>
  <si>
    <t>CLM71145</t>
  </si>
  <si>
    <t>CLM71146</t>
  </si>
  <si>
    <t>CLM71147</t>
  </si>
  <si>
    <t>CLM71148</t>
  </si>
  <si>
    <t>CLM71150</t>
  </si>
  <si>
    <t>CLM71151</t>
  </si>
  <si>
    <t>CLM71152</t>
  </si>
  <si>
    <t>CLM71154</t>
  </si>
  <si>
    <t>CLM71155</t>
  </si>
  <si>
    <t>CLM71156</t>
  </si>
  <si>
    <t>CLM71157</t>
  </si>
  <si>
    <t>CLM71158</t>
  </si>
  <si>
    <t>CLM71159</t>
  </si>
  <si>
    <t>CLM71160</t>
  </si>
  <si>
    <t>CLM71161</t>
  </si>
  <si>
    <t>CLM71162</t>
  </si>
  <si>
    <t>CLM71163</t>
  </si>
  <si>
    <t>CLM71164</t>
  </si>
  <si>
    <t>CLM71165</t>
  </si>
  <si>
    <t>CLM71166</t>
  </si>
  <si>
    <t>CLM71167</t>
  </si>
  <si>
    <t>CLM71169</t>
  </si>
  <si>
    <t>CLM71170</t>
  </si>
  <si>
    <t>CLM71171</t>
  </si>
  <si>
    <t>CLM71174</t>
  </si>
  <si>
    <t>CLM71175</t>
  </si>
  <si>
    <t>CLM71177</t>
  </si>
  <si>
    <t>CLM71178</t>
  </si>
  <si>
    <t>CLM71179</t>
  </si>
  <si>
    <t>CLM71180</t>
  </si>
  <si>
    <t>CLM71181</t>
  </si>
  <si>
    <t>CLM71182</t>
  </si>
  <si>
    <t>CLM71184</t>
  </si>
  <si>
    <t>CLM71185</t>
  </si>
  <si>
    <t>CLM71186</t>
  </si>
  <si>
    <t>CLM71187</t>
  </si>
  <si>
    <t>CLM71188</t>
  </si>
  <si>
    <t>CLM71190</t>
  </si>
  <si>
    <t>CLM71192</t>
  </si>
  <si>
    <t>CLM71198</t>
  </si>
  <si>
    <t>CLM71199</t>
  </si>
  <si>
    <t>CLM71200</t>
  </si>
  <si>
    <t>CLM71202</t>
  </si>
  <si>
    <t>CLM71203</t>
  </si>
  <si>
    <t>CLM71204</t>
  </si>
  <si>
    <t>CLM71206</t>
  </si>
  <si>
    <t>CLM71207</t>
  </si>
  <si>
    <t>CLM71208</t>
  </si>
  <si>
    <t>CLM71209</t>
  </si>
  <si>
    <t>CLM71210</t>
  </si>
  <si>
    <t>CLM71211</t>
  </si>
  <si>
    <t>CLM71212</t>
  </si>
  <si>
    <t>CLM71213</t>
  </si>
  <si>
    <t>CLM71214</t>
  </si>
  <si>
    <t>CLM71215</t>
  </si>
  <si>
    <t>CLM71216</t>
  </si>
  <si>
    <t>CLM71219</t>
  </si>
  <si>
    <t>CLM71220</t>
  </si>
  <si>
    <t>CLM71221</t>
  </si>
  <si>
    <t>CLM71223</t>
  </si>
  <si>
    <t>CLM71225</t>
  </si>
  <si>
    <t>CLM71228</t>
  </si>
  <si>
    <t>CLM71229</t>
  </si>
  <si>
    <t>CLM71230</t>
  </si>
  <si>
    <t>CLM71231</t>
  </si>
  <si>
    <t>CLM71232</t>
  </si>
  <si>
    <t>CLM71234</t>
  </si>
  <si>
    <t>CLM71235</t>
  </si>
  <si>
    <t>CLM71238</t>
  </si>
  <si>
    <t>CLM71240</t>
  </si>
  <si>
    <t>CLM71241</t>
  </si>
  <si>
    <t>CLM71243</t>
  </si>
  <si>
    <t>CLM71246</t>
  </si>
  <si>
    <t>CLM71249</t>
  </si>
  <si>
    <t>CLM71251</t>
  </si>
  <si>
    <t>CLM71252</t>
  </si>
  <si>
    <t>CLM71254</t>
  </si>
  <si>
    <t>CLM71256</t>
  </si>
  <si>
    <t>CLM71257</t>
  </si>
  <si>
    <t>CLM71258</t>
  </si>
  <si>
    <t>CLM71259</t>
  </si>
  <si>
    <t>CLM71260</t>
  </si>
  <si>
    <t>CLM71262</t>
  </si>
  <si>
    <t>CLM71263</t>
  </si>
  <si>
    <t>CLM71264</t>
  </si>
  <si>
    <t>CLM71265</t>
  </si>
  <si>
    <t>CLM71266</t>
  </si>
  <si>
    <t>CLM71268</t>
  </si>
  <si>
    <t>CLM71270</t>
  </si>
  <si>
    <t>CLM71271</t>
  </si>
  <si>
    <t>CLM71273</t>
  </si>
  <si>
    <t>CLM71274</t>
  </si>
  <si>
    <t>CLM71275</t>
  </si>
  <si>
    <t>CLM71276</t>
  </si>
  <si>
    <t>CLM71277</t>
  </si>
  <si>
    <t>CLM71279</t>
  </si>
  <si>
    <t>CLM71280</t>
  </si>
  <si>
    <t>CLM71281</t>
  </si>
  <si>
    <t>CLM71282</t>
  </si>
  <si>
    <t>CLM71283</t>
  </si>
  <si>
    <t>CLM71285</t>
  </si>
  <si>
    <t>CLM71288</t>
  </si>
  <si>
    <t>CLM71289</t>
  </si>
  <si>
    <t>CLM71290</t>
  </si>
  <si>
    <t>CLM71291</t>
  </si>
  <si>
    <t>CLM71292</t>
  </si>
  <si>
    <t>CLM71294</t>
  </si>
  <si>
    <t>CLM71295</t>
  </si>
  <si>
    <t>CLM71297</t>
  </si>
  <si>
    <t>CLM71298</t>
  </si>
  <si>
    <t>CLM71301</t>
  </si>
  <si>
    <t>CLM71303</t>
  </si>
  <si>
    <t>CLM71305</t>
  </si>
  <si>
    <t>CLM71306</t>
  </si>
  <si>
    <t>CLM71307</t>
  </si>
  <si>
    <t>CLM71308</t>
  </si>
  <si>
    <t>CLM71309</t>
  </si>
  <si>
    <t>CLM71311</t>
  </si>
  <si>
    <t>CLM71314</t>
  </si>
  <si>
    <t>CLM71317</t>
  </si>
  <si>
    <t>CLM71319</t>
  </si>
  <si>
    <t>CLM71323</t>
  </si>
  <si>
    <t>CLM71324</t>
  </si>
  <si>
    <t>CLM71326</t>
  </si>
  <si>
    <t>CLM71327</t>
  </si>
  <si>
    <t>CLM71328</t>
  </si>
  <si>
    <t>CLM71329</t>
  </si>
  <si>
    <t>CLM71332</t>
  </si>
  <si>
    <t>CLM71335</t>
  </si>
  <si>
    <t>CLM71336</t>
  </si>
  <si>
    <t>CLM71337</t>
  </si>
  <si>
    <t>CLM71339</t>
  </si>
  <si>
    <t>CLM71340</t>
  </si>
  <si>
    <t>CLM71341</t>
  </si>
  <si>
    <t>CLM71342</t>
  </si>
  <si>
    <t>CLM71343</t>
  </si>
  <si>
    <t>CLM71344</t>
  </si>
  <si>
    <t>CLM71346</t>
  </si>
  <si>
    <t>CLM71348</t>
  </si>
  <si>
    <t>CLM71350</t>
  </si>
  <si>
    <t>CLM71352</t>
  </si>
  <si>
    <t>CLM71353</t>
  </si>
  <si>
    <t>CLM71354</t>
  </si>
  <si>
    <t>CLM71356</t>
  </si>
  <si>
    <t>CLM71357</t>
  </si>
  <si>
    <t>CLM71359</t>
  </si>
  <si>
    <t>CLM71360</t>
  </si>
  <si>
    <t>CLM71361</t>
  </si>
  <si>
    <t>CLM71362</t>
  </si>
  <si>
    <t>CLM71363</t>
  </si>
  <si>
    <t>CLM71364</t>
  </si>
  <si>
    <t>CLM71365</t>
  </si>
  <si>
    <t>CLM71366</t>
  </si>
  <si>
    <t>CLM71367</t>
  </si>
  <si>
    <t>CLM71369</t>
  </si>
  <si>
    <t>CLM71370</t>
  </si>
  <si>
    <t>CLM71371</t>
  </si>
  <si>
    <t>CLM71372</t>
  </si>
  <si>
    <t>CLM71374</t>
  </si>
  <si>
    <t>CLM71375</t>
  </si>
  <si>
    <t>CLM71377</t>
  </si>
  <si>
    <t>CLM71378</t>
  </si>
  <si>
    <t>CLM71379</t>
  </si>
  <si>
    <t>CLM71380</t>
  </si>
  <si>
    <t>CLM71381</t>
  </si>
  <si>
    <t>CLM71382</t>
  </si>
  <si>
    <t>CLM71383</t>
  </si>
  <si>
    <t>CLM71385</t>
  </si>
  <si>
    <t>CLM71389</t>
  </si>
  <si>
    <t>CLM71391</t>
  </si>
  <si>
    <t>CLM71392</t>
  </si>
  <si>
    <t>CLM71393</t>
  </si>
  <si>
    <t>CLM71395</t>
  </si>
  <si>
    <t>CLM71396</t>
  </si>
  <si>
    <t>CLM71398</t>
  </si>
  <si>
    <t>CLM71400</t>
  </si>
  <si>
    <t>CLM71401</t>
  </si>
  <si>
    <t>CLM71402</t>
  </si>
  <si>
    <t>CLM71404</t>
  </si>
  <si>
    <t>CLM71405</t>
  </si>
  <si>
    <t>CLM71406</t>
  </si>
  <si>
    <t>CLM71407</t>
  </si>
  <si>
    <t>CLM71408</t>
  </si>
  <si>
    <t>CLM71409</t>
  </si>
  <si>
    <t>CLM71411</t>
  </si>
  <si>
    <t>CLM71412</t>
  </si>
  <si>
    <t>CLM71413</t>
  </si>
  <si>
    <t>CLM71414</t>
  </si>
  <si>
    <t>CLM71415</t>
  </si>
  <si>
    <t>CLM71416</t>
  </si>
  <si>
    <t>CLM71418</t>
  </si>
  <si>
    <t>CLM71419</t>
  </si>
  <si>
    <t>CLM71421</t>
  </si>
  <si>
    <t>CLM71422</t>
  </si>
  <si>
    <t>CLM71423</t>
  </si>
  <si>
    <t>CLM71424</t>
  </si>
  <si>
    <t>CLM71425</t>
  </si>
  <si>
    <t>CLM71427</t>
  </si>
  <si>
    <t>CLM71428</t>
  </si>
  <si>
    <t>CLM71429</t>
  </si>
  <si>
    <t>CLM71430</t>
  </si>
  <si>
    <t>CLM71431</t>
  </si>
  <si>
    <t>CLM71433</t>
  </si>
  <si>
    <t>CLM71435</t>
  </si>
  <si>
    <t>CLM71437</t>
  </si>
  <si>
    <t>CLM71438</t>
  </si>
  <si>
    <t>CLM71439</t>
  </si>
  <si>
    <t>CLM71440</t>
  </si>
  <si>
    <t>CLM71441</t>
  </si>
  <si>
    <t>CLM71442</t>
  </si>
  <si>
    <t>CLM71443</t>
  </si>
  <si>
    <t>CLM71444</t>
  </si>
  <si>
    <t>CLM71446</t>
  </si>
  <si>
    <t>CLM71448</t>
  </si>
  <si>
    <t>CLM71449</t>
  </si>
  <si>
    <t>CLM71450</t>
  </si>
  <si>
    <t>CLM71453</t>
  </si>
  <si>
    <t>CLM71454</t>
  </si>
  <si>
    <t>CLM71455</t>
  </si>
  <si>
    <t>CLM71456</t>
  </si>
  <si>
    <t>CLM71458</t>
  </si>
  <si>
    <t>CLM71459</t>
  </si>
  <si>
    <t>CLM71460</t>
  </si>
  <si>
    <t>CLM71462</t>
  </si>
  <si>
    <t>CLM71465</t>
  </si>
  <si>
    <t>CLM71467</t>
  </si>
  <si>
    <t>CLM71468</t>
  </si>
  <si>
    <t>CLM71470</t>
  </si>
  <si>
    <t>CLM71471</t>
  </si>
  <si>
    <t>CLM71473</t>
  </si>
  <si>
    <t>CLM71474</t>
  </si>
  <si>
    <t>CLM71476</t>
  </si>
  <si>
    <t>CLM71478</t>
  </si>
  <si>
    <t>CLM71481</t>
  </si>
  <si>
    <t>CLM71482</t>
  </si>
  <si>
    <t>CLM71485</t>
  </si>
  <si>
    <t>CLM71486</t>
  </si>
  <si>
    <t>CLM71488</t>
  </si>
  <si>
    <t>CLM71489</t>
  </si>
  <si>
    <t>CLM71491</t>
  </si>
  <si>
    <t>CLM71492</t>
  </si>
  <si>
    <t>CLM71494</t>
  </si>
  <si>
    <t>CLM71495</t>
  </si>
  <si>
    <t>CLM71496</t>
  </si>
  <si>
    <t>CLM71497</t>
  </si>
  <si>
    <t>CLM71499</t>
  </si>
  <si>
    <t>CLM71500</t>
  </si>
  <si>
    <t>CLM71501</t>
  </si>
  <si>
    <t>CLM71502</t>
  </si>
  <si>
    <t>CLM71504</t>
  </si>
  <si>
    <t>CLM71505</t>
  </si>
  <si>
    <t>CLM71506</t>
  </si>
  <si>
    <t>CLM71509</t>
  </si>
  <si>
    <t>CLM71510</t>
  </si>
  <si>
    <t>CLM71511</t>
  </si>
  <si>
    <t>CLM71512</t>
  </si>
  <si>
    <t>CLM71516</t>
  </si>
  <si>
    <t>CLM71517</t>
  </si>
  <si>
    <t>CLM71520</t>
  </si>
  <si>
    <t>CLM71521</t>
  </si>
  <si>
    <t>CLM71522</t>
  </si>
  <si>
    <t>CLM71523</t>
  </si>
  <si>
    <t>CLM71526</t>
  </si>
  <si>
    <t>CLM71527</t>
  </si>
  <si>
    <t>CLM71529</t>
  </si>
  <si>
    <t>CLM71530</t>
  </si>
  <si>
    <t>CLM71531</t>
  </si>
  <si>
    <t>CLM71532</t>
  </si>
  <si>
    <t>CLM71533</t>
  </si>
  <si>
    <t>CLM71536</t>
  </si>
  <si>
    <t>CLM71537</t>
  </si>
  <si>
    <t>CLM71539</t>
  </si>
  <si>
    <t>CLM71540</t>
  </si>
  <si>
    <t>CLM71541</t>
  </si>
  <si>
    <t>CLM71542</t>
  </si>
  <si>
    <t>CLM71543</t>
  </si>
  <si>
    <t>CLM71544</t>
  </si>
  <si>
    <t>CLM71545</t>
  </si>
  <si>
    <t>CLM71546</t>
  </si>
  <si>
    <t>CLM71547</t>
  </si>
  <si>
    <t>CLM71548</t>
  </si>
  <si>
    <t>CLM71549</t>
  </si>
  <si>
    <t>CLM71553</t>
  </si>
  <si>
    <t>CLM71554</t>
  </si>
  <si>
    <t>CLM71555</t>
  </si>
  <si>
    <t>CLM71556</t>
  </si>
  <si>
    <t>CLM71558</t>
  </si>
  <si>
    <t>CLM71560</t>
  </si>
  <si>
    <t>CLM71561</t>
  </si>
  <si>
    <t>CLM71563</t>
  </si>
  <si>
    <t>CLM71564</t>
  </si>
  <si>
    <t>CLM71565</t>
  </si>
  <si>
    <t>CLM71567</t>
  </si>
  <si>
    <t>CLM71568</t>
  </si>
  <si>
    <t>CLM71570</t>
  </si>
  <si>
    <t>CLM71571</t>
  </si>
  <si>
    <t>CLM71572</t>
  </si>
  <si>
    <t>CLM71573</t>
  </si>
  <si>
    <t>CLM71575</t>
  </si>
  <si>
    <t>CLM71577</t>
  </si>
  <si>
    <t>CLM71578</t>
  </si>
  <si>
    <t>CLM71579</t>
  </si>
  <si>
    <t>CLM71580</t>
  </si>
  <si>
    <t>CLM71581</t>
  </si>
  <si>
    <t>CLM71582</t>
  </si>
  <si>
    <t>CLM71583</t>
  </si>
  <si>
    <t>CLM71585</t>
  </si>
  <si>
    <t>CLM71586</t>
  </si>
  <si>
    <t>CLM71588</t>
  </si>
  <si>
    <t>CLM71589</t>
  </si>
  <si>
    <t>CLM71591</t>
  </si>
  <si>
    <t>CLM71593</t>
  </si>
  <si>
    <t>CLM71594</t>
  </si>
  <si>
    <t>CLM71595</t>
  </si>
  <si>
    <t>CLM71598</t>
  </si>
  <si>
    <t>CLM71599</t>
  </si>
  <si>
    <t>CLM71601</t>
  </si>
  <si>
    <t>CLM71602</t>
  </si>
  <si>
    <t>CLM71603</t>
  </si>
  <si>
    <t>CLM71604</t>
  </si>
  <si>
    <t>CLM71605</t>
  </si>
  <si>
    <t>CLM71606</t>
  </si>
  <si>
    <t>CLM71607</t>
  </si>
  <si>
    <t>CLM71609</t>
  </si>
  <si>
    <t>CLM71610</t>
  </si>
  <si>
    <t>CLM71611</t>
  </si>
  <si>
    <t>CLM71612</t>
  </si>
  <si>
    <t>CLM71613</t>
  </si>
  <si>
    <t>CLM71614</t>
  </si>
  <si>
    <t>CLM71615</t>
  </si>
  <si>
    <t>CLM71616</t>
  </si>
  <si>
    <t>CLM71618</t>
  </si>
  <si>
    <t>CLM71619</t>
  </si>
  <si>
    <t>CLM71621</t>
  </si>
  <si>
    <t>CLM71622</t>
  </si>
  <si>
    <t>CLM71623</t>
  </si>
  <si>
    <t>CLM71624</t>
  </si>
  <si>
    <t>CLM71625</t>
  </si>
  <si>
    <t>CLM71626</t>
  </si>
  <si>
    <t>CLM71627</t>
  </si>
  <si>
    <t>CLM71628</t>
  </si>
  <si>
    <t>CLM71630</t>
  </si>
  <si>
    <t>CLM71631</t>
  </si>
  <si>
    <t>CLM71632</t>
  </si>
  <si>
    <t>CLM71633</t>
  </si>
  <si>
    <t>CLM71634</t>
  </si>
  <si>
    <t>CLM71635</t>
  </si>
  <si>
    <t>CLM71636</t>
  </si>
  <si>
    <t>CLM71638</t>
  </si>
  <si>
    <t>CLM71640</t>
  </si>
  <si>
    <t>CLM71641</t>
  </si>
  <si>
    <t>CLM71642</t>
  </si>
  <si>
    <t>CLM71643</t>
  </si>
  <si>
    <t>CLM71644</t>
  </si>
  <si>
    <t>CLM71646</t>
  </si>
  <si>
    <t>CLM71647</t>
  </si>
  <si>
    <t>CLM71649</t>
  </si>
  <si>
    <t>CLM71650</t>
  </si>
  <si>
    <t>CLM71651</t>
  </si>
  <si>
    <t>CLM71652</t>
  </si>
  <si>
    <t>CLM71655</t>
  </si>
  <si>
    <t>CLM71657</t>
  </si>
  <si>
    <t>CLM71660</t>
  </si>
  <si>
    <t>CLM71661</t>
  </si>
  <si>
    <t>CLM71662</t>
  </si>
  <si>
    <t>CLM71663</t>
  </si>
  <si>
    <t>CLM71665</t>
  </si>
  <si>
    <t>CLM71666</t>
  </si>
  <si>
    <t>CLM71668</t>
  </si>
  <si>
    <t>CLM71670</t>
  </si>
  <si>
    <t>CLM71671</t>
  </si>
  <si>
    <t>CLM71672</t>
  </si>
  <si>
    <t>CLM71673</t>
  </si>
  <si>
    <t>CLM71674</t>
  </si>
  <si>
    <t>CLM71675</t>
  </si>
  <si>
    <t>CLM71676</t>
  </si>
  <si>
    <t>CLM71677</t>
  </si>
  <si>
    <t>CLM71678</t>
  </si>
  <si>
    <t>CLM71679</t>
  </si>
  <si>
    <t>CLM71681</t>
  </si>
  <si>
    <t>CLM71685</t>
  </si>
  <si>
    <t>CLM71686</t>
  </si>
  <si>
    <t>CLM71687</t>
  </si>
  <si>
    <t>CLM71688</t>
  </si>
  <si>
    <t>CLM71689</t>
  </si>
  <si>
    <t>CLM71692</t>
  </si>
  <si>
    <t>CLM71694</t>
  </si>
  <si>
    <t>CLM71695</t>
  </si>
  <si>
    <t>CLM71696</t>
  </si>
  <si>
    <t>CLM71699</t>
  </si>
  <si>
    <t>CLM71701</t>
  </si>
  <si>
    <t>CLM71704</t>
  </si>
  <si>
    <t>CLM71705</t>
  </si>
  <si>
    <t>CLM71706</t>
  </si>
  <si>
    <t>CLM71707</t>
  </si>
  <si>
    <t>CLM71709</t>
  </si>
  <si>
    <t>CLM71710</t>
  </si>
  <si>
    <t>CLM71711</t>
  </si>
  <si>
    <t>CLM71712</t>
  </si>
  <si>
    <t>CLM71713</t>
  </si>
  <si>
    <t>CLM71715</t>
  </si>
  <si>
    <t>CLM71717</t>
  </si>
  <si>
    <t>CLM71719</t>
  </si>
  <si>
    <t>CLM71720</t>
  </si>
  <si>
    <t>CLM71721</t>
  </si>
  <si>
    <t>CLM71722</t>
  </si>
  <si>
    <t>CLM71723</t>
  </si>
  <si>
    <t>CLM71724</t>
  </si>
  <si>
    <t>CLM71725</t>
  </si>
  <si>
    <t>CLM71726</t>
  </si>
  <si>
    <t>CLM71729</t>
  </si>
  <si>
    <t>CLM71732</t>
  </si>
  <si>
    <t>CLM71733</t>
  </si>
  <si>
    <t>CLM71734</t>
  </si>
  <si>
    <t>CLM71736</t>
  </si>
  <si>
    <t>CLM71738</t>
  </si>
  <si>
    <t>CLM71740</t>
  </si>
  <si>
    <t>CLM71741</t>
  </si>
  <si>
    <t>CLM71742</t>
  </si>
  <si>
    <t>CLM71743</t>
  </si>
  <si>
    <t>CLM71744</t>
  </si>
  <si>
    <t>CLM71745</t>
  </si>
  <si>
    <t>CLM71748</t>
  </si>
  <si>
    <t>CLM71749</t>
  </si>
  <si>
    <t>CLM71753</t>
  </si>
  <si>
    <t>CLM71754</t>
  </si>
  <si>
    <t>CLM71756</t>
  </si>
  <si>
    <t>CLM71757</t>
  </si>
  <si>
    <t>CLM71758</t>
  </si>
  <si>
    <t>CLM71760</t>
  </si>
  <si>
    <t>CLM71762</t>
  </si>
  <si>
    <t>CLM71763</t>
  </si>
  <si>
    <t>CLM71764</t>
  </si>
  <si>
    <t>CLM71765</t>
  </si>
  <si>
    <t>CLM71766</t>
  </si>
  <si>
    <t>CLM71767</t>
  </si>
  <si>
    <t>CLM71768</t>
  </si>
  <si>
    <t>CLM71769</t>
  </si>
  <si>
    <t>CLM71771</t>
  </si>
  <si>
    <t>CLM71772</t>
  </si>
  <si>
    <t>CLM71774</t>
  </si>
  <si>
    <t>CLM71776</t>
  </si>
  <si>
    <t>CLM71777</t>
  </si>
  <si>
    <t>CLM71778</t>
  </si>
  <si>
    <t>CLM71779</t>
  </si>
  <si>
    <t>CLM71780</t>
  </si>
  <si>
    <t>CLM71782</t>
  </si>
  <si>
    <t>CLM71784</t>
  </si>
  <si>
    <t>CLM71785</t>
  </si>
  <si>
    <t>CLM71787</t>
  </si>
  <si>
    <t>CLM71788</t>
  </si>
  <si>
    <t>CLM71789</t>
  </si>
  <si>
    <t>CLM71790</t>
  </si>
  <si>
    <t>CLM71791</t>
  </si>
  <si>
    <t>CLM71792</t>
  </si>
  <si>
    <t>CLM71793</t>
  </si>
  <si>
    <t>CLM71794</t>
  </si>
  <si>
    <t>CLM71795</t>
  </si>
  <si>
    <t>CLM71796</t>
  </si>
  <si>
    <t>CLM71798</t>
  </si>
  <si>
    <t>CLM71801</t>
  </si>
  <si>
    <t>CLM71802</t>
  </si>
  <si>
    <t>CLM71803</t>
  </si>
  <si>
    <t>CLM71804</t>
  </si>
  <si>
    <t>CLM71805</t>
  </si>
  <si>
    <t>CLM71806</t>
  </si>
  <si>
    <t>CLM71807</t>
  </si>
  <si>
    <t>CLM71810</t>
  </si>
  <si>
    <t>CLM71811</t>
  </si>
  <si>
    <t>CLM71812</t>
  </si>
  <si>
    <t>CLM71813</t>
  </si>
  <si>
    <t>CLM71814</t>
  </si>
  <si>
    <t>CLM71815</t>
  </si>
  <si>
    <t>CLM71816</t>
  </si>
  <si>
    <t>CLM71817</t>
  </si>
  <si>
    <t>CLM71818</t>
  </si>
  <si>
    <t>CLM71819</t>
  </si>
  <si>
    <t>CLM71820</t>
  </si>
  <si>
    <t>CLM71821</t>
  </si>
  <si>
    <t>CLM71822</t>
  </si>
  <si>
    <t>CLM71823</t>
  </si>
  <si>
    <t>CLM71824</t>
  </si>
  <si>
    <t>CLM71825</t>
  </si>
  <si>
    <t>CLM71826</t>
  </si>
  <si>
    <t>CLM71827</t>
  </si>
  <si>
    <t>CLM71828</t>
  </si>
  <si>
    <t>CLM71831</t>
  </si>
  <si>
    <t>CLM71832</t>
  </si>
  <si>
    <t>CLM71833</t>
  </si>
  <si>
    <t>CLM71839</t>
  </si>
  <si>
    <t>CLM71840</t>
  </si>
  <si>
    <t>CLM71841</t>
  </si>
  <si>
    <t>CLM71842</t>
  </si>
  <si>
    <t>CLM71843</t>
  </si>
  <si>
    <t>CLM71845</t>
  </si>
  <si>
    <t>CLM71846</t>
  </si>
  <si>
    <t>CLM71848</t>
  </si>
  <si>
    <t>CLM71851</t>
  </si>
  <si>
    <t>CLM71852</t>
  </si>
  <si>
    <t>CLM71853</t>
  </si>
  <si>
    <t>CLM71854</t>
  </si>
  <si>
    <t>CLM71856</t>
  </si>
  <si>
    <t>CLM71857</t>
  </si>
  <si>
    <t>CLM71858</t>
  </si>
  <si>
    <t>CLM71860</t>
  </si>
  <si>
    <t>CLM71861</t>
  </si>
  <si>
    <t>CLM71863</t>
  </si>
  <si>
    <t>CLM71865</t>
  </si>
  <si>
    <t>CLM71866</t>
  </si>
  <si>
    <t>CLM71868</t>
  </si>
  <si>
    <t>CLM71869</t>
  </si>
  <si>
    <t>CLM71871</t>
  </si>
  <si>
    <t>CLM71872</t>
  </si>
  <si>
    <t>CLM71873</t>
  </si>
  <si>
    <t>CLM71874</t>
  </si>
  <si>
    <t>CLM71875</t>
  </si>
  <si>
    <t>CLM71877</t>
  </si>
  <si>
    <t>CLM71878</t>
  </si>
  <si>
    <t>CLM71880</t>
  </si>
  <si>
    <t>CLM71881</t>
  </si>
  <si>
    <t>CLM71883</t>
  </si>
  <si>
    <t>CLM71884</t>
  </si>
  <si>
    <t>CLM71885</t>
  </si>
  <si>
    <t>CLM71886</t>
  </si>
  <si>
    <t>CLM71888</t>
  </si>
  <si>
    <t>CLM71889</t>
  </si>
  <si>
    <t>CLM71891</t>
  </si>
  <si>
    <t>CLM71892</t>
  </si>
  <si>
    <t>CLM71893</t>
  </si>
  <si>
    <t>CLM71894</t>
  </si>
  <si>
    <t>CLM71895</t>
  </si>
  <si>
    <t>CLM71896</t>
  </si>
  <si>
    <t>CLM71898</t>
  </si>
  <si>
    <t>CLM71899</t>
  </si>
  <si>
    <t>CLM71900</t>
  </si>
  <si>
    <t>CLM71901</t>
  </si>
  <si>
    <t>CLM71902</t>
  </si>
  <si>
    <t>CLM71903</t>
  </si>
  <si>
    <t>CLM71904</t>
  </si>
  <si>
    <t>CLM71905</t>
  </si>
  <si>
    <t>CLM71906</t>
  </si>
  <si>
    <t>CLM71908</t>
  </si>
  <si>
    <t>CLM71909</t>
  </si>
  <si>
    <t>CLM71910</t>
  </si>
  <si>
    <t>CLM71911</t>
  </si>
  <si>
    <t>CLM71912</t>
  </si>
  <si>
    <t>CLM71913</t>
  </si>
  <si>
    <t>CLM71915</t>
  </si>
  <si>
    <t>CLM71917</t>
  </si>
  <si>
    <t>CLM71918</t>
  </si>
  <si>
    <t>CLM71919</t>
  </si>
  <si>
    <t>CLM71920</t>
  </si>
  <si>
    <t>CLM71921</t>
  </si>
  <si>
    <t>CLM71925</t>
  </si>
  <si>
    <t>CLM71926</t>
  </si>
  <si>
    <t>CLM71927</t>
  </si>
  <si>
    <t>CLM71928</t>
  </si>
  <si>
    <t>CLM71931</t>
  </si>
  <si>
    <t>CLM71933</t>
  </si>
  <si>
    <t>CLM71934</t>
  </si>
  <si>
    <t>CLM71935</t>
  </si>
  <si>
    <t>CLM71936</t>
  </si>
  <si>
    <t>CLM71937</t>
  </si>
  <si>
    <t>CLM71938</t>
  </si>
  <si>
    <t>CLM71939</t>
  </si>
  <si>
    <t>CLM71940</t>
  </si>
  <si>
    <t>CLM71941</t>
  </si>
  <si>
    <t>CLM71942</t>
  </si>
  <si>
    <t>CLM71946</t>
  </si>
  <si>
    <t>CLM71947</t>
  </si>
  <si>
    <t>CLM71950</t>
  </si>
  <si>
    <t>CLM71951</t>
  </si>
  <si>
    <t>CLM71952</t>
  </si>
  <si>
    <t>CLM71953</t>
  </si>
  <si>
    <t>CLM71955</t>
  </si>
  <si>
    <t>CLM71956</t>
  </si>
  <si>
    <t>CLM71957</t>
  </si>
  <si>
    <t>CLM71959</t>
  </si>
  <si>
    <t>CLM71960</t>
  </si>
  <si>
    <t>CLM71961</t>
  </si>
  <si>
    <t>CLM71962</t>
  </si>
  <si>
    <t>CLM71965</t>
  </si>
  <si>
    <t>CLM71966</t>
  </si>
  <si>
    <t>CLM71969</t>
  </si>
  <si>
    <t>CLM71971</t>
  </si>
  <si>
    <t>CLM71973</t>
  </si>
  <si>
    <t>CLM71974</t>
  </si>
  <si>
    <t>CLM71975</t>
  </si>
  <si>
    <t>CLM71977</t>
  </si>
  <si>
    <t>CLM71978</t>
  </si>
  <si>
    <t>CLM71979</t>
  </si>
  <si>
    <t>CLM71981</t>
  </si>
  <si>
    <t>CLM71982</t>
  </si>
  <si>
    <t>CLM71984</t>
  </si>
  <si>
    <t>CLM71985</t>
  </si>
  <si>
    <t>CLM71986</t>
  </si>
  <si>
    <t>CLM71987</t>
  </si>
  <si>
    <t>CLM71988</t>
  </si>
  <si>
    <t>CLM71991</t>
  </si>
  <si>
    <t>CLM71994</t>
  </si>
  <si>
    <t>CLM71997</t>
  </si>
  <si>
    <t>CLM71998</t>
  </si>
  <si>
    <t>CLM71999</t>
  </si>
  <si>
    <t>join_date</t>
  </si>
  <si>
    <t>total_policies_sold</t>
  </si>
  <si>
    <t>lapsed_policies</t>
  </si>
  <si>
    <t>avg_premium_sold</t>
  </si>
  <si>
    <t>fraud_association</t>
  </si>
  <si>
    <t>feedback_id</t>
  </si>
  <si>
    <t>date_submitted</t>
  </si>
  <si>
    <t>feedback_text</t>
  </si>
  <si>
    <t>satisfaction_score</t>
  </si>
  <si>
    <t>contacted_agent</t>
  </si>
  <si>
    <t>referred_claim</t>
  </si>
  <si>
    <t>is_anonymous</t>
  </si>
  <si>
    <t>FDB90000</t>
  </si>
  <si>
    <t>I'm not happy with the premium charged.</t>
  </si>
  <si>
    <t>FDB90001</t>
  </si>
  <si>
    <t>FDB90002</t>
  </si>
  <si>
    <t>Smooth experience with no issues.</t>
  </si>
  <si>
    <t>FDB90003</t>
  </si>
  <si>
    <t>Claim process could be faster.</t>
  </si>
  <si>
    <t>FDB90004</t>
  </si>
  <si>
    <t>The agent was helpful and explained everything.</t>
  </si>
  <si>
    <t>FDB90005</t>
  </si>
  <si>
    <t>Very satisfied with the claim process.</t>
  </si>
  <si>
    <t>FDB90006</t>
  </si>
  <si>
    <t>CUST10308</t>
  </si>
  <si>
    <t>Excellent customer service support.</t>
  </si>
  <si>
    <t>FDB90007</t>
  </si>
  <si>
    <t>CUST10644</t>
  </si>
  <si>
    <t>Need more clarity on policy coverage.</t>
  </si>
  <si>
    <t>FDB90008</t>
  </si>
  <si>
    <t>FDB90009</t>
  </si>
  <si>
    <t>FDB90010</t>
  </si>
  <si>
    <t>The mobile app experience was intuitive.</t>
  </si>
  <si>
    <t>FDB90011</t>
  </si>
  <si>
    <t>FDB90012</t>
  </si>
  <si>
    <t>FDB90013</t>
  </si>
  <si>
    <t>FDB90014</t>
  </si>
  <si>
    <t>FDB90015</t>
  </si>
  <si>
    <t>CUST10685</t>
  </si>
  <si>
    <t>FDB90016</t>
  </si>
  <si>
    <t>FDB90017</t>
  </si>
  <si>
    <t>CUST11183</t>
  </si>
  <si>
    <t>FDB90018</t>
  </si>
  <si>
    <t>CUST11585</t>
  </si>
  <si>
    <t>FDB90019</t>
  </si>
  <si>
    <t>FDB90020</t>
  </si>
  <si>
    <t>CUST12097</t>
  </si>
  <si>
    <t>FDB90021</t>
  </si>
  <si>
    <t>FDB90022</t>
  </si>
  <si>
    <t>CUST12090</t>
  </si>
  <si>
    <t>FDB90023</t>
  </si>
  <si>
    <t>CUST11778</t>
  </si>
  <si>
    <t>FDB90024</t>
  </si>
  <si>
    <t>FDB90025</t>
  </si>
  <si>
    <t>Had to wait too long for claim approval.</t>
  </si>
  <si>
    <t>FDB90026</t>
  </si>
  <si>
    <t>FDB90027</t>
  </si>
  <si>
    <t>CUST10908</t>
  </si>
  <si>
    <t>FDB90028</t>
  </si>
  <si>
    <t>FDB90029</t>
  </si>
  <si>
    <t>FDB90030</t>
  </si>
  <si>
    <t>FDB90031</t>
  </si>
  <si>
    <t>FDB90032</t>
  </si>
  <si>
    <t>Frustrated with repeated documentation requests.</t>
  </si>
  <si>
    <t>FDB90033</t>
  </si>
  <si>
    <t>FDB90034</t>
  </si>
  <si>
    <t>FDB90035</t>
  </si>
  <si>
    <t>CUST10754</t>
  </si>
  <si>
    <t>FDB90036</t>
  </si>
  <si>
    <t>FDB90037</t>
  </si>
  <si>
    <t>FDB90038</t>
  </si>
  <si>
    <t>FDB90039</t>
  </si>
  <si>
    <t>CUST12404</t>
  </si>
  <si>
    <t>FDB90040</t>
  </si>
  <si>
    <t>CUST10609</t>
  </si>
  <si>
    <t>FDB90041</t>
  </si>
  <si>
    <t>CUST10679</t>
  </si>
  <si>
    <t>FDB90042</t>
  </si>
  <si>
    <t>FDB90043</t>
  </si>
  <si>
    <t>CUST11140</t>
  </si>
  <si>
    <t>FDB90044</t>
  </si>
  <si>
    <t>CUST10960</t>
  </si>
  <si>
    <t>FDB90045</t>
  </si>
  <si>
    <t>CUST11860</t>
  </si>
  <si>
    <t>FDB90046</t>
  </si>
  <si>
    <t>CUST10500</t>
  </si>
  <si>
    <t>FDB90047</t>
  </si>
  <si>
    <t>FDB90048</t>
  </si>
  <si>
    <t>FDB90049</t>
  </si>
  <si>
    <t>FDB90050</t>
  </si>
  <si>
    <t>CUST12029</t>
  </si>
  <si>
    <t>FDB90051</t>
  </si>
  <si>
    <t>CUST11562</t>
  </si>
  <si>
    <t>FDB90052</t>
  </si>
  <si>
    <t>FDB90053</t>
  </si>
  <si>
    <t>FDB90054</t>
  </si>
  <si>
    <t>FDB90055</t>
  </si>
  <si>
    <t>FDB90056</t>
  </si>
  <si>
    <t>FDB90057</t>
  </si>
  <si>
    <t>CUST12066</t>
  </si>
  <si>
    <t>FDB90058</t>
  </si>
  <si>
    <t>CUST11059</t>
  </si>
  <si>
    <t>FDB90059</t>
  </si>
  <si>
    <t>FDB90060</t>
  </si>
  <si>
    <t>FDB90061</t>
  </si>
  <si>
    <t>FDB90062</t>
  </si>
  <si>
    <t>FDB90063</t>
  </si>
  <si>
    <t>FDB90064</t>
  </si>
  <si>
    <t>FDB90065</t>
  </si>
  <si>
    <t>CUST10095</t>
  </si>
  <si>
    <t>FDB90066</t>
  </si>
  <si>
    <t>FDB90067</t>
  </si>
  <si>
    <t>FDB90068</t>
  </si>
  <si>
    <t>FDB90069</t>
  </si>
  <si>
    <t>FDB90070</t>
  </si>
  <si>
    <t>FDB90071</t>
  </si>
  <si>
    <t>FDB90072</t>
  </si>
  <si>
    <t>FDB90073</t>
  </si>
  <si>
    <t>FDB90074</t>
  </si>
  <si>
    <t>CUST12114</t>
  </si>
  <si>
    <t>FDB90075</t>
  </si>
  <si>
    <t>FDB90076</t>
  </si>
  <si>
    <t>CUST11109</t>
  </si>
  <si>
    <t>FDB90077</t>
  </si>
  <si>
    <t>CUST11763</t>
  </si>
  <si>
    <t>FDB90078</t>
  </si>
  <si>
    <t>FDB90079</t>
  </si>
  <si>
    <t>FDB90080</t>
  </si>
  <si>
    <t>FDB90081</t>
  </si>
  <si>
    <t>FDB90082</t>
  </si>
  <si>
    <t>FDB90083</t>
  </si>
  <si>
    <t>FDB90084</t>
  </si>
  <si>
    <t>CUST12384</t>
  </si>
  <si>
    <t>FDB90085</t>
  </si>
  <si>
    <t>FDB90086</t>
  </si>
  <si>
    <t>FDB90087</t>
  </si>
  <si>
    <t>CUST12288</t>
  </si>
  <si>
    <t>FDB90088</t>
  </si>
  <si>
    <t>FDB90089</t>
  </si>
  <si>
    <t>FDB90090</t>
  </si>
  <si>
    <t>CUST10211</t>
  </si>
  <si>
    <t>FDB90091</t>
  </si>
  <si>
    <t>CUST10730</t>
  </si>
  <si>
    <t>FDB90092</t>
  </si>
  <si>
    <t>CUST10323</t>
  </si>
  <si>
    <t>FDB90093</t>
  </si>
  <si>
    <t>FDB90094</t>
  </si>
  <si>
    <t>CUST10440</t>
  </si>
  <si>
    <t>FDB90095</t>
  </si>
  <si>
    <t>FDB90096</t>
  </si>
  <si>
    <t>CUST12004</t>
  </si>
  <si>
    <t>FDB90097</t>
  </si>
  <si>
    <t>FDB90098</t>
  </si>
  <si>
    <t>FDB90099</t>
  </si>
  <si>
    <t>CUST10669</t>
  </si>
  <si>
    <t>FDB90100</t>
  </si>
  <si>
    <t>FDB90101</t>
  </si>
  <si>
    <t>FDB90102</t>
  </si>
  <si>
    <t>FDB90103</t>
  </si>
  <si>
    <t>CUST12198</t>
  </si>
  <si>
    <t>FDB90104</t>
  </si>
  <si>
    <t>FDB90105</t>
  </si>
  <si>
    <t>CUST10954</t>
  </si>
  <si>
    <t>FDB90106</t>
  </si>
  <si>
    <t>FDB90107</t>
  </si>
  <si>
    <t>FDB90108</t>
  </si>
  <si>
    <t>FDB90109</t>
  </si>
  <si>
    <t>CUST10134</t>
  </si>
  <si>
    <t>FDB90110</t>
  </si>
  <si>
    <t>CUST10836</t>
  </si>
  <si>
    <t>FDB90111</t>
  </si>
  <si>
    <t>FDB90112</t>
  </si>
  <si>
    <t>CUST11636</t>
  </si>
  <si>
    <t>FDB90113</t>
  </si>
  <si>
    <t>FDB90114</t>
  </si>
  <si>
    <t>CUST12352</t>
  </si>
  <si>
    <t>FDB90115</t>
  </si>
  <si>
    <t>CUST11993</t>
  </si>
  <si>
    <t>FDB90116</t>
  </si>
  <si>
    <t>FDB90117</t>
  </si>
  <si>
    <t>CUST11004</t>
  </si>
  <si>
    <t>FDB90118</t>
  </si>
  <si>
    <t>FDB90119</t>
  </si>
  <si>
    <t>CUST11568</t>
  </si>
  <si>
    <t>FDB90120</t>
  </si>
  <si>
    <t>CUST11110</t>
  </si>
  <si>
    <t>FDB90121</t>
  </si>
  <si>
    <t>CUST12088</t>
  </si>
  <si>
    <t>FDB90122</t>
  </si>
  <si>
    <t>FDB90123</t>
  </si>
  <si>
    <t>CUST12181</t>
  </si>
  <si>
    <t>FDB90124</t>
  </si>
  <si>
    <t>FDB90125</t>
  </si>
  <si>
    <t>FDB90126</t>
  </si>
  <si>
    <t>FDB90127</t>
  </si>
  <si>
    <t>CUST10384</t>
  </si>
  <si>
    <t>FDB90128</t>
  </si>
  <si>
    <t>FDB90129</t>
  </si>
  <si>
    <t>CUST11972</t>
  </si>
  <si>
    <t>FDB90130</t>
  </si>
  <si>
    <t>FDB90131</t>
  </si>
  <si>
    <t>FDB90132</t>
  </si>
  <si>
    <t>CUST11336</t>
  </si>
  <si>
    <t>FDB90133</t>
  </si>
  <si>
    <t>FDB90134</t>
  </si>
  <si>
    <t>CUST12440</t>
  </si>
  <si>
    <t>FDB90135</t>
  </si>
  <si>
    <t>FDB90136</t>
  </si>
  <si>
    <t>FDB90137</t>
  </si>
  <si>
    <t>CUST11259</t>
  </si>
  <si>
    <t>FDB90138</t>
  </si>
  <si>
    <t>FDB90139</t>
  </si>
  <si>
    <t>FDB90140</t>
  </si>
  <si>
    <t>CUST10493</t>
  </si>
  <si>
    <t>FDB90141</t>
  </si>
  <si>
    <t>FDB90142</t>
  </si>
  <si>
    <t>FDB90143</t>
  </si>
  <si>
    <t>CUST10017</t>
  </si>
  <si>
    <t>FDB90144</t>
  </si>
  <si>
    <t>FDB90145</t>
  </si>
  <si>
    <t>CUST12388</t>
  </si>
  <si>
    <t>FDB90146</t>
  </si>
  <si>
    <t>FDB90147</t>
  </si>
  <si>
    <t>FDB90148</t>
  </si>
  <si>
    <t>CUST10490</t>
  </si>
  <si>
    <t>FDB90149</t>
  </si>
  <si>
    <t>CUST10964</t>
  </si>
  <si>
    <t>FDB90150</t>
  </si>
  <si>
    <t>FDB90151</t>
  </si>
  <si>
    <t>FDB90152</t>
  </si>
  <si>
    <t>FDB90153</t>
  </si>
  <si>
    <t>CUST12336</t>
  </si>
  <si>
    <t>FDB90154</t>
  </si>
  <si>
    <t>CUST11293</t>
  </si>
  <si>
    <t>FDB90155</t>
  </si>
  <si>
    <t>FDB90156</t>
  </si>
  <si>
    <t>CUST10651</t>
  </si>
  <si>
    <t>FDB90157</t>
  </si>
  <si>
    <t>CUST11608</t>
  </si>
  <si>
    <t>FDB90158</t>
  </si>
  <si>
    <t>CUST11505</t>
  </si>
  <si>
    <t>FDB90159</t>
  </si>
  <si>
    <t>FDB90160</t>
  </si>
  <si>
    <t>FDB90161</t>
  </si>
  <si>
    <t>FDB90162</t>
  </si>
  <si>
    <t>FDB90163</t>
  </si>
  <si>
    <t>CUST10668</t>
  </si>
  <si>
    <t>FDB90164</t>
  </si>
  <si>
    <t>CUST11449</t>
  </si>
  <si>
    <t>FDB90165</t>
  </si>
  <si>
    <t>FDB90166</t>
  </si>
  <si>
    <t>CUST10922</t>
  </si>
  <si>
    <t>FDB90167</t>
  </si>
  <si>
    <t>FDB90168</t>
  </si>
  <si>
    <t>FDB90169</t>
  </si>
  <si>
    <t>FDB90170</t>
  </si>
  <si>
    <t>FDB90171</t>
  </si>
  <si>
    <t>CUST12433</t>
  </si>
  <si>
    <t>FDB90172</t>
  </si>
  <si>
    <t>FDB90173</t>
  </si>
  <si>
    <t>FDB90174</t>
  </si>
  <si>
    <t>CUST12037</t>
  </si>
  <si>
    <t>FDB90175</t>
  </si>
  <si>
    <t>FDB90176</t>
  </si>
  <si>
    <t>CUST11204</t>
  </si>
  <si>
    <t>FDB90177</t>
  </si>
  <si>
    <t>FDB90178</t>
  </si>
  <si>
    <t>CUST11900</t>
  </si>
  <si>
    <t>FDB90179</t>
  </si>
  <si>
    <t>FDB90180</t>
  </si>
  <si>
    <t>FDB90181</t>
  </si>
  <si>
    <t>FDB90182</t>
  </si>
  <si>
    <t>FDB90183</t>
  </si>
  <si>
    <t>FDB90184</t>
  </si>
  <si>
    <t>FDB90185</t>
  </si>
  <si>
    <t>FDB90186</t>
  </si>
  <si>
    <t>FDB90187</t>
  </si>
  <si>
    <t>FDB90188</t>
  </si>
  <si>
    <t>FDB90189</t>
  </si>
  <si>
    <t>FDB90190</t>
  </si>
  <si>
    <t>CUST11970</t>
  </si>
  <si>
    <t>FDB90191</t>
  </si>
  <si>
    <t>CUST10481</t>
  </si>
  <si>
    <t>FDB90192</t>
  </si>
  <si>
    <t>FDB90193</t>
  </si>
  <si>
    <t>FDB90194</t>
  </si>
  <si>
    <t>CUST11425</t>
  </si>
  <si>
    <t>FDB90195</t>
  </si>
  <si>
    <t>CUST10971</t>
  </si>
  <si>
    <t>FDB90196</t>
  </si>
  <si>
    <t>FDB90197</t>
  </si>
  <si>
    <t>FDB90198</t>
  </si>
  <si>
    <t>CUST10290</t>
  </si>
  <si>
    <t>FDB90199</t>
  </si>
  <si>
    <t>CUST10571</t>
  </si>
  <si>
    <t>FDB90200</t>
  </si>
  <si>
    <t>FDB90201</t>
  </si>
  <si>
    <t>FDB90202</t>
  </si>
  <si>
    <t>FDB90203</t>
  </si>
  <si>
    <t>CUST10736</t>
  </si>
  <si>
    <t>FDB90204</t>
  </si>
  <si>
    <t>CUST10385</t>
  </si>
  <si>
    <t>FDB90205</t>
  </si>
  <si>
    <t>FDB90206</t>
  </si>
  <si>
    <t>FDB90207</t>
  </si>
  <si>
    <t>FDB90208</t>
  </si>
  <si>
    <t>FDB90209</t>
  </si>
  <si>
    <t>FDB90210</t>
  </si>
  <si>
    <t>FDB90211</t>
  </si>
  <si>
    <t>FDB90212</t>
  </si>
  <si>
    <t>FDB90213</t>
  </si>
  <si>
    <t>CUST10716</t>
  </si>
  <si>
    <t>FDB90214</t>
  </si>
  <si>
    <t>FDB90215</t>
  </si>
  <si>
    <t>FDB90216</t>
  </si>
  <si>
    <t>FDB90217</t>
  </si>
  <si>
    <t>FDB90218</t>
  </si>
  <si>
    <t>CUST11647</t>
  </si>
  <si>
    <t>FDB90219</t>
  </si>
  <si>
    <t>FDB90220</t>
  </si>
  <si>
    <t>FDB90221</t>
  </si>
  <si>
    <t>FDB90222</t>
  </si>
  <si>
    <t>FDB90223</t>
  </si>
  <si>
    <t>CUST10094</t>
  </si>
  <si>
    <t>FDB90224</t>
  </si>
  <si>
    <t>FDB90225</t>
  </si>
  <si>
    <t>CUST10162</t>
  </si>
  <si>
    <t>FDB90226</t>
  </si>
  <si>
    <t>FDB90227</t>
  </si>
  <si>
    <t>CUST10697</t>
  </si>
  <si>
    <t>FDB90228</t>
  </si>
  <si>
    <t>FDB90229</t>
  </si>
  <si>
    <t>FDB90230</t>
  </si>
  <si>
    <t>FDB90231</t>
  </si>
  <si>
    <t>FDB90232</t>
  </si>
  <si>
    <t>FDB90233</t>
  </si>
  <si>
    <t>CUST11758</t>
  </si>
  <si>
    <t>FDB90234</t>
  </si>
  <si>
    <t>FDB90235</t>
  </si>
  <si>
    <t>FDB90236</t>
  </si>
  <si>
    <t>FDB90237</t>
  </si>
  <si>
    <t>CUST10711</t>
  </si>
  <si>
    <t>FDB90238</t>
  </si>
  <si>
    <t>FDB90239</t>
  </si>
  <si>
    <t>FDB90240</t>
  </si>
  <si>
    <t>CUST12052</t>
  </si>
  <si>
    <t>FDB90241</t>
  </si>
  <si>
    <t>FDB90242</t>
  </si>
  <si>
    <t>FDB90243</t>
  </si>
  <si>
    <t>FDB90244</t>
  </si>
  <si>
    <t>FDB90245</t>
  </si>
  <si>
    <t>FDB90246</t>
  </si>
  <si>
    <t>FDB90247</t>
  </si>
  <si>
    <t>CUST10846</t>
  </si>
  <si>
    <t>FDB90248</t>
  </si>
  <si>
    <t>CUST12468</t>
  </si>
  <si>
    <t>FDB90249</t>
  </si>
  <si>
    <t>CUST10865</t>
  </si>
  <si>
    <t>FDB90250</t>
  </si>
  <si>
    <t>FDB90251</t>
  </si>
  <si>
    <t>FDB90252</t>
  </si>
  <si>
    <t>FDB90253</t>
  </si>
  <si>
    <t>CUST11002</t>
  </si>
  <si>
    <t>FDB90254</t>
  </si>
  <si>
    <t>FDB90255</t>
  </si>
  <si>
    <t>FDB90256</t>
  </si>
  <si>
    <t>FDB90257</t>
  </si>
  <si>
    <t>CUST11150</t>
  </si>
  <si>
    <t>FDB90258</t>
  </si>
  <si>
    <t>CUST11148</t>
  </si>
  <si>
    <t>FDB90259</t>
  </si>
  <si>
    <t>FDB90260</t>
  </si>
  <si>
    <t>FDB90261</t>
  </si>
  <si>
    <t>FDB90262</t>
  </si>
  <si>
    <t>FDB90263</t>
  </si>
  <si>
    <t>FDB90264</t>
  </si>
  <si>
    <t>FDB90265</t>
  </si>
  <si>
    <t>FDB90266</t>
  </si>
  <si>
    <t>FDB90267</t>
  </si>
  <si>
    <t>FDB90268</t>
  </si>
  <si>
    <t>FDB90269</t>
  </si>
  <si>
    <t>FDB90270</t>
  </si>
  <si>
    <t>CUST12235</t>
  </si>
  <si>
    <t>FDB90271</t>
  </si>
  <si>
    <t>CUST11023</t>
  </si>
  <si>
    <t>FDB90272</t>
  </si>
  <si>
    <t>FDB90273</t>
  </si>
  <si>
    <t>CUST10533</t>
  </si>
  <si>
    <t>FDB90274</t>
  </si>
  <si>
    <t>FDB90275</t>
  </si>
  <si>
    <t>FDB90276</t>
  </si>
  <si>
    <t>FDB90277</t>
  </si>
  <si>
    <t>FDB90278</t>
  </si>
  <si>
    <t>FDB90279</t>
  </si>
  <si>
    <t>CUST10901</t>
  </si>
  <si>
    <t>FDB90280</t>
  </si>
  <si>
    <t>FDB90281</t>
  </si>
  <si>
    <t>FDB90282</t>
  </si>
  <si>
    <t>FDB90283</t>
  </si>
  <si>
    <t>FDB90284</t>
  </si>
  <si>
    <t>FDB90285</t>
  </si>
  <si>
    <t>FDB90286</t>
  </si>
  <si>
    <t>CUST11965</t>
  </si>
  <si>
    <t>FDB90287</t>
  </si>
  <si>
    <t>FDB90288</t>
  </si>
  <si>
    <t>CUST11665</t>
  </si>
  <si>
    <t>FDB90289</t>
  </si>
  <si>
    <t>CUST12273</t>
  </si>
  <si>
    <t>FDB90290</t>
  </si>
  <si>
    <t>CUST12177</t>
  </si>
  <si>
    <t>FDB90291</t>
  </si>
  <si>
    <t>FDB90292</t>
  </si>
  <si>
    <t>FDB90293</t>
  </si>
  <si>
    <t>FDB90294</t>
  </si>
  <si>
    <t>FDB90295</t>
  </si>
  <si>
    <t>CUST10975</t>
  </si>
  <si>
    <t>FDB90296</t>
  </si>
  <si>
    <t>FDB90297</t>
  </si>
  <si>
    <t>FDB90298</t>
  </si>
  <si>
    <t>FDB90299</t>
  </si>
  <si>
    <t>FDB90300</t>
  </si>
  <si>
    <t>FDB90301</t>
  </si>
  <si>
    <t>FDB90302</t>
  </si>
  <si>
    <t>FDB90303</t>
  </si>
  <si>
    <t>CUST11939</t>
  </si>
  <si>
    <t>FDB90304</t>
  </si>
  <si>
    <t>CUST11931</t>
  </si>
  <si>
    <t>FDB90305</t>
  </si>
  <si>
    <t>FDB90306</t>
  </si>
  <si>
    <t>FDB90307</t>
  </si>
  <si>
    <t>CUST11438</t>
  </si>
  <si>
    <t>FDB90308</t>
  </si>
  <si>
    <t>FDB90309</t>
  </si>
  <si>
    <t>FDB90310</t>
  </si>
  <si>
    <t>FDB90311</t>
  </si>
  <si>
    <t>CUST11371</t>
  </si>
  <si>
    <t>FDB90312</t>
  </si>
  <si>
    <t>FDB90313</t>
  </si>
  <si>
    <t>FDB90314</t>
  </si>
  <si>
    <t>CUST12104</t>
  </si>
  <si>
    <t>FDB90315</t>
  </si>
  <si>
    <t>FDB90316</t>
  </si>
  <si>
    <t>FDB90317</t>
  </si>
  <si>
    <t>FDB90318</t>
  </si>
  <si>
    <t>CUST10419</t>
  </si>
  <si>
    <t>FDB90319</t>
  </si>
  <si>
    <t>FDB90320</t>
  </si>
  <si>
    <t>FDB90321</t>
  </si>
  <si>
    <t>CUST10919</t>
  </si>
  <si>
    <t>FDB90322</t>
  </si>
  <si>
    <t>CUST10951</t>
  </si>
  <si>
    <t>FDB90323</t>
  </si>
  <si>
    <t>CUST10739</t>
  </si>
  <si>
    <t>FDB90324</t>
  </si>
  <si>
    <t>CUST10182</t>
  </si>
  <si>
    <t>FDB90325</t>
  </si>
  <si>
    <t>CUST10332</t>
  </si>
  <si>
    <t>FDB90326</t>
  </si>
  <si>
    <t>CUST12262</t>
  </si>
  <si>
    <t>FDB90327</t>
  </si>
  <si>
    <t>FDB90328</t>
  </si>
  <si>
    <t>CUST10262</t>
  </si>
  <si>
    <t>FDB90329</t>
  </si>
  <si>
    <t>CUST11280</t>
  </si>
  <si>
    <t>FDB90330</t>
  </si>
  <si>
    <t>CUST11836</t>
  </si>
  <si>
    <t>FDB90331</t>
  </si>
  <si>
    <t>CUST11844</t>
  </si>
  <si>
    <t>FDB90332</t>
  </si>
  <si>
    <t>FDB90333</t>
  </si>
  <si>
    <t>FDB90334</t>
  </si>
  <si>
    <t>FDB90335</t>
  </si>
  <si>
    <t>CUST10521</t>
  </si>
  <si>
    <t>FDB90336</t>
  </si>
  <si>
    <t>FDB90337</t>
  </si>
  <si>
    <t>CUST11448</t>
  </si>
  <si>
    <t>FDB90338</t>
  </si>
  <si>
    <t>CUST11427</t>
  </si>
  <si>
    <t>FDB90339</t>
  </si>
  <si>
    <t>FDB90340</t>
  </si>
  <si>
    <t>FDB90341</t>
  </si>
  <si>
    <t>CUST10819</t>
  </si>
  <si>
    <t>FDB90342</t>
  </si>
  <si>
    <t>FDB90343</t>
  </si>
  <si>
    <t>CUST10516</t>
  </si>
  <si>
    <t>FDB90344</t>
  </si>
  <si>
    <t>FDB90345</t>
  </si>
  <si>
    <t>CUST11089</t>
  </si>
  <si>
    <t>FDB90346</t>
  </si>
  <si>
    <t>CUST10450</t>
  </si>
  <si>
    <t>FDB90347</t>
  </si>
  <si>
    <t>CUST11240</t>
  </si>
  <si>
    <t>FDB90348</t>
  </si>
  <si>
    <t>CUST11006</t>
  </si>
  <si>
    <t>FDB90349</t>
  </si>
  <si>
    <t>FDB90350</t>
  </si>
  <si>
    <t>FDB90351</t>
  </si>
  <si>
    <t>FDB90352</t>
  </si>
  <si>
    <t>FDB90353</t>
  </si>
  <si>
    <t>CUST10128</t>
  </si>
  <si>
    <t>FDB90354</t>
  </si>
  <si>
    <t>FDB90355</t>
  </si>
  <si>
    <t>FDB90356</t>
  </si>
  <si>
    <t>CUST12387</t>
  </si>
  <si>
    <t>FDB90357</t>
  </si>
  <si>
    <t>CUST11171</t>
  </si>
  <si>
    <t>FDB90358</t>
  </si>
  <si>
    <t>FDB90359</t>
  </si>
  <si>
    <t>FDB90360</t>
  </si>
  <si>
    <t>FDB90361</t>
  </si>
  <si>
    <t>CUST10129</t>
  </si>
  <si>
    <t>FDB90362</t>
  </si>
  <si>
    <t>CUST11874</t>
  </si>
  <si>
    <t>FDB90363</t>
  </si>
  <si>
    <t>FDB90364</t>
  </si>
  <si>
    <t>CUST10748</t>
  </si>
  <si>
    <t>FDB90365</t>
  </si>
  <si>
    <t>FDB90366</t>
  </si>
  <si>
    <t>FDB90367</t>
  </si>
  <si>
    <t>FDB90368</t>
  </si>
  <si>
    <t>CUST11037</t>
  </si>
  <si>
    <t>FDB90369</t>
  </si>
  <si>
    <t>FDB90370</t>
  </si>
  <si>
    <t>FDB90371</t>
  </si>
  <si>
    <t>FDB90372</t>
  </si>
  <si>
    <t>FDB90373</t>
  </si>
  <si>
    <t>FDB90374</t>
  </si>
  <si>
    <t>FDB90375</t>
  </si>
  <si>
    <t>FDB90376</t>
  </si>
  <si>
    <t>FDB90377</t>
  </si>
  <si>
    <t>CUST10176</t>
  </si>
  <si>
    <t>FDB90378</t>
  </si>
  <si>
    <t>FDB90379</t>
  </si>
  <si>
    <t>FDB90380</t>
  </si>
  <si>
    <t>FDB90381</t>
  </si>
  <si>
    <t>FDB90382</t>
  </si>
  <si>
    <t>FDB90383</t>
  </si>
  <si>
    <t>FDB90384</t>
  </si>
  <si>
    <t>CUST10952</t>
  </si>
  <si>
    <t>FDB90385</t>
  </si>
  <si>
    <t>FDB90386</t>
  </si>
  <si>
    <t>FDB90387</t>
  </si>
  <si>
    <t>FDB90388</t>
  </si>
  <si>
    <t>FDB90389</t>
  </si>
  <si>
    <t>CUST11707</t>
  </si>
  <si>
    <t>FDB90390</t>
  </si>
  <si>
    <t>CUST11511</t>
  </si>
  <si>
    <t>FDB90391</t>
  </si>
  <si>
    <t>CUST10392</t>
  </si>
  <si>
    <t>FDB90392</t>
  </si>
  <si>
    <t>FDB90393</t>
  </si>
  <si>
    <t>FDB90394</t>
  </si>
  <si>
    <t>FDB90395</t>
  </si>
  <si>
    <t>FDB90396</t>
  </si>
  <si>
    <t>FDB90397</t>
  </si>
  <si>
    <t>FDB90398</t>
  </si>
  <si>
    <t>FDB90399</t>
  </si>
  <si>
    <t>FDB90400</t>
  </si>
  <si>
    <t>FDB90401</t>
  </si>
  <si>
    <t>FDB90402</t>
  </si>
  <si>
    <t>CUST11651</t>
  </si>
  <si>
    <t>FDB90403</t>
  </si>
  <si>
    <t>FDB90404</t>
  </si>
  <si>
    <t>FDB90405</t>
  </si>
  <si>
    <t>CUST11814</t>
  </si>
  <si>
    <t>FDB90406</t>
  </si>
  <si>
    <t>FDB90407</t>
  </si>
  <si>
    <t>FDB90408</t>
  </si>
  <si>
    <t>FDB90409</t>
  </si>
  <si>
    <t>CUST12019</t>
  </si>
  <si>
    <t>FDB90410</t>
  </si>
  <si>
    <t>FDB90411</t>
  </si>
  <si>
    <t>CUST10263</t>
  </si>
  <si>
    <t>FDB90412</t>
  </si>
  <si>
    <t>FDB90413</t>
  </si>
  <si>
    <t>FDB90414</t>
  </si>
  <si>
    <t>FDB90415</t>
  </si>
  <si>
    <t>FDB90416</t>
  </si>
  <si>
    <t>CUST11560</t>
  </si>
  <si>
    <t>FDB90417</t>
  </si>
  <si>
    <t>FDB90418</t>
  </si>
  <si>
    <t>FDB90419</t>
  </si>
  <si>
    <t>FDB90420</t>
  </si>
  <si>
    <t>CUST12391</t>
  </si>
  <si>
    <t>FDB90421</t>
  </si>
  <si>
    <t>CUST10929</t>
  </si>
  <si>
    <t>FDB90422</t>
  </si>
  <si>
    <t>CUST10420</t>
  </si>
  <si>
    <t>FDB90423</t>
  </si>
  <si>
    <t>FDB90424</t>
  </si>
  <si>
    <t>CUST11373</t>
  </si>
  <si>
    <t>FDB90425</t>
  </si>
  <si>
    <t>CUST11190</t>
  </si>
  <si>
    <t>FDB90426</t>
  </si>
  <si>
    <t>FDB90427</t>
  </si>
  <si>
    <t>FDB90428</t>
  </si>
  <si>
    <t>FDB90429</t>
  </si>
  <si>
    <t>FDB90430</t>
  </si>
  <si>
    <t>FDB90431</t>
  </si>
  <si>
    <t>FDB90432</t>
  </si>
  <si>
    <t>FDB90433</t>
  </si>
  <si>
    <t>FDB90434</t>
  </si>
  <si>
    <t>FDB90435</t>
  </si>
  <si>
    <t>CUST10288</t>
  </si>
  <si>
    <t>FDB90436</t>
  </si>
  <si>
    <t>FDB90437</t>
  </si>
  <si>
    <t>FDB90438</t>
  </si>
  <si>
    <t>CUST11001</t>
  </si>
  <si>
    <t>FDB90439</t>
  </si>
  <si>
    <t>FDB90440</t>
  </si>
  <si>
    <t>FDB90441</t>
  </si>
  <si>
    <t>FDB90442</t>
  </si>
  <si>
    <t>FDB90443</t>
  </si>
  <si>
    <t>FDB90444</t>
  </si>
  <si>
    <t>FDB90445</t>
  </si>
  <si>
    <t>FDB90446</t>
  </si>
  <si>
    <t>FDB90447</t>
  </si>
  <si>
    <t>FDB90448</t>
  </si>
  <si>
    <t>FDB90449</t>
  </si>
  <si>
    <t>FDB90450</t>
  </si>
  <si>
    <t>CUST10368</t>
  </si>
  <si>
    <t>FDB90451</t>
  </si>
  <si>
    <t>FDB90452</t>
  </si>
  <si>
    <t>FDB90453</t>
  </si>
  <si>
    <t>FDB90454</t>
  </si>
  <si>
    <t>CUST10665</t>
  </si>
  <si>
    <t>FDB90455</t>
  </si>
  <si>
    <t>CUST12057</t>
  </si>
  <si>
    <t>FDB90456</t>
  </si>
  <si>
    <t>FDB90457</t>
  </si>
  <si>
    <t>CUST11456</t>
  </si>
  <si>
    <t>FDB90458</t>
  </si>
  <si>
    <t>FDB90459</t>
  </si>
  <si>
    <t>CUST11762</t>
  </si>
  <si>
    <t>FDB90460</t>
  </si>
  <si>
    <t>FDB90461</t>
  </si>
  <si>
    <t>FDB90462</t>
  </si>
  <si>
    <t>FDB90463</t>
  </si>
  <si>
    <t>CUST11113</t>
  </si>
  <si>
    <t>FDB90464</t>
  </si>
  <si>
    <t>CUST10313</t>
  </si>
  <si>
    <t>FDB90465</t>
  </si>
  <si>
    <t>FDB90466</t>
  </si>
  <si>
    <t>FDB90467</t>
  </si>
  <si>
    <t>FDB90468</t>
  </si>
  <si>
    <t>FDB90469</t>
  </si>
  <si>
    <t>FDB90470</t>
  </si>
  <si>
    <t>CUST10840</t>
  </si>
  <si>
    <t>FDB90471</t>
  </si>
  <si>
    <t>FDB90472</t>
  </si>
  <si>
    <t>FDB90473</t>
  </si>
  <si>
    <t>FDB90474</t>
  </si>
  <si>
    <t>FDB90475</t>
  </si>
  <si>
    <t>CUST11275</t>
  </si>
  <si>
    <t>FDB90476</t>
  </si>
  <si>
    <t>FDB90477</t>
  </si>
  <si>
    <t>FDB90478</t>
  </si>
  <si>
    <t>CUST11026</t>
  </si>
  <si>
    <t>FDB90479</t>
  </si>
  <si>
    <t>FDB90480</t>
  </si>
  <si>
    <t>FDB90481</t>
  </si>
  <si>
    <t>CUST12272</t>
  </si>
  <si>
    <t>FDB90482</t>
  </si>
  <si>
    <t>CUST10004</t>
  </si>
  <si>
    <t>FDB90483</t>
  </si>
  <si>
    <t>CUST11605</t>
  </si>
  <si>
    <t>FDB90484</t>
  </si>
  <si>
    <t>CUST10091</t>
  </si>
  <si>
    <t>FDB90485</t>
  </si>
  <si>
    <t>CUST11360</t>
  </si>
  <si>
    <t>FDB90486</t>
  </si>
  <si>
    <t>FDB90487</t>
  </si>
  <si>
    <t>CUST10879</t>
  </si>
  <si>
    <t>FDB90488</t>
  </si>
  <si>
    <t>FDB90489</t>
  </si>
  <si>
    <t>CUST12133</t>
  </si>
  <si>
    <t>FDB90490</t>
  </si>
  <si>
    <t>CUST10342</t>
  </si>
  <si>
    <t>FDB90491</t>
  </si>
  <si>
    <t>FDB90492</t>
  </si>
  <si>
    <t>CUST10661</t>
  </si>
  <si>
    <t>FDB90493</t>
  </si>
  <si>
    <t>FDB90494</t>
  </si>
  <si>
    <t>FDB90495</t>
  </si>
  <si>
    <t>FDB90496</t>
  </si>
  <si>
    <t>FDB90497</t>
  </si>
  <si>
    <t>FDB90498</t>
  </si>
  <si>
    <t>FDB90499</t>
  </si>
  <si>
    <t>FDB90500</t>
  </si>
  <si>
    <t>FDB90501</t>
  </si>
  <si>
    <t>FDB90502</t>
  </si>
  <si>
    <t>FDB90503</t>
  </si>
  <si>
    <t>FDB90504</t>
  </si>
  <si>
    <t>FDB90505</t>
  </si>
  <si>
    <t>FDB90506</t>
  </si>
  <si>
    <t>FDB90507</t>
  </si>
  <si>
    <t>FDB90508</t>
  </si>
  <si>
    <t>CUST10415</t>
  </si>
  <si>
    <t>FDB90509</t>
  </si>
  <si>
    <t>FDB90510</t>
  </si>
  <si>
    <t>FDB90511</t>
  </si>
  <si>
    <t>FDB90512</t>
  </si>
  <si>
    <t>CUST11235</t>
  </si>
  <si>
    <t>FDB90513</t>
  </si>
  <si>
    <t>CUST10400</t>
  </si>
  <si>
    <t>FDB90514</t>
  </si>
  <si>
    <t>FDB90515</t>
  </si>
  <si>
    <t>FDB90516</t>
  </si>
  <si>
    <t>FDB90517</t>
  </si>
  <si>
    <t>CUST11070</t>
  </si>
  <si>
    <t>FDB90518</t>
  </si>
  <si>
    <t>FDB90519</t>
  </si>
  <si>
    <t>FDB90520</t>
  </si>
  <si>
    <t>CUST11643</t>
  </si>
  <si>
    <t>FDB90521</t>
  </si>
  <si>
    <t>CUST11859</t>
  </si>
  <si>
    <t>FDB90522</t>
  </si>
  <si>
    <t>FDB90523</t>
  </si>
  <si>
    <t>FDB90524</t>
  </si>
  <si>
    <t>CUST11835</t>
  </si>
  <si>
    <t>FDB90525</t>
  </si>
  <si>
    <t>FDB90526</t>
  </si>
  <si>
    <t>CUST11291</t>
  </si>
  <si>
    <t>FDB90527</t>
  </si>
  <si>
    <t>FDB90528</t>
  </si>
  <si>
    <t>FDB90529</t>
  </si>
  <si>
    <t>FDB90530</t>
  </si>
  <si>
    <t>CUST10387</t>
  </si>
  <si>
    <t>FDB90531</t>
  </si>
  <si>
    <t>FDB90532</t>
  </si>
  <si>
    <t>FDB90533</t>
  </si>
  <si>
    <t>FDB90534</t>
  </si>
  <si>
    <t>FDB90535</t>
  </si>
  <si>
    <t>FDB90536</t>
  </si>
  <si>
    <t>CUST11522</t>
  </si>
  <si>
    <t>FDB90537</t>
  </si>
  <si>
    <t>FDB90538</t>
  </si>
  <si>
    <t>FDB90539</t>
  </si>
  <si>
    <t>CUST12265</t>
  </si>
  <si>
    <t>FDB90540</t>
  </si>
  <si>
    <t>FDB90541</t>
  </si>
  <si>
    <t>FDB90542</t>
  </si>
  <si>
    <t>FDB90543</t>
  </si>
  <si>
    <t>FDB90544</t>
  </si>
  <si>
    <t>FDB90545</t>
  </si>
  <si>
    <t>CUST11498</t>
  </si>
  <si>
    <t>FDB90546</t>
  </si>
  <si>
    <t>FDB90547</t>
  </si>
  <si>
    <t>FDB90548</t>
  </si>
  <si>
    <t>FDB90549</t>
  </si>
  <si>
    <t>FDB90550</t>
  </si>
  <si>
    <t>FDB90551</t>
  </si>
  <si>
    <t>CUST11702</t>
  </si>
  <si>
    <t>FDB90552</t>
  </si>
  <si>
    <t>FDB90553</t>
  </si>
  <si>
    <t>CUST10282</t>
  </si>
  <si>
    <t>FDB90554</t>
  </si>
  <si>
    <t>FDB90555</t>
  </si>
  <si>
    <t>CUST10585</t>
  </si>
  <si>
    <t>FDB90556</t>
  </si>
  <si>
    <t>FDB90557</t>
  </si>
  <si>
    <t>FDB90558</t>
  </si>
  <si>
    <t>FDB90559</t>
  </si>
  <si>
    <t>FDB90560</t>
  </si>
  <si>
    <t>FDB90561</t>
  </si>
  <si>
    <t>FDB90562</t>
  </si>
  <si>
    <t>FDB90563</t>
  </si>
  <si>
    <t>FDB90564</t>
  </si>
  <si>
    <t>FDB90565</t>
  </si>
  <si>
    <t>CUST11231</t>
  </si>
  <si>
    <t>FDB90566</t>
  </si>
  <si>
    <t>FDB90567</t>
  </si>
  <si>
    <t>CUST11333</t>
  </si>
  <si>
    <t>FDB90568</t>
  </si>
  <si>
    <t>FDB90569</t>
  </si>
  <si>
    <t>FDB90570</t>
  </si>
  <si>
    <t>CUST10157</t>
  </si>
  <si>
    <t>FDB90571</t>
  </si>
  <si>
    <t>FDB90572</t>
  </si>
  <si>
    <t>FDB90573</t>
  </si>
  <si>
    <t>FDB90574</t>
  </si>
  <si>
    <t>FDB90575</t>
  </si>
  <si>
    <t>FDB90576</t>
  </si>
  <si>
    <t>FDB90577</t>
  </si>
  <si>
    <t>FDB90578</t>
  </si>
  <si>
    <t>CUST10607</t>
  </si>
  <si>
    <t>FDB90579</t>
  </si>
  <si>
    <t>CUST12421</t>
  </si>
  <si>
    <t>FDB90580</t>
  </si>
  <si>
    <t>FDB90581</t>
  </si>
  <si>
    <t>FDB90582</t>
  </si>
  <si>
    <t>CUST10414</t>
  </si>
  <si>
    <t>FDB90583</t>
  </si>
  <si>
    <t>FDB90584</t>
  </si>
  <si>
    <t>CUST12373</t>
  </si>
  <si>
    <t>FDB90585</t>
  </si>
  <si>
    <t>FDB90586</t>
  </si>
  <si>
    <t>CUST11731</t>
  </si>
  <si>
    <t>FDB90587</t>
  </si>
  <si>
    <t>FDB90588</t>
  </si>
  <si>
    <t>FDB90589</t>
  </si>
  <si>
    <t>FDB90590</t>
  </si>
  <si>
    <t>FDB90591</t>
  </si>
  <si>
    <t>FDB90592</t>
  </si>
  <si>
    <t>FDB90593</t>
  </si>
  <si>
    <t>FDB90594</t>
  </si>
  <si>
    <t>FDB90595</t>
  </si>
  <si>
    <t>CUST11896</t>
  </si>
  <si>
    <t>FDB90596</t>
  </si>
  <si>
    <t>FDB90597</t>
  </si>
  <si>
    <t>FDB90598</t>
  </si>
  <si>
    <t>FDB90599</t>
  </si>
  <si>
    <t>CUST12498</t>
  </si>
  <si>
    <t>FDB90600</t>
  </si>
  <si>
    <t>FDB90601</t>
  </si>
  <si>
    <t>FDB90602</t>
  </si>
  <si>
    <t>FDB90603</t>
  </si>
  <si>
    <t>FDB90604</t>
  </si>
  <si>
    <t>FDB90605</t>
  </si>
  <si>
    <t>FDB90606</t>
  </si>
  <si>
    <t>CUST11984</t>
  </si>
  <si>
    <t>FDB90607</t>
  </si>
  <si>
    <t>FDB90608</t>
  </si>
  <si>
    <t>FDB90609</t>
  </si>
  <si>
    <t>FDB90610</t>
  </si>
  <si>
    <t>CUST12017</t>
  </si>
  <si>
    <t>FDB90611</t>
  </si>
  <si>
    <t>FDB90612</t>
  </si>
  <si>
    <t>FDB90613</t>
  </si>
  <si>
    <t>CUST10522</t>
  </si>
  <si>
    <t>FDB90614</t>
  </si>
  <si>
    <t>FDB90615</t>
  </si>
  <si>
    <t>FDB90616</t>
  </si>
  <si>
    <t>CUST10483</t>
  </si>
  <si>
    <t>FDB90617</t>
  </si>
  <si>
    <t>FDB90618</t>
  </si>
  <si>
    <t>FDB90619</t>
  </si>
  <si>
    <t>CUST12025</t>
  </si>
  <si>
    <t>FDB90620</t>
  </si>
  <si>
    <t>FDB90621</t>
  </si>
  <si>
    <t>CUST11128</t>
  </si>
  <si>
    <t>FDB90622</t>
  </si>
  <si>
    <t>FDB90623</t>
  </si>
  <si>
    <t>FDB90624</t>
  </si>
  <si>
    <t>FDB90625</t>
  </si>
  <si>
    <t>FDB90626</t>
  </si>
  <si>
    <t>FDB90627</t>
  </si>
  <si>
    <t>FDB90628</t>
  </si>
  <si>
    <t>FDB90629</t>
  </si>
  <si>
    <t>FDB90630</t>
  </si>
  <si>
    <t>FDB90631</t>
  </si>
  <si>
    <t>FDB90632</t>
  </si>
  <si>
    <t>FDB90633</t>
  </si>
  <si>
    <t>CUST10709</t>
  </si>
  <si>
    <t>FDB90634</t>
  </si>
  <si>
    <t>CUST11331</t>
  </si>
  <si>
    <t>FDB90635</t>
  </si>
  <si>
    <t>FDB90636</t>
  </si>
  <si>
    <t>FDB90637</t>
  </si>
  <si>
    <t>FDB90638</t>
  </si>
  <si>
    <t>FDB90639</t>
  </si>
  <si>
    <t>FDB90640</t>
  </si>
  <si>
    <t>CUST10240</t>
  </si>
  <si>
    <t>FDB90641</t>
  </si>
  <si>
    <t>FDB90642</t>
  </si>
  <si>
    <t>FDB90643</t>
  </si>
  <si>
    <t>FDB90644</t>
  </si>
  <si>
    <t>FDB90645</t>
  </si>
  <si>
    <t>CUST10641</t>
  </si>
  <si>
    <t>FDB90646</t>
  </si>
  <si>
    <t>CUST12456</t>
  </si>
  <si>
    <t>FDB90647</t>
  </si>
  <si>
    <t>FDB90648</t>
  </si>
  <si>
    <t>CUST11787</t>
  </si>
  <si>
    <t>FDB90649</t>
  </si>
  <si>
    <t>FDB90650</t>
  </si>
  <si>
    <t>FDB90651</t>
  </si>
  <si>
    <t>FDB90652</t>
  </si>
  <si>
    <t>FDB90653</t>
  </si>
  <si>
    <t>FDB90654</t>
  </si>
  <si>
    <t>FDB90655</t>
  </si>
  <si>
    <t>FDB90656</t>
  </si>
  <si>
    <t>FDB90657</t>
  </si>
  <si>
    <t>FDB90658</t>
  </si>
  <si>
    <t>FDB90659</t>
  </si>
  <si>
    <t>CUST10893</t>
  </si>
  <si>
    <t>FDB90660</t>
  </si>
  <si>
    <t>FDB90661</t>
  </si>
  <si>
    <t>FDB90662</t>
  </si>
  <si>
    <t>CUST11878</t>
  </si>
  <si>
    <t>FDB90663</t>
  </si>
  <si>
    <t>FDB90664</t>
  </si>
  <si>
    <t>FDB90665</t>
  </si>
  <si>
    <t>FDB90666</t>
  </si>
  <si>
    <t>FDB90667</t>
  </si>
  <si>
    <t>FDB90668</t>
  </si>
  <si>
    <t>CUST10245</t>
  </si>
  <si>
    <t>FDB90669</t>
  </si>
  <si>
    <t>FDB90670</t>
  </si>
  <si>
    <t>CUST10581</t>
  </si>
  <si>
    <t>FDB90671</t>
  </si>
  <si>
    <t>FDB90672</t>
  </si>
  <si>
    <t>FDB90673</t>
  </si>
  <si>
    <t>FDB90674</t>
  </si>
  <si>
    <t>FDB90675</t>
  </si>
  <si>
    <t>FDB90676</t>
  </si>
  <si>
    <t>FDB90677</t>
  </si>
  <si>
    <t>FDB90678</t>
  </si>
  <si>
    <t>CUST10284</t>
  </si>
  <si>
    <t>FDB90679</t>
  </si>
  <si>
    <t>FDB90680</t>
  </si>
  <si>
    <t>FDB90681</t>
  </si>
  <si>
    <t>FDB90682</t>
  </si>
  <si>
    <t>FDB90683</t>
  </si>
  <si>
    <t>FDB90684</t>
  </si>
  <si>
    <t>FDB90685</t>
  </si>
  <si>
    <t>FDB90686</t>
  </si>
  <si>
    <t>FDB90687</t>
  </si>
  <si>
    <t>FDB90688</t>
  </si>
  <si>
    <t>CUST11642</t>
  </si>
  <si>
    <t>FDB90689</t>
  </si>
  <si>
    <t>FDB90690</t>
  </si>
  <si>
    <t>CUST11117</t>
  </si>
  <si>
    <t>FDB90691</t>
  </si>
  <si>
    <t>CUST11407</t>
  </si>
  <si>
    <t>FDB90692</t>
  </si>
  <si>
    <t>FDB90693</t>
  </si>
  <si>
    <t>FDB90694</t>
  </si>
  <si>
    <t>FDB90695</t>
  </si>
  <si>
    <t>FDB90696</t>
  </si>
  <si>
    <t>CUST12329</t>
  </si>
  <si>
    <t>FDB90697</t>
  </si>
  <si>
    <t>FDB90698</t>
  </si>
  <si>
    <t>FDB90699</t>
  </si>
  <si>
    <t>FDB90700</t>
  </si>
  <si>
    <t>FDB90701</t>
  </si>
  <si>
    <t>CUST12362</t>
  </si>
  <si>
    <t>FDB90702</t>
  </si>
  <si>
    <t>CUST10657</t>
  </si>
  <si>
    <t>FDB90703</t>
  </si>
  <si>
    <t>FDB90704</t>
  </si>
  <si>
    <t>FDB90705</t>
  </si>
  <si>
    <t>FDB90706</t>
  </si>
  <si>
    <t>FDB90707</t>
  </si>
  <si>
    <t>FDB90708</t>
  </si>
  <si>
    <t>FDB90709</t>
  </si>
  <si>
    <t>FDB90710</t>
  </si>
  <si>
    <t>CUST10103</t>
  </si>
  <si>
    <t>FDB90711</t>
  </si>
  <si>
    <t>FDB90712</t>
  </si>
  <si>
    <t>FDB90713</t>
  </si>
  <si>
    <t>FDB90714</t>
  </si>
  <si>
    <t>FDB90715</t>
  </si>
  <si>
    <t>FDB90716</t>
  </si>
  <si>
    <t>FDB90717</t>
  </si>
  <si>
    <t>FDB90718</t>
  </si>
  <si>
    <t>FDB90719</t>
  </si>
  <si>
    <t>CUST10325</t>
  </si>
  <si>
    <t>FDB90720</t>
  </si>
  <si>
    <t>FDB90721</t>
  </si>
  <si>
    <t>FDB90722</t>
  </si>
  <si>
    <t>FDB90723</t>
  </si>
  <si>
    <t>FDB90724</t>
  </si>
  <si>
    <t>CUST12417</t>
  </si>
  <si>
    <t>FDB90725</t>
  </si>
  <si>
    <t>CUST11766</t>
  </si>
  <si>
    <t>FDB90726</t>
  </si>
  <si>
    <t>FDB90727</t>
  </si>
  <si>
    <t>FDB90728</t>
  </si>
  <si>
    <t>FDB90729</t>
  </si>
  <si>
    <t>FDB90730</t>
  </si>
  <si>
    <t>CUST12085</t>
  </si>
  <si>
    <t>FDB90731</t>
  </si>
  <si>
    <t>FDB90732</t>
  </si>
  <si>
    <t>CUST12108</t>
  </si>
  <si>
    <t>FDB90733</t>
  </si>
  <si>
    <t>CUST11060</t>
  </si>
  <si>
    <t>FDB90734</t>
  </si>
  <si>
    <t>FDB90735</t>
  </si>
  <si>
    <t>CUST12430</t>
  </si>
  <si>
    <t>FDB90736</t>
  </si>
  <si>
    <t>FDB90737</t>
  </si>
  <si>
    <t>FDB90738</t>
  </si>
  <si>
    <t>FDB90739</t>
  </si>
  <si>
    <t>FDB90740</t>
  </si>
  <si>
    <t>FDB90741</t>
  </si>
  <si>
    <t>FDB90742</t>
  </si>
  <si>
    <t>CUST11979</t>
  </si>
  <si>
    <t>FDB90743</t>
  </si>
  <si>
    <t>FDB90744</t>
  </si>
  <si>
    <t>CUST10735</t>
  </si>
  <si>
    <t>FDB90745</t>
  </si>
  <si>
    <t>CUST10868</t>
  </si>
  <si>
    <t>FDB90746</t>
  </si>
  <si>
    <t>FDB90747</t>
  </si>
  <si>
    <t>CUST12349</t>
  </si>
  <si>
    <t>FDB90748</t>
  </si>
  <si>
    <t>CUST10963</t>
  </si>
  <si>
    <t>FDB90749</t>
  </si>
  <si>
    <t>CUST10376</t>
  </si>
  <si>
    <t>FDB90750</t>
  </si>
  <si>
    <t>CUST10633</t>
  </si>
  <si>
    <t>FDB90751</t>
  </si>
  <si>
    <t>FDB90752</t>
  </si>
  <si>
    <t>FDB90753</t>
  </si>
  <si>
    <t>CUST12002</t>
  </si>
  <si>
    <t>FDB90754</t>
  </si>
  <si>
    <t>CUST11228</t>
  </si>
  <si>
    <t>FDB90755</t>
  </si>
  <si>
    <t>CUST11889</t>
  </si>
  <si>
    <t>FDB90756</t>
  </si>
  <si>
    <t>FDB90757</t>
  </si>
  <si>
    <t>CUST12261</t>
  </si>
  <si>
    <t>FDB90758</t>
  </si>
  <si>
    <t>FDB90759</t>
  </si>
  <si>
    <t>FDB90760</t>
  </si>
  <si>
    <t>FDB90761</t>
  </si>
  <si>
    <t>FDB90762</t>
  </si>
  <si>
    <t>FDB90763</t>
  </si>
  <si>
    <t>FDB90764</t>
  </si>
  <si>
    <t>FDB90765</t>
  </si>
  <si>
    <t>CUST11921</t>
  </si>
  <si>
    <t>FDB90766</t>
  </si>
  <si>
    <t>CUST10509</t>
  </si>
  <si>
    <t>FDB90767</t>
  </si>
  <si>
    <t>FDB90768</t>
  </si>
  <si>
    <t>FDB90769</t>
  </si>
  <si>
    <t>FDB90770</t>
  </si>
  <si>
    <t>FDB90771</t>
  </si>
  <si>
    <t>FDB90772</t>
  </si>
  <si>
    <t>FDB90773</t>
  </si>
  <si>
    <t>FDB90774</t>
  </si>
  <si>
    <t>CUST10649</t>
  </si>
  <si>
    <t>FDB90775</t>
  </si>
  <si>
    <t>CUST10343</t>
  </si>
  <si>
    <t>FDB90776</t>
  </si>
  <si>
    <t>FDB90777</t>
  </si>
  <si>
    <t>FDB90778</t>
  </si>
  <si>
    <t>CUST12064</t>
  </si>
  <si>
    <t>FDB90779</t>
  </si>
  <si>
    <t>CUST10159</t>
  </si>
  <si>
    <t>FDB90780</t>
  </si>
  <si>
    <t>FDB90781</t>
  </si>
  <si>
    <t>FDB90782</t>
  </si>
  <si>
    <t>FDB90783</t>
  </si>
  <si>
    <t>FDB90784</t>
  </si>
  <si>
    <t>FDB90785</t>
  </si>
  <si>
    <t>FDB90786</t>
  </si>
  <si>
    <t>FDB90787</t>
  </si>
  <si>
    <t>CUST11356</t>
  </si>
  <si>
    <t>FDB90788</t>
  </si>
  <si>
    <t>FDB90789</t>
  </si>
  <si>
    <t>CUST11219</t>
  </si>
  <si>
    <t>FDB90790</t>
  </si>
  <si>
    <t>FDB90791</t>
  </si>
  <si>
    <t>FDB90792</t>
  </si>
  <si>
    <t>FDB90793</t>
  </si>
  <si>
    <t>CUST10700</t>
  </si>
  <si>
    <t>FDB90794</t>
  </si>
  <si>
    <t>FDB90795</t>
  </si>
  <si>
    <t>FDB90796</t>
  </si>
  <si>
    <t>FDB90797</t>
  </si>
  <si>
    <t>FDB90798</t>
  </si>
  <si>
    <t>FDB90799</t>
  </si>
  <si>
    <t>CUST11420</t>
  </si>
  <si>
    <t>FDB90800</t>
  </si>
  <si>
    <t>FDB90801</t>
  </si>
  <si>
    <t>FDB90802</t>
  </si>
  <si>
    <t>FDB90803</t>
  </si>
  <si>
    <t>FDB90804</t>
  </si>
  <si>
    <t>CUST11034</t>
  </si>
  <si>
    <t>FDB90805</t>
  </si>
  <si>
    <t>FDB90806</t>
  </si>
  <si>
    <t>FDB90807</t>
  </si>
  <si>
    <t>FDB90808</t>
  </si>
  <si>
    <t>CUST11307</t>
  </si>
  <si>
    <t>FDB90809</t>
  </si>
  <si>
    <t>FDB90810</t>
  </si>
  <si>
    <t>CUST12074</t>
  </si>
  <si>
    <t>FDB90811</t>
  </si>
  <si>
    <t>FDB90812</t>
  </si>
  <si>
    <t>CUST12096</t>
  </si>
  <si>
    <t>FDB90813</t>
  </si>
  <si>
    <t>FDB90814</t>
  </si>
  <si>
    <t>CUST12350</t>
  </si>
  <si>
    <t>FDB90815</t>
  </si>
  <si>
    <t>FDB90816</t>
  </si>
  <si>
    <t>FDB90817</t>
  </si>
  <si>
    <t>FDB90818</t>
  </si>
  <si>
    <t>FDB90819</t>
  </si>
  <si>
    <t>FDB90820</t>
  </si>
  <si>
    <t>FDB90821</t>
  </si>
  <si>
    <t>FDB90822</t>
  </si>
  <si>
    <t>FDB90823</t>
  </si>
  <si>
    <t>CUST12176</t>
  </si>
  <si>
    <t>FDB90824</t>
  </si>
  <si>
    <t>FDB90825</t>
  </si>
  <si>
    <t>FDB90826</t>
  </si>
  <si>
    <t>FDB90827</t>
  </si>
  <si>
    <t>FDB90828</t>
  </si>
  <si>
    <t>FDB90829</t>
  </si>
  <si>
    <t>FDB90830</t>
  </si>
  <si>
    <t>FDB90831</t>
  </si>
  <si>
    <t>CUST11103</t>
  </si>
  <si>
    <t>FDB90832</t>
  </si>
  <si>
    <t>FDB90833</t>
  </si>
  <si>
    <t>FDB90834</t>
  </si>
  <si>
    <t>CUST10751</t>
  </si>
  <si>
    <t>FDB90835</t>
  </si>
  <si>
    <t>FDB90836</t>
  </si>
  <si>
    <t>CUST10534</t>
  </si>
  <si>
    <t>FDB90837</t>
  </si>
  <si>
    <t>CUST10185</t>
  </si>
  <si>
    <t>FDB90838</t>
  </si>
  <si>
    <t>CUST11628</t>
  </si>
  <si>
    <t>FDB90839</t>
  </si>
  <si>
    <t>FDB90840</t>
  </si>
  <si>
    <t>CUST12464</t>
  </si>
  <si>
    <t>FDB90841</t>
  </si>
  <si>
    <t>FDB90842</t>
  </si>
  <si>
    <t>CUST11123</t>
  </si>
  <si>
    <t>FDB90843</t>
  </si>
  <si>
    <t>FDB90844</t>
  </si>
  <si>
    <t>FDB90845</t>
  </si>
  <si>
    <t>FDB90846</t>
  </si>
  <si>
    <t>CUST12224</t>
  </si>
  <si>
    <t>FDB90847</t>
  </si>
  <si>
    <t>CUST12257</t>
  </si>
  <si>
    <t>FDB90848</t>
  </si>
  <si>
    <t>CUST11796</t>
  </si>
  <si>
    <t>FDB90849</t>
  </si>
  <si>
    <t>FDB90850</t>
  </si>
  <si>
    <t>CUST11076</t>
  </si>
  <si>
    <t>FDB90851</t>
  </si>
  <si>
    <t>CUST11301</t>
  </si>
  <si>
    <t>FDB90852</t>
  </si>
  <si>
    <t>FDB90853</t>
  </si>
  <si>
    <t>CUST11318</t>
  </si>
  <si>
    <t>FDB90854</t>
  </si>
  <si>
    <t>FDB90855</t>
  </si>
  <si>
    <t>FDB90856</t>
  </si>
  <si>
    <t>FDB90857</t>
  </si>
  <si>
    <t>CUST12364</t>
  </si>
  <si>
    <t>FDB90858</t>
  </si>
  <si>
    <t>CUST10254</t>
  </si>
  <si>
    <t>FDB90859</t>
  </si>
  <si>
    <t>CUST10539</t>
  </si>
  <si>
    <t>FDB90860</t>
  </si>
  <si>
    <t>CUST10620</t>
  </si>
  <si>
    <t>FDB90861</t>
  </si>
  <si>
    <t>CUST10828</t>
  </si>
  <si>
    <t>FDB90862</t>
  </si>
  <si>
    <t>FDB90863</t>
  </si>
  <si>
    <t>FDB90864</t>
  </si>
  <si>
    <t>FDB90865</t>
  </si>
  <si>
    <t>FDB90866</t>
  </si>
  <si>
    <t>FDB90867</t>
  </si>
  <si>
    <t>FDB90868</t>
  </si>
  <si>
    <t>FDB90869</t>
  </si>
  <si>
    <t>FDB90870</t>
  </si>
  <si>
    <t>FDB90871</t>
  </si>
  <si>
    <t>FDB90872</t>
  </si>
  <si>
    <t>FDB90873</t>
  </si>
  <si>
    <t>FDB90874</t>
  </si>
  <si>
    <t>FDB90875</t>
  </si>
  <si>
    <t>FDB90876</t>
  </si>
  <si>
    <t>FDB90877</t>
  </si>
  <si>
    <t>FDB90878</t>
  </si>
  <si>
    <t>CUST11078</t>
  </si>
  <si>
    <t>FDB90879</t>
  </si>
  <si>
    <t>FDB90880</t>
  </si>
  <si>
    <t>CUST11714</t>
  </si>
  <si>
    <t>FDB90881</t>
  </si>
  <si>
    <t>CUST10126</t>
  </si>
  <si>
    <t>FDB90882</t>
  </si>
  <si>
    <t>FDB90883</t>
  </si>
  <si>
    <t>CUST10193</t>
  </si>
  <si>
    <t>FDB90884</t>
  </si>
  <si>
    <t>CUST10636</t>
  </si>
  <si>
    <t>FDB90885</t>
  </si>
  <si>
    <t>CUST11460</t>
  </si>
  <si>
    <t>FDB90886</t>
  </si>
  <si>
    <t>FDB90887</t>
  </si>
  <si>
    <t>FDB90888</t>
  </si>
  <si>
    <t>CUST10139</t>
  </si>
  <si>
    <t>FDB90889</t>
  </si>
  <si>
    <t>FDB90890</t>
  </si>
  <si>
    <t>FDB90891</t>
  </si>
  <si>
    <t>FDB90892</t>
  </si>
  <si>
    <t>CUST12318</t>
  </si>
  <si>
    <t>FDB90893</t>
  </si>
  <si>
    <t>FDB90894</t>
  </si>
  <si>
    <t>FDB90895</t>
  </si>
  <si>
    <t>FDB90896</t>
  </si>
  <si>
    <t>FDB90897</t>
  </si>
  <si>
    <t>FDB90898</t>
  </si>
  <si>
    <t>FDB90899</t>
  </si>
  <si>
    <t>CUST11572</t>
  </si>
  <si>
    <t>FDB90900</t>
  </si>
  <si>
    <t>FDB90901</t>
  </si>
  <si>
    <t>CUST12031</t>
  </si>
  <si>
    <t>FDB90902</t>
  </si>
  <si>
    <t>FDB90903</t>
  </si>
  <si>
    <t>CUST12130</t>
  </si>
  <si>
    <t>FDB90904</t>
  </si>
  <si>
    <t>FDB90905</t>
  </si>
  <si>
    <t>CUST10373</t>
  </si>
  <si>
    <t>FDB90906</t>
  </si>
  <si>
    <t>FDB90907</t>
  </si>
  <si>
    <t>FDB90908</t>
  </si>
  <si>
    <t>FDB90909</t>
  </si>
  <si>
    <t>FDB90910</t>
  </si>
  <si>
    <t>CUST11975</t>
  </si>
  <si>
    <t>FDB90911</t>
  </si>
  <si>
    <t>FDB90912</t>
  </si>
  <si>
    <t>FDB90913</t>
  </si>
  <si>
    <t>FDB90914</t>
  </si>
  <si>
    <t>FDB90915</t>
  </si>
  <si>
    <t>FDB90916</t>
  </si>
  <si>
    <t>FDB90917</t>
  </si>
  <si>
    <t>FDB90918</t>
  </si>
  <si>
    <t>FDB90919</t>
  </si>
  <si>
    <t>CUST12337</t>
  </si>
  <si>
    <t>FDB90920</t>
  </si>
  <si>
    <t>CUST10046</t>
  </si>
  <si>
    <t>FDB90921</t>
  </si>
  <si>
    <t>CUST12463</t>
  </si>
  <si>
    <t>FDB90922</t>
  </si>
  <si>
    <t>FDB90923</t>
  </si>
  <si>
    <t>CUST12102</t>
  </si>
  <si>
    <t>FDB90924</t>
  </si>
  <si>
    <t>FDB90925</t>
  </si>
  <si>
    <t>FDB90926</t>
  </si>
  <si>
    <t>CUST11481</t>
  </si>
  <si>
    <t>FDB90927</t>
  </si>
  <si>
    <t>FDB90928</t>
  </si>
  <si>
    <t>FDB90929</t>
  </si>
  <si>
    <t>FDB90930</t>
  </si>
  <si>
    <t>FDB90931</t>
  </si>
  <si>
    <t>CUST10056</t>
  </si>
  <si>
    <t>FDB90932</t>
  </si>
  <si>
    <t>CUST10087</t>
  </si>
  <si>
    <t>FDB90933</t>
  </si>
  <si>
    <t>FDB90934</t>
  </si>
  <si>
    <t>FDB90935</t>
  </si>
  <si>
    <t>FDB90936</t>
  </si>
  <si>
    <t>CUST10778</t>
  </si>
  <si>
    <t>FDB90937</t>
  </si>
  <si>
    <t>FDB90938</t>
  </si>
  <si>
    <t>FDB90939</t>
  </si>
  <si>
    <t>FDB90940</t>
  </si>
  <si>
    <t>CUST10526</t>
  </si>
  <si>
    <t>FDB90941</t>
  </si>
  <si>
    <t>FDB90942</t>
  </si>
  <si>
    <t>FDB90943</t>
  </si>
  <si>
    <t>FDB90944</t>
  </si>
  <si>
    <t>FDB90945</t>
  </si>
  <si>
    <t>FDB90946</t>
  </si>
  <si>
    <t>FDB90947</t>
  </si>
  <si>
    <t>FDB90948</t>
  </si>
  <si>
    <t>FDB90949</t>
  </si>
  <si>
    <t>CUST10596</t>
  </si>
  <si>
    <t>FDB90950</t>
  </si>
  <si>
    <t>CUST10943</t>
  </si>
  <si>
    <t>FDB90951</t>
  </si>
  <si>
    <t>FDB90952</t>
  </si>
  <si>
    <t>FDB90953</t>
  </si>
  <si>
    <t>FDB90954</t>
  </si>
  <si>
    <t>FDB90955</t>
  </si>
  <si>
    <t>FDB90956</t>
  </si>
  <si>
    <t>FDB90957</t>
  </si>
  <si>
    <t>CUST11074</t>
  </si>
  <si>
    <t>FDB90958</t>
  </si>
  <si>
    <t>FDB90959</t>
  </si>
  <si>
    <t>CUST11430</t>
  </si>
  <si>
    <t>FDB90960</t>
  </si>
  <si>
    <t>FDB90961</t>
  </si>
  <si>
    <t>CUST12287</t>
  </si>
  <si>
    <t>FDB90962</t>
  </si>
  <si>
    <t>FDB90963</t>
  </si>
  <si>
    <t>FDB90964</t>
  </si>
  <si>
    <t>CUST10664</t>
  </si>
  <si>
    <t>FDB90965</t>
  </si>
  <si>
    <t>FDB90966</t>
  </si>
  <si>
    <t>CUST10199</t>
  </si>
  <si>
    <t>FDB90967</t>
  </si>
  <si>
    <t>FDB90968</t>
  </si>
  <si>
    <t>FDB90969</t>
  </si>
  <si>
    <t>FDB90970</t>
  </si>
  <si>
    <t>FDB90971</t>
  </si>
  <si>
    <t>FDB90972</t>
  </si>
  <si>
    <t>CUST11137</t>
  </si>
  <si>
    <t>FDB90973</t>
  </si>
  <si>
    <t>FDB90974</t>
  </si>
  <si>
    <t>FDB90975</t>
  </si>
  <si>
    <t>FDB90976</t>
  </si>
  <si>
    <t>FDB90977</t>
  </si>
  <si>
    <t>FDB90978</t>
  </si>
  <si>
    <t>CUST10426</t>
  </si>
  <si>
    <t>FDB90979</t>
  </si>
  <si>
    <t>FDB90980</t>
  </si>
  <si>
    <t>FDB90981</t>
  </si>
  <si>
    <t>FDB90982</t>
  </si>
  <si>
    <t>CUST10720</t>
  </si>
  <si>
    <t>FDB90983</t>
  </si>
  <si>
    <t>FDB90984</t>
  </si>
  <si>
    <t>FDB90985</t>
  </si>
  <si>
    <t>FDB90986</t>
  </si>
  <si>
    <t>FDB90987</t>
  </si>
  <si>
    <t>FDB90988</t>
  </si>
  <si>
    <t>FDB90989</t>
  </si>
  <si>
    <t>CUST11901</t>
  </si>
  <si>
    <t>FDB90990</t>
  </si>
  <si>
    <t>FDB90991</t>
  </si>
  <si>
    <t>FDB90992</t>
  </si>
  <si>
    <t>FDB90993</t>
  </si>
  <si>
    <t>FDB90994</t>
  </si>
  <si>
    <t>FDB90995</t>
  </si>
  <si>
    <t>CUST12467</t>
  </si>
  <si>
    <t>FDB90996</t>
  </si>
  <si>
    <t>FDB90997</t>
  </si>
  <si>
    <t>FDB90998</t>
  </si>
  <si>
    <t>CUST12223</t>
  </si>
  <si>
    <t>FDB90999</t>
  </si>
  <si>
    <t>Table Name</t>
  </si>
  <si>
    <t>Column Name</t>
  </si>
  <si>
    <t>Issue Type</t>
  </si>
  <si>
    <t>Description</t>
  </si>
  <si>
    <t>Suggested Cleaning Action</t>
  </si>
  <si>
    <t>Affected Row Count</t>
  </si>
  <si>
    <t>Affected Row %</t>
  </si>
  <si>
    <t>Action Taken</t>
  </si>
  <si>
    <t>Guideline Basis</t>
  </si>
  <si>
    <t>customer_master</t>
  </si>
  <si>
    <t>Invalid categorical</t>
  </si>
  <si>
    <t>Mal, males, females instead of Male/Female</t>
  </si>
  <si>
    <t>Standardize to Male/Female</t>
  </si>
  <si>
    <t>Corrected in-place</t>
  </si>
  <si>
    <t>Categorical standardization</t>
  </si>
  <si>
    <t>Wset, souht instead of West/South</t>
  </si>
  <si>
    <t>Standardize to West/South</t>
  </si>
  <si>
    <t>policy_details</t>
  </si>
  <si>
    <t>Properties instead of Property</t>
  </si>
  <si>
    <t>Standardize to Property</t>
  </si>
  <si>
    <t>claim_history</t>
  </si>
  <si>
    <t>Aproval, Rejeted instead of Approved/Rejected</t>
  </si>
  <si>
    <t>Standardize to Approved/Rejected</t>
  </si>
  <si>
    <t>customer_feedback</t>
  </si>
  <si>
    <t>Inconsistent format</t>
  </si>
  <si>
    <t>Stored as text MM/DD/YYYY</t>
  </si>
  <si>
    <t>Convert to proper Date type</t>
  </si>
  <si>
    <t>Corrected format</t>
  </si>
  <si>
    <t>Data type consistency</t>
  </si>
  <si>
    <t>FK orphan</t>
  </si>
  <si>
    <t>ID absent from customer_master</t>
  </si>
  <si>
    <t>Flag as Retained – Unmatched ID, consistent with anonymous-feedback provision; do not delete</t>
  </si>
  <si>
    <t>Flagged but kept</t>
  </si>
  <si>
    <t>Do not delete rule</t>
  </si>
  <si>
    <t>Systemic Checks</t>
  </si>
  <si>
    <t>No blank cells found, no duplicate primary keys, no IQR outliers, no date-logic violations</t>
  </si>
  <si>
    <t>Category</t>
  </si>
  <si>
    <t>Valid Values</t>
  </si>
  <si>
    <t>Gender</t>
  </si>
  <si>
    <t>Region</t>
  </si>
  <si>
    <t>Marital_Status</t>
  </si>
  <si>
    <t>Widowed</t>
  </si>
  <si>
    <t>Smoking_Status</t>
  </si>
  <si>
    <t>Pre_existing_Illness</t>
  </si>
  <si>
    <t>Product_Type</t>
  </si>
  <si>
    <t>Life</t>
  </si>
  <si>
    <t>Auto</t>
  </si>
  <si>
    <t>Expired</t>
  </si>
  <si>
    <t>Claim_Status</t>
  </si>
  <si>
    <t>Claim_Type</t>
  </si>
  <si>
    <t>Medical</t>
  </si>
  <si>
    <t>Property Damage</t>
  </si>
  <si>
    <t>Fraud_Flag</t>
  </si>
  <si>
    <t>Contacted_Agent</t>
  </si>
  <si>
    <t>Referred_Claim</t>
  </si>
  <si>
    <t>Occupation</t>
  </si>
  <si>
    <t>Engineer</t>
  </si>
  <si>
    <t>Doctor</t>
  </si>
  <si>
    <t>Teacher</t>
  </si>
  <si>
    <t>Unemployed</t>
  </si>
  <si>
    <t>Lawyer</t>
  </si>
  <si>
    <t>Business</t>
  </si>
  <si>
    <t>Original Value</t>
  </si>
  <si>
    <t>Corrected Value</t>
  </si>
  <si>
    <t>Table.Column</t>
  </si>
  <si>
    <t>Mal</t>
  </si>
  <si>
    <t>customer_master.gender</t>
  </si>
  <si>
    <t>males</t>
  </si>
  <si>
    <t>females</t>
  </si>
  <si>
    <t>Wset</t>
  </si>
  <si>
    <t>customer_master.region</t>
  </si>
  <si>
    <t>souht</t>
  </si>
  <si>
    <t>Properties</t>
  </si>
  <si>
    <t>policy_details.product_type</t>
  </si>
  <si>
    <t>Aproval</t>
  </si>
  <si>
    <t>claim_history.claim_status</t>
  </si>
  <si>
    <t>Rejeted</t>
  </si>
  <si>
    <t>MM/DD/YYYY (String)</t>
  </si>
  <si>
    <t>dd-mmm-yyyy (Date)</t>
  </si>
  <si>
    <t>customer_feedback.date_submitted</t>
  </si>
  <si>
    <t>Row Count Reconciliation</t>
  </si>
  <si>
    <t>Sheet</t>
  </si>
  <si>
    <t>Expected</t>
  </si>
  <si>
    <t>Actual</t>
  </si>
  <si>
    <t>DDL Constraint Spot-Checks</t>
  </si>
  <si>
    <t>Column</t>
  </si>
  <si>
    <t>DDL Min</t>
  </si>
  <si>
    <t>DDL Max</t>
  </si>
  <si>
    <t>Actual Min</t>
  </si>
  <si>
    <t>Actual Max</t>
  </si>
  <si>
    <t>No Max</t>
  </si>
  <si>
    <t>&gt;0</t>
  </si>
  <si>
    <t>KPI Cross-Check</t>
  </si>
  <si>
    <t>KPI</t>
  </si>
  <si>
    <t>Calculated Value</t>
  </si>
  <si>
    <t>Formula Used</t>
  </si>
  <si>
    <t>Total Claims</t>
  </si>
  <si>
    <t>⚓  AegisLife Insurance
Risk Analytics &amp; Claims Intelligence
Data Validation Workbook</t>
  </si>
  <si>
    <t>by - Kartik Tripathi</t>
  </si>
  <si>
    <t>DATA ANALYSIS CAPSTONE PORJECT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</si>
</sst>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Segoe UI"/>
      <family val="2"/>
    </font>
    <font>
      <i/>
      <sz val="12"/>
      <color rgb="FFFFFFFF"/>
      <name val="Segoe UI"/>
      <family val="2"/>
    </font>
    <font>
      <b/>
      <sz val="11"/>
      <color rgb="FFFFFFFF"/>
      <name val="Segoe UI"/>
      <family val="2"/>
    </font>
    <font>
      <sz val="11"/>
      <color rgb="FF0D1B2A"/>
      <name val="Calibri"/>
      <family val="2"/>
    </font>
    <font>
      <b/>
      <sz val="16"/>
      <color rgb="FF0D1B2A"/>
      <name val="Arial"/>
      <family val="2"/>
    </font>
    <font>
      <sz val="12"/>
      <color rgb="FF0D1B2A"/>
      <name val="Arial"/>
      <family val="2"/>
    </font>
    <font>
      <sz val="11"/>
      <color rgb="FF0D1B2A"/>
      <name val="Arial"/>
      <family val="2"/>
    </font>
    <font>
      <b/>
      <sz val="10"/>
      <color rgb="FFFFFFFF"/>
      <name val="Segoe UI"/>
      <family val="2"/>
    </font>
    <font>
      <sz val="10"/>
      <color rgb="FF0D1B2A"/>
      <name val="Segoe UI"/>
      <family val="2"/>
    </font>
    <font>
      <sz val="11"/>
      <color rgb="FF0D1B2A"/>
      <name val="Segoe UI"/>
      <family val="2"/>
    </font>
    <font>
      <b/>
      <sz val="10"/>
      <color rgb="FF196F3D"/>
      <name val="Segoe UI"/>
      <family val="2"/>
    </font>
    <font>
      <b/>
      <sz val="11"/>
      <color rgb="FF0D1B2A"/>
      <name val="Arial"/>
      <family val="2"/>
    </font>
    <font>
      <b/>
      <sz val="11"/>
      <color rgb="FF0D1B2A"/>
      <name val="Calibri"/>
      <family val="2"/>
    </font>
    <font>
      <sz val="9"/>
      <color rgb="FF0D1B2A"/>
      <name val="Segoe UI"/>
      <family val="2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Segoe U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AF2F5"/>
        <bgColor rgb="FFEAF2F5"/>
      </patternFill>
    </fill>
    <fill>
      <patternFill patternType="solid">
        <fgColor rgb="FF2E4A62"/>
        <bgColor rgb="FF2E4A62"/>
      </patternFill>
    </fill>
    <fill>
      <patternFill patternType="solid">
        <fgColor rgb="FF0D1B2A"/>
      </patternFill>
    </fill>
    <fill>
      <patternFill patternType="solid">
        <fgColor rgb="FF1E5C9B"/>
      </patternFill>
    </fill>
    <fill>
      <patternFill patternType="solid">
        <fgColor rgb="FF2E86C1"/>
      </patternFill>
    </fill>
    <fill>
      <patternFill patternType="solid">
        <fgColor rgb="FF1B3A5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21618C"/>
      </patternFill>
    </fill>
  </fills>
  <borders count="8">
    <border>
      <left/>
      <right/>
      <top/>
      <bottom/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6" borderId="0" xfId="0" applyFill="1"/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/>
    </xf>
    <xf numFmtId="164" fontId="9" fillId="9" borderId="2" xfId="0" applyNumberFormat="1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6" borderId="0" xfId="0" applyFont="1" applyFill="1"/>
    <xf numFmtId="0" fontId="15" fillId="6" borderId="0" xfId="0" applyFont="1" applyFill="1"/>
    <xf numFmtId="0" fontId="2" fillId="5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/>
    <xf numFmtId="0" fontId="10" fillId="9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9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right" vertical="center" wrapText="1"/>
    </xf>
    <xf numFmtId="10" fontId="4" fillId="9" borderId="2" xfId="0" applyNumberFormat="1" applyFont="1" applyFill="1" applyBorder="1" applyAlignment="1">
      <alignment horizontal="right" vertical="center"/>
    </xf>
    <xf numFmtId="10" fontId="4" fillId="8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8" fillId="11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4" fillId="0" borderId="4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0" xfId="0" applyFont="1" applyFill="1"/>
  </cellXfs>
  <cellStyles count="1">
    <cellStyle name="Normal" xfId="0" builtinId="0"/>
  </cellStyles>
  <dxfs count="37">
    <dxf>
      <fill>
        <patternFill patternType="solid">
          <fgColor rgb="FFF3D28B"/>
          <bgColor rgb="FFF3D28B"/>
        </patternFill>
      </fill>
    </dxf>
    <dxf>
      <fill>
        <patternFill patternType="solid">
          <fgColor rgb="FFB7D9C6"/>
          <bgColor rgb="FFB7D9C6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B7D9C6"/>
          <bgColor rgb="FFB7D9C6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B7D9C6"/>
          <bgColor rgb="FFB7D9C6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B7D9C6"/>
          <bgColor rgb="FFB7D9C6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B7D9C6"/>
          <bgColor rgb="FFB7D9C6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B7D9C6"/>
          <bgColor rgb="FFB7D9C6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B7D9C6"/>
          <bgColor rgb="FFB7D9C6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3D28B"/>
          <bgColor rgb="FFF3D28B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  <dxf>
      <fill>
        <patternFill patternType="solid">
          <fgColor rgb="FFB7D9C6"/>
          <bgColor rgb="FFB7D9C6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ont>
        <b/>
        <color rgb="FFFF0000"/>
      </font>
      <fill>
        <patternFill patternType="solid">
          <fgColor rgb="FFF1A8A0"/>
          <bgColor rgb="FFF1A8A0"/>
        </patternFill>
      </fill>
    </dxf>
    <dxf>
      <fill>
        <patternFill patternType="solid">
          <fgColor rgb="FFF1A8A0"/>
          <bgColor rgb="FFF1A8A0"/>
        </patternFill>
      </fill>
    </dxf>
  </dxfs>
  <tableStyles count="1" defaultTableStyle="TableStyleMedium9" defaultPivotStyle="PivotStyleLight16">
    <tableStyle name="Invisible" pivot="0" table="0" count="0" xr9:uid="{1DC9CE8A-B437-499C-A066-2638559483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B2:H13"/>
  <sheetViews>
    <sheetView showGridLines="0" workbookViewId="0">
      <selection activeCell="C19" sqref="C19"/>
    </sheetView>
  </sheetViews>
  <sheetFormatPr defaultRowHeight="14.4" x14ac:dyDescent="0.3"/>
  <cols>
    <col min="2" max="8" width="16" customWidth="1"/>
  </cols>
  <sheetData>
    <row r="2" spans="2:8" x14ac:dyDescent="0.3">
      <c r="B2" s="29" t="s">
        <v>9336</v>
      </c>
      <c r="C2" s="28"/>
      <c r="D2" s="28"/>
      <c r="E2" s="28"/>
      <c r="F2" s="28"/>
      <c r="G2" s="28"/>
      <c r="H2" s="28"/>
    </row>
    <row r="3" spans="2:8" x14ac:dyDescent="0.3">
      <c r="B3" s="28"/>
      <c r="C3" s="28"/>
      <c r="D3" s="28"/>
      <c r="E3" s="28"/>
      <c r="F3" s="28"/>
      <c r="G3" s="28"/>
      <c r="H3" s="28"/>
    </row>
    <row r="4" spans="2:8" x14ac:dyDescent="0.3">
      <c r="B4" s="28"/>
      <c r="C4" s="28"/>
      <c r="D4" s="28"/>
      <c r="E4" s="28"/>
      <c r="F4" s="28"/>
      <c r="G4" s="28"/>
      <c r="H4" s="28"/>
    </row>
    <row r="5" spans="2:8" x14ac:dyDescent="0.3">
      <c r="B5" s="28"/>
      <c r="C5" s="28"/>
      <c r="D5" s="28"/>
      <c r="E5" s="28"/>
      <c r="F5" s="28"/>
      <c r="G5" s="28"/>
      <c r="H5" s="28"/>
    </row>
    <row r="6" spans="2:8" x14ac:dyDescent="0.3">
      <c r="B6" s="28"/>
      <c r="C6" s="28"/>
      <c r="D6" s="28"/>
      <c r="E6" s="28"/>
      <c r="F6" s="28"/>
      <c r="G6" s="28"/>
      <c r="H6" s="28"/>
    </row>
    <row r="7" spans="2:8" x14ac:dyDescent="0.3">
      <c r="B7" s="28"/>
      <c r="C7" s="28"/>
      <c r="D7" s="28"/>
      <c r="E7" s="28"/>
      <c r="F7" s="28"/>
      <c r="G7" s="28"/>
      <c r="H7" s="28"/>
    </row>
    <row r="8" spans="2:8" x14ac:dyDescent="0.3">
      <c r="B8" s="28"/>
      <c r="C8" s="28"/>
      <c r="D8" s="28"/>
      <c r="E8" s="28"/>
      <c r="F8" s="28"/>
      <c r="G8" s="28"/>
      <c r="H8" s="28"/>
    </row>
    <row r="10" spans="2:8" x14ac:dyDescent="0.3">
      <c r="B10" s="27" t="s">
        <v>9338</v>
      </c>
      <c r="C10" s="28"/>
      <c r="D10" s="28"/>
      <c r="E10" s="28"/>
      <c r="F10" s="28"/>
      <c r="G10" s="28"/>
      <c r="H10" s="28"/>
    </row>
    <row r="11" spans="2:8" x14ac:dyDescent="0.3">
      <c r="B11" s="28"/>
      <c r="C11" s="28"/>
      <c r="D11" s="28"/>
      <c r="E11" s="28"/>
      <c r="F11" s="28"/>
      <c r="G11" s="28"/>
      <c r="H11" s="28"/>
    </row>
    <row r="12" spans="2:8" ht="18" x14ac:dyDescent="0.35">
      <c r="B12" s="1"/>
      <c r="C12" s="1"/>
      <c r="D12" s="1"/>
      <c r="E12" s="1"/>
      <c r="F12" s="1"/>
      <c r="G12" s="25" t="s">
        <v>9337</v>
      </c>
      <c r="H12" s="26"/>
    </row>
    <row r="13" spans="2:8" x14ac:dyDescent="0.3">
      <c r="B13" s="1"/>
      <c r="C13" s="1"/>
      <c r="D13" s="1"/>
      <c r="E13" s="1"/>
      <c r="F13" s="1"/>
      <c r="G13" s="1"/>
      <c r="H13" s="1"/>
    </row>
  </sheetData>
  <mergeCells count="2">
    <mergeCell ref="B10:H11"/>
    <mergeCell ref="B2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A1:C12"/>
  <sheetViews>
    <sheetView showGridLines="0" workbookViewId="0">
      <pane ySplit="1" topLeftCell="A2" activePane="bottomLeft" state="frozen"/>
      <selection pane="bottomLeft" activeCell="C9" sqref="C9:D9"/>
    </sheetView>
  </sheetViews>
  <sheetFormatPr defaultRowHeight="14.4" x14ac:dyDescent="0.3"/>
  <cols>
    <col min="1" max="1" width="28" customWidth="1"/>
    <col min="2" max="2" width="50" customWidth="1"/>
    <col min="3" max="3" width="18" customWidth="1"/>
  </cols>
  <sheetData>
    <row r="1" spans="1:3" ht="16.8" x14ac:dyDescent="0.3">
      <c r="A1" s="2"/>
      <c r="B1" s="23"/>
      <c r="C1" s="24"/>
    </row>
    <row r="2" spans="1:3" ht="21" customHeight="1" x14ac:dyDescent="0.3">
      <c r="A2" s="4" t="s">
        <v>8</v>
      </c>
      <c r="B2" s="3"/>
    </row>
    <row r="3" spans="1:3" x14ac:dyDescent="0.3">
      <c r="A3" s="5"/>
      <c r="B3" s="5"/>
    </row>
    <row r="4" spans="1:3" ht="15.6" customHeight="1" x14ac:dyDescent="0.3">
      <c r="A4" s="6" t="s">
        <v>9</v>
      </c>
      <c r="B4" s="7" t="s">
        <v>10</v>
      </c>
    </row>
    <row r="5" spans="1:3" ht="15.6" customHeight="1" x14ac:dyDescent="0.3">
      <c r="A5" s="8" t="s">
        <v>11</v>
      </c>
      <c r="B5" s="9" t="s">
        <v>12</v>
      </c>
    </row>
    <row r="6" spans="1:3" ht="15.6" customHeight="1" x14ac:dyDescent="0.3">
      <c r="A6" s="6" t="s">
        <v>13</v>
      </c>
      <c r="B6" s="7" t="s">
        <v>14</v>
      </c>
    </row>
    <row r="7" spans="1:3" ht="15.6" customHeight="1" x14ac:dyDescent="0.3">
      <c r="A7" s="8" t="s">
        <v>15</v>
      </c>
      <c r="B7" s="9" t="s">
        <v>16</v>
      </c>
    </row>
    <row r="8" spans="1:3" ht="15.6" customHeight="1" x14ac:dyDescent="0.3">
      <c r="A8" s="6" t="s">
        <v>17</v>
      </c>
      <c r="B8" s="7" t="s">
        <v>18</v>
      </c>
    </row>
    <row r="9" spans="1:3" ht="15.6" customHeight="1" x14ac:dyDescent="0.3">
      <c r="A9" s="8" t="s">
        <v>19</v>
      </c>
      <c r="B9" s="9" t="s">
        <v>20</v>
      </c>
    </row>
    <row r="10" spans="1:3" ht="15.6" customHeight="1" x14ac:dyDescent="0.3">
      <c r="A10" s="6" t="s">
        <v>21</v>
      </c>
      <c r="B10" s="7" t="s">
        <v>22</v>
      </c>
    </row>
    <row r="11" spans="1:3" ht="15.6" customHeight="1" x14ac:dyDescent="0.3">
      <c r="A11" s="8" t="s">
        <v>23</v>
      </c>
      <c r="B11" s="9" t="s">
        <v>24</v>
      </c>
    </row>
    <row r="12" spans="1:3" ht="15.6" customHeight="1" x14ac:dyDescent="0.3">
      <c r="A12" s="6" t="s">
        <v>25</v>
      </c>
      <c r="B12" s="7" t="s">
        <v>26</v>
      </c>
    </row>
  </sheetData>
  <hyperlinks>
    <hyperlink ref="A4" location="'Customer_Master'!A1" display="Customer_Master" xr:uid="{00000000-0004-0000-0100-000000000000}"/>
    <hyperlink ref="A5" location="'Policy_Details'!A1" display="Policy_Details" xr:uid="{00000000-0004-0000-0100-000001000000}"/>
    <hyperlink ref="A6" location="'Claim_History'!A1" display="Claim_History" xr:uid="{00000000-0004-0000-0100-000002000000}"/>
    <hyperlink ref="A7" location="'Agent_Info'!A1" display="Agent_Info" xr:uid="{00000000-0004-0000-0100-000003000000}"/>
    <hyperlink ref="A8" location="'Customer_Feedback'!A1" display="Customer_Feedback" xr:uid="{00000000-0004-0000-0100-000004000000}"/>
    <hyperlink ref="A9" location="'FK_Integrity_Check'!A1" display="FK_Integrity_Check" xr:uid="{00000000-0004-0000-0100-000005000000}"/>
    <hyperlink ref="A10" location="'Data_Quality_Log'!A1" display="Data_Quality_Log" xr:uid="{00000000-0004-0000-0100-000006000000}"/>
    <hyperlink ref="A11" location="'Lookup_Reference'!A1" display="Lookup_Reference" xr:uid="{00000000-0004-0000-0100-000007000000}"/>
    <hyperlink ref="A12" location="'SQL_Validation_Summary'!A1" display="SQL_Validation_Summary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5C9B"/>
  </sheetPr>
  <dimension ref="A1:L1649"/>
  <sheetViews>
    <sheetView showGridLines="0" topLeftCell="B1" workbookViewId="0">
      <pane ySplit="1" topLeftCell="A14" activePane="bottomLeft" state="frozen"/>
      <selection pane="bottomLeft" activeCell="L2" sqref="L2:L1649"/>
    </sheetView>
  </sheetViews>
  <sheetFormatPr defaultRowHeight="14.4" x14ac:dyDescent="0.3"/>
  <cols>
    <col min="1" max="1" width="14" bestFit="1" customWidth="1"/>
    <col min="2" max="2" width="24" bestFit="1" customWidth="1"/>
    <col min="3" max="4" width="10" bestFit="1" customWidth="1"/>
    <col min="5" max="5" width="17" bestFit="1" customWidth="1"/>
    <col min="6" max="6" width="16" bestFit="1" customWidth="1"/>
    <col min="7" max="7" width="13" bestFit="1" customWidth="1"/>
    <col min="8" max="8" width="17" bestFit="1" customWidth="1"/>
    <col min="9" max="9" width="23" bestFit="1" customWidth="1"/>
    <col min="10" max="10" width="13" bestFit="1" customWidth="1"/>
    <col min="11" max="11" width="22" bestFit="1" customWidth="1"/>
    <col min="12" max="12" width="24.21875" customWidth="1"/>
  </cols>
  <sheetData>
    <row r="1" spans="1:12" ht="22.05" customHeight="1" x14ac:dyDescent="0.3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</row>
    <row r="2" spans="1:12" ht="16.8" x14ac:dyDescent="0.3">
      <c r="A2" s="11" t="s">
        <v>39</v>
      </c>
      <c r="B2" s="11" t="s">
        <v>40</v>
      </c>
      <c r="C2" s="11">
        <v>18</v>
      </c>
      <c r="D2" s="11" t="s">
        <v>41</v>
      </c>
      <c r="E2" s="11" t="s">
        <v>42</v>
      </c>
      <c r="F2" s="11" t="s">
        <v>43</v>
      </c>
      <c r="G2" s="11" t="s">
        <v>44</v>
      </c>
      <c r="H2" s="11" t="s">
        <v>45</v>
      </c>
      <c r="I2" s="11" t="s">
        <v>46</v>
      </c>
      <c r="J2" s="11">
        <v>0.61</v>
      </c>
      <c r="K2" s="12">
        <v>43863</v>
      </c>
      <c r="L2" s="13" t="str" cm="1">
        <f t="array" ref="L2">_xlfn.IFS(
  OR(ISBLANK(A2),ISBLANK(C2),ISBLANK(J2)),"Missing Value",
  OR(C2&lt;18,C2&gt;120),"Review – Out of Range (Age)",
  J2&lt;0,"Review – Out of Range (Risk Score)",
  TRUE,"OK"
)</f>
        <v>OK</v>
      </c>
    </row>
    <row r="3" spans="1:12" ht="16.8" x14ac:dyDescent="0.3">
      <c r="A3" s="14" t="s">
        <v>47</v>
      </c>
      <c r="B3" s="14" t="s">
        <v>48</v>
      </c>
      <c r="C3" s="14">
        <v>39</v>
      </c>
      <c r="D3" s="14" t="s">
        <v>49</v>
      </c>
      <c r="E3" s="14" t="s">
        <v>50</v>
      </c>
      <c r="F3" s="14" t="s">
        <v>51</v>
      </c>
      <c r="G3" s="14" t="s">
        <v>52</v>
      </c>
      <c r="H3" s="14" t="s">
        <v>46</v>
      </c>
      <c r="I3" s="14" t="s">
        <v>46</v>
      </c>
      <c r="J3" s="14">
        <v>0.56000000000000005</v>
      </c>
      <c r="K3" s="15">
        <v>43938</v>
      </c>
      <c r="L3" s="13" t="str" cm="1">
        <f t="array" ref="L3">_xlfn.IFS(
  OR(ISBLANK(A3),ISBLANK(C3),ISBLANK(J3)),"Missing Value",
  OR(C3&lt;18,C3&gt;120),"Review – Out of Range (Age)",
  J3&lt;0,"Review – Out of Range (Risk Score)",
  TRUE,"OK"
)</f>
        <v>OK</v>
      </c>
    </row>
    <row r="4" spans="1:12" ht="16.8" x14ac:dyDescent="0.3">
      <c r="A4" s="11" t="s">
        <v>53</v>
      </c>
      <c r="B4" s="11" t="s">
        <v>54</v>
      </c>
      <c r="C4" s="11">
        <v>34</v>
      </c>
      <c r="D4" s="11" t="s">
        <v>41</v>
      </c>
      <c r="E4" s="11" t="s">
        <v>42</v>
      </c>
      <c r="F4" s="11" t="s">
        <v>43</v>
      </c>
      <c r="G4" s="11" t="s">
        <v>55</v>
      </c>
      <c r="H4" s="11" t="s">
        <v>46</v>
      </c>
      <c r="I4" s="11" t="s">
        <v>45</v>
      </c>
      <c r="J4" s="11">
        <v>0.48</v>
      </c>
      <c r="K4" s="12">
        <v>43278</v>
      </c>
      <c r="L4" s="13" t="str" cm="1">
        <f t="array" ref="L4">_xlfn.IFS(
  OR(ISBLANK(A4),ISBLANK(C4),ISBLANK(J4)),"Missing Value",
  OR(C4&lt;18,C4&gt;120),"Review – Out of Range (Age)",
  J4&lt;0,"Review – Out of Range (Risk Score)",
  TRUE,"OK"
)</f>
        <v>OK</v>
      </c>
    </row>
    <row r="5" spans="1:12" ht="16.8" x14ac:dyDescent="0.3">
      <c r="A5" s="14" t="s">
        <v>56</v>
      </c>
      <c r="B5" s="14" t="s">
        <v>57</v>
      </c>
      <c r="C5" s="14">
        <v>50</v>
      </c>
      <c r="D5" s="14" t="s">
        <v>41</v>
      </c>
      <c r="E5" s="14" t="s">
        <v>58</v>
      </c>
      <c r="F5" s="14" t="s">
        <v>59</v>
      </c>
      <c r="G5" s="14" t="s">
        <v>60</v>
      </c>
      <c r="H5" s="14" t="s">
        <v>46</v>
      </c>
      <c r="I5" s="14" t="s">
        <v>45</v>
      </c>
      <c r="J5" s="14">
        <v>0.47</v>
      </c>
      <c r="K5" s="15">
        <v>44532</v>
      </c>
      <c r="L5" s="13" t="str" cm="1">
        <f t="array" ref="L5">_xlfn.IFS(
  OR(ISBLANK(A5),ISBLANK(C5),ISBLANK(J5)),"Missing Value",
  OR(C5&lt;18,C5&gt;120),"Review – Out of Range (Age)",
  J5&lt;0,"Review – Out of Range (Risk Score)",
  TRUE,"OK"
)</f>
        <v>OK</v>
      </c>
    </row>
    <row r="6" spans="1:12" ht="16.8" x14ac:dyDescent="0.3">
      <c r="A6" s="11" t="s">
        <v>61</v>
      </c>
      <c r="B6" s="11" t="s">
        <v>62</v>
      </c>
      <c r="C6" s="11">
        <v>20</v>
      </c>
      <c r="D6" s="11" t="s">
        <v>49</v>
      </c>
      <c r="E6" s="11" t="s">
        <v>42</v>
      </c>
      <c r="F6" s="11" t="s">
        <v>43</v>
      </c>
      <c r="G6" s="11" t="s">
        <v>55</v>
      </c>
      <c r="H6" s="11" t="s">
        <v>46</v>
      </c>
      <c r="I6" s="11" t="s">
        <v>45</v>
      </c>
      <c r="J6" s="11">
        <v>0.55000000000000004</v>
      </c>
      <c r="K6" s="12">
        <v>44859</v>
      </c>
      <c r="L6" s="13" t="str" cm="1">
        <f t="array" ref="L6">_xlfn.IFS(
  OR(ISBLANK(A6),ISBLANK(C6),ISBLANK(J6)),"Missing Value",
  OR(C6&lt;18,C6&gt;120),"Review – Out of Range (Age)",
  J6&lt;0,"Review – Out of Range (Risk Score)",
  TRUE,"OK"
)</f>
        <v>OK</v>
      </c>
    </row>
    <row r="7" spans="1:12" ht="16.8" x14ac:dyDescent="0.3">
      <c r="A7" s="14" t="s">
        <v>63</v>
      </c>
      <c r="B7" s="14" t="s">
        <v>64</v>
      </c>
      <c r="C7" s="14">
        <v>20</v>
      </c>
      <c r="D7" s="14" t="s">
        <v>41</v>
      </c>
      <c r="E7" s="14" t="s">
        <v>42</v>
      </c>
      <c r="F7" s="14" t="s">
        <v>65</v>
      </c>
      <c r="G7" s="14" t="s">
        <v>60</v>
      </c>
      <c r="H7" s="14" t="s">
        <v>45</v>
      </c>
      <c r="I7" s="14" t="s">
        <v>46</v>
      </c>
      <c r="J7" s="14">
        <v>0.28000000000000003</v>
      </c>
      <c r="K7" s="15">
        <v>43284</v>
      </c>
      <c r="L7" s="13" t="str" cm="1">
        <f t="array" ref="L7">_xlfn.IFS(
  OR(ISBLANK(A7),ISBLANK(C7),ISBLANK(J7)),"Missing Value",
  OR(C7&lt;18,C7&gt;120),"Review – Out of Range (Age)",
  J7&lt;0,"Review – Out of Range (Risk Score)",
  TRUE,"OK"
)</f>
        <v>OK</v>
      </c>
    </row>
    <row r="8" spans="1:12" ht="16.8" x14ac:dyDescent="0.3">
      <c r="A8" s="11" t="s">
        <v>66</v>
      </c>
      <c r="B8" s="11" t="s">
        <v>67</v>
      </c>
      <c r="C8" s="11">
        <v>30</v>
      </c>
      <c r="D8" s="11" t="s">
        <v>49</v>
      </c>
      <c r="E8" s="11" t="s">
        <v>42</v>
      </c>
      <c r="F8" s="11" t="s">
        <v>43</v>
      </c>
      <c r="G8" s="11" t="s">
        <v>44</v>
      </c>
      <c r="H8" s="11" t="s">
        <v>45</v>
      </c>
      <c r="I8" s="11" t="s">
        <v>46</v>
      </c>
      <c r="J8" s="11">
        <v>0.11</v>
      </c>
      <c r="K8" s="12">
        <v>44005</v>
      </c>
      <c r="L8" s="13" t="str" cm="1">
        <f t="array" ref="L8">_xlfn.IFS(
  OR(ISBLANK(A8),ISBLANK(C8),ISBLANK(J8)),"Missing Value",
  OR(C8&lt;18,C8&gt;120),"Review – Out of Range (Age)",
  J8&lt;0,"Review – Out of Range (Risk Score)",
  TRUE,"OK"
)</f>
        <v>OK</v>
      </c>
    </row>
    <row r="9" spans="1:12" ht="16.8" x14ac:dyDescent="0.3">
      <c r="A9" s="14" t="s">
        <v>68</v>
      </c>
      <c r="B9" s="14" t="s">
        <v>69</v>
      </c>
      <c r="C9" s="14">
        <v>27</v>
      </c>
      <c r="D9" s="14" t="s">
        <v>41</v>
      </c>
      <c r="E9" s="14" t="s">
        <v>58</v>
      </c>
      <c r="F9" s="14" t="s">
        <v>51</v>
      </c>
      <c r="G9" s="14" t="s">
        <v>55</v>
      </c>
      <c r="H9" s="14" t="s">
        <v>46</v>
      </c>
      <c r="I9" s="14" t="s">
        <v>46</v>
      </c>
      <c r="J9" s="14">
        <v>0.16</v>
      </c>
      <c r="K9" s="15">
        <v>43546</v>
      </c>
      <c r="L9" s="13" t="str" cm="1">
        <f t="array" ref="L9">_xlfn.IFS(
  OR(ISBLANK(A9),ISBLANK(C9),ISBLANK(J9)),"Missing Value",
  OR(C9&lt;18,C9&gt;120),"Review – Out of Range (Age)",
  J9&lt;0,"Review – Out of Range (Risk Score)",
  TRUE,"OK"
)</f>
        <v>OK</v>
      </c>
    </row>
    <row r="10" spans="1:12" ht="16.8" x14ac:dyDescent="0.3">
      <c r="A10" s="11" t="s">
        <v>70</v>
      </c>
      <c r="B10" s="11" t="s">
        <v>71</v>
      </c>
      <c r="C10" s="11">
        <v>42</v>
      </c>
      <c r="D10" s="11" t="s">
        <v>49</v>
      </c>
      <c r="E10" s="11" t="s">
        <v>50</v>
      </c>
      <c r="F10" s="11" t="s">
        <v>43</v>
      </c>
      <c r="G10" s="11" t="s">
        <v>52</v>
      </c>
      <c r="H10" s="11" t="s">
        <v>45</v>
      </c>
      <c r="I10" s="11" t="s">
        <v>46</v>
      </c>
      <c r="J10" s="11">
        <v>0.73</v>
      </c>
      <c r="K10" s="12">
        <v>44984</v>
      </c>
      <c r="L10" s="13" t="str" cm="1">
        <f t="array" ref="L10">_xlfn.IFS(
  OR(ISBLANK(A10),ISBLANK(C10),ISBLANK(J10)),"Missing Value",
  OR(C10&lt;18,C10&gt;120),"Review – Out of Range (Age)",
  J10&lt;0,"Review – Out of Range (Risk Score)",
  TRUE,"OK"
)</f>
        <v>OK</v>
      </c>
    </row>
    <row r="11" spans="1:12" ht="16.8" x14ac:dyDescent="0.3">
      <c r="A11" s="14" t="s">
        <v>72</v>
      </c>
      <c r="B11" s="14" t="s">
        <v>73</v>
      </c>
      <c r="C11" s="14">
        <v>28</v>
      </c>
      <c r="D11" s="14" t="s">
        <v>41</v>
      </c>
      <c r="E11" s="14" t="s">
        <v>42</v>
      </c>
      <c r="F11" s="14" t="s">
        <v>59</v>
      </c>
      <c r="G11" s="14" t="s">
        <v>44</v>
      </c>
      <c r="H11" s="14" t="s">
        <v>45</v>
      </c>
      <c r="I11" s="14" t="s">
        <v>46</v>
      </c>
      <c r="J11" s="14">
        <v>0.26</v>
      </c>
      <c r="K11" s="15">
        <v>43457</v>
      </c>
      <c r="L11" s="13" t="str" cm="1">
        <f t="array" ref="L11">_xlfn.IFS(
  OR(ISBLANK(A11),ISBLANK(C11),ISBLANK(J11)),"Missing Value",
  OR(C11&lt;18,C11&gt;120),"Review – Out of Range (Age)",
  J11&lt;0,"Review – Out of Range (Risk Score)",
  TRUE,"OK"
)</f>
        <v>OK</v>
      </c>
    </row>
    <row r="12" spans="1:12" ht="16.8" x14ac:dyDescent="0.3">
      <c r="A12" s="11" t="s">
        <v>74</v>
      </c>
      <c r="B12" s="11" t="s">
        <v>75</v>
      </c>
      <c r="C12" s="11">
        <v>66</v>
      </c>
      <c r="D12" s="11" t="s">
        <v>41</v>
      </c>
      <c r="E12" s="11" t="s">
        <v>58</v>
      </c>
      <c r="F12" s="11" t="s">
        <v>43</v>
      </c>
      <c r="G12" s="11" t="s">
        <v>44</v>
      </c>
      <c r="H12" s="11" t="s">
        <v>45</v>
      </c>
      <c r="I12" s="11" t="s">
        <v>45</v>
      </c>
      <c r="J12" s="11">
        <v>0.44</v>
      </c>
      <c r="K12" s="12">
        <v>43278</v>
      </c>
      <c r="L12" s="13" t="str" cm="1">
        <f t="array" ref="L12">_xlfn.IFS(
  OR(ISBLANK(A12),ISBLANK(C12),ISBLANK(J12)),"Missing Value",
  OR(C12&lt;18,C12&gt;120),"Review – Out of Range (Age)",
  J12&lt;0,"Review – Out of Range (Risk Score)",
  TRUE,"OK"
)</f>
        <v>OK</v>
      </c>
    </row>
    <row r="13" spans="1:12" ht="16.8" x14ac:dyDescent="0.3">
      <c r="A13" s="14" t="s">
        <v>76</v>
      </c>
      <c r="B13" s="14" t="s">
        <v>77</v>
      </c>
      <c r="C13" s="14">
        <v>54</v>
      </c>
      <c r="D13" s="14" t="s">
        <v>41</v>
      </c>
      <c r="E13" s="14" t="s">
        <v>42</v>
      </c>
      <c r="F13" s="14" t="s">
        <v>59</v>
      </c>
      <c r="G13" s="14" t="s">
        <v>44</v>
      </c>
      <c r="H13" s="14" t="s">
        <v>46</v>
      </c>
      <c r="I13" s="14" t="s">
        <v>45</v>
      </c>
      <c r="J13" s="14">
        <v>0.71</v>
      </c>
      <c r="K13" s="15">
        <v>44558</v>
      </c>
      <c r="L13" s="13" t="str" cm="1">
        <f t="array" ref="L13">_xlfn.IFS(
  OR(ISBLANK(A13),ISBLANK(C13),ISBLANK(J13)),"Missing Value",
  OR(C13&lt;18,C13&gt;120),"Review – Out of Range (Age)",
  J13&lt;0,"Review – Out of Range (Risk Score)",
  TRUE,"OK"
)</f>
        <v>OK</v>
      </c>
    </row>
    <row r="14" spans="1:12" ht="16.8" x14ac:dyDescent="0.3">
      <c r="A14" s="11" t="s">
        <v>78</v>
      </c>
      <c r="B14" s="11" t="s">
        <v>79</v>
      </c>
      <c r="C14" s="11">
        <v>35</v>
      </c>
      <c r="D14" s="11" t="s">
        <v>49</v>
      </c>
      <c r="E14" s="11" t="s">
        <v>50</v>
      </c>
      <c r="F14" s="11" t="s">
        <v>51</v>
      </c>
      <c r="G14" s="11" t="s">
        <v>44</v>
      </c>
      <c r="H14" s="11" t="s">
        <v>46</v>
      </c>
      <c r="I14" s="11" t="s">
        <v>45</v>
      </c>
      <c r="J14" s="11">
        <v>0.14000000000000001</v>
      </c>
      <c r="K14" s="12">
        <v>44959</v>
      </c>
      <c r="L14" s="13" t="str" cm="1">
        <f t="array" ref="L14">_xlfn.IFS(
  OR(ISBLANK(A14),ISBLANK(C14),ISBLANK(J14)),"Missing Value",
  OR(C14&lt;18,C14&gt;120),"Review – Out of Range (Age)",
  J14&lt;0,"Review – Out of Range (Risk Score)",
  TRUE,"OK"
)</f>
        <v>OK</v>
      </c>
    </row>
    <row r="15" spans="1:12" ht="16.8" x14ac:dyDescent="0.3">
      <c r="A15" s="14" t="s">
        <v>80</v>
      </c>
      <c r="B15" s="14" t="s">
        <v>81</v>
      </c>
      <c r="C15" s="14">
        <v>19</v>
      </c>
      <c r="D15" s="14" t="s">
        <v>49</v>
      </c>
      <c r="E15" s="14" t="s">
        <v>58</v>
      </c>
      <c r="F15" s="14" t="s">
        <v>65</v>
      </c>
      <c r="G15" s="14" t="s">
        <v>60</v>
      </c>
      <c r="H15" s="14" t="s">
        <v>45</v>
      </c>
      <c r="I15" s="14" t="s">
        <v>45</v>
      </c>
      <c r="J15" s="14">
        <v>0.66</v>
      </c>
      <c r="K15" s="15">
        <v>43669</v>
      </c>
      <c r="L15" s="13" t="str" cm="1">
        <f t="array" ref="L15">_xlfn.IFS(
  OR(ISBLANK(A15),ISBLANK(C15),ISBLANK(J15)),"Missing Value",
  OR(C15&lt;18,C15&gt;120),"Review – Out of Range (Age)",
  J15&lt;0,"Review – Out of Range (Risk Score)",
  TRUE,"OK"
)</f>
        <v>OK</v>
      </c>
    </row>
    <row r="16" spans="1:12" ht="16.8" x14ac:dyDescent="0.3">
      <c r="A16" s="11" t="s">
        <v>82</v>
      </c>
      <c r="B16" s="11" t="s">
        <v>83</v>
      </c>
      <c r="C16" s="11">
        <v>36</v>
      </c>
      <c r="D16" s="11" t="s">
        <v>41</v>
      </c>
      <c r="E16" s="11" t="s">
        <v>50</v>
      </c>
      <c r="F16" s="11" t="s">
        <v>59</v>
      </c>
      <c r="G16" s="11" t="s">
        <v>44</v>
      </c>
      <c r="H16" s="11" t="s">
        <v>45</v>
      </c>
      <c r="I16" s="11" t="s">
        <v>46</v>
      </c>
      <c r="J16" s="11">
        <v>0.83</v>
      </c>
      <c r="K16" s="12">
        <v>43690</v>
      </c>
      <c r="L16" s="13" t="str" cm="1">
        <f t="array" ref="L16">_xlfn.IFS(
  OR(ISBLANK(A16),ISBLANK(C16),ISBLANK(J16)),"Missing Value",
  OR(C16&lt;18,C16&gt;120),"Review – Out of Range (Age)",
  J16&lt;0,"Review – Out of Range (Risk Score)",
  TRUE,"OK"
)</f>
        <v>OK</v>
      </c>
    </row>
    <row r="17" spans="1:12" ht="16.8" x14ac:dyDescent="0.3">
      <c r="A17" s="14" t="s">
        <v>84</v>
      </c>
      <c r="B17" s="14" t="s">
        <v>85</v>
      </c>
      <c r="C17" s="14">
        <v>37</v>
      </c>
      <c r="D17" s="14" t="s">
        <v>49</v>
      </c>
      <c r="E17" s="14" t="s">
        <v>50</v>
      </c>
      <c r="F17" s="14" t="s">
        <v>43</v>
      </c>
      <c r="G17" s="14" t="s">
        <v>55</v>
      </c>
      <c r="H17" s="14" t="s">
        <v>45</v>
      </c>
      <c r="I17" s="14" t="s">
        <v>46</v>
      </c>
      <c r="J17" s="14">
        <v>0.79</v>
      </c>
      <c r="K17" s="15">
        <v>44408</v>
      </c>
      <c r="L17" s="13" t="str" cm="1">
        <f t="array" ref="L17">_xlfn.IFS(
  OR(ISBLANK(A17),ISBLANK(C17),ISBLANK(J17)),"Missing Value",
  OR(C17&lt;18,C17&gt;120),"Review – Out of Range (Age)",
  J17&lt;0,"Review – Out of Range (Risk Score)",
  TRUE,"OK"
)</f>
        <v>OK</v>
      </c>
    </row>
    <row r="18" spans="1:12" ht="16.8" x14ac:dyDescent="0.3">
      <c r="A18" s="11" t="s">
        <v>86</v>
      </c>
      <c r="B18" s="11" t="s">
        <v>87</v>
      </c>
      <c r="C18" s="11">
        <v>25</v>
      </c>
      <c r="D18" s="11" t="s">
        <v>49</v>
      </c>
      <c r="E18" s="11" t="s">
        <v>50</v>
      </c>
      <c r="F18" s="11" t="s">
        <v>59</v>
      </c>
      <c r="G18" s="11" t="s">
        <v>60</v>
      </c>
      <c r="H18" s="11" t="s">
        <v>46</v>
      </c>
      <c r="I18" s="11" t="s">
        <v>45</v>
      </c>
      <c r="J18" s="11">
        <v>0.35</v>
      </c>
      <c r="K18" s="12">
        <v>43869</v>
      </c>
      <c r="L18" s="13" t="str" cm="1">
        <f t="array" ref="L18">_xlfn.IFS(
  OR(ISBLANK(A18),ISBLANK(C18),ISBLANK(J18)),"Missing Value",
  OR(C18&lt;18,C18&gt;120),"Review – Out of Range (Age)",
  J18&lt;0,"Review – Out of Range (Risk Score)",
  TRUE,"OK"
)</f>
        <v>OK</v>
      </c>
    </row>
    <row r="19" spans="1:12" ht="16.8" x14ac:dyDescent="0.3">
      <c r="A19" s="14" t="s">
        <v>88</v>
      </c>
      <c r="B19" s="14" t="s">
        <v>89</v>
      </c>
      <c r="C19" s="14">
        <v>23</v>
      </c>
      <c r="D19" s="14" t="s">
        <v>41</v>
      </c>
      <c r="E19" s="14" t="s">
        <v>50</v>
      </c>
      <c r="F19" s="14" t="s">
        <v>59</v>
      </c>
      <c r="G19" s="14" t="s">
        <v>55</v>
      </c>
      <c r="H19" s="14" t="s">
        <v>45</v>
      </c>
      <c r="I19" s="14" t="s">
        <v>45</v>
      </c>
      <c r="J19" s="14">
        <v>0.74</v>
      </c>
      <c r="K19" s="15">
        <v>45270</v>
      </c>
      <c r="L19" s="13" t="str" cm="1">
        <f t="array" ref="L19">_xlfn.IFS(
  OR(ISBLANK(A19),ISBLANK(C19),ISBLANK(J19)),"Missing Value",
  OR(C19&lt;18,C19&gt;120),"Review – Out of Range (Age)",
  J19&lt;0,"Review – Out of Range (Risk Score)",
  TRUE,"OK"
)</f>
        <v>OK</v>
      </c>
    </row>
    <row r="20" spans="1:12" ht="16.8" x14ac:dyDescent="0.3">
      <c r="A20" s="11" t="s">
        <v>90</v>
      </c>
      <c r="B20" s="11" t="s">
        <v>91</v>
      </c>
      <c r="C20" s="11">
        <v>51</v>
      </c>
      <c r="D20" s="11" t="s">
        <v>49</v>
      </c>
      <c r="E20" s="11" t="s">
        <v>50</v>
      </c>
      <c r="F20" s="11" t="s">
        <v>65</v>
      </c>
      <c r="G20" s="11" t="s">
        <v>55</v>
      </c>
      <c r="H20" s="11" t="s">
        <v>45</v>
      </c>
      <c r="I20" s="11" t="s">
        <v>45</v>
      </c>
      <c r="J20" s="11">
        <v>0.69</v>
      </c>
      <c r="K20" s="12">
        <v>45038</v>
      </c>
      <c r="L20" s="13" t="str" cm="1">
        <f t="array" ref="L20">_xlfn.IFS(
  OR(ISBLANK(A20),ISBLANK(C20),ISBLANK(J20)),"Missing Value",
  OR(C20&lt;18,C20&gt;120),"Review – Out of Range (Age)",
  J20&lt;0,"Review – Out of Range (Risk Score)",
  TRUE,"OK"
)</f>
        <v>OK</v>
      </c>
    </row>
    <row r="21" spans="1:12" ht="16.8" x14ac:dyDescent="0.3">
      <c r="A21" s="14" t="s">
        <v>92</v>
      </c>
      <c r="B21" s="14" t="s">
        <v>93</v>
      </c>
      <c r="C21" s="14">
        <v>51</v>
      </c>
      <c r="D21" s="14" t="s">
        <v>49</v>
      </c>
      <c r="E21" s="14" t="s">
        <v>50</v>
      </c>
      <c r="F21" s="14" t="s">
        <v>65</v>
      </c>
      <c r="G21" s="14" t="s">
        <v>94</v>
      </c>
      <c r="H21" s="14" t="s">
        <v>45</v>
      </c>
      <c r="I21" s="14" t="s">
        <v>46</v>
      </c>
      <c r="J21" s="14">
        <v>0.56999999999999995</v>
      </c>
      <c r="K21" s="15">
        <v>43201</v>
      </c>
      <c r="L21" s="13" t="str" cm="1">
        <f t="array" ref="L21">_xlfn.IFS(
  OR(ISBLANK(A21),ISBLANK(C21),ISBLANK(J21)),"Missing Value",
  OR(C21&lt;18,C21&gt;120),"Review – Out of Range (Age)",
  J21&lt;0,"Review – Out of Range (Risk Score)",
  TRUE,"OK"
)</f>
        <v>OK</v>
      </c>
    </row>
    <row r="22" spans="1:12" ht="16.8" x14ac:dyDescent="0.3">
      <c r="A22" s="11" t="s">
        <v>95</v>
      </c>
      <c r="B22" s="11" t="s">
        <v>96</v>
      </c>
      <c r="C22" s="11">
        <v>37</v>
      </c>
      <c r="D22" s="11" t="s">
        <v>41</v>
      </c>
      <c r="E22" s="11" t="s">
        <v>50</v>
      </c>
      <c r="F22" s="11" t="s">
        <v>51</v>
      </c>
      <c r="G22" s="11" t="s">
        <v>52</v>
      </c>
      <c r="H22" s="11" t="s">
        <v>46</v>
      </c>
      <c r="I22" s="11" t="s">
        <v>46</v>
      </c>
      <c r="J22" s="11">
        <v>0.27</v>
      </c>
      <c r="K22" s="12">
        <v>44423</v>
      </c>
      <c r="L22" s="13" t="str" cm="1">
        <f t="array" ref="L22">_xlfn.IFS(
  OR(ISBLANK(A22),ISBLANK(C22),ISBLANK(J22)),"Missing Value",
  OR(C22&lt;18,C22&gt;120),"Review – Out of Range (Age)",
  J22&lt;0,"Review – Out of Range (Risk Score)",
  TRUE,"OK"
)</f>
        <v>OK</v>
      </c>
    </row>
    <row r="23" spans="1:12" ht="16.8" x14ac:dyDescent="0.3">
      <c r="A23" s="14" t="s">
        <v>97</v>
      </c>
      <c r="B23" s="14" t="s">
        <v>98</v>
      </c>
      <c r="C23" s="14">
        <v>55</v>
      </c>
      <c r="D23" s="14" t="s">
        <v>49</v>
      </c>
      <c r="E23" s="14" t="s">
        <v>50</v>
      </c>
      <c r="F23" s="14" t="s">
        <v>51</v>
      </c>
      <c r="G23" s="14" t="s">
        <v>52</v>
      </c>
      <c r="H23" s="14" t="s">
        <v>46</v>
      </c>
      <c r="I23" s="14" t="s">
        <v>46</v>
      </c>
      <c r="J23" s="14">
        <v>0.37</v>
      </c>
      <c r="K23" s="15">
        <v>44007</v>
      </c>
      <c r="L23" s="13" t="str" cm="1">
        <f t="array" ref="L23">_xlfn.IFS(
  OR(ISBLANK(A23),ISBLANK(C23),ISBLANK(J23)),"Missing Value",
  OR(C23&lt;18,C23&gt;120),"Review – Out of Range (Age)",
  J23&lt;0,"Review – Out of Range (Risk Score)",
  TRUE,"OK"
)</f>
        <v>OK</v>
      </c>
    </row>
    <row r="24" spans="1:12" ht="16.8" x14ac:dyDescent="0.3">
      <c r="A24" s="11" t="s">
        <v>99</v>
      </c>
      <c r="B24" s="11" t="s">
        <v>100</v>
      </c>
      <c r="C24" s="11">
        <v>32</v>
      </c>
      <c r="D24" s="11" t="s">
        <v>41</v>
      </c>
      <c r="E24" s="11" t="s">
        <v>42</v>
      </c>
      <c r="F24" s="11" t="s">
        <v>51</v>
      </c>
      <c r="G24" s="11" t="s">
        <v>52</v>
      </c>
      <c r="H24" s="11" t="s">
        <v>45</v>
      </c>
      <c r="I24" s="11" t="s">
        <v>45</v>
      </c>
      <c r="J24" s="11">
        <v>0.74</v>
      </c>
      <c r="K24" s="12">
        <v>44340</v>
      </c>
      <c r="L24" s="13" t="str" cm="1">
        <f t="array" ref="L24">_xlfn.IFS(
  OR(ISBLANK(A24),ISBLANK(C24),ISBLANK(J24)),"Missing Value",
  OR(C24&lt;18,C24&gt;120),"Review – Out of Range (Age)",
  J24&lt;0,"Review – Out of Range (Risk Score)",
  TRUE,"OK"
)</f>
        <v>OK</v>
      </c>
    </row>
    <row r="25" spans="1:12" ht="16.8" x14ac:dyDescent="0.3">
      <c r="A25" s="14" t="s">
        <v>101</v>
      </c>
      <c r="B25" s="14" t="s">
        <v>102</v>
      </c>
      <c r="C25" s="14">
        <v>34</v>
      </c>
      <c r="D25" s="14" t="s">
        <v>41</v>
      </c>
      <c r="E25" s="14" t="s">
        <v>58</v>
      </c>
      <c r="F25" s="14" t="s">
        <v>51</v>
      </c>
      <c r="G25" s="14" t="s">
        <v>55</v>
      </c>
      <c r="H25" s="14" t="s">
        <v>45</v>
      </c>
      <c r="I25" s="14" t="s">
        <v>46</v>
      </c>
      <c r="J25" s="14">
        <v>0.03</v>
      </c>
      <c r="K25" s="15">
        <v>44762</v>
      </c>
      <c r="L25" s="13" t="str" cm="1">
        <f t="array" ref="L25">_xlfn.IFS(
  OR(ISBLANK(A25),ISBLANK(C25),ISBLANK(J25)),"Missing Value",
  OR(C25&lt;18,C25&gt;120),"Review – Out of Range (Age)",
  J25&lt;0,"Review – Out of Range (Risk Score)",
  TRUE,"OK"
)</f>
        <v>OK</v>
      </c>
    </row>
    <row r="26" spans="1:12" ht="16.8" x14ac:dyDescent="0.3">
      <c r="A26" s="11" t="s">
        <v>103</v>
      </c>
      <c r="B26" s="11" t="s">
        <v>104</v>
      </c>
      <c r="C26" s="11">
        <v>55</v>
      </c>
      <c r="D26" s="11" t="s">
        <v>49</v>
      </c>
      <c r="E26" s="11" t="s">
        <v>42</v>
      </c>
      <c r="F26" s="11" t="s">
        <v>43</v>
      </c>
      <c r="G26" s="11" t="s">
        <v>44</v>
      </c>
      <c r="H26" s="11" t="s">
        <v>46</v>
      </c>
      <c r="I26" s="11" t="s">
        <v>46</v>
      </c>
      <c r="J26" s="11">
        <v>0.36</v>
      </c>
      <c r="K26" s="12">
        <v>43493</v>
      </c>
      <c r="L26" s="13" t="str" cm="1">
        <f t="array" ref="L26">_xlfn.IFS(
  OR(ISBLANK(A26),ISBLANK(C26),ISBLANK(J26)),"Missing Value",
  OR(C26&lt;18,C26&gt;120),"Review – Out of Range (Age)",
  J26&lt;0,"Review – Out of Range (Risk Score)",
  TRUE,"OK"
)</f>
        <v>OK</v>
      </c>
    </row>
    <row r="27" spans="1:12" ht="16.8" x14ac:dyDescent="0.3">
      <c r="A27" s="14" t="s">
        <v>105</v>
      </c>
      <c r="B27" s="14" t="s">
        <v>106</v>
      </c>
      <c r="C27" s="14">
        <v>69</v>
      </c>
      <c r="D27" s="14" t="s">
        <v>49</v>
      </c>
      <c r="E27" s="14" t="s">
        <v>42</v>
      </c>
      <c r="F27" s="14" t="s">
        <v>65</v>
      </c>
      <c r="G27" s="14" t="s">
        <v>44</v>
      </c>
      <c r="H27" s="14" t="s">
        <v>46</v>
      </c>
      <c r="I27" s="14" t="s">
        <v>46</v>
      </c>
      <c r="J27" s="14">
        <v>0.31</v>
      </c>
      <c r="K27" s="15">
        <v>43854</v>
      </c>
      <c r="L27" s="13" t="str" cm="1">
        <f t="array" ref="L27">_xlfn.IFS(
  OR(ISBLANK(A27),ISBLANK(C27),ISBLANK(J27)),"Missing Value",
  OR(C27&lt;18,C27&gt;120),"Review – Out of Range (Age)",
  J27&lt;0,"Review – Out of Range (Risk Score)",
  TRUE,"OK"
)</f>
        <v>OK</v>
      </c>
    </row>
    <row r="28" spans="1:12" ht="16.8" x14ac:dyDescent="0.3">
      <c r="A28" s="11" t="s">
        <v>107</v>
      </c>
      <c r="B28" s="11" t="s">
        <v>108</v>
      </c>
      <c r="C28" s="11">
        <v>46</v>
      </c>
      <c r="D28" s="11" t="s">
        <v>49</v>
      </c>
      <c r="E28" s="11" t="s">
        <v>50</v>
      </c>
      <c r="F28" s="11" t="s">
        <v>59</v>
      </c>
      <c r="G28" s="11" t="s">
        <v>109</v>
      </c>
      <c r="H28" s="11" t="s">
        <v>46</v>
      </c>
      <c r="I28" s="11" t="s">
        <v>46</v>
      </c>
      <c r="J28" s="11">
        <v>0.42</v>
      </c>
      <c r="K28" s="12">
        <v>45028</v>
      </c>
      <c r="L28" s="13" t="str" cm="1">
        <f t="array" ref="L28">_xlfn.IFS(
  OR(ISBLANK(A28),ISBLANK(C28),ISBLANK(J28)),"Missing Value",
  OR(C28&lt;18,C28&gt;120),"Review – Out of Range (Age)",
  J28&lt;0,"Review – Out of Range (Risk Score)",
  TRUE,"OK"
)</f>
        <v>OK</v>
      </c>
    </row>
    <row r="29" spans="1:12" ht="16.8" x14ac:dyDescent="0.3">
      <c r="A29" s="14" t="s">
        <v>110</v>
      </c>
      <c r="B29" s="14" t="s">
        <v>111</v>
      </c>
      <c r="C29" s="14">
        <v>55</v>
      </c>
      <c r="D29" s="14" t="s">
        <v>49</v>
      </c>
      <c r="E29" s="14" t="s">
        <v>58</v>
      </c>
      <c r="F29" s="14" t="s">
        <v>51</v>
      </c>
      <c r="G29" s="14" t="s">
        <v>52</v>
      </c>
      <c r="H29" s="14" t="s">
        <v>46</v>
      </c>
      <c r="I29" s="14" t="s">
        <v>45</v>
      </c>
      <c r="J29" s="14">
        <v>0.39</v>
      </c>
      <c r="K29" s="15">
        <v>44070</v>
      </c>
      <c r="L29" s="13" t="str" cm="1">
        <f t="array" ref="L29">_xlfn.IFS(
  OR(ISBLANK(A29),ISBLANK(C29),ISBLANK(J29)),"Missing Value",
  OR(C29&lt;18,C29&gt;120),"Review – Out of Range (Age)",
  J29&lt;0,"Review – Out of Range (Risk Score)",
  TRUE,"OK"
)</f>
        <v>OK</v>
      </c>
    </row>
    <row r="30" spans="1:12" ht="16.8" x14ac:dyDescent="0.3">
      <c r="A30" s="11" t="s">
        <v>112</v>
      </c>
      <c r="B30" s="11" t="s">
        <v>113</v>
      </c>
      <c r="C30" s="11">
        <v>66</v>
      </c>
      <c r="D30" s="11" t="s">
        <v>41</v>
      </c>
      <c r="E30" s="11" t="s">
        <v>42</v>
      </c>
      <c r="F30" s="11" t="s">
        <v>51</v>
      </c>
      <c r="G30" s="11" t="s">
        <v>55</v>
      </c>
      <c r="H30" s="11" t="s">
        <v>45</v>
      </c>
      <c r="I30" s="11" t="s">
        <v>45</v>
      </c>
      <c r="J30" s="11">
        <v>0.31</v>
      </c>
      <c r="K30" s="12">
        <v>43444</v>
      </c>
      <c r="L30" s="13" t="str" cm="1">
        <f t="array" ref="L30">_xlfn.IFS(
  OR(ISBLANK(A30),ISBLANK(C30),ISBLANK(J30)),"Missing Value",
  OR(C30&lt;18,C30&gt;120),"Review – Out of Range (Age)",
  J30&lt;0,"Review – Out of Range (Risk Score)",
  TRUE,"OK"
)</f>
        <v>OK</v>
      </c>
    </row>
    <row r="31" spans="1:12" ht="16.8" x14ac:dyDescent="0.3">
      <c r="A31" s="14" t="s">
        <v>114</v>
      </c>
      <c r="B31" s="14" t="s">
        <v>115</v>
      </c>
      <c r="C31" s="14">
        <v>52</v>
      </c>
      <c r="D31" s="14" t="s">
        <v>49</v>
      </c>
      <c r="E31" s="14" t="s">
        <v>50</v>
      </c>
      <c r="F31" s="14" t="s">
        <v>59</v>
      </c>
      <c r="G31" s="14" t="s">
        <v>60</v>
      </c>
      <c r="H31" s="14" t="s">
        <v>46</v>
      </c>
      <c r="I31" s="14" t="s">
        <v>45</v>
      </c>
      <c r="J31" s="14">
        <v>0.28000000000000003</v>
      </c>
      <c r="K31" s="15">
        <v>43968</v>
      </c>
      <c r="L31" s="13" t="str" cm="1">
        <f t="array" ref="L31">_xlfn.IFS(
  OR(ISBLANK(A31),ISBLANK(C31),ISBLANK(J31)),"Missing Value",
  OR(C31&lt;18,C31&gt;120),"Review – Out of Range (Age)",
  J31&lt;0,"Review – Out of Range (Risk Score)",
  TRUE,"OK"
)</f>
        <v>OK</v>
      </c>
    </row>
    <row r="32" spans="1:12" ht="16.8" x14ac:dyDescent="0.3">
      <c r="A32" s="11" t="s">
        <v>116</v>
      </c>
      <c r="B32" s="11" t="s">
        <v>117</v>
      </c>
      <c r="C32" s="11">
        <v>54</v>
      </c>
      <c r="D32" s="11" t="s">
        <v>49</v>
      </c>
      <c r="E32" s="11" t="s">
        <v>58</v>
      </c>
      <c r="F32" s="11" t="s">
        <v>43</v>
      </c>
      <c r="G32" s="11" t="s">
        <v>55</v>
      </c>
      <c r="H32" s="11" t="s">
        <v>45</v>
      </c>
      <c r="I32" s="11" t="s">
        <v>45</v>
      </c>
      <c r="J32" s="11">
        <v>0.7</v>
      </c>
      <c r="K32" s="12">
        <v>43277</v>
      </c>
      <c r="L32" s="13" t="str" cm="1">
        <f t="array" ref="L32">_xlfn.IFS(
  OR(ISBLANK(A32),ISBLANK(C32),ISBLANK(J32)),"Missing Value",
  OR(C32&lt;18,C32&gt;120),"Review – Out of Range (Age)",
  J32&lt;0,"Review – Out of Range (Risk Score)",
  TRUE,"OK"
)</f>
        <v>OK</v>
      </c>
    </row>
    <row r="33" spans="1:12" ht="16.8" x14ac:dyDescent="0.3">
      <c r="A33" s="14" t="s">
        <v>118</v>
      </c>
      <c r="B33" s="14" t="s">
        <v>119</v>
      </c>
      <c r="C33" s="14">
        <v>36</v>
      </c>
      <c r="D33" s="14" t="s">
        <v>49</v>
      </c>
      <c r="E33" s="14" t="s">
        <v>58</v>
      </c>
      <c r="F33" s="14" t="s">
        <v>65</v>
      </c>
      <c r="G33" s="14" t="s">
        <v>52</v>
      </c>
      <c r="H33" s="14" t="s">
        <v>46</v>
      </c>
      <c r="I33" s="14" t="s">
        <v>45</v>
      </c>
      <c r="J33" s="14">
        <v>0.47</v>
      </c>
      <c r="K33" s="15">
        <v>43930</v>
      </c>
      <c r="L33" s="13" t="str" cm="1">
        <f t="array" ref="L33">_xlfn.IFS(
  OR(ISBLANK(A33),ISBLANK(C33),ISBLANK(J33)),"Missing Value",
  OR(C33&lt;18,C33&gt;120),"Review – Out of Range (Age)",
  J33&lt;0,"Review – Out of Range (Risk Score)",
  TRUE,"OK"
)</f>
        <v>OK</v>
      </c>
    </row>
    <row r="34" spans="1:12" ht="16.8" x14ac:dyDescent="0.3">
      <c r="A34" s="11" t="s">
        <v>120</v>
      </c>
      <c r="B34" s="11" t="s">
        <v>121</v>
      </c>
      <c r="C34" s="11">
        <v>43</v>
      </c>
      <c r="D34" s="11" t="s">
        <v>49</v>
      </c>
      <c r="E34" s="11" t="s">
        <v>58</v>
      </c>
      <c r="F34" s="11" t="s">
        <v>51</v>
      </c>
      <c r="G34" s="11" t="s">
        <v>94</v>
      </c>
      <c r="H34" s="11" t="s">
        <v>45</v>
      </c>
      <c r="I34" s="11" t="s">
        <v>45</v>
      </c>
      <c r="J34" s="11">
        <v>0.28000000000000003</v>
      </c>
      <c r="K34" s="12">
        <v>44611</v>
      </c>
      <c r="L34" s="13" t="str" cm="1">
        <f t="array" ref="L34">_xlfn.IFS(
  OR(ISBLANK(A34),ISBLANK(C34),ISBLANK(J34)),"Missing Value",
  OR(C34&lt;18,C34&gt;120),"Review – Out of Range (Age)",
  J34&lt;0,"Review – Out of Range (Risk Score)",
  TRUE,"OK"
)</f>
        <v>OK</v>
      </c>
    </row>
    <row r="35" spans="1:12" ht="16.8" x14ac:dyDescent="0.3">
      <c r="A35" s="14" t="s">
        <v>122</v>
      </c>
      <c r="B35" s="14" t="s">
        <v>123</v>
      </c>
      <c r="C35" s="14">
        <v>37</v>
      </c>
      <c r="D35" s="14" t="s">
        <v>41</v>
      </c>
      <c r="E35" s="14" t="s">
        <v>50</v>
      </c>
      <c r="F35" s="14" t="s">
        <v>65</v>
      </c>
      <c r="G35" s="14" t="s">
        <v>44</v>
      </c>
      <c r="H35" s="14" t="s">
        <v>46</v>
      </c>
      <c r="I35" s="14" t="s">
        <v>46</v>
      </c>
      <c r="J35" s="14">
        <v>0.38</v>
      </c>
      <c r="K35" s="15">
        <v>45021</v>
      </c>
      <c r="L35" s="13" t="str" cm="1">
        <f t="array" ref="L35">_xlfn.IFS(
  OR(ISBLANK(A35),ISBLANK(C35),ISBLANK(J35)),"Missing Value",
  OR(C35&lt;18,C35&gt;120),"Review – Out of Range (Age)",
  J35&lt;0,"Review – Out of Range (Risk Score)",
  TRUE,"OK"
)</f>
        <v>OK</v>
      </c>
    </row>
    <row r="36" spans="1:12" ht="16.8" x14ac:dyDescent="0.3">
      <c r="A36" s="11" t="s">
        <v>124</v>
      </c>
      <c r="B36" s="11" t="s">
        <v>125</v>
      </c>
      <c r="C36" s="11">
        <v>26</v>
      </c>
      <c r="D36" s="11" t="s">
        <v>49</v>
      </c>
      <c r="E36" s="11" t="s">
        <v>58</v>
      </c>
      <c r="F36" s="11" t="s">
        <v>59</v>
      </c>
      <c r="G36" s="11" t="s">
        <v>94</v>
      </c>
      <c r="H36" s="11" t="s">
        <v>46</v>
      </c>
      <c r="I36" s="11" t="s">
        <v>45</v>
      </c>
      <c r="J36" s="11">
        <v>0.45</v>
      </c>
      <c r="K36" s="12">
        <v>43554</v>
      </c>
      <c r="L36" s="13" t="str" cm="1">
        <f t="array" ref="L36">_xlfn.IFS(
  OR(ISBLANK(A36),ISBLANK(C36),ISBLANK(J36)),"Missing Value",
  OR(C36&lt;18,C36&gt;120),"Review – Out of Range (Age)",
  J36&lt;0,"Review – Out of Range (Risk Score)",
  TRUE,"OK"
)</f>
        <v>OK</v>
      </c>
    </row>
    <row r="37" spans="1:12" ht="16.8" x14ac:dyDescent="0.3">
      <c r="A37" s="14" t="s">
        <v>126</v>
      </c>
      <c r="B37" s="14" t="s">
        <v>127</v>
      </c>
      <c r="C37" s="14">
        <v>27</v>
      </c>
      <c r="D37" s="14" t="s">
        <v>41</v>
      </c>
      <c r="E37" s="14" t="s">
        <v>58</v>
      </c>
      <c r="F37" s="14" t="s">
        <v>51</v>
      </c>
      <c r="G37" s="14" t="s">
        <v>60</v>
      </c>
      <c r="H37" s="14" t="s">
        <v>45</v>
      </c>
      <c r="I37" s="14" t="s">
        <v>46</v>
      </c>
      <c r="J37" s="14">
        <v>0.47</v>
      </c>
      <c r="K37" s="15">
        <v>43597</v>
      </c>
      <c r="L37" s="13" t="str" cm="1">
        <f t="array" ref="L37">_xlfn.IFS(
  OR(ISBLANK(A37),ISBLANK(C37),ISBLANK(J37)),"Missing Value",
  OR(C37&lt;18,C37&gt;120),"Review – Out of Range (Age)",
  J37&lt;0,"Review – Out of Range (Risk Score)",
  TRUE,"OK"
)</f>
        <v>OK</v>
      </c>
    </row>
    <row r="38" spans="1:12" ht="16.8" x14ac:dyDescent="0.3">
      <c r="A38" s="11" t="s">
        <v>128</v>
      </c>
      <c r="B38" s="11" t="s">
        <v>129</v>
      </c>
      <c r="C38" s="11">
        <v>64</v>
      </c>
      <c r="D38" s="11" t="s">
        <v>49</v>
      </c>
      <c r="E38" s="11" t="s">
        <v>50</v>
      </c>
      <c r="F38" s="11" t="s">
        <v>51</v>
      </c>
      <c r="G38" s="11" t="s">
        <v>94</v>
      </c>
      <c r="H38" s="11" t="s">
        <v>46</v>
      </c>
      <c r="I38" s="11" t="s">
        <v>46</v>
      </c>
      <c r="J38" s="11">
        <v>0.28000000000000003</v>
      </c>
      <c r="K38" s="12">
        <v>44003</v>
      </c>
      <c r="L38" s="13" t="str" cm="1">
        <f t="array" ref="L38">_xlfn.IFS(
  OR(ISBLANK(A38),ISBLANK(C38),ISBLANK(J38)),"Missing Value",
  OR(C38&lt;18,C38&gt;120),"Review – Out of Range (Age)",
  J38&lt;0,"Review – Out of Range (Risk Score)",
  TRUE,"OK"
)</f>
        <v>OK</v>
      </c>
    </row>
    <row r="39" spans="1:12" ht="16.8" x14ac:dyDescent="0.3">
      <c r="A39" s="14" t="s">
        <v>130</v>
      </c>
      <c r="B39" s="14" t="s">
        <v>131</v>
      </c>
      <c r="C39" s="14">
        <v>58</v>
      </c>
      <c r="D39" s="14" t="s">
        <v>49</v>
      </c>
      <c r="E39" s="14" t="s">
        <v>42</v>
      </c>
      <c r="F39" s="14" t="s">
        <v>51</v>
      </c>
      <c r="G39" s="14" t="s">
        <v>109</v>
      </c>
      <c r="H39" s="14" t="s">
        <v>45</v>
      </c>
      <c r="I39" s="14" t="s">
        <v>46</v>
      </c>
      <c r="J39" s="14">
        <v>0.3</v>
      </c>
      <c r="K39" s="15">
        <v>43376</v>
      </c>
      <c r="L39" s="13" t="str" cm="1">
        <f t="array" ref="L39">_xlfn.IFS(
  OR(ISBLANK(A39),ISBLANK(C39),ISBLANK(J39)),"Missing Value",
  OR(C39&lt;18,C39&gt;120),"Review – Out of Range (Age)",
  J39&lt;0,"Review – Out of Range (Risk Score)",
  TRUE,"OK"
)</f>
        <v>OK</v>
      </c>
    </row>
    <row r="40" spans="1:12" ht="16.8" x14ac:dyDescent="0.3">
      <c r="A40" s="11" t="s">
        <v>132</v>
      </c>
      <c r="B40" s="11" t="s">
        <v>133</v>
      </c>
      <c r="C40" s="11">
        <v>32</v>
      </c>
      <c r="D40" s="11" t="s">
        <v>49</v>
      </c>
      <c r="E40" s="11" t="s">
        <v>42</v>
      </c>
      <c r="F40" s="11" t="s">
        <v>51</v>
      </c>
      <c r="G40" s="11" t="s">
        <v>52</v>
      </c>
      <c r="H40" s="11" t="s">
        <v>45</v>
      </c>
      <c r="I40" s="11" t="s">
        <v>46</v>
      </c>
      <c r="J40" s="11">
        <v>0.86</v>
      </c>
      <c r="K40" s="12">
        <v>44680</v>
      </c>
      <c r="L40" s="13" t="str" cm="1">
        <f t="array" ref="L40">_xlfn.IFS(
  OR(ISBLANK(A40),ISBLANK(C40),ISBLANK(J40)),"Missing Value",
  OR(C40&lt;18,C40&gt;120),"Review – Out of Range (Age)",
  J40&lt;0,"Review – Out of Range (Risk Score)",
  TRUE,"OK"
)</f>
        <v>OK</v>
      </c>
    </row>
    <row r="41" spans="1:12" ht="16.8" x14ac:dyDescent="0.3">
      <c r="A41" s="14" t="s">
        <v>134</v>
      </c>
      <c r="B41" s="14" t="s">
        <v>135</v>
      </c>
      <c r="C41" s="14">
        <v>54</v>
      </c>
      <c r="D41" s="14" t="s">
        <v>41</v>
      </c>
      <c r="E41" s="14" t="s">
        <v>42</v>
      </c>
      <c r="F41" s="14" t="s">
        <v>51</v>
      </c>
      <c r="G41" s="14" t="s">
        <v>109</v>
      </c>
      <c r="H41" s="14" t="s">
        <v>45</v>
      </c>
      <c r="I41" s="14" t="s">
        <v>45</v>
      </c>
      <c r="J41" s="14">
        <v>0.83</v>
      </c>
      <c r="K41" s="15">
        <v>44744</v>
      </c>
      <c r="L41" s="13" t="str" cm="1">
        <f t="array" ref="L41">_xlfn.IFS(
  OR(ISBLANK(A41),ISBLANK(C41),ISBLANK(J41)),"Missing Value",
  OR(C41&lt;18,C41&gt;120),"Review – Out of Range (Age)",
  J41&lt;0,"Review – Out of Range (Risk Score)",
  TRUE,"OK"
)</f>
        <v>OK</v>
      </c>
    </row>
    <row r="42" spans="1:12" ht="16.8" x14ac:dyDescent="0.3">
      <c r="A42" s="11" t="s">
        <v>136</v>
      </c>
      <c r="B42" s="11" t="s">
        <v>137</v>
      </c>
      <c r="C42" s="11">
        <v>38</v>
      </c>
      <c r="D42" s="11" t="s">
        <v>49</v>
      </c>
      <c r="E42" s="11" t="s">
        <v>58</v>
      </c>
      <c r="F42" s="11" t="s">
        <v>51</v>
      </c>
      <c r="G42" s="11" t="s">
        <v>44</v>
      </c>
      <c r="H42" s="11" t="s">
        <v>45</v>
      </c>
      <c r="I42" s="11" t="s">
        <v>46</v>
      </c>
      <c r="J42" s="11">
        <v>0.2</v>
      </c>
      <c r="K42" s="12">
        <v>44403</v>
      </c>
      <c r="L42" s="13" t="str" cm="1">
        <f t="array" ref="L42">_xlfn.IFS(
  OR(ISBLANK(A42),ISBLANK(C42),ISBLANK(J42)),"Missing Value",
  OR(C42&lt;18,C42&gt;120),"Review – Out of Range (Age)",
  J42&lt;0,"Review – Out of Range (Risk Score)",
  TRUE,"OK"
)</f>
        <v>OK</v>
      </c>
    </row>
    <row r="43" spans="1:12" ht="16.8" x14ac:dyDescent="0.3">
      <c r="A43" s="14" t="s">
        <v>138</v>
      </c>
      <c r="B43" s="14" t="s">
        <v>139</v>
      </c>
      <c r="C43" s="14">
        <v>57</v>
      </c>
      <c r="D43" s="14" t="s">
        <v>49</v>
      </c>
      <c r="E43" s="14" t="s">
        <v>50</v>
      </c>
      <c r="F43" s="14" t="s">
        <v>65</v>
      </c>
      <c r="G43" s="14" t="s">
        <v>94</v>
      </c>
      <c r="H43" s="14" t="s">
        <v>45</v>
      </c>
      <c r="I43" s="14" t="s">
        <v>46</v>
      </c>
      <c r="J43" s="14">
        <v>0.56000000000000005</v>
      </c>
      <c r="K43" s="15">
        <v>44064</v>
      </c>
      <c r="L43" s="13" t="str" cm="1">
        <f t="array" ref="L43">_xlfn.IFS(
  OR(ISBLANK(A43),ISBLANK(C43),ISBLANK(J43)),"Missing Value",
  OR(C43&lt;18,C43&gt;120),"Review – Out of Range (Age)",
  J43&lt;0,"Review – Out of Range (Risk Score)",
  TRUE,"OK"
)</f>
        <v>OK</v>
      </c>
    </row>
    <row r="44" spans="1:12" ht="16.8" x14ac:dyDescent="0.3">
      <c r="A44" s="11" t="s">
        <v>140</v>
      </c>
      <c r="B44" s="11" t="s">
        <v>141</v>
      </c>
      <c r="C44" s="11">
        <v>25</v>
      </c>
      <c r="D44" s="11" t="s">
        <v>41</v>
      </c>
      <c r="E44" s="11" t="s">
        <v>42</v>
      </c>
      <c r="F44" s="11" t="s">
        <v>59</v>
      </c>
      <c r="G44" s="11" t="s">
        <v>55</v>
      </c>
      <c r="H44" s="11" t="s">
        <v>45</v>
      </c>
      <c r="I44" s="11" t="s">
        <v>45</v>
      </c>
      <c r="J44" s="11">
        <v>0.49</v>
      </c>
      <c r="K44" s="12">
        <v>44845</v>
      </c>
      <c r="L44" s="13" t="str" cm="1">
        <f t="array" ref="L44">_xlfn.IFS(
  OR(ISBLANK(A44),ISBLANK(C44),ISBLANK(J44)),"Missing Value",
  OR(C44&lt;18,C44&gt;120),"Review – Out of Range (Age)",
  J44&lt;0,"Review – Out of Range (Risk Score)",
  TRUE,"OK"
)</f>
        <v>OK</v>
      </c>
    </row>
    <row r="45" spans="1:12" ht="16.8" x14ac:dyDescent="0.3">
      <c r="A45" s="14" t="s">
        <v>142</v>
      </c>
      <c r="B45" s="14" t="s">
        <v>143</v>
      </c>
      <c r="C45" s="14">
        <v>55</v>
      </c>
      <c r="D45" s="14" t="s">
        <v>41</v>
      </c>
      <c r="E45" s="14" t="s">
        <v>42</v>
      </c>
      <c r="F45" s="14" t="s">
        <v>65</v>
      </c>
      <c r="G45" s="14" t="s">
        <v>60</v>
      </c>
      <c r="H45" s="14" t="s">
        <v>46</v>
      </c>
      <c r="I45" s="14" t="s">
        <v>46</v>
      </c>
      <c r="J45" s="14">
        <v>0.5</v>
      </c>
      <c r="K45" s="15">
        <v>43413</v>
      </c>
      <c r="L45" s="13" t="str" cm="1">
        <f t="array" ref="L45">_xlfn.IFS(
  OR(ISBLANK(A45),ISBLANK(C45),ISBLANK(J45)),"Missing Value",
  OR(C45&lt;18,C45&gt;120),"Review – Out of Range (Age)",
  J45&lt;0,"Review – Out of Range (Risk Score)",
  TRUE,"OK"
)</f>
        <v>OK</v>
      </c>
    </row>
    <row r="46" spans="1:12" ht="16.8" x14ac:dyDescent="0.3">
      <c r="A46" s="11" t="s">
        <v>144</v>
      </c>
      <c r="B46" s="11" t="s">
        <v>145</v>
      </c>
      <c r="C46" s="11">
        <v>34</v>
      </c>
      <c r="D46" s="11" t="s">
        <v>49</v>
      </c>
      <c r="E46" s="11" t="s">
        <v>50</v>
      </c>
      <c r="F46" s="11" t="s">
        <v>59</v>
      </c>
      <c r="G46" s="11" t="s">
        <v>109</v>
      </c>
      <c r="H46" s="11" t="s">
        <v>45</v>
      </c>
      <c r="I46" s="11" t="s">
        <v>45</v>
      </c>
      <c r="J46" s="11">
        <v>0.43</v>
      </c>
      <c r="K46" s="12">
        <v>44051</v>
      </c>
      <c r="L46" s="13" t="str" cm="1">
        <f t="array" ref="L46">_xlfn.IFS(
  OR(ISBLANK(A46),ISBLANK(C46),ISBLANK(J46)),"Missing Value",
  OR(C46&lt;18,C46&gt;120),"Review – Out of Range (Age)",
  J46&lt;0,"Review – Out of Range (Risk Score)",
  TRUE,"OK"
)</f>
        <v>OK</v>
      </c>
    </row>
    <row r="47" spans="1:12" ht="16.8" x14ac:dyDescent="0.3">
      <c r="A47" s="14" t="s">
        <v>146</v>
      </c>
      <c r="B47" s="14" t="s">
        <v>147</v>
      </c>
      <c r="C47" s="14">
        <v>45</v>
      </c>
      <c r="D47" s="14" t="s">
        <v>41</v>
      </c>
      <c r="E47" s="14" t="s">
        <v>58</v>
      </c>
      <c r="F47" s="14" t="s">
        <v>65</v>
      </c>
      <c r="G47" s="14" t="s">
        <v>60</v>
      </c>
      <c r="H47" s="14" t="s">
        <v>45</v>
      </c>
      <c r="I47" s="14" t="s">
        <v>46</v>
      </c>
      <c r="J47" s="14">
        <v>0.78</v>
      </c>
      <c r="K47" s="15">
        <v>43319</v>
      </c>
      <c r="L47" s="13" t="str" cm="1">
        <f t="array" ref="L47">_xlfn.IFS(
  OR(ISBLANK(A47),ISBLANK(C47),ISBLANK(J47)),"Missing Value",
  OR(C47&lt;18,C47&gt;120),"Review – Out of Range (Age)",
  J47&lt;0,"Review – Out of Range (Risk Score)",
  TRUE,"OK"
)</f>
        <v>OK</v>
      </c>
    </row>
    <row r="48" spans="1:12" ht="16.8" x14ac:dyDescent="0.3">
      <c r="A48" s="11" t="s">
        <v>148</v>
      </c>
      <c r="B48" s="11" t="s">
        <v>149</v>
      </c>
      <c r="C48" s="11">
        <v>56</v>
      </c>
      <c r="D48" s="11" t="s">
        <v>41</v>
      </c>
      <c r="E48" s="11" t="s">
        <v>50</v>
      </c>
      <c r="F48" s="11" t="s">
        <v>65</v>
      </c>
      <c r="G48" s="11" t="s">
        <v>109</v>
      </c>
      <c r="H48" s="11" t="s">
        <v>45</v>
      </c>
      <c r="I48" s="11" t="s">
        <v>45</v>
      </c>
      <c r="J48" s="11">
        <v>0.62</v>
      </c>
      <c r="K48" s="12">
        <v>45067</v>
      </c>
      <c r="L48" s="13" t="str" cm="1">
        <f t="array" ref="L48">_xlfn.IFS(
  OR(ISBLANK(A48),ISBLANK(C48),ISBLANK(J48)),"Missing Value",
  OR(C48&lt;18,C48&gt;120),"Review – Out of Range (Age)",
  J48&lt;0,"Review – Out of Range (Risk Score)",
  TRUE,"OK"
)</f>
        <v>OK</v>
      </c>
    </row>
    <row r="49" spans="1:12" ht="16.8" x14ac:dyDescent="0.3">
      <c r="A49" s="14" t="s">
        <v>150</v>
      </c>
      <c r="B49" s="14" t="s">
        <v>151</v>
      </c>
      <c r="C49" s="14">
        <v>60</v>
      </c>
      <c r="D49" s="14" t="s">
        <v>41</v>
      </c>
      <c r="E49" s="14" t="s">
        <v>42</v>
      </c>
      <c r="F49" s="14" t="s">
        <v>59</v>
      </c>
      <c r="G49" s="14" t="s">
        <v>109</v>
      </c>
      <c r="H49" s="14" t="s">
        <v>46</v>
      </c>
      <c r="I49" s="14" t="s">
        <v>45</v>
      </c>
      <c r="J49" s="14">
        <v>0.61</v>
      </c>
      <c r="K49" s="15">
        <v>43907</v>
      </c>
      <c r="L49" s="13" t="str" cm="1">
        <f t="array" ref="L49">_xlfn.IFS(
  OR(ISBLANK(A49),ISBLANK(C49),ISBLANK(J49)),"Missing Value",
  OR(C49&lt;18,C49&gt;120),"Review – Out of Range (Age)",
  J49&lt;0,"Review – Out of Range (Risk Score)",
  TRUE,"OK"
)</f>
        <v>OK</v>
      </c>
    </row>
    <row r="50" spans="1:12" ht="16.8" x14ac:dyDescent="0.3">
      <c r="A50" s="11" t="s">
        <v>152</v>
      </c>
      <c r="B50" s="11" t="s">
        <v>153</v>
      </c>
      <c r="C50" s="11">
        <v>65</v>
      </c>
      <c r="D50" s="11" t="s">
        <v>49</v>
      </c>
      <c r="E50" s="11" t="s">
        <v>58</v>
      </c>
      <c r="F50" s="11" t="s">
        <v>51</v>
      </c>
      <c r="G50" s="11" t="s">
        <v>60</v>
      </c>
      <c r="H50" s="11" t="s">
        <v>45</v>
      </c>
      <c r="I50" s="11" t="s">
        <v>45</v>
      </c>
      <c r="J50" s="11">
        <v>0.45</v>
      </c>
      <c r="K50" s="12">
        <v>44630</v>
      </c>
      <c r="L50" s="13" t="str" cm="1">
        <f t="array" ref="L50">_xlfn.IFS(
  OR(ISBLANK(A50),ISBLANK(C50),ISBLANK(J50)),"Missing Value",
  OR(C50&lt;18,C50&gt;120),"Review – Out of Range (Age)",
  J50&lt;0,"Review – Out of Range (Risk Score)",
  TRUE,"OK"
)</f>
        <v>OK</v>
      </c>
    </row>
    <row r="51" spans="1:12" ht="16.8" x14ac:dyDescent="0.3">
      <c r="A51" s="14" t="s">
        <v>154</v>
      </c>
      <c r="B51" s="14" t="s">
        <v>155</v>
      </c>
      <c r="C51" s="14">
        <v>50</v>
      </c>
      <c r="D51" s="14" t="s">
        <v>41</v>
      </c>
      <c r="E51" s="14" t="s">
        <v>58</v>
      </c>
      <c r="F51" s="14" t="s">
        <v>65</v>
      </c>
      <c r="G51" s="14" t="s">
        <v>44</v>
      </c>
      <c r="H51" s="14" t="s">
        <v>45</v>
      </c>
      <c r="I51" s="14" t="s">
        <v>45</v>
      </c>
      <c r="J51" s="14">
        <v>0.54</v>
      </c>
      <c r="K51" s="15">
        <v>43424</v>
      </c>
      <c r="L51" s="13" t="str" cm="1">
        <f t="array" ref="L51">_xlfn.IFS(
  OR(ISBLANK(A51),ISBLANK(C51),ISBLANK(J51)),"Missing Value",
  OR(C51&lt;18,C51&gt;120),"Review – Out of Range (Age)",
  J51&lt;0,"Review – Out of Range (Risk Score)",
  TRUE,"OK"
)</f>
        <v>OK</v>
      </c>
    </row>
    <row r="52" spans="1:12" ht="16.8" x14ac:dyDescent="0.3">
      <c r="A52" s="11" t="s">
        <v>156</v>
      </c>
      <c r="B52" s="11" t="s">
        <v>157</v>
      </c>
      <c r="C52" s="11">
        <v>30</v>
      </c>
      <c r="D52" s="11" t="s">
        <v>41</v>
      </c>
      <c r="E52" s="11" t="s">
        <v>42</v>
      </c>
      <c r="F52" s="11" t="s">
        <v>65</v>
      </c>
      <c r="G52" s="11" t="s">
        <v>44</v>
      </c>
      <c r="H52" s="11" t="s">
        <v>45</v>
      </c>
      <c r="I52" s="11" t="s">
        <v>46</v>
      </c>
      <c r="J52" s="11">
        <v>0.15</v>
      </c>
      <c r="K52" s="12">
        <v>43677</v>
      </c>
      <c r="L52" s="13" t="str" cm="1">
        <f t="array" ref="L52">_xlfn.IFS(
  OR(ISBLANK(A52),ISBLANK(C52),ISBLANK(J52)),"Missing Value",
  OR(C52&lt;18,C52&gt;120),"Review – Out of Range (Age)",
  J52&lt;0,"Review – Out of Range (Risk Score)",
  TRUE,"OK"
)</f>
        <v>OK</v>
      </c>
    </row>
    <row r="53" spans="1:12" ht="16.8" x14ac:dyDescent="0.3">
      <c r="A53" s="14" t="s">
        <v>158</v>
      </c>
      <c r="B53" s="14" t="s">
        <v>159</v>
      </c>
      <c r="C53" s="14">
        <v>69</v>
      </c>
      <c r="D53" s="14" t="s">
        <v>49</v>
      </c>
      <c r="E53" s="14" t="s">
        <v>42</v>
      </c>
      <c r="F53" s="14" t="s">
        <v>51</v>
      </c>
      <c r="G53" s="14" t="s">
        <v>109</v>
      </c>
      <c r="H53" s="14" t="s">
        <v>45</v>
      </c>
      <c r="I53" s="14" t="s">
        <v>46</v>
      </c>
      <c r="J53" s="14">
        <v>0.51</v>
      </c>
      <c r="K53" s="15">
        <v>43871</v>
      </c>
      <c r="L53" s="13" t="str" cm="1">
        <f t="array" ref="L53">_xlfn.IFS(
  OR(ISBLANK(A53),ISBLANK(C53),ISBLANK(J53)),"Missing Value",
  OR(C53&lt;18,C53&gt;120),"Review – Out of Range (Age)",
  J53&lt;0,"Review – Out of Range (Risk Score)",
  TRUE,"OK"
)</f>
        <v>OK</v>
      </c>
    </row>
    <row r="54" spans="1:12" ht="16.8" x14ac:dyDescent="0.3">
      <c r="A54" s="11" t="s">
        <v>160</v>
      </c>
      <c r="B54" s="11" t="s">
        <v>161</v>
      </c>
      <c r="C54" s="11">
        <v>31</v>
      </c>
      <c r="D54" s="11" t="s">
        <v>49</v>
      </c>
      <c r="E54" s="11" t="s">
        <v>50</v>
      </c>
      <c r="F54" s="11" t="s">
        <v>65</v>
      </c>
      <c r="G54" s="11" t="s">
        <v>44</v>
      </c>
      <c r="H54" s="11" t="s">
        <v>45</v>
      </c>
      <c r="I54" s="11" t="s">
        <v>45</v>
      </c>
      <c r="J54" s="11">
        <v>0.71</v>
      </c>
      <c r="K54" s="12">
        <v>43864</v>
      </c>
      <c r="L54" s="13" t="str" cm="1">
        <f t="array" ref="L54">_xlfn.IFS(
  OR(ISBLANK(A54),ISBLANK(C54),ISBLANK(J54)),"Missing Value",
  OR(C54&lt;18,C54&gt;120),"Review – Out of Range (Age)",
  J54&lt;0,"Review – Out of Range (Risk Score)",
  TRUE,"OK"
)</f>
        <v>OK</v>
      </c>
    </row>
    <row r="55" spans="1:12" ht="16.8" x14ac:dyDescent="0.3">
      <c r="A55" s="14" t="s">
        <v>162</v>
      </c>
      <c r="B55" s="14" t="s">
        <v>163</v>
      </c>
      <c r="C55" s="14">
        <v>57</v>
      </c>
      <c r="D55" s="14" t="s">
        <v>49</v>
      </c>
      <c r="E55" s="14" t="s">
        <v>42</v>
      </c>
      <c r="F55" s="14" t="s">
        <v>59</v>
      </c>
      <c r="G55" s="14" t="s">
        <v>109</v>
      </c>
      <c r="H55" s="14" t="s">
        <v>46</v>
      </c>
      <c r="I55" s="14" t="s">
        <v>45</v>
      </c>
      <c r="J55" s="14">
        <v>0.25</v>
      </c>
      <c r="K55" s="15">
        <v>44647</v>
      </c>
      <c r="L55" s="13" t="str" cm="1">
        <f t="array" ref="L55">_xlfn.IFS(
  OR(ISBLANK(A55),ISBLANK(C55),ISBLANK(J55)),"Missing Value",
  OR(C55&lt;18,C55&gt;120),"Review – Out of Range (Age)",
  J55&lt;0,"Review – Out of Range (Risk Score)",
  TRUE,"OK"
)</f>
        <v>OK</v>
      </c>
    </row>
    <row r="56" spans="1:12" ht="16.8" x14ac:dyDescent="0.3">
      <c r="A56" s="11" t="s">
        <v>164</v>
      </c>
      <c r="B56" s="11" t="s">
        <v>165</v>
      </c>
      <c r="C56" s="11">
        <v>50</v>
      </c>
      <c r="D56" s="11" t="s">
        <v>49</v>
      </c>
      <c r="E56" s="11" t="s">
        <v>42</v>
      </c>
      <c r="F56" s="11" t="s">
        <v>65</v>
      </c>
      <c r="G56" s="11" t="s">
        <v>52</v>
      </c>
      <c r="H56" s="11" t="s">
        <v>46</v>
      </c>
      <c r="I56" s="11" t="s">
        <v>45</v>
      </c>
      <c r="J56" s="11">
        <v>0.32</v>
      </c>
      <c r="K56" s="12">
        <v>44216</v>
      </c>
      <c r="L56" s="13" t="str" cm="1">
        <f t="array" ref="L56">_xlfn.IFS(
  OR(ISBLANK(A56),ISBLANK(C56),ISBLANK(J56)),"Missing Value",
  OR(C56&lt;18,C56&gt;120),"Review – Out of Range (Age)",
  J56&lt;0,"Review – Out of Range (Risk Score)",
  TRUE,"OK"
)</f>
        <v>OK</v>
      </c>
    </row>
    <row r="57" spans="1:12" ht="16.8" x14ac:dyDescent="0.3">
      <c r="A57" s="14" t="s">
        <v>166</v>
      </c>
      <c r="B57" s="14" t="s">
        <v>167</v>
      </c>
      <c r="C57" s="14">
        <v>62</v>
      </c>
      <c r="D57" s="14" t="s">
        <v>41</v>
      </c>
      <c r="E57" s="14" t="s">
        <v>58</v>
      </c>
      <c r="F57" s="14" t="s">
        <v>59</v>
      </c>
      <c r="G57" s="14" t="s">
        <v>44</v>
      </c>
      <c r="H57" s="14" t="s">
        <v>45</v>
      </c>
      <c r="I57" s="14" t="s">
        <v>45</v>
      </c>
      <c r="J57" s="14">
        <v>0.47</v>
      </c>
      <c r="K57" s="15">
        <v>43891</v>
      </c>
      <c r="L57" s="13" t="str" cm="1">
        <f t="array" ref="L57">_xlfn.IFS(
  OR(ISBLANK(A57),ISBLANK(C57),ISBLANK(J57)),"Missing Value",
  OR(C57&lt;18,C57&gt;120),"Review – Out of Range (Age)",
  J57&lt;0,"Review – Out of Range (Risk Score)",
  TRUE,"OK"
)</f>
        <v>OK</v>
      </c>
    </row>
    <row r="58" spans="1:12" ht="16.8" x14ac:dyDescent="0.3">
      <c r="A58" s="11" t="s">
        <v>168</v>
      </c>
      <c r="B58" s="11" t="s">
        <v>169</v>
      </c>
      <c r="C58" s="11">
        <v>68</v>
      </c>
      <c r="D58" s="11" t="s">
        <v>49</v>
      </c>
      <c r="E58" s="11" t="s">
        <v>58</v>
      </c>
      <c r="F58" s="11" t="s">
        <v>59</v>
      </c>
      <c r="G58" s="11" t="s">
        <v>55</v>
      </c>
      <c r="H58" s="11" t="s">
        <v>46</v>
      </c>
      <c r="I58" s="11" t="s">
        <v>46</v>
      </c>
      <c r="J58" s="11">
        <v>0.01</v>
      </c>
      <c r="K58" s="12">
        <v>45249</v>
      </c>
      <c r="L58" s="13" t="str" cm="1">
        <f t="array" ref="L58">_xlfn.IFS(
  OR(ISBLANK(A58),ISBLANK(C58),ISBLANK(J58)),"Missing Value",
  OR(C58&lt;18,C58&gt;120),"Review – Out of Range (Age)",
  J58&lt;0,"Review – Out of Range (Risk Score)",
  TRUE,"OK"
)</f>
        <v>OK</v>
      </c>
    </row>
    <row r="59" spans="1:12" ht="16.8" x14ac:dyDescent="0.3">
      <c r="A59" s="14" t="s">
        <v>170</v>
      </c>
      <c r="B59" s="14" t="s">
        <v>171</v>
      </c>
      <c r="C59" s="14">
        <v>30</v>
      </c>
      <c r="D59" s="14" t="s">
        <v>41</v>
      </c>
      <c r="E59" s="14" t="s">
        <v>58</v>
      </c>
      <c r="F59" s="14" t="s">
        <v>43</v>
      </c>
      <c r="G59" s="14" t="s">
        <v>52</v>
      </c>
      <c r="H59" s="14" t="s">
        <v>46</v>
      </c>
      <c r="I59" s="14" t="s">
        <v>45</v>
      </c>
      <c r="J59" s="14">
        <v>0.55000000000000004</v>
      </c>
      <c r="K59" s="15">
        <v>45160</v>
      </c>
      <c r="L59" s="13" t="str" cm="1">
        <f t="array" ref="L59">_xlfn.IFS(
  OR(ISBLANK(A59),ISBLANK(C59),ISBLANK(J59)),"Missing Value",
  OR(C59&lt;18,C59&gt;120),"Review – Out of Range (Age)",
  J59&lt;0,"Review – Out of Range (Risk Score)",
  TRUE,"OK"
)</f>
        <v>OK</v>
      </c>
    </row>
    <row r="60" spans="1:12" ht="16.8" x14ac:dyDescent="0.3">
      <c r="A60" s="11" t="s">
        <v>172</v>
      </c>
      <c r="B60" s="11" t="s">
        <v>173</v>
      </c>
      <c r="C60" s="11">
        <v>26</v>
      </c>
      <c r="D60" s="11" t="s">
        <v>49</v>
      </c>
      <c r="E60" s="11" t="s">
        <v>50</v>
      </c>
      <c r="F60" s="11" t="s">
        <v>59</v>
      </c>
      <c r="G60" s="11" t="s">
        <v>44</v>
      </c>
      <c r="H60" s="11" t="s">
        <v>46</v>
      </c>
      <c r="I60" s="11" t="s">
        <v>45</v>
      </c>
      <c r="J60" s="11">
        <v>0.37</v>
      </c>
      <c r="K60" s="12">
        <v>44470</v>
      </c>
      <c r="L60" s="13" t="str" cm="1">
        <f t="array" ref="L60">_xlfn.IFS(
  OR(ISBLANK(A60),ISBLANK(C60),ISBLANK(J60)),"Missing Value",
  OR(C60&lt;18,C60&gt;120),"Review – Out of Range (Age)",
  J60&lt;0,"Review – Out of Range (Risk Score)",
  TRUE,"OK"
)</f>
        <v>OK</v>
      </c>
    </row>
    <row r="61" spans="1:12" ht="16.8" x14ac:dyDescent="0.3">
      <c r="A61" s="14" t="s">
        <v>174</v>
      </c>
      <c r="B61" s="14" t="s">
        <v>175</v>
      </c>
      <c r="C61" s="14">
        <v>38</v>
      </c>
      <c r="D61" s="14" t="s">
        <v>49</v>
      </c>
      <c r="E61" s="14" t="s">
        <v>58</v>
      </c>
      <c r="F61" s="14" t="s">
        <v>43</v>
      </c>
      <c r="G61" s="14" t="s">
        <v>60</v>
      </c>
      <c r="H61" s="14" t="s">
        <v>46</v>
      </c>
      <c r="I61" s="14" t="s">
        <v>46</v>
      </c>
      <c r="J61" s="14">
        <v>0.46</v>
      </c>
      <c r="K61" s="15">
        <v>43606</v>
      </c>
      <c r="L61" s="13" t="str" cm="1">
        <f t="array" ref="L61">_xlfn.IFS(
  OR(ISBLANK(A61),ISBLANK(C61),ISBLANK(J61)),"Missing Value",
  OR(C61&lt;18,C61&gt;120),"Review – Out of Range (Age)",
  J61&lt;0,"Review – Out of Range (Risk Score)",
  TRUE,"OK"
)</f>
        <v>OK</v>
      </c>
    </row>
    <row r="62" spans="1:12" ht="16.8" x14ac:dyDescent="0.3">
      <c r="A62" s="11" t="s">
        <v>176</v>
      </c>
      <c r="B62" s="11" t="s">
        <v>177</v>
      </c>
      <c r="C62" s="11">
        <v>68</v>
      </c>
      <c r="D62" s="11" t="s">
        <v>49</v>
      </c>
      <c r="E62" s="11" t="s">
        <v>42</v>
      </c>
      <c r="F62" s="11" t="s">
        <v>43</v>
      </c>
      <c r="G62" s="11" t="s">
        <v>55</v>
      </c>
      <c r="H62" s="11" t="s">
        <v>45</v>
      </c>
      <c r="I62" s="11" t="s">
        <v>46</v>
      </c>
      <c r="J62" s="11">
        <v>0.34</v>
      </c>
      <c r="K62" s="12">
        <v>44309</v>
      </c>
      <c r="L62" s="13" t="str" cm="1">
        <f t="array" ref="L62">_xlfn.IFS(
  OR(ISBLANK(A62),ISBLANK(C62),ISBLANK(J62)),"Missing Value",
  OR(C62&lt;18,C62&gt;120),"Review – Out of Range (Age)",
  J62&lt;0,"Review – Out of Range (Risk Score)",
  TRUE,"OK"
)</f>
        <v>OK</v>
      </c>
    </row>
    <row r="63" spans="1:12" ht="16.8" x14ac:dyDescent="0.3">
      <c r="A63" s="14" t="s">
        <v>178</v>
      </c>
      <c r="B63" s="14" t="s">
        <v>179</v>
      </c>
      <c r="C63" s="14">
        <v>20</v>
      </c>
      <c r="D63" s="14" t="s">
        <v>41</v>
      </c>
      <c r="E63" s="14" t="s">
        <v>58</v>
      </c>
      <c r="F63" s="14" t="s">
        <v>43</v>
      </c>
      <c r="G63" s="14" t="s">
        <v>44</v>
      </c>
      <c r="H63" s="14" t="s">
        <v>46</v>
      </c>
      <c r="I63" s="14" t="s">
        <v>45</v>
      </c>
      <c r="J63" s="14">
        <v>0.35</v>
      </c>
      <c r="K63" s="15">
        <v>44162</v>
      </c>
      <c r="L63" s="13" t="str" cm="1">
        <f t="array" ref="L63">_xlfn.IFS(
  OR(ISBLANK(A63),ISBLANK(C63),ISBLANK(J63)),"Missing Value",
  OR(C63&lt;18,C63&gt;120),"Review – Out of Range (Age)",
  J63&lt;0,"Review – Out of Range (Risk Score)",
  TRUE,"OK"
)</f>
        <v>OK</v>
      </c>
    </row>
    <row r="64" spans="1:12" ht="16.8" x14ac:dyDescent="0.3">
      <c r="A64" s="11" t="s">
        <v>180</v>
      </c>
      <c r="B64" s="11" t="s">
        <v>181</v>
      </c>
      <c r="C64" s="11">
        <v>40</v>
      </c>
      <c r="D64" s="11" t="s">
        <v>49</v>
      </c>
      <c r="E64" s="11" t="s">
        <v>50</v>
      </c>
      <c r="F64" s="11" t="s">
        <v>51</v>
      </c>
      <c r="G64" s="11" t="s">
        <v>94</v>
      </c>
      <c r="H64" s="11" t="s">
        <v>46</v>
      </c>
      <c r="I64" s="11" t="s">
        <v>45</v>
      </c>
      <c r="J64" s="11">
        <v>0.63</v>
      </c>
      <c r="K64" s="12">
        <v>43308</v>
      </c>
      <c r="L64" s="13" t="str" cm="1">
        <f t="array" ref="L64">_xlfn.IFS(
  OR(ISBLANK(A64),ISBLANK(C64),ISBLANK(J64)),"Missing Value",
  OR(C64&lt;18,C64&gt;120),"Review – Out of Range (Age)",
  J64&lt;0,"Review – Out of Range (Risk Score)",
  TRUE,"OK"
)</f>
        <v>OK</v>
      </c>
    </row>
    <row r="65" spans="1:12" ht="16.8" x14ac:dyDescent="0.3">
      <c r="A65" s="14" t="s">
        <v>182</v>
      </c>
      <c r="B65" s="14" t="s">
        <v>183</v>
      </c>
      <c r="C65" s="14">
        <v>21</v>
      </c>
      <c r="D65" s="14" t="s">
        <v>49</v>
      </c>
      <c r="E65" s="14" t="s">
        <v>42</v>
      </c>
      <c r="F65" s="14" t="s">
        <v>65</v>
      </c>
      <c r="G65" s="14" t="s">
        <v>60</v>
      </c>
      <c r="H65" s="14" t="s">
        <v>46</v>
      </c>
      <c r="I65" s="14" t="s">
        <v>45</v>
      </c>
      <c r="J65" s="14">
        <v>0.5</v>
      </c>
      <c r="K65" s="15">
        <v>43450</v>
      </c>
      <c r="L65" s="13" t="str" cm="1">
        <f t="array" ref="L65">_xlfn.IFS(
  OR(ISBLANK(A65),ISBLANK(C65),ISBLANK(J65)),"Missing Value",
  OR(C65&lt;18,C65&gt;120),"Review – Out of Range (Age)",
  J65&lt;0,"Review – Out of Range (Risk Score)",
  TRUE,"OK"
)</f>
        <v>OK</v>
      </c>
    </row>
    <row r="66" spans="1:12" ht="16.8" x14ac:dyDescent="0.3">
      <c r="A66" s="11" t="s">
        <v>184</v>
      </c>
      <c r="B66" s="11" t="s">
        <v>185</v>
      </c>
      <c r="C66" s="11">
        <v>22</v>
      </c>
      <c r="D66" s="11" t="s">
        <v>41</v>
      </c>
      <c r="E66" s="11" t="s">
        <v>50</v>
      </c>
      <c r="F66" s="11" t="s">
        <v>65</v>
      </c>
      <c r="G66" s="11" t="s">
        <v>109</v>
      </c>
      <c r="H66" s="11" t="s">
        <v>46</v>
      </c>
      <c r="I66" s="11" t="s">
        <v>45</v>
      </c>
      <c r="J66" s="11">
        <v>0.87</v>
      </c>
      <c r="K66" s="12">
        <v>44866</v>
      </c>
      <c r="L66" s="13" t="str" cm="1">
        <f t="array" ref="L66">_xlfn.IFS(
  OR(ISBLANK(A66),ISBLANK(C66),ISBLANK(J66)),"Missing Value",
  OR(C66&lt;18,C66&gt;120),"Review – Out of Range (Age)",
  J66&lt;0,"Review – Out of Range (Risk Score)",
  TRUE,"OK"
)</f>
        <v>OK</v>
      </c>
    </row>
    <row r="67" spans="1:12" ht="16.8" x14ac:dyDescent="0.3">
      <c r="A67" s="14" t="s">
        <v>186</v>
      </c>
      <c r="B67" s="14" t="s">
        <v>187</v>
      </c>
      <c r="C67" s="14">
        <v>33</v>
      </c>
      <c r="D67" s="14" t="s">
        <v>49</v>
      </c>
      <c r="E67" s="14" t="s">
        <v>50</v>
      </c>
      <c r="F67" s="14" t="s">
        <v>51</v>
      </c>
      <c r="G67" s="14" t="s">
        <v>44</v>
      </c>
      <c r="H67" s="14" t="s">
        <v>46</v>
      </c>
      <c r="I67" s="14" t="s">
        <v>45</v>
      </c>
      <c r="J67" s="14">
        <v>0.56999999999999995</v>
      </c>
      <c r="K67" s="15">
        <v>45040</v>
      </c>
      <c r="L67" s="13" t="str" cm="1">
        <f t="array" ref="L67">_xlfn.IFS(
  OR(ISBLANK(A67),ISBLANK(C67),ISBLANK(J67)),"Missing Value",
  OR(C67&lt;18,C67&gt;120),"Review – Out of Range (Age)",
  J67&lt;0,"Review – Out of Range (Risk Score)",
  TRUE,"OK"
)</f>
        <v>OK</v>
      </c>
    </row>
    <row r="68" spans="1:12" ht="16.8" x14ac:dyDescent="0.3">
      <c r="A68" s="11" t="s">
        <v>188</v>
      </c>
      <c r="B68" s="11" t="s">
        <v>189</v>
      </c>
      <c r="C68" s="11">
        <v>56</v>
      </c>
      <c r="D68" s="11" t="s">
        <v>41</v>
      </c>
      <c r="E68" s="11" t="s">
        <v>50</v>
      </c>
      <c r="F68" s="11" t="s">
        <v>51</v>
      </c>
      <c r="G68" s="11" t="s">
        <v>94</v>
      </c>
      <c r="H68" s="11" t="s">
        <v>45</v>
      </c>
      <c r="I68" s="11" t="s">
        <v>46</v>
      </c>
      <c r="J68" s="11">
        <v>0.67</v>
      </c>
      <c r="K68" s="12">
        <v>44346</v>
      </c>
      <c r="L68" s="13" t="str" cm="1">
        <f t="array" ref="L68">_xlfn.IFS(
  OR(ISBLANK(A68),ISBLANK(C68),ISBLANK(J68)),"Missing Value",
  OR(C68&lt;18,C68&gt;120),"Review – Out of Range (Age)",
  J68&lt;0,"Review – Out of Range (Risk Score)",
  TRUE,"OK"
)</f>
        <v>OK</v>
      </c>
    </row>
    <row r="69" spans="1:12" ht="16.8" x14ac:dyDescent="0.3">
      <c r="A69" s="14" t="s">
        <v>190</v>
      </c>
      <c r="B69" s="14" t="s">
        <v>191</v>
      </c>
      <c r="C69" s="14">
        <v>37</v>
      </c>
      <c r="D69" s="14" t="s">
        <v>41</v>
      </c>
      <c r="E69" s="14" t="s">
        <v>42</v>
      </c>
      <c r="F69" s="14" t="s">
        <v>51</v>
      </c>
      <c r="G69" s="14" t="s">
        <v>109</v>
      </c>
      <c r="H69" s="14" t="s">
        <v>46</v>
      </c>
      <c r="I69" s="14" t="s">
        <v>46</v>
      </c>
      <c r="J69" s="14">
        <v>0.51</v>
      </c>
      <c r="K69" s="15">
        <v>44260</v>
      </c>
      <c r="L69" s="13" t="str" cm="1">
        <f t="array" ref="L69">_xlfn.IFS(
  OR(ISBLANK(A69),ISBLANK(C69),ISBLANK(J69)),"Missing Value",
  OR(C69&lt;18,C69&gt;120),"Review – Out of Range (Age)",
  J69&lt;0,"Review – Out of Range (Risk Score)",
  TRUE,"OK"
)</f>
        <v>OK</v>
      </c>
    </row>
    <row r="70" spans="1:12" ht="16.8" x14ac:dyDescent="0.3">
      <c r="A70" s="11" t="s">
        <v>192</v>
      </c>
      <c r="B70" s="11" t="s">
        <v>193</v>
      </c>
      <c r="C70" s="11">
        <v>63</v>
      </c>
      <c r="D70" s="11" t="s">
        <v>41</v>
      </c>
      <c r="E70" s="11" t="s">
        <v>50</v>
      </c>
      <c r="F70" s="11" t="s">
        <v>65</v>
      </c>
      <c r="G70" s="11" t="s">
        <v>109</v>
      </c>
      <c r="H70" s="11" t="s">
        <v>46</v>
      </c>
      <c r="I70" s="11" t="s">
        <v>45</v>
      </c>
      <c r="J70" s="11">
        <v>0.59</v>
      </c>
      <c r="K70" s="12">
        <v>43552</v>
      </c>
      <c r="L70" s="13" t="str" cm="1">
        <f t="array" ref="L70">_xlfn.IFS(
  OR(ISBLANK(A70),ISBLANK(C70),ISBLANK(J70)),"Missing Value",
  OR(C70&lt;18,C70&gt;120),"Review – Out of Range (Age)",
  J70&lt;0,"Review – Out of Range (Risk Score)",
  TRUE,"OK"
)</f>
        <v>OK</v>
      </c>
    </row>
    <row r="71" spans="1:12" ht="16.8" x14ac:dyDescent="0.3">
      <c r="A71" s="14" t="s">
        <v>194</v>
      </c>
      <c r="B71" s="14" t="s">
        <v>195</v>
      </c>
      <c r="C71" s="14">
        <v>66</v>
      </c>
      <c r="D71" s="14" t="s">
        <v>49</v>
      </c>
      <c r="E71" s="14" t="s">
        <v>42</v>
      </c>
      <c r="F71" s="14" t="s">
        <v>51</v>
      </c>
      <c r="G71" s="14" t="s">
        <v>60</v>
      </c>
      <c r="H71" s="14" t="s">
        <v>45</v>
      </c>
      <c r="I71" s="14" t="s">
        <v>45</v>
      </c>
      <c r="J71" s="14">
        <v>0.63</v>
      </c>
      <c r="K71" s="15">
        <v>43877</v>
      </c>
      <c r="L71" s="13" t="str" cm="1">
        <f t="array" ref="L71">_xlfn.IFS(
  OR(ISBLANK(A71),ISBLANK(C71),ISBLANK(J71)),"Missing Value",
  OR(C71&lt;18,C71&gt;120),"Review – Out of Range (Age)",
  J71&lt;0,"Review – Out of Range (Risk Score)",
  TRUE,"OK"
)</f>
        <v>OK</v>
      </c>
    </row>
    <row r="72" spans="1:12" ht="16.8" x14ac:dyDescent="0.3">
      <c r="A72" s="11" t="s">
        <v>196</v>
      </c>
      <c r="B72" s="11" t="s">
        <v>197</v>
      </c>
      <c r="C72" s="11">
        <v>68</v>
      </c>
      <c r="D72" s="11" t="s">
        <v>41</v>
      </c>
      <c r="E72" s="11" t="s">
        <v>42</v>
      </c>
      <c r="F72" s="11" t="s">
        <v>51</v>
      </c>
      <c r="G72" s="11" t="s">
        <v>55</v>
      </c>
      <c r="H72" s="11" t="s">
        <v>45</v>
      </c>
      <c r="I72" s="11" t="s">
        <v>45</v>
      </c>
      <c r="J72" s="11">
        <v>0.74</v>
      </c>
      <c r="K72" s="12">
        <v>43276</v>
      </c>
      <c r="L72" s="13" t="str" cm="1">
        <f t="array" ref="L72">_xlfn.IFS(
  OR(ISBLANK(A72),ISBLANK(C72),ISBLANK(J72)),"Missing Value",
  OR(C72&lt;18,C72&gt;120),"Review – Out of Range (Age)",
  J72&lt;0,"Review – Out of Range (Risk Score)",
  TRUE,"OK"
)</f>
        <v>OK</v>
      </c>
    </row>
    <row r="73" spans="1:12" ht="16.8" x14ac:dyDescent="0.3">
      <c r="A73" s="14" t="s">
        <v>198</v>
      </c>
      <c r="B73" s="14" t="s">
        <v>199</v>
      </c>
      <c r="C73" s="14">
        <v>32</v>
      </c>
      <c r="D73" s="14" t="s">
        <v>41</v>
      </c>
      <c r="E73" s="14" t="s">
        <v>42</v>
      </c>
      <c r="F73" s="14" t="s">
        <v>65</v>
      </c>
      <c r="G73" s="14" t="s">
        <v>94</v>
      </c>
      <c r="H73" s="14" t="s">
        <v>45</v>
      </c>
      <c r="I73" s="14" t="s">
        <v>45</v>
      </c>
      <c r="J73" s="14">
        <v>0.47</v>
      </c>
      <c r="K73" s="15">
        <v>45162</v>
      </c>
      <c r="L73" s="13" t="str" cm="1">
        <f t="array" ref="L73">_xlfn.IFS(
  OR(ISBLANK(A73),ISBLANK(C73),ISBLANK(J73)),"Missing Value",
  OR(C73&lt;18,C73&gt;120),"Review – Out of Range (Age)",
  J73&lt;0,"Review – Out of Range (Risk Score)",
  TRUE,"OK"
)</f>
        <v>OK</v>
      </c>
    </row>
    <row r="74" spans="1:12" ht="16.8" x14ac:dyDescent="0.3">
      <c r="A74" s="11" t="s">
        <v>200</v>
      </c>
      <c r="B74" s="11" t="s">
        <v>201</v>
      </c>
      <c r="C74" s="11">
        <v>68</v>
      </c>
      <c r="D74" s="11" t="s">
        <v>41</v>
      </c>
      <c r="E74" s="11" t="s">
        <v>58</v>
      </c>
      <c r="F74" s="11" t="s">
        <v>65</v>
      </c>
      <c r="G74" s="11" t="s">
        <v>52</v>
      </c>
      <c r="H74" s="11" t="s">
        <v>46</v>
      </c>
      <c r="I74" s="11" t="s">
        <v>45</v>
      </c>
      <c r="J74" s="11">
        <v>0.49</v>
      </c>
      <c r="K74" s="12">
        <v>43884</v>
      </c>
      <c r="L74" s="13" t="str" cm="1">
        <f t="array" ref="L74">_xlfn.IFS(
  OR(ISBLANK(A74),ISBLANK(C74),ISBLANK(J74)),"Missing Value",
  OR(C74&lt;18,C74&gt;120),"Review – Out of Range (Age)",
  J74&lt;0,"Review – Out of Range (Risk Score)",
  TRUE,"OK"
)</f>
        <v>OK</v>
      </c>
    </row>
    <row r="75" spans="1:12" ht="16.8" x14ac:dyDescent="0.3">
      <c r="A75" s="14" t="s">
        <v>202</v>
      </c>
      <c r="B75" s="14" t="s">
        <v>203</v>
      </c>
      <c r="C75" s="14">
        <v>62</v>
      </c>
      <c r="D75" s="14" t="s">
        <v>41</v>
      </c>
      <c r="E75" s="14" t="s">
        <v>42</v>
      </c>
      <c r="F75" s="14" t="s">
        <v>65</v>
      </c>
      <c r="G75" s="14" t="s">
        <v>60</v>
      </c>
      <c r="H75" s="14" t="s">
        <v>46</v>
      </c>
      <c r="I75" s="14" t="s">
        <v>46</v>
      </c>
      <c r="J75" s="14">
        <v>0.33</v>
      </c>
      <c r="K75" s="15">
        <v>44572</v>
      </c>
      <c r="L75" s="13" t="str" cm="1">
        <f t="array" ref="L75">_xlfn.IFS(
  OR(ISBLANK(A75),ISBLANK(C75),ISBLANK(J75)),"Missing Value",
  OR(C75&lt;18,C75&gt;120),"Review – Out of Range (Age)",
  J75&lt;0,"Review – Out of Range (Risk Score)",
  TRUE,"OK"
)</f>
        <v>OK</v>
      </c>
    </row>
    <row r="76" spans="1:12" ht="16.8" x14ac:dyDescent="0.3">
      <c r="A76" s="11" t="s">
        <v>204</v>
      </c>
      <c r="B76" s="11" t="s">
        <v>205</v>
      </c>
      <c r="C76" s="11">
        <v>59</v>
      </c>
      <c r="D76" s="11" t="s">
        <v>41</v>
      </c>
      <c r="E76" s="11" t="s">
        <v>50</v>
      </c>
      <c r="F76" s="11" t="s">
        <v>59</v>
      </c>
      <c r="G76" s="11" t="s">
        <v>60</v>
      </c>
      <c r="H76" s="11" t="s">
        <v>45</v>
      </c>
      <c r="I76" s="11" t="s">
        <v>45</v>
      </c>
      <c r="J76" s="11">
        <v>0.22</v>
      </c>
      <c r="K76" s="12">
        <v>43814</v>
      </c>
      <c r="L76" s="13" t="str" cm="1">
        <f t="array" ref="L76">_xlfn.IFS(
  OR(ISBLANK(A76),ISBLANK(C76),ISBLANK(J76)),"Missing Value",
  OR(C76&lt;18,C76&gt;120),"Review – Out of Range (Age)",
  J76&lt;0,"Review – Out of Range (Risk Score)",
  TRUE,"OK"
)</f>
        <v>OK</v>
      </c>
    </row>
    <row r="77" spans="1:12" ht="16.8" x14ac:dyDescent="0.3">
      <c r="A77" s="14" t="s">
        <v>206</v>
      </c>
      <c r="B77" s="14" t="s">
        <v>207</v>
      </c>
      <c r="C77" s="14">
        <v>28</v>
      </c>
      <c r="D77" s="14" t="s">
        <v>49</v>
      </c>
      <c r="E77" s="14" t="s">
        <v>58</v>
      </c>
      <c r="F77" s="14" t="s">
        <v>51</v>
      </c>
      <c r="G77" s="14" t="s">
        <v>94</v>
      </c>
      <c r="H77" s="14" t="s">
        <v>46</v>
      </c>
      <c r="I77" s="14" t="s">
        <v>46</v>
      </c>
      <c r="J77" s="14">
        <v>0.62</v>
      </c>
      <c r="K77" s="15">
        <v>43142</v>
      </c>
      <c r="L77" s="13" t="str" cm="1">
        <f t="array" ref="L77">_xlfn.IFS(
  OR(ISBLANK(A77),ISBLANK(C77),ISBLANK(J77)),"Missing Value",
  OR(C77&lt;18,C77&gt;120),"Review – Out of Range (Age)",
  J77&lt;0,"Review – Out of Range (Risk Score)",
  TRUE,"OK"
)</f>
        <v>OK</v>
      </c>
    </row>
    <row r="78" spans="1:12" ht="16.8" x14ac:dyDescent="0.3">
      <c r="A78" s="11" t="s">
        <v>208</v>
      </c>
      <c r="B78" s="11" t="s">
        <v>209</v>
      </c>
      <c r="C78" s="11">
        <v>63</v>
      </c>
      <c r="D78" s="11" t="s">
        <v>49</v>
      </c>
      <c r="E78" s="11" t="s">
        <v>42</v>
      </c>
      <c r="F78" s="11" t="s">
        <v>43</v>
      </c>
      <c r="G78" s="11" t="s">
        <v>44</v>
      </c>
      <c r="H78" s="11" t="s">
        <v>45</v>
      </c>
      <c r="I78" s="11" t="s">
        <v>46</v>
      </c>
      <c r="J78" s="11">
        <v>0.63</v>
      </c>
      <c r="K78" s="12">
        <v>44374</v>
      </c>
      <c r="L78" s="13" t="str" cm="1">
        <f t="array" ref="L78">_xlfn.IFS(
  OR(ISBLANK(A78),ISBLANK(C78),ISBLANK(J78)),"Missing Value",
  OR(C78&lt;18,C78&gt;120),"Review – Out of Range (Age)",
  J78&lt;0,"Review – Out of Range (Risk Score)",
  TRUE,"OK"
)</f>
        <v>OK</v>
      </c>
    </row>
    <row r="79" spans="1:12" ht="16.8" x14ac:dyDescent="0.3">
      <c r="A79" s="14" t="s">
        <v>210</v>
      </c>
      <c r="B79" s="14" t="s">
        <v>211</v>
      </c>
      <c r="C79" s="14">
        <v>23</v>
      </c>
      <c r="D79" s="14" t="s">
        <v>49</v>
      </c>
      <c r="E79" s="14" t="s">
        <v>58</v>
      </c>
      <c r="F79" s="14" t="s">
        <v>51</v>
      </c>
      <c r="G79" s="14" t="s">
        <v>109</v>
      </c>
      <c r="H79" s="14" t="s">
        <v>45</v>
      </c>
      <c r="I79" s="14" t="s">
        <v>45</v>
      </c>
      <c r="J79" s="14">
        <v>0.6</v>
      </c>
      <c r="K79" s="15">
        <v>43650</v>
      </c>
      <c r="L79" s="13" t="str" cm="1">
        <f t="array" ref="L79">_xlfn.IFS(
  OR(ISBLANK(A79),ISBLANK(C79),ISBLANK(J79)),"Missing Value",
  OR(C79&lt;18,C79&gt;120),"Review – Out of Range (Age)",
  J79&lt;0,"Review – Out of Range (Risk Score)",
  TRUE,"OK"
)</f>
        <v>OK</v>
      </c>
    </row>
    <row r="80" spans="1:12" ht="16.8" x14ac:dyDescent="0.3">
      <c r="A80" s="11" t="s">
        <v>212</v>
      </c>
      <c r="B80" s="11" t="s">
        <v>213</v>
      </c>
      <c r="C80" s="11">
        <v>52</v>
      </c>
      <c r="D80" s="11" t="s">
        <v>41</v>
      </c>
      <c r="E80" s="11" t="s">
        <v>42</v>
      </c>
      <c r="F80" s="11" t="s">
        <v>59</v>
      </c>
      <c r="G80" s="11" t="s">
        <v>60</v>
      </c>
      <c r="H80" s="11" t="s">
        <v>46</v>
      </c>
      <c r="I80" s="11" t="s">
        <v>45</v>
      </c>
      <c r="J80" s="11">
        <v>0.35</v>
      </c>
      <c r="K80" s="12">
        <v>43400</v>
      </c>
      <c r="L80" s="13" t="str" cm="1">
        <f t="array" ref="L80">_xlfn.IFS(
  OR(ISBLANK(A80),ISBLANK(C80),ISBLANK(J80)),"Missing Value",
  OR(C80&lt;18,C80&gt;120),"Review – Out of Range (Age)",
  J80&lt;0,"Review – Out of Range (Risk Score)",
  TRUE,"OK"
)</f>
        <v>OK</v>
      </c>
    </row>
    <row r="81" spans="1:12" ht="16.8" x14ac:dyDescent="0.3">
      <c r="A81" s="14" t="s">
        <v>214</v>
      </c>
      <c r="B81" s="14" t="s">
        <v>215</v>
      </c>
      <c r="C81" s="14">
        <v>21</v>
      </c>
      <c r="D81" s="14" t="s">
        <v>41</v>
      </c>
      <c r="E81" s="14" t="s">
        <v>50</v>
      </c>
      <c r="F81" s="14" t="s">
        <v>43</v>
      </c>
      <c r="G81" s="14" t="s">
        <v>60</v>
      </c>
      <c r="H81" s="14" t="s">
        <v>45</v>
      </c>
      <c r="I81" s="14" t="s">
        <v>45</v>
      </c>
      <c r="J81" s="14">
        <v>0.7</v>
      </c>
      <c r="K81" s="15">
        <v>43664</v>
      </c>
      <c r="L81" s="13" t="str" cm="1">
        <f t="array" ref="L81">_xlfn.IFS(
  OR(ISBLANK(A81),ISBLANK(C81),ISBLANK(J81)),"Missing Value",
  OR(C81&lt;18,C81&gt;120),"Review – Out of Range (Age)",
  J81&lt;0,"Review – Out of Range (Risk Score)",
  TRUE,"OK"
)</f>
        <v>OK</v>
      </c>
    </row>
    <row r="82" spans="1:12" ht="16.8" x14ac:dyDescent="0.3">
      <c r="A82" s="11" t="s">
        <v>216</v>
      </c>
      <c r="B82" s="11" t="s">
        <v>217</v>
      </c>
      <c r="C82" s="11">
        <v>56</v>
      </c>
      <c r="D82" s="11" t="s">
        <v>49</v>
      </c>
      <c r="E82" s="11" t="s">
        <v>58</v>
      </c>
      <c r="F82" s="11" t="s">
        <v>59</v>
      </c>
      <c r="G82" s="11" t="s">
        <v>44</v>
      </c>
      <c r="H82" s="11" t="s">
        <v>45</v>
      </c>
      <c r="I82" s="11" t="s">
        <v>45</v>
      </c>
      <c r="J82" s="11">
        <v>0.54</v>
      </c>
      <c r="K82" s="12">
        <v>43366</v>
      </c>
      <c r="L82" s="13" t="str" cm="1">
        <f t="array" ref="L82">_xlfn.IFS(
  OR(ISBLANK(A82),ISBLANK(C82),ISBLANK(J82)),"Missing Value",
  OR(C82&lt;18,C82&gt;120),"Review – Out of Range (Age)",
  J82&lt;0,"Review – Out of Range (Risk Score)",
  TRUE,"OK"
)</f>
        <v>OK</v>
      </c>
    </row>
    <row r="83" spans="1:12" ht="16.8" x14ac:dyDescent="0.3">
      <c r="A83" s="14" t="s">
        <v>218</v>
      </c>
      <c r="B83" s="14" t="s">
        <v>219</v>
      </c>
      <c r="C83" s="14">
        <v>61</v>
      </c>
      <c r="D83" s="14" t="s">
        <v>41</v>
      </c>
      <c r="E83" s="14" t="s">
        <v>50</v>
      </c>
      <c r="F83" s="14" t="s">
        <v>65</v>
      </c>
      <c r="G83" s="14" t="s">
        <v>94</v>
      </c>
      <c r="H83" s="14" t="s">
        <v>46</v>
      </c>
      <c r="I83" s="14" t="s">
        <v>46</v>
      </c>
      <c r="J83" s="14">
        <v>0.42</v>
      </c>
      <c r="K83" s="15">
        <v>43524</v>
      </c>
      <c r="L83" s="13" t="str" cm="1">
        <f t="array" ref="L83">_xlfn.IFS(
  OR(ISBLANK(A83),ISBLANK(C83),ISBLANK(J83)),"Missing Value",
  OR(C83&lt;18,C83&gt;120),"Review – Out of Range (Age)",
  J83&lt;0,"Review – Out of Range (Risk Score)",
  TRUE,"OK"
)</f>
        <v>OK</v>
      </c>
    </row>
    <row r="84" spans="1:12" ht="16.8" x14ac:dyDescent="0.3">
      <c r="A84" s="11" t="s">
        <v>220</v>
      </c>
      <c r="B84" s="11" t="s">
        <v>221</v>
      </c>
      <c r="C84" s="11">
        <v>29</v>
      </c>
      <c r="D84" s="11" t="s">
        <v>49</v>
      </c>
      <c r="E84" s="11" t="s">
        <v>42</v>
      </c>
      <c r="F84" s="11" t="s">
        <v>65</v>
      </c>
      <c r="G84" s="11" t="s">
        <v>109</v>
      </c>
      <c r="H84" s="11" t="s">
        <v>45</v>
      </c>
      <c r="I84" s="11" t="s">
        <v>45</v>
      </c>
      <c r="J84" s="11">
        <v>0.44</v>
      </c>
      <c r="K84" s="12">
        <v>43911</v>
      </c>
      <c r="L84" s="13" t="str" cm="1">
        <f t="array" ref="L84">_xlfn.IFS(
  OR(ISBLANK(A84),ISBLANK(C84),ISBLANK(J84)),"Missing Value",
  OR(C84&lt;18,C84&gt;120),"Review – Out of Range (Age)",
  J84&lt;0,"Review – Out of Range (Risk Score)",
  TRUE,"OK"
)</f>
        <v>OK</v>
      </c>
    </row>
    <row r="85" spans="1:12" ht="16.8" x14ac:dyDescent="0.3">
      <c r="A85" s="14" t="s">
        <v>222</v>
      </c>
      <c r="B85" s="14" t="s">
        <v>223</v>
      </c>
      <c r="C85" s="14">
        <v>40</v>
      </c>
      <c r="D85" s="14" t="s">
        <v>49</v>
      </c>
      <c r="E85" s="14" t="s">
        <v>58</v>
      </c>
      <c r="F85" s="14" t="s">
        <v>43</v>
      </c>
      <c r="G85" s="14" t="s">
        <v>109</v>
      </c>
      <c r="H85" s="14" t="s">
        <v>45</v>
      </c>
      <c r="I85" s="14" t="s">
        <v>45</v>
      </c>
      <c r="J85" s="14">
        <v>0.62</v>
      </c>
      <c r="K85" s="15">
        <v>43614</v>
      </c>
      <c r="L85" s="13" t="str" cm="1">
        <f t="array" ref="L85">_xlfn.IFS(
  OR(ISBLANK(A85),ISBLANK(C85),ISBLANK(J85)),"Missing Value",
  OR(C85&lt;18,C85&gt;120),"Review – Out of Range (Age)",
  J85&lt;0,"Review – Out of Range (Risk Score)",
  TRUE,"OK"
)</f>
        <v>OK</v>
      </c>
    </row>
    <row r="86" spans="1:12" ht="16.8" x14ac:dyDescent="0.3">
      <c r="A86" s="11" t="s">
        <v>224</v>
      </c>
      <c r="B86" s="11" t="s">
        <v>225</v>
      </c>
      <c r="C86" s="11">
        <v>39</v>
      </c>
      <c r="D86" s="11" t="s">
        <v>41</v>
      </c>
      <c r="E86" s="11" t="s">
        <v>42</v>
      </c>
      <c r="F86" s="11" t="s">
        <v>51</v>
      </c>
      <c r="G86" s="11" t="s">
        <v>52</v>
      </c>
      <c r="H86" s="11" t="s">
        <v>45</v>
      </c>
      <c r="I86" s="11" t="s">
        <v>46</v>
      </c>
      <c r="J86" s="11">
        <v>0.76</v>
      </c>
      <c r="K86" s="12">
        <v>44154</v>
      </c>
      <c r="L86" s="13" t="str" cm="1">
        <f t="array" ref="L86">_xlfn.IFS(
  OR(ISBLANK(A86),ISBLANK(C86),ISBLANK(J86)),"Missing Value",
  OR(C86&lt;18,C86&gt;120),"Review – Out of Range (Age)",
  J86&lt;0,"Review – Out of Range (Risk Score)",
  TRUE,"OK"
)</f>
        <v>OK</v>
      </c>
    </row>
    <row r="87" spans="1:12" ht="16.8" x14ac:dyDescent="0.3">
      <c r="A87" s="14" t="s">
        <v>226</v>
      </c>
      <c r="B87" s="14" t="s">
        <v>227</v>
      </c>
      <c r="C87" s="14">
        <v>44</v>
      </c>
      <c r="D87" s="14" t="s">
        <v>49</v>
      </c>
      <c r="E87" s="14" t="s">
        <v>50</v>
      </c>
      <c r="F87" s="14" t="s">
        <v>65</v>
      </c>
      <c r="G87" s="14" t="s">
        <v>52</v>
      </c>
      <c r="H87" s="14" t="s">
        <v>46</v>
      </c>
      <c r="I87" s="14" t="s">
        <v>46</v>
      </c>
      <c r="J87" s="14">
        <v>0.52</v>
      </c>
      <c r="K87" s="15">
        <v>44619</v>
      </c>
      <c r="L87" s="13" t="str" cm="1">
        <f t="array" ref="L87">_xlfn.IFS(
  OR(ISBLANK(A87),ISBLANK(C87),ISBLANK(J87)),"Missing Value",
  OR(C87&lt;18,C87&gt;120),"Review – Out of Range (Age)",
  J87&lt;0,"Review – Out of Range (Risk Score)",
  TRUE,"OK"
)</f>
        <v>OK</v>
      </c>
    </row>
    <row r="88" spans="1:12" ht="16.8" x14ac:dyDescent="0.3">
      <c r="A88" s="11" t="s">
        <v>228</v>
      </c>
      <c r="B88" s="11" t="s">
        <v>229</v>
      </c>
      <c r="C88" s="11">
        <v>44</v>
      </c>
      <c r="D88" s="11" t="s">
        <v>41</v>
      </c>
      <c r="E88" s="11" t="s">
        <v>58</v>
      </c>
      <c r="F88" s="11" t="s">
        <v>65</v>
      </c>
      <c r="G88" s="11" t="s">
        <v>55</v>
      </c>
      <c r="H88" s="11" t="s">
        <v>45</v>
      </c>
      <c r="I88" s="11" t="s">
        <v>46</v>
      </c>
      <c r="J88" s="11">
        <v>0.82</v>
      </c>
      <c r="K88" s="12">
        <v>44552</v>
      </c>
      <c r="L88" s="13" t="str" cm="1">
        <f t="array" ref="L88">_xlfn.IFS(
  OR(ISBLANK(A88),ISBLANK(C88),ISBLANK(J88)),"Missing Value",
  OR(C88&lt;18,C88&gt;120),"Review – Out of Range (Age)",
  J88&lt;0,"Review – Out of Range (Risk Score)",
  TRUE,"OK"
)</f>
        <v>OK</v>
      </c>
    </row>
    <row r="89" spans="1:12" ht="16.8" x14ac:dyDescent="0.3">
      <c r="A89" s="14" t="s">
        <v>230</v>
      </c>
      <c r="B89" s="14" t="s">
        <v>231</v>
      </c>
      <c r="C89" s="14">
        <v>34</v>
      </c>
      <c r="D89" s="14" t="s">
        <v>41</v>
      </c>
      <c r="E89" s="14" t="s">
        <v>50</v>
      </c>
      <c r="F89" s="14" t="s">
        <v>51</v>
      </c>
      <c r="G89" s="14" t="s">
        <v>55</v>
      </c>
      <c r="H89" s="14" t="s">
        <v>45</v>
      </c>
      <c r="I89" s="14" t="s">
        <v>45</v>
      </c>
      <c r="J89" s="14">
        <v>0.49</v>
      </c>
      <c r="K89" s="15">
        <v>44365</v>
      </c>
      <c r="L89" s="13" t="str" cm="1">
        <f t="array" ref="L89">_xlfn.IFS(
  OR(ISBLANK(A89),ISBLANK(C89),ISBLANK(J89)),"Missing Value",
  OR(C89&lt;18,C89&gt;120),"Review – Out of Range (Age)",
  J89&lt;0,"Review – Out of Range (Risk Score)",
  TRUE,"OK"
)</f>
        <v>OK</v>
      </c>
    </row>
    <row r="90" spans="1:12" ht="16.8" x14ac:dyDescent="0.3">
      <c r="A90" s="11" t="s">
        <v>232</v>
      </c>
      <c r="B90" s="11" t="s">
        <v>233</v>
      </c>
      <c r="C90" s="11">
        <v>51</v>
      </c>
      <c r="D90" s="11" t="s">
        <v>49</v>
      </c>
      <c r="E90" s="11" t="s">
        <v>42</v>
      </c>
      <c r="F90" s="11" t="s">
        <v>59</v>
      </c>
      <c r="G90" s="11" t="s">
        <v>44</v>
      </c>
      <c r="H90" s="11" t="s">
        <v>46</v>
      </c>
      <c r="I90" s="11" t="s">
        <v>45</v>
      </c>
      <c r="J90" s="11">
        <v>0.33</v>
      </c>
      <c r="K90" s="12">
        <v>44557</v>
      </c>
      <c r="L90" s="13" t="str" cm="1">
        <f t="array" ref="L90">_xlfn.IFS(
  OR(ISBLANK(A90),ISBLANK(C90),ISBLANK(J90)),"Missing Value",
  OR(C90&lt;18,C90&gt;120),"Review – Out of Range (Age)",
  J90&lt;0,"Review – Out of Range (Risk Score)",
  TRUE,"OK"
)</f>
        <v>OK</v>
      </c>
    </row>
    <row r="91" spans="1:12" ht="16.8" x14ac:dyDescent="0.3">
      <c r="A91" s="14" t="s">
        <v>234</v>
      </c>
      <c r="B91" s="14" t="s">
        <v>235</v>
      </c>
      <c r="C91" s="14">
        <v>52</v>
      </c>
      <c r="D91" s="14" t="s">
        <v>41</v>
      </c>
      <c r="E91" s="14" t="s">
        <v>58</v>
      </c>
      <c r="F91" s="14" t="s">
        <v>51</v>
      </c>
      <c r="G91" s="14" t="s">
        <v>52</v>
      </c>
      <c r="H91" s="14" t="s">
        <v>46</v>
      </c>
      <c r="I91" s="14" t="s">
        <v>45</v>
      </c>
      <c r="J91" s="14">
        <v>0.53</v>
      </c>
      <c r="K91" s="15">
        <v>44073</v>
      </c>
      <c r="L91" s="13" t="str" cm="1">
        <f t="array" ref="L91">_xlfn.IFS(
  OR(ISBLANK(A91),ISBLANK(C91),ISBLANK(J91)),"Missing Value",
  OR(C91&lt;18,C91&gt;120),"Review – Out of Range (Age)",
  J91&lt;0,"Review – Out of Range (Risk Score)",
  TRUE,"OK"
)</f>
        <v>OK</v>
      </c>
    </row>
    <row r="92" spans="1:12" ht="16.8" x14ac:dyDescent="0.3">
      <c r="A92" s="11" t="s">
        <v>236</v>
      </c>
      <c r="B92" s="11" t="s">
        <v>237</v>
      </c>
      <c r="C92" s="11">
        <v>48</v>
      </c>
      <c r="D92" s="11" t="s">
        <v>49</v>
      </c>
      <c r="E92" s="11" t="s">
        <v>50</v>
      </c>
      <c r="F92" s="11" t="s">
        <v>43</v>
      </c>
      <c r="G92" s="11" t="s">
        <v>55</v>
      </c>
      <c r="H92" s="11" t="s">
        <v>46</v>
      </c>
      <c r="I92" s="11" t="s">
        <v>46</v>
      </c>
      <c r="J92" s="11">
        <v>0.3</v>
      </c>
      <c r="K92" s="12">
        <v>43987</v>
      </c>
      <c r="L92" s="13" t="str" cm="1">
        <f t="array" ref="L92">_xlfn.IFS(
  OR(ISBLANK(A92),ISBLANK(C92),ISBLANK(J92)),"Missing Value",
  OR(C92&lt;18,C92&gt;120),"Review – Out of Range (Age)",
  J92&lt;0,"Review – Out of Range (Risk Score)",
  TRUE,"OK"
)</f>
        <v>OK</v>
      </c>
    </row>
    <row r="93" spans="1:12" ht="16.8" x14ac:dyDescent="0.3">
      <c r="A93" s="14" t="s">
        <v>238</v>
      </c>
      <c r="B93" s="14" t="s">
        <v>239</v>
      </c>
      <c r="C93" s="14">
        <v>29</v>
      </c>
      <c r="D93" s="14" t="s">
        <v>41</v>
      </c>
      <c r="E93" s="14" t="s">
        <v>42</v>
      </c>
      <c r="F93" s="14" t="s">
        <v>51</v>
      </c>
      <c r="G93" s="14" t="s">
        <v>44</v>
      </c>
      <c r="H93" s="14" t="s">
        <v>46</v>
      </c>
      <c r="I93" s="14" t="s">
        <v>46</v>
      </c>
      <c r="J93" s="14">
        <v>0.34</v>
      </c>
      <c r="K93" s="15">
        <v>44548</v>
      </c>
      <c r="L93" s="13" t="str" cm="1">
        <f t="array" ref="L93">_xlfn.IFS(
  OR(ISBLANK(A93),ISBLANK(C93),ISBLANK(J93)),"Missing Value",
  OR(C93&lt;18,C93&gt;120),"Review – Out of Range (Age)",
  J93&lt;0,"Review – Out of Range (Risk Score)",
  TRUE,"OK"
)</f>
        <v>OK</v>
      </c>
    </row>
    <row r="94" spans="1:12" ht="16.8" x14ac:dyDescent="0.3">
      <c r="A94" s="11" t="s">
        <v>240</v>
      </c>
      <c r="B94" s="11" t="s">
        <v>241</v>
      </c>
      <c r="C94" s="11">
        <v>68</v>
      </c>
      <c r="D94" s="11" t="s">
        <v>49</v>
      </c>
      <c r="E94" s="11" t="s">
        <v>50</v>
      </c>
      <c r="F94" s="11" t="s">
        <v>43</v>
      </c>
      <c r="G94" s="11" t="s">
        <v>94</v>
      </c>
      <c r="H94" s="11" t="s">
        <v>45</v>
      </c>
      <c r="I94" s="11" t="s">
        <v>46</v>
      </c>
      <c r="J94" s="11">
        <v>0.55000000000000004</v>
      </c>
      <c r="K94" s="12">
        <v>43592</v>
      </c>
      <c r="L94" s="13" t="str" cm="1">
        <f t="array" ref="L94">_xlfn.IFS(
  OR(ISBLANK(A94),ISBLANK(C94),ISBLANK(J94)),"Missing Value",
  OR(C94&lt;18,C94&gt;120),"Review – Out of Range (Age)",
  J94&lt;0,"Review – Out of Range (Risk Score)",
  TRUE,"OK"
)</f>
        <v>OK</v>
      </c>
    </row>
    <row r="95" spans="1:12" ht="16.8" x14ac:dyDescent="0.3">
      <c r="A95" s="14" t="s">
        <v>242</v>
      </c>
      <c r="B95" s="14" t="s">
        <v>243</v>
      </c>
      <c r="C95" s="14">
        <v>32</v>
      </c>
      <c r="D95" s="14" t="s">
        <v>41</v>
      </c>
      <c r="E95" s="14" t="s">
        <v>42</v>
      </c>
      <c r="F95" s="14" t="s">
        <v>43</v>
      </c>
      <c r="G95" s="14" t="s">
        <v>94</v>
      </c>
      <c r="H95" s="14" t="s">
        <v>45</v>
      </c>
      <c r="I95" s="14" t="s">
        <v>45</v>
      </c>
      <c r="J95" s="14">
        <v>0.39</v>
      </c>
      <c r="K95" s="15">
        <v>44101</v>
      </c>
      <c r="L95" s="13" t="str" cm="1">
        <f t="array" ref="L95">_xlfn.IFS(
  OR(ISBLANK(A95),ISBLANK(C95),ISBLANK(J95)),"Missing Value",
  OR(C95&lt;18,C95&gt;120),"Review – Out of Range (Age)",
  J95&lt;0,"Review – Out of Range (Risk Score)",
  TRUE,"OK"
)</f>
        <v>OK</v>
      </c>
    </row>
    <row r="96" spans="1:12" ht="16.8" x14ac:dyDescent="0.3">
      <c r="A96" s="11" t="s">
        <v>244</v>
      </c>
      <c r="B96" s="11" t="s">
        <v>245</v>
      </c>
      <c r="C96" s="11">
        <v>66</v>
      </c>
      <c r="D96" s="11" t="s">
        <v>49</v>
      </c>
      <c r="E96" s="11" t="s">
        <v>42</v>
      </c>
      <c r="F96" s="11" t="s">
        <v>51</v>
      </c>
      <c r="G96" s="11" t="s">
        <v>55</v>
      </c>
      <c r="H96" s="11" t="s">
        <v>45</v>
      </c>
      <c r="I96" s="11" t="s">
        <v>46</v>
      </c>
      <c r="J96" s="11">
        <v>0.99</v>
      </c>
      <c r="K96" s="12">
        <v>44078</v>
      </c>
      <c r="L96" s="13" t="str" cm="1">
        <f t="array" ref="L96">_xlfn.IFS(
  OR(ISBLANK(A96),ISBLANK(C96),ISBLANK(J96)),"Missing Value",
  OR(C96&lt;18,C96&gt;120),"Review – Out of Range (Age)",
  J96&lt;0,"Review – Out of Range (Risk Score)",
  TRUE,"OK"
)</f>
        <v>OK</v>
      </c>
    </row>
    <row r="97" spans="1:12" ht="16.8" x14ac:dyDescent="0.3">
      <c r="A97" s="14" t="s">
        <v>246</v>
      </c>
      <c r="B97" s="14" t="s">
        <v>247</v>
      </c>
      <c r="C97" s="14">
        <v>48</v>
      </c>
      <c r="D97" s="14" t="s">
        <v>41</v>
      </c>
      <c r="E97" s="14" t="s">
        <v>42</v>
      </c>
      <c r="F97" s="14" t="s">
        <v>43</v>
      </c>
      <c r="G97" s="14" t="s">
        <v>60</v>
      </c>
      <c r="H97" s="14" t="s">
        <v>46</v>
      </c>
      <c r="I97" s="14" t="s">
        <v>46</v>
      </c>
      <c r="J97" s="14">
        <v>0.44</v>
      </c>
      <c r="K97" s="15">
        <v>44870</v>
      </c>
      <c r="L97" s="13" t="str" cm="1">
        <f t="array" ref="L97">_xlfn.IFS(
  OR(ISBLANK(A97),ISBLANK(C97),ISBLANK(J97)),"Missing Value",
  OR(C97&lt;18,C97&gt;120),"Review – Out of Range (Age)",
  J97&lt;0,"Review – Out of Range (Risk Score)",
  TRUE,"OK"
)</f>
        <v>OK</v>
      </c>
    </row>
    <row r="98" spans="1:12" ht="16.8" x14ac:dyDescent="0.3">
      <c r="A98" s="11" t="s">
        <v>248</v>
      </c>
      <c r="B98" s="11" t="s">
        <v>249</v>
      </c>
      <c r="C98" s="11">
        <v>36</v>
      </c>
      <c r="D98" s="11" t="s">
        <v>41</v>
      </c>
      <c r="E98" s="11" t="s">
        <v>50</v>
      </c>
      <c r="F98" s="11" t="s">
        <v>51</v>
      </c>
      <c r="G98" s="11" t="s">
        <v>60</v>
      </c>
      <c r="H98" s="11" t="s">
        <v>45</v>
      </c>
      <c r="I98" s="11" t="s">
        <v>45</v>
      </c>
      <c r="J98" s="11">
        <v>0.33</v>
      </c>
      <c r="K98" s="12">
        <v>44625</v>
      </c>
      <c r="L98" s="13" t="str" cm="1">
        <f t="array" ref="L98">_xlfn.IFS(
  OR(ISBLANK(A98),ISBLANK(C98),ISBLANK(J98)),"Missing Value",
  OR(C98&lt;18,C98&gt;120),"Review – Out of Range (Age)",
  J98&lt;0,"Review – Out of Range (Risk Score)",
  TRUE,"OK"
)</f>
        <v>OK</v>
      </c>
    </row>
    <row r="99" spans="1:12" ht="16.8" x14ac:dyDescent="0.3">
      <c r="A99" s="14" t="s">
        <v>250</v>
      </c>
      <c r="B99" s="14" t="s">
        <v>251</v>
      </c>
      <c r="C99" s="14">
        <v>56</v>
      </c>
      <c r="D99" s="14" t="s">
        <v>41</v>
      </c>
      <c r="E99" s="14" t="s">
        <v>58</v>
      </c>
      <c r="F99" s="14" t="s">
        <v>51</v>
      </c>
      <c r="G99" s="14" t="s">
        <v>94</v>
      </c>
      <c r="H99" s="14" t="s">
        <v>45</v>
      </c>
      <c r="I99" s="14" t="s">
        <v>46</v>
      </c>
      <c r="J99" s="14">
        <v>0.47</v>
      </c>
      <c r="K99" s="15">
        <v>43458</v>
      </c>
      <c r="L99" s="13" t="str" cm="1">
        <f t="array" ref="L99">_xlfn.IFS(
  OR(ISBLANK(A99),ISBLANK(C99),ISBLANK(J99)),"Missing Value",
  OR(C99&lt;18,C99&gt;120),"Review – Out of Range (Age)",
  J99&lt;0,"Review – Out of Range (Risk Score)",
  TRUE,"OK"
)</f>
        <v>OK</v>
      </c>
    </row>
    <row r="100" spans="1:12" ht="16.8" x14ac:dyDescent="0.3">
      <c r="A100" s="11" t="s">
        <v>252</v>
      </c>
      <c r="B100" s="11" t="s">
        <v>253</v>
      </c>
      <c r="C100" s="11">
        <v>61</v>
      </c>
      <c r="D100" s="11" t="s">
        <v>49</v>
      </c>
      <c r="E100" s="11" t="s">
        <v>42</v>
      </c>
      <c r="F100" s="11" t="s">
        <v>59</v>
      </c>
      <c r="G100" s="11" t="s">
        <v>109</v>
      </c>
      <c r="H100" s="11" t="s">
        <v>45</v>
      </c>
      <c r="I100" s="11" t="s">
        <v>45</v>
      </c>
      <c r="J100" s="11">
        <v>0.45</v>
      </c>
      <c r="K100" s="12">
        <v>43357</v>
      </c>
      <c r="L100" s="13" t="str" cm="1">
        <f t="array" ref="L100">_xlfn.IFS(
  OR(ISBLANK(A100),ISBLANK(C100),ISBLANK(J100)),"Missing Value",
  OR(C100&lt;18,C100&gt;120),"Review – Out of Range (Age)",
  J100&lt;0,"Review – Out of Range (Risk Score)",
  TRUE,"OK"
)</f>
        <v>OK</v>
      </c>
    </row>
    <row r="101" spans="1:12" ht="16.8" x14ac:dyDescent="0.3">
      <c r="A101" s="14" t="s">
        <v>254</v>
      </c>
      <c r="B101" s="14" t="s">
        <v>255</v>
      </c>
      <c r="C101" s="14">
        <v>37</v>
      </c>
      <c r="D101" s="14" t="s">
        <v>49</v>
      </c>
      <c r="E101" s="14" t="s">
        <v>50</v>
      </c>
      <c r="F101" s="14" t="s">
        <v>43</v>
      </c>
      <c r="G101" s="14" t="s">
        <v>109</v>
      </c>
      <c r="H101" s="14" t="s">
        <v>45</v>
      </c>
      <c r="I101" s="14" t="s">
        <v>46</v>
      </c>
      <c r="J101" s="14">
        <v>0.35</v>
      </c>
      <c r="K101" s="15">
        <v>43853</v>
      </c>
      <c r="L101" s="13" t="str" cm="1">
        <f t="array" ref="L101">_xlfn.IFS(
  OR(ISBLANK(A101),ISBLANK(C101),ISBLANK(J101)),"Missing Value",
  OR(C101&lt;18,C101&gt;120),"Review – Out of Range (Age)",
  J101&lt;0,"Review – Out of Range (Risk Score)",
  TRUE,"OK"
)</f>
        <v>OK</v>
      </c>
    </row>
    <row r="102" spans="1:12" ht="16.8" x14ac:dyDescent="0.3">
      <c r="A102" s="11" t="s">
        <v>256</v>
      </c>
      <c r="B102" s="11" t="s">
        <v>257</v>
      </c>
      <c r="C102" s="11">
        <v>20</v>
      </c>
      <c r="D102" s="11" t="s">
        <v>41</v>
      </c>
      <c r="E102" s="11" t="s">
        <v>58</v>
      </c>
      <c r="F102" s="11" t="s">
        <v>43</v>
      </c>
      <c r="G102" s="11" t="s">
        <v>55</v>
      </c>
      <c r="H102" s="11" t="s">
        <v>46</v>
      </c>
      <c r="I102" s="11" t="s">
        <v>46</v>
      </c>
      <c r="J102" s="11">
        <v>0.47</v>
      </c>
      <c r="K102" s="12">
        <v>43185</v>
      </c>
      <c r="L102" s="13" t="str" cm="1">
        <f t="array" ref="L102">_xlfn.IFS(
  OR(ISBLANK(A102),ISBLANK(C102),ISBLANK(J102)),"Missing Value",
  OR(C102&lt;18,C102&gt;120),"Review – Out of Range (Age)",
  J102&lt;0,"Review – Out of Range (Risk Score)",
  TRUE,"OK"
)</f>
        <v>OK</v>
      </c>
    </row>
    <row r="103" spans="1:12" ht="16.8" x14ac:dyDescent="0.3">
      <c r="A103" s="14" t="s">
        <v>258</v>
      </c>
      <c r="B103" s="14" t="s">
        <v>259</v>
      </c>
      <c r="C103" s="14">
        <v>68</v>
      </c>
      <c r="D103" s="14" t="s">
        <v>49</v>
      </c>
      <c r="E103" s="14" t="s">
        <v>42</v>
      </c>
      <c r="F103" s="14" t="s">
        <v>65</v>
      </c>
      <c r="G103" s="14" t="s">
        <v>94</v>
      </c>
      <c r="H103" s="14" t="s">
        <v>45</v>
      </c>
      <c r="I103" s="14" t="s">
        <v>45</v>
      </c>
      <c r="J103" s="14">
        <v>0.54</v>
      </c>
      <c r="K103" s="15">
        <v>43973</v>
      </c>
      <c r="L103" s="13" t="str" cm="1">
        <f t="array" ref="L103">_xlfn.IFS(
  OR(ISBLANK(A103),ISBLANK(C103),ISBLANK(J103)),"Missing Value",
  OR(C103&lt;18,C103&gt;120),"Review – Out of Range (Age)",
  J103&lt;0,"Review – Out of Range (Risk Score)",
  TRUE,"OK"
)</f>
        <v>OK</v>
      </c>
    </row>
    <row r="104" spans="1:12" ht="16.8" x14ac:dyDescent="0.3">
      <c r="A104" s="11" t="s">
        <v>260</v>
      </c>
      <c r="B104" s="11" t="s">
        <v>261</v>
      </c>
      <c r="C104" s="11">
        <v>38</v>
      </c>
      <c r="D104" s="11" t="s">
        <v>41</v>
      </c>
      <c r="E104" s="11" t="s">
        <v>58</v>
      </c>
      <c r="F104" s="11" t="s">
        <v>65</v>
      </c>
      <c r="G104" s="11" t="s">
        <v>60</v>
      </c>
      <c r="H104" s="11" t="s">
        <v>46</v>
      </c>
      <c r="I104" s="11" t="s">
        <v>46</v>
      </c>
      <c r="J104" s="11">
        <v>0.43</v>
      </c>
      <c r="K104" s="12">
        <v>44785</v>
      </c>
      <c r="L104" s="13" t="str" cm="1">
        <f t="array" ref="L104">_xlfn.IFS(
  OR(ISBLANK(A104),ISBLANK(C104),ISBLANK(J104)),"Missing Value",
  OR(C104&lt;18,C104&gt;120),"Review – Out of Range (Age)",
  J104&lt;0,"Review – Out of Range (Risk Score)",
  TRUE,"OK"
)</f>
        <v>OK</v>
      </c>
    </row>
    <row r="105" spans="1:12" ht="16.8" x14ac:dyDescent="0.3">
      <c r="A105" s="14" t="s">
        <v>262</v>
      </c>
      <c r="B105" s="14" t="s">
        <v>263</v>
      </c>
      <c r="C105" s="14">
        <v>60</v>
      </c>
      <c r="D105" s="14" t="s">
        <v>49</v>
      </c>
      <c r="E105" s="14" t="s">
        <v>42</v>
      </c>
      <c r="F105" s="14" t="s">
        <v>51</v>
      </c>
      <c r="G105" s="14" t="s">
        <v>55</v>
      </c>
      <c r="H105" s="14" t="s">
        <v>45</v>
      </c>
      <c r="I105" s="14" t="s">
        <v>45</v>
      </c>
      <c r="J105" s="14">
        <v>0.6</v>
      </c>
      <c r="K105" s="15">
        <v>43108</v>
      </c>
      <c r="L105" s="13" t="str" cm="1">
        <f t="array" ref="L105">_xlfn.IFS(
  OR(ISBLANK(A105),ISBLANK(C105),ISBLANK(J105)),"Missing Value",
  OR(C105&lt;18,C105&gt;120),"Review – Out of Range (Age)",
  J105&lt;0,"Review – Out of Range (Risk Score)",
  TRUE,"OK"
)</f>
        <v>OK</v>
      </c>
    </row>
    <row r="106" spans="1:12" ht="16.8" x14ac:dyDescent="0.3">
      <c r="A106" s="11" t="s">
        <v>264</v>
      </c>
      <c r="B106" s="11" t="s">
        <v>265</v>
      </c>
      <c r="C106" s="11">
        <v>44</v>
      </c>
      <c r="D106" s="11" t="s">
        <v>41</v>
      </c>
      <c r="E106" s="11" t="s">
        <v>42</v>
      </c>
      <c r="F106" s="11" t="s">
        <v>65</v>
      </c>
      <c r="G106" s="11" t="s">
        <v>55</v>
      </c>
      <c r="H106" s="11" t="s">
        <v>46</v>
      </c>
      <c r="I106" s="11" t="s">
        <v>46</v>
      </c>
      <c r="J106" s="11">
        <v>0.5</v>
      </c>
      <c r="K106" s="12">
        <v>44061</v>
      </c>
      <c r="L106" s="13" t="str" cm="1">
        <f t="array" ref="L106">_xlfn.IFS(
  OR(ISBLANK(A106),ISBLANK(C106),ISBLANK(J106)),"Missing Value",
  OR(C106&lt;18,C106&gt;120),"Review – Out of Range (Age)",
  J106&lt;0,"Review – Out of Range (Risk Score)",
  TRUE,"OK"
)</f>
        <v>OK</v>
      </c>
    </row>
    <row r="107" spans="1:12" ht="16.8" x14ac:dyDescent="0.3">
      <c r="A107" s="14" t="s">
        <v>266</v>
      </c>
      <c r="B107" s="14" t="s">
        <v>267</v>
      </c>
      <c r="C107" s="14">
        <v>23</v>
      </c>
      <c r="D107" s="14" t="s">
        <v>41</v>
      </c>
      <c r="E107" s="14" t="s">
        <v>50</v>
      </c>
      <c r="F107" s="14" t="s">
        <v>43</v>
      </c>
      <c r="G107" s="14" t="s">
        <v>94</v>
      </c>
      <c r="H107" s="14" t="s">
        <v>45</v>
      </c>
      <c r="I107" s="14" t="s">
        <v>45</v>
      </c>
      <c r="J107" s="14">
        <v>0.68</v>
      </c>
      <c r="K107" s="15">
        <v>44835</v>
      </c>
      <c r="L107" s="13" t="str" cm="1">
        <f t="array" ref="L107">_xlfn.IFS(
  OR(ISBLANK(A107),ISBLANK(C107),ISBLANK(J107)),"Missing Value",
  OR(C107&lt;18,C107&gt;120),"Review – Out of Range (Age)",
  J107&lt;0,"Review – Out of Range (Risk Score)",
  TRUE,"OK"
)</f>
        <v>OK</v>
      </c>
    </row>
    <row r="108" spans="1:12" ht="16.8" x14ac:dyDescent="0.3">
      <c r="A108" s="11" t="s">
        <v>268</v>
      </c>
      <c r="B108" s="11" t="s">
        <v>269</v>
      </c>
      <c r="C108" s="11">
        <v>26</v>
      </c>
      <c r="D108" s="11" t="s">
        <v>49</v>
      </c>
      <c r="E108" s="11" t="s">
        <v>50</v>
      </c>
      <c r="F108" s="11" t="s">
        <v>43</v>
      </c>
      <c r="G108" s="11" t="s">
        <v>52</v>
      </c>
      <c r="H108" s="11" t="s">
        <v>46</v>
      </c>
      <c r="I108" s="11" t="s">
        <v>46</v>
      </c>
      <c r="J108" s="11">
        <v>0.17</v>
      </c>
      <c r="K108" s="12">
        <v>45149</v>
      </c>
      <c r="L108" s="13" t="str" cm="1">
        <f t="array" ref="L108">_xlfn.IFS(
  OR(ISBLANK(A108),ISBLANK(C108),ISBLANK(J108)),"Missing Value",
  OR(C108&lt;18,C108&gt;120),"Review – Out of Range (Age)",
  J108&lt;0,"Review – Out of Range (Risk Score)",
  TRUE,"OK"
)</f>
        <v>OK</v>
      </c>
    </row>
    <row r="109" spans="1:12" ht="16.8" x14ac:dyDescent="0.3">
      <c r="A109" s="14" t="s">
        <v>270</v>
      </c>
      <c r="B109" s="14" t="s">
        <v>271</v>
      </c>
      <c r="C109" s="14">
        <v>57</v>
      </c>
      <c r="D109" s="14" t="s">
        <v>49</v>
      </c>
      <c r="E109" s="14" t="s">
        <v>58</v>
      </c>
      <c r="F109" s="14" t="s">
        <v>43</v>
      </c>
      <c r="G109" s="14" t="s">
        <v>109</v>
      </c>
      <c r="H109" s="14" t="s">
        <v>46</v>
      </c>
      <c r="I109" s="14" t="s">
        <v>45</v>
      </c>
      <c r="J109" s="14">
        <v>0.47</v>
      </c>
      <c r="K109" s="15">
        <v>44015</v>
      </c>
      <c r="L109" s="13" t="str" cm="1">
        <f t="array" ref="L109">_xlfn.IFS(
  OR(ISBLANK(A109),ISBLANK(C109),ISBLANK(J109)),"Missing Value",
  OR(C109&lt;18,C109&gt;120),"Review – Out of Range (Age)",
  J109&lt;0,"Review – Out of Range (Risk Score)",
  TRUE,"OK"
)</f>
        <v>OK</v>
      </c>
    </row>
    <row r="110" spans="1:12" ht="16.8" x14ac:dyDescent="0.3">
      <c r="A110" s="11" t="s">
        <v>272</v>
      </c>
      <c r="B110" s="11" t="s">
        <v>273</v>
      </c>
      <c r="C110" s="11">
        <v>50</v>
      </c>
      <c r="D110" s="11" t="s">
        <v>49</v>
      </c>
      <c r="E110" s="11" t="s">
        <v>50</v>
      </c>
      <c r="F110" s="11" t="s">
        <v>59</v>
      </c>
      <c r="G110" s="11" t="s">
        <v>55</v>
      </c>
      <c r="H110" s="11" t="s">
        <v>45</v>
      </c>
      <c r="I110" s="11" t="s">
        <v>45</v>
      </c>
      <c r="J110" s="11">
        <v>0.51</v>
      </c>
      <c r="K110" s="12">
        <v>44353</v>
      </c>
      <c r="L110" s="13" t="str" cm="1">
        <f t="array" ref="L110">_xlfn.IFS(
  OR(ISBLANK(A110),ISBLANK(C110),ISBLANK(J110)),"Missing Value",
  OR(C110&lt;18,C110&gt;120),"Review – Out of Range (Age)",
  J110&lt;0,"Review – Out of Range (Risk Score)",
  TRUE,"OK"
)</f>
        <v>OK</v>
      </c>
    </row>
    <row r="111" spans="1:12" ht="16.8" x14ac:dyDescent="0.3">
      <c r="A111" s="14" t="s">
        <v>274</v>
      </c>
      <c r="B111" s="14" t="s">
        <v>275</v>
      </c>
      <c r="C111" s="14">
        <v>36</v>
      </c>
      <c r="D111" s="14" t="s">
        <v>41</v>
      </c>
      <c r="E111" s="14" t="s">
        <v>42</v>
      </c>
      <c r="F111" s="14" t="s">
        <v>59</v>
      </c>
      <c r="G111" s="14" t="s">
        <v>44</v>
      </c>
      <c r="H111" s="14" t="s">
        <v>46</v>
      </c>
      <c r="I111" s="14" t="s">
        <v>45</v>
      </c>
      <c r="J111" s="14">
        <v>0.22</v>
      </c>
      <c r="K111" s="15">
        <v>44131</v>
      </c>
      <c r="L111" s="13" t="str" cm="1">
        <f t="array" ref="L111">_xlfn.IFS(
  OR(ISBLANK(A111),ISBLANK(C111),ISBLANK(J111)),"Missing Value",
  OR(C111&lt;18,C111&gt;120),"Review – Out of Range (Age)",
  J111&lt;0,"Review – Out of Range (Risk Score)",
  TRUE,"OK"
)</f>
        <v>OK</v>
      </c>
    </row>
    <row r="112" spans="1:12" ht="16.8" x14ac:dyDescent="0.3">
      <c r="A112" s="11" t="s">
        <v>276</v>
      </c>
      <c r="B112" s="11" t="s">
        <v>277</v>
      </c>
      <c r="C112" s="11">
        <v>60</v>
      </c>
      <c r="D112" s="11" t="s">
        <v>41</v>
      </c>
      <c r="E112" s="11" t="s">
        <v>58</v>
      </c>
      <c r="F112" s="11" t="s">
        <v>65</v>
      </c>
      <c r="G112" s="11" t="s">
        <v>60</v>
      </c>
      <c r="H112" s="11" t="s">
        <v>46</v>
      </c>
      <c r="I112" s="11" t="s">
        <v>45</v>
      </c>
      <c r="J112" s="11">
        <v>0.38</v>
      </c>
      <c r="K112" s="12">
        <v>44571</v>
      </c>
      <c r="L112" s="13" t="str" cm="1">
        <f t="array" ref="L112">_xlfn.IFS(
  OR(ISBLANK(A112),ISBLANK(C112),ISBLANK(J112)),"Missing Value",
  OR(C112&lt;18,C112&gt;120),"Review – Out of Range (Age)",
  J112&lt;0,"Review – Out of Range (Risk Score)",
  TRUE,"OK"
)</f>
        <v>OK</v>
      </c>
    </row>
    <row r="113" spans="1:12" ht="16.8" x14ac:dyDescent="0.3">
      <c r="A113" s="14" t="s">
        <v>278</v>
      </c>
      <c r="B113" s="14" t="s">
        <v>279</v>
      </c>
      <c r="C113" s="14">
        <v>34</v>
      </c>
      <c r="D113" s="14" t="s">
        <v>49</v>
      </c>
      <c r="E113" s="14" t="s">
        <v>50</v>
      </c>
      <c r="F113" s="14" t="s">
        <v>65</v>
      </c>
      <c r="G113" s="14" t="s">
        <v>60</v>
      </c>
      <c r="H113" s="14" t="s">
        <v>45</v>
      </c>
      <c r="I113" s="14" t="s">
        <v>45</v>
      </c>
      <c r="J113" s="14">
        <v>0.47</v>
      </c>
      <c r="K113" s="15">
        <v>44257</v>
      </c>
      <c r="L113" s="13" t="str" cm="1">
        <f t="array" ref="L113">_xlfn.IFS(
  OR(ISBLANK(A113),ISBLANK(C113),ISBLANK(J113)),"Missing Value",
  OR(C113&lt;18,C113&gt;120),"Review – Out of Range (Age)",
  J113&lt;0,"Review – Out of Range (Risk Score)",
  TRUE,"OK"
)</f>
        <v>OK</v>
      </c>
    </row>
    <row r="114" spans="1:12" ht="16.8" x14ac:dyDescent="0.3">
      <c r="A114" s="11" t="s">
        <v>280</v>
      </c>
      <c r="B114" s="11" t="s">
        <v>281</v>
      </c>
      <c r="C114" s="11">
        <v>22</v>
      </c>
      <c r="D114" s="11" t="s">
        <v>41</v>
      </c>
      <c r="E114" s="11" t="s">
        <v>50</v>
      </c>
      <c r="F114" s="11" t="s">
        <v>65</v>
      </c>
      <c r="G114" s="11" t="s">
        <v>44</v>
      </c>
      <c r="H114" s="11" t="s">
        <v>46</v>
      </c>
      <c r="I114" s="11" t="s">
        <v>46</v>
      </c>
      <c r="J114" s="11">
        <v>0.6</v>
      </c>
      <c r="K114" s="12">
        <v>43812</v>
      </c>
      <c r="L114" s="13" t="str" cm="1">
        <f t="array" ref="L114">_xlfn.IFS(
  OR(ISBLANK(A114),ISBLANK(C114),ISBLANK(J114)),"Missing Value",
  OR(C114&lt;18,C114&gt;120),"Review – Out of Range (Age)",
  J114&lt;0,"Review – Out of Range (Risk Score)",
  TRUE,"OK"
)</f>
        <v>OK</v>
      </c>
    </row>
    <row r="115" spans="1:12" ht="16.8" x14ac:dyDescent="0.3">
      <c r="A115" s="14" t="s">
        <v>282</v>
      </c>
      <c r="B115" s="14" t="s">
        <v>283</v>
      </c>
      <c r="C115" s="14">
        <v>36</v>
      </c>
      <c r="D115" s="14" t="s">
        <v>49</v>
      </c>
      <c r="E115" s="14" t="s">
        <v>58</v>
      </c>
      <c r="F115" s="14" t="s">
        <v>51</v>
      </c>
      <c r="G115" s="14" t="s">
        <v>94</v>
      </c>
      <c r="H115" s="14" t="s">
        <v>45</v>
      </c>
      <c r="I115" s="14" t="s">
        <v>45</v>
      </c>
      <c r="J115" s="14">
        <v>0.4</v>
      </c>
      <c r="K115" s="15">
        <v>45115</v>
      </c>
      <c r="L115" s="13" t="str" cm="1">
        <f t="array" ref="L115">_xlfn.IFS(
  OR(ISBLANK(A115),ISBLANK(C115),ISBLANK(J115)),"Missing Value",
  OR(C115&lt;18,C115&gt;120),"Review – Out of Range (Age)",
  J115&lt;0,"Review – Out of Range (Risk Score)",
  TRUE,"OK"
)</f>
        <v>OK</v>
      </c>
    </row>
    <row r="116" spans="1:12" ht="16.8" x14ac:dyDescent="0.3">
      <c r="A116" s="11" t="s">
        <v>284</v>
      </c>
      <c r="B116" s="11" t="s">
        <v>285</v>
      </c>
      <c r="C116" s="11">
        <v>50</v>
      </c>
      <c r="D116" s="11" t="s">
        <v>49</v>
      </c>
      <c r="E116" s="11" t="s">
        <v>42</v>
      </c>
      <c r="F116" s="11" t="s">
        <v>43</v>
      </c>
      <c r="G116" s="11" t="s">
        <v>52</v>
      </c>
      <c r="H116" s="11" t="s">
        <v>45</v>
      </c>
      <c r="I116" s="11" t="s">
        <v>46</v>
      </c>
      <c r="J116" s="11">
        <v>0.33</v>
      </c>
      <c r="K116" s="12">
        <v>44876</v>
      </c>
      <c r="L116" s="13" t="str" cm="1">
        <f t="array" ref="L116">_xlfn.IFS(
  OR(ISBLANK(A116),ISBLANK(C116),ISBLANK(J116)),"Missing Value",
  OR(C116&lt;18,C116&gt;120),"Review – Out of Range (Age)",
  J116&lt;0,"Review – Out of Range (Risk Score)",
  TRUE,"OK"
)</f>
        <v>OK</v>
      </c>
    </row>
    <row r="117" spans="1:12" ht="16.8" x14ac:dyDescent="0.3">
      <c r="A117" s="14" t="s">
        <v>286</v>
      </c>
      <c r="B117" s="14" t="s">
        <v>287</v>
      </c>
      <c r="C117" s="14">
        <v>48</v>
      </c>
      <c r="D117" s="14" t="s">
        <v>41</v>
      </c>
      <c r="E117" s="14" t="s">
        <v>58</v>
      </c>
      <c r="F117" s="14" t="s">
        <v>65</v>
      </c>
      <c r="G117" s="14" t="s">
        <v>44</v>
      </c>
      <c r="H117" s="14" t="s">
        <v>46</v>
      </c>
      <c r="I117" s="14" t="s">
        <v>45</v>
      </c>
      <c r="J117" s="14">
        <v>0.57999999999999996</v>
      </c>
      <c r="K117" s="15">
        <v>44798</v>
      </c>
      <c r="L117" s="13" t="str" cm="1">
        <f t="array" ref="L117">_xlfn.IFS(
  OR(ISBLANK(A117),ISBLANK(C117),ISBLANK(J117)),"Missing Value",
  OR(C117&lt;18,C117&gt;120),"Review – Out of Range (Age)",
  J117&lt;0,"Review – Out of Range (Risk Score)",
  TRUE,"OK"
)</f>
        <v>OK</v>
      </c>
    </row>
    <row r="118" spans="1:12" ht="16.8" x14ac:dyDescent="0.3">
      <c r="A118" s="11" t="s">
        <v>288</v>
      </c>
      <c r="B118" s="11" t="s">
        <v>289</v>
      </c>
      <c r="C118" s="11">
        <v>50</v>
      </c>
      <c r="D118" s="11" t="s">
        <v>49</v>
      </c>
      <c r="E118" s="11" t="s">
        <v>50</v>
      </c>
      <c r="F118" s="11" t="s">
        <v>65</v>
      </c>
      <c r="G118" s="11" t="s">
        <v>60</v>
      </c>
      <c r="H118" s="11" t="s">
        <v>46</v>
      </c>
      <c r="I118" s="11" t="s">
        <v>45</v>
      </c>
      <c r="J118" s="11">
        <v>0.43</v>
      </c>
      <c r="K118" s="12">
        <v>44101</v>
      </c>
      <c r="L118" s="13" t="str" cm="1">
        <f t="array" ref="L118">_xlfn.IFS(
  OR(ISBLANK(A118),ISBLANK(C118),ISBLANK(J118)),"Missing Value",
  OR(C118&lt;18,C118&gt;120),"Review – Out of Range (Age)",
  J118&lt;0,"Review – Out of Range (Risk Score)",
  TRUE,"OK"
)</f>
        <v>OK</v>
      </c>
    </row>
    <row r="119" spans="1:12" ht="16.8" x14ac:dyDescent="0.3">
      <c r="A119" s="14" t="s">
        <v>290</v>
      </c>
      <c r="B119" s="14" t="s">
        <v>291</v>
      </c>
      <c r="C119" s="14">
        <v>39</v>
      </c>
      <c r="D119" s="14" t="s">
        <v>41</v>
      </c>
      <c r="E119" s="14" t="s">
        <v>42</v>
      </c>
      <c r="F119" s="14" t="s">
        <v>51</v>
      </c>
      <c r="G119" s="14" t="s">
        <v>52</v>
      </c>
      <c r="H119" s="14" t="s">
        <v>46</v>
      </c>
      <c r="I119" s="14" t="s">
        <v>46</v>
      </c>
      <c r="J119" s="14">
        <v>0.45</v>
      </c>
      <c r="K119" s="15">
        <v>45001</v>
      </c>
      <c r="L119" s="13" t="str" cm="1">
        <f t="array" ref="L119">_xlfn.IFS(
  OR(ISBLANK(A119),ISBLANK(C119),ISBLANK(J119)),"Missing Value",
  OR(C119&lt;18,C119&gt;120),"Review – Out of Range (Age)",
  J119&lt;0,"Review – Out of Range (Risk Score)",
  TRUE,"OK"
)</f>
        <v>OK</v>
      </c>
    </row>
    <row r="120" spans="1:12" ht="16.8" x14ac:dyDescent="0.3">
      <c r="A120" s="11" t="s">
        <v>292</v>
      </c>
      <c r="B120" s="11" t="s">
        <v>293</v>
      </c>
      <c r="C120" s="11">
        <v>20</v>
      </c>
      <c r="D120" s="11" t="s">
        <v>41</v>
      </c>
      <c r="E120" s="11" t="s">
        <v>42</v>
      </c>
      <c r="F120" s="11" t="s">
        <v>43</v>
      </c>
      <c r="G120" s="11" t="s">
        <v>52</v>
      </c>
      <c r="H120" s="11" t="s">
        <v>46</v>
      </c>
      <c r="I120" s="11" t="s">
        <v>46</v>
      </c>
      <c r="J120" s="11">
        <v>0.14000000000000001</v>
      </c>
      <c r="K120" s="12">
        <v>44114</v>
      </c>
      <c r="L120" s="13" t="str" cm="1">
        <f t="array" ref="L120">_xlfn.IFS(
  OR(ISBLANK(A120),ISBLANK(C120),ISBLANK(J120)),"Missing Value",
  OR(C120&lt;18,C120&gt;120),"Review – Out of Range (Age)",
  J120&lt;0,"Review – Out of Range (Risk Score)",
  TRUE,"OK"
)</f>
        <v>OK</v>
      </c>
    </row>
    <row r="121" spans="1:12" ht="16.8" x14ac:dyDescent="0.3">
      <c r="A121" s="14" t="s">
        <v>294</v>
      </c>
      <c r="B121" s="14" t="s">
        <v>295</v>
      </c>
      <c r="C121" s="14">
        <v>46</v>
      </c>
      <c r="D121" s="14" t="s">
        <v>41</v>
      </c>
      <c r="E121" s="14" t="s">
        <v>58</v>
      </c>
      <c r="F121" s="14" t="s">
        <v>65</v>
      </c>
      <c r="G121" s="14" t="s">
        <v>94</v>
      </c>
      <c r="H121" s="14" t="s">
        <v>45</v>
      </c>
      <c r="I121" s="14" t="s">
        <v>45</v>
      </c>
      <c r="J121" s="14">
        <v>0.61</v>
      </c>
      <c r="K121" s="15">
        <v>43497</v>
      </c>
      <c r="L121" s="13" t="str" cm="1">
        <f t="array" ref="L121">_xlfn.IFS(
  OR(ISBLANK(A121),ISBLANK(C121),ISBLANK(J121)),"Missing Value",
  OR(C121&lt;18,C121&gt;120),"Review – Out of Range (Age)",
  J121&lt;0,"Review – Out of Range (Risk Score)",
  TRUE,"OK"
)</f>
        <v>OK</v>
      </c>
    </row>
    <row r="122" spans="1:12" ht="16.8" x14ac:dyDescent="0.3">
      <c r="A122" s="11" t="s">
        <v>296</v>
      </c>
      <c r="B122" s="11" t="s">
        <v>297</v>
      </c>
      <c r="C122" s="11">
        <v>34</v>
      </c>
      <c r="D122" s="11" t="s">
        <v>41</v>
      </c>
      <c r="E122" s="11" t="s">
        <v>42</v>
      </c>
      <c r="F122" s="11" t="s">
        <v>43</v>
      </c>
      <c r="G122" s="11" t="s">
        <v>52</v>
      </c>
      <c r="H122" s="11" t="s">
        <v>46</v>
      </c>
      <c r="I122" s="11" t="s">
        <v>45</v>
      </c>
      <c r="J122" s="11">
        <v>0.4</v>
      </c>
      <c r="K122" s="12">
        <v>43333</v>
      </c>
      <c r="L122" s="13" t="str" cm="1">
        <f t="array" ref="L122">_xlfn.IFS(
  OR(ISBLANK(A122),ISBLANK(C122),ISBLANK(J122)),"Missing Value",
  OR(C122&lt;18,C122&gt;120),"Review – Out of Range (Age)",
  J122&lt;0,"Review – Out of Range (Risk Score)",
  TRUE,"OK"
)</f>
        <v>OK</v>
      </c>
    </row>
    <row r="123" spans="1:12" ht="16.8" x14ac:dyDescent="0.3">
      <c r="A123" s="14" t="s">
        <v>298</v>
      </c>
      <c r="B123" s="14" t="s">
        <v>299</v>
      </c>
      <c r="C123" s="14">
        <v>60</v>
      </c>
      <c r="D123" s="14" t="s">
        <v>41</v>
      </c>
      <c r="E123" s="14" t="s">
        <v>42</v>
      </c>
      <c r="F123" s="14" t="s">
        <v>65</v>
      </c>
      <c r="G123" s="14" t="s">
        <v>60</v>
      </c>
      <c r="H123" s="14" t="s">
        <v>45</v>
      </c>
      <c r="I123" s="14" t="s">
        <v>45</v>
      </c>
      <c r="J123" s="14">
        <v>0.98</v>
      </c>
      <c r="K123" s="15">
        <v>43911</v>
      </c>
      <c r="L123" s="13" t="str" cm="1">
        <f t="array" ref="L123">_xlfn.IFS(
  OR(ISBLANK(A123),ISBLANK(C123),ISBLANK(J123)),"Missing Value",
  OR(C123&lt;18,C123&gt;120),"Review – Out of Range (Age)",
  J123&lt;0,"Review – Out of Range (Risk Score)",
  TRUE,"OK"
)</f>
        <v>OK</v>
      </c>
    </row>
    <row r="124" spans="1:12" ht="16.8" x14ac:dyDescent="0.3">
      <c r="A124" s="11" t="s">
        <v>300</v>
      </c>
      <c r="B124" s="11" t="s">
        <v>301</v>
      </c>
      <c r="C124" s="11">
        <v>33</v>
      </c>
      <c r="D124" s="11" t="s">
        <v>49</v>
      </c>
      <c r="E124" s="11" t="s">
        <v>42</v>
      </c>
      <c r="F124" s="11" t="s">
        <v>43</v>
      </c>
      <c r="G124" s="11" t="s">
        <v>60</v>
      </c>
      <c r="H124" s="11" t="s">
        <v>45</v>
      </c>
      <c r="I124" s="11" t="s">
        <v>46</v>
      </c>
      <c r="J124" s="11">
        <v>0.33</v>
      </c>
      <c r="K124" s="12">
        <v>43735</v>
      </c>
      <c r="L124" s="13" t="str" cm="1">
        <f t="array" ref="L124">_xlfn.IFS(
  OR(ISBLANK(A124),ISBLANK(C124),ISBLANK(J124)),"Missing Value",
  OR(C124&lt;18,C124&gt;120),"Review – Out of Range (Age)",
  J124&lt;0,"Review – Out of Range (Risk Score)",
  TRUE,"OK"
)</f>
        <v>OK</v>
      </c>
    </row>
    <row r="125" spans="1:12" ht="16.8" x14ac:dyDescent="0.3">
      <c r="A125" s="14" t="s">
        <v>302</v>
      </c>
      <c r="B125" s="14" t="s">
        <v>303</v>
      </c>
      <c r="C125" s="14">
        <v>21</v>
      </c>
      <c r="D125" s="14" t="s">
        <v>41</v>
      </c>
      <c r="E125" s="14" t="s">
        <v>42</v>
      </c>
      <c r="F125" s="14" t="s">
        <v>51</v>
      </c>
      <c r="G125" s="14" t="s">
        <v>52</v>
      </c>
      <c r="H125" s="14" t="s">
        <v>45</v>
      </c>
      <c r="I125" s="14" t="s">
        <v>46</v>
      </c>
      <c r="J125" s="14">
        <v>0.54</v>
      </c>
      <c r="K125" s="15">
        <v>43373</v>
      </c>
      <c r="L125" s="13" t="str" cm="1">
        <f t="array" ref="L125">_xlfn.IFS(
  OR(ISBLANK(A125),ISBLANK(C125),ISBLANK(J125)),"Missing Value",
  OR(C125&lt;18,C125&gt;120),"Review – Out of Range (Age)",
  J125&lt;0,"Review – Out of Range (Risk Score)",
  TRUE,"OK"
)</f>
        <v>OK</v>
      </c>
    </row>
    <row r="126" spans="1:12" ht="16.8" x14ac:dyDescent="0.3">
      <c r="A126" s="11" t="s">
        <v>304</v>
      </c>
      <c r="B126" s="11" t="s">
        <v>305</v>
      </c>
      <c r="C126" s="11">
        <v>47</v>
      </c>
      <c r="D126" s="11" t="s">
        <v>41</v>
      </c>
      <c r="E126" s="11" t="s">
        <v>58</v>
      </c>
      <c r="F126" s="11" t="s">
        <v>59</v>
      </c>
      <c r="G126" s="11" t="s">
        <v>60</v>
      </c>
      <c r="H126" s="11" t="s">
        <v>46</v>
      </c>
      <c r="I126" s="11" t="s">
        <v>45</v>
      </c>
      <c r="J126" s="11">
        <v>0.39</v>
      </c>
      <c r="K126" s="12">
        <v>44185</v>
      </c>
      <c r="L126" s="13" t="str" cm="1">
        <f t="array" ref="L126">_xlfn.IFS(
  OR(ISBLANK(A126),ISBLANK(C126),ISBLANK(J126)),"Missing Value",
  OR(C126&lt;18,C126&gt;120),"Review – Out of Range (Age)",
  J126&lt;0,"Review – Out of Range (Risk Score)",
  TRUE,"OK"
)</f>
        <v>OK</v>
      </c>
    </row>
    <row r="127" spans="1:12" ht="16.8" x14ac:dyDescent="0.3">
      <c r="A127" s="14" t="s">
        <v>306</v>
      </c>
      <c r="B127" s="14" t="s">
        <v>307</v>
      </c>
      <c r="C127" s="14">
        <v>40</v>
      </c>
      <c r="D127" s="14" t="s">
        <v>49</v>
      </c>
      <c r="E127" s="14" t="s">
        <v>50</v>
      </c>
      <c r="F127" s="14" t="s">
        <v>59</v>
      </c>
      <c r="G127" s="14" t="s">
        <v>52</v>
      </c>
      <c r="H127" s="14" t="s">
        <v>45</v>
      </c>
      <c r="I127" s="14" t="s">
        <v>46</v>
      </c>
      <c r="J127" s="14">
        <v>0.53</v>
      </c>
      <c r="K127" s="15">
        <v>43607</v>
      </c>
      <c r="L127" s="13" t="str" cm="1">
        <f t="array" ref="L127">_xlfn.IFS(
  OR(ISBLANK(A127),ISBLANK(C127),ISBLANK(J127)),"Missing Value",
  OR(C127&lt;18,C127&gt;120),"Review – Out of Range (Age)",
  J127&lt;0,"Review – Out of Range (Risk Score)",
  TRUE,"OK"
)</f>
        <v>OK</v>
      </c>
    </row>
    <row r="128" spans="1:12" ht="16.8" x14ac:dyDescent="0.3">
      <c r="A128" s="11" t="s">
        <v>308</v>
      </c>
      <c r="B128" s="11" t="s">
        <v>309</v>
      </c>
      <c r="C128" s="11">
        <v>32</v>
      </c>
      <c r="D128" s="11" t="s">
        <v>49</v>
      </c>
      <c r="E128" s="11" t="s">
        <v>50</v>
      </c>
      <c r="F128" s="11" t="s">
        <v>51</v>
      </c>
      <c r="G128" s="11" t="s">
        <v>109</v>
      </c>
      <c r="H128" s="11" t="s">
        <v>45</v>
      </c>
      <c r="I128" s="11" t="s">
        <v>45</v>
      </c>
      <c r="J128" s="11">
        <v>0.6</v>
      </c>
      <c r="K128" s="12">
        <v>44389</v>
      </c>
      <c r="L128" s="13" t="str" cm="1">
        <f t="array" ref="L128">_xlfn.IFS(
  OR(ISBLANK(A128),ISBLANK(C128),ISBLANK(J128)),"Missing Value",
  OR(C128&lt;18,C128&gt;120),"Review – Out of Range (Age)",
  J128&lt;0,"Review – Out of Range (Risk Score)",
  TRUE,"OK"
)</f>
        <v>OK</v>
      </c>
    </row>
    <row r="129" spans="1:12" ht="16.8" x14ac:dyDescent="0.3">
      <c r="A129" s="14" t="s">
        <v>310</v>
      </c>
      <c r="B129" s="14" t="s">
        <v>311</v>
      </c>
      <c r="C129" s="14">
        <v>54</v>
      </c>
      <c r="D129" s="14" t="s">
        <v>41</v>
      </c>
      <c r="E129" s="14" t="s">
        <v>50</v>
      </c>
      <c r="F129" s="14" t="s">
        <v>65</v>
      </c>
      <c r="G129" s="14" t="s">
        <v>55</v>
      </c>
      <c r="H129" s="14" t="s">
        <v>46</v>
      </c>
      <c r="I129" s="14" t="s">
        <v>45</v>
      </c>
      <c r="J129" s="14">
        <v>0.24</v>
      </c>
      <c r="K129" s="15">
        <v>44374</v>
      </c>
      <c r="L129" s="13" t="str" cm="1">
        <f t="array" ref="L129">_xlfn.IFS(
  OR(ISBLANK(A129),ISBLANK(C129),ISBLANK(J129)),"Missing Value",
  OR(C129&lt;18,C129&gt;120),"Review – Out of Range (Age)",
  J129&lt;0,"Review – Out of Range (Risk Score)",
  TRUE,"OK"
)</f>
        <v>OK</v>
      </c>
    </row>
    <row r="130" spans="1:12" ht="16.8" x14ac:dyDescent="0.3">
      <c r="A130" s="11" t="s">
        <v>312</v>
      </c>
      <c r="B130" s="11" t="s">
        <v>313</v>
      </c>
      <c r="C130" s="11">
        <v>41</v>
      </c>
      <c r="D130" s="11" t="s">
        <v>41</v>
      </c>
      <c r="E130" s="11" t="s">
        <v>42</v>
      </c>
      <c r="F130" s="11" t="s">
        <v>59</v>
      </c>
      <c r="G130" s="11" t="s">
        <v>60</v>
      </c>
      <c r="H130" s="11" t="s">
        <v>46</v>
      </c>
      <c r="I130" s="11" t="s">
        <v>45</v>
      </c>
      <c r="J130" s="11">
        <v>0.72</v>
      </c>
      <c r="K130" s="12">
        <v>44618</v>
      </c>
      <c r="L130" s="13" t="str" cm="1">
        <f t="array" ref="L130">_xlfn.IFS(
  OR(ISBLANK(A130),ISBLANK(C130),ISBLANK(J130)),"Missing Value",
  OR(C130&lt;18,C130&gt;120),"Review – Out of Range (Age)",
  J130&lt;0,"Review – Out of Range (Risk Score)",
  TRUE,"OK"
)</f>
        <v>OK</v>
      </c>
    </row>
    <row r="131" spans="1:12" ht="16.8" x14ac:dyDescent="0.3">
      <c r="A131" s="14" t="s">
        <v>314</v>
      </c>
      <c r="B131" s="14" t="s">
        <v>315</v>
      </c>
      <c r="C131" s="14">
        <v>45</v>
      </c>
      <c r="D131" s="14" t="s">
        <v>41</v>
      </c>
      <c r="E131" s="14" t="s">
        <v>58</v>
      </c>
      <c r="F131" s="14" t="s">
        <v>51</v>
      </c>
      <c r="G131" s="14" t="s">
        <v>94</v>
      </c>
      <c r="H131" s="14" t="s">
        <v>46</v>
      </c>
      <c r="I131" s="14" t="s">
        <v>45</v>
      </c>
      <c r="J131" s="14">
        <v>0.78</v>
      </c>
      <c r="K131" s="15">
        <v>43803</v>
      </c>
      <c r="L131" s="13" t="str" cm="1">
        <f t="array" ref="L131">_xlfn.IFS(
  OR(ISBLANK(A131),ISBLANK(C131),ISBLANK(J131)),"Missing Value",
  OR(C131&lt;18,C131&gt;120),"Review – Out of Range (Age)",
  J131&lt;0,"Review – Out of Range (Risk Score)",
  TRUE,"OK"
)</f>
        <v>OK</v>
      </c>
    </row>
    <row r="132" spans="1:12" ht="16.8" x14ac:dyDescent="0.3">
      <c r="A132" s="11" t="s">
        <v>316</v>
      </c>
      <c r="B132" s="11" t="s">
        <v>317</v>
      </c>
      <c r="C132" s="11">
        <v>38</v>
      </c>
      <c r="D132" s="11" t="s">
        <v>41</v>
      </c>
      <c r="E132" s="11" t="s">
        <v>58</v>
      </c>
      <c r="F132" s="11" t="s">
        <v>51</v>
      </c>
      <c r="G132" s="11" t="s">
        <v>44</v>
      </c>
      <c r="H132" s="11" t="s">
        <v>45</v>
      </c>
      <c r="I132" s="11" t="s">
        <v>46</v>
      </c>
      <c r="J132" s="11">
        <v>0.42</v>
      </c>
      <c r="K132" s="12">
        <v>45137</v>
      </c>
      <c r="L132" s="13" t="str" cm="1">
        <f t="array" ref="L132">_xlfn.IFS(
  OR(ISBLANK(A132),ISBLANK(C132),ISBLANK(J132)),"Missing Value",
  OR(C132&lt;18,C132&gt;120),"Review – Out of Range (Age)",
  J132&lt;0,"Review – Out of Range (Risk Score)",
  TRUE,"OK"
)</f>
        <v>OK</v>
      </c>
    </row>
    <row r="133" spans="1:12" ht="16.8" x14ac:dyDescent="0.3">
      <c r="A133" s="14" t="s">
        <v>318</v>
      </c>
      <c r="B133" s="14" t="s">
        <v>319</v>
      </c>
      <c r="C133" s="14">
        <v>63</v>
      </c>
      <c r="D133" s="14" t="s">
        <v>41</v>
      </c>
      <c r="E133" s="14" t="s">
        <v>50</v>
      </c>
      <c r="F133" s="14" t="s">
        <v>43</v>
      </c>
      <c r="G133" s="14" t="s">
        <v>60</v>
      </c>
      <c r="H133" s="14" t="s">
        <v>45</v>
      </c>
      <c r="I133" s="14" t="s">
        <v>45</v>
      </c>
      <c r="J133" s="14">
        <v>0.31</v>
      </c>
      <c r="K133" s="15">
        <v>44308</v>
      </c>
      <c r="L133" s="13" t="str" cm="1">
        <f t="array" ref="L133">_xlfn.IFS(
  OR(ISBLANK(A133),ISBLANK(C133),ISBLANK(J133)),"Missing Value",
  OR(C133&lt;18,C133&gt;120),"Review – Out of Range (Age)",
  J133&lt;0,"Review – Out of Range (Risk Score)",
  TRUE,"OK"
)</f>
        <v>OK</v>
      </c>
    </row>
    <row r="134" spans="1:12" ht="16.8" x14ac:dyDescent="0.3">
      <c r="A134" s="11" t="s">
        <v>320</v>
      </c>
      <c r="B134" s="11" t="s">
        <v>321</v>
      </c>
      <c r="C134" s="11">
        <v>40</v>
      </c>
      <c r="D134" s="11" t="s">
        <v>41</v>
      </c>
      <c r="E134" s="11" t="s">
        <v>58</v>
      </c>
      <c r="F134" s="11" t="s">
        <v>59</v>
      </c>
      <c r="G134" s="11" t="s">
        <v>52</v>
      </c>
      <c r="H134" s="11" t="s">
        <v>45</v>
      </c>
      <c r="I134" s="11" t="s">
        <v>45</v>
      </c>
      <c r="J134" s="11">
        <v>0.27</v>
      </c>
      <c r="K134" s="12">
        <v>45102</v>
      </c>
      <c r="L134" s="13" t="str" cm="1">
        <f t="array" ref="L134">_xlfn.IFS(
  OR(ISBLANK(A134),ISBLANK(C134),ISBLANK(J134)),"Missing Value",
  OR(C134&lt;18,C134&gt;120),"Review – Out of Range (Age)",
  J134&lt;0,"Review – Out of Range (Risk Score)",
  TRUE,"OK"
)</f>
        <v>OK</v>
      </c>
    </row>
    <row r="135" spans="1:12" ht="16.8" x14ac:dyDescent="0.3">
      <c r="A135" s="14" t="s">
        <v>322</v>
      </c>
      <c r="B135" s="14" t="s">
        <v>323</v>
      </c>
      <c r="C135" s="14">
        <v>41</v>
      </c>
      <c r="D135" s="14" t="s">
        <v>49</v>
      </c>
      <c r="E135" s="14" t="s">
        <v>58</v>
      </c>
      <c r="F135" s="14" t="s">
        <v>65</v>
      </c>
      <c r="G135" s="14" t="s">
        <v>52</v>
      </c>
      <c r="H135" s="14" t="s">
        <v>45</v>
      </c>
      <c r="I135" s="14" t="s">
        <v>45</v>
      </c>
      <c r="J135" s="14">
        <v>0.43</v>
      </c>
      <c r="K135" s="15">
        <v>44105</v>
      </c>
      <c r="L135" s="13" t="str" cm="1">
        <f t="array" ref="L135">_xlfn.IFS(
  OR(ISBLANK(A135),ISBLANK(C135),ISBLANK(J135)),"Missing Value",
  OR(C135&lt;18,C135&gt;120),"Review – Out of Range (Age)",
  J135&lt;0,"Review – Out of Range (Risk Score)",
  TRUE,"OK"
)</f>
        <v>OK</v>
      </c>
    </row>
    <row r="136" spans="1:12" ht="16.8" x14ac:dyDescent="0.3">
      <c r="A136" s="11" t="s">
        <v>324</v>
      </c>
      <c r="B136" s="11" t="s">
        <v>325</v>
      </c>
      <c r="C136" s="11">
        <v>29</v>
      </c>
      <c r="D136" s="11" t="s">
        <v>41</v>
      </c>
      <c r="E136" s="11" t="s">
        <v>58</v>
      </c>
      <c r="F136" s="11" t="s">
        <v>59</v>
      </c>
      <c r="G136" s="11" t="s">
        <v>44</v>
      </c>
      <c r="H136" s="11" t="s">
        <v>45</v>
      </c>
      <c r="I136" s="11" t="s">
        <v>45</v>
      </c>
      <c r="J136" s="11">
        <v>0.21</v>
      </c>
      <c r="K136" s="12">
        <v>43616</v>
      </c>
      <c r="L136" s="13" t="str" cm="1">
        <f t="array" ref="L136">_xlfn.IFS(
  OR(ISBLANK(A136),ISBLANK(C136),ISBLANK(J136)),"Missing Value",
  OR(C136&lt;18,C136&gt;120),"Review – Out of Range (Age)",
  J136&lt;0,"Review – Out of Range (Risk Score)",
  TRUE,"OK"
)</f>
        <v>OK</v>
      </c>
    </row>
    <row r="137" spans="1:12" ht="16.8" x14ac:dyDescent="0.3">
      <c r="A137" s="14" t="s">
        <v>326</v>
      </c>
      <c r="B137" s="14" t="s">
        <v>327</v>
      </c>
      <c r="C137" s="14">
        <v>36</v>
      </c>
      <c r="D137" s="14" t="s">
        <v>49</v>
      </c>
      <c r="E137" s="14" t="s">
        <v>50</v>
      </c>
      <c r="F137" s="14" t="s">
        <v>65</v>
      </c>
      <c r="G137" s="14" t="s">
        <v>94</v>
      </c>
      <c r="H137" s="14" t="s">
        <v>45</v>
      </c>
      <c r="I137" s="14" t="s">
        <v>46</v>
      </c>
      <c r="J137" s="14">
        <v>0.83</v>
      </c>
      <c r="K137" s="15">
        <v>43513</v>
      </c>
      <c r="L137" s="13" t="str" cm="1">
        <f t="array" ref="L137">_xlfn.IFS(
  OR(ISBLANK(A137),ISBLANK(C137),ISBLANK(J137)),"Missing Value",
  OR(C137&lt;18,C137&gt;120),"Review – Out of Range (Age)",
  J137&lt;0,"Review – Out of Range (Risk Score)",
  TRUE,"OK"
)</f>
        <v>OK</v>
      </c>
    </row>
    <row r="138" spans="1:12" ht="16.8" x14ac:dyDescent="0.3">
      <c r="A138" s="11" t="s">
        <v>328</v>
      </c>
      <c r="B138" s="11" t="s">
        <v>329</v>
      </c>
      <c r="C138" s="11">
        <v>19</v>
      </c>
      <c r="D138" s="11" t="s">
        <v>49</v>
      </c>
      <c r="E138" s="11" t="s">
        <v>58</v>
      </c>
      <c r="F138" s="11" t="s">
        <v>65</v>
      </c>
      <c r="G138" s="11" t="s">
        <v>94</v>
      </c>
      <c r="H138" s="11" t="s">
        <v>46</v>
      </c>
      <c r="I138" s="11" t="s">
        <v>45</v>
      </c>
      <c r="J138" s="11">
        <v>0.69</v>
      </c>
      <c r="K138" s="12">
        <v>43279</v>
      </c>
      <c r="L138" s="13" t="str" cm="1">
        <f t="array" ref="L138">_xlfn.IFS(
  OR(ISBLANK(A138),ISBLANK(C138),ISBLANK(J138)),"Missing Value",
  OR(C138&lt;18,C138&gt;120),"Review – Out of Range (Age)",
  J138&lt;0,"Review – Out of Range (Risk Score)",
  TRUE,"OK"
)</f>
        <v>OK</v>
      </c>
    </row>
    <row r="139" spans="1:12" ht="16.8" x14ac:dyDescent="0.3">
      <c r="A139" s="14" t="s">
        <v>330</v>
      </c>
      <c r="B139" s="14" t="s">
        <v>331</v>
      </c>
      <c r="C139" s="14">
        <v>38</v>
      </c>
      <c r="D139" s="14" t="s">
        <v>41</v>
      </c>
      <c r="E139" s="14" t="s">
        <v>58</v>
      </c>
      <c r="F139" s="14" t="s">
        <v>51</v>
      </c>
      <c r="G139" s="14" t="s">
        <v>109</v>
      </c>
      <c r="H139" s="14" t="s">
        <v>46</v>
      </c>
      <c r="I139" s="14" t="s">
        <v>46</v>
      </c>
      <c r="J139" s="14">
        <v>0.62</v>
      </c>
      <c r="K139" s="15">
        <v>44136</v>
      </c>
      <c r="L139" s="13" t="str" cm="1">
        <f t="array" ref="L139">_xlfn.IFS(
  OR(ISBLANK(A139),ISBLANK(C139),ISBLANK(J139)),"Missing Value",
  OR(C139&lt;18,C139&gt;120),"Review – Out of Range (Age)",
  J139&lt;0,"Review – Out of Range (Risk Score)",
  TRUE,"OK"
)</f>
        <v>OK</v>
      </c>
    </row>
    <row r="140" spans="1:12" ht="16.8" x14ac:dyDescent="0.3">
      <c r="A140" s="11" t="s">
        <v>332</v>
      </c>
      <c r="B140" s="11" t="s">
        <v>333</v>
      </c>
      <c r="C140" s="11">
        <v>67</v>
      </c>
      <c r="D140" s="11" t="s">
        <v>49</v>
      </c>
      <c r="E140" s="11" t="s">
        <v>42</v>
      </c>
      <c r="F140" s="11" t="s">
        <v>43</v>
      </c>
      <c r="G140" s="11" t="s">
        <v>109</v>
      </c>
      <c r="H140" s="11" t="s">
        <v>46</v>
      </c>
      <c r="I140" s="11" t="s">
        <v>45</v>
      </c>
      <c r="J140" s="11">
        <v>0.39</v>
      </c>
      <c r="K140" s="12">
        <v>43658</v>
      </c>
      <c r="L140" s="13" t="str" cm="1">
        <f t="array" ref="L140">_xlfn.IFS(
  OR(ISBLANK(A140),ISBLANK(C140),ISBLANK(J140)),"Missing Value",
  OR(C140&lt;18,C140&gt;120),"Review – Out of Range (Age)",
  J140&lt;0,"Review – Out of Range (Risk Score)",
  TRUE,"OK"
)</f>
        <v>OK</v>
      </c>
    </row>
    <row r="141" spans="1:12" ht="16.8" x14ac:dyDescent="0.3">
      <c r="A141" s="14" t="s">
        <v>334</v>
      </c>
      <c r="B141" s="14" t="s">
        <v>335</v>
      </c>
      <c r="C141" s="14">
        <v>36</v>
      </c>
      <c r="D141" s="14" t="s">
        <v>49</v>
      </c>
      <c r="E141" s="14" t="s">
        <v>50</v>
      </c>
      <c r="F141" s="14" t="s">
        <v>51</v>
      </c>
      <c r="G141" s="14" t="s">
        <v>94</v>
      </c>
      <c r="H141" s="14" t="s">
        <v>45</v>
      </c>
      <c r="I141" s="14" t="s">
        <v>45</v>
      </c>
      <c r="J141" s="14">
        <v>0.56000000000000005</v>
      </c>
      <c r="K141" s="15">
        <v>43925</v>
      </c>
      <c r="L141" s="13" t="str" cm="1">
        <f t="array" ref="L141">_xlfn.IFS(
  OR(ISBLANK(A141),ISBLANK(C141),ISBLANK(J141)),"Missing Value",
  OR(C141&lt;18,C141&gt;120),"Review – Out of Range (Age)",
  J141&lt;0,"Review – Out of Range (Risk Score)",
  TRUE,"OK"
)</f>
        <v>OK</v>
      </c>
    </row>
    <row r="142" spans="1:12" ht="16.8" x14ac:dyDescent="0.3">
      <c r="A142" s="11" t="s">
        <v>336</v>
      </c>
      <c r="B142" s="11" t="s">
        <v>337</v>
      </c>
      <c r="C142" s="11">
        <v>49</v>
      </c>
      <c r="D142" s="11" t="s">
        <v>41</v>
      </c>
      <c r="E142" s="11" t="s">
        <v>50</v>
      </c>
      <c r="F142" s="11" t="s">
        <v>43</v>
      </c>
      <c r="G142" s="11" t="s">
        <v>55</v>
      </c>
      <c r="H142" s="11" t="s">
        <v>46</v>
      </c>
      <c r="I142" s="11" t="s">
        <v>46</v>
      </c>
      <c r="J142" s="11">
        <v>0.57999999999999996</v>
      </c>
      <c r="K142" s="12">
        <v>44623</v>
      </c>
      <c r="L142" s="13" t="str" cm="1">
        <f t="array" ref="L142">_xlfn.IFS(
  OR(ISBLANK(A142),ISBLANK(C142),ISBLANK(J142)),"Missing Value",
  OR(C142&lt;18,C142&gt;120),"Review – Out of Range (Age)",
  J142&lt;0,"Review – Out of Range (Risk Score)",
  TRUE,"OK"
)</f>
        <v>OK</v>
      </c>
    </row>
    <row r="143" spans="1:12" ht="16.8" x14ac:dyDescent="0.3">
      <c r="A143" s="14" t="s">
        <v>338</v>
      </c>
      <c r="B143" s="14" t="s">
        <v>339</v>
      </c>
      <c r="C143" s="14">
        <v>45</v>
      </c>
      <c r="D143" s="14" t="s">
        <v>49</v>
      </c>
      <c r="E143" s="14" t="s">
        <v>58</v>
      </c>
      <c r="F143" s="14" t="s">
        <v>59</v>
      </c>
      <c r="G143" s="14" t="s">
        <v>44</v>
      </c>
      <c r="H143" s="14" t="s">
        <v>45</v>
      </c>
      <c r="I143" s="14" t="s">
        <v>46</v>
      </c>
      <c r="J143" s="14">
        <v>0.49</v>
      </c>
      <c r="K143" s="15">
        <v>44095</v>
      </c>
      <c r="L143" s="13" t="str" cm="1">
        <f t="array" ref="L143">_xlfn.IFS(
  OR(ISBLANK(A143),ISBLANK(C143),ISBLANK(J143)),"Missing Value",
  OR(C143&lt;18,C143&gt;120),"Review – Out of Range (Age)",
  J143&lt;0,"Review – Out of Range (Risk Score)",
  TRUE,"OK"
)</f>
        <v>OK</v>
      </c>
    </row>
    <row r="144" spans="1:12" ht="16.8" x14ac:dyDescent="0.3">
      <c r="A144" s="11" t="s">
        <v>340</v>
      </c>
      <c r="B144" s="11" t="s">
        <v>341</v>
      </c>
      <c r="C144" s="11">
        <v>41</v>
      </c>
      <c r="D144" s="11" t="s">
        <v>49</v>
      </c>
      <c r="E144" s="11" t="s">
        <v>42</v>
      </c>
      <c r="F144" s="11" t="s">
        <v>43</v>
      </c>
      <c r="G144" s="11" t="s">
        <v>109</v>
      </c>
      <c r="H144" s="11" t="s">
        <v>45</v>
      </c>
      <c r="I144" s="11" t="s">
        <v>45</v>
      </c>
      <c r="J144" s="11">
        <v>0.28999999999999998</v>
      </c>
      <c r="K144" s="12">
        <v>44176</v>
      </c>
      <c r="L144" s="13" t="str" cm="1">
        <f t="array" ref="L144">_xlfn.IFS(
  OR(ISBLANK(A144),ISBLANK(C144),ISBLANK(J144)),"Missing Value",
  OR(C144&lt;18,C144&gt;120),"Review – Out of Range (Age)",
  J144&lt;0,"Review – Out of Range (Risk Score)",
  TRUE,"OK"
)</f>
        <v>OK</v>
      </c>
    </row>
    <row r="145" spans="1:12" ht="16.8" x14ac:dyDescent="0.3">
      <c r="A145" s="14" t="s">
        <v>342</v>
      </c>
      <c r="B145" s="14" t="s">
        <v>343</v>
      </c>
      <c r="C145" s="14">
        <v>21</v>
      </c>
      <c r="D145" s="14" t="s">
        <v>49</v>
      </c>
      <c r="E145" s="14" t="s">
        <v>50</v>
      </c>
      <c r="F145" s="14" t="s">
        <v>59</v>
      </c>
      <c r="G145" s="14" t="s">
        <v>44</v>
      </c>
      <c r="H145" s="14" t="s">
        <v>46</v>
      </c>
      <c r="I145" s="14" t="s">
        <v>46</v>
      </c>
      <c r="J145" s="14">
        <v>0.41</v>
      </c>
      <c r="K145" s="15">
        <v>43644</v>
      </c>
      <c r="L145" s="13" t="str" cm="1">
        <f t="array" ref="L145">_xlfn.IFS(
  OR(ISBLANK(A145),ISBLANK(C145),ISBLANK(J145)),"Missing Value",
  OR(C145&lt;18,C145&gt;120),"Review – Out of Range (Age)",
  J145&lt;0,"Review – Out of Range (Risk Score)",
  TRUE,"OK"
)</f>
        <v>OK</v>
      </c>
    </row>
    <row r="146" spans="1:12" ht="16.8" x14ac:dyDescent="0.3">
      <c r="A146" s="11" t="s">
        <v>344</v>
      </c>
      <c r="B146" s="11" t="s">
        <v>345</v>
      </c>
      <c r="C146" s="11">
        <v>19</v>
      </c>
      <c r="D146" s="11" t="s">
        <v>41</v>
      </c>
      <c r="E146" s="11" t="s">
        <v>50</v>
      </c>
      <c r="F146" s="11" t="s">
        <v>65</v>
      </c>
      <c r="G146" s="11" t="s">
        <v>55</v>
      </c>
      <c r="H146" s="11" t="s">
        <v>46</v>
      </c>
      <c r="I146" s="11" t="s">
        <v>46</v>
      </c>
      <c r="J146" s="11">
        <v>0.61</v>
      </c>
      <c r="K146" s="12">
        <v>43955</v>
      </c>
      <c r="L146" s="13" t="str" cm="1">
        <f t="array" ref="L146">_xlfn.IFS(
  OR(ISBLANK(A146),ISBLANK(C146),ISBLANK(J146)),"Missing Value",
  OR(C146&lt;18,C146&gt;120),"Review – Out of Range (Age)",
  J146&lt;0,"Review – Out of Range (Risk Score)",
  TRUE,"OK"
)</f>
        <v>OK</v>
      </c>
    </row>
    <row r="147" spans="1:12" ht="16.8" x14ac:dyDescent="0.3">
      <c r="A147" s="14" t="s">
        <v>346</v>
      </c>
      <c r="B147" s="14" t="s">
        <v>347</v>
      </c>
      <c r="C147" s="14">
        <v>42</v>
      </c>
      <c r="D147" s="14" t="s">
        <v>49</v>
      </c>
      <c r="E147" s="14" t="s">
        <v>50</v>
      </c>
      <c r="F147" s="14" t="s">
        <v>59</v>
      </c>
      <c r="G147" s="14" t="s">
        <v>44</v>
      </c>
      <c r="H147" s="14" t="s">
        <v>45</v>
      </c>
      <c r="I147" s="14" t="s">
        <v>46</v>
      </c>
      <c r="J147" s="14">
        <v>0.56999999999999995</v>
      </c>
      <c r="K147" s="15">
        <v>44991</v>
      </c>
      <c r="L147" s="13" t="str" cm="1">
        <f t="array" ref="L147">_xlfn.IFS(
  OR(ISBLANK(A147),ISBLANK(C147),ISBLANK(J147)),"Missing Value",
  OR(C147&lt;18,C147&gt;120),"Review – Out of Range (Age)",
  J147&lt;0,"Review – Out of Range (Risk Score)",
  TRUE,"OK"
)</f>
        <v>OK</v>
      </c>
    </row>
    <row r="148" spans="1:12" ht="16.8" x14ac:dyDescent="0.3">
      <c r="A148" s="11" t="s">
        <v>348</v>
      </c>
      <c r="B148" s="11" t="s">
        <v>349</v>
      </c>
      <c r="C148" s="11">
        <v>33</v>
      </c>
      <c r="D148" s="11" t="s">
        <v>49</v>
      </c>
      <c r="E148" s="11" t="s">
        <v>58</v>
      </c>
      <c r="F148" s="11" t="s">
        <v>51</v>
      </c>
      <c r="G148" s="11" t="s">
        <v>94</v>
      </c>
      <c r="H148" s="11" t="s">
        <v>45</v>
      </c>
      <c r="I148" s="11" t="s">
        <v>46</v>
      </c>
      <c r="J148" s="11">
        <v>0.63</v>
      </c>
      <c r="K148" s="12">
        <v>44240</v>
      </c>
      <c r="L148" s="13" t="str" cm="1">
        <f t="array" ref="L148">_xlfn.IFS(
  OR(ISBLANK(A148),ISBLANK(C148),ISBLANK(J148)),"Missing Value",
  OR(C148&lt;18,C148&gt;120),"Review – Out of Range (Age)",
  J148&lt;0,"Review – Out of Range (Risk Score)",
  TRUE,"OK"
)</f>
        <v>OK</v>
      </c>
    </row>
    <row r="149" spans="1:12" ht="16.8" x14ac:dyDescent="0.3">
      <c r="A149" s="14" t="s">
        <v>350</v>
      </c>
      <c r="B149" s="14" t="s">
        <v>351</v>
      </c>
      <c r="C149" s="14">
        <v>58</v>
      </c>
      <c r="D149" s="14" t="s">
        <v>49</v>
      </c>
      <c r="E149" s="14" t="s">
        <v>58</v>
      </c>
      <c r="F149" s="14" t="s">
        <v>65</v>
      </c>
      <c r="G149" s="14" t="s">
        <v>55</v>
      </c>
      <c r="H149" s="14" t="s">
        <v>46</v>
      </c>
      <c r="I149" s="14" t="s">
        <v>46</v>
      </c>
      <c r="J149" s="14">
        <v>0.35</v>
      </c>
      <c r="K149" s="15">
        <v>44648</v>
      </c>
      <c r="L149" s="13" t="str" cm="1">
        <f t="array" ref="L149">_xlfn.IFS(
  OR(ISBLANK(A149),ISBLANK(C149),ISBLANK(J149)),"Missing Value",
  OR(C149&lt;18,C149&gt;120),"Review – Out of Range (Age)",
  J149&lt;0,"Review – Out of Range (Risk Score)",
  TRUE,"OK"
)</f>
        <v>OK</v>
      </c>
    </row>
    <row r="150" spans="1:12" ht="16.8" x14ac:dyDescent="0.3">
      <c r="A150" s="11" t="s">
        <v>352</v>
      </c>
      <c r="B150" s="11" t="s">
        <v>353</v>
      </c>
      <c r="C150" s="11">
        <v>66</v>
      </c>
      <c r="D150" s="11" t="s">
        <v>41</v>
      </c>
      <c r="E150" s="11" t="s">
        <v>50</v>
      </c>
      <c r="F150" s="11" t="s">
        <v>51</v>
      </c>
      <c r="G150" s="11" t="s">
        <v>55</v>
      </c>
      <c r="H150" s="11" t="s">
        <v>46</v>
      </c>
      <c r="I150" s="11" t="s">
        <v>45</v>
      </c>
      <c r="J150" s="11">
        <v>0.63</v>
      </c>
      <c r="K150" s="12">
        <v>43127</v>
      </c>
      <c r="L150" s="13" t="str" cm="1">
        <f t="array" ref="L150">_xlfn.IFS(
  OR(ISBLANK(A150),ISBLANK(C150),ISBLANK(J150)),"Missing Value",
  OR(C150&lt;18,C150&gt;120),"Review – Out of Range (Age)",
  J150&lt;0,"Review – Out of Range (Risk Score)",
  TRUE,"OK"
)</f>
        <v>OK</v>
      </c>
    </row>
    <row r="151" spans="1:12" ht="16.8" x14ac:dyDescent="0.3">
      <c r="A151" s="14" t="s">
        <v>354</v>
      </c>
      <c r="B151" s="14" t="s">
        <v>355</v>
      </c>
      <c r="C151" s="14">
        <v>46</v>
      </c>
      <c r="D151" s="14" t="s">
        <v>41</v>
      </c>
      <c r="E151" s="14" t="s">
        <v>50</v>
      </c>
      <c r="F151" s="14" t="s">
        <v>59</v>
      </c>
      <c r="G151" s="14" t="s">
        <v>109</v>
      </c>
      <c r="H151" s="14" t="s">
        <v>46</v>
      </c>
      <c r="I151" s="14" t="s">
        <v>46</v>
      </c>
      <c r="J151" s="14">
        <v>0.25</v>
      </c>
      <c r="K151" s="15">
        <v>45054</v>
      </c>
      <c r="L151" s="13" t="str" cm="1">
        <f t="array" ref="L151">_xlfn.IFS(
  OR(ISBLANK(A151),ISBLANK(C151),ISBLANK(J151)),"Missing Value",
  OR(C151&lt;18,C151&gt;120),"Review – Out of Range (Age)",
  J151&lt;0,"Review – Out of Range (Risk Score)",
  TRUE,"OK"
)</f>
        <v>OK</v>
      </c>
    </row>
    <row r="152" spans="1:12" ht="16.8" x14ac:dyDescent="0.3">
      <c r="A152" s="11" t="s">
        <v>356</v>
      </c>
      <c r="B152" s="11" t="s">
        <v>357</v>
      </c>
      <c r="C152" s="11">
        <v>69</v>
      </c>
      <c r="D152" s="11" t="s">
        <v>49</v>
      </c>
      <c r="E152" s="11" t="s">
        <v>50</v>
      </c>
      <c r="F152" s="11" t="s">
        <v>65</v>
      </c>
      <c r="G152" s="11" t="s">
        <v>109</v>
      </c>
      <c r="H152" s="11" t="s">
        <v>45</v>
      </c>
      <c r="I152" s="11" t="s">
        <v>46</v>
      </c>
      <c r="J152" s="11">
        <v>0.92</v>
      </c>
      <c r="K152" s="12">
        <v>45255</v>
      </c>
      <c r="L152" s="13" t="str" cm="1">
        <f t="array" ref="L152">_xlfn.IFS(
  OR(ISBLANK(A152),ISBLANK(C152),ISBLANK(J152)),"Missing Value",
  OR(C152&lt;18,C152&gt;120),"Review – Out of Range (Age)",
  J152&lt;0,"Review – Out of Range (Risk Score)",
  TRUE,"OK"
)</f>
        <v>OK</v>
      </c>
    </row>
    <row r="153" spans="1:12" ht="16.8" x14ac:dyDescent="0.3">
      <c r="A153" s="14" t="s">
        <v>358</v>
      </c>
      <c r="B153" s="14" t="s">
        <v>359</v>
      </c>
      <c r="C153" s="14">
        <v>28</v>
      </c>
      <c r="D153" s="14" t="s">
        <v>41</v>
      </c>
      <c r="E153" s="14" t="s">
        <v>58</v>
      </c>
      <c r="F153" s="14" t="s">
        <v>43</v>
      </c>
      <c r="G153" s="14" t="s">
        <v>44</v>
      </c>
      <c r="H153" s="14" t="s">
        <v>45</v>
      </c>
      <c r="I153" s="14" t="s">
        <v>45</v>
      </c>
      <c r="J153" s="14">
        <v>0.45</v>
      </c>
      <c r="K153" s="15">
        <v>43848</v>
      </c>
      <c r="L153" s="13" t="str" cm="1">
        <f t="array" ref="L153">_xlfn.IFS(
  OR(ISBLANK(A153),ISBLANK(C153),ISBLANK(J153)),"Missing Value",
  OR(C153&lt;18,C153&gt;120),"Review – Out of Range (Age)",
  J153&lt;0,"Review – Out of Range (Risk Score)",
  TRUE,"OK"
)</f>
        <v>OK</v>
      </c>
    </row>
    <row r="154" spans="1:12" ht="16.8" x14ac:dyDescent="0.3">
      <c r="A154" s="11" t="s">
        <v>360</v>
      </c>
      <c r="B154" s="11" t="s">
        <v>361</v>
      </c>
      <c r="C154" s="11">
        <v>66</v>
      </c>
      <c r="D154" s="11" t="s">
        <v>41</v>
      </c>
      <c r="E154" s="11" t="s">
        <v>50</v>
      </c>
      <c r="F154" s="11" t="s">
        <v>59</v>
      </c>
      <c r="G154" s="11" t="s">
        <v>52</v>
      </c>
      <c r="H154" s="11" t="s">
        <v>45</v>
      </c>
      <c r="I154" s="11" t="s">
        <v>46</v>
      </c>
      <c r="J154" s="11">
        <v>0.53</v>
      </c>
      <c r="K154" s="12">
        <v>44039</v>
      </c>
      <c r="L154" s="13" t="str" cm="1">
        <f t="array" ref="L154">_xlfn.IFS(
  OR(ISBLANK(A154),ISBLANK(C154),ISBLANK(J154)),"Missing Value",
  OR(C154&lt;18,C154&gt;120),"Review – Out of Range (Age)",
  J154&lt;0,"Review – Out of Range (Risk Score)",
  TRUE,"OK"
)</f>
        <v>OK</v>
      </c>
    </row>
    <row r="155" spans="1:12" ht="16.8" x14ac:dyDescent="0.3">
      <c r="A155" s="14" t="s">
        <v>362</v>
      </c>
      <c r="B155" s="14" t="s">
        <v>363</v>
      </c>
      <c r="C155" s="14">
        <v>55</v>
      </c>
      <c r="D155" s="14" t="s">
        <v>49</v>
      </c>
      <c r="E155" s="14" t="s">
        <v>42</v>
      </c>
      <c r="F155" s="14" t="s">
        <v>59</v>
      </c>
      <c r="G155" s="14" t="s">
        <v>94</v>
      </c>
      <c r="H155" s="14" t="s">
        <v>45</v>
      </c>
      <c r="I155" s="14" t="s">
        <v>46</v>
      </c>
      <c r="J155" s="14">
        <v>0.72</v>
      </c>
      <c r="K155" s="15">
        <v>44814</v>
      </c>
      <c r="L155" s="13" t="str" cm="1">
        <f t="array" ref="L155">_xlfn.IFS(
  OR(ISBLANK(A155),ISBLANK(C155),ISBLANK(J155)),"Missing Value",
  OR(C155&lt;18,C155&gt;120),"Review – Out of Range (Age)",
  J155&lt;0,"Review – Out of Range (Risk Score)",
  TRUE,"OK"
)</f>
        <v>OK</v>
      </c>
    </row>
    <row r="156" spans="1:12" ht="16.8" x14ac:dyDescent="0.3">
      <c r="A156" s="11" t="s">
        <v>364</v>
      </c>
      <c r="B156" s="11" t="s">
        <v>365</v>
      </c>
      <c r="C156" s="11">
        <v>29</v>
      </c>
      <c r="D156" s="11" t="s">
        <v>49</v>
      </c>
      <c r="E156" s="11" t="s">
        <v>42</v>
      </c>
      <c r="F156" s="11" t="s">
        <v>43</v>
      </c>
      <c r="G156" s="11" t="s">
        <v>44</v>
      </c>
      <c r="H156" s="11" t="s">
        <v>46</v>
      </c>
      <c r="I156" s="11" t="s">
        <v>46</v>
      </c>
      <c r="J156" s="11">
        <v>0.56000000000000005</v>
      </c>
      <c r="K156" s="12">
        <v>44155</v>
      </c>
      <c r="L156" s="13" t="str" cm="1">
        <f t="array" ref="L156">_xlfn.IFS(
  OR(ISBLANK(A156),ISBLANK(C156),ISBLANK(J156)),"Missing Value",
  OR(C156&lt;18,C156&gt;120),"Review – Out of Range (Age)",
  J156&lt;0,"Review – Out of Range (Risk Score)",
  TRUE,"OK"
)</f>
        <v>OK</v>
      </c>
    </row>
    <row r="157" spans="1:12" ht="16.8" x14ac:dyDescent="0.3">
      <c r="A157" s="14" t="s">
        <v>366</v>
      </c>
      <c r="B157" s="14" t="s">
        <v>367</v>
      </c>
      <c r="C157" s="14">
        <v>28</v>
      </c>
      <c r="D157" s="14" t="s">
        <v>41</v>
      </c>
      <c r="E157" s="14" t="s">
        <v>50</v>
      </c>
      <c r="F157" s="14" t="s">
        <v>65</v>
      </c>
      <c r="G157" s="14" t="s">
        <v>94</v>
      </c>
      <c r="H157" s="14" t="s">
        <v>45</v>
      </c>
      <c r="I157" s="14" t="s">
        <v>45</v>
      </c>
      <c r="J157" s="14">
        <v>0.3</v>
      </c>
      <c r="K157" s="15">
        <v>44507</v>
      </c>
      <c r="L157" s="13" t="str" cm="1">
        <f t="array" ref="L157">_xlfn.IFS(
  OR(ISBLANK(A157),ISBLANK(C157),ISBLANK(J157)),"Missing Value",
  OR(C157&lt;18,C157&gt;120),"Review – Out of Range (Age)",
  J157&lt;0,"Review – Out of Range (Risk Score)",
  TRUE,"OK"
)</f>
        <v>OK</v>
      </c>
    </row>
    <row r="158" spans="1:12" ht="16.8" x14ac:dyDescent="0.3">
      <c r="A158" s="11" t="s">
        <v>368</v>
      </c>
      <c r="B158" s="11" t="s">
        <v>369</v>
      </c>
      <c r="C158" s="11">
        <v>41</v>
      </c>
      <c r="D158" s="11" t="s">
        <v>41</v>
      </c>
      <c r="E158" s="11" t="s">
        <v>42</v>
      </c>
      <c r="F158" s="11" t="s">
        <v>65</v>
      </c>
      <c r="G158" s="11" t="s">
        <v>60</v>
      </c>
      <c r="H158" s="11" t="s">
        <v>46</v>
      </c>
      <c r="I158" s="11" t="s">
        <v>46</v>
      </c>
      <c r="J158" s="11">
        <v>0.8</v>
      </c>
      <c r="K158" s="12">
        <v>43369</v>
      </c>
      <c r="L158" s="13" t="str" cm="1">
        <f t="array" ref="L158">_xlfn.IFS(
  OR(ISBLANK(A158),ISBLANK(C158),ISBLANK(J158)),"Missing Value",
  OR(C158&lt;18,C158&gt;120),"Review – Out of Range (Age)",
  J158&lt;0,"Review – Out of Range (Risk Score)",
  TRUE,"OK"
)</f>
        <v>OK</v>
      </c>
    </row>
    <row r="159" spans="1:12" ht="16.8" x14ac:dyDescent="0.3">
      <c r="A159" s="14" t="s">
        <v>370</v>
      </c>
      <c r="B159" s="14" t="s">
        <v>371</v>
      </c>
      <c r="C159" s="14">
        <v>21</v>
      </c>
      <c r="D159" s="14" t="s">
        <v>49</v>
      </c>
      <c r="E159" s="14" t="s">
        <v>42</v>
      </c>
      <c r="F159" s="14" t="s">
        <v>51</v>
      </c>
      <c r="G159" s="14" t="s">
        <v>94</v>
      </c>
      <c r="H159" s="14" t="s">
        <v>45</v>
      </c>
      <c r="I159" s="14" t="s">
        <v>46</v>
      </c>
      <c r="J159" s="14">
        <v>0.6</v>
      </c>
      <c r="K159" s="15">
        <v>45051</v>
      </c>
      <c r="L159" s="13" t="str" cm="1">
        <f t="array" ref="L159">_xlfn.IFS(
  OR(ISBLANK(A159),ISBLANK(C159),ISBLANK(J159)),"Missing Value",
  OR(C159&lt;18,C159&gt;120),"Review – Out of Range (Age)",
  J159&lt;0,"Review – Out of Range (Risk Score)",
  TRUE,"OK"
)</f>
        <v>OK</v>
      </c>
    </row>
    <row r="160" spans="1:12" ht="16.8" x14ac:dyDescent="0.3">
      <c r="A160" s="11" t="s">
        <v>372</v>
      </c>
      <c r="B160" s="11" t="s">
        <v>373</v>
      </c>
      <c r="C160" s="11">
        <v>19</v>
      </c>
      <c r="D160" s="11" t="s">
        <v>41</v>
      </c>
      <c r="E160" s="11" t="s">
        <v>42</v>
      </c>
      <c r="F160" s="11" t="s">
        <v>43</v>
      </c>
      <c r="G160" s="11" t="s">
        <v>44</v>
      </c>
      <c r="H160" s="11" t="s">
        <v>46</v>
      </c>
      <c r="I160" s="11" t="s">
        <v>46</v>
      </c>
      <c r="J160" s="11">
        <v>0.55000000000000004</v>
      </c>
      <c r="K160" s="12">
        <v>43634</v>
      </c>
      <c r="L160" s="13" t="str" cm="1">
        <f t="array" ref="L160">_xlfn.IFS(
  OR(ISBLANK(A160),ISBLANK(C160),ISBLANK(J160)),"Missing Value",
  OR(C160&lt;18,C160&gt;120),"Review – Out of Range (Age)",
  J160&lt;0,"Review – Out of Range (Risk Score)",
  TRUE,"OK"
)</f>
        <v>OK</v>
      </c>
    </row>
    <row r="161" spans="1:12" ht="16.8" x14ac:dyDescent="0.3">
      <c r="A161" s="14" t="s">
        <v>374</v>
      </c>
      <c r="B161" s="14" t="s">
        <v>375</v>
      </c>
      <c r="C161" s="14">
        <v>41</v>
      </c>
      <c r="D161" s="14" t="s">
        <v>49</v>
      </c>
      <c r="E161" s="14" t="s">
        <v>42</v>
      </c>
      <c r="F161" s="14" t="s">
        <v>65</v>
      </c>
      <c r="G161" s="14" t="s">
        <v>55</v>
      </c>
      <c r="H161" s="14" t="s">
        <v>45</v>
      </c>
      <c r="I161" s="14" t="s">
        <v>45</v>
      </c>
      <c r="J161" s="14">
        <v>0.28999999999999998</v>
      </c>
      <c r="K161" s="15">
        <v>43312</v>
      </c>
      <c r="L161" s="13" t="str" cm="1">
        <f t="array" ref="L161">_xlfn.IFS(
  OR(ISBLANK(A161),ISBLANK(C161),ISBLANK(J161)),"Missing Value",
  OR(C161&lt;18,C161&gt;120),"Review – Out of Range (Age)",
  J161&lt;0,"Review – Out of Range (Risk Score)",
  TRUE,"OK"
)</f>
        <v>OK</v>
      </c>
    </row>
    <row r="162" spans="1:12" ht="16.8" x14ac:dyDescent="0.3">
      <c r="A162" s="11" t="s">
        <v>376</v>
      </c>
      <c r="B162" s="11" t="s">
        <v>377</v>
      </c>
      <c r="C162" s="11">
        <v>56</v>
      </c>
      <c r="D162" s="11" t="s">
        <v>41</v>
      </c>
      <c r="E162" s="11" t="s">
        <v>58</v>
      </c>
      <c r="F162" s="11" t="s">
        <v>51</v>
      </c>
      <c r="G162" s="11" t="s">
        <v>55</v>
      </c>
      <c r="H162" s="11" t="s">
        <v>46</v>
      </c>
      <c r="I162" s="11" t="s">
        <v>45</v>
      </c>
      <c r="J162" s="11">
        <v>0.28999999999999998</v>
      </c>
      <c r="K162" s="12">
        <v>43718</v>
      </c>
      <c r="L162" s="13" t="str" cm="1">
        <f t="array" ref="L162">_xlfn.IFS(
  OR(ISBLANK(A162),ISBLANK(C162),ISBLANK(J162)),"Missing Value",
  OR(C162&lt;18,C162&gt;120),"Review – Out of Range (Age)",
  J162&lt;0,"Review – Out of Range (Risk Score)",
  TRUE,"OK"
)</f>
        <v>OK</v>
      </c>
    </row>
    <row r="163" spans="1:12" ht="16.8" x14ac:dyDescent="0.3">
      <c r="A163" s="14" t="s">
        <v>378</v>
      </c>
      <c r="B163" s="14" t="s">
        <v>379</v>
      </c>
      <c r="C163" s="14">
        <v>51</v>
      </c>
      <c r="D163" s="14" t="s">
        <v>49</v>
      </c>
      <c r="E163" s="14" t="s">
        <v>58</v>
      </c>
      <c r="F163" s="14" t="s">
        <v>59</v>
      </c>
      <c r="G163" s="14" t="s">
        <v>60</v>
      </c>
      <c r="H163" s="14" t="s">
        <v>45</v>
      </c>
      <c r="I163" s="14" t="s">
        <v>45</v>
      </c>
      <c r="J163" s="14">
        <v>0.34</v>
      </c>
      <c r="K163" s="15">
        <v>43255</v>
      </c>
      <c r="L163" s="13" t="str" cm="1">
        <f t="array" ref="L163">_xlfn.IFS(
  OR(ISBLANK(A163),ISBLANK(C163),ISBLANK(J163)),"Missing Value",
  OR(C163&lt;18,C163&gt;120),"Review – Out of Range (Age)",
  J163&lt;0,"Review – Out of Range (Risk Score)",
  TRUE,"OK"
)</f>
        <v>OK</v>
      </c>
    </row>
    <row r="164" spans="1:12" ht="16.8" x14ac:dyDescent="0.3">
      <c r="A164" s="11" t="s">
        <v>380</v>
      </c>
      <c r="B164" s="11" t="s">
        <v>381</v>
      </c>
      <c r="C164" s="11">
        <v>67</v>
      </c>
      <c r="D164" s="11" t="s">
        <v>41</v>
      </c>
      <c r="E164" s="11" t="s">
        <v>58</v>
      </c>
      <c r="F164" s="11" t="s">
        <v>65</v>
      </c>
      <c r="G164" s="11" t="s">
        <v>44</v>
      </c>
      <c r="H164" s="11" t="s">
        <v>46</v>
      </c>
      <c r="I164" s="11" t="s">
        <v>46</v>
      </c>
      <c r="J164" s="11">
        <v>0.68</v>
      </c>
      <c r="K164" s="12">
        <v>43786</v>
      </c>
      <c r="L164" s="13" t="str" cm="1">
        <f t="array" ref="L164">_xlfn.IFS(
  OR(ISBLANK(A164),ISBLANK(C164),ISBLANK(J164)),"Missing Value",
  OR(C164&lt;18,C164&gt;120),"Review – Out of Range (Age)",
  J164&lt;0,"Review – Out of Range (Risk Score)",
  TRUE,"OK"
)</f>
        <v>OK</v>
      </c>
    </row>
    <row r="165" spans="1:12" ht="16.8" x14ac:dyDescent="0.3">
      <c r="A165" s="14" t="s">
        <v>382</v>
      </c>
      <c r="B165" s="14" t="s">
        <v>383</v>
      </c>
      <c r="C165" s="14">
        <v>37</v>
      </c>
      <c r="D165" s="14" t="s">
        <v>41</v>
      </c>
      <c r="E165" s="14" t="s">
        <v>42</v>
      </c>
      <c r="F165" s="14" t="s">
        <v>51</v>
      </c>
      <c r="G165" s="14" t="s">
        <v>44</v>
      </c>
      <c r="H165" s="14" t="s">
        <v>46</v>
      </c>
      <c r="I165" s="14" t="s">
        <v>45</v>
      </c>
      <c r="J165" s="14">
        <v>0.88</v>
      </c>
      <c r="K165" s="15">
        <v>43375</v>
      </c>
      <c r="L165" s="13" t="str" cm="1">
        <f t="array" ref="L165">_xlfn.IFS(
  OR(ISBLANK(A165),ISBLANK(C165),ISBLANK(J165)),"Missing Value",
  OR(C165&lt;18,C165&gt;120),"Review – Out of Range (Age)",
  J165&lt;0,"Review – Out of Range (Risk Score)",
  TRUE,"OK"
)</f>
        <v>OK</v>
      </c>
    </row>
    <row r="166" spans="1:12" ht="16.8" x14ac:dyDescent="0.3">
      <c r="A166" s="11" t="s">
        <v>384</v>
      </c>
      <c r="B166" s="11" t="s">
        <v>385</v>
      </c>
      <c r="C166" s="11">
        <v>58</v>
      </c>
      <c r="D166" s="11" t="s">
        <v>49</v>
      </c>
      <c r="E166" s="11" t="s">
        <v>58</v>
      </c>
      <c r="F166" s="11" t="s">
        <v>51</v>
      </c>
      <c r="G166" s="11" t="s">
        <v>60</v>
      </c>
      <c r="H166" s="11" t="s">
        <v>45</v>
      </c>
      <c r="I166" s="11" t="s">
        <v>46</v>
      </c>
      <c r="J166" s="11">
        <v>0.28999999999999998</v>
      </c>
      <c r="K166" s="12">
        <v>44006</v>
      </c>
      <c r="L166" s="13" t="str" cm="1">
        <f t="array" ref="L166">_xlfn.IFS(
  OR(ISBLANK(A166),ISBLANK(C166),ISBLANK(J166)),"Missing Value",
  OR(C166&lt;18,C166&gt;120),"Review – Out of Range (Age)",
  J166&lt;0,"Review – Out of Range (Risk Score)",
  TRUE,"OK"
)</f>
        <v>OK</v>
      </c>
    </row>
    <row r="167" spans="1:12" ht="16.8" x14ac:dyDescent="0.3">
      <c r="A167" s="14" t="s">
        <v>386</v>
      </c>
      <c r="B167" s="14" t="s">
        <v>387</v>
      </c>
      <c r="C167" s="14">
        <v>56</v>
      </c>
      <c r="D167" s="14" t="s">
        <v>41</v>
      </c>
      <c r="E167" s="14" t="s">
        <v>58</v>
      </c>
      <c r="F167" s="14" t="s">
        <v>65</v>
      </c>
      <c r="G167" s="14" t="s">
        <v>55</v>
      </c>
      <c r="H167" s="14" t="s">
        <v>45</v>
      </c>
      <c r="I167" s="14" t="s">
        <v>45</v>
      </c>
      <c r="J167" s="14">
        <v>0.1</v>
      </c>
      <c r="K167" s="15">
        <v>43821</v>
      </c>
      <c r="L167" s="13" t="str" cm="1">
        <f t="array" ref="L167">_xlfn.IFS(
  OR(ISBLANK(A167),ISBLANK(C167),ISBLANK(J167)),"Missing Value",
  OR(C167&lt;18,C167&gt;120),"Review – Out of Range (Age)",
  J167&lt;0,"Review – Out of Range (Risk Score)",
  TRUE,"OK"
)</f>
        <v>OK</v>
      </c>
    </row>
    <row r="168" spans="1:12" ht="16.8" x14ac:dyDescent="0.3">
      <c r="A168" s="11" t="s">
        <v>388</v>
      </c>
      <c r="B168" s="11" t="s">
        <v>389</v>
      </c>
      <c r="C168" s="11">
        <v>45</v>
      </c>
      <c r="D168" s="11" t="s">
        <v>41</v>
      </c>
      <c r="E168" s="11" t="s">
        <v>58</v>
      </c>
      <c r="F168" s="11" t="s">
        <v>43</v>
      </c>
      <c r="G168" s="11" t="s">
        <v>109</v>
      </c>
      <c r="H168" s="11" t="s">
        <v>45</v>
      </c>
      <c r="I168" s="11" t="s">
        <v>45</v>
      </c>
      <c r="J168" s="11">
        <v>0.65</v>
      </c>
      <c r="K168" s="12">
        <v>43625</v>
      </c>
      <c r="L168" s="13" t="str" cm="1">
        <f t="array" ref="L168">_xlfn.IFS(
  OR(ISBLANK(A168),ISBLANK(C168),ISBLANK(J168)),"Missing Value",
  OR(C168&lt;18,C168&gt;120),"Review – Out of Range (Age)",
  J168&lt;0,"Review – Out of Range (Risk Score)",
  TRUE,"OK"
)</f>
        <v>OK</v>
      </c>
    </row>
    <row r="169" spans="1:12" ht="16.8" x14ac:dyDescent="0.3">
      <c r="A169" s="14" t="s">
        <v>390</v>
      </c>
      <c r="B169" s="14" t="s">
        <v>391</v>
      </c>
      <c r="C169" s="14">
        <v>45</v>
      </c>
      <c r="D169" s="14" t="s">
        <v>49</v>
      </c>
      <c r="E169" s="14" t="s">
        <v>42</v>
      </c>
      <c r="F169" s="14" t="s">
        <v>43</v>
      </c>
      <c r="G169" s="14" t="s">
        <v>52</v>
      </c>
      <c r="H169" s="14" t="s">
        <v>46</v>
      </c>
      <c r="I169" s="14" t="s">
        <v>46</v>
      </c>
      <c r="J169" s="14">
        <v>0.55000000000000004</v>
      </c>
      <c r="K169" s="15">
        <v>44280</v>
      </c>
      <c r="L169" s="13" t="str" cm="1">
        <f t="array" ref="L169">_xlfn.IFS(
  OR(ISBLANK(A169),ISBLANK(C169),ISBLANK(J169)),"Missing Value",
  OR(C169&lt;18,C169&gt;120),"Review – Out of Range (Age)",
  J169&lt;0,"Review – Out of Range (Risk Score)",
  TRUE,"OK"
)</f>
        <v>OK</v>
      </c>
    </row>
    <row r="170" spans="1:12" ht="16.8" x14ac:dyDescent="0.3">
      <c r="A170" s="11" t="s">
        <v>392</v>
      </c>
      <c r="B170" s="11" t="s">
        <v>393</v>
      </c>
      <c r="C170" s="11">
        <v>48</v>
      </c>
      <c r="D170" s="11" t="s">
        <v>41</v>
      </c>
      <c r="E170" s="11" t="s">
        <v>42</v>
      </c>
      <c r="F170" s="11" t="s">
        <v>65</v>
      </c>
      <c r="G170" s="11" t="s">
        <v>60</v>
      </c>
      <c r="H170" s="11" t="s">
        <v>45</v>
      </c>
      <c r="I170" s="11" t="s">
        <v>45</v>
      </c>
      <c r="J170" s="11">
        <v>0.04</v>
      </c>
      <c r="K170" s="12">
        <v>43289</v>
      </c>
      <c r="L170" s="13" t="str" cm="1">
        <f t="array" ref="L170">_xlfn.IFS(
  OR(ISBLANK(A170),ISBLANK(C170),ISBLANK(J170)),"Missing Value",
  OR(C170&lt;18,C170&gt;120),"Review – Out of Range (Age)",
  J170&lt;0,"Review – Out of Range (Risk Score)",
  TRUE,"OK"
)</f>
        <v>OK</v>
      </c>
    </row>
    <row r="171" spans="1:12" ht="16.8" x14ac:dyDescent="0.3">
      <c r="A171" s="14" t="s">
        <v>394</v>
      </c>
      <c r="B171" s="14" t="s">
        <v>395</v>
      </c>
      <c r="C171" s="14">
        <v>64</v>
      </c>
      <c r="D171" s="14" t="s">
        <v>49</v>
      </c>
      <c r="E171" s="14" t="s">
        <v>58</v>
      </c>
      <c r="F171" s="14" t="s">
        <v>59</v>
      </c>
      <c r="G171" s="14" t="s">
        <v>55</v>
      </c>
      <c r="H171" s="14" t="s">
        <v>45</v>
      </c>
      <c r="I171" s="14" t="s">
        <v>45</v>
      </c>
      <c r="J171" s="14">
        <v>0.61</v>
      </c>
      <c r="K171" s="15">
        <v>44169</v>
      </c>
      <c r="L171" s="13" t="str" cm="1">
        <f t="array" ref="L171">_xlfn.IFS(
  OR(ISBLANK(A171),ISBLANK(C171),ISBLANK(J171)),"Missing Value",
  OR(C171&lt;18,C171&gt;120),"Review – Out of Range (Age)",
  J171&lt;0,"Review – Out of Range (Risk Score)",
  TRUE,"OK"
)</f>
        <v>OK</v>
      </c>
    </row>
    <row r="172" spans="1:12" ht="16.8" x14ac:dyDescent="0.3">
      <c r="A172" s="11" t="s">
        <v>396</v>
      </c>
      <c r="B172" s="11" t="s">
        <v>397</v>
      </c>
      <c r="C172" s="11">
        <v>20</v>
      </c>
      <c r="D172" s="11" t="s">
        <v>41</v>
      </c>
      <c r="E172" s="11" t="s">
        <v>58</v>
      </c>
      <c r="F172" s="11" t="s">
        <v>59</v>
      </c>
      <c r="G172" s="11" t="s">
        <v>109</v>
      </c>
      <c r="H172" s="11" t="s">
        <v>45</v>
      </c>
      <c r="I172" s="11" t="s">
        <v>46</v>
      </c>
      <c r="J172" s="11">
        <v>0.4</v>
      </c>
      <c r="K172" s="12">
        <v>44844</v>
      </c>
      <c r="L172" s="13" t="str" cm="1">
        <f t="array" ref="L172">_xlfn.IFS(
  OR(ISBLANK(A172),ISBLANK(C172),ISBLANK(J172)),"Missing Value",
  OR(C172&lt;18,C172&gt;120),"Review – Out of Range (Age)",
  J172&lt;0,"Review – Out of Range (Risk Score)",
  TRUE,"OK"
)</f>
        <v>OK</v>
      </c>
    </row>
    <row r="173" spans="1:12" ht="16.8" x14ac:dyDescent="0.3">
      <c r="A173" s="14" t="s">
        <v>398</v>
      </c>
      <c r="B173" s="14" t="s">
        <v>399</v>
      </c>
      <c r="C173" s="14">
        <v>22</v>
      </c>
      <c r="D173" s="14" t="s">
        <v>41</v>
      </c>
      <c r="E173" s="14" t="s">
        <v>50</v>
      </c>
      <c r="F173" s="14" t="s">
        <v>43</v>
      </c>
      <c r="G173" s="14" t="s">
        <v>109</v>
      </c>
      <c r="H173" s="14" t="s">
        <v>46</v>
      </c>
      <c r="I173" s="14" t="s">
        <v>45</v>
      </c>
      <c r="J173" s="14">
        <v>0.37</v>
      </c>
      <c r="K173" s="15">
        <v>44399</v>
      </c>
      <c r="L173" s="13" t="str" cm="1">
        <f t="array" ref="L173">_xlfn.IFS(
  OR(ISBLANK(A173),ISBLANK(C173),ISBLANK(J173)),"Missing Value",
  OR(C173&lt;18,C173&gt;120),"Review – Out of Range (Age)",
  J173&lt;0,"Review – Out of Range (Risk Score)",
  TRUE,"OK"
)</f>
        <v>OK</v>
      </c>
    </row>
    <row r="174" spans="1:12" ht="16.8" x14ac:dyDescent="0.3">
      <c r="A174" s="11" t="s">
        <v>400</v>
      </c>
      <c r="B174" s="11" t="s">
        <v>401</v>
      </c>
      <c r="C174" s="11">
        <v>34</v>
      </c>
      <c r="D174" s="11" t="s">
        <v>41</v>
      </c>
      <c r="E174" s="11" t="s">
        <v>58</v>
      </c>
      <c r="F174" s="11" t="s">
        <v>43</v>
      </c>
      <c r="G174" s="11" t="s">
        <v>55</v>
      </c>
      <c r="H174" s="11" t="s">
        <v>46</v>
      </c>
      <c r="I174" s="11" t="s">
        <v>46</v>
      </c>
      <c r="J174" s="11">
        <v>0.61</v>
      </c>
      <c r="K174" s="12">
        <v>44242</v>
      </c>
      <c r="L174" s="13" t="str" cm="1">
        <f t="array" ref="L174">_xlfn.IFS(
  OR(ISBLANK(A174),ISBLANK(C174),ISBLANK(J174)),"Missing Value",
  OR(C174&lt;18,C174&gt;120),"Review – Out of Range (Age)",
  J174&lt;0,"Review – Out of Range (Risk Score)",
  TRUE,"OK"
)</f>
        <v>OK</v>
      </c>
    </row>
    <row r="175" spans="1:12" ht="16.8" x14ac:dyDescent="0.3">
      <c r="A175" s="14" t="s">
        <v>402</v>
      </c>
      <c r="B175" s="14" t="s">
        <v>403</v>
      </c>
      <c r="C175" s="14">
        <v>30</v>
      </c>
      <c r="D175" s="14" t="s">
        <v>41</v>
      </c>
      <c r="E175" s="14" t="s">
        <v>58</v>
      </c>
      <c r="F175" s="14" t="s">
        <v>51</v>
      </c>
      <c r="G175" s="14" t="s">
        <v>44</v>
      </c>
      <c r="H175" s="14" t="s">
        <v>46</v>
      </c>
      <c r="I175" s="14" t="s">
        <v>45</v>
      </c>
      <c r="J175" s="14">
        <v>0.57999999999999996</v>
      </c>
      <c r="K175" s="15">
        <v>44512</v>
      </c>
      <c r="L175" s="13" t="str" cm="1">
        <f t="array" ref="L175">_xlfn.IFS(
  OR(ISBLANK(A175),ISBLANK(C175),ISBLANK(J175)),"Missing Value",
  OR(C175&lt;18,C175&gt;120),"Review – Out of Range (Age)",
  J175&lt;0,"Review – Out of Range (Risk Score)",
  TRUE,"OK"
)</f>
        <v>OK</v>
      </c>
    </row>
    <row r="176" spans="1:12" ht="16.8" x14ac:dyDescent="0.3">
      <c r="A176" s="11" t="s">
        <v>404</v>
      </c>
      <c r="B176" s="11" t="s">
        <v>405</v>
      </c>
      <c r="C176" s="11">
        <v>33</v>
      </c>
      <c r="D176" s="11" t="s">
        <v>41</v>
      </c>
      <c r="E176" s="11" t="s">
        <v>50</v>
      </c>
      <c r="F176" s="11" t="s">
        <v>43</v>
      </c>
      <c r="G176" s="11" t="s">
        <v>52</v>
      </c>
      <c r="H176" s="11" t="s">
        <v>45</v>
      </c>
      <c r="I176" s="11" t="s">
        <v>46</v>
      </c>
      <c r="J176" s="11">
        <v>0.33</v>
      </c>
      <c r="K176" s="12">
        <v>44870</v>
      </c>
      <c r="L176" s="13" t="str" cm="1">
        <f t="array" ref="L176">_xlfn.IFS(
  OR(ISBLANK(A176),ISBLANK(C176),ISBLANK(J176)),"Missing Value",
  OR(C176&lt;18,C176&gt;120),"Review – Out of Range (Age)",
  J176&lt;0,"Review – Out of Range (Risk Score)",
  TRUE,"OK"
)</f>
        <v>OK</v>
      </c>
    </row>
    <row r="177" spans="1:12" ht="16.8" x14ac:dyDescent="0.3">
      <c r="A177" s="14" t="s">
        <v>406</v>
      </c>
      <c r="B177" s="14" t="s">
        <v>407</v>
      </c>
      <c r="C177" s="14">
        <v>54</v>
      </c>
      <c r="D177" s="14" t="s">
        <v>41</v>
      </c>
      <c r="E177" s="14" t="s">
        <v>42</v>
      </c>
      <c r="F177" s="14" t="s">
        <v>59</v>
      </c>
      <c r="G177" s="14" t="s">
        <v>94</v>
      </c>
      <c r="H177" s="14" t="s">
        <v>46</v>
      </c>
      <c r="I177" s="14" t="s">
        <v>45</v>
      </c>
      <c r="J177" s="14">
        <v>0.11</v>
      </c>
      <c r="K177" s="15">
        <v>43954</v>
      </c>
      <c r="L177" s="13" t="str" cm="1">
        <f t="array" ref="L177">_xlfn.IFS(
  OR(ISBLANK(A177),ISBLANK(C177),ISBLANK(J177)),"Missing Value",
  OR(C177&lt;18,C177&gt;120),"Review – Out of Range (Age)",
  J177&lt;0,"Review – Out of Range (Risk Score)",
  TRUE,"OK"
)</f>
        <v>OK</v>
      </c>
    </row>
    <row r="178" spans="1:12" ht="16.8" x14ac:dyDescent="0.3">
      <c r="A178" s="11" t="s">
        <v>408</v>
      </c>
      <c r="B178" s="11" t="s">
        <v>409</v>
      </c>
      <c r="C178" s="11">
        <v>34</v>
      </c>
      <c r="D178" s="11" t="s">
        <v>41</v>
      </c>
      <c r="E178" s="11" t="s">
        <v>42</v>
      </c>
      <c r="F178" s="11" t="s">
        <v>59</v>
      </c>
      <c r="G178" s="11" t="s">
        <v>60</v>
      </c>
      <c r="H178" s="11" t="s">
        <v>46</v>
      </c>
      <c r="I178" s="11" t="s">
        <v>46</v>
      </c>
      <c r="J178" s="11">
        <v>0.59</v>
      </c>
      <c r="K178" s="12">
        <v>44499</v>
      </c>
      <c r="L178" s="13" t="str" cm="1">
        <f t="array" ref="L178">_xlfn.IFS(
  OR(ISBLANK(A178),ISBLANK(C178),ISBLANK(J178)),"Missing Value",
  OR(C178&lt;18,C178&gt;120),"Review – Out of Range (Age)",
  J178&lt;0,"Review – Out of Range (Risk Score)",
  TRUE,"OK"
)</f>
        <v>OK</v>
      </c>
    </row>
    <row r="179" spans="1:12" ht="16.8" x14ac:dyDescent="0.3">
      <c r="A179" s="14" t="s">
        <v>410</v>
      </c>
      <c r="B179" s="14" t="s">
        <v>411</v>
      </c>
      <c r="C179" s="14">
        <v>21</v>
      </c>
      <c r="D179" s="14" t="s">
        <v>49</v>
      </c>
      <c r="E179" s="14" t="s">
        <v>50</v>
      </c>
      <c r="F179" s="14" t="s">
        <v>65</v>
      </c>
      <c r="G179" s="14" t="s">
        <v>109</v>
      </c>
      <c r="H179" s="14" t="s">
        <v>46</v>
      </c>
      <c r="I179" s="14" t="s">
        <v>45</v>
      </c>
      <c r="J179" s="14">
        <v>0.18</v>
      </c>
      <c r="K179" s="15">
        <v>44059</v>
      </c>
      <c r="L179" s="13" t="str" cm="1">
        <f t="array" ref="L179">_xlfn.IFS(
  OR(ISBLANK(A179),ISBLANK(C179),ISBLANK(J179)),"Missing Value",
  OR(C179&lt;18,C179&gt;120),"Review – Out of Range (Age)",
  J179&lt;0,"Review – Out of Range (Risk Score)",
  TRUE,"OK"
)</f>
        <v>OK</v>
      </c>
    </row>
    <row r="180" spans="1:12" ht="16.8" x14ac:dyDescent="0.3">
      <c r="A180" s="11" t="s">
        <v>412</v>
      </c>
      <c r="B180" s="11" t="s">
        <v>413</v>
      </c>
      <c r="C180" s="11">
        <v>38</v>
      </c>
      <c r="D180" s="11" t="s">
        <v>41</v>
      </c>
      <c r="E180" s="11" t="s">
        <v>50</v>
      </c>
      <c r="F180" s="11" t="s">
        <v>65</v>
      </c>
      <c r="G180" s="11" t="s">
        <v>60</v>
      </c>
      <c r="H180" s="11" t="s">
        <v>45</v>
      </c>
      <c r="I180" s="11" t="s">
        <v>45</v>
      </c>
      <c r="J180" s="11">
        <v>0.68</v>
      </c>
      <c r="K180" s="12">
        <v>44660</v>
      </c>
      <c r="L180" s="13" t="str" cm="1">
        <f t="array" ref="L180">_xlfn.IFS(
  OR(ISBLANK(A180),ISBLANK(C180),ISBLANK(J180)),"Missing Value",
  OR(C180&lt;18,C180&gt;120),"Review – Out of Range (Age)",
  J180&lt;0,"Review – Out of Range (Risk Score)",
  TRUE,"OK"
)</f>
        <v>OK</v>
      </c>
    </row>
    <row r="181" spans="1:12" ht="16.8" x14ac:dyDescent="0.3">
      <c r="A181" s="14" t="s">
        <v>414</v>
      </c>
      <c r="B181" s="14" t="s">
        <v>415</v>
      </c>
      <c r="C181" s="14">
        <v>37</v>
      </c>
      <c r="D181" s="14" t="s">
        <v>41</v>
      </c>
      <c r="E181" s="14" t="s">
        <v>42</v>
      </c>
      <c r="F181" s="14" t="s">
        <v>51</v>
      </c>
      <c r="G181" s="14" t="s">
        <v>52</v>
      </c>
      <c r="H181" s="14" t="s">
        <v>45</v>
      </c>
      <c r="I181" s="14" t="s">
        <v>46</v>
      </c>
      <c r="J181" s="14">
        <v>0.56999999999999995</v>
      </c>
      <c r="K181" s="15">
        <v>44769</v>
      </c>
      <c r="L181" s="13" t="str" cm="1">
        <f t="array" ref="L181">_xlfn.IFS(
  OR(ISBLANK(A181),ISBLANK(C181),ISBLANK(J181)),"Missing Value",
  OR(C181&lt;18,C181&gt;120),"Review – Out of Range (Age)",
  J181&lt;0,"Review – Out of Range (Risk Score)",
  TRUE,"OK"
)</f>
        <v>OK</v>
      </c>
    </row>
    <row r="182" spans="1:12" ht="16.8" x14ac:dyDescent="0.3">
      <c r="A182" s="11" t="s">
        <v>416</v>
      </c>
      <c r="B182" s="11" t="s">
        <v>417</v>
      </c>
      <c r="C182" s="11">
        <v>40</v>
      </c>
      <c r="D182" s="11" t="s">
        <v>41</v>
      </c>
      <c r="E182" s="11" t="s">
        <v>50</v>
      </c>
      <c r="F182" s="11" t="s">
        <v>59</v>
      </c>
      <c r="G182" s="11" t="s">
        <v>55</v>
      </c>
      <c r="H182" s="11" t="s">
        <v>46</v>
      </c>
      <c r="I182" s="11" t="s">
        <v>45</v>
      </c>
      <c r="J182" s="11">
        <v>0.9</v>
      </c>
      <c r="K182" s="12">
        <v>43400</v>
      </c>
      <c r="L182" s="13" t="str" cm="1">
        <f t="array" ref="L182">_xlfn.IFS(
  OR(ISBLANK(A182),ISBLANK(C182),ISBLANK(J182)),"Missing Value",
  OR(C182&lt;18,C182&gt;120),"Review – Out of Range (Age)",
  J182&lt;0,"Review – Out of Range (Risk Score)",
  TRUE,"OK"
)</f>
        <v>OK</v>
      </c>
    </row>
    <row r="183" spans="1:12" ht="16.8" x14ac:dyDescent="0.3">
      <c r="A183" s="14" t="s">
        <v>418</v>
      </c>
      <c r="B183" s="14" t="s">
        <v>419</v>
      </c>
      <c r="C183" s="14">
        <v>18</v>
      </c>
      <c r="D183" s="14" t="s">
        <v>49</v>
      </c>
      <c r="E183" s="14" t="s">
        <v>58</v>
      </c>
      <c r="F183" s="14" t="s">
        <v>65</v>
      </c>
      <c r="G183" s="14" t="s">
        <v>109</v>
      </c>
      <c r="H183" s="14" t="s">
        <v>45</v>
      </c>
      <c r="I183" s="14" t="s">
        <v>45</v>
      </c>
      <c r="J183" s="14">
        <v>0.44</v>
      </c>
      <c r="K183" s="15">
        <v>43214</v>
      </c>
      <c r="L183" s="13" t="str" cm="1">
        <f t="array" ref="L183">_xlfn.IFS(
  OR(ISBLANK(A183),ISBLANK(C183),ISBLANK(J183)),"Missing Value",
  OR(C183&lt;18,C183&gt;120),"Review – Out of Range (Age)",
  J183&lt;0,"Review – Out of Range (Risk Score)",
  TRUE,"OK"
)</f>
        <v>OK</v>
      </c>
    </row>
    <row r="184" spans="1:12" ht="16.8" x14ac:dyDescent="0.3">
      <c r="A184" s="11" t="s">
        <v>420</v>
      </c>
      <c r="B184" s="11" t="s">
        <v>421</v>
      </c>
      <c r="C184" s="11">
        <v>63</v>
      </c>
      <c r="D184" s="11" t="s">
        <v>49</v>
      </c>
      <c r="E184" s="11" t="s">
        <v>58</v>
      </c>
      <c r="F184" s="11" t="s">
        <v>59</v>
      </c>
      <c r="G184" s="11" t="s">
        <v>55</v>
      </c>
      <c r="H184" s="11" t="s">
        <v>45</v>
      </c>
      <c r="I184" s="11" t="s">
        <v>45</v>
      </c>
      <c r="J184" s="11">
        <v>0.25</v>
      </c>
      <c r="K184" s="12">
        <v>45107</v>
      </c>
      <c r="L184" s="13" t="str" cm="1">
        <f t="array" ref="L184">_xlfn.IFS(
  OR(ISBLANK(A184),ISBLANK(C184),ISBLANK(J184)),"Missing Value",
  OR(C184&lt;18,C184&gt;120),"Review – Out of Range (Age)",
  J184&lt;0,"Review – Out of Range (Risk Score)",
  TRUE,"OK"
)</f>
        <v>OK</v>
      </c>
    </row>
    <row r="185" spans="1:12" ht="16.8" x14ac:dyDescent="0.3">
      <c r="A185" s="14" t="s">
        <v>422</v>
      </c>
      <c r="B185" s="14" t="s">
        <v>423</v>
      </c>
      <c r="C185" s="14">
        <v>50</v>
      </c>
      <c r="D185" s="14" t="s">
        <v>41</v>
      </c>
      <c r="E185" s="14" t="s">
        <v>50</v>
      </c>
      <c r="F185" s="14" t="s">
        <v>59</v>
      </c>
      <c r="G185" s="14" t="s">
        <v>52</v>
      </c>
      <c r="H185" s="14" t="s">
        <v>45</v>
      </c>
      <c r="I185" s="14" t="s">
        <v>45</v>
      </c>
      <c r="J185" s="14">
        <v>0.67</v>
      </c>
      <c r="K185" s="15">
        <v>43375</v>
      </c>
      <c r="L185" s="13" t="str" cm="1">
        <f t="array" ref="L185">_xlfn.IFS(
  OR(ISBLANK(A185),ISBLANK(C185),ISBLANK(J185)),"Missing Value",
  OR(C185&lt;18,C185&gt;120),"Review – Out of Range (Age)",
  J185&lt;0,"Review – Out of Range (Risk Score)",
  TRUE,"OK"
)</f>
        <v>OK</v>
      </c>
    </row>
    <row r="186" spans="1:12" ht="16.8" x14ac:dyDescent="0.3">
      <c r="A186" s="11" t="s">
        <v>424</v>
      </c>
      <c r="B186" s="11" t="s">
        <v>425</v>
      </c>
      <c r="C186" s="11">
        <v>37</v>
      </c>
      <c r="D186" s="11" t="s">
        <v>49</v>
      </c>
      <c r="E186" s="11" t="s">
        <v>42</v>
      </c>
      <c r="F186" s="11" t="s">
        <v>43</v>
      </c>
      <c r="G186" s="11" t="s">
        <v>109</v>
      </c>
      <c r="H186" s="11" t="s">
        <v>45</v>
      </c>
      <c r="I186" s="11" t="s">
        <v>46</v>
      </c>
      <c r="J186" s="11">
        <v>0.68</v>
      </c>
      <c r="K186" s="12">
        <v>43361</v>
      </c>
      <c r="L186" s="13" t="str" cm="1">
        <f t="array" ref="L186">_xlfn.IFS(
  OR(ISBLANK(A186),ISBLANK(C186),ISBLANK(J186)),"Missing Value",
  OR(C186&lt;18,C186&gt;120),"Review – Out of Range (Age)",
  J186&lt;0,"Review – Out of Range (Risk Score)",
  TRUE,"OK"
)</f>
        <v>OK</v>
      </c>
    </row>
    <row r="187" spans="1:12" ht="16.8" x14ac:dyDescent="0.3">
      <c r="A187" s="14" t="s">
        <v>426</v>
      </c>
      <c r="B187" s="14" t="s">
        <v>427</v>
      </c>
      <c r="C187" s="14">
        <v>53</v>
      </c>
      <c r="D187" s="14" t="s">
        <v>49</v>
      </c>
      <c r="E187" s="14" t="s">
        <v>58</v>
      </c>
      <c r="F187" s="14" t="s">
        <v>43</v>
      </c>
      <c r="G187" s="14" t="s">
        <v>44</v>
      </c>
      <c r="H187" s="14" t="s">
        <v>45</v>
      </c>
      <c r="I187" s="14" t="s">
        <v>46</v>
      </c>
      <c r="J187" s="14">
        <v>0.47</v>
      </c>
      <c r="K187" s="15">
        <v>44589</v>
      </c>
      <c r="L187" s="13" t="str" cm="1">
        <f t="array" ref="L187">_xlfn.IFS(
  OR(ISBLANK(A187),ISBLANK(C187),ISBLANK(J187)),"Missing Value",
  OR(C187&lt;18,C187&gt;120),"Review – Out of Range (Age)",
  J187&lt;0,"Review – Out of Range (Risk Score)",
  TRUE,"OK"
)</f>
        <v>OK</v>
      </c>
    </row>
    <row r="188" spans="1:12" ht="16.8" x14ac:dyDescent="0.3">
      <c r="A188" s="11" t="s">
        <v>428</v>
      </c>
      <c r="B188" s="11" t="s">
        <v>429</v>
      </c>
      <c r="C188" s="11">
        <v>46</v>
      </c>
      <c r="D188" s="11" t="s">
        <v>49</v>
      </c>
      <c r="E188" s="11" t="s">
        <v>58</v>
      </c>
      <c r="F188" s="11" t="s">
        <v>43</v>
      </c>
      <c r="G188" s="11" t="s">
        <v>109</v>
      </c>
      <c r="H188" s="11" t="s">
        <v>46</v>
      </c>
      <c r="I188" s="11" t="s">
        <v>46</v>
      </c>
      <c r="J188" s="11">
        <v>0.63</v>
      </c>
      <c r="K188" s="12">
        <v>43505</v>
      </c>
      <c r="L188" s="13" t="str" cm="1">
        <f t="array" ref="L188">_xlfn.IFS(
  OR(ISBLANK(A188),ISBLANK(C188),ISBLANK(J188)),"Missing Value",
  OR(C188&lt;18,C188&gt;120),"Review – Out of Range (Age)",
  J188&lt;0,"Review – Out of Range (Risk Score)",
  TRUE,"OK"
)</f>
        <v>OK</v>
      </c>
    </row>
    <row r="189" spans="1:12" ht="16.8" x14ac:dyDescent="0.3">
      <c r="A189" s="14" t="s">
        <v>430</v>
      </c>
      <c r="B189" s="14" t="s">
        <v>431</v>
      </c>
      <c r="C189" s="14">
        <v>36</v>
      </c>
      <c r="D189" s="14" t="s">
        <v>49</v>
      </c>
      <c r="E189" s="14" t="s">
        <v>50</v>
      </c>
      <c r="F189" s="14" t="s">
        <v>65</v>
      </c>
      <c r="G189" s="14" t="s">
        <v>52</v>
      </c>
      <c r="H189" s="14" t="s">
        <v>45</v>
      </c>
      <c r="I189" s="14" t="s">
        <v>45</v>
      </c>
      <c r="J189" s="14">
        <v>0.7</v>
      </c>
      <c r="K189" s="15">
        <v>45114</v>
      </c>
      <c r="L189" s="13" t="str" cm="1">
        <f t="array" ref="L189">_xlfn.IFS(
  OR(ISBLANK(A189),ISBLANK(C189),ISBLANK(J189)),"Missing Value",
  OR(C189&lt;18,C189&gt;120),"Review – Out of Range (Age)",
  J189&lt;0,"Review – Out of Range (Risk Score)",
  TRUE,"OK"
)</f>
        <v>OK</v>
      </c>
    </row>
    <row r="190" spans="1:12" ht="16.8" x14ac:dyDescent="0.3">
      <c r="A190" s="11" t="s">
        <v>432</v>
      </c>
      <c r="B190" s="11" t="s">
        <v>433</v>
      </c>
      <c r="C190" s="11">
        <v>31</v>
      </c>
      <c r="D190" s="11" t="s">
        <v>49</v>
      </c>
      <c r="E190" s="11" t="s">
        <v>58</v>
      </c>
      <c r="F190" s="11" t="s">
        <v>43</v>
      </c>
      <c r="G190" s="11" t="s">
        <v>55</v>
      </c>
      <c r="H190" s="11" t="s">
        <v>45</v>
      </c>
      <c r="I190" s="11" t="s">
        <v>46</v>
      </c>
      <c r="J190" s="11">
        <v>0.52</v>
      </c>
      <c r="K190" s="12">
        <v>43135</v>
      </c>
      <c r="L190" s="13" t="str" cm="1">
        <f t="array" ref="L190">_xlfn.IFS(
  OR(ISBLANK(A190),ISBLANK(C190),ISBLANK(J190)),"Missing Value",
  OR(C190&lt;18,C190&gt;120),"Review – Out of Range (Age)",
  J190&lt;0,"Review – Out of Range (Risk Score)",
  TRUE,"OK"
)</f>
        <v>OK</v>
      </c>
    </row>
    <row r="191" spans="1:12" ht="16.8" x14ac:dyDescent="0.3">
      <c r="A191" s="14" t="s">
        <v>434</v>
      </c>
      <c r="B191" s="14" t="s">
        <v>435</v>
      </c>
      <c r="C191" s="14">
        <v>41</v>
      </c>
      <c r="D191" s="14" t="s">
        <v>49</v>
      </c>
      <c r="E191" s="14" t="s">
        <v>50</v>
      </c>
      <c r="F191" s="14" t="s">
        <v>59</v>
      </c>
      <c r="G191" s="14" t="s">
        <v>109</v>
      </c>
      <c r="H191" s="14" t="s">
        <v>45</v>
      </c>
      <c r="I191" s="14" t="s">
        <v>45</v>
      </c>
      <c r="J191" s="14">
        <v>0.46</v>
      </c>
      <c r="K191" s="15">
        <v>44450</v>
      </c>
      <c r="L191" s="13" t="str" cm="1">
        <f t="array" ref="L191">_xlfn.IFS(
  OR(ISBLANK(A191),ISBLANK(C191),ISBLANK(J191)),"Missing Value",
  OR(C191&lt;18,C191&gt;120),"Review – Out of Range (Age)",
  J191&lt;0,"Review – Out of Range (Risk Score)",
  TRUE,"OK"
)</f>
        <v>OK</v>
      </c>
    </row>
    <row r="192" spans="1:12" ht="16.8" x14ac:dyDescent="0.3">
      <c r="A192" s="11" t="s">
        <v>436</v>
      </c>
      <c r="B192" s="11" t="s">
        <v>437</v>
      </c>
      <c r="C192" s="11">
        <v>55</v>
      </c>
      <c r="D192" s="11" t="s">
        <v>49</v>
      </c>
      <c r="E192" s="11" t="s">
        <v>50</v>
      </c>
      <c r="F192" s="11" t="s">
        <v>59</v>
      </c>
      <c r="G192" s="11" t="s">
        <v>109</v>
      </c>
      <c r="H192" s="11" t="s">
        <v>45</v>
      </c>
      <c r="I192" s="11" t="s">
        <v>46</v>
      </c>
      <c r="J192" s="11">
        <v>0.39</v>
      </c>
      <c r="K192" s="12">
        <v>45018</v>
      </c>
      <c r="L192" s="13" t="str" cm="1">
        <f t="array" ref="L192">_xlfn.IFS(
  OR(ISBLANK(A192),ISBLANK(C192),ISBLANK(J192)),"Missing Value",
  OR(C192&lt;18,C192&gt;120),"Review – Out of Range (Age)",
  J192&lt;0,"Review – Out of Range (Risk Score)",
  TRUE,"OK"
)</f>
        <v>OK</v>
      </c>
    </row>
    <row r="193" spans="1:12" ht="16.8" x14ac:dyDescent="0.3">
      <c r="A193" s="14" t="s">
        <v>438</v>
      </c>
      <c r="B193" s="14" t="s">
        <v>439</v>
      </c>
      <c r="C193" s="14">
        <v>55</v>
      </c>
      <c r="D193" s="14" t="s">
        <v>49</v>
      </c>
      <c r="E193" s="14" t="s">
        <v>58</v>
      </c>
      <c r="F193" s="14" t="s">
        <v>65</v>
      </c>
      <c r="G193" s="14" t="s">
        <v>60</v>
      </c>
      <c r="H193" s="14" t="s">
        <v>46</v>
      </c>
      <c r="I193" s="14" t="s">
        <v>46</v>
      </c>
      <c r="J193" s="14">
        <v>0.4</v>
      </c>
      <c r="K193" s="15">
        <v>44866</v>
      </c>
      <c r="L193" s="13" t="str" cm="1">
        <f t="array" ref="L193">_xlfn.IFS(
  OR(ISBLANK(A193),ISBLANK(C193),ISBLANK(J193)),"Missing Value",
  OR(C193&lt;18,C193&gt;120),"Review – Out of Range (Age)",
  J193&lt;0,"Review – Out of Range (Risk Score)",
  TRUE,"OK"
)</f>
        <v>OK</v>
      </c>
    </row>
    <row r="194" spans="1:12" ht="16.8" x14ac:dyDescent="0.3">
      <c r="A194" s="11" t="s">
        <v>440</v>
      </c>
      <c r="B194" s="11" t="s">
        <v>441</v>
      </c>
      <c r="C194" s="11">
        <v>40</v>
      </c>
      <c r="D194" s="11" t="s">
        <v>49</v>
      </c>
      <c r="E194" s="11" t="s">
        <v>50</v>
      </c>
      <c r="F194" s="11" t="s">
        <v>59</v>
      </c>
      <c r="G194" s="11" t="s">
        <v>94</v>
      </c>
      <c r="H194" s="11" t="s">
        <v>45</v>
      </c>
      <c r="I194" s="11" t="s">
        <v>45</v>
      </c>
      <c r="J194" s="11">
        <v>0.49</v>
      </c>
      <c r="K194" s="12">
        <v>43243</v>
      </c>
      <c r="L194" s="13" t="str" cm="1">
        <f t="array" ref="L194">_xlfn.IFS(
  OR(ISBLANK(A194),ISBLANK(C194),ISBLANK(J194)),"Missing Value",
  OR(C194&lt;18,C194&gt;120),"Review – Out of Range (Age)",
  J194&lt;0,"Review – Out of Range (Risk Score)",
  TRUE,"OK"
)</f>
        <v>OK</v>
      </c>
    </row>
    <row r="195" spans="1:12" ht="16.8" x14ac:dyDescent="0.3">
      <c r="A195" s="14" t="s">
        <v>442</v>
      </c>
      <c r="B195" s="14" t="s">
        <v>443</v>
      </c>
      <c r="C195" s="14">
        <v>40</v>
      </c>
      <c r="D195" s="14" t="s">
        <v>41</v>
      </c>
      <c r="E195" s="14" t="s">
        <v>58</v>
      </c>
      <c r="F195" s="14" t="s">
        <v>43</v>
      </c>
      <c r="G195" s="14" t="s">
        <v>60</v>
      </c>
      <c r="H195" s="14" t="s">
        <v>45</v>
      </c>
      <c r="I195" s="14" t="s">
        <v>45</v>
      </c>
      <c r="J195" s="14">
        <v>0.57999999999999996</v>
      </c>
      <c r="K195" s="15">
        <v>44869</v>
      </c>
      <c r="L195" s="13" t="str" cm="1">
        <f t="array" ref="L195">_xlfn.IFS(
  OR(ISBLANK(A195),ISBLANK(C195),ISBLANK(J195)),"Missing Value",
  OR(C195&lt;18,C195&gt;120),"Review – Out of Range (Age)",
  J195&lt;0,"Review – Out of Range (Risk Score)",
  TRUE,"OK"
)</f>
        <v>OK</v>
      </c>
    </row>
    <row r="196" spans="1:12" ht="16.8" x14ac:dyDescent="0.3">
      <c r="A196" s="11" t="s">
        <v>444</v>
      </c>
      <c r="B196" s="11" t="s">
        <v>445</v>
      </c>
      <c r="C196" s="11">
        <v>48</v>
      </c>
      <c r="D196" s="11" t="s">
        <v>41</v>
      </c>
      <c r="E196" s="11" t="s">
        <v>50</v>
      </c>
      <c r="F196" s="11" t="s">
        <v>51</v>
      </c>
      <c r="G196" s="11" t="s">
        <v>60</v>
      </c>
      <c r="H196" s="11" t="s">
        <v>46</v>
      </c>
      <c r="I196" s="11" t="s">
        <v>46</v>
      </c>
      <c r="J196" s="11">
        <v>0.44</v>
      </c>
      <c r="K196" s="12">
        <v>44153</v>
      </c>
      <c r="L196" s="13" t="str" cm="1">
        <f t="array" ref="L196">_xlfn.IFS(
  OR(ISBLANK(A196),ISBLANK(C196),ISBLANK(J196)),"Missing Value",
  OR(C196&lt;18,C196&gt;120),"Review – Out of Range (Age)",
  J196&lt;0,"Review – Out of Range (Risk Score)",
  TRUE,"OK"
)</f>
        <v>OK</v>
      </c>
    </row>
    <row r="197" spans="1:12" ht="16.8" x14ac:dyDescent="0.3">
      <c r="A197" s="14" t="s">
        <v>446</v>
      </c>
      <c r="B197" s="14" t="s">
        <v>447</v>
      </c>
      <c r="C197" s="14">
        <v>29</v>
      </c>
      <c r="D197" s="14" t="s">
        <v>41</v>
      </c>
      <c r="E197" s="14" t="s">
        <v>42</v>
      </c>
      <c r="F197" s="14" t="s">
        <v>59</v>
      </c>
      <c r="G197" s="14" t="s">
        <v>55</v>
      </c>
      <c r="H197" s="14" t="s">
        <v>46</v>
      </c>
      <c r="I197" s="14" t="s">
        <v>46</v>
      </c>
      <c r="J197" s="14">
        <v>0.5</v>
      </c>
      <c r="K197" s="15">
        <v>44091</v>
      </c>
      <c r="L197" s="13" t="str" cm="1">
        <f t="array" ref="L197">_xlfn.IFS(
  OR(ISBLANK(A197),ISBLANK(C197),ISBLANK(J197)),"Missing Value",
  OR(C197&lt;18,C197&gt;120),"Review – Out of Range (Age)",
  J197&lt;0,"Review – Out of Range (Risk Score)",
  TRUE,"OK"
)</f>
        <v>OK</v>
      </c>
    </row>
    <row r="198" spans="1:12" ht="16.8" x14ac:dyDescent="0.3">
      <c r="A198" s="11" t="s">
        <v>448</v>
      </c>
      <c r="B198" s="11" t="s">
        <v>449</v>
      </c>
      <c r="C198" s="11">
        <v>23</v>
      </c>
      <c r="D198" s="11" t="s">
        <v>49</v>
      </c>
      <c r="E198" s="11" t="s">
        <v>58</v>
      </c>
      <c r="F198" s="11" t="s">
        <v>65</v>
      </c>
      <c r="G198" s="11" t="s">
        <v>52</v>
      </c>
      <c r="H198" s="11" t="s">
        <v>45</v>
      </c>
      <c r="I198" s="11" t="s">
        <v>45</v>
      </c>
      <c r="J198" s="11">
        <v>0.56999999999999995</v>
      </c>
      <c r="K198" s="12">
        <v>44622</v>
      </c>
      <c r="L198" s="13" t="str" cm="1">
        <f t="array" ref="L198">_xlfn.IFS(
  OR(ISBLANK(A198),ISBLANK(C198),ISBLANK(J198)),"Missing Value",
  OR(C198&lt;18,C198&gt;120),"Review – Out of Range (Age)",
  J198&lt;0,"Review – Out of Range (Risk Score)",
  TRUE,"OK"
)</f>
        <v>OK</v>
      </c>
    </row>
    <row r="199" spans="1:12" ht="16.8" x14ac:dyDescent="0.3">
      <c r="A199" s="14" t="s">
        <v>450</v>
      </c>
      <c r="B199" s="14" t="s">
        <v>451</v>
      </c>
      <c r="C199" s="14">
        <v>19</v>
      </c>
      <c r="D199" s="14" t="s">
        <v>49</v>
      </c>
      <c r="E199" s="14" t="s">
        <v>42</v>
      </c>
      <c r="F199" s="14" t="s">
        <v>65</v>
      </c>
      <c r="G199" s="14" t="s">
        <v>60</v>
      </c>
      <c r="H199" s="14" t="s">
        <v>45</v>
      </c>
      <c r="I199" s="14" t="s">
        <v>45</v>
      </c>
      <c r="J199" s="14">
        <v>0.53</v>
      </c>
      <c r="K199" s="15">
        <v>44137</v>
      </c>
      <c r="L199" s="13" t="str" cm="1">
        <f t="array" ref="L199">_xlfn.IFS(
  OR(ISBLANK(A199),ISBLANK(C199),ISBLANK(J199)),"Missing Value",
  OR(C199&lt;18,C199&gt;120),"Review – Out of Range (Age)",
  J199&lt;0,"Review – Out of Range (Risk Score)",
  TRUE,"OK"
)</f>
        <v>OK</v>
      </c>
    </row>
    <row r="200" spans="1:12" ht="16.8" x14ac:dyDescent="0.3">
      <c r="A200" s="11" t="s">
        <v>452</v>
      </c>
      <c r="B200" s="11" t="s">
        <v>453</v>
      </c>
      <c r="C200" s="11">
        <v>52</v>
      </c>
      <c r="D200" s="11" t="s">
        <v>49</v>
      </c>
      <c r="E200" s="11" t="s">
        <v>58</v>
      </c>
      <c r="F200" s="11" t="s">
        <v>59</v>
      </c>
      <c r="G200" s="11" t="s">
        <v>52</v>
      </c>
      <c r="H200" s="11" t="s">
        <v>46</v>
      </c>
      <c r="I200" s="11" t="s">
        <v>45</v>
      </c>
      <c r="J200" s="11">
        <v>0.14000000000000001</v>
      </c>
      <c r="K200" s="12">
        <v>43919</v>
      </c>
      <c r="L200" s="13" t="str" cm="1">
        <f t="array" ref="L200">_xlfn.IFS(
  OR(ISBLANK(A200),ISBLANK(C200),ISBLANK(J200)),"Missing Value",
  OR(C200&lt;18,C200&gt;120),"Review – Out of Range (Age)",
  J200&lt;0,"Review – Out of Range (Risk Score)",
  TRUE,"OK"
)</f>
        <v>OK</v>
      </c>
    </row>
    <row r="201" spans="1:12" ht="16.8" x14ac:dyDescent="0.3">
      <c r="A201" s="14" t="s">
        <v>454</v>
      </c>
      <c r="B201" s="14" t="s">
        <v>455</v>
      </c>
      <c r="C201" s="14">
        <v>51</v>
      </c>
      <c r="D201" s="14" t="s">
        <v>49</v>
      </c>
      <c r="E201" s="14" t="s">
        <v>50</v>
      </c>
      <c r="F201" s="14" t="s">
        <v>51</v>
      </c>
      <c r="G201" s="14" t="s">
        <v>94</v>
      </c>
      <c r="H201" s="14" t="s">
        <v>46</v>
      </c>
      <c r="I201" s="14" t="s">
        <v>45</v>
      </c>
      <c r="J201" s="14">
        <v>0.4</v>
      </c>
      <c r="K201" s="15">
        <v>44530</v>
      </c>
      <c r="L201" s="13" t="str" cm="1">
        <f t="array" ref="L201">_xlfn.IFS(
  OR(ISBLANK(A201),ISBLANK(C201),ISBLANK(J201)),"Missing Value",
  OR(C201&lt;18,C201&gt;120),"Review – Out of Range (Age)",
  J201&lt;0,"Review – Out of Range (Risk Score)",
  TRUE,"OK"
)</f>
        <v>OK</v>
      </c>
    </row>
    <row r="202" spans="1:12" ht="16.8" x14ac:dyDescent="0.3">
      <c r="A202" s="11" t="s">
        <v>456</v>
      </c>
      <c r="B202" s="11" t="s">
        <v>457</v>
      </c>
      <c r="C202" s="11">
        <v>22</v>
      </c>
      <c r="D202" s="11" t="s">
        <v>49</v>
      </c>
      <c r="E202" s="11" t="s">
        <v>58</v>
      </c>
      <c r="F202" s="11" t="s">
        <v>43</v>
      </c>
      <c r="G202" s="11" t="s">
        <v>60</v>
      </c>
      <c r="H202" s="11" t="s">
        <v>46</v>
      </c>
      <c r="I202" s="11" t="s">
        <v>45</v>
      </c>
      <c r="J202" s="11">
        <v>0.69</v>
      </c>
      <c r="K202" s="12">
        <v>44892</v>
      </c>
      <c r="L202" s="13" t="str" cm="1">
        <f t="array" ref="L202">_xlfn.IFS(
  OR(ISBLANK(A202),ISBLANK(C202),ISBLANK(J202)),"Missing Value",
  OR(C202&lt;18,C202&gt;120),"Review – Out of Range (Age)",
  J202&lt;0,"Review – Out of Range (Risk Score)",
  TRUE,"OK"
)</f>
        <v>OK</v>
      </c>
    </row>
    <row r="203" spans="1:12" ht="16.8" x14ac:dyDescent="0.3">
      <c r="A203" s="14" t="s">
        <v>458</v>
      </c>
      <c r="B203" s="14" t="s">
        <v>459</v>
      </c>
      <c r="C203" s="14">
        <v>32</v>
      </c>
      <c r="D203" s="14" t="s">
        <v>41</v>
      </c>
      <c r="E203" s="14" t="s">
        <v>50</v>
      </c>
      <c r="F203" s="14" t="s">
        <v>51</v>
      </c>
      <c r="G203" s="14" t="s">
        <v>109</v>
      </c>
      <c r="H203" s="14" t="s">
        <v>46</v>
      </c>
      <c r="I203" s="14" t="s">
        <v>45</v>
      </c>
      <c r="J203" s="14">
        <v>0.65</v>
      </c>
      <c r="K203" s="15">
        <v>43629</v>
      </c>
      <c r="L203" s="13" t="str" cm="1">
        <f t="array" ref="L203">_xlfn.IFS(
  OR(ISBLANK(A203),ISBLANK(C203),ISBLANK(J203)),"Missing Value",
  OR(C203&lt;18,C203&gt;120),"Review – Out of Range (Age)",
  J203&lt;0,"Review – Out of Range (Risk Score)",
  TRUE,"OK"
)</f>
        <v>OK</v>
      </c>
    </row>
    <row r="204" spans="1:12" ht="16.8" x14ac:dyDescent="0.3">
      <c r="A204" s="11" t="s">
        <v>460</v>
      </c>
      <c r="B204" s="11" t="s">
        <v>461</v>
      </c>
      <c r="C204" s="11">
        <v>60</v>
      </c>
      <c r="D204" s="11" t="s">
        <v>49</v>
      </c>
      <c r="E204" s="11" t="s">
        <v>58</v>
      </c>
      <c r="F204" s="11" t="s">
        <v>65</v>
      </c>
      <c r="G204" s="11" t="s">
        <v>94</v>
      </c>
      <c r="H204" s="11" t="s">
        <v>45</v>
      </c>
      <c r="I204" s="11" t="s">
        <v>45</v>
      </c>
      <c r="J204" s="11">
        <v>0.46</v>
      </c>
      <c r="K204" s="12">
        <v>43789</v>
      </c>
      <c r="L204" s="13" t="str" cm="1">
        <f t="array" ref="L204">_xlfn.IFS(
  OR(ISBLANK(A204),ISBLANK(C204),ISBLANK(J204)),"Missing Value",
  OR(C204&lt;18,C204&gt;120),"Review – Out of Range (Age)",
  J204&lt;0,"Review – Out of Range (Risk Score)",
  TRUE,"OK"
)</f>
        <v>OK</v>
      </c>
    </row>
    <row r="205" spans="1:12" ht="16.8" x14ac:dyDescent="0.3">
      <c r="A205" s="14" t="s">
        <v>462</v>
      </c>
      <c r="B205" s="14" t="s">
        <v>463</v>
      </c>
      <c r="C205" s="14">
        <v>56</v>
      </c>
      <c r="D205" s="14" t="s">
        <v>41</v>
      </c>
      <c r="E205" s="14" t="s">
        <v>58</v>
      </c>
      <c r="F205" s="14" t="s">
        <v>65</v>
      </c>
      <c r="G205" s="14" t="s">
        <v>60</v>
      </c>
      <c r="H205" s="14" t="s">
        <v>45</v>
      </c>
      <c r="I205" s="14" t="s">
        <v>45</v>
      </c>
      <c r="J205" s="14">
        <v>0.13</v>
      </c>
      <c r="K205" s="15">
        <v>43579</v>
      </c>
      <c r="L205" s="13" t="str" cm="1">
        <f t="array" ref="L205">_xlfn.IFS(
  OR(ISBLANK(A205),ISBLANK(C205),ISBLANK(J205)),"Missing Value",
  OR(C205&lt;18,C205&gt;120),"Review – Out of Range (Age)",
  J205&lt;0,"Review – Out of Range (Risk Score)",
  TRUE,"OK"
)</f>
        <v>OK</v>
      </c>
    </row>
    <row r="206" spans="1:12" ht="16.8" x14ac:dyDescent="0.3">
      <c r="A206" s="11" t="s">
        <v>464</v>
      </c>
      <c r="B206" s="11" t="s">
        <v>465</v>
      </c>
      <c r="C206" s="11">
        <v>67</v>
      </c>
      <c r="D206" s="11" t="s">
        <v>49</v>
      </c>
      <c r="E206" s="11" t="s">
        <v>50</v>
      </c>
      <c r="F206" s="11" t="s">
        <v>43</v>
      </c>
      <c r="G206" s="11" t="s">
        <v>60</v>
      </c>
      <c r="H206" s="11" t="s">
        <v>45</v>
      </c>
      <c r="I206" s="11" t="s">
        <v>45</v>
      </c>
      <c r="J206" s="11">
        <v>0.77</v>
      </c>
      <c r="K206" s="12">
        <v>43300</v>
      </c>
      <c r="L206" s="13" t="str" cm="1">
        <f t="array" ref="L206">_xlfn.IFS(
  OR(ISBLANK(A206),ISBLANK(C206),ISBLANK(J206)),"Missing Value",
  OR(C206&lt;18,C206&gt;120),"Review – Out of Range (Age)",
  J206&lt;0,"Review – Out of Range (Risk Score)",
  TRUE,"OK"
)</f>
        <v>OK</v>
      </c>
    </row>
    <row r="207" spans="1:12" ht="16.8" x14ac:dyDescent="0.3">
      <c r="A207" s="14" t="s">
        <v>466</v>
      </c>
      <c r="B207" s="14" t="s">
        <v>467</v>
      </c>
      <c r="C207" s="14">
        <v>65</v>
      </c>
      <c r="D207" s="14" t="s">
        <v>41</v>
      </c>
      <c r="E207" s="14" t="s">
        <v>42</v>
      </c>
      <c r="F207" s="14" t="s">
        <v>59</v>
      </c>
      <c r="G207" s="14" t="s">
        <v>94</v>
      </c>
      <c r="H207" s="14" t="s">
        <v>45</v>
      </c>
      <c r="I207" s="14" t="s">
        <v>46</v>
      </c>
      <c r="J207" s="14">
        <v>0.7</v>
      </c>
      <c r="K207" s="15">
        <v>43339</v>
      </c>
      <c r="L207" s="13" t="str" cm="1">
        <f t="array" ref="L207">_xlfn.IFS(
  OR(ISBLANK(A207),ISBLANK(C207),ISBLANK(J207)),"Missing Value",
  OR(C207&lt;18,C207&gt;120),"Review – Out of Range (Age)",
  J207&lt;0,"Review – Out of Range (Risk Score)",
  TRUE,"OK"
)</f>
        <v>OK</v>
      </c>
    </row>
    <row r="208" spans="1:12" ht="16.8" x14ac:dyDescent="0.3">
      <c r="A208" s="11" t="s">
        <v>468</v>
      </c>
      <c r="B208" s="11" t="s">
        <v>469</v>
      </c>
      <c r="C208" s="11">
        <v>46</v>
      </c>
      <c r="D208" s="11" t="s">
        <v>49</v>
      </c>
      <c r="E208" s="11" t="s">
        <v>50</v>
      </c>
      <c r="F208" s="11" t="s">
        <v>59</v>
      </c>
      <c r="G208" s="11" t="s">
        <v>55</v>
      </c>
      <c r="H208" s="11" t="s">
        <v>46</v>
      </c>
      <c r="I208" s="11" t="s">
        <v>45</v>
      </c>
      <c r="J208" s="11">
        <v>0.98</v>
      </c>
      <c r="K208" s="12">
        <v>43751</v>
      </c>
      <c r="L208" s="13" t="str" cm="1">
        <f t="array" ref="L208">_xlfn.IFS(
  OR(ISBLANK(A208),ISBLANK(C208),ISBLANK(J208)),"Missing Value",
  OR(C208&lt;18,C208&gt;120),"Review – Out of Range (Age)",
  J208&lt;0,"Review – Out of Range (Risk Score)",
  TRUE,"OK"
)</f>
        <v>OK</v>
      </c>
    </row>
    <row r="209" spans="1:12" ht="16.8" x14ac:dyDescent="0.3">
      <c r="A209" s="14" t="s">
        <v>470</v>
      </c>
      <c r="B209" s="14" t="s">
        <v>471</v>
      </c>
      <c r="C209" s="14">
        <v>66</v>
      </c>
      <c r="D209" s="14" t="s">
        <v>49</v>
      </c>
      <c r="E209" s="14" t="s">
        <v>58</v>
      </c>
      <c r="F209" s="14" t="s">
        <v>65</v>
      </c>
      <c r="G209" s="14" t="s">
        <v>109</v>
      </c>
      <c r="H209" s="14" t="s">
        <v>45</v>
      </c>
      <c r="I209" s="14" t="s">
        <v>46</v>
      </c>
      <c r="J209" s="14">
        <v>0.57999999999999996</v>
      </c>
      <c r="K209" s="15">
        <v>44221</v>
      </c>
      <c r="L209" s="13" t="str" cm="1">
        <f t="array" ref="L209">_xlfn.IFS(
  OR(ISBLANK(A209),ISBLANK(C209),ISBLANK(J209)),"Missing Value",
  OR(C209&lt;18,C209&gt;120),"Review – Out of Range (Age)",
  J209&lt;0,"Review – Out of Range (Risk Score)",
  TRUE,"OK"
)</f>
        <v>OK</v>
      </c>
    </row>
    <row r="210" spans="1:12" ht="16.8" x14ac:dyDescent="0.3">
      <c r="A210" s="11" t="s">
        <v>472</v>
      </c>
      <c r="B210" s="11" t="s">
        <v>473</v>
      </c>
      <c r="C210" s="11">
        <v>46</v>
      </c>
      <c r="D210" s="11" t="s">
        <v>41</v>
      </c>
      <c r="E210" s="11" t="s">
        <v>42</v>
      </c>
      <c r="F210" s="11" t="s">
        <v>59</v>
      </c>
      <c r="G210" s="11" t="s">
        <v>52</v>
      </c>
      <c r="H210" s="11" t="s">
        <v>45</v>
      </c>
      <c r="I210" s="11" t="s">
        <v>46</v>
      </c>
      <c r="J210" s="11">
        <v>0.62</v>
      </c>
      <c r="K210" s="12">
        <v>44520</v>
      </c>
      <c r="L210" s="13" t="str" cm="1">
        <f t="array" ref="L210">_xlfn.IFS(
  OR(ISBLANK(A210),ISBLANK(C210),ISBLANK(J210)),"Missing Value",
  OR(C210&lt;18,C210&gt;120),"Review – Out of Range (Age)",
  J210&lt;0,"Review – Out of Range (Risk Score)",
  TRUE,"OK"
)</f>
        <v>OK</v>
      </c>
    </row>
    <row r="211" spans="1:12" ht="16.8" x14ac:dyDescent="0.3">
      <c r="A211" s="14" t="s">
        <v>474</v>
      </c>
      <c r="B211" s="14" t="s">
        <v>475</v>
      </c>
      <c r="C211" s="14">
        <v>49</v>
      </c>
      <c r="D211" s="14" t="s">
        <v>41</v>
      </c>
      <c r="E211" s="14" t="s">
        <v>58</v>
      </c>
      <c r="F211" s="14" t="s">
        <v>65</v>
      </c>
      <c r="G211" s="14" t="s">
        <v>52</v>
      </c>
      <c r="H211" s="14" t="s">
        <v>46</v>
      </c>
      <c r="I211" s="14" t="s">
        <v>46</v>
      </c>
      <c r="J211" s="14">
        <v>0.34</v>
      </c>
      <c r="K211" s="15">
        <v>44111</v>
      </c>
      <c r="L211" s="13" t="str" cm="1">
        <f t="array" ref="L211">_xlfn.IFS(
  OR(ISBLANK(A211),ISBLANK(C211),ISBLANK(J211)),"Missing Value",
  OR(C211&lt;18,C211&gt;120),"Review – Out of Range (Age)",
  J211&lt;0,"Review – Out of Range (Risk Score)",
  TRUE,"OK"
)</f>
        <v>OK</v>
      </c>
    </row>
    <row r="212" spans="1:12" ht="16.8" x14ac:dyDescent="0.3">
      <c r="A212" s="11" t="s">
        <v>476</v>
      </c>
      <c r="B212" s="11" t="s">
        <v>477</v>
      </c>
      <c r="C212" s="11">
        <v>23</v>
      </c>
      <c r="D212" s="11" t="s">
        <v>41</v>
      </c>
      <c r="E212" s="11" t="s">
        <v>50</v>
      </c>
      <c r="F212" s="11" t="s">
        <v>51</v>
      </c>
      <c r="G212" s="11" t="s">
        <v>109</v>
      </c>
      <c r="H212" s="11" t="s">
        <v>45</v>
      </c>
      <c r="I212" s="11" t="s">
        <v>46</v>
      </c>
      <c r="J212" s="11">
        <v>0.62</v>
      </c>
      <c r="K212" s="12">
        <v>43673</v>
      </c>
      <c r="L212" s="13" t="str" cm="1">
        <f t="array" ref="L212">_xlfn.IFS(
  OR(ISBLANK(A212),ISBLANK(C212),ISBLANK(J212)),"Missing Value",
  OR(C212&lt;18,C212&gt;120),"Review – Out of Range (Age)",
  J212&lt;0,"Review – Out of Range (Risk Score)",
  TRUE,"OK"
)</f>
        <v>OK</v>
      </c>
    </row>
    <row r="213" spans="1:12" ht="16.8" x14ac:dyDescent="0.3">
      <c r="A213" s="14" t="s">
        <v>478</v>
      </c>
      <c r="B213" s="14" t="s">
        <v>479</v>
      </c>
      <c r="C213" s="14">
        <v>20</v>
      </c>
      <c r="D213" s="14" t="s">
        <v>49</v>
      </c>
      <c r="E213" s="14" t="s">
        <v>58</v>
      </c>
      <c r="F213" s="14" t="s">
        <v>51</v>
      </c>
      <c r="G213" s="14" t="s">
        <v>52</v>
      </c>
      <c r="H213" s="14" t="s">
        <v>46</v>
      </c>
      <c r="I213" s="14" t="s">
        <v>46</v>
      </c>
      <c r="J213" s="14">
        <v>0.55000000000000004</v>
      </c>
      <c r="K213" s="15">
        <v>43199</v>
      </c>
      <c r="L213" s="13" t="str" cm="1">
        <f t="array" ref="L213">_xlfn.IFS(
  OR(ISBLANK(A213),ISBLANK(C213),ISBLANK(J213)),"Missing Value",
  OR(C213&lt;18,C213&gt;120),"Review – Out of Range (Age)",
  J213&lt;0,"Review – Out of Range (Risk Score)",
  TRUE,"OK"
)</f>
        <v>OK</v>
      </c>
    </row>
    <row r="214" spans="1:12" ht="16.8" x14ac:dyDescent="0.3">
      <c r="A214" s="11" t="s">
        <v>480</v>
      </c>
      <c r="B214" s="11" t="s">
        <v>481</v>
      </c>
      <c r="C214" s="11">
        <v>51</v>
      </c>
      <c r="D214" s="11" t="s">
        <v>49</v>
      </c>
      <c r="E214" s="11" t="s">
        <v>58</v>
      </c>
      <c r="F214" s="11" t="s">
        <v>65</v>
      </c>
      <c r="G214" s="11" t="s">
        <v>44</v>
      </c>
      <c r="H214" s="11" t="s">
        <v>45</v>
      </c>
      <c r="I214" s="11" t="s">
        <v>46</v>
      </c>
      <c r="J214" s="11">
        <v>0.76</v>
      </c>
      <c r="K214" s="12">
        <v>44893</v>
      </c>
      <c r="L214" s="13" t="str" cm="1">
        <f t="array" ref="L214">_xlfn.IFS(
  OR(ISBLANK(A214),ISBLANK(C214),ISBLANK(J214)),"Missing Value",
  OR(C214&lt;18,C214&gt;120),"Review – Out of Range (Age)",
  J214&lt;0,"Review – Out of Range (Risk Score)",
  TRUE,"OK"
)</f>
        <v>OK</v>
      </c>
    </row>
    <row r="215" spans="1:12" ht="16.8" x14ac:dyDescent="0.3">
      <c r="A215" s="14" t="s">
        <v>482</v>
      </c>
      <c r="B215" s="14" t="s">
        <v>483</v>
      </c>
      <c r="C215" s="14">
        <v>59</v>
      </c>
      <c r="D215" s="14" t="s">
        <v>49</v>
      </c>
      <c r="E215" s="14" t="s">
        <v>50</v>
      </c>
      <c r="F215" s="14" t="s">
        <v>51</v>
      </c>
      <c r="G215" s="14" t="s">
        <v>52</v>
      </c>
      <c r="H215" s="14" t="s">
        <v>45</v>
      </c>
      <c r="I215" s="14" t="s">
        <v>46</v>
      </c>
      <c r="J215" s="14">
        <v>0.37</v>
      </c>
      <c r="K215" s="15">
        <v>43837</v>
      </c>
      <c r="L215" s="13" t="str" cm="1">
        <f t="array" ref="L215">_xlfn.IFS(
  OR(ISBLANK(A215),ISBLANK(C215),ISBLANK(J215)),"Missing Value",
  OR(C215&lt;18,C215&gt;120),"Review – Out of Range (Age)",
  J215&lt;0,"Review – Out of Range (Risk Score)",
  TRUE,"OK"
)</f>
        <v>OK</v>
      </c>
    </row>
    <row r="216" spans="1:12" ht="16.8" x14ac:dyDescent="0.3">
      <c r="A216" s="11" t="s">
        <v>484</v>
      </c>
      <c r="B216" s="11" t="s">
        <v>485</v>
      </c>
      <c r="C216" s="11">
        <v>33</v>
      </c>
      <c r="D216" s="11" t="s">
        <v>49</v>
      </c>
      <c r="E216" s="11" t="s">
        <v>58</v>
      </c>
      <c r="F216" s="11" t="s">
        <v>43</v>
      </c>
      <c r="G216" s="11" t="s">
        <v>55</v>
      </c>
      <c r="H216" s="11" t="s">
        <v>45</v>
      </c>
      <c r="I216" s="11" t="s">
        <v>46</v>
      </c>
      <c r="J216" s="11">
        <v>0.2</v>
      </c>
      <c r="K216" s="12">
        <v>43990</v>
      </c>
      <c r="L216" s="13" t="str" cm="1">
        <f t="array" ref="L216">_xlfn.IFS(
  OR(ISBLANK(A216),ISBLANK(C216),ISBLANK(J216)),"Missing Value",
  OR(C216&lt;18,C216&gt;120),"Review – Out of Range (Age)",
  J216&lt;0,"Review – Out of Range (Risk Score)",
  TRUE,"OK"
)</f>
        <v>OK</v>
      </c>
    </row>
    <row r="217" spans="1:12" ht="16.8" x14ac:dyDescent="0.3">
      <c r="A217" s="14" t="s">
        <v>486</v>
      </c>
      <c r="B217" s="14" t="s">
        <v>487</v>
      </c>
      <c r="C217" s="14">
        <v>45</v>
      </c>
      <c r="D217" s="14" t="s">
        <v>41</v>
      </c>
      <c r="E217" s="14" t="s">
        <v>50</v>
      </c>
      <c r="F217" s="14" t="s">
        <v>59</v>
      </c>
      <c r="G217" s="14" t="s">
        <v>109</v>
      </c>
      <c r="H217" s="14" t="s">
        <v>46</v>
      </c>
      <c r="I217" s="14" t="s">
        <v>45</v>
      </c>
      <c r="J217" s="14">
        <v>0.52</v>
      </c>
      <c r="K217" s="15">
        <v>43746</v>
      </c>
      <c r="L217" s="13" t="str" cm="1">
        <f t="array" ref="L217">_xlfn.IFS(
  OR(ISBLANK(A217),ISBLANK(C217),ISBLANK(J217)),"Missing Value",
  OR(C217&lt;18,C217&gt;120),"Review – Out of Range (Age)",
  J217&lt;0,"Review – Out of Range (Risk Score)",
  TRUE,"OK"
)</f>
        <v>OK</v>
      </c>
    </row>
    <row r="218" spans="1:12" ht="16.8" x14ac:dyDescent="0.3">
      <c r="A218" s="11" t="s">
        <v>488</v>
      </c>
      <c r="B218" s="11" t="s">
        <v>489</v>
      </c>
      <c r="C218" s="11">
        <v>34</v>
      </c>
      <c r="D218" s="11" t="s">
        <v>49</v>
      </c>
      <c r="E218" s="11" t="s">
        <v>42</v>
      </c>
      <c r="F218" s="11" t="s">
        <v>59</v>
      </c>
      <c r="G218" s="11" t="s">
        <v>94</v>
      </c>
      <c r="H218" s="11" t="s">
        <v>46</v>
      </c>
      <c r="I218" s="11" t="s">
        <v>46</v>
      </c>
      <c r="J218" s="11">
        <v>0.59</v>
      </c>
      <c r="K218" s="12">
        <v>43278</v>
      </c>
      <c r="L218" s="13" t="str" cm="1">
        <f t="array" ref="L218">_xlfn.IFS(
  OR(ISBLANK(A218),ISBLANK(C218),ISBLANK(J218)),"Missing Value",
  OR(C218&lt;18,C218&gt;120),"Review – Out of Range (Age)",
  J218&lt;0,"Review – Out of Range (Risk Score)",
  TRUE,"OK"
)</f>
        <v>OK</v>
      </c>
    </row>
    <row r="219" spans="1:12" ht="16.8" x14ac:dyDescent="0.3">
      <c r="A219" s="14" t="s">
        <v>490</v>
      </c>
      <c r="B219" s="14" t="s">
        <v>491</v>
      </c>
      <c r="C219" s="14">
        <v>57</v>
      </c>
      <c r="D219" s="14" t="s">
        <v>41</v>
      </c>
      <c r="E219" s="14" t="s">
        <v>42</v>
      </c>
      <c r="F219" s="14" t="s">
        <v>43</v>
      </c>
      <c r="G219" s="14" t="s">
        <v>94</v>
      </c>
      <c r="H219" s="14" t="s">
        <v>45</v>
      </c>
      <c r="I219" s="14" t="s">
        <v>46</v>
      </c>
      <c r="J219" s="14">
        <v>0.76</v>
      </c>
      <c r="K219" s="15">
        <v>43288</v>
      </c>
      <c r="L219" s="13" t="str" cm="1">
        <f t="array" ref="L219">_xlfn.IFS(
  OR(ISBLANK(A219),ISBLANK(C219),ISBLANK(J219)),"Missing Value",
  OR(C219&lt;18,C219&gt;120),"Review – Out of Range (Age)",
  J219&lt;0,"Review – Out of Range (Risk Score)",
  TRUE,"OK"
)</f>
        <v>OK</v>
      </c>
    </row>
    <row r="220" spans="1:12" ht="16.8" x14ac:dyDescent="0.3">
      <c r="A220" s="11" t="s">
        <v>492</v>
      </c>
      <c r="B220" s="11" t="s">
        <v>493</v>
      </c>
      <c r="C220" s="11">
        <v>57</v>
      </c>
      <c r="D220" s="11" t="s">
        <v>41</v>
      </c>
      <c r="E220" s="11" t="s">
        <v>50</v>
      </c>
      <c r="F220" s="11" t="s">
        <v>65</v>
      </c>
      <c r="G220" s="11" t="s">
        <v>52</v>
      </c>
      <c r="H220" s="11" t="s">
        <v>46</v>
      </c>
      <c r="I220" s="11" t="s">
        <v>45</v>
      </c>
      <c r="J220" s="11">
        <v>0.63</v>
      </c>
      <c r="K220" s="12">
        <v>44129</v>
      </c>
      <c r="L220" s="13" t="str" cm="1">
        <f t="array" ref="L220">_xlfn.IFS(
  OR(ISBLANK(A220),ISBLANK(C220),ISBLANK(J220)),"Missing Value",
  OR(C220&lt;18,C220&gt;120),"Review – Out of Range (Age)",
  J220&lt;0,"Review – Out of Range (Risk Score)",
  TRUE,"OK"
)</f>
        <v>OK</v>
      </c>
    </row>
    <row r="221" spans="1:12" ht="16.8" x14ac:dyDescent="0.3">
      <c r="A221" s="14" t="s">
        <v>494</v>
      </c>
      <c r="B221" s="14" t="s">
        <v>495</v>
      </c>
      <c r="C221" s="14">
        <v>46</v>
      </c>
      <c r="D221" s="14" t="s">
        <v>41</v>
      </c>
      <c r="E221" s="14" t="s">
        <v>58</v>
      </c>
      <c r="F221" s="14" t="s">
        <v>65</v>
      </c>
      <c r="G221" s="14" t="s">
        <v>52</v>
      </c>
      <c r="H221" s="14" t="s">
        <v>45</v>
      </c>
      <c r="I221" s="14" t="s">
        <v>46</v>
      </c>
      <c r="J221" s="14">
        <v>0.67</v>
      </c>
      <c r="K221" s="15">
        <v>43757</v>
      </c>
      <c r="L221" s="13" t="str" cm="1">
        <f t="array" ref="L221">_xlfn.IFS(
  OR(ISBLANK(A221),ISBLANK(C221),ISBLANK(J221)),"Missing Value",
  OR(C221&lt;18,C221&gt;120),"Review – Out of Range (Age)",
  J221&lt;0,"Review – Out of Range (Risk Score)",
  TRUE,"OK"
)</f>
        <v>OK</v>
      </c>
    </row>
    <row r="222" spans="1:12" ht="16.8" x14ac:dyDescent="0.3">
      <c r="A222" s="11" t="s">
        <v>496</v>
      </c>
      <c r="B222" s="11" t="s">
        <v>497</v>
      </c>
      <c r="C222" s="11">
        <v>59</v>
      </c>
      <c r="D222" s="11" t="s">
        <v>49</v>
      </c>
      <c r="E222" s="11" t="s">
        <v>50</v>
      </c>
      <c r="F222" s="11" t="s">
        <v>51</v>
      </c>
      <c r="G222" s="11" t="s">
        <v>52</v>
      </c>
      <c r="H222" s="11" t="s">
        <v>46</v>
      </c>
      <c r="I222" s="11" t="s">
        <v>46</v>
      </c>
      <c r="J222" s="11">
        <v>0.44</v>
      </c>
      <c r="K222" s="12">
        <v>43131</v>
      </c>
      <c r="L222" s="13" t="str" cm="1">
        <f t="array" ref="L222">_xlfn.IFS(
  OR(ISBLANK(A222),ISBLANK(C222),ISBLANK(J222)),"Missing Value",
  OR(C222&lt;18,C222&gt;120),"Review – Out of Range (Age)",
  J222&lt;0,"Review – Out of Range (Risk Score)",
  TRUE,"OK"
)</f>
        <v>OK</v>
      </c>
    </row>
    <row r="223" spans="1:12" ht="16.8" x14ac:dyDescent="0.3">
      <c r="A223" s="14" t="s">
        <v>498</v>
      </c>
      <c r="B223" s="14" t="s">
        <v>499</v>
      </c>
      <c r="C223" s="14">
        <v>39</v>
      </c>
      <c r="D223" s="14" t="s">
        <v>41</v>
      </c>
      <c r="E223" s="14" t="s">
        <v>58</v>
      </c>
      <c r="F223" s="14" t="s">
        <v>59</v>
      </c>
      <c r="G223" s="14" t="s">
        <v>60</v>
      </c>
      <c r="H223" s="14" t="s">
        <v>45</v>
      </c>
      <c r="I223" s="14" t="s">
        <v>45</v>
      </c>
      <c r="J223" s="14">
        <v>0.6</v>
      </c>
      <c r="K223" s="15">
        <v>45149</v>
      </c>
      <c r="L223" s="13" t="str" cm="1">
        <f t="array" ref="L223">_xlfn.IFS(
  OR(ISBLANK(A223),ISBLANK(C223),ISBLANK(J223)),"Missing Value",
  OR(C223&lt;18,C223&gt;120),"Review – Out of Range (Age)",
  J223&lt;0,"Review – Out of Range (Risk Score)",
  TRUE,"OK"
)</f>
        <v>OK</v>
      </c>
    </row>
    <row r="224" spans="1:12" ht="16.8" x14ac:dyDescent="0.3">
      <c r="A224" s="11" t="s">
        <v>500</v>
      </c>
      <c r="B224" s="11" t="s">
        <v>501</v>
      </c>
      <c r="C224" s="11">
        <v>29</v>
      </c>
      <c r="D224" s="11" t="s">
        <v>41</v>
      </c>
      <c r="E224" s="11" t="s">
        <v>58</v>
      </c>
      <c r="F224" s="11" t="s">
        <v>59</v>
      </c>
      <c r="G224" s="11" t="s">
        <v>44</v>
      </c>
      <c r="H224" s="11" t="s">
        <v>46</v>
      </c>
      <c r="I224" s="11" t="s">
        <v>45</v>
      </c>
      <c r="J224" s="11">
        <v>0.45</v>
      </c>
      <c r="K224" s="12">
        <v>44410</v>
      </c>
      <c r="L224" s="13" t="str" cm="1">
        <f t="array" ref="L224">_xlfn.IFS(
  OR(ISBLANK(A224),ISBLANK(C224),ISBLANK(J224)),"Missing Value",
  OR(C224&lt;18,C224&gt;120),"Review – Out of Range (Age)",
  J224&lt;0,"Review – Out of Range (Risk Score)",
  TRUE,"OK"
)</f>
        <v>OK</v>
      </c>
    </row>
    <row r="225" spans="1:12" ht="16.8" x14ac:dyDescent="0.3">
      <c r="A225" s="14" t="s">
        <v>502</v>
      </c>
      <c r="B225" s="14" t="s">
        <v>503</v>
      </c>
      <c r="C225" s="14">
        <v>46</v>
      </c>
      <c r="D225" s="14" t="s">
        <v>41</v>
      </c>
      <c r="E225" s="14" t="s">
        <v>42</v>
      </c>
      <c r="F225" s="14" t="s">
        <v>51</v>
      </c>
      <c r="G225" s="14" t="s">
        <v>55</v>
      </c>
      <c r="H225" s="14" t="s">
        <v>46</v>
      </c>
      <c r="I225" s="14" t="s">
        <v>46</v>
      </c>
      <c r="J225" s="14">
        <v>0.6</v>
      </c>
      <c r="K225" s="15">
        <v>44833</v>
      </c>
      <c r="L225" s="13" t="str" cm="1">
        <f t="array" ref="L225">_xlfn.IFS(
  OR(ISBLANK(A225),ISBLANK(C225),ISBLANK(J225)),"Missing Value",
  OR(C225&lt;18,C225&gt;120),"Review – Out of Range (Age)",
  J225&lt;0,"Review – Out of Range (Risk Score)",
  TRUE,"OK"
)</f>
        <v>OK</v>
      </c>
    </row>
    <row r="226" spans="1:12" ht="16.8" x14ac:dyDescent="0.3">
      <c r="A226" s="11" t="s">
        <v>504</v>
      </c>
      <c r="B226" s="11" t="s">
        <v>505</v>
      </c>
      <c r="C226" s="11">
        <v>26</v>
      </c>
      <c r="D226" s="11" t="s">
        <v>41</v>
      </c>
      <c r="E226" s="11" t="s">
        <v>50</v>
      </c>
      <c r="F226" s="11" t="s">
        <v>59</v>
      </c>
      <c r="G226" s="11" t="s">
        <v>52</v>
      </c>
      <c r="H226" s="11" t="s">
        <v>45</v>
      </c>
      <c r="I226" s="11" t="s">
        <v>45</v>
      </c>
      <c r="J226" s="11">
        <v>0.26</v>
      </c>
      <c r="K226" s="12">
        <v>44927</v>
      </c>
      <c r="L226" s="13" t="str" cm="1">
        <f t="array" ref="L226">_xlfn.IFS(
  OR(ISBLANK(A226),ISBLANK(C226),ISBLANK(J226)),"Missing Value",
  OR(C226&lt;18,C226&gt;120),"Review – Out of Range (Age)",
  J226&lt;0,"Review – Out of Range (Risk Score)",
  TRUE,"OK"
)</f>
        <v>OK</v>
      </c>
    </row>
    <row r="227" spans="1:12" ht="16.8" x14ac:dyDescent="0.3">
      <c r="A227" s="14" t="s">
        <v>506</v>
      </c>
      <c r="B227" s="14" t="s">
        <v>507</v>
      </c>
      <c r="C227" s="14">
        <v>63</v>
      </c>
      <c r="D227" s="14" t="s">
        <v>49</v>
      </c>
      <c r="E227" s="14" t="s">
        <v>50</v>
      </c>
      <c r="F227" s="14" t="s">
        <v>43</v>
      </c>
      <c r="G227" s="14" t="s">
        <v>109</v>
      </c>
      <c r="H227" s="14" t="s">
        <v>45</v>
      </c>
      <c r="I227" s="14" t="s">
        <v>46</v>
      </c>
      <c r="J227" s="14">
        <v>0.75</v>
      </c>
      <c r="K227" s="15">
        <v>44469</v>
      </c>
      <c r="L227" s="13" t="str" cm="1">
        <f t="array" ref="L227">_xlfn.IFS(
  OR(ISBLANK(A227),ISBLANK(C227),ISBLANK(J227)),"Missing Value",
  OR(C227&lt;18,C227&gt;120),"Review – Out of Range (Age)",
  J227&lt;0,"Review – Out of Range (Risk Score)",
  TRUE,"OK"
)</f>
        <v>OK</v>
      </c>
    </row>
    <row r="228" spans="1:12" ht="16.8" x14ac:dyDescent="0.3">
      <c r="A228" s="11" t="s">
        <v>508</v>
      </c>
      <c r="B228" s="11" t="s">
        <v>509</v>
      </c>
      <c r="C228" s="11">
        <v>34</v>
      </c>
      <c r="D228" s="11" t="s">
        <v>49</v>
      </c>
      <c r="E228" s="11" t="s">
        <v>50</v>
      </c>
      <c r="F228" s="11" t="s">
        <v>43</v>
      </c>
      <c r="G228" s="11" t="s">
        <v>94</v>
      </c>
      <c r="H228" s="11" t="s">
        <v>46</v>
      </c>
      <c r="I228" s="11" t="s">
        <v>45</v>
      </c>
      <c r="J228" s="11">
        <v>0.71</v>
      </c>
      <c r="K228" s="12">
        <v>43596</v>
      </c>
      <c r="L228" s="13" t="str" cm="1">
        <f t="array" ref="L228">_xlfn.IFS(
  OR(ISBLANK(A228),ISBLANK(C228),ISBLANK(J228)),"Missing Value",
  OR(C228&lt;18,C228&gt;120),"Review – Out of Range (Age)",
  J228&lt;0,"Review – Out of Range (Risk Score)",
  TRUE,"OK"
)</f>
        <v>OK</v>
      </c>
    </row>
    <row r="229" spans="1:12" ht="16.8" x14ac:dyDescent="0.3">
      <c r="A229" s="14" t="s">
        <v>510</v>
      </c>
      <c r="B229" s="14" t="s">
        <v>511</v>
      </c>
      <c r="C229" s="14">
        <v>69</v>
      </c>
      <c r="D229" s="14" t="s">
        <v>49</v>
      </c>
      <c r="E229" s="14" t="s">
        <v>58</v>
      </c>
      <c r="F229" s="14" t="s">
        <v>43</v>
      </c>
      <c r="G229" s="14" t="s">
        <v>60</v>
      </c>
      <c r="H229" s="14" t="s">
        <v>45</v>
      </c>
      <c r="I229" s="14" t="s">
        <v>46</v>
      </c>
      <c r="J229" s="14">
        <v>0.74</v>
      </c>
      <c r="K229" s="15">
        <v>45209</v>
      </c>
      <c r="L229" s="13" t="str" cm="1">
        <f t="array" ref="L229">_xlfn.IFS(
  OR(ISBLANK(A229),ISBLANK(C229),ISBLANK(J229)),"Missing Value",
  OR(C229&lt;18,C229&gt;120),"Review – Out of Range (Age)",
  J229&lt;0,"Review – Out of Range (Risk Score)",
  TRUE,"OK"
)</f>
        <v>OK</v>
      </c>
    </row>
    <row r="230" spans="1:12" ht="16.8" x14ac:dyDescent="0.3">
      <c r="A230" s="11" t="s">
        <v>512</v>
      </c>
      <c r="B230" s="11" t="s">
        <v>513</v>
      </c>
      <c r="C230" s="11">
        <v>52</v>
      </c>
      <c r="D230" s="11" t="s">
        <v>49</v>
      </c>
      <c r="E230" s="11" t="s">
        <v>42</v>
      </c>
      <c r="F230" s="11" t="s">
        <v>43</v>
      </c>
      <c r="G230" s="11" t="s">
        <v>44</v>
      </c>
      <c r="H230" s="11" t="s">
        <v>45</v>
      </c>
      <c r="I230" s="11" t="s">
        <v>45</v>
      </c>
      <c r="J230" s="11">
        <v>0.57999999999999996</v>
      </c>
      <c r="K230" s="12">
        <v>44579</v>
      </c>
      <c r="L230" s="13" t="str" cm="1">
        <f t="array" ref="L230">_xlfn.IFS(
  OR(ISBLANK(A230),ISBLANK(C230),ISBLANK(J230)),"Missing Value",
  OR(C230&lt;18,C230&gt;120),"Review – Out of Range (Age)",
  J230&lt;0,"Review – Out of Range (Risk Score)",
  TRUE,"OK"
)</f>
        <v>OK</v>
      </c>
    </row>
    <row r="231" spans="1:12" ht="16.8" x14ac:dyDescent="0.3">
      <c r="A231" s="14" t="s">
        <v>514</v>
      </c>
      <c r="B231" s="14" t="s">
        <v>515</v>
      </c>
      <c r="C231" s="14">
        <v>27</v>
      </c>
      <c r="D231" s="14" t="s">
        <v>49</v>
      </c>
      <c r="E231" s="14" t="s">
        <v>50</v>
      </c>
      <c r="F231" s="14" t="s">
        <v>65</v>
      </c>
      <c r="G231" s="14" t="s">
        <v>60</v>
      </c>
      <c r="H231" s="14" t="s">
        <v>46</v>
      </c>
      <c r="I231" s="14" t="s">
        <v>45</v>
      </c>
      <c r="J231" s="14">
        <v>0.34</v>
      </c>
      <c r="K231" s="15">
        <v>44215</v>
      </c>
      <c r="L231" s="13" t="str" cm="1">
        <f t="array" ref="L231">_xlfn.IFS(
  OR(ISBLANK(A231),ISBLANK(C231),ISBLANK(J231)),"Missing Value",
  OR(C231&lt;18,C231&gt;120),"Review – Out of Range (Age)",
  J231&lt;0,"Review – Out of Range (Risk Score)",
  TRUE,"OK"
)</f>
        <v>OK</v>
      </c>
    </row>
    <row r="232" spans="1:12" ht="16.8" x14ac:dyDescent="0.3">
      <c r="A232" s="11" t="s">
        <v>516</v>
      </c>
      <c r="B232" s="11" t="s">
        <v>517</v>
      </c>
      <c r="C232" s="11">
        <v>67</v>
      </c>
      <c r="D232" s="11" t="s">
        <v>49</v>
      </c>
      <c r="E232" s="11" t="s">
        <v>50</v>
      </c>
      <c r="F232" s="11" t="s">
        <v>59</v>
      </c>
      <c r="G232" s="11" t="s">
        <v>55</v>
      </c>
      <c r="H232" s="11" t="s">
        <v>46</v>
      </c>
      <c r="I232" s="11" t="s">
        <v>46</v>
      </c>
      <c r="J232" s="11">
        <v>0.8</v>
      </c>
      <c r="K232" s="12">
        <v>43854</v>
      </c>
      <c r="L232" s="13" t="str" cm="1">
        <f t="array" ref="L232">_xlfn.IFS(
  OR(ISBLANK(A232),ISBLANK(C232),ISBLANK(J232)),"Missing Value",
  OR(C232&lt;18,C232&gt;120),"Review – Out of Range (Age)",
  J232&lt;0,"Review – Out of Range (Risk Score)",
  TRUE,"OK"
)</f>
        <v>OK</v>
      </c>
    </row>
    <row r="233" spans="1:12" ht="16.8" x14ac:dyDescent="0.3">
      <c r="A233" s="14" t="s">
        <v>518</v>
      </c>
      <c r="B233" s="14" t="s">
        <v>519</v>
      </c>
      <c r="C233" s="14">
        <v>25</v>
      </c>
      <c r="D233" s="14" t="s">
        <v>49</v>
      </c>
      <c r="E233" s="14" t="s">
        <v>50</v>
      </c>
      <c r="F233" s="14" t="s">
        <v>65</v>
      </c>
      <c r="G233" s="14" t="s">
        <v>94</v>
      </c>
      <c r="H233" s="14" t="s">
        <v>46</v>
      </c>
      <c r="I233" s="14" t="s">
        <v>45</v>
      </c>
      <c r="J233" s="14">
        <v>0.75</v>
      </c>
      <c r="K233" s="15">
        <v>43635</v>
      </c>
      <c r="L233" s="13" t="str" cm="1">
        <f t="array" ref="L233">_xlfn.IFS(
  OR(ISBLANK(A233),ISBLANK(C233),ISBLANK(J233)),"Missing Value",
  OR(C233&lt;18,C233&gt;120),"Review – Out of Range (Age)",
  J233&lt;0,"Review – Out of Range (Risk Score)",
  TRUE,"OK"
)</f>
        <v>OK</v>
      </c>
    </row>
    <row r="234" spans="1:12" ht="16.8" x14ac:dyDescent="0.3">
      <c r="A234" s="11" t="s">
        <v>520</v>
      </c>
      <c r="B234" s="11" t="s">
        <v>521</v>
      </c>
      <c r="C234" s="11">
        <v>43</v>
      </c>
      <c r="D234" s="11" t="s">
        <v>41</v>
      </c>
      <c r="E234" s="11" t="s">
        <v>58</v>
      </c>
      <c r="F234" s="11" t="s">
        <v>43</v>
      </c>
      <c r="G234" s="11" t="s">
        <v>44</v>
      </c>
      <c r="H234" s="11" t="s">
        <v>46</v>
      </c>
      <c r="I234" s="11" t="s">
        <v>45</v>
      </c>
      <c r="J234" s="11">
        <v>0.36</v>
      </c>
      <c r="K234" s="12">
        <v>43388</v>
      </c>
      <c r="L234" s="13" t="str" cm="1">
        <f t="array" ref="L234">_xlfn.IFS(
  OR(ISBLANK(A234),ISBLANK(C234),ISBLANK(J234)),"Missing Value",
  OR(C234&lt;18,C234&gt;120),"Review – Out of Range (Age)",
  J234&lt;0,"Review – Out of Range (Risk Score)",
  TRUE,"OK"
)</f>
        <v>OK</v>
      </c>
    </row>
    <row r="235" spans="1:12" ht="16.8" x14ac:dyDescent="0.3">
      <c r="A235" s="14" t="s">
        <v>522</v>
      </c>
      <c r="B235" s="14" t="s">
        <v>523</v>
      </c>
      <c r="C235" s="14">
        <v>48</v>
      </c>
      <c r="D235" s="14" t="s">
        <v>49</v>
      </c>
      <c r="E235" s="14" t="s">
        <v>42</v>
      </c>
      <c r="F235" s="14" t="s">
        <v>43</v>
      </c>
      <c r="G235" s="14" t="s">
        <v>52</v>
      </c>
      <c r="H235" s="14" t="s">
        <v>46</v>
      </c>
      <c r="I235" s="14" t="s">
        <v>46</v>
      </c>
      <c r="J235" s="14">
        <v>0.01</v>
      </c>
      <c r="K235" s="15">
        <v>43858</v>
      </c>
      <c r="L235" s="13" t="str" cm="1">
        <f t="array" ref="L235">_xlfn.IFS(
  OR(ISBLANK(A235),ISBLANK(C235),ISBLANK(J235)),"Missing Value",
  OR(C235&lt;18,C235&gt;120),"Review – Out of Range (Age)",
  J235&lt;0,"Review – Out of Range (Risk Score)",
  TRUE,"OK"
)</f>
        <v>OK</v>
      </c>
    </row>
    <row r="236" spans="1:12" ht="16.8" x14ac:dyDescent="0.3">
      <c r="A236" s="11" t="s">
        <v>524</v>
      </c>
      <c r="B236" s="11" t="s">
        <v>525</v>
      </c>
      <c r="C236" s="11">
        <v>25</v>
      </c>
      <c r="D236" s="11" t="s">
        <v>41</v>
      </c>
      <c r="E236" s="11" t="s">
        <v>42</v>
      </c>
      <c r="F236" s="11" t="s">
        <v>51</v>
      </c>
      <c r="G236" s="11" t="s">
        <v>109</v>
      </c>
      <c r="H236" s="11" t="s">
        <v>46</v>
      </c>
      <c r="I236" s="11" t="s">
        <v>45</v>
      </c>
      <c r="J236" s="11">
        <v>0.55000000000000004</v>
      </c>
      <c r="K236" s="12">
        <v>43709</v>
      </c>
      <c r="L236" s="13" t="str" cm="1">
        <f t="array" ref="L236">_xlfn.IFS(
  OR(ISBLANK(A236),ISBLANK(C236),ISBLANK(J236)),"Missing Value",
  OR(C236&lt;18,C236&gt;120),"Review – Out of Range (Age)",
  J236&lt;0,"Review – Out of Range (Risk Score)",
  TRUE,"OK"
)</f>
        <v>OK</v>
      </c>
    </row>
    <row r="237" spans="1:12" ht="16.8" x14ac:dyDescent="0.3">
      <c r="A237" s="14" t="s">
        <v>526</v>
      </c>
      <c r="B237" s="14" t="s">
        <v>495</v>
      </c>
      <c r="C237" s="14">
        <v>39</v>
      </c>
      <c r="D237" s="14" t="s">
        <v>49</v>
      </c>
      <c r="E237" s="14" t="s">
        <v>50</v>
      </c>
      <c r="F237" s="14" t="s">
        <v>59</v>
      </c>
      <c r="G237" s="14" t="s">
        <v>109</v>
      </c>
      <c r="H237" s="14" t="s">
        <v>46</v>
      </c>
      <c r="I237" s="14" t="s">
        <v>46</v>
      </c>
      <c r="J237" s="14">
        <v>0.35</v>
      </c>
      <c r="K237" s="15">
        <v>44613</v>
      </c>
      <c r="L237" s="13" t="str" cm="1">
        <f t="array" ref="L237">_xlfn.IFS(
  OR(ISBLANK(A237),ISBLANK(C237),ISBLANK(J237)),"Missing Value",
  OR(C237&lt;18,C237&gt;120),"Review – Out of Range (Age)",
  J237&lt;0,"Review – Out of Range (Risk Score)",
  TRUE,"OK"
)</f>
        <v>OK</v>
      </c>
    </row>
    <row r="238" spans="1:12" ht="16.8" x14ac:dyDescent="0.3">
      <c r="A238" s="11" t="s">
        <v>527</v>
      </c>
      <c r="B238" s="11" t="s">
        <v>528</v>
      </c>
      <c r="C238" s="11">
        <v>26</v>
      </c>
      <c r="D238" s="11" t="s">
        <v>41</v>
      </c>
      <c r="E238" s="11" t="s">
        <v>42</v>
      </c>
      <c r="F238" s="11" t="s">
        <v>65</v>
      </c>
      <c r="G238" s="11" t="s">
        <v>109</v>
      </c>
      <c r="H238" s="11" t="s">
        <v>45</v>
      </c>
      <c r="I238" s="11" t="s">
        <v>46</v>
      </c>
      <c r="J238" s="11">
        <v>0.81</v>
      </c>
      <c r="K238" s="12">
        <v>44167</v>
      </c>
      <c r="L238" s="13" t="str" cm="1">
        <f t="array" ref="L238">_xlfn.IFS(
  OR(ISBLANK(A238),ISBLANK(C238),ISBLANK(J238)),"Missing Value",
  OR(C238&lt;18,C238&gt;120),"Review – Out of Range (Age)",
  J238&lt;0,"Review – Out of Range (Risk Score)",
  TRUE,"OK"
)</f>
        <v>OK</v>
      </c>
    </row>
    <row r="239" spans="1:12" ht="16.8" x14ac:dyDescent="0.3">
      <c r="A239" s="14" t="s">
        <v>529</v>
      </c>
      <c r="B239" s="14" t="s">
        <v>530</v>
      </c>
      <c r="C239" s="14">
        <v>56</v>
      </c>
      <c r="D239" s="14" t="s">
        <v>41</v>
      </c>
      <c r="E239" s="14" t="s">
        <v>58</v>
      </c>
      <c r="F239" s="14" t="s">
        <v>43</v>
      </c>
      <c r="G239" s="14" t="s">
        <v>94</v>
      </c>
      <c r="H239" s="14" t="s">
        <v>45</v>
      </c>
      <c r="I239" s="14" t="s">
        <v>46</v>
      </c>
      <c r="J239" s="14">
        <v>0.56999999999999995</v>
      </c>
      <c r="K239" s="15">
        <v>43323</v>
      </c>
      <c r="L239" s="13" t="str" cm="1">
        <f t="array" ref="L239">_xlfn.IFS(
  OR(ISBLANK(A239),ISBLANK(C239),ISBLANK(J239)),"Missing Value",
  OR(C239&lt;18,C239&gt;120),"Review – Out of Range (Age)",
  J239&lt;0,"Review – Out of Range (Risk Score)",
  TRUE,"OK"
)</f>
        <v>OK</v>
      </c>
    </row>
    <row r="240" spans="1:12" ht="16.8" x14ac:dyDescent="0.3">
      <c r="A240" s="11" t="s">
        <v>531</v>
      </c>
      <c r="B240" s="11" t="s">
        <v>532</v>
      </c>
      <c r="C240" s="11">
        <v>34</v>
      </c>
      <c r="D240" s="11" t="s">
        <v>49</v>
      </c>
      <c r="E240" s="11" t="s">
        <v>50</v>
      </c>
      <c r="F240" s="11" t="s">
        <v>51</v>
      </c>
      <c r="G240" s="11" t="s">
        <v>55</v>
      </c>
      <c r="H240" s="11" t="s">
        <v>45</v>
      </c>
      <c r="I240" s="11" t="s">
        <v>46</v>
      </c>
      <c r="J240" s="11">
        <v>0.68</v>
      </c>
      <c r="K240" s="12">
        <v>44373</v>
      </c>
      <c r="L240" s="13" t="str" cm="1">
        <f t="array" ref="L240">_xlfn.IFS(
  OR(ISBLANK(A240),ISBLANK(C240),ISBLANK(J240)),"Missing Value",
  OR(C240&lt;18,C240&gt;120),"Review – Out of Range (Age)",
  J240&lt;0,"Review – Out of Range (Risk Score)",
  TRUE,"OK"
)</f>
        <v>OK</v>
      </c>
    </row>
    <row r="241" spans="1:12" ht="16.8" x14ac:dyDescent="0.3">
      <c r="A241" s="14" t="s">
        <v>533</v>
      </c>
      <c r="B241" s="14" t="s">
        <v>534</v>
      </c>
      <c r="C241" s="14">
        <v>69</v>
      </c>
      <c r="D241" s="14" t="s">
        <v>49</v>
      </c>
      <c r="E241" s="14" t="s">
        <v>58</v>
      </c>
      <c r="F241" s="14" t="s">
        <v>43</v>
      </c>
      <c r="G241" s="14" t="s">
        <v>44</v>
      </c>
      <c r="H241" s="14" t="s">
        <v>45</v>
      </c>
      <c r="I241" s="14" t="s">
        <v>45</v>
      </c>
      <c r="J241" s="14">
        <v>0.53</v>
      </c>
      <c r="K241" s="15">
        <v>44010</v>
      </c>
      <c r="L241" s="13" t="str" cm="1">
        <f t="array" ref="L241">_xlfn.IFS(
  OR(ISBLANK(A241),ISBLANK(C241),ISBLANK(J241)),"Missing Value",
  OR(C241&lt;18,C241&gt;120),"Review – Out of Range (Age)",
  J241&lt;0,"Review – Out of Range (Risk Score)",
  TRUE,"OK"
)</f>
        <v>OK</v>
      </c>
    </row>
    <row r="242" spans="1:12" ht="16.8" x14ac:dyDescent="0.3">
      <c r="A242" s="11" t="s">
        <v>535</v>
      </c>
      <c r="B242" s="11" t="s">
        <v>536</v>
      </c>
      <c r="C242" s="11">
        <v>23</v>
      </c>
      <c r="D242" s="11" t="s">
        <v>49</v>
      </c>
      <c r="E242" s="11" t="s">
        <v>58</v>
      </c>
      <c r="F242" s="11" t="s">
        <v>59</v>
      </c>
      <c r="G242" s="11" t="s">
        <v>52</v>
      </c>
      <c r="H242" s="11" t="s">
        <v>45</v>
      </c>
      <c r="I242" s="11" t="s">
        <v>46</v>
      </c>
      <c r="J242" s="11">
        <v>0.41</v>
      </c>
      <c r="K242" s="12">
        <v>45053</v>
      </c>
      <c r="L242" s="13" t="str" cm="1">
        <f t="array" ref="L242">_xlfn.IFS(
  OR(ISBLANK(A242),ISBLANK(C242),ISBLANK(J242)),"Missing Value",
  OR(C242&lt;18,C242&gt;120),"Review – Out of Range (Age)",
  J242&lt;0,"Review – Out of Range (Risk Score)",
  TRUE,"OK"
)</f>
        <v>OK</v>
      </c>
    </row>
    <row r="243" spans="1:12" ht="16.8" x14ac:dyDescent="0.3">
      <c r="A243" s="14" t="s">
        <v>537</v>
      </c>
      <c r="B243" s="14" t="s">
        <v>538</v>
      </c>
      <c r="C243" s="14">
        <v>48</v>
      </c>
      <c r="D243" s="14" t="s">
        <v>41</v>
      </c>
      <c r="E243" s="14" t="s">
        <v>58</v>
      </c>
      <c r="F243" s="14" t="s">
        <v>43</v>
      </c>
      <c r="G243" s="14" t="s">
        <v>109</v>
      </c>
      <c r="H243" s="14" t="s">
        <v>46</v>
      </c>
      <c r="I243" s="14" t="s">
        <v>46</v>
      </c>
      <c r="J243" s="14">
        <v>0.54</v>
      </c>
      <c r="K243" s="15">
        <v>43685</v>
      </c>
      <c r="L243" s="13" t="str" cm="1">
        <f t="array" ref="L243">_xlfn.IFS(
  OR(ISBLANK(A243),ISBLANK(C243),ISBLANK(J243)),"Missing Value",
  OR(C243&lt;18,C243&gt;120),"Review – Out of Range (Age)",
  J243&lt;0,"Review – Out of Range (Risk Score)",
  TRUE,"OK"
)</f>
        <v>OK</v>
      </c>
    </row>
    <row r="244" spans="1:12" ht="16.8" x14ac:dyDescent="0.3">
      <c r="A244" s="11" t="s">
        <v>539</v>
      </c>
      <c r="B244" s="11" t="s">
        <v>540</v>
      </c>
      <c r="C244" s="11">
        <v>64</v>
      </c>
      <c r="D244" s="11" t="s">
        <v>49</v>
      </c>
      <c r="E244" s="11" t="s">
        <v>58</v>
      </c>
      <c r="F244" s="11" t="s">
        <v>59</v>
      </c>
      <c r="G244" s="11" t="s">
        <v>44</v>
      </c>
      <c r="H244" s="11" t="s">
        <v>46</v>
      </c>
      <c r="I244" s="11" t="s">
        <v>45</v>
      </c>
      <c r="J244" s="11">
        <v>0.51</v>
      </c>
      <c r="K244" s="12">
        <v>44792</v>
      </c>
      <c r="L244" s="13" t="str" cm="1">
        <f t="array" ref="L244">_xlfn.IFS(
  OR(ISBLANK(A244),ISBLANK(C244),ISBLANK(J244)),"Missing Value",
  OR(C244&lt;18,C244&gt;120),"Review – Out of Range (Age)",
  J244&lt;0,"Review – Out of Range (Risk Score)",
  TRUE,"OK"
)</f>
        <v>OK</v>
      </c>
    </row>
    <row r="245" spans="1:12" ht="16.8" x14ac:dyDescent="0.3">
      <c r="A245" s="14" t="s">
        <v>541</v>
      </c>
      <c r="B245" s="14" t="s">
        <v>542</v>
      </c>
      <c r="C245" s="14">
        <v>59</v>
      </c>
      <c r="D245" s="14" t="s">
        <v>41</v>
      </c>
      <c r="E245" s="14" t="s">
        <v>58</v>
      </c>
      <c r="F245" s="14" t="s">
        <v>51</v>
      </c>
      <c r="G245" s="14" t="s">
        <v>94</v>
      </c>
      <c r="H245" s="14" t="s">
        <v>45</v>
      </c>
      <c r="I245" s="14" t="s">
        <v>45</v>
      </c>
      <c r="J245" s="14">
        <v>0.34</v>
      </c>
      <c r="K245" s="15">
        <v>43825</v>
      </c>
      <c r="L245" s="13" t="str" cm="1">
        <f t="array" ref="L245">_xlfn.IFS(
  OR(ISBLANK(A245),ISBLANK(C245),ISBLANK(J245)),"Missing Value",
  OR(C245&lt;18,C245&gt;120),"Review – Out of Range (Age)",
  J245&lt;0,"Review – Out of Range (Risk Score)",
  TRUE,"OK"
)</f>
        <v>OK</v>
      </c>
    </row>
    <row r="246" spans="1:12" ht="16.8" x14ac:dyDescent="0.3">
      <c r="A246" s="11" t="s">
        <v>543</v>
      </c>
      <c r="B246" s="11" t="s">
        <v>544</v>
      </c>
      <c r="C246" s="11">
        <v>68</v>
      </c>
      <c r="D246" s="11" t="s">
        <v>49</v>
      </c>
      <c r="E246" s="11" t="s">
        <v>42</v>
      </c>
      <c r="F246" s="11" t="s">
        <v>51</v>
      </c>
      <c r="G246" s="11" t="s">
        <v>52</v>
      </c>
      <c r="H246" s="11" t="s">
        <v>46</v>
      </c>
      <c r="I246" s="11" t="s">
        <v>45</v>
      </c>
      <c r="J246" s="11">
        <v>0.81</v>
      </c>
      <c r="K246" s="12">
        <v>44683</v>
      </c>
      <c r="L246" s="13" t="str" cm="1">
        <f t="array" ref="L246">_xlfn.IFS(
  OR(ISBLANK(A246),ISBLANK(C246),ISBLANK(J246)),"Missing Value",
  OR(C246&lt;18,C246&gt;120),"Review – Out of Range (Age)",
  J246&lt;0,"Review – Out of Range (Risk Score)",
  TRUE,"OK"
)</f>
        <v>OK</v>
      </c>
    </row>
    <row r="247" spans="1:12" ht="16.8" x14ac:dyDescent="0.3">
      <c r="A247" s="14" t="s">
        <v>545</v>
      </c>
      <c r="B247" s="14" t="s">
        <v>546</v>
      </c>
      <c r="C247" s="14">
        <v>42</v>
      </c>
      <c r="D247" s="14" t="s">
        <v>49</v>
      </c>
      <c r="E247" s="14" t="s">
        <v>42</v>
      </c>
      <c r="F247" s="14" t="s">
        <v>59</v>
      </c>
      <c r="G247" s="14" t="s">
        <v>94</v>
      </c>
      <c r="H247" s="14" t="s">
        <v>45</v>
      </c>
      <c r="I247" s="14" t="s">
        <v>46</v>
      </c>
      <c r="J247" s="14">
        <v>0.23</v>
      </c>
      <c r="K247" s="15">
        <v>45231</v>
      </c>
      <c r="L247" s="13" t="str" cm="1">
        <f t="array" ref="L247">_xlfn.IFS(
  OR(ISBLANK(A247),ISBLANK(C247),ISBLANK(J247)),"Missing Value",
  OR(C247&lt;18,C247&gt;120),"Review – Out of Range (Age)",
  J247&lt;0,"Review – Out of Range (Risk Score)",
  TRUE,"OK"
)</f>
        <v>OK</v>
      </c>
    </row>
    <row r="248" spans="1:12" ht="16.8" x14ac:dyDescent="0.3">
      <c r="A248" s="11" t="s">
        <v>547</v>
      </c>
      <c r="B248" s="11" t="s">
        <v>548</v>
      </c>
      <c r="C248" s="11">
        <v>49</v>
      </c>
      <c r="D248" s="11" t="s">
        <v>49</v>
      </c>
      <c r="E248" s="11" t="s">
        <v>42</v>
      </c>
      <c r="F248" s="11" t="s">
        <v>59</v>
      </c>
      <c r="G248" s="11" t="s">
        <v>94</v>
      </c>
      <c r="H248" s="11" t="s">
        <v>46</v>
      </c>
      <c r="I248" s="11" t="s">
        <v>46</v>
      </c>
      <c r="J248" s="11">
        <v>0.73</v>
      </c>
      <c r="K248" s="12">
        <v>44115</v>
      </c>
      <c r="L248" s="13" t="str" cm="1">
        <f t="array" ref="L248">_xlfn.IFS(
  OR(ISBLANK(A248),ISBLANK(C248),ISBLANK(J248)),"Missing Value",
  OR(C248&lt;18,C248&gt;120),"Review – Out of Range (Age)",
  J248&lt;0,"Review – Out of Range (Risk Score)",
  TRUE,"OK"
)</f>
        <v>OK</v>
      </c>
    </row>
    <row r="249" spans="1:12" ht="16.8" x14ac:dyDescent="0.3">
      <c r="A249" s="14" t="s">
        <v>549</v>
      </c>
      <c r="B249" s="14" t="s">
        <v>550</v>
      </c>
      <c r="C249" s="14">
        <v>62</v>
      </c>
      <c r="D249" s="14" t="s">
        <v>49</v>
      </c>
      <c r="E249" s="14" t="s">
        <v>50</v>
      </c>
      <c r="F249" s="14" t="s">
        <v>51</v>
      </c>
      <c r="G249" s="14" t="s">
        <v>60</v>
      </c>
      <c r="H249" s="14" t="s">
        <v>46</v>
      </c>
      <c r="I249" s="14" t="s">
        <v>45</v>
      </c>
      <c r="J249" s="14">
        <v>0.57999999999999996</v>
      </c>
      <c r="K249" s="15">
        <v>45123</v>
      </c>
      <c r="L249" s="13" t="str" cm="1">
        <f t="array" ref="L249">_xlfn.IFS(
  OR(ISBLANK(A249),ISBLANK(C249),ISBLANK(J249)),"Missing Value",
  OR(C249&lt;18,C249&gt;120),"Review – Out of Range (Age)",
  J249&lt;0,"Review – Out of Range (Risk Score)",
  TRUE,"OK"
)</f>
        <v>OK</v>
      </c>
    </row>
    <row r="250" spans="1:12" ht="16.8" x14ac:dyDescent="0.3">
      <c r="A250" s="11" t="s">
        <v>551</v>
      </c>
      <c r="B250" s="11" t="s">
        <v>552</v>
      </c>
      <c r="C250" s="11">
        <v>45</v>
      </c>
      <c r="D250" s="11" t="s">
        <v>41</v>
      </c>
      <c r="E250" s="11" t="s">
        <v>50</v>
      </c>
      <c r="F250" s="11" t="s">
        <v>59</v>
      </c>
      <c r="G250" s="11" t="s">
        <v>60</v>
      </c>
      <c r="H250" s="11" t="s">
        <v>46</v>
      </c>
      <c r="I250" s="11" t="s">
        <v>45</v>
      </c>
      <c r="J250" s="11">
        <v>0.76</v>
      </c>
      <c r="K250" s="12">
        <v>43723</v>
      </c>
      <c r="L250" s="13" t="str" cm="1">
        <f t="array" ref="L250">_xlfn.IFS(
  OR(ISBLANK(A250),ISBLANK(C250),ISBLANK(J250)),"Missing Value",
  OR(C250&lt;18,C250&gt;120),"Review – Out of Range (Age)",
  J250&lt;0,"Review – Out of Range (Risk Score)",
  TRUE,"OK"
)</f>
        <v>OK</v>
      </c>
    </row>
    <row r="251" spans="1:12" ht="16.8" x14ac:dyDescent="0.3">
      <c r="A251" s="14" t="s">
        <v>553</v>
      </c>
      <c r="B251" s="14" t="s">
        <v>554</v>
      </c>
      <c r="C251" s="14">
        <v>49</v>
      </c>
      <c r="D251" s="14" t="s">
        <v>41</v>
      </c>
      <c r="E251" s="14" t="s">
        <v>42</v>
      </c>
      <c r="F251" s="14" t="s">
        <v>59</v>
      </c>
      <c r="G251" s="14" t="s">
        <v>60</v>
      </c>
      <c r="H251" s="14" t="s">
        <v>45</v>
      </c>
      <c r="I251" s="14" t="s">
        <v>46</v>
      </c>
      <c r="J251" s="14">
        <v>0.43</v>
      </c>
      <c r="K251" s="15">
        <v>43373</v>
      </c>
      <c r="L251" s="13" t="str" cm="1">
        <f t="array" ref="L251">_xlfn.IFS(
  OR(ISBLANK(A251),ISBLANK(C251),ISBLANK(J251)),"Missing Value",
  OR(C251&lt;18,C251&gt;120),"Review – Out of Range (Age)",
  J251&lt;0,"Review – Out of Range (Risk Score)",
  TRUE,"OK"
)</f>
        <v>OK</v>
      </c>
    </row>
    <row r="252" spans="1:12" ht="16.8" x14ac:dyDescent="0.3">
      <c r="A252" s="11" t="s">
        <v>555</v>
      </c>
      <c r="B252" s="11" t="s">
        <v>556</v>
      </c>
      <c r="C252" s="11">
        <v>29</v>
      </c>
      <c r="D252" s="11" t="s">
        <v>49</v>
      </c>
      <c r="E252" s="11" t="s">
        <v>42</v>
      </c>
      <c r="F252" s="11" t="s">
        <v>59</v>
      </c>
      <c r="G252" s="11" t="s">
        <v>55</v>
      </c>
      <c r="H252" s="11" t="s">
        <v>46</v>
      </c>
      <c r="I252" s="11" t="s">
        <v>45</v>
      </c>
      <c r="J252" s="11">
        <v>0.51</v>
      </c>
      <c r="K252" s="12">
        <v>43287</v>
      </c>
      <c r="L252" s="13" t="str" cm="1">
        <f t="array" ref="L252">_xlfn.IFS(
  OR(ISBLANK(A252),ISBLANK(C252),ISBLANK(J252)),"Missing Value",
  OR(C252&lt;18,C252&gt;120),"Review – Out of Range (Age)",
  J252&lt;0,"Review – Out of Range (Risk Score)",
  TRUE,"OK"
)</f>
        <v>OK</v>
      </c>
    </row>
    <row r="253" spans="1:12" ht="16.8" x14ac:dyDescent="0.3">
      <c r="A253" s="14" t="s">
        <v>557</v>
      </c>
      <c r="B253" s="14" t="s">
        <v>558</v>
      </c>
      <c r="C253" s="14">
        <v>46</v>
      </c>
      <c r="D253" s="14" t="s">
        <v>41</v>
      </c>
      <c r="E253" s="14" t="s">
        <v>42</v>
      </c>
      <c r="F253" s="14" t="s">
        <v>51</v>
      </c>
      <c r="G253" s="14" t="s">
        <v>109</v>
      </c>
      <c r="H253" s="14" t="s">
        <v>45</v>
      </c>
      <c r="I253" s="14" t="s">
        <v>45</v>
      </c>
      <c r="J253" s="14">
        <v>0.48</v>
      </c>
      <c r="K253" s="15">
        <v>43868</v>
      </c>
      <c r="L253" s="13" t="str" cm="1">
        <f t="array" ref="L253">_xlfn.IFS(
  OR(ISBLANK(A253),ISBLANK(C253),ISBLANK(J253)),"Missing Value",
  OR(C253&lt;18,C253&gt;120),"Review – Out of Range (Age)",
  J253&lt;0,"Review – Out of Range (Risk Score)",
  TRUE,"OK"
)</f>
        <v>OK</v>
      </c>
    </row>
    <row r="254" spans="1:12" ht="16.8" x14ac:dyDescent="0.3">
      <c r="A254" s="11" t="s">
        <v>559</v>
      </c>
      <c r="B254" s="11" t="s">
        <v>560</v>
      </c>
      <c r="C254" s="11">
        <v>39</v>
      </c>
      <c r="D254" s="11" t="s">
        <v>41</v>
      </c>
      <c r="E254" s="11" t="s">
        <v>42</v>
      </c>
      <c r="F254" s="11" t="s">
        <v>59</v>
      </c>
      <c r="G254" s="11" t="s">
        <v>109</v>
      </c>
      <c r="H254" s="11" t="s">
        <v>45</v>
      </c>
      <c r="I254" s="11" t="s">
        <v>46</v>
      </c>
      <c r="J254" s="11">
        <v>0.61</v>
      </c>
      <c r="K254" s="12">
        <v>44104</v>
      </c>
      <c r="L254" s="13" t="str" cm="1">
        <f t="array" ref="L254">_xlfn.IFS(
  OR(ISBLANK(A254),ISBLANK(C254),ISBLANK(J254)),"Missing Value",
  OR(C254&lt;18,C254&gt;120),"Review – Out of Range (Age)",
  J254&lt;0,"Review – Out of Range (Risk Score)",
  TRUE,"OK"
)</f>
        <v>OK</v>
      </c>
    </row>
    <row r="255" spans="1:12" ht="16.8" x14ac:dyDescent="0.3">
      <c r="A255" s="14" t="s">
        <v>561</v>
      </c>
      <c r="B255" s="14" t="s">
        <v>562</v>
      </c>
      <c r="C255" s="14">
        <v>66</v>
      </c>
      <c r="D255" s="14" t="s">
        <v>41</v>
      </c>
      <c r="E255" s="14" t="s">
        <v>50</v>
      </c>
      <c r="F255" s="14" t="s">
        <v>43</v>
      </c>
      <c r="G255" s="14" t="s">
        <v>44</v>
      </c>
      <c r="H255" s="14" t="s">
        <v>45</v>
      </c>
      <c r="I255" s="14" t="s">
        <v>45</v>
      </c>
      <c r="J255" s="14">
        <v>0.67</v>
      </c>
      <c r="K255" s="15">
        <v>43157</v>
      </c>
      <c r="L255" s="13" t="str" cm="1">
        <f t="array" ref="L255">_xlfn.IFS(
  OR(ISBLANK(A255),ISBLANK(C255),ISBLANK(J255)),"Missing Value",
  OR(C255&lt;18,C255&gt;120),"Review – Out of Range (Age)",
  J255&lt;0,"Review – Out of Range (Risk Score)",
  TRUE,"OK"
)</f>
        <v>OK</v>
      </c>
    </row>
    <row r="256" spans="1:12" ht="16.8" x14ac:dyDescent="0.3">
      <c r="A256" s="11" t="s">
        <v>563</v>
      </c>
      <c r="B256" s="11" t="s">
        <v>564</v>
      </c>
      <c r="C256" s="11">
        <v>43</v>
      </c>
      <c r="D256" s="11" t="s">
        <v>41</v>
      </c>
      <c r="E256" s="11" t="s">
        <v>58</v>
      </c>
      <c r="F256" s="11" t="s">
        <v>59</v>
      </c>
      <c r="G256" s="11" t="s">
        <v>109</v>
      </c>
      <c r="H256" s="11" t="s">
        <v>45</v>
      </c>
      <c r="I256" s="11" t="s">
        <v>46</v>
      </c>
      <c r="J256" s="11">
        <v>0.34</v>
      </c>
      <c r="K256" s="12">
        <v>44627</v>
      </c>
      <c r="L256" s="13" t="str" cm="1">
        <f t="array" ref="L256">_xlfn.IFS(
  OR(ISBLANK(A256),ISBLANK(C256),ISBLANK(J256)),"Missing Value",
  OR(C256&lt;18,C256&gt;120),"Review – Out of Range (Age)",
  J256&lt;0,"Review – Out of Range (Risk Score)",
  TRUE,"OK"
)</f>
        <v>OK</v>
      </c>
    </row>
    <row r="257" spans="1:12" ht="16.8" x14ac:dyDescent="0.3">
      <c r="A257" s="14" t="s">
        <v>565</v>
      </c>
      <c r="B257" s="14" t="s">
        <v>566</v>
      </c>
      <c r="C257" s="14">
        <v>44</v>
      </c>
      <c r="D257" s="14" t="s">
        <v>41</v>
      </c>
      <c r="E257" s="14" t="s">
        <v>58</v>
      </c>
      <c r="F257" s="14" t="s">
        <v>65</v>
      </c>
      <c r="G257" s="14" t="s">
        <v>94</v>
      </c>
      <c r="H257" s="14" t="s">
        <v>45</v>
      </c>
      <c r="I257" s="14" t="s">
        <v>45</v>
      </c>
      <c r="J257" s="14">
        <v>0.33</v>
      </c>
      <c r="K257" s="15">
        <v>44884</v>
      </c>
      <c r="L257" s="13" t="str" cm="1">
        <f t="array" ref="L257">_xlfn.IFS(
  OR(ISBLANK(A257),ISBLANK(C257),ISBLANK(J257)),"Missing Value",
  OR(C257&lt;18,C257&gt;120),"Review – Out of Range (Age)",
  J257&lt;0,"Review – Out of Range (Risk Score)",
  TRUE,"OK"
)</f>
        <v>OK</v>
      </c>
    </row>
    <row r="258" spans="1:12" ht="16.8" x14ac:dyDescent="0.3">
      <c r="A258" s="11" t="s">
        <v>567</v>
      </c>
      <c r="B258" s="11" t="s">
        <v>568</v>
      </c>
      <c r="C258" s="11">
        <v>28</v>
      </c>
      <c r="D258" s="11" t="s">
        <v>41</v>
      </c>
      <c r="E258" s="11" t="s">
        <v>42</v>
      </c>
      <c r="F258" s="11" t="s">
        <v>43</v>
      </c>
      <c r="G258" s="11" t="s">
        <v>94</v>
      </c>
      <c r="H258" s="11" t="s">
        <v>46</v>
      </c>
      <c r="I258" s="11" t="s">
        <v>45</v>
      </c>
      <c r="J258" s="11">
        <v>0.55000000000000004</v>
      </c>
      <c r="K258" s="12">
        <v>43145</v>
      </c>
      <c r="L258" s="13" t="str" cm="1">
        <f t="array" ref="L258">_xlfn.IFS(
  OR(ISBLANK(A258),ISBLANK(C258),ISBLANK(J258)),"Missing Value",
  OR(C258&lt;18,C258&gt;120),"Review – Out of Range (Age)",
  J258&lt;0,"Review – Out of Range (Risk Score)",
  TRUE,"OK"
)</f>
        <v>OK</v>
      </c>
    </row>
    <row r="259" spans="1:12" ht="16.8" x14ac:dyDescent="0.3">
      <c r="A259" s="14" t="s">
        <v>569</v>
      </c>
      <c r="B259" s="14" t="s">
        <v>570</v>
      </c>
      <c r="C259" s="14">
        <v>49</v>
      </c>
      <c r="D259" s="14" t="s">
        <v>41</v>
      </c>
      <c r="E259" s="14" t="s">
        <v>42</v>
      </c>
      <c r="F259" s="14" t="s">
        <v>59</v>
      </c>
      <c r="G259" s="14" t="s">
        <v>94</v>
      </c>
      <c r="H259" s="14" t="s">
        <v>46</v>
      </c>
      <c r="I259" s="14" t="s">
        <v>46</v>
      </c>
      <c r="J259" s="14">
        <v>0.39</v>
      </c>
      <c r="K259" s="15">
        <v>44260</v>
      </c>
      <c r="L259" s="13" t="str" cm="1">
        <f t="array" ref="L259">_xlfn.IFS(
  OR(ISBLANK(A259),ISBLANK(C259),ISBLANK(J259)),"Missing Value",
  OR(C259&lt;18,C259&gt;120),"Review – Out of Range (Age)",
  J259&lt;0,"Review – Out of Range (Risk Score)",
  TRUE,"OK"
)</f>
        <v>OK</v>
      </c>
    </row>
    <row r="260" spans="1:12" ht="16.8" x14ac:dyDescent="0.3">
      <c r="A260" s="11" t="s">
        <v>571</v>
      </c>
      <c r="B260" s="11" t="s">
        <v>572</v>
      </c>
      <c r="C260" s="11">
        <v>41</v>
      </c>
      <c r="D260" s="11" t="s">
        <v>41</v>
      </c>
      <c r="E260" s="11" t="s">
        <v>42</v>
      </c>
      <c r="F260" s="11" t="s">
        <v>59</v>
      </c>
      <c r="G260" s="11" t="s">
        <v>60</v>
      </c>
      <c r="H260" s="11" t="s">
        <v>46</v>
      </c>
      <c r="I260" s="11" t="s">
        <v>45</v>
      </c>
      <c r="J260" s="11">
        <v>0.52</v>
      </c>
      <c r="K260" s="12">
        <v>43152</v>
      </c>
      <c r="L260" s="13" t="str" cm="1">
        <f t="array" ref="L260">_xlfn.IFS(
  OR(ISBLANK(A260),ISBLANK(C260),ISBLANK(J260)),"Missing Value",
  OR(C260&lt;18,C260&gt;120),"Review – Out of Range (Age)",
  J260&lt;0,"Review – Out of Range (Risk Score)",
  TRUE,"OK"
)</f>
        <v>OK</v>
      </c>
    </row>
    <row r="261" spans="1:12" ht="16.8" x14ac:dyDescent="0.3">
      <c r="A261" s="14" t="s">
        <v>573</v>
      </c>
      <c r="B261" s="14" t="s">
        <v>574</v>
      </c>
      <c r="C261" s="14">
        <v>64</v>
      </c>
      <c r="D261" s="14" t="s">
        <v>41</v>
      </c>
      <c r="E261" s="14" t="s">
        <v>58</v>
      </c>
      <c r="F261" s="14" t="s">
        <v>59</v>
      </c>
      <c r="G261" s="14" t="s">
        <v>60</v>
      </c>
      <c r="H261" s="14" t="s">
        <v>45</v>
      </c>
      <c r="I261" s="14" t="s">
        <v>46</v>
      </c>
      <c r="J261" s="14">
        <v>0.41</v>
      </c>
      <c r="K261" s="15">
        <v>44057</v>
      </c>
      <c r="L261" s="13" t="str" cm="1">
        <f t="array" ref="L261">_xlfn.IFS(
  OR(ISBLANK(A261),ISBLANK(C261),ISBLANK(J261)),"Missing Value",
  OR(C261&lt;18,C261&gt;120),"Review – Out of Range (Age)",
  J261&lt;0,"Review – Out of Range (Risk Score)",
  TRUE,"OK"
)</f>
        <v>OK</v>
      </c>
    </row>
    <row r="262" spans="1:12" ht="16.8" x14ac:dyDescent="0.3">
      <c r="A262" s="11" t="s">
        <v>575</v>
      </c>
      <c r="B262" s="11" t="s">
        <v>576</v>
      </c>
      <c r="C262" s="11">
        <v>34</v>
      </c>
      <c r="D262" s="11" t="s">
        <v>41</v>
      </c>
      <c r="E262" s="11" t="s">
        <v>58</v>
      </c>
      <c r="F262" s="11" t="s">
        <v>43</v>
      </c>
      <c r="G262" s="11" t="s">
        <v>109</v>
      </c>
      <c r="H262" s="11" t="s">
        <v>45</v>
      </c>
      <c r="I262" s="11" t="s">
        <v>45</v>
      </c>
      <c r="J262" s="11">
        <v>0.56000000000000005</v>
      </c>
      <c r="K262" s="12">
        <v>43779</v>
      </c>
      <c r="L262" s="13" t="str" cm="1">
        <f t="array" ref="L262">_xlfn.IFS(
  OR(ISBLANK(A262),ISBLANK(C262),ISBLANK(J262)),"Missing Value",
  OR(C262&lt;18,C262&gt;120),"Review – Out of Range (Age)",
  J262&lt;0,"Review – Out of Range (Risk Score)",
  TRUE,"OK"
)</f>
        <v>OK</v>
      </c>
    </row>
    <row r="263" spans="1:12" ht="16.8" x14ac:dyDescent="0.3">
      <c r="A263" s="14" t="s">
        <v>577</v>
      </c>
      <c r="B263" s="14" t="s">
        <v>578</v>
      </c>
      <c r="C263" s="14">
        <v>42</v>
      </c>
      <c r="D263" s="14" t="s">
        <v>41</v>
      </c>
      <c r="E263" s="14" t="s">
        <v>42</v>
      </c>
      <c r="F263" s="14" t="s">
        <v>43</v>
      </c>
      <c r="G263" s="14" t="s">
        <v>44</v>
      </c>
      <c r="H263" s="14" t="s">
        <v>46</v>
      </c>
      <c r="I263" s="14" t="s">
        <v>46</v>
      </c>
      <c r="J263" s="14">
        <v>0.17</v>
      </c>
      <c r="K263" s="15">
        <v>43442</v>
      </c>
      <c r="L263" s="13" t="str" cm="1">
        <f t="array" ref="L263">_xlfn.IFS(
  OR(ISBLANK(A263),ISBLANK(C263),ISBLANK(J263)),"Missing Value",
  OR(C263&lt;18,C263&gt;120),"Review – Out of Range (Age)",
  J263&lt;0,"Review – Out of Range (Risk Score)",
  TRUE,"OK"
)</f>
        <v>OK</v>
      </c>
    </row>
    <row r="264" spans="1:12" ht="16.8" x14ac:dyDescent="0.3">
      <c r="A264" s="11" t="s">
        <v>579</v>
      </c>
      <c r="B264" s="11" t="s">
        <v>580</v>
      </c>
      <c r="C264" s="11">
        <v>34</v>
      </c>
      <c r="D264" s="11" t="s">
        <v>49</v>
      </c>
      <c r="E264" s="11" t="s">
        <v>58</v>
      </c>
      <c r="F264" s="11" t="s">
        <v>51</v>
      </c>
      <c r="G264" s="11" t="s">
        <v>55</v>
      </c>
      <c r="H264" s="11" t="s">
        <v>45</v>
      </c>
      <c r="I264" s="11" t="s">
        <v>45</v>
      </c>
      <c r="J264" s="11">
        <v>0.83</v>
      </c>
      <c r="K264" s="12">
        <v>44786</v>
      </c>
      <c r="L264" s="13" t="str" cm="1">
        <f t="array" ref="L264">_xlfn.IFS(
  OR(ISBLANK(A264),ISBLANK(C264),ISBLANK(J264)),"Missing Value",
  OR(C264&lt;18,C264&gt;120),"Review – Out of Range (Age)",
  J264&lt;0,"Review – Out of Range (Risk Score)",
  TRUE,"OK"
)</f>
        <v>OK</v>
      </c>
    </row>
    <row r="265" spans="1:12" ht="16.8" x14ac:dyDescent="0.3">
      <c r="A265" s="14" t="s">
        <v>581</v>
      </c>
      <c r="B265" s="14" t="s">
        <v>582</v>
      </c>
      <c r="C265" s="14">
        <v>53</v>
      </c>
      <c r="D265" s="14" t="s">
        <v>41</v>
      </c>
      <c r="E265" s="14" t="s">
        <v>50</v>
      </c>
      <c r="F265" s="14" t="s">
        <v>51</v>
      </c>
      <c r="G265" s="14" t="s">
        <v>60</v>
      </c>
      <c r="H265" s="14" t="s">
        <v>45</v>
      </c>
      <c r="I265" s="14" t="s">
        <v>46</v>
      </c>
      <c r="J265" s="14">
        <v>0.56000000000000005</v>
      </c>
      <c r="K265" s="15">
        <v>44465</v>
      </c>
      <c r="L265" s="13" t="str" cm="1">
        <f t="array" ref="L265">_xlfn.IFS(
  OR(ISBLANK(A265),ISBLANK(C265),ISBLANK(J265)),"Missing Value",
  OR(C265&lt;18,C265&gt;120),"Review – Out of Range (Age)",
  J265&lt;0,"Review – Out of Range (Risk Score)",
  TRUE,"OK"
)</f>
        <v>OK</v>
      </c>
    </row>
    <row r="266" spans="1:12" ht="16.8" x14ac:dyDescent="0.3">
      <c r="A266" s="11" t="s">
        <v>583</v>
      </c>
      <c r="B266" s="11" t="s">
        <v>584</v>
      </c>
      <c r="C266" s="11">
        <v>35</v>
      </c>
      <c r="D266" s="11" t="s">
        <v>49</v>
      </c>
      <c r="E266" s="11" t="s">
        <v>50</v>
      </c>
      <c r="F266" s="11" t="s">
        <v>65</v>
      </c>
      <c r="G266" s="11" t="s">
        <v>60</v>
      </c>
      <c r="H266" s="11" t="s">
        <v>46</v>
      </c>
      <c r="I266" s="11" t="s">
        <v>45</v>
      </c>
      <c r="J266" s="11">
        <v>0.31</v>
      </c>
      <c r="K266" s="12">
        <v>43149</v>
      </c>
      <c r="L266" s="13" t="str" cm="1">
        <f t="array" ref="L266">_xlfn.IFS(
  OR(ISBLANK(A266),ISBLANK(C266),ISBLANK(J266)),"Missing Value",
  OR(C266&lt;18,C266&gt;120),"Review – Out of Range (Age)",
  J266&lt;0,"Review – Out of Range (Risk Score)",
  TRUE,"OK"
)</f>
        <v>OK</v>
      </c>
    </row>
    <row r="267" spans="1:12" ht="16.8" x14ac:dyDescent="0.3">
      <c r="A267" s="14" t="s">
        <v>585</v>
      </c>
      <c r="B267" s="14" t="s">
        <v>586</v>
      </c>
      <c r="C267" s="14">
        <v>31</v>
      </c>
      <c r="D267" s="14" t="s">
        <v>49</v>
      </c>
      <c r="E267" s="14" t="s">
        <v>42</v>
      </c>
      <c r="F267" s="14" t="s">
        <v>51</v>
      </c>
      <c r="G267" s="14" t="s">
        <v>109</v>
      </c>
      <c r="H267" s="14" t="s">
        <v>45</v>
      </c>
      <c r="I267" s="14" t="s">
        <v>46</v>
      </c>
      <c r="J267" s="14">
        <v>0.64</v>
      </c>
      <c r="K267" s="15">
        <v>43349</v>
      </c>
      <c r="L267" s="13" t="str" cm="1">
        <f t="array" ref="L267">_xlfn.IFS(
  OR(ISBLANK(A267),ISBLANK(C267),ISBLANK(J267)),"Missing Value",
  OR(C267&lt;18,C267&gt;120),"Review – Out of Range (Age)",
  J267&lt;0,"Review – Out of Range (Risk Score)",
  TRUE,"OK"
)</f>
        <v>OK</v>
      </c>
    </row>
    <row r="268" spans="1:12" ht="16.8" x14ac:dyDescent="0.3">
      <c r="A268" s="11" t="s">
        <v>587</v>
      </c>
      <c r="B268" s="11" t="s">
        <v>588</v>
      </c>
      <c r="C268" s="11">
        <v>18</v>
      </c>
      <c r="D268" s="11" t="s">
        <v>49</v>
      </c>
      <c r="E268" s="11" t="s">
        <v>42</v>
      </c>
      <c r="F268" s="11" t="s">
        <v>51</v>
      </c>
      <c r="G268" s="11" t="s">
        <v>109</v>
      </c>
      <c r="H268" s="11" t="s">
        <v>46</v>
      </c>
      <c r="I268" s="11" t="s">
        <v>46</v>
      </c>
      <c r="J268" s="11">
        <v>0.27</v>
      </c>
      <c r="K268" s="12">
        <v>44942</v>
      </c>
      <c r="L268" s="13" t="str" cm="1">
        <f t="array" ref="L268">_xlfn.IFS(
  OR(ISBLANK(A268),ISBLANK(C268),ISBLANK(J268)),"Missing Value",
  OR(C268&lt;18,C268&gt;120),"Review – Out of Range (Age)",
  J268&lt;0,"Review – Out of Range (Risk Score)",
  TRUE,"OK"
)</f>
        <v>OK</v>
      </c>
    </row>
    <row r="269" spans="1:12" ht="16.8" x14ac:dyDescent="0.3">
      <c r="A269" s="14" t="s">
        <v>589</v>
      </c>
      <c r="B269" s="14" t="s">
        <v>590</v>
      </c>
      <c r="C269" s="14">
        <v>25</v>
      </c>
      <c r="D269" s="14" t="s">
        <v>49</v>
      </c>
      <c r="E269" s="14" t="s">
        <v>58</v>
      </c>
      <c r="F269" s="14" t="s">
        <v>65</v>
      </c>
      <c r="G269" s="14" t="s">
        <v>55</v>
      </c>
      <c r="H269" s="14" t="s">
        <v>45</v>
      </c>
      <c r="I269" s="14" t="s">
        <v>46</v>
      </c>
      <c r="J269" s="14">
        <v>0.77</v>
      </c>
      <c r="K269" s="15">
        <v>44419</v>
      </c>
      <c r="L269" s="13" t="str" cm="1">
        <f t="array" ref="L269">_xlfn.IFS(
  OR(ISBLANK(A269),ISBLANK(C269),ISBLANK(J269)),"Missing Value",
  OR(C269&lt;18,C269&gt;120),"Review – Out of Range (Age)",
  J269&lt;0,"Review – Out of Range (Risk Score)",
  TRUE,"OK"
)</f>
        <v>OK</v>
      </c>
    </row>
    <row r="270" spans="1:12" ht="16.8" x14ac:dyDescent="0.3">
      <c r="A270" s="11" t="s">
        <v>591</v>
      </c>
      <c r="B270" s="11" t="s">
        <v>592</v>
      </c>
      <c r="C270" s="11">
        <v>61</v>
      </c>
      <c r="D270" s="11" t="s">
        <v>41</v>
      </c>
      <c r="E270" s="11" t="s">
        <v>50</v>
      </c>
      <c r="F270" s="11" t="s">
        <v>59</v>
      </c>
      <c r="G270" s="11" t="s">
        <v>60</v>
      </c>
      <c r="H270" s="11" t="s">
        <v>46</v>
      </c>
      <c r="I270" s="11" t="s">
        <v>45</v>
      </c>
      <c r="J270" s="11">
        <v>0.45</v>
      </c>
      <c r="K270" s="12">
        <v>43543</v>
      </c>
      <c r="L270" s="13" t="str" cm="1">
        <f t="array" ref="L270">_xlfn.IFS(
  OR(ISBLANK(A270),ISBLANK(C270),ISBLANK(J270)),"Missing Value",
  OR(C270&lt;18,C270&gt;120),"Review – Out of Range (Age)",
  J270&lt;0,"Review – Out of Range (Risk Score)",
  TRUE,"OK"
)</f>
        <v>OK</v>
      </c>
    </row>
    <row r="271" spans="1:12" ht="16.8" x14ac:dyDescent="0.3">
      <c r="A271" s="14" t="s">
        <v>593</v>
      </c>
      <c r="B271" s="14" t="s">
        <v>594</v>
      </c>
      <c r="C271" s="14">
        <v>52</v>
      </c>
      <c r="D271" s="14" t="s">
        <v>41</v>
      </c>
      <c r="E271" s="14" t="s">
        <v>58</v>
      </c>
      <c r="F271" s="14" t="s">
        <v>51</v>
      </c>
      <c r="G271" s="14" t="s">
        <v>55</v>
      </c>
      <c r="H271" s="14" t="s">
        <v>46</v>
      </c>
      <c r="I271" s="14" t="s">
        <v>45</v>
      </c>
      <c r="J271" s="14">
        <v>0.51</v>
      </c>
      <c r="K271" s="15">
        <v>43221</v>
      </c>
      <c r="L271" s="13" t="str" cm="1">
        <f t="array" ref="L271">_xlfn.IFS(
  OR(ISBLANK(A271),ISBLANK(C271),ISBLANK(J271)),"Missing Value",
  OR(C271&lt;18,C271&gt;120),"Review – Out of Range (Age)",
  J271&lt;0,"Review – Out of Range (Risk Score)",
  TRUE,"OK"
)</f>
        <v>OK</v>
      </c>
    </row>
    <row r="272" spans="1:12" ht="16.8" x14ac:dyDescent="0.3">
      <c r="A272" s="11" t="s">
        <v>595</v>
      </c>
      <c r="B272" s="11" t="s">
        <v>596</v>
      </c>
      <c r="C272" s="11">
        <v>40</v>
      </c>
      <c r="D272" s="11" t="s">
        <v>41</v>
      </c>
      <c r="E272" s="11" t="s">
        <v>58</v>
      </c>
      <c r="F272" s="11" t="s">
        <v>51</v>
      </c>
      <c r="G272" s="11" t="s">
        <v>44</v>
      </c>
      <c r="H272" s="11" t="s">
        <v>45</v>
      </c>
      <c r="I272" s="11" t="s">
        <v>46</v>
      </c>
      <c r="J272" s="11">
        <v>0.63</v>
      </c>
      <c r="K272" s="12">
        <v>43371</v>
      </c>
      <c r="L272" s="13" t="str" cm="1">
        <f t="array" ref="L272">_xlfn.IFS(
  OR(ISBLANK(A272),ISBLANK(C272),ISBLANK(J272)),"Missing Value",
  OR(C272&lt;18,C272&gt;120),"Review – Out of Range (Age)",
  J272&lt;0,"Review – Out of Range (Risk Score)",
  TRUE,"OK"
)</f>
        <v>OK</v>
      </c>
    </row>
    <row r="273" spans="1:12" ht="16.8" x14ac:dyDescent="0.3">
      <c r="A273" s="14" t="s">
        <v>597</v>
      </c>
      <c r="B273" s="14" t="s">
        <v>598</v>
      </c>
      <c r="C273" s="14">
        <v>40</v>
      </c>
      <c r="D273" s="14" t="s">
        <v>41</v>
      </c>
      <c r="E273" s="14" t="s">
        <v>50</v>
      </c>
      <c r="F273" s="14" t="s">
        <v>43</v>
      </c>
      <c r="G273" s="14" t="s">
        <v>52</v>
      </c>
      <c r="H273" s="14" t="s">
        <v>45</v>
      </c>
      <c r="I273" s="14" t="s">
        <v>45</v>
      </c>
      <c r="J273" s="14">
        <v>0.34</v>
      </c>
      <c r="K273" s="15">
        <v>44885</v>
      </c>
      <c r="L273" s="13" t="str" cm="1">
        <f t="array" ref="L273">_xlfn.IFS(
  OR(ISBLANK(A273),ISBLANK(C273),ISBLANK(J273)),"Missing Value",
  OR(C273&lt;18,C273&gt;120),"Review – Out of Range (Age)",
  J273&lt;0,"Review – Out of Range (Risk Score)",
  TRUE,"OK"
)</f>
        <v>OK</v>
      </c>
    </row>
    <row r="274" spans="1:12" ht="16.8" x14ac:dyDescent="0.3">
      <c r="A274" s="11" t="s">
        <v>599</v>
      </c>
      <c r="B274" s="11" t="s">
        <v>600</v>
      </c>
      <c r="C274" s="11">
        <v>54</v>
      </c>
      <c r="D274" s="11" t="s">
        <v>49</v>
      </c>
      <c r="E274" s="11" t="s">
        <v>42</v>
      </c>
      <c r="F274" s="11" t="s">
        <v>51</v>
      </c>
      <c r="G274" s="11" t="s">
        <v>60</v>
      </c>
      <c r="H274" s="11" t="s">
        <v>45</v>
      </c>
      <c r="I274" s="11" t="s">
        <v>46</v>
      </c>
      <c r="J274" s="11">
        <v>0.3</v>
      </c>
      <c r="K274" s="12">
        <v>44935</v>
      </c>
      <c r="L274" s="13" t="str" cm="1">
        <f t="array" ref="L274">_xlfn.IFS(
  OR(ISBLANK(A274),ISBLANK(C274),ISBLANK(J274)),"Missing Value",
  OR(C274&lt;18,C274&gt;120),"Review – Out of Range (Age)",
  J274&lt;0,"Review – Out of Range (Risk Score)",
  TRUE,"OK"
)</f>
        <v>OK</v>
      </c>
    </row>
    <row r="275" spans="1:12" ht="16.8" x14ac:dyDescent="0.3">
      <c r="A275" s="14" t="s">
        <v>601</v>
      </c>
      <c r="B275" s="14" t="s">
        <v>602</v>
      </c>
      <c r="C275" s="14">
        <v>43</v>
      </c>
      <c r="D275" s="14" t="s">
        <v>41</v>
      </c>
      <c r="E275" s="14" t="s">
        <v>50</v>
      </c>
      <c r="F275" s="14" t="s">
        <v>51</v>
      </c>
      <c r="G275" s="14" t="s">
        <v>55</v>
      </c>
      <c r="H275" s="14" t="s">
        <v>46</v>
      </c>
      <c r="I275" s="14" t="s">
        <v>45</v>
      </c>
      <c r="J275" s="14">
        <v>0.48</v>
      </c>
      <c r="K275" s="15">
        <v>44474</v>
      </c>
      <c r="L275" s="13" t="str" cm="1">
        <f t="array" ref="L275">_xlfn.IFS(
  OR(ISBLANK(A275),ISBLANK(C275),ISBLANK(J275)),"Missing Value",
  OR(C275&lt;18,C275&gt;120),"Review – Out of Range (Age)",
  J275&lt;0,"Review – Out of Range (Risk Score)",
  TRUE,"OK"
)</f>
        <v>OK</v>
      </c>
    </row>
    <row r="276" spans="1:12" ht="16.8" x14ac:dyDescent="0.3">
      <c r="A276" s="11" t="s">
        <v>603</v>
      </c>
      <c r="B276" s="11" t="s">
        <v>604</v>
      </c>
      <c r="C276" s="11">
        <v>42</v>
      </c>
      <c r="D276" s="11" t="s">
        <v>49</v>
      </c>
      <c r="E276" s="11" t="s">
        <v>42</v>
      </c>
      <c r="F276" s="11" t="s">
        <v>65</v>
      </c>
      <c r="G276" s="11" t="s">
        <v>109</v>
      </c>
      <c r="H276" s="11" t="s">
        <v>45</v>
      </c>
      <c r="I276" s="11" t="s">
        <v>46</v>
      </c>
      <c r="J276" s="11">
        <v>0.56000000000000005</v>
      </c>
      <c r="K276" s="12">
        <v>43495</v>
      </c>
      <c r="L276" s="13" t="str" cm="1">
        <f t="array" ref="L276">_xlfn.IFS(
  OR(ISBLANK(A276),ISBLANK(C276),ISBLANK(J276)),"Missing Value",
  OR(C276&lt;18,C276&gt;120),"Review – Out of Range (Age)",
  J276&lt;0,"Review – Out of Range (Risk Score)",
  TRUE,"OK"
)</f>
        <v>OK</v>
      </c>
    </row>
    <row r="277" spans="1:12" ht="16.8" x14ac:dyDescent="0.3">
      <c r="A277" s="14" t="s">
        <v>605</v>
      </c>
      <c r="B277" s="14" t="s">
        <v>606</v>
      </c>
      <c r="C277" s="14">
        <v>43</v>
      </c>
      <c r="D277" s="14" t="s">
        <v>49</v>
      </c>
      <c r="E277" s="14" t="s">
        <v>42</v>
      </c>
      <c r="F277" s="14" t="s">
        <v>59</v>
      </c>
      <c r="G277" s="14" t="s">
        <v>55</v>
      </c>
      <c r="H277" s="14" t="s">
        <v>45</v>
      </c>
      <c r="I277" s="14" t="s">
        <v>45</v>
      </c>
      <c r="J277" s="14">
        <v>0.39</v>
      </c>
      <c r="K277" s="15">
        <v>44356</v>
      </c>
      <c r="L277" s="13" t="str" cm="1">
        <f t="array" ref="L277">_xlfn.IFS(
  OR(ISBLANK(A277),ISBLANK(C277),ISBLANK(J277)),"Missing Value",
  OR(C277&lt;18,C277&gt;120),"Review – Out of Range (Age)",
  J277&lt;0,"Review – Out of Range (Risk Score)",
  TRUE,"OK"
)</f>
        <v>OK</v>
      </c>
    </row>
    <row r="278" spans="1:12" ht="16.8" x14ac:dyDescent="0.3">
      <c r="A278" s="11" t="s">
        <v>607</v>
      </c>
      <c r="B278" s="11" t="s">
        <v>608</v>
      </c>
      <c r="C278" s="11">
        <v>45</v>
      </c>
      <c r="D278" s="11" t="s">
        <v>49</v>
      </c>
      <c r="E278" s="11" t="s">
        <v>42</v>
      </c>
      <c r="F278" s="11" t="s">
        <v>43</v>
      </c>
      <c r="G278" s="11" t="s">
        <v>44</v>
      </c>
      <c r="H278" s="11" t="s">
        <v>46</v>
      </c>
      <c r="I278" s="11" t="s">
        <v>46</v>
      </c>
      <c r="J278" s="11">
        <v>0.54</v>
      </c>
      <c r="K278" s="12">
        <v>43725</v>
      </c>
      <c r="L278" s="13" t="str" cm="1">
        <f t="array" ref="L278">_xlfn.IFS(
  OR(ISBLANK(A278),ISBLANK(C278),ISBLANK(J278)),"Missing Value",
  OR(C278&lt;18,C278&gt;120),"Review – Out of Range (Age)",
  J278&lt;0,"Review – Out of Range (Risk Score)",
  TRUE,"OK"
)</f>
        <v>OK</v>
      </c>
    </row>
    <row r="279" spans="1:12" ht="16.8" x14ac:dyDescent="0.3">
      <c r="A279" s="14" t="s">
        <v>609</v>
      </c>
      <c r="B279" s="14" t="s">
        <v>610</v>
      </c>
      <c r="C279" s="14">
        <v>51</v>
      </c>
      <c r="D279" s="14" t="s">
        <v>49</v>
      </c>
      <c r="E279" s="14" t="s">
        <v>50</v>
      </c>
      <c r="F279" s="14" t="s">
        <v>59</v>
      </c>
      <c r="G279" s="14" t="s">
        <v>44</v>
      </c>
      <c r="H279" s="14" t="s">
        <v>45</v>
      </c>
      <c r="I279" s="14" t="s">
        <v>46</v>
      </c>
      <c r="J279" s="14">
        <v>0.79</v>
      </c>
      <c r="K279" s="15">
        <v>44422</v>
      </c>
      <c r="L279" s="13" t="str" cm="1">
        <f t="array" ref="L279">_xlfn.IFS(
  OR(ISBLANK(A279),ISBLANK(C279),ISBLANK(J279)),"Missing Value",
  OR(C279&lt;18,C279&gt;120),"Review – Out of Range (Age)",
  J279&lt;0,"Review – Out of Range (Risk Score)",
  TRUE,"OK"
)</f>
        <v>OK</v>
      </c>
    </row>
    <row r="280" spans="1:12" ht="16.8" x14ac:dyDescent="0.3">
      <c r="A280" s="11" t="s">
        <v>611</v>
      </c>
      <c r="B280" s="11" t="s">
        <v>612</v>
      </c>
      <c r="C280" s="11">
        <v>67</v>
      </c>
      <c r="D280" s="11" t="s">
        <v>49</v>
      </c>
      <c r="E280" s="11" t="s">
        <v>50</v>
      </c>
      <c r="F280" s="11" t="s">
        <v>43</v>
      </c>
      <c r="G280" s="11" t="s">
        <v>60</v>
      </c>
      <c r="H280" s="11" t="s">
        <v>45</v>
      </c>
      <c r="I280" s="11" t="s">
        <v>45</v>
      </c>
      <c r="J280" s="11">
        <v>0.36</v>
      </c>
      <c r="K280" s="12">
        <v>43816</v>
      </c>
      <c r="L280" s="13" t="str" cm="1">
        <f t="array" ref="L280">_xlfn.IFS(
  OR(ISBLANK(A280),ISBLANK(C280),ISBLANK(J280)),"Missing Value",
  OR(C280&lt;18,C280&gt;120),"Review – Out of Range (Age)",
  J280&lt;0,"Review – Out of Range (Risk Score)",
  TRUE,"OK"
)</f>
        <v>OK</v>
      </c>
    </row>
    <row r="281" spans="1:12" ht="16.8" x14ac:dyDescent="0.3">
      <c r="A281" s="14" t="s">
        <v>613</v>
      </c>
      <c r="B281" s="14" t="s">
        <v>614</v>
      </c>
      <c r="C281" s="14">
        <v>21</v>
      </c>
      <c r="D281" s="14" t="s">
        <v>49</v>
      </c>
      <c r="E281" s="14" t="s">
        <v>42</v>
      </c>
      <c r="F281" s="14" t="s">
        <v>59</v>
      </c>
      <c r="G281" s="14" t="s">
        <v>60</v>
      </c>
      <c r="H281" s="14" t="s">
        <v>45</v>
      </c>
      <c r="I281" s="14" t="s">
        <v>45</v>
      </c>
      <c r="J281" s="14">
        <v>0.6</v>
      </c>
      <c r="K281" s="15">
        <v>43166</v>
      </c>
      <c r="L281" s="13" t="str" cm="1">
        <f t="array" ref="L281">_xlfn.IFS(
  OR(ISBLANK(A281),ISBLANK(C281),ISBLANK(J281)),"Missing Value",
  OR(C281&lt;18,C281&gt;120),"Review – Out of Range (Age)",
  J281&lt;0,"Review – Out of Range (Risk Score)",
  TRUE,"OK"
)</f>
        <v>OK</v>
      </c>
    </row>
    <row r="282" spans="1:12" ht="16.8" x14ac:dyDescent="0.3">
      <c r="A282" s="11" t="s">
        <v>615</v>
      </c>
      <c r="B282" s="11" t="s">
        <v>616</v>
      </c>
      <c r="C282" s="11">
        <v>29</v>
      </c>
      <c r="D282" s="11" t="s">
        <v>41</v>
      </c>
      <c r="E282" s="11" t="s">
        <v>50</v>
      </c>
      <c r="F282" s="11" t="s">
        <v>65</v>
      </c>
      <c r="G282" s="11" t="s">
        <v>55</v>
      </c>
      <c r="H282" s="11" t="s">
        <v>46</v>
      </c>
      <c r="I282" s="11" t="s">
        <v>45</v>
      </c>
      <c r="J282" s="11">
        <v>0.15</v>
      </c>
      <c r="K282" s="12">
        <v>44836</v>
      </c>
      <c r="L282" s="13" t="str" cm="1">
        <f t="array" ref="L282">_xlfn.IFS(
  OR(ISBLANK(A282),ISBLANK(C282),ISBLANK(J282)),"Missing Value",
  OR(C282&lt;18,C282&gt;120),"Review – Out of Range (Age)",
  J282&lt;0,"Review – Out of Range (Risk Score)",
  TRUE,"OK"
)</f>
        <v>OK</v>
      </c>
    </row>
    <row r="283" spans="1:12" ht="16.8" x14ac:dyDescent="0.3">
      <c r="A283" s="14" t="s">
        <v>617</v>
      </c>
      <c r="B283" s="14" t="s">
        <v>618</v>
      </c>
      <c r="C283" s="14">
        <v>49</v>
      </c>
      <c r="D283" s="14" t="s">
        <v>41</v>
      </c>
      <c r="E283" s="14" t="s">
        <v>50</v>
      </c>
      <c r="F283" s="14" t="s">
        <v>65</v>
      </c>
      <c r="G283" s="14" t="s">
        <v>44</v>
      </c>
      <c r="H283" s="14" t="s">
        <v>45</v>
      </c>
      <c r="I283" s="14" t="s">
        <v>45</v>
      </c>
      <c r="J283" s="14">
        <v>0.5</v>
      </c>
      <c r="K283" s="15">
        <v>44192</v>
      </c>
      <c r="L283" s="13" t="str" cm="1">
        <f t="array" ref="L283">_xlfn.IFS(
  OR(ISBLANK(A283),ISBLANK(C283),ISBLANK(J283)),"Missing Value",
  OR(C283&lt;18,C283&gt;120),"Review – Out of Range (Age)",
  J283&lt;0,"Review – Out of Range (Risk Score)",
  TRUE,"OK"
)</f>
        <v>OK</v>
      </c>
    </row>
    <row r="284" spans="1:12" ht="16.8" x14ac:dyDescent="0.3">
      <c r="A284" s="11" t="s">
        <v>619</v>
      </c>
      <c r="B284" s="11" t="s">
        <v>620</v>
      </c>
      <c r="C284" s="11">
        <v>65</v>
      </c>
      <c r="D284" s="11" t="s">
        <v>49</v>
      </c>
      <c r="E284" s="11" t="s">
        <v>42</v>
      </c>
      <c r="F284" s="11" t="s">
        <v>59</v>
      </c>
      <c r="G284" s="11" t="s">
        <v>44</v>
      </c>
      <c r="H284" s="11" t="s">
        <v>46</v>
      </c>
      <c r="I284" s="11" t="s">
        <v>45</v>
      </c>
      <c r="J284" s="11">
        <v>0.43</v>
      </c>
      <c r="K284" s="12">
        <v>44025</v>
      </c>
      <c r="L284" s="13" t="str" cm="1">
        <f t="array" ref="L284">_xlfn.IFS(
  OR(ISBLANK(A284),ISBLANK(C284),ISBLANK(J284)),"Missing Value",
  OR(C284&lt;18,C284&gt;120),"Review – Out of Range (Age)",
  J284&lt;0,"Review – Out of Range (Risk Score)",
  TRUE,"OK"
)</f>
        <v>OK</v>
      </c>
    </row>
    <row r="285" spans="1:12" ht="16.8" x14ac:dyDescent="0.3">
      <c r="A285" s="14" t="s">
        <v>621</v>
      </c>
      <c r="B285" s="14" t="s">
        <v>622</v>
      </c>
      <c r="C285" s="14">
        <v>57</v>
      </c>
      <c r="D285" s="14" t="s">
        <v>41</v>
      </c>
      <c r="E285" s="14" t="s">
        <v>58</v>
      </c>
      <c r="F285" s="14" t="s">
        <v>51</v>
      </c>
      <c r="G285" s="14" t="s">
        <v>44</v>
      </c>
      <c r="H285" s="14" t="s">
        <v>46</v>
      </c>
      <c r="I285" s="14" t="s">
        <v>46</v>
      </c>
      <c r="J285" s="14">
        <v>0.35</v>
      </c>
      <c r="K285" s="15">
        <v>43528</v>
      </c>
      <c r="L285" s="13" t="str" cm="1">
        <f t="array" ref="L285">_xlfn.IFS(
  OR(ISBLANK(A285),ISBLANK(C285),ISBLANK(J285)),"Missing Value",
  OR(C285&lt;18,C285&gt;120),"Review – Out of Range (Age)",
  J285&lt;0,"Review – Out of Range (Risk Score)",
  TRUE,"OK"
)</f>
        <v>OK</v>
      </c>
    </row>
    <row r="286" spans="1:12" ht="16.8" x14ac:dyDescent="0.3">
      <c r="A286" s="11" t="s">
        <v>623</v>
      </c>
      <c r="B286" s="11" t="s">
        <v>624</v>
      </c>
      <c r="C286" s="11">
        <v>25</v>
      </c>
      <c r="D286" s="11" t="s">
        <v>49</v>
      </c>
      <c r="E286" s="11" t="s">
        <v>58</v>
      </c>
      <c r="F286" s="11" t="s">
        <v>59</v>
      </c>
      <c r="G286" s="11" t="s">
        <v>60</v>
      </c>
      <c r="H286" s="11" t="s">
        <v>45</v>
      </c>
      <c r="I286" s="11" t="s">
        <v>46</v>
      </c>
      <c r="J286" s="11">
        <v>0.56999999999999995</v>
      </c>
      <c r="K286" s="12">
        <v>43578</v>
      </c>
      <c r="L286" s="13" t="str" cm="1">
        <f t="array" ref="L286">_xlfn.IFS(
  OR(ISBLANK(A286),ISBLANK(C286),ISBLANK(J286)),"Missing Value",
  OR(C286&lt;18,C286&gt;120),"Review – Out of Range (Age)",
  J286&lt;0,"Review – Out of Range (Risk Score)",
  TRUE,"OK"
)</f>
        <v>OK</v>
      </c>
    </row>
    <row r="287" spans="1:12" ht="16.8" x14ac:dyDescent="0.3">
      <c r="A287" s="14" t="s">
        <v>625</v>
      </c>
      <c r="B287" s="14" t="s">
        <v>626</v>
      </c>
      <c r="C287" s="14">
        <v>41</v>
      </c>
      <c r="D287" s="14" t="s">
        <v>49</v>
      </c>
      <c r="E287" s="14" t="s">
        <v>50</v>
      </c>
      <c r="F287" s="14" t="s">
        <v>65</v>
      </c>
      <c r="G287" s="14" t="s">
        <v>60</v>
      </c>
      <c r="H287" s="14" t="s">
        <v>45</v>
      </c>
      <c r="I287" s="14" t="s">
        <v>46</v>
      </c>
      <c r="J287" s="14">
        <v>0.57999999999999996</v>
      </c>
      <c r="K287" s="15">
        <v>44744</v>
      </c>
      <c r="L287" s="13" t="str" cm="1">
        <f t="array" ref="L287">_xlfn.IFS(
  OR(ISBLANK(A287),ISBLANK(C287),ISBLANK(J287)),"Missing Value",
  OR(C287&lt;18,C287&gt;120),"Review – Out of Range (Age)",
  J287&lt;0,"Review – Out of Range (Risk Score)",
  TRUE,"OK"
)</f>
        <v>OK</v>
      </c>
    </row>
    <row r="288" spans="1:12" ht="16.8" x14ac:dyDescent="0.3">
      <c r="A288" s="11" t="s">
        <v>627</v>
      </c>
      <c r="B288" s="11" t="s">
        <v>628</v>
      </c>
      <c r="C288" s="11">
        <v>27</v>
      </c>
      <c r="D288" s="11" t="s">
        <v>41</v>
      </c>
      <c r="E288" s="11" t="s">
        <v>50</v>
      </c>
      <c r="F288" s="11" t="s">
        <v>43</v>
      </c>
      <c r="G288" s="11" t="s">
        <v>60</v>
      </c>
      <c r="H288" s="11" t="s">
        <v>46</v>
      </c>
      <c r="I288" s="11" t="s">
        <v>46</v>
      </c>
      <c r="J288" s="11">
        <v>0.1</v>
      </c>
      <c r="K288" s="12">
        <v>44593</v>
      </c>
      <c r="L288" s="13" t="str" cm="1">
        <f t="array" ref="L288">_xlfn.IFS(
  OR(ISBLANK(A288),ISBLANK(C288),ISBLANK(J288)),"Missing Value",
  OR(C288&lt;18,C288&gt;120),"Review – Out of Range (Age)",
  J288&lt;0,"Review – Out of Range (Risk Score)",
  TRUE,"OK"
)</f>
        <v>OK</v>
      </c>
    </row>
    <row r="289" spans="1:12" ht="16.8" x14ac:dyDescent="0.3">
      <c r="A289" s="14" t="s">
        <v>629</v>
      </c>
      <c r="B289" s="14" t="s">
        <v>630</v>
      </c>
      <c r="C289" s="14">
        <v>23</v>
      </c>
      <c r="D289" s="14" t="s">
        <v>49</v>
      </c>
      <c r="E289" s="14" t="s">
        <v>42</v>
      </c>
      <c r="F289" s="14" t="s">
        <v>65</v>
      </c>
      <c r="G289" s="14" t="s">
        <v>52</v>
      </c>
      <c r="H289" s="14" t="s">
        <v>45</v>
      </c>
      <c r="I289" s="14" t="s">
        <v>45</v>
      </c>
      <c r="J289" s="14">
        <v>0.51</v>
      </c>
      <c r="K289" s="15">
        <v>44588</v>
      </c>
      <c r="L289" s="13" t="str" cm="1">
        <f t="array" ref="L289">_xlfn.IFS(
  OR(ISBLANK(A289),ISBLANK(C289),ISBLANK(J289)),"Missing Value",
  OR(C289&lt;18,C289&gt;120),"Review – Out of Range (Age)",
  J289&lt;0,"Review – Out of Range (Risk Score)",
  TRUE,"OK"
)</f>
        <v>OK</v>
      </c>
    </row>
    <row r="290" spans="1:12" ht="16.8" x14ac:dyDescent="0.3">
      <c r="A290" s="11" t="s">
        <v>631</v>
      </c>
      <c r="B290" s="11" t="s">
        <v>632</v>
      </c>
      <c r="C290" s="11">
        <v>60</v>
      </c>
      <c r="D290" s="11" t="s">
        <v>41</v>
      </c>
      <c r="E290" s="11" t="s">
        <v>50</v>
      </c>
      <c r="F290" s="11" t="s">
        <v>65</v>
      </c>
      <c r="G290" s="11" t="s">
        <v>60</v>
      </c>
      <c r="H290" s="11" t="s">
        <v>45</v>
      </c>
      <c r="I290" s="11" t="s">
        <v>45</v>
      </c>
      <c r="J290" s="11">
        <v>0.76</v>
      </c>
      <c r="K290" s="12">
        <v>43704</v>
      </c>
      <c r="L290" s="13" t="str" cm="1">
        <f t="array" ref="L290">_xlfn.IFS(
  OR(ISBLANK(A290),ISBLANK(C290),ISBLANK(J290)),"Missing Value",
  OR(C290&lt;18,C290&gt;120),"Review – Out of Range (Age)",
  J290&lt;0,"Review – Out of Range (Risk Score)",
  TRUE,"OK"
)</f>
        <v>OK</v>
      </c>
    </row>
    <row r="291" spans="1:12" ht="16.8" x14ac:dyDescent="0.3">
      <c r="A291" s="14" t="s">
        <v>633</v>
      </c>
      <c r="B291" s="14" t="s">
        <v>634</v>
      </c>
      <c r="C291" s="14">
        <v>47</v>
      </c>
      <c r="D291" s="14" t="s">
        <v>49</v>
      </c>
      <c r="E291" s="14" t="s">
        <v>50</v>
      </c>
      <c r="F291" s="14" t="s">
        <v>65</v>
      </c>
      <c r="G291" s="14" t="s">
        <v>44</v>
      </c>
      <c r="H291" s="14" t="s">
        <v>45</v>
      </c>
      <c r="I291" s="14" t="s">
        <v>46</v>
      </c>
      <c r="J291" s="14">
        <v>0.61</v>
      </c>
      <c r="K291" s="15">
        <v>43432</v>
      </c>
      <c r="L291" s="13" t="str" cm="1">
        <f t="array" ref="L291">_xlfn.IFS(
  OR(ISBLANK(A291),ISBLANK(C291),ISBLANK(J291)),"Missing Value",
  OR(C291&lt;18,C291&gt;120),"Review – Out of Range (Age)",
  J291&lt;0,"Review – Out of Range (Risk Score)",
  TRUE,"OK"
)</f>
        <v>OK</v>
      </c>
    </row>
    <row r="292" spans="1:12" ht="16.8" x14ac:dyDescent="0.3">
      <c r="A292" s="11" t="s">
        <v>635</v>
      </c>
      <c r="B292" s="11" t="s">
        <v>636</v>
      </c>
      <c r="C292" s="11">
        <v>66</v>
      </c>
      <c r="D292" s="11" t="s">
        <v>49</v>
      </c>
      <c r="E292" s="11" t="s">
        <v>42</v>
      </c>
      <c r="F292" s="11" t="s">
        <v>65</v>
      </c>
      <c r="G292" s="11" t="s">
        <v>44</v>
      </c>
      <c r="H292" s="11" t="s">
        <v>46</v>
      </c>
      <c r="I292" s="11" t="s">
        <v>46</v>
      </c>
      <c r="J292" s="11">
        <v>0.75</v>
      </c>
      <c r="K292" s="12">
        <v>44604</v>
      </c>
      <c r="L292" s="13" t="str" cm="1">
        <f t="array" ref="L292">_xlfn.IFS(
  OR(ISBLANK(A292),ISBLANK(C292),ISBLANK(J292)),"Missing Value",
  OR(C292&lt;18,C292&gt;120),"Review – Out of Range (Age)",
  J292&lt;0,"Review – Out of Range (Risk Score)",
  TRUE,"OK"
)</f>
        <v>OK</v>
      </c>
    </row>
    <row r="293" spans="1:12" ht="16.8" x14ac:dyDescent="0.3">
      <c r="A293" s="14" t="s">
        <v>637</v>
      </c>
      <c r="B293" s="14" t="s">
        <v>638</v>
      </c>
      <c r="C293" s="14">
        <v>34</v>
      </c>
      <c r="D293" s="14" t="s">
        <v>41</v>
      </c>
      <c r="E293" s="14" t="s">
        <v>58</v>
      </c>
      <c r="F293" s="14" t="s">
        <v>43</v>
      </c>
      <c r="G293" s="14" t="s">
        <v>52</v>
      </c>
      <c r="H293" s="14" t="s">
        <v>46</v>
      </c>
      <c r="I293" s="14" t="s">
        <v>45</v>
      </c>
      <c r="J293" s="14">
        <v>0.53</v>
      </c>
      <c r="K293" s="15">
        <v>43811</v>
      </c>
      <c r="L293" s="13" t="str" cm="1">
        <f t="array" ref="L293">_xlfn.IFS(
  OR(ISBLANK(A293),ISBLANK(C293),ISBLANK(J293)),"Missing Value",
  OR(C293&lt;18,C293&gt;120),"Review – Out of Range (Age)",
  J293&lt;0,"Review – Out of Range (Risk Score)",
  TRUE,"OK"
)</f>
        <v>OK</v>
      </c>
    </row>
    <row r="294" spans="1:12" ht="16.8" x14ac:dyDescent="0.3">
      <c r="A294" s="11" t="s">
        <v>639</v>
      </c>
      <c r="B294" s="11" t="s">
        <v>640</v>
      </c>
      <c r="C294" s="11">
        <v>42</v>
      </c>
      <c r="D294" s="11" t="s">
        <v>49</v>
      </c>
      <c r="E294" s="11" t="s">
        <v>58</v>
      </c>
      <c r="F294" s="11" t="s">
        <v>59</v>
      </c>
      <c r="G294" s="11" t="s">
        <v>52</v>
      </c>
      <c r="H294" s="11" t="s">
        <v>46</v>
      </c>
      <c r="I294" s="11" t="s">
        <v>45</v>
      </c>
      <c r="J294" s="11">
        <v>0.66</v>
      </c>
      <c r="K294" s="12">
        <v>44635</v>
      </c>
      <c r="L294" s="13" t="str" cm="1">
        <f t="array" ref="L294">_xlfn.IFS(
  OR(ISBLANK(A294),ISBLANK(C294),ISBLANK(J294)),"Missing Value",
  OR(C294&lt;18,C294&gt;120),"Review – Out of Range (Age)",
  J294&lt;0,"Review – Out of Range (Risk Score)",
  TRUE,"OK"
)</f>
        <v>OK</v>
      </c>
    </row>
    <row r="295" spans="1:12" ht="16.8" x14ac:dyDescent="0.3">
      <c r="A295" s="14" t="s">
        <v>641</v>
      </c>
      <c r="B295" s="14" t="s">
        <v>642</v>
      </c>
      <c r="C295" s="14">
        <v>65</v>
      </c>
      <c r="D295" s="14" t="s">
        <v>41</v>
      </c>
      <c r="E295" s="14" t="s">
        <v>58</v>
      </c>
      <c r="F295" s="14" t="s">
        <v>59</v>
      </c>
      <c r="G295" s="14" t="s">
        <v>55</v>
      </c>
      <c r="H295" s="14" t="s">
        <v>46</v>
      </c>
      <c r="I295" s="14" t="s">
        <v>45</v>
      </c>
      <c r="J295" s="14">
        <v>0.51</v>
      </c>
      <c r="K295" s="15">
        <v>44395</v>
      </c>
      <c r="L295" s="13" t="str" cm="1">
        <f t="array" ref="L295">_xlfn.IFS(
  OR(ISBLANK(A295),ISBLANK(C295),ISBLANK(J295)),"Missing Value",
  OR(C295&lt;18,C295&gt;120),"Review – Out of Range (Age)",
  J295&lt;0,"Review – Out of Range (Risk Score)",
  TRUE,"OK"
)</f>
        <v>OK</v>
      </c>
    </row>
    <row r="296" spans="1:12" ht="16.8" x14ac:dyDescent="0.3">
      <c r="A296" s="11" t="s">
        <v>643</v>
      </c>
      <c r="B296" s="11" t="s">
        <v>644</v>
      </c>
      <c r="C296" s="11">
        <v>59</v>
      </c>
      <c r="D296" s="11" t="s">
        <v>41</v>
      </c>
      <c r="E296" s="11" t="s">
        <v>58</v>
      </c>
      <c r="F296" s="11" t="s">
        <v>65</v>
      </c>
      <c r="G296" s="11" t="s">
        <v>94</v>
      </c>
      <c r="H296" s="11" t="s">
        <v>46</v>
      </c>
      <c r="I296" s="11" t="s">
        <v>46</v>
      </c>
      <c r="J296" s="11">
        <v>0.28000000000000003</v>
      </c>
      <c r="K296" s="12">
        <v>44239</v>
      </c>
      <c r="L296" s="13" t="str" cm="1">
        <f t="array" ref="L296">_xlfn.IFS(
  OR(ISBLANK(A296),ISBLANK(C296),ISBLANK(J296)),"Missing Value",
  OR(C296&lt;18,C296&gt;120),"Review – Out of Range (Age)",
  J296&lt;0,"Review – Out of Range (Risk Score)",
  TRUE,"OK"
)</f>
        <v>OK</v>
      </c>
    </row>
    <row r="297" spans="1:12" ht="16.8" x14ac:dyDescent="0.3">
      <c r="A297" s="14" t="s">
        <v>645</v>
      </c>
      <c r="B297" s="14" t="s">
        <v>646</v>
      </c>
      <c r="C297" s="14">
        <v>58</v>
      </c>
      <c r="D297" s="14" t="s">
        <v>49</v>
      </c>
      <c r="E297" s="14" t="s">
        <v>50</v>
      </c>
      <c r="F297" s="14" t="s">
        <v>59</v>
      </c>
      <c r="G297" s="14" t="s">
        <v>52</v>
      </c>
      <c r="H297" s="14" t="s">
        <v>45</v>
      </c>
      <c r="I297" s="14" t="s">
        <v>46</v>
      </c>
      <c r="J297" s="14">
        <v>0.51</v>
      </c>
      <c r="K297" s="15">
        <v>43413</v>
      </c>
      <c r="L297" s="13" t="str" cm="1">
        <f t="array" ref="L297">_xlfn.IFS(
  OR(ISBLANK(A297),ISBLANK(C297),ISBLANK(J297)),"Missing Value",
  OR(C297&lt;18,C297&gt;120),"Review – Out of Range (Age)",
  J297&lt;0,"Review – Out of Range (Risk Score)",
  TRUE,"OK"
)</f>
        <v>OK</v>
      </c>
    </row>
    <row r="298" spans="1:12" ht="16.8" x14ac:dyDescent="0.3">
      <c r="A298" s="11" t="s">
        <v>647</v>
      </c>
      <c r="B298" s="11" t="s">
        <v>648</v>
      </c>
      <c r="C298" s="11">
        <v>56</v>
      </c>
      <c r="D298" s="11" t="s">
        <v>41</v>
      </c>
      <c r="E298" s="11" t="s">
        <v>50</v>
      </c>
      <c r="F298" s="11" t="s">
        <v>51</v>
      </c>
      <c r="G298" s="11" t="s">
        <v>60</v>
      </c>
      <c r="H298" s="11" t="s">
        <v>45</v>
      </c>
      <c r="I298" s="11" t="s">
        <v>45</v>
      </c>
      <c r="J298" s="11">
        <v>0.7</v>
      </c>
      <c r="K298" s="12">
        <v>44329</v>
      </c>
      <c r="L298" s="13" t="str" cm="1">
        <f t="array" ref="L298">_xlfn.IFS(
  OR(ISBLANK(A298),ISBLANK(C298),ISBLANK(J298)),"Missing Value",
  OR(C298&lt;18,C298&gt;120),"Review – Out of Range (Age)",
  J298&lt;0,"Review – Out of Range (Risk Score)",
  TRUE,"OK"
)</f>
        <v>OK</v>
      </c>
    </row>
    <row r="299" spans="1:12" ht="16.8" x14ac:dyDescent="0.3">
      <c r="A299" s="14" t="s">
        <v>649</v>
      </c>
      <c r="B299" s="14" t="s">
        <v>650</v>
      </c>
      <c r="C299" s="14">
        <v>42</v>
      </c>
      <c r="D299" s="14" t="s">
        <v>41</v>
      </c>
      <c r="E299" s="14" t="s">
        <v>50</v>
      </c>
      <c r="F299" s="14" t="s">
        <v>43</v>
      </c>
      <c r="G299" s="14" t="s">
        <v>109</v>
      </c>
      <c r="H299" s="14" t="s">
        <v>45</v>
      </c>
      <c r="I299" s="14" t="s">
        <v>46</v>
      </c>
      <c r="J299" s="14">
        <v>0.39</v>
      </c>
      <c r="K299" s="15">
        <v>44364</v>
      </c>
      <c r="L299" s="13" t="str" cm="1">
        <f t="array" ref="L299">_xlfn.IFS(
  OR(ISBLANK(A299),ISBLANK(C299),ISBLANK(J299)),"Missing Value",
  OR(C299&lt;18,C299&gt;120),"Review – Out of Range (Age)",
  J299&lt;0,"Review – Out of Range (Risk Score)",
  TRUE,"OK"
)</f>
        <v>OK</v>
      </c>
    </row>
    <row r="300" spans="1:12" ht="16.8" x14ac:dyDescent="0.3">
      <c r="A300" s="11" t="s">
        <v>651</v>
      </c>
      <c r="B300" s="11" t="s">
        <v>652</v>
      </c>
      <c r="C300" s="11">
        <v>40</v>
      </c>
      <c r="D300" s="11" t="s">
        <v>41</v>
      </c>
      <c r="E300" s="11" t="s">
        <v>58</v>
      </c>
      <c r="F300" s="11" t="s">
        <v>43</v>
      </c>
      <c r="G300" s="11" t="s">
        <v>94</v>
      </c>
      <c r="H300" s="11" t="s">
        <v>45</v>
      </c>
      <c r="I300" s="11" t="s">
        <v>46</v>
      </c>
      <c r="J300" s="11">
        <v>0.36</v>
      </c>
      <c r="K300" s="12">
        <v>43209</v>
      </c>
      <c r="L300" s="13" t="str" cm="1">
        <f t="array" ref="L300">_xlfn.IFS(
  OR(ISBLANK(A300),ISBLANK(C300),ISBLANK(J300)),"Missing Value",
  OR(C300&lt;18,C300&gt;120),"Review – Out of Range (Age)",
  J300&lt;0,"Review – Out of Range (Risk Score)",
  TRUE,"OK"
)</f>
        <v>OK</v>
      </c>
    </row>
    <row r="301" spans="1:12" ht="16.8" x14ac:dyDescent="0.3">
      <c r="A301" s="14" t="s">
        <v>653</v>
      </c>
      <c r="B301" s="14" t="s">
        <v>654</v>
      </c>
      <c r="C301" s="14">
        <v>43</v>
      </c>
      <c r="D301" s="14" t="s">
        <v>49</v>
      </c>
      <c r="E301" s="14" t="s">
        <v>50</v>
      </c>
      <c r="F301" s="14" t="s">
        <v>43</v>
      </c>
      <c r="G301" s="14" t="s">
        <v>60</v>
      </c>
      <c r="H301" s="14" t="s">
        <v>45</v>
      </c>
      <c r="I301" s="14" t="s">
        <v>45</v>
      </c>
      <c r="J301" s="14">
        <v>0.35</v>
      </c>
      <c r="K301" s="15">
        <v>43520</v>
      </c>
      <c r="L301" s="13" t="str" cm="1">
        <f t="array" ref="L301">_xlfn.IFS(
  OR(ISBLANK(A301),ISBLANK(C301),ISBLANK(J301)),"Missing Value",
  OR(C301&lt;18,C301&gt;120),"Review – Out of Range (Age)",
  J301&lt;0,"Review – Out of Range (Risk Score)",
  TRUE,"OK"
)</f>
        <v>OK</v>
      </c>
    </row>
    <row r="302" spans="1:12" ht="16.8" x14ac:dyDescent="0.3">
      <c r="A302" s="11" t="s">
        <v>655</v>
      </c>
      <c r="B302" s="11" t="s">
        <v>656</v>
      </c>
      <c r="C302" s="11">
        <v>43</v>
      </c>
      <c r="D302" s="11" t="s">
        <v>41</v>
      </c>
      <c r="E302" s="11" t="s">
        <v>42</v>
      </c>
      <c r="F302" s="11" t="s">
        <v>43</v>
      </c>
      <c r="G302" s="11" t="s">
        <v>109</v>
      </c>
      <c r="H302" s="11" t="s">
        <v>46</v>
      </c>
      <c r="I302" s="11" t="s">
        <v>45</v>
      </c>
      <c r="J302" s="11">
        <v>0.33</v>
      </c>
      <c r="K302" s="12">
        <v>44486</v>
      </c>
      <c r="L302" s="13" t="str" cm="1">
        <f t="array" ref="L302">_xlfn.IFS(
  OR(ISBLANK(A302),ISBLANK(C302),ISBLANK(J302)),"Missing Value",
  OR(C302&lt;18,C302&gt;120),"Review – Out of Range (Age)",
  J302&lt;0,"Review – Out of Range (Risk Score)",
  TRUE,"OK"
)</f>
        <v>OK</v>
      </c>
    </row>
    <row r="303" spans="1:12" ht="16.8" x14ac:dyDescent="0.3">
      <c r="A303" s="14" t="s">
        <v>657</v>
      </c>
      <c r="B303" s="14" t="s">
        <v>658</v>
      </c>
      <c r="C303" s="14">
        <v>49</v>
      </c>
      <c r="D303" s="14" t="s">
        <v>41</v>
      </c>
      <c r="E303" s="14" t="s">
        <v>58</v>
      </c>
      <c r="F303" s="14" t="s">
        <v>51</v>
      </c>
      <c r="G303" s="14" t="s">
        <v>52</v>
      </c>
      <c r="H303" s="14" t="s">
        <v>45</v>
      </c>
      <c r="I303" s="14" t="s">
        <v>46</v>
      </c>
      <c r="J303" s="14">
        <v>0.68</v>
      </c>
      <c r="K303" s="15">
        <v>44534</v>
      </c>
      <c r="L303" s="13" t="str" cm="1">
        <f t="array" ref="L303">_xlfn.IFS(
  OR(ISBLANK(A303),ISBLANK(C303),ISBLANK(J303)),"Missing Value",
  OR(C303&lt;18,C303&gt;120),"Review – Out of Range (Age)",
  J303&lt;0,"Review – Out of Range (Risk Score)",
  TRUE,"OK"
)</f>
        <v>OK</v>
      </c>
    </row>
    <row r="304" spans="1:12" ht="16.8" x14ac:dyDescent="0.3">
      <c r="A304" s="11" t="s">
        <v>659</v>
      </c>
      <c r="B304" s="11" t="s">
        <v>660</v>
      </c>
      <c r="C304" s="11">
        <v>25</v>
      </c>
      <c r="D304" s="11" t="s">
        <v>41</v>
      </c>
      <c r="E304" s="11" t="s">
        <v>42</v>
      </c>
      <c r="F304" s="11" t="s">
        <v>51</v>
      </c>
      <c r="G304" s="11" t="s">
        <v>60</v>
      </c>
      <c r="H304" s="11" t="s">
        <v>45</v>
      </c>
      <c r="I304" s="11" t="s">
        <v>46</v>
      </c>
      <c r="J304" s="11">
        <v>0.87</v>
      </c>
      <c r="K304" s="12">
        <v>43669</v>
      </c>
      <c r="L304" s="13" t="str" cm="1">
        <f t="array" ref="L304">_xlfn.IFS(
  OR(ISBLANK(A304),ISBLANK(C304),ISBLANK(J304)),"Missing Value",
  OR(C304&lt;18,C304&gt;120),"Review – Out of Range (Age)",
  J304&lt;0,"Review – Out of Range (Risk Score)",
  TRUE,"OK"
)</f>
        <v>OK</v>
      </c>
    </row>
    <row r="305" spans="1:12" ht="16.8" x14ac:dyDescent="0.3">
      <c r="A305" s="14" t="s">
        <v>661</v>
      </c>
      <c r="B305" s="14" t="s">
        <v>662</v>
      </c>
      <c r="C305" s="14">
        <v>49</v>
      </c>
      <c r="D305" s="14" t="s">
        <v>41</v>
      </c>
      <c r="E305" s="14" t="s">
        <v>42</v>
      </c>
      <c r="F305" s="14" t="s">
        <v>43</v>
      </c>
      <c r="G305" s="14" t="s">
        <v>55</v>
      </c>
      <c r="H305" s="14" t="s">
        <v>46</v>
      </c>
      <c r="I305" s="14" t="s">
        <v>45</v>
      </c>
      <c r="J305" s="14">
        <v>0.5</v>
      </c>
      <c r="K305" s="15">
        <v>43316</v>
      </c>
      <c r="L305" s="13" t="str" cm="1">
        <f t="array" ref="L305">_xlfn.IFS(
  OR(ISBLANK(A305),ISBLANK(C305),ISBLANK(J305)),"Missing Value",
  OR(C305&lt;18,C305&gt;120),"Review – Out of Range (Age)",
  J305&lt;0,"Review – Out of Range (Risk Score)",
  TRUE,"OK"
)</f>
        <v>OK</v>
      </c>
    </row>
    <row r="306" spans="1:12" ht="16.8" x14ac:dyDescent="0.3">
      <c r="A306" s="11" t="s">
        <v>663</v>
      </c>
      <c r="B306" s="11" t="s">
        <v>664</v>
      </c>
      <c r="C306" s="11">
        <v>43</v>
      </c>
      <c r="D306" s="11" t="s">
        <v>41</v>
      </c>
      <c r="E306" s="11" t="s">
        <v>58</v>
      </c>
      <c r="F306" s="11" t="s">
        <v>59</v>
      </c>
      <c r="G306" s="11" t="s">
        <v>109</v>
      </c>
      <c r="H306" s="11" t="s">
        <v>45</v>
      </c>
      <c r="I306" s="11" t="s">
        <v>46</v>
      </c>
      <c r="J306" s="11">
        <v>0.63</v>
      </c>
      <c r="K306" s="12">
        <v>43648</v>
      </c>
      <c r="L306" s="13" t="str" cm="1">
        <f t="array" ref="L306">_xlfn.IFS(
  OR(ISBLANK(A306),ISBLANK(C306),ISBLANK(J306)),"Missing Value",
  OR(C306&lt;18,C306&gt;120),"Review – Out of Range (Age)",
  J306&lt;0,"Review – Out of Range (Risk Score)",
  TRUE,"OK"
)</f>
        <v>OK</v>
      </c>
    </row>
    <row r="307" spans="1:12" ht="16.8" x14ac:dyDescent="0.3">
      <c r="A307" s="14" t="s">
        <v>665</v>
      </c>
      <c r="B307" s="14" t="s">
        <v>666</v>
      </c>
      <c r="C307" s="14">
        <v>31</v>
      </c>
      <c r="D307" s="14" t="s">
        <v>41</v>
      </c>
      <c r="E307" s="14" t="s">
        <v>42</v>
      </c>
      <c r="F307" s="14" t="s">
        <v>51</v>
      </c>
      <c r="G307" s="14" t="s">
        <v>109</v>
      </c>
      <c r="H307" s="14" t="s">
        <v>45</v>
      </c>
      <c r="I307" s="14" t="s">
        <v>46</v>
      </c>
      <c r="J307" s="14">
        <v>0.42</v>
      </c>
      <c r="K307" s="15">
        <v>44183</v>
      </c>
      <c r="L307" s="13" t="str" cm="1">
        <f t="array" ref="L307">_xlfn.IFS(
  OR(ISBLANK(A307),ISBLANK(C307),ISBLANK(J307)),"Missing Value",
  OR(C307&lt;18,C307&gt;120),"Review – Out of Range (Age)",
  J307&lt;0,"Review – Out of Range (Risk Score)",
  TRUE,"OK"
)</f>
        <v>OK</v>
      </c>
    </row>
    <row r="308" spans="1:12" ht="16.8" x14ac:dyDescent="0.3">
      <c r="A308" s="11" t="s">
        <v>667</v>
      </c>
      <c r="B308" s="11" t="s">
        <v>668</v>
      </c>
      <c r="C308" s="11">
        <v>65</v>
      </c>
      <c r="D308" s="11" t="s">
        <v>49</v>
      </c>
      <c r="E308" s="11" t="s">
        <v>42</v>
      </c>
      <c r="F308" s="11" t="s">
        <v>65</v>
      </c>
      <c r="G308" s="11" t="s">
        <v>55</v>
      </c>
      <c r="H308" s="11" t="s">
        <v>45</v>
      </c>
      <c r="I308" s="11" t="s">
        <v>45</v>
      </c>
      <c r="J308" s="11">
        <v>0.42</v>
      </c>
      <c r="K308" s="12">
        <v>44660</v>
      </c>
      <c r="L308" s="13" t="str" cm="1">
        <f t="array" ref="L308">_xlfn.IFS(
  OR(ISBLANK(A308),ISBLANK(C308),ISBLANK(J308)),"Missing Value",
  OR(C308&lt;18,C308&gt;120),"Review – Out of Range (Age)",
  J308&lt;0,"Review – Out of Range (Risk Score)",
  TRUE,"OK"
)</f>
        <v>OK</v>
      </c>
    </row>
    <row r="309" spans="1:12" ht="16.8" x14ac:dyDescent="0.3">
      <c r="A309" s="14" t="s">
        <v>669</v>
      </c>
      <c r="B309" s="14" t="s">
        <v>670</v>
      </c>
      <c r="C309" s="14">
        <v>63</v>
      </c>
      <c r="D309" s="14" t="s">
        <v>49</v>
      </c>
      <c r="E309" s="14" t="s">
        <v>42</v>
      </c>
      <c r="F309" s="14" t="s">
        <v>65</v>
      </c>
      <c r="G309" s="14" t="s">
        <v>52</v>
      </c>
      <c r="H309" s="14" t="s">
        <v>46</v>
      </c>
      <c r="I309" s="14" t="s">
        <v>45</v>
      </c>
      <c r="J309" s="14">
        <v>0.46</v>
      </c>
      <c r="K309" s="15">
        <v>44707</v>
      </c>
      <c r="L309" s="13" t="str" cm="1">
        <f t="array" ref="L309">_xlfn.IFS(
  OR(ISBLANK(A309),ISBLANK(C309),ISBLANK(J309)),"Missing Value",
  OR(C309&lt;18,C309&gt;120),"Review – Out of Range (Age)",
  J309&lt;0,"Review – Out of Range (Risk Score)",
  TRUE,"OK"
)</f>
        <v>OK</v>
      </c>
    </row>
    <row r="310" spans="1:12" ht="16.8" x14ac:dyDescent="0.3">
      <c r="A310" s="11" t="s">
        <v>671</v>
      </c>
      <c r="B310" s="11" t="s">
        <v>672</v>
      </c>
      <c r="C310" s="11">
        <v>31</v>
      </c>
      <c r="D310" s="11" t="s">
        <v>41</v>
      </c>
      <c r="E310" s="11" t="s">
        <v>50</v>
      </c>
      <c r="F310" s="11" t="s">
        <v>43</v>
      </c>
      <c r="G310" s="11" t="s">
        <v>60</v>
      </c>
      <c r="H310" s="11" t="s">
        <v>45</v>
      </c>
      <c r="I310" s="11" t="s">
        <v>46</v>
      </c>
      <c r="J310" s="11">
        <v>0.76</v>
      </c>
      <c r="K310" s="12">
        <v>44111</v>
      </c>
      <c r="L310" s="13" t="str" cm="1">
        <f t="array" ref="L310">_xlfn.IFS(
  OR(ISBLANK(A310),ISBLANK(C310),ISBLANK(J310)),"Missing Value",
  OR(C310&lt;18,C310&gt;120),"Review – Out of Range (Age)",
  J310&lt;0,"Review – Out of Range (Risk Score)",
  TRUE,"OK"
)</f>
        <v>OK</v>
      </c>
    </row>
    <row r="311" spans="1:12" ht="16.8" x14ac:dyDescent="0.3">
      <c r="A311" s="14" t="s">
        <v>673</v>
      </c>
      <c r="B311" s="14" t="s">
        <v>674</v>
      </c>
      <c r="C311" s="14">
        <v>54</v>
      </c>
      <c r="D311" s="14" t="s">
        <v>49</v>
      </c>
      <c r="E311" s="14" t="s">
        <v>42</v>
      </c>
      <c r="F311" s="14" t="s">
        <v>65</v>
      </c>
      <c r="G311" s="14" t="s">
        <v>109</v>
      </c>
      <c r="H311" s="14" t="s">
        <v>45</v>
      </c>
      <c r="I311" s="14" t="s">
        <v>46</v>
      </c>
      <c r="J311" s="14">
        <v>0.41</v>
      </c>
      <c r="K311" s="15">
        <v>45226</v>
      </c>
      <c r="L311" s="13" t="str" cm="1">
        <f t="array" ref="L311">_xlfn.IFS(
  OR(ISBLANK(A311),ISBLANK(C311),ISBLANK(J311)),"Missing Value",
  OR(C311&lt;18,C311&gt;120),"Review – Out of Range (Age)",
  J311&lt;0,"Review – Out of Range (Risk Score)",
  TRUE,"OK"
)</f>
        <v>OK</v>
      </c>
    </row>
    <row r="312" spans="1:12" ht="16.8" x14ac:dyDescent="0.3">
      <c r="A312" s="11" t="s">
        <v>675</v>
      </c>
      <c r="B312" s="11" t="s">
        <v>676</v>
      </c>
      <c r="C312" s="11">
        <v>64</v>
      </c>
      <c r="D312" s="11" t="s">
        <v>41</v>
      </c>
      <c r="E312" s="11" t="s">
        <v>58</v>
      </c>
      <c r="F312" s="11" t="s">
        <v>59</v>
      </c>
      <c r="G312" s="11" t="s">
        <v>109</v>
      </c>
      <c r="H312" s="11" t="s">
        <v>46</v>
      </c>
      <c r="I312" s="11" t="s">
        <v>46</v>
      </c>
      <c r="J312" s="11">
        <v>0.42</v>
      </c>
      <c r="K312" s="12">
        <v>44493</v>
      </c>
      <c r="L312" s="13" t="str" cm="1">
        <f t="array" ref="L312">_xlfn.IFS(
  OR(ISBLANK(A312),ISBLANK(C312),ISBLANK(J312)),"Missing Value",
  OR(C312&lt;18,C312&gt;120),"Review – Out of Range (Age)",
  J312&lt;0,"Review – Out of Range (Risk Score)",
  TRUE,"OK"
)</f>
        <v>OK</v>
      </c>
    </row>
    <row r="313" spans="1:12" ht="16.8" x14ac:dyDescent="0.3">
      <c r="A313" s="14" t="s">
        <v>677</v>
      </c>
      <c r="B313" s="14" t="s">
        <v>678</v>
      </c>
      <c r="C313" s="14">
        <v>31</v>
      </c>
      <c r="D313" s="14" t="s">
        <v>49</v>
      </c>
      <c r="E313" s="14" t="s">
        <v>58</v>
      </c>
      <c r="F313" s="14" t="s">
        <v>51</v>
      </c>
      <c r="G313" s="14" t="s">
        <v>44</v>
      </c>
      <c r="H313" s="14" t="s">
        <v>45</v>
      </c>
      <c r="I313" s="14" t="s">
        <v>46</v>
      </c>
      <c r="J313" s="14">
        <v>0.53</v>
      </c>
      <c r="K313" s="15">
        <v>43266</v>
      </c>
      <c r="L313" s="13" t="str" cm="1">
        <f t="array" ref="L313">_xlfn.IFS(
  OR(ISBLANK(A313),ISBLANK(C313),ISBLANK(J313)),"Missing Value",
  OR(C313&lt;18,C313&gt;120),"Review – Out of Range (Age)",
  J313&lt;0,"Review – Out of Range (Risk Score)",
  TRUE,"OK"
)</f>
        <v>OK</v>
      </c>
    </row>
    <row r="314" spans="1:12" ht="16.8" x14ac:dyDescent="0.3">
      <c r="A314" s="11" t="s">
        <v>679</v>
      </c>
      <c r="B314" s="11" t="s">
        <v>680</v>
      </c>
      <c r="C314" s="11">
        <v>31</v>
      </c>
      <c r="D314" s="11" t="s">
        <v>49</v>
      </c>
      <c r="E314" s="11" t="s">
        <v>50</v>
      </c>
      <c r="F314" s="11" t="s">
        <v>59</v>
      </c>
      <c r="G314" s="11" t="s">
        <v>109</v>
      </c>
      <c r="H314" s="11" t="s">
        <v>45</v>
      </c>
      <c r="I314" s="11" t="s">
        <v>46</v>
      </c>
      <c r="J314" s="11">
        <v>0.44</v>
      </c>
      <c r="K314" s="12">
        <v>44397</v>
      </c>
      <c r="L314" s="13" t="str" cm="1">
        <f t="array" ref="L314">_xlfn.IFS(
  OR(ISBLANK(A314),ISBLANK(C314),ISBLANK(J314)),"Missing Value",
  OR(C314&lt;18,C314&gt;120),"Review – Out of Range (Age)",
  J314&lt;0,"Review – Out of Range (Risk Score)",
  TRUE,"OK"
)</f>
        <v>OK</v>
      </c>
    </row>
    <row r="315" spans="1:12" ht="16.8" x14ac:dyDescent="0.3">
      <c r="A315" s="14" t="s">
        <v>681</v>
      </c>
      <c r="B315" s="14" t="s">
        <v>682</v>
      </c>
      <c r="C315" s="14">
        <v>34</v>
      </c>
      <c r="D315" s="14" t="s">
        <v>41</v>
      </c>
      <c r="E315" s="14" t="s">
        <v>58</v>
      </c>
      <c r="F315" s="14" t="s">
        <v>59</v>
      </c>
      <c r="G315" s="14" t="s">
        <v>109</v>
      </c>
      <c r="H315" s="14" t="s">
        <v>46</v>
      </c>
      <c r="I315" s="14" t="s">
        <v>46</v>
      </c>
      <c r="J315" s="14">
        <v>0.19</v>
      </c>
      <c r="K315" s="15">
        <v>44497</v>
      </c>
      <c r="L315" s="13" t="str" cm="1">
        <f t="array" ref="L315">_xlfn.IFS(
  OR(ISBLANK(A315),ISBLANK(C315),ISBLANK(J315)),"Missing Value",
  OR(C315&lt;18,C315&gt;120),"Review – Out of Range (Age)",
  J315&lt;0,"Review – Out of Range (Risk Score)",
  TRUE,"OK"
)</f>
        <v>OK</v>
      </c>
    </row>
    <row r="316" spans="1:12" ht="16.8" x14ac:dyDescent="0.3">
      <c r="A316" s="11" t="s">
        <v>683</v>
      </c>
      <c r="B316" s="11" t="s">
        <v>684</v>
      </c>
      <c r="C316" s="11">
        <v>25</v>
      </c>
      <c r="D316" s="11" t="s">
        <v>49</v>
      </c>
      <c r="E316" s="11" t="s">
        <v>50</v>
      </c>
      <c r="F316" s="11" t="s">
        <v>51</v>
      </c>
      <c r="G316" s="11" t="s">
        <v>60</v>
      </c>
      <c r="H316" s="11" t="s">
        <v>45</v>
      </c>
      <c r="I316" s="11" t="s">
        <v>45</v>
      </c>
      <c r="J316" s="11">
        <v>0.72</v>
      </c>
      <c r="K316" s="12">
        <v>44670</v>
      </c>
      <c r="L316" s="13" t="str" cm="1">
        <f t="array" ref="L316">_xlfn.IFS(
  OR(ISBLANK(A316),ISBLANK(C316),ISBLANK(J316)),"Missing Value",
  OR(C316&lt;18,C316&gt;120),"Review – Out of Range (Age)",
  J316&lt;0,"Review – Out of Range (Risk Score)",
  TRUE,"OK"
)</f>
        <v>OK</v>
      </c>
    </row>
    <row r="317" spans="1:12" ht="16.8" x14ac:dyDescent="0.3">
      <c r="A317" s="14" t="s">
        <v>685</v>
      </c>
      <c r="B317" s="14" t="s">
        <v>686</v>
      </c>
      <c r="C317" s="14">
        <v>28</v>
      </c>
      <c r="D317" s="14" t="s">
        <v>49</v>
      </c>
      <c r="E317" s="14" t="s">
        <v>50</v>
      </c>
      <c r="F317" s="14" t="s">
        <v>43</v>
      </c>
      <c r="G317" s="14" t="s">
        <v>44</v>
      </c>
      <c r="H317" s="14" t="s">
        <v>46</v>
      </c>
      <c r="I317" s="14" t="s">
        <v>45</v>
      </c>
      <c r="J317" s="14">
        <v>0.43</v>
      </c>
      <c r="K317" s="15">
        <v>44438</v>
      </c>
      <c r="L317" s="13" t="str" cm="1">
        <f t="array" ref="L317">_xlfn.IFS(
  OR(ISBLANK(A317),ISBLANK(C317),ISBLANK(J317)),"Missing Value",
  OR(C317&lt;18,C317&gt;120),"Review – Out of Range (Age)",
  J317&lt;0,"Review – Out of Range (Risk Score)",
  TRUE,"OK"
)</f>
        <v>OK</v>
      </c>
    </row>
    <row r="318" spans="1:12" ht="16.8" x14ac:dyDescent="0.3">
      <c r="A318" s="11" t="s">
        <v>687</v>
      </c>
      <c r="B318" s="11" t="s">
        <v>688</v>
      </c>
      <c r="C318" s="11">
        <v>38</v>
      </c>
      <c r="D318" s="11" t="s">
        <v>49</v>
      </c>
      <c r="E318" s="11" t="s">
        <v>42</v>
      </c>
      <c r="F318" s="11" t="s">
        <v>65</v>
      </c>
      <c r="G318" s="11" t="s">
        <v>94</v>
      </c>
      <c r="H318" s="11" t="s">
        <v>46</v>
      </c>
      <c r="I318" s="11" t="s">
        <v>45</v>
      </c>
      <c r="J318" s="11">
        <v>0.14000000000000001</v>
      </c>
      <c r="K318" s="12">
        <v>44957</v>
      </c>
      <c r="L318" s="13" t="str" cm="1">
        <f t="array" ref="L318">_xlfn.IFS(
  OR(ISBLANK(A318),ISBLANK(C318),ISBLANK(J318)),"Missing Value",
  OR(C318&lt;18,C318&gt;120),"Review – Out of Range (Age)",
  J318&lt;0,"Review – Out of Range (Risk Score)",
  TRUE,"OK"
)</f>
        <v>OK</v>
      </c>
    </row>
    <row r="319" spans="1:12" ht="16.8" x14ac:dyDescent="0.3">
      <c r="A319" s="14" t="s">
        <v>689</v>
      </c>
      <c r="B319" s="14" t="s">
        <v>690</v>
      </c>
      <c r="C319" s="14">
        <v>34</v>
      </c>
      <c r="D319" s="14" t="s">
        <v>49</v>
      </c>
      <c r="E319" s="14" t="s">
        <v>42</v>
      </c>
      <c r="F319" s="14" t="s">
        <v>43</v>
      </c>
      <c r="G319" s="14" t="s">
        <v>94</v>
      </c>
      <c r="H319" s="14" t="s">
        <v>45</v>
      </c>
      <c r="I319" s="14" t="s">
        <v>45</v>
      </c>
      <c r="J319" s="14">
        <v>0.46</v>
      </c>
      <c r="K319" s="15">
        <v>44422</v>
      </c>
      <c r="L319" s="13" t="str" cm="1">
        <f t="array" ref="L319">_xlfn.IFS(
  OR(ISBLANK(A319),ISBLANK(C319),ISBLANK(J319)),"Missing Value",
  OR(C319&lt;18,C319&gt;120),"Review – Out of Range (Age)",
  J319&lt;0,"Review – Out of Range (Risk Score)",
  TRUE,"OK"
)</f>
        <v>OK</v>
      </c>
    </row>
    <row r="320" spans="1:12" ht="16.8" x14ac:dyDescent="0.3">
      <c r="A320" s="11" t="s">
        <v>691</v>
      </c>
      <c r="B320" s="11" t="s">
        <v>692</v>
      </c>
      <c r="C320" s="11">
        <v>24</v>
      </c>
      <c r="D320" s="11" t="s">
        <v>41</v>
      </c>
      <c r="E320" s="11" t="s">
        <v>42</v>
      </c>
      <c r="F320" s="11" t="s">
        <v>59</v>
      </c>
      <c r="G320" s="11" t="s">
        <v>52</v>
      </c>
      <c r="H320" s="11" t="s">
        <v>45</v>
      </c>
      <c r="I320" s="11" t="s">
        <v>45</v>
      </c>
      <c r="J320" s="11">
        <v>0.36</v>
      </c>
      <c r="K320" s="12">
        <v>44976</v>
      </c>
      <c r="L320" s="13" t="str" cm="1">
        <f t="array" ref="L320">_xlfn.IFS(
  OR(ISBLANK(A320),ISBLANK(C320),ISBLANK(J320)),"Missing Value",
  OR(C320&lt;18,C320&gt;120),"Review – Out of Range (Age)",
  J320&lt;0,"Review – Out of Range (Risk Score)",
  TRUE,"OK"
)</f>
        <v>OK</v>
      </c>
    </row>
    <row r="321" spans="1:12" ht="16.8" x14ac:dyDescent="0.3">
      <c r="A321" s="14" t="s">
        <v>693</v>
      </c>
      <c r="B321" s="14" t="s">
        <v>694</v>
      </c>
      <c r="C321" s="14">
        <v>19</v>
      </c>
      <c r="D321" s="14" t="s">
        <v>41</v>
      </c>
      <c r="E321" s="14" t="s">
        <v>50</v>
      </c>
      <c r="F321" s="14" t="s">
        <v>65</v>
      </c>
      <c r="G321" s="14" t="s">
        <v>109</v>
      </c>
      <c r="H321" s="14" t="s">
        <v>45</v>
      </c>
      <c r="I321" s="14" t="s">
        <v>45</v>
      </c>
      <c r="J321" s="14">
        <v>0.31</v>
      </c>
      <c r="K321" s="15">
        <v>43764</v>
      </c>
      <c r="L321" s="13" t="str" cm="1">
        <f t="array" ref="L321">_xlfn.IFS(
  OR(ISBLANK(A321),ISBLANK(C321),ISBLANK(J321)),"Missing Value",
  OR(C321&lt;18,C321&gt;120),"Review – Out of Range (Age)",
  J321&lt;0,"Review – Out of Range (Risk Score)",
  TRUE,"OK"
)</f>
        <v>OK</v>
      </c>
    </row>
    <row r="322" spans="1:12" ht="16.8" x14ac:dyDescent="0.3">
      <c r="A322" s="11" t="s">
        <v>695</v>
      </c>
      <c r="B322" s="11" t="s">
        <v>696</v>
      </c>
      <c r="C322" s="11">
        <v>30</v>
      </c>
      <c r="D322" s="11" t="s">
        <v>41</v>
      </c>
      <c r="E322" s="11" t="s">
        <v>42</v>
      </c>
      <c r="F322" s="11" t="s">
        <v>65</v>
      </c>
      <c r="G322" s="11" t="s">
        <v>52</v>
      </c>
      <c r="H322" s="11" t="s">
        <v>46</v>
      </c>
      <c r="I322" s="11" t="s">
        <v>45</v>
      </c>
      <c r="J322" s="11">
        <v>0.69</v>
      </c>
      <c r="K322" s="12">
        <v>43104</v>
      </c>
      <c r="L322" s="13" t="str" cm="1">
        <f t="array" ref="L322">_xlfn.IFS(
  OR(ISBLANK(A322),ISBLANK(C322),ISBLANK(J322)),"Missing Value",
  OR(C322&lt;18,C322&gt;120),"Review – Out of Range (Age)",
  J322&lt;0,"Review – Out of Range (Risk Score)",
  TRUE,"OK"
)</f>
        <v>OK</v>
      </c>
    </row>
    <row r="323" spans="1:12" ht="16.8" x14ac:dyDescent="0.3">
      <c r="A323" s="14" t="s">
        <v>697</v>
      </c>
      <c r="B323" s="14" t="s">
        <v>698</v>
      </c>
      <c r="C323" s="14">
        <v>52</v>
      </c>
      <c r="D323" s="14" t="s">
        <v>41</v>
      </c>
      <c r="E323" s="14" t="s">
        <v>50</v>
      </c>
      <c r="F323" s="14" t="s">
        <v>65</v>
      </c>
      <c r="G323" s="14" t="s">
        <v>55</v>
      </c>
      <c r="H323" s="14" t="s">
        <v>45</v>
      </c>
      <c r="I323" s="14" t="s">
        <v>46</v>
      </c>
      <c r="J323" s="14">
        <v>0.35</v>
      </c>
      <c r="K323" s="15">
        <v>43628</v>
      </c>
      <c r="L323" s="13" t="str" cm="1">
        <f t="array" ref="L323">_xlfn.IFS(
  OR(ISBLANK(A323),ISBLANK(C323),ISBLANK(J323)),"Missing Value",
  OR(C323&lt;18,C323&gt;120),"Review – Out of Range (Age)",
  J323&lt;0,"Review – Out of Range (Risk Score)",
  TRUE,"OK"
)</f>
        <v>OK</v>
      </c>
    </row>
    <row r="324" spans="1:12" ht="16.8" x14ac:dyDescent="0.3">
      <c r="A324" s="11" t="s">
        <v>699</v>
      </c>
      <c r="B324" s="11" t="s">
        <v>700</v>
      </c>
      <c r="C324" s="11">
        <v>31</v>
      </c>
      <c r="D324" s="11" t="s">
        <v>49</v>
      </c>
      <c r="E324" s="11" t="s">
        <v>42</v>
      </c>
      <c r="F324" s="11" t="s">
        <v>43</v>
      </c>
      <c r="G324" s="11" t="s">
        <v>109</v>
      </c>
      <c r="H324" s="11" t="s">
        <v>45</v>
      </c>
      <c r="I324" s="11" t="s">
        <v>45</v>
      </c>
      <c r="J324" s="11">
        <v>0.38</v>
      </c>
      <c r="K324" s="12">
        <v>44412</v>
      </c>
      <c r="L324" s="13" t="str" cm="1">
        <f t="array" ref="L324">_xlfn.IFS(
  OR(ISBLANK(A324),ISBLANK(C324),ISBLANK(J324)),"Missing Value",
  OR(C324&lt;18,C324&gt;120),"Review – Out of Range (Age)",
  J324&lt;0,"Review – Out of Range (Risk Score)",
  TRUE,"OK"
)</f>
        <v>OK</v>
      </c>
    </row>
    <row r="325" spans="1:12" ht="16.8" x14ac:dyDescent="0.3">
      <c r="A325" s="14" t="s">
        <v>701</v>
      </c>
      <c r="B325" s="14" t="s">
        <v>702</v>
      </c>
      <c r="C325" s="14">
        <v>64</v>
      </c>
      <c r="D325" s="14" t="s">
        <v>41</v>
      </c>
      <c r="E325" s="14" t="s">
        <v>58</v>
      </c>
      <c r="F325" s="14" t="s">
        <v>59</v>
      </c>
      <c r="G325" s="14" t="s">
        <v>109</v>
      </c>
      <c r="H325" s="14" t="s">
        <v>45</v>
      </c>
      <c r="I325" s="14" t="s">
        <v>45</v>
      </c>
      <c r="J325" s="14">
        <v>0.46</v>
      </c>
      <c r="K325" s="15">
        <v>43389</v>
      </c>
      <c r="L325" s="13" t="str" cm="1">
        <f t="array" ref="L325">_xlfn.IFS(
  OR(ISBLANK(A325),ISBLANK(C325),ISBLANK(J325)),"Missing Value",
  OR(C325&lt;18,C325&gt;120),"Review – Out of Range (Age)",
  J325&lt;0,"Review – Out of Range (Risk Score)",
  TRUE,"OK"
)</f>
        <v>OK</v>
      </c>
    </row>
    <row r="326" spans="1:12" ht="16.8" x14ac:dyDescent="0.3">
      <c r="A326" s="11" t="s">
        <v>703</v>
      </c>
      <c r="B326" s="11" t="s">
        <v>704</v>
      </c>
      <c r="C326" s="11">
        <v>58</v>
      </c>
      <c r="D326" s="11" t="s">
        <v>49</v>
      </c>
      <c r="E326" s="11" t="s">
        <v>42</v>
      </c>
      <c r="F326" s="11" t="s">
        <v>43</v>
      </c>
      <c r="G326" s="11" t="s">
        <v>94</v>
      </c>
      <c r="H326" s="11" t="s">
        <v>46</v>
      </c>
      <c r="I326" s="11" t="s">
        <v>46</v>
      </c>
      <c r="J326" s="11">
        <v>0.47</v>
      </c>
      <c r="K326" s="12">
        <v>44211</v>
      </c>
      <c r="L326" s="13" t="str" cm="1">
        <f t="array" ref="L326">_xlfn.IFS(
  OR(ISBLANK(A326),ISBLANK(C326),ISBLANK(J326)),"Missing Value",
  OR(C326&lt;18,C326&gt;120),"Review – Out of Range (Age)",
  J326&lt;0,"Review – Out of Range (Risk Score)",
  TRUE,"OK"
)</f>
        <v>OK</v>
      </c>
    </row>
    <row r="327" spans="1:12" ht="16.8" x14ac:dyDescent="0.3">
      <c r="A327" s="14" t="s">
        <v>705</v>
      </c>
      <c r="B327" s="14" t="s">
        <v>706</v>
      </c>
      <c r="C327" s="14">
        <v>43</v>
      </c>
      <c r="D327" s="14" t="s">
        <v>41</v>
      </c>
      <c r="E327" s="14" t="s">
        <v>50</v>
      </c>
      <c r="F327" s="14" t="s">
        <v>65</v>
      </c>
      <c r="G327" s="14" t="s">
        <v>60</v>
      </c>
      <c r="H327" s="14" t="s">
        <v>46</v>
      </c>
      <c r="I327" s="14" t="s">
        <v>45</v>
      </c>
      <c r="J327" s="14">
        <v>0.56000000000000005</v>
      </c>
      <c r="K327" s="15">
        <v>44108</v>
      </c>
      <c r="L327" s="13" t="str" cm="1">
        <f t="array" ref="L327">_xlfn.IFS(
  OR(ISBLANK(A327),ISBLANK(C327),ISBLANK(J327)),"Missing Value",
  OR(C327&lt;18,C327&gt;120),"Review – Out of Range (Age)",
  J327&lt;0,"Review – Out of Range (Risk Score)",
  TRUE,"OK"
)</f>
        <v>OK</v>
      </c>
    </row>
    <row r="328" spans="1:12" ht="16.8" x14ac:dyDescent="0.3">
      <c r="A328" s="11" t="s">
        <v>707</v>
      </c>
      <c r="B328" s="11" t="s">
        <v>708</v>
      </c>
      <c r="C328" s="11">
        <v>48</v>
      </c>
      <c r="D328" s="11" t="s">
        <v>41</v>
      </c>
      <c r="E328" s="11" t="s">
        <v>50</v>
      </c>
      <c r="F328" s="11" t="s">
        <v>59</v>
      </c>
      <c r="G328" s="11" t="s">
        <v>94</v>
      </c>
      <c r="H328" s="11" t="s">
        <v>46</v>
      </c>
      <c r="I328" s="11" t="s">
        <v>45</v>
      </c>
      <c r="J328" s="11">
        <v>0.56000000000000005</v>
      </c>
      <c r="K328" s="12">
        <v>43520</v>
      </c>
      <c r="L328" s="13" t="str" cm="1">
        <f t="array" ref="L328">_xlfn.IFS(
  OR(ISBLANK(A328),ISBLANK(C328),ISBLANK(J328)),"Missing Value",
  OR(C328&lt;18,C328&gt;120),"Review – Out of Range (Age)",
  J328&lt;0,"Review – Out of Range (Risk Score)",
  TRUE,"OK"
)</f>
        <v>OK</v>
      </c>
    </row>
    <row r="329" spans="1:12" ht="16.8" x14ac:dyDescent="0.3">
      <c r="A329" s="14" t="s">
        <v>709</v>
      </c>
      <c r="B329" s="14" t="s">
        <v>710</v>
      </c>
      <c r="C329" s="14">
        <v>19</v>
      </c>
      <c r="D329" s="14" t="s">
        <v>41</v>
      </c>
      <c r="E329" s="14" t="s">
        <v>58</v>
      </c>
      <c r="F329" s="14" t="s">
        <v>51</v>
      </c>
      <c r="G329" s="14" t="s">
        <v>44</v>
      </c>
      <c r="H329" s="14" t="s">
        <v>46</v>
      </c>
      <c r="I329" s="14" t="s">
        <v>46</v>
      </c>
      <c r="J329" s="14">
        <v>0.43</v>
      </c>
      <c r="K329" s="15">
        <v>43929</v>
      </c>
      <c r="L329" s="13" t="str" cm="1">
        <f t="array" ref="L329">_xlfn.IFS(
  OR(ISBLANK(A329),ISBLANK(C329),ISBLANK(J329)),"Missing Value",
  OR(C329&lt;18,C329&gt;120),"Review – Out of Range (Age)",
  J329&lt;0,"Review – Out of Range (Risk Score)",
  TRUE,"OK"
)</f>
        <v>OK</v>
      </c>
    </row>
    <row r="330" spans="1:12" ht="16.8" x14ac:dyDescent="0.3">
      <c r="A330" s="11" t="s">
        <v>711</v>
      </c>
      <c r="B330" s="11" t="s">
        <v>712</v>
      </c>
      <c r="C330" s="11">
        <v>21</v>
      </c>
      <c r="D330" s="11" t="s">
        <v>49</v>
      </c>
      <c r="E330" s="11" t="s">
        <v>42</v>
      </c>
      <c r="F330" s="11" t="s">
        <v>43</v>
      </c>
      <c r="G330" s="11" t="s">
        <v>94</v>
      </c>
      <c r="H330" s="11" t="s">
        <v>45</v>
      </c>
      <c r="I330" s="11" t="s">
        <v>46</v>
      </c>
      <c r="J330" s="11">
        <v>0.47</v>
      </c>
      <c r="K330" s="12">
        <v>43841</v>
      </c>
      <c r="L330" s="13" t="str" cm="1">
        <f t="array" ref="L330">_xlfn.IFS(
  OR(ISBLANK(A330),ISBLANK(C330),ISBLANK(J330)),"Missing Value",
  OR(C330&lt;18,C330&gt;120),"Review – Out of Range (Age)",
  J330&lt;0,"Review – Out of Range (Risk Score)",
  TRUE,"OK"
)</f>
        <v>OK</v>
      </c>
    </row>
    <row r="331" spans="1:12" ht="16.8" x14ac:dyDescent="0.3">
      <c r="A331" s="14" t="s">
        <v>713</v>
      </c>
      <c r="B331" s="14" t="s">
        <v>714</v>
      </c>
      <c r="C331" s="14">
        <v>66</v>
      </c>
      <c r="D331" s="14" t="s">
        <v>41</v>
      </c>
      <c r="E331" s="14" t="s">
        <v>50</v>
      </c>
      <c r="F331" s="14" t="s">
        <v>51</v>
      </c>
      <c r="G331" s="14" t="s">
        <v>55</v>
      </c>
      <c r="H331" s="14" t="s">
        <v>46</v>
      </c>
      <c r="I331" s="14" t="s">
        <v>45</v>
      </c>
      <c r="J331" s="14">
        <v>0.7</v>
      </c>
      <c r="K331" s="15">
        <v>45089</v>
      </c>
      <c r="L331" s="13" t="str" cm="1">
        <f t="array" ref="L331">_xlfn.IFS(
  OR(ISBLANK(A331),ISBLANK(C331),ISBLANK(J331)),"Missing Value",
  OR(C331&lt;18,C331&gt;120),"Review – Out of Range (Age)",
  J331&lt;0,"Review – Out of Range (Risk Score)",
  TRUE,"OK"
)</f>
        <v>OK</v>
      </c>
    </row>
    <row r="332" spans="1:12" ht="16.8" x14ac:dyDescent="0.3">
      <c r="A332" s="11" t="s">
        <v>715</v>
      </c>
      <c r="B332" s="11" t="s">
        <v>716</v>
      </c>
      <c r="C332" s="11">
        <v>18</v>
      </c>
      <c r="D332" s="11" t="s">
        <v>49</v>
      </c>
      <c r="E332" s="11" t="s">
        <v>58</v>
      </c>
      <c r="F332" s="11" t="s">
        <v>43</v>
      </c>
      <c r="G332" s="11" t="s">
        <v>52</v>
      </c>
      <c r="H332" s="11" t="s">
        <v>45</v>
      </c>
      <c r="I332" s="11" t="s">
        <v>45</v>
      </c>
      <c r="J332" s="11">
        <v>0.24</v>
      </c>
      <c r="K332" s="12">
        <v>44324</v>
      </c>
      <c r="L332" s="13" t="str" cm="1">
        <f t="array" ref="L332">_xlfn.IFS(
  OR(ISBLANK(A332),ISBLANK(C332),ISBLANK(J332)),"Missing Value",
  OR(C332&lt;18,C332&gt;120),"Review – Out of Range (Age)",
  J332&lt;0,"Review – Out of Range (Risk Score)",
  TRUE,"OK"
)</f>
        <v>OK</v>
      </c>
    </row>
    <row r="333" spans="1:12" ht="16.8" x14ac:dyDescent="0.3">
      <c r="A333" s="14" t="s">
        <v>717</v>
      </c>
      <c r="B333" s="14" t="s">
        <v>718</v>
      </c>
      <c r="C333" s="14">
        <v>31</v>
      </c>
      <c r="D333" s="14" t="s">
        <v>49</v>
      </c>
      <c r="E333" s="14" t="s">
        <v>50</v>
      </c>
      <c r="F333" s="14" t="s">
        <v>51</v>
      </c>
      <c r="G333" s="14" t="s">
        <v>60</v>
      </c>
      <c r="H333" s="14" t="s">
        <v>45</v>
      </c>
      <c r="I333" s="14" t="s">
        <v>46</v>
      </c>
      <c r="J333" s="14">
        <v>0.28999999999999998</v>
      </c>
      <c r="K333" s="15">
        <v>44456</v>
      </c>
      <c r="L333" s="13" t="str" cm="1">
        <f t="array" ref="L333">_xlfn.IFS(
  OR(ISBLANK(A333),ISBLANK(C333),ISBLANK(J333)),"Missing Value",
  OR(C333&lt;18,C333&gt;120),"Review – Out of Range (Age)",
  J333&lt;0,"Review – Out of Range (Risk Score)",
  TRUE,"OK"
)</f>
        <v>OK</v>
      </c>
    </row>
    <row r="334" spans="1:12" ht="16.8" x14ac:dyDescent="0.3">
      <c r="A334" s="11" t="s">
        <v>719</v>
      </c>
      <c r="B334" s="11" t="s">
        <v>720</v>
      </c>
      <c r="C334" s="11">
        <v>23</v>
      </c>
      <c r="D334" s="11" t="s">
        <v>49</v>
      </c>
      <c r="E334" s="11" t="s">
        <v>42</v>
      </c>
      <c r="F334" s="11" t="s">
        <v>65</v>
      </c>
      <c r="G334" s="11" t="s">
        <v>94</v>
      </c>
      <c r="H334" s="11" t="s">
        <v>46</v>
      </c>
      <c r="I334" s="11" t="s">
        <v>46</v>
      </c>
      <c r="J334" s="11">
        <v>0.74</v>
      </c>
      <c r="K334" s="12">
        <v>43307</v>
      </c>
      <c r="L334" s="13" t="str" cm="1">
        <f t="array" ref="L334">_xlfn.IFS(
  OR(ISBLANK(A334),ISBLANK(C334),ISBLANK(J334)),"Missing Value",
  OR(C334&lt;18,C334&gt;120),"Review – Out of Range (Age)",
  J334&lt;0,"Review – Out of Range (Risk Score)",
  TRUE,"OK"
)</f>
        <v>OK</v>
      </c>
    </row>
    <row r="335" spans="1:12" ht="16.8" x14ac:dyDescent="0.3">
      <c r="A335" s="14" t="s">
        <v>721</v>
      </c>
      <c r="B335" s="14" t="s">
        <v>722</v>
      </c>
      <c r="C335" s="14">
        <v>46</v>
      </c>
      <c r="D335" s="14" t="s">
        <v>41</v>
      </c>
      <c r="E335" s="14" t="s">
        <v>58</v>
      </c>
      <c r="F335" s="14" t="s">
        <v>59</v>
      </c>
      <c r="G335" s="14" t="s">
        <v>109</v>
      </c>
      <c r="H335" s="14" t="s">
        <v>45</v>
      </c>
      <c r="I335" s="14" t="s">
        <v>45</v>
      </c>
      <c r="J335" s="14">
        <v>0.33</v>
      </c>
      <c r="K335" s="15">
        <v>43942</v>
      </c>
      <c r="L335" s="13" t="str" cm="1">
        <f t="array" ref="L335">_xlfn.IFS(
  OR(ISBLANK(A335),ISBLANK(C335),ISBLANK(J335)),"Missing Value",
  OR(C335&lt;18,C335&gt;120),"Review – Out of Range (Age)",
  J335&lt;0,"Review – Out of Range (Risk Score)",
  TRUE,"OK"
)</f>
        <v>OK</v>
      </c>
    </row>
    <row r="336" spans="1:12" ht="16.8" x14ac:dyDescent="0.3">
      <c r="A336" s="11" t="s">
        <v>723</v>
      </c>
      <c r="B336" s="11" t="s">
        <v>724</v>
      </c>
      <c r="C336" s="11">
        <v>44</v>
      </c>
      <c r="D336" s="11" t="s">
        <v>49</v>
      </c>
      <c r="E336" s="11" t="s">
        <v>42</v>
      </c>
      <c r="F336" s="11" t="s">
        <v>59</v>
      </c>
      <c r="G336" s="11" t="s">
        <v>44</v>
      </c>
      <c r="H336" s="11" t="s">
        <v>45</v>
      </c>
      <c r="I336" s="11" t="s">
        <v>46</v>
      </c>
      <c r="J336" s="11">
        <v>0.38</v>
      </c>
      <c r="K336" s="12">
        <v>44871</v>
      </c>
      <c r="L336" s="13" t="str" cm="1">
        <f t="array" ref="L336">_xlfn.IFS(
  OR(ISBLANK(A336),ISBLANK(C336),ISBLANK(J336)),"Missing Value",
  OR(C336&lt;18,C336&gt;120),"Review – Out of Range (Age)",
  J336&lt;0,"Review – Out of Range (Risk Score)",
  TRUE,"OK"
)</f>
        <v>OK</v>
      </c>
    </row>
    <row r="337" spans="1:12" ht="16.8" x14ac:dyDescent="0.3">
      <c r="A337" s="14" t="s">
        <v>725</v>
      </c>
      <c r="B337" s="14" t="s">
        <v>726</v>
      </c>
      <c r="C337" s="14">
        <v>56</v>
      </c>
      <c r="D337" s="14" t="s">
        <v>41</v>
      </c>
      <c r="E337" s="14" t="s">
        <v>58</v>
      </c>
      <c r="F337" s="14" t="s">
        <v>51</v>
      </c>
      <c r="G337" s="14" t="s">
        <v>44</v>
      </c>
      <c r="H337" s="14" t="s">
        <v>45</v>
      </c>
      <c r="I337" s="14" t="s">
        <v>45</v>
      </c>
      <c r="J337" s="14">
        <v>0.83</v>
      </c>
      <c r="K337" s="15">
        <v>43535</v>
      </c>
      <c r="L337" s="13" t="str" cm="1">
        <f t="array" ref="L337">_xlfn.IFS(
  OR(ISBLANK(A337),ISBLANK(C337),ISBLANK(J337)),"Missing Value",
  OR(C337&lt;18,C337&gt;120),"Review – Out of Range (Age)",
  J337&lt;0,"Review – Out of Range (Risk Score)",
  TRUE,"OK"
)</f>
        <v>OK</v>
      </c>
    </row>
    <row r="338" spans="1:12" ht="16.8" x14ac:dyDescent="0.3">
      <c r="A338" s="11" t="s">
        <v>727</v>
      </c>
      <c r="B338" s="11" t="s">
        <v>728</v>
      </c>
      <c r="C338" s="11">
        <v>36</v>
      </c>
      <c r="D338" s="11" t="s">
        <v>49</v>
      </c>
      <c r="E338" s="11" t="s">
        <v>50</v>
      </c>
      <c r="F338" s="11" t="s">
        <v>59</v>
      </c>
      <c r="G338" s="11" t="s">
        <v>44</v>
      </c>
      <c r="H338" s="11" t="s">
        <v>45</v>
      </c>
      <c r="I338" s="11" t="s">
        <v>46</v>
      </c>
      <c r="J338" s="11">
        <v>1</v>
      </c>
      <c r="K338" s="12">
        <v>43324</v>
      </c>
      <c r="L338" s="13" t="str" cm="1">
        <f t="array" ref="L338">_xlfn.IFS(
  OR(ISBLANK(A338),ISBLANK(C338),ISBLANK(J338)),"Missing Value",
  OR(C338&lt;18,C338&gt;120),"Review – Out of Range (Age)",
  J338&lt;0,"Review – Out of Range (Risk Score)",
  TRUE,"OK"
)</f>
        <v>OK</v>
      </c>
    </row>
    <row r="339" spans="1:12" ht="16.8" x14ac:dyDescent="0.3">
      <c r="A339" s="14" t="s">
        <v>729</v>
      </c>
      <c r="B339" s="14" t="s">
        <v>730</v>
      </c>
      <c r="C339" s="14">
        <v>29</v>
      </c>
      <c r="D339" s="14" t="s">
        <v>41</v>
      </c>
      <c r="E339" s="14" t="s">
        <v>58</v>
      </c>
      <c r="F339" s="14" t="s">
        <v>59</v>
      </c>
      <c r="G339" s="14" t="s">
        <v>94</v>
      </c>
      <c r="H339" s="14" t="s">
        <v>46</v>
      </c>
      <c r="I339" s="14" t="s">
        <v>46</v>
      </c>
      <c r="J339" s="14">
        <v>0.65</v>
      </c>
      <c r="K339" s="15">
        <v>44038</v>
      </c>
      <c r="L339" s="13" t="str" cm="1">
        <f t="array" ref="L339">_xlfn.IFS(
  OR(ISBLANK(A339),ISBLANK(C339),ISBLANK(J339)),"Missing Value",
  OR(C339&lt;18,C339&gt;120),"Review – Out of Range (Age)",
  J339&lt;0,"Review – Out of Range (Risk Score)",
  TRUE,"OK"
)</f>
        <v>OK</v>
      </c>
    </row>
    <row r="340" spans="1:12" ht="16.8" x14ac:dyDescent="0.3">
      <c r="A340" s="11" t="s">
        <v>731</v>
      </c>
      <c r="B340" s="11" t="s">
        <v>732</v>
      </c>
      <c r="C340" s="11">
        <v>29</v>
      </c>
      <c r="D340" s="11" t="s">
        <v>49</v>
      </c>
      <c r="E340" s="11" t="s">
        <v>50</v>
      </c>
      <c r="F340" s="11" t="s">
        <v>59</v>
      </c>
      <c r="G340" s="11" t="s">
        <v>44</v>
      </c>
      <c r="H340" s="11" t="s">
        <v>45</v>
      </c>
      <c r="I340" s="11" t="s">
        <v>46</v>
      </c>
      <c r="J340" s="11">
        <v>0.28000000000000003</v>
      </c>
      <c r="K340" s="12">
        <v>43759</v>
      </c>
      <c r="L340" s="13" t="str" cm="1">
        <f t="array" ref="L340">_xlfn.IFS(
  OR(ISBLANK(A340),ISBLANK(C340),ISBLANK(J340)),"Missing Value",
  OR(C340&lt;18,C340&gt;120),"Review – Out of Range (Age)",
  J340&lt;0,"Review – Out of Range (Risk Score)",
  TRUE,"OK"
)</f>
        <v>OK</v>
      </c>
    </row>
    <row r="341" spans="1:12" ht="16.8" x14ac:dyDescent="0.3">
      <c r="A341" s="14" t="s">
        <v>733</v>
      </c>
      <c r="B341" s="14" t="s">
        <v>734</v>
      </c>
      <c r="C341" s="14">
        <v>24</v>
      </c>
      <c r="D341" s="14" t="s">
        <v>49</v>
      </c>
      <c r="E341" s="14" t="s">
        <v>50</v>
      </c>
      <c r="F341" s="14" t="s">
        <v>59</v>
      </c>
      <c r="G341" s="14" t="s">
        <v>109</v>
      </c>
      <c r="H341" s="14" t="s">
        <v>45</v>
      </c>
      <c r="I341" s="14" t="s">
        <v>46</v>
      </c>
      <c r="J341" s="14">
        <v>0.79</v>
      </c>
      <c r="K341" s="15">
        <v>44330</v>
      </c>
      <c r="L341" s="13" t="str" cm="1">
        <f t="array" ref="L341">_xlfn.IFS(
  OR(ISBLANK(A341),ISBLANK(C341),ISBLANK(J341)),"Missing Value",
  OR(C341&lt;18,C341&gt;120),"Review – Out of Range (Age)",
  J341&lt;0,"Review – Out of Range (Risk Score)",
  TRUE,"OK"
)</f>
        <v>OK</v>
      </c>
    </row>
    <row r="342" spans="1:12" ht="16.8" x14ac:dyDescent="0.3">
      <c r="A342" s="11" t="s">
        <v>735</v>
      </c>
      <c r="B342" s="11" t="s">
        <v>736</v>
      </c>
      <c r="C342" s="11">
        <v>52</v>
      </c>
      <c r="D342" s="11" t="s">
        <v>49</v>
      </c>
      <c r="E342" s="11" t="s">
        <v>42</v>
      </c>
      <c r="F342" s="11" t="s">
        <v>43</v>
      </c>
      <c r="G342" s="11" t="s">
        <v>94</v>
      </c>
      <c r="H342" s="11" t="s">
        <v>45</v>
      </c>
      <c r="I342" s="11" t="s">
        <v>46</v>
      </c>
      <c r="J342" s="11">
        <v>0.43</v>
      </c>
      <c r="K342" s="12">
        <v>44232</v>
      </c>
      <c r="L342" s="13" t="str" cm="1">
        <f t="array" ref="L342">_xlfn.IFS(
  OR(ISBLANK(A342),ISBLANK(C342),ISBLANK(J342)),"Missing Value",
  OR(C342&lt;18,C342&gt;120),"Review – Out of Range (Age)",
  J342&lt;0,"Review – Out of Range (Risk Score)",
  TRUE,"OK"
)</f>
        <v>OK</v>
      </c>
    </row>
    <row r="343" spans="1:12" ht="16.8" x14ac:dyDescent="0.3">
      <c r="A343" s="14" t="s">
        <v>737</v>
      </c>
      <c r="B343" s="14" t="s">
        <v>738</v>
      </c>
      <c r="C343" s="14">
        <v>39</v>
      </c>
      <c r="D343" s="14" t="s">
        <v>49</v>
      </c>
      <c r="E343" s="14" t="s">
        <v>42</v>
      </c>
      <c r="F343" s="14" t="s">
        <v>51</v>
      </c>
      <c r="G343" s="14" t="s">
        <v>94</v>
      </c>
      <c r="H343" s="14" t="s">
        <v>45</v>
      </c>
      <c r="I343" s="14" t="s">
        <v>45</v>
      </c>
      <c r="J343" s="14">
        <v>0.71</v>
      </c>
      <c r="K343" s="15">
        <v>44950</v>
      </c>
      <c r="L343" s="13" t="str" cm="1">
        <f t="array" ref="L343">_xlfn.IFS(
  OR(ISBLANK(A343),ISBLANK(C343),ISBLANK(J343)),"Missing Value",
  OR(C343&lt;18,C343&gt;120),"Review – Out of Range (Age)",
  J343&lt;0,"Review – Out of Range (Risk Score)",
  TRUE,"OK"
)</f>
        <v>OK</v>
      </c>
    </row>
    <row r="344" spans="1:12" ht="16.8" x14ac:dyDescent="0.3">
      <c r="A344" s="11" t="s">
        <v>739</v>
      </c>
      <c r="B344" s="11" t="s">
        <v>740</v>
      </c>
      <c r="C344" s="11">
        <v>63</v>
      </c>
      <c r="D344" s="11" t="s">
        <v>41</v>
      </c>
      <c r="E344" s="11" t="s">
        <v>50</v>
      </c>
      <c r="F344" s="11" t="s">
        <v>59</v>
      </c>
      <c r="G344" s="11" t="s">
        <v>44</v>
      </c>
      <c r="H344" s="11" t="s">
        <v>45</v>
      </c>
      <c r="I344" s="11" t="s">
        <v>46</v>
      </c>
      <c r="J344" s="11">
        <v>0.2</v>
      </c>
      <c r="K344" s="12">
        <v>44508</v>
      </c>
      <c r="L344" s="13" t="str" cm="1">
        <f t="array" ref="L344">_xlfn.IFS(
  OR(ISBLANK(A344),ISBLANK(C344),ISBLANK(J344)),"Missing Value",
  OR(C344&lt;18,C344&gt;120),"Review – Out of Range (Age)",
  J344&lt;0,"Review – Out of Range (Risk Score)",
  TRUE,"OK"
)</f>
        <v>OK</v>
      </c>
    </row>
    <row r="345" spans="1:12" ht="16.8" x14ac:dyDescent="0.3">
      <c r="A345" s="14" t="s">
        <v>741</v>
      </c>
      <c r="B345" s="14" t="s">
        <v>742</v>
      </c>
      <c r="C345" s="14">
        <v>21</v>
      </c>
      <c r="D345" s="14" t="s">
        <v>41</v>
      </c>
      <c r="E345" s="14" t="s">
        <v>58</v>
      </c>
      <c r="F345" s="14" t="s">
        <v>43</v>
      </c>
      <c r="G345" s="14" t="s">
        <v>94</v>
      </c>
      <c r="H345" s="14" t="s">
        <v>46</v>
      </c>
      <c r="I345" s="14" t="s">
        <v>45</v>
      </c>
      <c r="J345" s="14">
        <v>0.09</v>
      </c>
      <c r="K345" s="15">
        <v>44089</v>
      </c>
      <c r="L345" s="13" t="str" cm="1">
        <f t="array" ref="L345">_xlfn.IFS(
  OR(ISBLANK(A345),ISBLANK(C345),ISBLANK(J345)),"Missing Value",
  OR(C345&lt;18,C345&gt;120),"Review – Out of Range (Age)",
  J345&lt;0,"Review – Out of Range (Risk Score)",
  TRUE,"OK"
)</f>
        <v>OK</v>
      </c>
    </row>
    <row r="346" spans="1:12" ht="16.8" x14ac:dyDescent="0.3">
      <c r="A346" s="11" t="s">
        <v>743</v>
      </c>
      <c r="B346" s="11" t="s">
        <v>744</v>
      </c>
      <c r="C346" s="11">
        <v>51</v>
      </c>
      <c r="D346" s="11" t="s">
        <v>49</v>
      </c>
      <c r="E346" s="11" t="s">
        <v>50</v>
      </c>
      <c r="F346" s="11" t="s">
        <v>43</v>
      </c>
      <c r="G346" s="11" t="s">
        <v>55</v>
      </c>
      <c r="H346" s="11" t="s">
        <v>46</v>
      </c>
      <c r="I346" s="11" t="s">
        <v>46</v>
      </c>
      <c r="J346" s="11">
        <v>0.28000000000000003</v>
      </c>
      <c r="K346" s="12">
        <v>44795</v>
      </c>
      <c r="L346" s="13" t="str" cm="1">
        <f t="array" ref="L346">_xlfn.IFS(
  OR(ISBLANK(A346),ISBLANK(C346),ISBLANK(J346)),"Missing Value",
  OR(C346&lt;18,C346&gt;120),"Review – Out of Range (Age)",
  J346&lt;0,"Review – Out of Range (Risk Score)",
  TRUE,"OK"
)</f>
        <v>OK</v>
      </c>
    </row>
    <row r="347" spans="1:12" ht="16.8" x14ac:dyDescent="0.3">
      <c r="A347" s="14" t="s">
        <v>745</v>
      </c>
      <c r="B347" s="14" t="s">
        <v>746</v>
      </c>
      <c r="C347" s="14">
        <v>42</v>
      </c>
      <c r="D347" s="14" t="s">
        <v>41</v>
      </c>
      <c r="E347" s="14" t="s">
        <v>42</v>
      </c>
      <c r="F347" s="14" t="s">
        <v>65</v>
      </c>
      <c r="G347" s="14" t="s">
        <v>55</v>
      </c>
      <c r="H347" s="14" t="s">
        <v>45</v>
      </c>
      <c r="I347" s="14" t="s">
        <v>46</v>
      </c>
      <c r="J347" s="14">
        <v>0.57999999999999996</v>
      </c>
      <c r="K347" s="15">
        <v>43460</v>
      </c>
      <c r="L347" s="13" t="str" cm="1">
        <f t="array" ref="L347">_xlfn.IFS(
  OR(ISBLANK(A347),ISBLANK(C347),ISBLANK(J347)),"Missing Value",
  OR(C347&lt;18,C347&gt;120),"Review – Out of Range (Age)",
  J347&lt;0,"Review – Out of Range (Risk Score)",
  TRUE,"OK"
)</f>
        <v>OK</v>
      </c>
    </row>
    <row r="348" spans="1:12" ht="16.8" x14ac:dyDescent="0.3">
      <c r="A348" s="11" t="s">
        <v>747</v>
      </c>
      <c r="B348" s="11" t="s">
        <v>748</v>
      </c>
      <c r="C348" s="11">
        <v>41</v>
      </c>
      <c r="D348" s="11" t="s">
        <v>49</v>
      </c>
      <c r="E348" s="11" t="s">
        <v>58</v>
      </c>
      <c r="F348" s="11" t="s">
        <v>59</v>
      </c>
      <c r="G348" s="11" t="s">
        <v>94</v>
      </c>
      <c r="H348" s="11" t="s">
        <v>46</v>
      </c>
      <c r="I348" s="11" t="s">
        <v>46</v>
      </c>
      <c r="J348" s="11">
        <v>0.37</v>
      </c>
      <c r="K348" s="12">
        <v>44737</v>
      </c>
      <c r="L348" s="13" t="str" cm="1">
        <f t="array" ref="L348">_xlfn.IFS(
  OR(ISBLANK(A348),ISBLANK(C348),ISBLANK(J348)),"Missing Value",
  OR(C348&lt;18,C348&gt;120),"Review – Out of Range (Age)",
  J348&lt;0,"Review – Out of Range (Risk Score)",
  TRUE,"OK"
)</f>
        <v>OK</v>
      </c>
    </row>
    <row r="349" spans="1:12" ht="16.8" x14ac:dyDescent="0.3">
      <c r="A349" s="14" t="s">
        <v>749</v>
      </c>
      <c r="B349" s="14" t="s">
        <v>750</v>
      </c>
      <c r="C349" s="14">
        <v>26</v>
      </c>
      <c r="D349" s="14" t="s">
        <v>49</v>
      </c>
      <c r="E349" s="14" t="s">
        <v>50</v>
      </c>
      <c r="F349" s="14" t="s">
        <v>65</v>
      </c>
      <c r="G349" s="14" t="s">
        <v>55</v>
      </c>
      <c r="H349" s="14" t="s">
        <v>45</v>
      </c>
      <c r="I349" s="14" t="s">
        <v>46</v>
      </c>
      <c r="J349" s="14">
        <v>0.37</v>
      </c>
      <c r="K349" s="15">
        <v>44833</v>
      </c>
      <c r="L349" s="13" t="str" cm="1">
        <f t="array" ref="L349">_xlfn.IFS(
  OR(ISBLANK(A349),ISBLANK(C349),ISBLANK(J349)),"Missing Value",
  OR(C349&lt;18,C349&gt;120),"Review – Out of Range (Age)",
  J349&lt;0,"Review – Out of Range (Risk Score)",
  TRUE,"OK"
)</f>
        <v>OK</v>
      </c>
    </row>
    <row r="350" spans="1:12" ht="16.8" x14ac:dyDescent="0.3">
      <c r="A350" s="11" t="s">
        <v>751</v>
      </c>
      <c r="B350" s="11" t="s">
        <v>752</v>
      </c>
      <c r="C350" s="11">
        <v>57</v>
      </c>
      <c r="D350" s="11" t="s">
        <v>49</v>
      </c>
      <c r="E350" s="11" t="s">
        <v>50</v>
      </c>
      <c r="F350" s="11" t="s">
        <v>51</v>
      </c>
      <c r="G350" s="11" t="s">
        <v>52</v>
      </c>
      <c r="H350" s="11" t="s">
        <v>45</v>
      </c>
      <c r="I350" s="11" t="s">
        <v>45</v>
      </c>
      <c r="J350" s="11">
        <v>0.43</v>
      </c>
      <c r="K350" s="12">
        <v>43550</v>
      </c>
      <c r="L350" s="13" t="str" cm="1">
        <f t="array" ref="L350">_xlfn.IFS(
  OR(ISBLANK(A350),ISBLANK(C350),ISBLANK(J350)),"Missing Value",
  OR(C350&lt;18,C350&gt;120),"Review – Out of Range (Age)",
  J350&lt;0,"Review – Out of Range (Risk Score)",
  TRUE,"OK"
)</f>
        <v>OK</v>
      </c>
    </row>
    <row r="351" spans="1:12" ht="16.8" x14ac:dyDescent="0.3">
      <c r="A351" s="14" t="s">
        <v>753</v>
      </c>
      <c r="B351" s="14" t="s">
        <v>754</v>
      </c>
      <c r="C351" s="14">
        <v>19</v>
      </c>
      <c r="D351" s="14" t="s">
        <v>49</v>
      </c>
      <c r="E351" s="14" t="s">
        <v>50</v>
      </c>
      <c r="F351" s="14" t="s">
        <v>65</v>
      </c>
      <c r="G351" s="14" t="s">
        <v>55</v>
      </c>
      <c r="H351" s="14" t="s">
        <v>46</v>
      </c>
      <c r="I351" s="14" t="s">
        <v>45</v>
      </c>
      <c r="J351" s="14">
        <v>0.75</v>
      </c>
      <c r="K351" s="15">
        <v>44079</v>
      </c>
      <c r="L351" s="13" t="str" cm="1">
        <f t="array" ref="L351">_xlfn.IFS(
  OR(ISBLANK(A351),ISBLANK(C351),ISBLANK(J351)),"Missing Value",
  OR(C351&lt;18,C351&gt;120),"Review – Out of Range (Age)",
  J351&lt;0,"Review – Out of Range (Risk Score)",
  TRUE,"OK"
)</f>
        <v>OK</v>
      </c>
    </row>
    <row r="352" spans="1:12" ht="16.8" x14ac:dyDescent="0.3">
      <c r="A352" s="11" t="s">
        <v>755</v>
      </c>
      <c r="B352" s="11" t="s">
        <v>756</v>
      </c>
      <c r="C352" s="11">
        <v>52</v>
      </c>
      <c r="D352" s="11" t="s">
        <v>49</v>
      </c>
      <c r="E352" s="11" t="s">
        <v>42</v>
      </c>
      <c r="F352" s="11" t="s">
        <v>43</v>
      </c>
      <c r="G352" s="11" t="s">
        <v>55</v>
      </c>
      <c r="H352" s="11" t="s">
        <v>46</v>
      </c>
      <c r="I352" s="11" t="s">
        <v>46</v>
      </c>
      <c r="J352" s="11">
        <v>0.18</v>
      </c>
      <c r="K352" s="12">
        <v>43949</v>
      </c>
      <c r="L352" s="13" t="str" cm="1">
        <f t="array" ref="L352">_xlfn.IFS(
  OR(ISBLANK(A352),ISBLANK(C352),ISBLANK(J352)),"Missing Value",
  OR(C352&lt;18,C352&gt;120),"Review – Out of Range (Age)",
  J352&lt;0,"Review – Out of Range (Risk Score)",
  TRUE,"OK"
)</f>
        <v>OK</v>
      </c>
    </row>
    <row r="353" spans="1:12" ht="16.8" x14ac:dyDescent="0.3">
      <c r="A353" s="14" t="s">
        <v>757</v>
      </c>
      <c r="B353" s="14" t="s">
        <v>758</v>
      </c>
      <c r="C353" s="14">
        <v>44</v>
      </c>
      <c r="D353" s="14" t="s">
        <v>49</v>
      </c>
      <c r="E353" s="14" t="s">
        <v>58</v>
      </c>
      <c r="F353" s="14" t="s">
        <v>59</v>
      </c>
      <c r="G353" s="14" t="s">
        <v>60</v>
      </c>
      <c r="H353" s="14" t="s">
        <v>46</v>
      </c>
      <c r="I353" s="14" t="s">
        <v>45</v>
      </c>
      <c r="J353" s="14">
        <v>0.51</v>
      </c>
      <c r="K353" s="15">
        <v>44622</v>
      </c>
      <c r="L353" s="13" t="str" cm="1">
        <f t="array" ref="L353">_xlfn.IFS(
  OR(ISBLANK(A353),ISBLANK(C353),ISBLANK(J353)),"Missing Value",
  OR(C353&lt;18,C353&gt;120),"Review – Out of Range (Age)",
  J353&lt;0,"Review – Out of Range (Risk Score)",
  TRUE,"OK"
)</f>
        <v>OK</v>
      </c>
    </row>
    <row r="354" spans="1:12" ht="16.8" x14ac:dyDescent="0.3">
      <c r="A354" s="11" t="s">
        <v>759</v>
      </c>
      <c r="B354" s="11" t="s">
        <v>760</v>
      </c>
      <c r="C354" s="11">
        <v>29</v>
      </c>
      <c r="D354" s="11" t="s">
        <v>41</v>
      </c>
      <c r="E354" s="11" t="s">
        <v>42</v>
      </c>
      <c r="F354" s="11" t="s">
        <v>59</v>
      </c>
      <c r="G354" s="11" t="s">
        <v>94</v>
      </c>
      <c r="H354" s="11" t="s">
        <v>45</v>
      </c>
      <c r="I354" s="11" t="s">
        <v>45</v>
      </c>
      <c r="J354" s="11">
        <v>0.45</v>
      </c>
      <c r="K354" s="12">
        <v>44378</v>
      </c>
      <c r="L354" s="13" t="str" cm="1">
        <f t="array" ref="L354">_xlfn.IFS(
  OR(ISBLANK(A354),ISBLANK(C354),ISBLANK(J354)),"Missing Value",
  OR(C354&lt;18,C354&gt;120),"Review – Out of Range (Age)",
  J354&lt;0,"Review – Out of Range (Risk Score)",
  TRUE,"OK"
)</f>
        <v>OK</v>
      </c>
    </row>
    <row r="355" spans="1:12" ht="16.8" x14ac:dyDescent="0.3">
      <c r="A355" s="14" t="s">
        <v>761</v>
      </c>
      <c r="B355" s="14" t="s">
        <v>762</v>
      </c>
      <c r="C355" s="14">
        <v>59</v>
      </c>
      <c r="D355" s="14" t="s">
        <v>49</v>
      </c>
      <c r="E355" s="14" t="s">
        <v>50</v>
      </c>
      <c r="F355" s="14" t="s">
        <v>43</v>
      </c>
      <c r="G355" s="14" t="s">
        <v>109</v>
      </c>
      <c r="H355" s="14" t="s">
        <v>45</v>
      </c>
      <c r="I355" s="14" t="s">
        <v>45</v>
      </c>
      <c r="J355" s="14">
        <v>0.57999999999999996</v>
      </c>
      <c r="K355" s="15">
        <v>45179</v>
      </c>
      <c r="L355" s="13" t="str" cm="1">
        <f t="array" ref="L355">_xlfn.IFS(
  OR(ISBLANK(A355),ISBLANK(C355),ISBLANK(J355)),"Missing Value",
  OR(C355&lt;18,C355&gt;120),"Review – Out of Range (Age)",
  J355&lt;0,"Review – Out of Range (Risk Score)",
  TRUE,"OK"
)</f>
        <v>OK</v>
      </c>
    </row>
    <row r="356" spans="1:12" ht="16.8" x14ac:dyDescent="0.3">
      <c r="A356" s="11" t="s">
        <v>763</v>
      </c>
      <c r="B356" s="11" t="s">
        <v>764</v>
      </c>
      <c r="C356" s="11">
        <v>47</v>
      </c>
      <c r="D356" s="11" t="s">
        <v>49</v>
      </c>
      <c r="E356" s="11" t="s">
        <v>50</v>
      </c>
      <c r="F356" s="11" t="s">
        <v>59</v>
      </c>
      <c r="G356" s="11" t="s">
        <v>55</v>
      </c>
      <c r="H356" s="11" t="s">
        <v>45</v>
      </c>
      <c r="I356" s="11" t="s">
        <v>46</v>
      </c>
      <c r="J356" s="11">
        <v>0.34</v>
      </c>
      <c r="K356" s="12">
        <v>43340</v>
      </c>
      <c r="L356" s="13" t="str" cm="1">
        <f t="array" ref="L356">_xlfn.IFS(
  OR(ISBLANK(A356),ISBLANK(C356),ISBLANK(J356)),"Missing Value",
  OR(C356&lt;18,C356&gt;120),"Review – Out of Range (Age)",
  J356&lt;0,"Review – Out of Range (Risk Score)",
  TRUE,"OK"
)</f>
        <v>OK</v>
      </c>
    </row>
    <row r="357" spans="1:12" ht="16.8" x14ac:dyDescent="0.3">
      <c r="A357" s="14" t="s">
        <v>765</v>
      </c>
      <c r="B357" s="14" t="s">
        <v>766</v>
      </c>
      <c r="C357" s="14">
        <v>65</v>
      </c>
      <c r="D357" s="14" t="s">
        <v>49</v>
      </c>
      <c r="E357" s="14" t="s">
        <v>42</v>
      </c>
      <c r="F357" s="14" t="s">
        <v>43</v>
      </c>
      <c r="G357" s="14" t="s">
        <v>94</v>
      </c>
      <c r="H357" s="14" t="s">
        <v>46</v>
      </c>
      <c r="I357" s="14" t="s">
        <v>45</v>
      </c>
      <c r="J357" s="14">
        <v>0.28000000000000003</v>
      </c>
      <c r="K357" s="15">
        <v>43940</v>
      </c>
      <c r="L357" s="13" t="str" cm="1">
        <f t="array" ref="L357">_xlfn.IFS(
  OR(ISBLANK(A357),ISBLANK(C357),ISBLANK(J357)),"Missing Value",
  OR(C357&lt;18,C357&gt;120),"Review – Out of Range (Age)",
  J357&lt;0,"Review – Out of Range (Risk Score)",
  TRUE,"OK"
)</f>
        <v>OK</v>
      </c>
    </row>
    <row r="358" spans="1:12" ht="16.8" x14ac:dyDescent="0.3">
      <c r="A358" s="11" t="s">
        <v>767</v>
      </c>
      <c r="B358" s="11" t="s">
        <v>768</v>
      </c>
      <c r="C358" s="11">
        <v>49</v>
      </c>
      <c r="D358" s="11" t="s">
        <v>49</v>
      </c>
      <c r="E358" s="11" t="s">
        <v>50</v>
      </c>
      <c r="F358" s="11" t="s">
        <v>59</v>
      </c>
      <c r="G358" s="11" t="s">
        <v>60</v>
      </c>
      <c r="H358" s="11" t="s">
        <v>45</v>
      </c>
      <c r="I358" s="11" t="s">
        <v>46</v>
      </c>
      <c r="J358" s="11">
        <v>0.84</v>
      </c>
      <c r="K358" s="12">
        <v>44829</v>
      </c>
      <c r="L358" s="13" t="str" cm="1">
        <f t="array" ref="L358">_xlfn.IFS(
  OR(ISBLANK(A358),ISBLANK(C358),ISBLANK(J358)),"Missing Value",
  OR(C358&lt;18,C358&gt;120),"Review – Out of Range (Age)",
  J358&lt;0,"Review – Out of Range (Risk Score)",
  TRUE,"OK"
)</f>
        <v>OK</v>
      </c>
    </row>
    <row r="359" spans="1:12" ht="16.8" x14ac:dyDescent="0.3">
      <c r="A359" s="14" t="s">
        <v>769</v>
      </c>
      <c r="B359" s="14" t="s">
        <v>770</v>
      </c>
      <c r="C359" s="14">
        <v>50</v>
      </c>
      <c r="D359" s="14" t="s">
        <v>49</v>
      </c>
      <c r="E359" s="14" t="s">
        <v>58</v>
      </c>
      <c r="F359" s="14" t="s">
        <v>51</v>
      </c>
      <c r="G359" s="14" t="s">
        <v>55</v>
      </c>
      <c r="H359" s="14" t="s">
        <v>45</v>
      </c>
      <c r="I359" s="14" t="s">
        <v>45</v>
      </c>
      <c r="J359" s="14">
        <v>0.08</v>
      </c>
      <c r="K359" s="15">
        <v>43935</v>
      </c>
      <c r="L359" s="13" t="str" cm="1">
        <f t="array" ref="L359">_xlfn.IFS(
  OR(ISBLANK(A359),ISBLANK(C359),ISBLANK(J359)),"Missing Value",
  OR(C359&lt;18,C359&gt;120),"Review – Out of Range (Age)",
  J359&lt;0,"Review – Out of Range (Risk Score)",
  TRUE,"OK"
)</f>
        <v>OK</v>
      </c>
    </row>
    <row r="360" spans="1:12" ht="16.8" x14ac:dyDescent="0.3">
      <c r="A360" s="11" t="s">
        <v>771</v>
      </c>
      <c r="B360" s="11" t="s">
        <v>772</v>
      </c>
      <c r="C360" s="11">
        <v>54</v>
      </c>
      <c r="D360" s="11" t="s">
        <v>41</v>
      </c>
      <c r="E360" s="11" t="s">
        <v>50</v>
      </c>
      <c r="F360" s="11" t="s">
        <v>51</v>
      </c>
      <c r="G360" s="11" t="s">
        <v>109</v>
      </c>
      <c r="H360" s="11" t="s">
        <v>45</v>
      </c>
      <c r="I360" s="11" t="s">
        <v>46</v>
      </c>
      <c r="J360" s="11">
        <v>0.72</v>
      </c>
      <c r="K360" s="12">
        <v>45012</v>
      </c>
      <c r="L360" s="13" t="str" cm="1">
        <f t="array" ref="L360">_xlfn.IFS(
  OR(ISBLANK(A360),ISBLANK(C360),ISBLANK(J360)),"Missing Value",
  OR(C360&lt;18,C360&gt;120),"Review – Out of Range (Age)",
  J360&lt;0,"Review – Out of Range (Risk Score)",
  TRUE,"OK"
)</f>
        <v>OK</v>
      </c>
    </row>
    <row r="361" spans="1:12" ht="16.8" x14ac:dyDescent="0.3">
      <c r="A361" s="14" t="s">
        <v>773</v>
      </c>
      <c r="B361" s="14" t="s">
        <v>774</v>
      </c>
      <c r="C361" s="14">
        <v>36</v>
      </c>
      <c r="D361" s="14" t="s">
        <v>41</v>
      </c>
      <c r="E361" s="14" t="s">
        <v>50</v>
      </c>
      <c r="F361" s="14" t="s">
        <v>65</v>
      </c>
      <c r="G361" s="14" t="s">
        <v>94</v>
      </c>
      <c r="H361" s="14" t="s">
        <v>45</v>
      </c>
      <c r="I361" s="14" t="s">
        <v>46</v>
      </c>
      <c r="J361" s="14">
        <v>0.45</v>
      </c>
      <c r="K361" s="15">
        <v>44691</v>
      </c>
      <c r="L361" s="13" t="str" cm="1">
        <f t="array" ref="L361">_xlfn.IFS(
  OR(ISBLANK(A361),ISBLANK(C361),ISBLANK(J361)),"Missing Value",
  OR(C361&lt;18,C361&gt;120),"Review – Out of Range (Age)",
  J361&lt;0,"Review – Out of Range (Risk Score)",
  TRUE,"OK"
)</f>
        <v>OK</v>
      </c>
    </row>
    <row r="362" spans="1:12" ht="16.8" x14ac:dyDescent="0.3">
      <c r="A362" s="11" t="s">
        <v>775</v>
      </c>
      <c r="B362" s="11" t="s">
        <v>776</v>
      </c>
      <c r="C362" s="11">
        <v>39</v>
      </c>
      <c r="D362" s="11" t="s">
        <v>41</v>
      </c>
      <c r="E362" s="11" t="s">
        <v>58</v>
      </c>
      <c r="F362" s="11" t="s">
        <v>43</v>
      </c>
      <c r="G362" s="11" t="s">
        <v>44</v>
      </c>
      <c r="H362" s="11" t="s">
        <v>46</v>
      </c>
      <c r="I362" s="11" t="s">
        <v>45</v>
      </c>
      <c r="J362" s="11">
        <v>0.52</v>
      </c>
      <c r="K362" s="12">
        <v>45109</v>
      </c>
      <c r="L362" s="13" t="str" cm="1">
        <f t="array" ref="L362">_xlfn.IFS(
  OR(ISBLANK(A362),ISBLANK(C362),ISBLANK(J362)),"Missing Value",
  OR(C362&lt;18,C362&gt;120),"Review – Out of Range (Age)",
  J362&lt;0,"Review – Out of Range (Risk Score)",
  TRUE,"OK"
)</f>
        <v>OK</v>
      </c>
    </row>
    <row r="363" spans="1:12" ht="16.8" x14ac:dyDescent="0.3">
      <c r="A363" s="14" t="s">
        <v>777</v>
      </c>
      <c r="B363" s="14" t="s">
        <v>778</v>
      </c>
      <c r="C363" s="14">
        <v>35</v>
      </c>
      <c r="D363" s="14" t="s">
        <v>49</v>
      </c>
      <c r="E363" s="14" t="s">
        <v>42</v>
      </c>
      <c r="F363" s="14" t="s">
        <v>51</v>
      </c>
      <c r="G363" s="14" t="s">
        <v>52</v>
      </c>
      <c r="H363" s="14" t="s">
        <v>46</v>
      </c>
      <c r="I363" s="14" t="s">
        <v>46</v>
      </c>
      <c r="J363" s="14">
        <v>0.73</v>
      </c>
      <c r="K363" s="15">
        <v>43990</v>
      </c>
      <c r="L363" s="13" t="str" cm="1">
        <f t="array" ref="L363">_xlfn.IFS(
  OR(ISBLANK(A363),ISBLANK(C363),ISBLANK(J363)),"Missing Value",
  OR(C363&lt;18,C363&gt;120),"Review – Out of Range (Age)",
  J363&lt;0,"Review – Out of Range (Risk Score)",
  TRUE,"OK"
)</f>
        <v>OK</v>
      </c>
    </row>
    <row r="364" spans="1:12" ht="16.8" x14ac:dyDescent="0.3">
      <c r="A364" s="11" t="s">
        <v>779</v>
      </c>
      <c r="B364" s="11" t="s">
        <v>780</v>
      </c>
      <c r="C364" s="11">
        <v>41</v>
      </c>
      <c r="D364" s="11" t="s">
        <v>41</v>
      </c>
      <c r="E364" s="11" t="s">
        <v>58</v>
      </c>
      <c r="F364" s="11" t="s">
        <v>59</v>
      </c>
      <c r="G364" s="11" t="s">
        <v>55</v>
      </c>
      <c r="H364" s="11" t="s">
        <v>46</v>
      </c>
      <c r="I364" s="11" t="s">
        <v>46</v>
      </c>
      <c r="J364" s="11">
        <v>0.19</v>
      </c>
      <c r="K364" s="12">
        <v>44364</v>
      </c>
      <c r="L364" s="13" t="str" cm="1">
        <f t="array" ref="L364">_xlfn.IFS(
  OR(ISBLANK(A364),ISBLANK(C364),ISBLANK(J364)),"Missing Value",
  OR(C364&lt;18,C364&gt;120),"Review – Out of Range (Age)",
  J364&lt;0,"Review – Out of Range (Risk Score)",
  TRUE,"OK"
)</f>
        <v>OK</v>
      </c>
    </row>
    <row r="365" spans="1:12" ht="16.8" x14ac:dyDescent="0.3">
      <c r="A365" s="14" t="s">
        <v>781</v>
      </c>
      <c r="B365" s="14" t="s">
        <v>782</v>
      </c>
      <c r="C365" s="14">
        <v>61</v>
      </c>
      <c r="D365" s="14" t="s">
        <v>41</v>
      </c>
      <c r="E365" s="14" t="s">
        <v>50</v>
      </c>
      <c r="F365" s="14" t="s">
        <v>43</v>
      </c>
      <c r="G365" s="14" t="s">
        <v>52</v>
      </c>
      <c r="H365" s="14" t="s">
        <v>45</v>
      </c>
      <c r="I365" s="14" t="s">
        <v>46</v>
      </c>
      <c r="J365" s="14">
        <v>0.62</v>
      </c>
      <c r="K365" s="15">
        <v>44431</v>
      </c>
      <c r="L365" s="13" t="str" cm="1">
        <f t="array" ref="L365">_xlfn.IFS(
  OR(ISBLANK(A365),ISBLANK(C365),ISBLANK(J365)),"Missing Value",
  OR(C365&lt;18,C365&gt;120),"Review – Out of Range (Age)",
  J365&lt;0,"Review – Out of Range (Risk Score)",
  TRUE,"OK"
)</f>
        <v>OK</v>
      </c>
    </row>
    <row r="366" spans="1:12" ht="16.8" x14ac:dyDescent="0.3">
      <c r="A366" s="11" t="s">
        <v>783</v>
      </c>
      <c r="B366" s="11" t="s">
        <v>784</v>
      </c>
      <c r="C366" s="11">
        <v>57</v>
      </c>
      <c r="D366" s="11" t="s">
        <v>41</v>
      </c>
      <c r="E366" s="11" t="s">
        <v>50</v>
      </c>
      <c r="F366" s="11" t="s">
        <v>59</v>
      </c>
      <c r="G366" s="11" t="s">
        <v>52</v>
      </c>
      <c r="H366" s="11" t="s">
        <v>45</v>
      </c>
      <c r="I366" s="11" t="s">
        <v>46</v>
      </c>
      <c r="J366" s="11">
        <v>0.73</v>
      </c>
      <c r="K366" s="12">
        <v>43575</v>
      </c>
      <c r="L366" s="13" t="str" cm="1">
        <f t="array" ref="L366">_xlfn.IFS(
  OR(ISBLANK(A366),ISBLANK(C366),ISBLANK(J366)),"Missing Value",
  OR(C366&lt;18,C366&gt;120),"Review – Out of Range (Age)",
  J366&lt;0,"Review – Out of Range (Risk Score)",
  TRUE,"OK"
)</f>
        <v>OK</v>
      </c>
    </row>
    <row r="367" spans="1:12" ht="16.8" x14ac:dyDescent="0.3">
      <c r="A367" s="14" t="s">
        <v>785</v>
      </c>
      <c r="B367" s="14" t="s">
        <v>786</v>
      </c>
      <c r="C367" s="14">
        <v>31</v>
      </c>
      <c r="D367" s="14" t="s">
        <v>41</v>
      </c>
      <c r="E367" s="14" t="s">
        <v>42</v>
      </c>
      <c r="F367" s="14" t="s">
        <v>59</v>
      </c>
      <c r="G367" s="14" t="s">
        <v>109</v>
      </c>
      <c r="H367" s="14" t="s">
        <v>46</v>
      </c>
      <c r="I367" s="14" t="s">
        <v>45</v>
      </c>
      <c r="J367" s="14">
        <v>0.66</v>
      </c>
      <c r="K367" s="15">
        <v>44450</v>
      </c>
      <c r="L367" s="13" t="str" cm="1">
        <f t="array" ref="L367">_xlfn.IFS(
  OR(ISBLANK(A367),ISBLANK(C367),ISBLANK(J367)),"Missing Value",
  OR(C367&lt;18,C367&gt;120),"Review – Out of Range (Age)",
  J367&lt;0,"Review – Out of Range (Risk Score)",
  TRUE,"OK"
)</f>
        <v>OK</v>
      </c>
    </row>
    <row r="368" spans="1:12" ht="16.8" x14ac:dyDescent="0.3">
      <c r="A368" s="11" t="s">
        <v>787</v>
      </c>
      <c r="B368" s="11" t="s">
        <v>788</v>
      </c>
      <c r="C368" s="11">
        <v>27</v>
      </c>
      <c r="D368" s="11" t="s">
        <v>49</v>
      </c>
      <c r="E368" s="11" t="s">
        <v>42</v>
      </c>
      <c r="F368" s="11" t="s">
        <v>51</v>
      </c>
      <c r="G368" s="11" t="s">
        <v>109</v>
      </c>
      <c r="H368" s="11" t="s">
        <v>45</v>
      </c>
      <c r="I368" s="11" t="s">
        <v>46</v>
      </c>
      <c r="J368" s="11">
        <v>0.56000000000000005</v>
      </c>
      <c r="K368" s="12">
        <v>43363</v>
      </c>
      <c r="L368" s="13" t="str" cm="1">
        <f t="array" ref="L368">_xlfn.IFS(
  OR(ISBLANK(A368),ISBLANK(C368),ISBLANK(J368)),"Missing Value",
  OR(C368&lt;18,C368&gt;120),"Review – Out of Range (Age)",
  J368&lt;0,"Review – Out of Range (Risk Score)",
  TRUE,"OK"
)</f>
        <v>OK</v>
      </c>
    </row>
    <row r="369" spans="1:12" ht="16.8" x14ac:dyDescent="0.3">
      <c r="A369" s="14" t="s">
        <v>789</v>
      </c>
      <c r="B369" s="14" t="s">
        <v>790</v>
      </c>
      <c r="C369" s="14">
        <v>21</v>
      </c>
      <c r="D369" s="14" t="s">
        <v>41</v>
      </c>
      <c r="E369" s="14" t="s">
        <v>42</v>
      </c>
      <c r="F369" s="14" t="s">
        <v>43</v>
      </c>
      <c r="G369" s="14" t="s">
        <v>44</v>
      </c>
      <c r="H369" s="14" t="s">
        <v>45</v>
      </c>
      <c r="I369" s="14" t="s">
        <v>45</v>
      </c>
      <c r="J369" s="14">
        <v>0.3</v>
      </c>
      <c r="K369" s="15">
        <v>44037</v>
      </c>
      <c r="L369" s="13" t="str" cm="1">
        <f t="array" ref="L369">_xlfn.IFS(
  OR(ISBLANK(A369),ISBLANK(C369),ISBLANK(J369)),"Missing Value",
  OR(C369&lt;18,C369&gt;120),"Review – Out of Range (Age)",
  J369&lt;0,"Review – Out of Range (Risk Score)",
  TRUE,"OK"
)</f>
        <v>OK</v>
      </c>
    </row>
    <row r="370" spans="1:12" ht="16.8" x14ac:dyDescent="0.3">
      <c r="A370" s="11" t="s">
        <v>791</v>
      </c>
      <c r="B370" s="11" t="s">
        <v>792</v>
      </c>
      <c r="C370" s="11">
        <v>47</v>
      </c>
      <c r="D370" s="11" t="s">
        <v>49</v>
      </c>
      <c r="E370" s="11" t="s">
        <v>50</v>
      </c>
      <c r="F370" s="11" t="s">
        <v>65</v>
      </c>
      <c r="G370" s="11" t="s">
        <v>44</v>
      </c>
      <c r="H370" s="11" t="s">
        <v>46</v>
      </c>
      <c r="I370" s="11" t="s">
        <v>46</v>
      </c>
      <c r="J370" s="11">
        <v>0.61</v>
      </c>
      <c r="K370" s="12">
        <v>44109</v>
      </c>
      <c r="L370" s="13" t="str" cm="1">
        <f t="array" ref="L370">_xlfn.IFS(
  OR(ISBLANK(A370),ISBLANK(C370),ISBLANK(J370)),"Missing Value",
  OR(C370&lt;18,C370&gt;120),"Review – Out of Range (Age)",
  J370&lt;0,"Review – Out of Range (Risk Score)",
  TRUE,"OK"
)</f>
        <v>OK</v>
      </c>
    </row>
    <row r="371" spans="1:12" ht="16.8" x14ac:dyDescent="0.3">
      <c r="A371" s="14" t="s">
        <v>793</v>
      </c>
      <c r="B371" s="14" t="s">
        <v>794</v>
      </c>
      <c r="C371" s="14">
        <v>64</v>
      </c>
      <c r="D371" s="14" t="s">
        <v>41</v>
      </c>
      <c r="E371" s="14" t="s">
        <v>58</v>
      </c>
      <c r="F371" s="14" t="s">
        <v>65</v>
      </c>
      <c r="G371" s="14" t="s">
        <v>109</v>
      </c>
      <c r="H371" s="14" t="s">
        <v>45</v>
      </c>
      <c r="I371" s="14" t="s">
        <v>45</v>
      </c>
      <c r="J371" s="14">
        <v>0.55000000000000004</v>
      </c>
      <c r="K371" s="15">
        <v>43142</v>
      </c>
      <c r="L371" s="13" t="str" cm="1">
        <f t="array" ref="L371">_xlfn.IFS(
  OR(ISBLANK(A371),ISBLANK(C371),ISBLANK(J371)),"Missing Value",
  OR(C371&lt;18,C371&gt;120),"Review – Out of Range (Age)",
  J371&lt;0,"Review – Out of Range (Risk Score)",
  TRUE,"OK"
)</f>
        <v>OK</v>
      </c>
    </row>
    <row r="372" spans="1:12" ht="16.8" x14ac:dyDescent="0.3">
      <c r="A372" s="11" t="s">
        <v>795</v>
      </c>
      <c r="B372" s="11" t="s">
        <v>796</v>
      </c>
      <c r="C372" s="11">
        <v>64</v>
      </c>
      <c r="D372" s="11" t="s">
        <v>41</v>
      </c>
      <c r="E372" s="11" t="s">
        <v>42</v>
      </c>
      <c r="F372" s="11" t="s">
        <v>43</v>
      </c>
      <c r="G372" s="11" t="s">
        <v>109</v>
      </c>
      <c r="H372" s="11" t="s">
        <v>46</v>
      </c>
      <c r="I372" s="11" t="s">
        <v>46</v>
      </c>
      <c r="J372" s="11">
        <v>0.23</v>
      </c>
      <c r="K372" s="12">
        <v>44240</v>
      </c>
      <c r="L372" s="13" t="str" cm="1">
        <f t="array" ref="L372">_xlfn.IFS(
  OR(ISBLANK(A372),ISBLANK(C372),ISBLANK(J372)),"Missing Value",
  OR(C372&lt;18,C372&gt;120),"Review – Out of Range (Age)",
  J372&lt;0,"Review – Out of Range (Risk Score)",
  TRUE,"OK"
)</f>
        <v>OK</v>
      </c>
    </row>
    <row r="373" spans="1:12" ht="16.8" x14ac:dyDescent="0.3">
      <c r="A373" s="14" t="s">
        <v>797</v>
      </c>
      <c r="B373" s="14" t="s">
        <v>798</v>
      </c>
      <c r="C373" s="14">
        <v>21</v>
      </c>
      <c r="D373" s="14" t="s">
        <v>41</v>
      </c>
      <c r="E373" s="14" t="s">
        <v>42</v>
      </c>
      <c r="F373" s="14" t="s">
        <v>43</v>
      </c>
      <c r="G373" s="14" t="s">
        <v>52</v>
      </c>
      <c r="H373" s="14" t="s">
        <v>46</v>
      </c>
      <c r="I373" s="14" t="s">
        <v>45</v>
      </c>
      <c r="J373" s="14">
        <v>0.48</v>
      </c>
      <c r="K373" s="15">
        <v>43911</v>
      </c>
      <c r="L373" s="13" t="str" cm="1">
        <f t="array" ref="L373">_xlfn.IFS(
  OR(ISBLANK(A373),ISBLANK(C373),ISBLANK(J373)),"Missing Value",
  OR(C373&lt;18,C373&gt;120),"Review – Out of Range (Age)",
  J373&lt;0,"Review – Out of Range (Risk Score)",
  TRUE,"OK"
)</f>
        <v>OK</v>
      </c>
    </row>
    <row r="374" spans="1:12" ht="16.8" x14ac:dyDescent="0.3">
      <c r="A374" s="11" t="s">
        <v>799</v>
      </c>
      <c r="B374" s="11" t="s">
        <v>800</v>
      </c>
      <c r="C374" s="11">
        <v>63</v>
      </c>
      <c r="D374" s="11" t="s">
        <v>41</v>
      </c>
      <c r="E374" s="11" t="s">
        <v>50</v>
      </c>
      <c r="F374" s="11" t="s">
        <v>59</v>
      </c>
      <c r="G374" s="11" t="s">
        <v>60</v>
      </c>
      <c r="H374" s="11" t="s">
        <v>45</v>
      </c>
      <c r="I374" s="11" t="s">
        <v>45</v>
      </c>
      <c r="J374" s="11">
        <v>0.44</v>
      </c>
      <c r="K374" s="12">
        <v>43617</v>
      </c>
      <c r="L374" s="13" t="str" cm="1">
        <f t="array" ref="L374">_xlfn.IFS(
  OR(ISBLANK(A374),ISBLANK(C374),ISBLANK(J374)),"Missing Value",
  OR(C374&lt;18,C374&gt;120),"Review – Out of Range (Age)",
  J374&lt;0,"Review – Out of Range (Risk Score)",
  TRUE,"OK"
)</f>
        <v>OK</v>
      </c>
    </row>
    <row r="375" spans="1:12" ht="16.8" x14ac:dyDescent="0.3">
      <c r="A375" s="14" t="s">
        <v>801</v>
      </c>
      <c r="B375" s="14" t="s">
        <v>802</v>
      </c>
      <c r="C375" s="14">
        <v>22</v>
      </c>
      <c r="D375" s="14" t="s">
        <v>49</v>
      </c>
      <c r="E375" s="14" t="s">
        <v>50</v>
      </c>
      <c r="F375" s="14" t="s">
        <v>65</v>
      </c>
      <c r="G375" s="14" t="s">
        <v>44</v>
      </c>
      <c r="H375" s="14" t="s">
        <v>45</v>
      </c>
      <c r="I375" s="14" t="s">
        <v>46</v>
      </c>
      <c r="J375" s="14">
        <v>0.67</v>
      </c>
      <c r="K375" s="15">
        <v>44503</v>
      </c>
      <c r="L375" s="13" t="str" cm="1">
        <f t="array" ref="L375">_xlfn.IFS(
  OR(ISBLANK(A375),ISBLANK(C375),ISBLANK(J375)),"Missing Value",
  OR(C375&lt;18,C375&gt;120),"Review – Out of Range (Age)",
  J375&lt;0,"Review – Out of Range (Risk Score)",
  TRUE,"OK"
)</f>
        <v>OK</v>
      </c>
    </row>
    <row r="376" spans="1:12" ht="16.8" x14ac:dyDescent="0.3">
      <c r="A376" s="11" t="s">
        <v>803</v>
      </c>
      <c r="B376" s="11" t="s">
        <v>804</v>
      </c>
      <c r="C376" s="11">
        <v>56</v>
      </c>
      <c r="D376" s="11" t="s">
        <v>49</v>
      </c>
      <c r="E376" s="11" t="s">
        <v>50</v>
      </c>
      <c r="F376" s="11" t="s">
        <v>51</v>
      </c>
      <c r="G376" s="11" t="s">
        <v>44</v>
      </c>
      <c r="H376" s="11" t="s">
        <v>46</v>
      </c>
      <c r="I376" s="11" t="s">
        <v>46</v>
      </c>
      <c r="J376" s="11">
        <v>0.32</v>
      </c>
      <c r="K376" s="12">
        <v>44731</v>
      </c>
      <c r="L376" s="13" t="str" cm="1">
        <f t="array" ref="L376">_xlfn.IFS(
  OR(ISBLANK(A376),ISBLANK(C376),ISBLANK(J376)),"Missing Value",
  OR(C376&lt;18,C376&gt;120),"Review – Out of Range (Age)",
  J376&lt;0,"Review – Out of Range (Risk Score)",
  TRUE,"OK"
)</f>
        <v>OK</v>
      </c>
    </row>
    <row r="377" spans="1:12" ht="16.8" x14ac:dyDescent="0.3">
      <c r="A377" s="14" t="s">
        <v>805</v>
      </c>
      <c r="B377" s="14" t="s">
        <v>806</v>
      </c>
      <c r="C377" s="14">
        <v>61</v>
      </c>
      <c r="D377" s="14" t="s">
        <v>49</v>
      </c>
      <c r="E377" s="14" t="s">
        <v>42</v>
      </c>
      <c r="F377" s="14" t="s">
        <v>65</v>
      </c>
      <c r="G377" s="14" t="s">
        <v>109</v>
      </c>
      <c r="H377" s="14" t="s">
        <v>45</v>
      </c>
      <c r="I377" s="14" t="s">
        <v>45</v>
      </c>
      <c r="J377" s="14">
        <v>0.68</v>
      </c>
      <c r="K377" s="15">
        <v>45135</v>
      </c>
      <c r="L377" s="13" t="str" cm="1">
        <f t="array" ref="L377">_xlfn.IFS(
  OR(ISBLANK(A377),ISBLANK(C377),ISBLANK(J377)),"Missing Value",
  OR(C377&lt;18,C377&gt;120),"Review – Out of Range (Age)",
  J377&lt;0,"Review – Out of Range (Risk Score)",
  TRUE,"OK"
)</f>
        <v>OK</v>
      </c>
    </row>
    <row r="378" spans="1:12" ht="16.8" x14ac:dyDescent="0.3">
      <c r="A378" s="11" t="s">
        <v>807</v>
      </c>
      <c r="B378" s="11" t="s">
        <v>808</v>
      </c>
      <c r="C378" s="11">
        <v>46</v>
      </c>
      <c r="D378" s="11" t="s">
        <v>49</v>
      </c>
      <c r="E378" s="11" t="s">
        <v>42</v>
      </c>
      <c r="F378" s="11" t="s">
        <v>65</v>
      </c>
      <c r="G378" s="11" t="s">
        <v>94</v>
      </c>
      <c r="H378" s="11" t="s">
        <v>45</v>
      </c>
      <c r="I378" s="11" t="s">
        <v>46</v>
      </c>
      <c r="J378" s="11">
        <v>0.54</v>
      </c>
      <c r="K378" s="12">
        <v>43637</v>
      </c>
      <c r="L378" s="13" t="str" cm="1">
        <f t="array" ref="L378">_xlfn.IFS(
  OR(ISBLANK(A378),ISBLANK(C378),ISBLANK(J378)),"Missing Value",
  OR(C378&lt;18,C378&gt;120),"Review – Out of Range (Age)",
  J378&lt;0,"Review – Out of Range (Risk Score)",
  TRUE,"OK"
)</f>
        <v>OK</v>
      </c>
    </row>
    <row r="379" spans="1:12" ht="16.8" x14ac:dyDescent="0.3">
      <c r="A379" s="14" t="s">
        <v>809</v>
      </c>
      <c r="B379" s="14" t="s">
        <v>810</v>
      </c>
      <c r="C379" s="14">
        <v>37</v>
      </c>
      <c r="D379" s="14" t="s">
        <v>49</v>
      </c>
      <c r="E379" s="14" t="s">
        <v>50</v>
      </c>
      <c r="F379" s="14" t="s">
        <v>65</v>
      </c>
      <c r="G379" s="14" t="s">
        <v>109</v>
      </c>
      <c r="H379" s="14" t="s">
        <v>45</v>
      </c>
      <c r="I379" s="14" t="s">
        <v>46</v>
      </c>
      <c r="J379" s="14">
        <v>0.5</v>
      </c>
      <c r="K379" s="15">
        <v>44149</v>
      </c>
      <c r="L379" s="13" t="str" cm="1">
        <f t="array" ref="L379">_xlfn.IFS(
  OR(ISBLANK(A379),ISBLANK(C379),ISBLANK(J379)),"Missing Value",
  OR(C379&lt;18,C379&gt;120),"Review – Out of Range (Age)",
  J379&lt;0,"Review – Out of Range (Risk Score)",
  TRUE,"OK"
)</f>
        <v>OK</v>
      </c>
    </row>
    <row r="380" spans="1:12" ht="16.8" x14ac:dyDescent="0.3">
      <c r="A380" s="11" t="s">
        <v>811</v>
      </c>
      <c r="B380" s="11" t="s">
        <v>812</v>
      </c>
      <c r="C380" s="11">
        <v>63</v>
      </c>
      <c r="D380" s="11" t="s">
        <v>49</v>
      </c>
      <c r="E380" s="11" t="s">
        <v>58</v>
      </c>
      <c r="F380" s="11" t="s">
        <v>43</v>
      </c>
      <c r="G380" s="11" t="s">
        <v>44</v>
      </c>
      <c r="H380" s="11" t="s">
        <v>45</v>
      </c>
      <c r="I380" s="11" t="s">
        <v>46</v>
      </c>
      <c r="J380" s="11">
        <v>0.16</v>
      </c>
      <c r="K380" s="12">
        <v>44074</v>
      </c>
      <c r="L380" s="13" t="str" cm="1">
        <f t="array" ref="L380">_xlfn.IFS(
  OR(ISBLANK(A380),ISBLANK(C380),ISBLANK(J380)),"Missing Value",
  OR(C380&lt;18,C380&gt;120),"Review – Out of Range (Age)",
  J380&lt;0,"Review – Out of Range (Risk Score)",
  TRUE,"OK"
)</f>
        <v>OK</v>
      </c>
    </row>
    <row r="381" spans="1:12" ht="16.8" x14ac:dyDescent="0.3">
      <c r="A381" s="14" t="s">
        <v>813</v>
      </c>
      <c r="B381" s="14" t="s">
        <v>814</v>
      </c>
      <c r="C381" s="14">
        <v>32</v>
      </c>
      <c r="D381" s="14" t="s">
        <v>41</v>
      </c>
      <c r="E381" s="14" t="s">
        <v>50</v>
      </c>
      <c r="F381" s="14" t="s">
        <v>65</v>
      </c>
      <c r="G381" s="14" t="s">
        <v>109</v>
      </c>
      <c r="H381" s="14" t="s">
        <v>46</v>
      </c>
      <c r="I381" s="14" t="s">
        <v>45</v>
      </c>
      <c r="J381" s="14">
        <v>0.85</v>
      </c>
      <c r="K381" s="15">
        <v>43163</v>
      </c>
      <c r="L381" s="13" t="str" cm="1">
        <f t="array" ref="L381">_xlfn.IFS(
  OR(ISBLANK(A381),ISBLANK(C381),ISBLANK(J381)),"Missing Value",
  OR(C381&lt;18,C381&gt;120),"Review – Out of Range (Age)",
  J381&lt;0,"Review – Out of Range (Risk Score)",
  TRUE,"OK"
)</f>
        <v>OK</v>
      </c>
    </row>
    <row r="382" spans="1:12" ht="16.8" x14ac:dyDescent="0.3">
      <c r="A382" s="11" t="s">
        <v>815</v>
      </c>
      <c r="B382" s="11" t="s">
        <v>816</v>
      </c>
      <c r="C382" s="11">
        <v>60</v>
      </c>
      <c r="D382" s="11" t="s">
        <v>41</v>
      </c>
      <c r="E382" s="11" t="s">
        <v>50</v>
      </c>
      <c r="F382" s="11" t="s">
        <v>65</v>
      </c>
      <c r="G382" s="11" t="s">
        <v>55</v>
      </c>
      <c r="H382" s="11" t="s">
        <v>46</v>
      </c>
      <c r="I382" s="11" t="s">
        <v>45</v>
      </c>
      <c r="J382" s="11">
        <v>0.71</v>
      </c>
      <c r="K382" s="12">
        <v>43226</v>
      </c>
      <c r="L382" s="13" t="str" cm="1">
        <f t="array" ref="L382">_xlfn.IFS(
  OR(ISBLANK(A382),ISBLANK(C382),ISBLANK(J382)),"Missing Value",
  OR(C382&lt;18,C382&gt;120),"Review – Out of Range (Age)",
  J382&lt;0,"Review – Out of Range (Risk Score)",
  TRUE,"OK"
)</f>
        <v>OK</v>
      </c>
    </row>
    <row r="383" spans="1:12" ht="16.8" x14ac:dyDescent="0.3">
      <c r="A383" s="14" t="s">
        <v>817</v>
      </c>
      <c r="B383" s="14" t="s">
        <v>818</v>
      </c>
      <c r="C383" s="14">
        <v>45</v>
      </c>
      <c r="D383" s="14" t="s">
        <v>41</v>
      </c>
      <c r="E383" s="14" t="s">
        <v>50</v>
      </c>
      <c r="F383" s="14" t="s">
        <v>59</v>
      </c>
      <c r="G383" s="14" t="s">
        <v>55</v>
      </c>
      <c r="H383" s="14" t="s">
        <v>46</v>
      </c>
      <c r="I383" s="14" t="s">
        <v>46</v>
      </c>
      <c r="J383" s="14">
        <v>0.63</v>
      </c>
      <c r="K383" s="15">
        <v>43511</v>
      </c>
      <c r="L383" s="13" t="str" cm="1">
        <f t="array" ref="L383">_xlfn.IFS(
  OR(ISBLANK(A383),ISBLANK(C383),ISBLANK(J383)),"Missing Value",
  OR(C383&lt;18,C383&gt;120),"Review – Out of Range (Age)",
  J383&lt;0,"Review – Out of Range (Risk Score)",
  TRUE,"OK"
)</f>
        <v>OK</v>
      </c>
    </row>
    <row r="384" spans="1:12" ht="16.8" x14ac:dyDescent="0.3">
      <c r="A384" s="11" t="s">
        <v>819</v>
      </c>
      <c r="B384" s="11" t="s">
        <v>820</v>
      </c>
      <c r="C384" s="11">
        <v>34</v>
      </c>
      <c r="D384" s="11" t="s">
        <v>49</v>
      </c>
      <c r="E384" s="11" t="s">
        <v>42</v>
      </c>
      <c r="F384" s="11" t="s">
        <v>43</v>
      </c>
      <c r="G384" s="11" t="s">
        <v>60</v>
      </c>
      <c r="H384" s="11" t="s">
        <v>46</v>
      </c>
      <c r="I384" s="11" t="s">
        <v>46</v>
      </c>
      <c r="J384" s="11">
        <v>0.14000000000000001</v>
      </c>
      <c r="K384" s="12">
        <v>44918</v>
      </c>
      <c r="L384" s="13" t="str" cm="1">
        <f t="array" ref="L384">_xlfn.IFS(
  OR(ISBLANK(A384),ISBLANK(C384),ISBLANK(J384)),"Missing Value",
  OR(C384&lt;18,C384&gt;120),"Review – Out of Range (Age)",
  J384&lt;0,"Review – Out of Range (Risk Score)",
  TRUE,"OK"
)</f>
        <v>OK</v>
      </c>
    </row>
    <row r="385" spans="1:12" ht="16.8" x14ac:dyDescent="0.3">
      <c r="A385" s="14" t="s">
        <v>821</v>
      </c>
      <c r="B385" s="14" t="s">
        <v>822</v>
      </c>
      <c r="C385" s="14">
        <v>45</v>
      </c>
      <c r="D385" s="14" t="s">
        <v>41</v>
      </c>
      <c r="E385" s="14" t="s">
        <v>58</v>
      </c>
      <c r="F385" s="14" t="s">
        <v>65</v>
      </c>
      <c r="G385" s="14" t="s">
        <v>109</v>
      </c>
      <c r="H385" s="14" t="s">
        <v>46</v>
      </c>
      <c r="I385" s="14" t="s">
        <v>45</v>
      </c>
      <c r="J385" s="14">
        <v>0.56999999999999995</v>
      </c>
      <c r="K385" s="15">
        <v>44582</v>
      </c>
      <c r="L385" s="13" t="str" cm="1">
        <f t="array" ref="L385">_xlfn.IFS(
  OR(ISBLANK(A385),ISBLANK(C385),ISBLANK(J385)),"Missing Value",
  OR(C385&lt;18,C385&gt;120),"Review – Out of Range (Age)",
  J385&lt;0,"Review – Out of Range (Risk Score)",
  TRUE,"OK"
)</f>
        <v>OK</v>
      </c>
    </row>
    <row r="386" spans="1:12" ht="16.8" x14ac:dyDescent="0.3">
      <c r="A386" s="11" t="s">
        <v>823</v>
      </c>
      <c r="B386" s="11" t="s">
        <v>824</v>
      </c>
      <c r="C386" s="11">
        <v>36</v>
      </c>
      <c r="D386" s="11" t="s">
        <v>49</v>
      </c>
      <c r="E386" s="11" t="s">
        <v>58</v>
      </c>
      <c r="F386" s="11" t="s">
        <v>51</v>
      </c>
      <c r="G386" s="11" t="s">
        <v>44</v>
      </c>
      <c r="H386" s="11" t="s">
        <v>46</v>
      </c>
      <c r="I386" s="11" t="s">
        <v>46</v>
      </c>
      <c r="J386" s="11">
        <v>0.53</v>
      </c>
      <c r="K386" s="12">
        <v>44524</v>
      </c>
      <c r="L386" s="13" t="str" cm="1">
        <f t="array" ref="L386">_xlfn.IFS(
  OR(ISBLANK(A386),ISBLANK(C386),ISBLANK(J386)),"Missing Value",
  OR(C386&lt;18,C386&gt;120),"Review – Out of Range (Age)",
  J386&lt;0,"Review – Out of Range (Risk Score)",
  TRUE,"OK"
)</f>
        <v>OK</v>
      </c>
    </row>
    <row r="387" spans="1:12" ht="16.8" x14ac:dyDescent="0.3">
      <c r="A387" s="14" t="s">
        <v>825</v>
      </c>
      <c r="B387" s="14" t="s">
        <v>826</v>
      </c>
      <c r="C387" s="14">
        <v>61</v>
      </c>
      <c r="D387" s="14" t="s">
        <v>49</v>
      </c>
      <c r="E387" s="14" t="s">
        <v>50</v>
      </c>
      <c r="F387" s="14" t="s">
        <v>65</v>
      </c>
      <c r="G387" s="14" t="s">
        <v>44</v>
      </c>
      <c r="H387" s="14" t="s">
        <v>45</v>
      </c>
      <c r="I387" s="14" t="s">
        <v>46</v>
      </c>
      <c r="J387" s="14">
        <v>0.42</v>
      </c>
      <c r="K387" s="15">
        <v>44772</v>
      </c>
      <c r="L387" s="13" t="str" cm="1">
        <f t="array" ref="L387">_xlfn.IFS(
  OR(ISBLANK(A387),ISBLANK(C387),ISBLANK(J387)),"Missing Value",
  OR(C387&lt;18,C387&gt;120),"Review – Out of Range (Age)",
  J387&lt;0,"Review – Out of Range (Risk Score)",
  TRUE,"OK"
)</f>
        <v>OK</v>
      </c>
    </row>
    <row r="388" spans="1:12" ht="16.8" x14ac:dyDescent="0.3">
      <c r="A388" s="11" t="s">
        <v>827</v>
      </c>
      <c r="B388" s="11" t="s">
        <v>828</v>
      </c>
      <c r="C388" s="11">
        <v>35</v>
      </c>
      <c r="D388" s="11" t="s">
        <v>49</v>
      </c>
      <c r="E388" s="11" t="s">
        <v>58</v>
      </c>
      <c r="F388" s="11" t="s">
        <v>51</v>
      </c>
      <c r="G388" s="11" t="s">
        <v>52</v>
      </c>
      <c r="H388" s="11" t="s">
        <v>45</v>
      </c>
      <c r="I388" s="11" t="s">
        <v>45</v>
      </c>
      <c r="J388" s="11">
        <v>0.5</v>
      </c>
      <c r="K388" s="12">
        <v>44946</v>
      </c>
      <c r="L388" s="13" t="str" cm="1">
        <f t="array" ref="L388">_xlfn.IFS(
  OR(ISBLANK(A388),ISBLANK(C388),ISBLANK(J388)),"Missing Value",
  OR(C388&lt;18,C388&gt;120),"Review – Out of Range (Age)",
  J388&lt;0,"Review – Out of Range (Risk Score)",
  TRUE,"OK"
)</f>
        <v>OK</v>
      </c>
    </row>
    <row r="389" spans="1:12" ht="16.8" x14ac:dyDescent="0.3">
      <c r="A389" s="14" t="s">
        <v>829</v>
      </c>
      <c r="B389" s="14" t="s">
        <v>830</v>
      </c>
      <c r="C389" s="14">
        <v>32</v>
      </c>
      <c r="D389" s="14" t="s">
        <v>41</v>
      </c>
      <c r="E389" s="14" t="s">
        <v>50</v>
      </c>
      <c r="F389" s="14" t="s">
        <v>59</v>
      </c>
      <c r="G389" s="14" t="s">
        <v>55</v>
      </c>
      <c r="H389" s="14" t="s">
        <v>45</v>
      </c>
      <c r="I389" s="14" t="s">
        <v>45</v>
      </c>
      <c r="J389" s="14">
        <v>0.67</v>
      </c>
      <c r="K389" s="15">
        <v>43124</v>
      </c>
      <c r="L389" s="13" t="str" cm="1">
        <f t="array" ref="L389">_xlfn.IFS(
  OR(ISBLANK(A389),ISBLANK(C389),ISBLANK(J389)),"Missing Value",
  OR(C389&lt;18,C389&gt;120),"Review – Out of Range (Age)",
  J389&lt;0,"Review – Out of Range (Risk Score)",
  TRUE,"OK"
)</f>
        <v>OK</v>
      </c>
    </row>
    <row r="390" spans="1:12" ht="16.8" x14ac:dyDescent="0.3">
      <c r="A390" s="11" t="s">
        <v>831</v>
      </c>
      <c r="B390" s="11" t="s">
        <v>832</v>
      </c>
      <c r="C390" s="11">
        <v>32</v>
      </c>
      <c r="D390" s="11" t="s">
        <v>49</v>
      </c>
      <c r="E390" s="11" t="s">
        <v>58</v>
      </c>
      <c r="F390" s="11" t="s">
        <v>43</v>
      </c>
      <c r="G390" s="11" t="s">
        <v>109</v>
      </c>
      <c r="H390" s="11" t="s">
        <v>45</v>
      </c>
      <c r="I390" s="11" t="s">
        <v>46</v>
      </c>
      <c r="J390" s="11">
        <v>0.69</v>
      </c>
      <c r="K390" s="12">
        <v>43306</v>
      </c>
      <c r="L390" s="13" t="str" cm="1">
        <f t="array" ref="L390">_xlfn.IFS(
  OR(ISBLANK(A390),ISBLANK(C390),ISBLANK(J390)),"Missing Value",
  OR(C390&lt;18,C390&gt;120),"Review – Out of Range (Age)",
  J390&lt;0,"Review – Out of Range (Risk Score)",
  TRUE,"OK"
)</f>
        <v>OK</v>
      </c>
    </row>
    <row r="391" spans="1:12" ht="16.8" x14ac:dyDescent="0.3">
      <c r="A391" s="14" t="s">
        <v>833</v>
      </c>
      <c r="B391" s="14" t="s">
        <v>834</v>
      </c>
      <c r="C391" s="14">
        <v>19</v>
      </c>
      <c r="D391" s="14" t="s">
        <v>49</v>
      </c>
      <c r="E391" s="14" t="s">
        <v>42</v>
      </c>
      <c r="F391" s="14" t="s">
        <v>51</v>
      </c>
      <c r="G391" s="14" t="s">
        <v>60</v>
      </c>
      <c r="H391" s="14" t="s">
        <v>46</v>
      </c>
      <c r="I391" s="14" t="s">
        <v>45</v>
      </c>
      <c r="J391" s="14">
        <v>0.52</v>
      </c>
      <c r="K391" s="15">
        <v>44819</v>
      </c>
      <c r="L391" s="13" t="str" cm="1">
        <f t="array" ref="L391">_xlfn.IFS(
  OR(ISBLANK(A391),ISBLANK(C391),ISBLANK(J391)),"Missing Value",
  OR(C391&lt;18,C391&gt;120),"Review – Out of Range (Age)",
  J391&lt;0,"Review – Out of Range (Risk Score)",
  TRUE,"OK"
)</f>
        <v>OK</v>
      </c>
    </row>
    <row r="392" spans="1:12" ht="16.8" x14ac:dyDescent="0.3">
      <c r="A392" s="11" t="s">
        <v>835</v>
      </c>
      <c r="B392" s="11" t="s">
        <v>836</v>
      </c>
      <c r="C392" s="11">
        <v>20</v>
      </c>
      <c r="D392" s="11" t="s">
        <v>41</v>
      </c>
      <c r="E392" s="11" t="s">
        <v>58</v>
      </c>
      <c r="F392" s="11" t="s">
        <v>65</v>
      </c>
      <c r="G392" s="11" t="s">
        <v>44</v>
      </c>
      <c r="H392" s="11" t="s">
        <v>46</v>
      </c>
      <c r="I392" s="11" t="s">
        <v>46</v>
      </c>
      <c r="J392" s="11">
        <v>0.74</v>
      </c>
      <c r="K392" s="12">
        <v>44443</v>
      </c>
      <c r="L392" s="13" t="str" cm="1">
        <f t="array" ref="L392">_xlfn.IFS(
  OR(ISBLANK(A392),ISBLANK(C392),ISBLANK(J392)),"Missing Value",
  OR(C392&lt;18,C392&gt;120),"Review – Out of Range (Age)",
  J392&lt;0,"Review – Out of Range (Risk Score)",
  TRUE,"OK"
)</f>
        <v>OK</v>
      </c>
    </row>
    <row r="393" spans="1:12" ht="16.8" x14ac:dyDescent="0.3">
      <c r="A393" s="14" t="s">
        <v>837</v>
      </c>
      <c r="B393" s="14" t="s">
        <v>838</v>
      </c>
      <c r="C393" s="14">
        <v>38</v>
      </c>
      <c r="D393" s="14" t="s">
        <v>49</v>
      </c>
      <c r="E393" s="14" t="s">
        <v>50</v>
      </c>
      <c r="F393" s="14" t="s">
        <v>43</v>
      </c>
      <c r="G393" s="14" t="s">
        <v>94</v>
      </c>
      <c r="H393" s="14" t="s">
        <v>46</v>
      </c>
      <c r="I393" s="14" t="s">
        <v>46</v>
      </c>
      <c r="J393" s="14">
        <v>0.55000000000000004</v>
      </c>
      <c r="K393" s="15">
        <v>43205</v>
      </c>
      <c r="L393" s="13" t="str" cm="1">
        <f t="array" ref="L393">_xlfn.IFS(
  OR(ISBLANK(A393),ISBLANK(C393),ISBLANK(J393)),"Missing Value",
  OR(C393&lt;18,C393&gt;120),"Review – Out of Range (Age)",
  J393&lt;0,"Review – Out of Range (Risk Score)",
  TRUE,"OK"
)</f>
        <v>OK</v>
      </c>
    </row>
    <row r="394" spans="1:12" ht="16.8" x14ac:dyDescent="0.3">
      <c r="A394" s="11" t="s">
        <v>839</v>
      </c>
      <c r="B394" s="11" t="s">
        <v>840</v>
      </c>
      <c r="C394" s="11">
        <v>63</v>
      </c>
      <c r="D394" s="11" t="s">
        <v>41</v>
      </c>
      <c r="E394" s="11" t="s">
        <v>50</v>
      </c>
      <c r="F394" s="11" t="s">
        <v>59</v>
      </c>
      <c r="G394" s="11" t="s">
        <v>60</v>
      </c>
      <c r="H394" s="11" t="s">
        <v>46</v>
      </c>
      <c r="I394" s="11" t="s">
        <v>46</v>
      </c>
      <c r="J394" s="11">
        <v>0.75</v>
      </c>
      <c r="K394" s="12">
        <v>43155</v>
      </c>
      <c r="L394" s="13" t="str" cm="1">
        <f t="array" ref="L394">_xlfn.IFS(
  OR(ISBLANK(A394),ISBLANK(C394),ISBLANK(J394)),"Missing Value",
  OR(C394&lt;18,C394&gt;120),"Review – Out of Range (Age)",
  J394&lt;0,"Review – Out of Range (Risk Score)",
  TRUE,"OK"
)</f>
        <v>OK</v>
      </c>
    </row>
    <row r="395" spans="1:12" ht="16.8" x14ac:dyDescent="0.3">
      <c r="A395" s="14" t="s">
        <v>841</v>
      </c>
      <c r="B395" s="14" t="s">
        <v>842</v>
      </c>
      <c r="C395" s="14">
        <v>42</v>
      </c>
      <c r="D395" s="14" t="s">
        <v>49</v>
      </c>
      <c r="E395" s="14" t="s">
        <v>58</v>
      </c>
      <c r="F395" s="14" t="s">
        <v>59</v>
      </c>
      <c r="G395" s="14" t="s">
        <v>94</v>
      </c>
      <c r="H395" s="14" t="s">
        <v>45</v>
      </c>
      <c r="I395" s="14" t="s">
        <v>46</v>
      </c>
      <c r="J395" s="14">
        <v>0.22</v>
      </c>
      <c r="K395" s="15">
        <v>44569</v>
      </c>
      <c r="L395" s="13" t="str" cm="1">
        <f t="array" ref="L395">_xlfn.IFS(
  OR(ISBLANK(A395),ISBLANK(C395),ISBLANK(J395)),"Missing Value",
  OR(C395&lt;18,C395&gt;120),"Review – Out of Range (Age)",
  J395&lt;0,"Review – Out of Range (Risk Score)",
  TRUE,"OK"
)</f>
        <v>OK</v>
      </c>
    </row>
    <row r="396" spans="1:12" ht="16.8" x14ac:dyDescent="0.3">
      <c r="A396" s="11" t="s">
        <v>843</v>
      </c>
      <c r="B396" s="11" t="s">
        <v>844</v>
      </c>
      <c r="C396" s="11">
        <v>50</v>
      </c>
      <c r="D396" s="11" t="s">
        <v>41</v>
      </c>
      <c r="E396" s="11" t="s">
        <v>42</v>
      </c>
      <c r="F396" s="11" t="s">
        <v>51</v>
      </c>
      <c r="G396" s="11" t="s">
        <v>109</v>
      </c>
      <c r="H396" s="11" t="s">
        <v>46</v>
      </c>
      <c r="I396" s="11" t="s">
        <v>46</v>
      </c>
      <c r="J396" s="11">
        <v>0.65</v>
      </c>
      <c r="K396" s="12">
        <v>44548</v>
      </c>
      <c r="L396" s="13" t="str" cm="1">
        <f t="array" ref="L396">_xlfn.IFS(
  OR(ISBLANK(A396),ISBLANK(C396),ISBLANK(J396)),"Missing Value",
  OR(C396&lt;18,C396&gt;120),"Review – Out of Range (Age)",
  J396&lt;0,"Review – Out of Range (Risk Score)",
  TRUE,"OK"
)</f>
        <v>OK</v>
      </c>
    </row>
    <row r="397" spans="1:12" ht="16.8" x14ac:dyDescent="0.3">
      <c r="A397" s="14" t="s">
        <v>845</v>
      </c>
      <c r="B397" s="14" t="s">
        <v>846</v>
      </c>
      <c r="C397" s="14">
        <v>60</v>
      </c>
      <c r="D397" s="14" t="s">
        <v>49</v>
      </c>
      <c r="E397" s="14" t="s">
        <v>50</v>
      </c>
      <c r="F397" s="14" t="s">
        <v>51</v>
      </c>
      <c r="G397" s="14" t="s">
        <v>109</v>
      </c>
      <c r="H397" s="14" t="s">
        <v>45</v>
      </c>
      <c r="I397" s="14" t="s">
        <v>46</v>
      </c>
      <c r="J397" s="14">
        <v>0.39</v>
      </c>
      <c r="K397" s="15">
        <v>44258</v>
      </c>
      <c r="L397" s="13" t="str" cm="1">
        <f t="array" ref="L397">_xlfn.IFS(
  OR(ISBLANK(A397),ISBLANK(C397),ISBLANK(J397)),"Missing Value",
  OR(C397&lt;18,C397&gt;120),"Review – Out of Range (Age)",
  J397&lt;0,"Review – Out of Range (Risk Score)",
  TRUE,"OK"
)</f>
        <v>OK</v>
      </c>
    </row>
    <row r="398" spans="1:12" ht="16.8" x14ac:dyDescent="0.3">
      <c r="A398" s="11" t="s">
        <v>847</v>
      </c>
      <c r="B398" s="11" t="s">
        <v>848</v>
      </c>
      <c r="C398" s="11">
        <v>51</v>
      </c>
      <c r="D398" s="11" t="s">
        <v>41</v>
      </c>
      <c r="E398" s="11" t="s">
        <v>42</v>
      </c>
      <c r="F398" s="11" t="s">
        <v>65</v>
      </c>
      <c r="G398" s="11" t="s">
        <v>109</v>
      </c>
      <c r="H398" s="11" t="s">
        <v>45</v>
      </c>
      <c r="I398" s="11" t="s">
        <v>46</v>
      </c>
      <c r="J398" s="11">
        <v>0.32</v>
      </c>
      <c r="K398" s="12">
        <v>44035</v>
      </c>
      <c r="L398" s="13" t="str" cm="1">
        <f t="array" ref="L398">_xlfn.IFS(
  OR(ISBLANK(A398),ISBLANK(C398),ISBLANK(J398)),"Missing Value",
  OR(C398&lt;18,C398&gt;120),"Review – Out of Range (Age)",
  J398&lt;0,"Review – Out of Range (Risk Score)",
  TRUE,"OK"
)</f>
        <v>OK</v>
      </c>
    </row>
    <row r="399" spans="1:12" ht="16.8" x14ac:dyDescent="0.3">
      <c r="A399" s="14" t="s">
        <v>849</v>
      </c>
      <c r="B399" s="14" t="s">
        <v>850</v>
      </c>
      <c r="C399" s="14">
        <v>59</v>
      </c>
      <c r="D399" s="14" t="s">
        <v>41</v>
      </c>
      <c r="E399" s="14" t="s">
        <v>42</v>
      </c>
      <c r="F399" s="14" t="s">
        <v>43</v>
      </c>
      <c r="G399" s="14" t="s">
        <v>94</v>
      </c>
      <c r="H399" s="14" t="s">
        <v>45</v>
      </c>
      <c r="I399" s="14" t="s">
        <v>45</v>
      </c>
      <c r="J399" s="14">
        <v>0.36</v>
      </c>
      <c r="K399" s="15">
        <v>44695</v>
      </c>
      <c r="L399" s="13" t="str" cm="1">
        <f t="array" ref="L399">_xlfn.IFS(
  OR(ISBLANK(A399),ISBLANK(C399),ISBLANK(J399)),"Missing Value",
  OR(C399&lt;18,C399&gt;120),"Review – Out of Range (Age)",
  J399&lt;0,"Review – Out of Range (Risk Score)",
  TRUE,"OK"
)</f>
        <v>OK</v>
      </c>
    </row>
    <row r="400" spans="1:12" ht="16.8" x14ac:dyDescent="0.3">
      <c r="A400" s="11" t="s">
        <v>851</v>
      </c>
      <c r="B400" s="11" t="s">
        <v>852</v>
      </c>
      <c r="C400" s="11">
        <v>64</v>
      </c>
      <c r="D400" s="11" t="s">
        <v>49</v>
      </c>
      <c r="E400" s="11" t="s">
        <v>42</v>
      </c>
      <c r="F400" s="11" t="s">
        <v>43</v>
      </c>
      <c r="G400" s="11" t="s">
        <v>60</v>
      </c>
      <c r="H400" s="11" t="s">
        <v>45</v>
      </c>
      <c r="I400" s="11" t="s">
        <v>46</v>
      </c>
      <c r="J400" s="11">
        <v>0.56999999999999995</v>
      </c>
      <c r="K400" s="12">
        <v>43928</v>
      </c>
      <c r="L400" s="13" t="str" cm="1">
        <f t="array" ref="L400">_xlfn.IFS(
  OR(ISBLANK(A400),ISBLANK(C400),ISBLANK(J400)),"Missing Value",
  OR(C400&lt;18,C400&gt;120),"Review – Out of Range (Age)",
  J400&lt;0,"Review – Out of Range (Risk Score)",
  TRUE,"OK"
)</f>
        <v>OK</v>
      </c>
    </row>
    <row r="401" spans="1:12" ht="16.8" x14ac:dyDescent="0.3">
      <c r="A401" s="14" t="s">
        <v>853</v>
      </c>
      <c r="B401" s="14" t="s">
        <v>854</v>
      </c>
      <c r="C401" s="14">
        <v>69</v>
      </c>
      <c r="D401" s="14" t="s">
        <v>41</v>
      </c>
      <c r="E401" s="14" t="s">
        <v>42</v>
      </c>
      <c r="F401" s="14" t="s">
        <v>43</v>
      </c>
      <c r="G401" s="14" t="s">
        <v>55</v>
      </c>
      <c r="H401" s="14" t="s">
        <v>45</v>
      </c>
      <c r="I401" s="14" t="s">
        <v>45</v>
      </c>
      <c r="J401" s="14">
        <v>0.47</v>
      </c>
      <c r="K401" s="15">
        <v>43428</v>
      </c>
      <c r="L401" s="13" t="str" cm="1">
        <f t="array" ref="L401">_xlfn.IFS(
  OR(ISBLANK(A401),ISBLANK(C401),ISBLANK(J401)),"Missing Value",
  OR(C401&lt;18,C401&gt;120),"Review – Out of Range (Age)",
  J401&lt;0,"Review – Out of Range (Risk Score)",
  TRUE,"OK"
)</f>
        <v>OK</v>
      </c>
    </row>
    <row r="402" spans="1:12" ht="16.8" x14ac:dyDescent="0.3">
      <c r="A402" s="11" t="s">
        <v>855</v>
      </c>
      <c r="B402" s="11" t="s">
        <v>856</v>
      </c>
      <c r="C402" s="11">
        <v>50</v>
      </c>
      <c r="D402" s="11" t="s">
        <v>49</v>
      </c>
      <c r="E402" s="11" t="s">
        <v>42</v>
      </c>
      <c r="F402" s="11" t="s">
        <v>59</v>
      </c>
      <c r="G402" s="11" t="s">
        <v>60</v>
      </c>
      <c r="H402" s="11" t="s">
        <v>46</v>
      </c>
      <c r="I402" s="11" t="s">
        <v>46</v>
      </c>
      <c r="J402" s="11">
        <v>0.38</v>
      </c>
      <c r="K402" s="12">
        <v>45025</v>
      </c>
      <c r="L402" s="13" t="str" cm="1">
        <f t="array" ref="L402">_xlfn.IFS(
  OR(ISBLANK(A402),ISBLANK(C402),ISBLANK(J402)),"Missing Value",
  OR(C402&lt;18,C402&gt;120),"Review – Out of Range (Age)",
  J402&lt;0,"Review – Out of Range (Risk Score)",
  TRUE,"OK"
)</f>
        <v>OK</v>
      </c>
    </row>
    <row r="403" spans="1:12" ht="16.8" x14ac:dyDescent="0.3">
      <c r="A403" s="14" t="s">
        <v>857</v>
      </c>
      <c r="B403" s="14" t="s">
        <v>858</v>
      </c>
      <c r="C403" s="14">
        <v>24</v>
      </c>
      <c r="D403" s="14" t="s">
        <v>49</v>
      </c>
      <c r="E403" s="14" t="s">
        <v>42</v>
      </c>
      <c r="F403" s="14" t="s">
        <v>65</v>
      </c>
      <c r="G403" s="14" t="s">
        <v>44</v>
      </c>
      <c r="H403" s="14" t="s">
        <v>45</v>
      </c>
      <c r="I403" s="14" t="s">
        <v>45</v>
      </c>
      <c r="J403" s="14">
        <v>0.85</v>
      </c>
      <c r="K403" s="15">
        <v>44953</v>
      </c>
      <c r="L403" s="13" t="str" cm="1">
        <f t="array" ref="L403">_xlfn.IFS(
  OR(ISBLANK(A403),ISBLANK(C403),ISBLANK(J403)),"Missing Value",
  OR(C403&lt;18,C403&gt;120),"Review – Out of Range (Age)",
  J403&lt;0,"Review – Out of Range (Risk Score)",
  TRUE,"OK"
)</f>
        <v>OK</v>
      </c>
    </row>
    <row r="404" spans="1:12" ht="16.8" x14ac:dyDescent="0.3">
      <c r="A404" s="11" t="s">
        <v>859</v>
      </c>
      <c r="B404" s="11" t="s">
        <v>860</v>
      </c>
      <c r="C404" s="11">
        <v>56</v>
      </c>
      <c r="D404" s="11" t="s">
        <v>49</v>
      </c>
      <c r="E404" s="11" t="s">
        <v>42</v>
      </c>
      <c r="F404" s="11" t="s">
        <v>59</v>
      </c>
      <c r="G404" s="11" t="s">
        <v>94</v>
      </c>
      <c r="H404" s="11" t="s">
        <v>46</v>
      </c>
      <c r="I404" s="11" t="s">
        <v>46</v>
      </c>
      <c r="J404" s="11">
        <v>0.86</v>
      </c>
      <c r="K404" s="12">
        <v>44033</v>
      </c>
      <c r="L404" s="13" t="str" cm="1">
        <f t="array" ref="L404">_xlfn.IFS(
  OR(ISBLANK(A404),ISBLANK(C404),ISBLANK(J404)),"Missing Value",
  OR(C404&lt;18,C404&gt;120),"Review – Out of Range (Age)",
  J404&lt;0,"Review – Out of Range (Risk Score)",
  TRUE,"OK"
)</f>
        <v>OK</v>
      </c>
    </row>
    <row r="405" spans="1:12" ht="16.8" x14ac:dyDescent="0.3">
      <c r="A405" s="14" t="s">
        <v>861</v>
      </c>
      <c r="B405" s="14" t="s">
        <v>862</v>
      </c>
      <c r="C405" s="14">
        <v>63</v>
      </c>
      <c r="D405" s="14" t="s">
        <v>41</v>
      </c>
      <c r="E405" s="14" t="s">
        <v>42</v>
      </c>
      <c r="F405" s="14" t="s">
        <v>43</v>
      </c>
      <c r="G405" s="14" t="s">
        <v>52</v>
      </c>
      <c r="H405" s="14" t="s">
        <v>45</v>
      </c>
      <c r="I405" s="14" t="s">
        <v>45</v>
      </c>
      <c r="J405" s="14">
        <v>0.93</v>
      </c>
      <c r="K405" s="15">
        <v>43238</v>
      </c>
      <c r="L405" s="13" t="str" cm="1">
        <f t="array" ref="L405">_xlfn.IFS(
  OR(ISBLANK(A405),ISBLANK(C405),ISBLANK(J405)),"Missing Value",
  OR(C405&lt;18,C405&gt;120),"Review – Out of Range (Age)",
  J405&lt;0,"Review – Out of Range (Risk Score)",
  TRUE,"OK"
)</f>
        <v>OK</v>
      </c>
    </row>
    <row r="406" spans="1:12" ht="16.8" x14ac:dyDescent="0.3">
      <c r="A406" s="11" t="s">
        <v>863</v>
      </c>
      <c r="B406" s="11" t="s">
        <v>864</v>
      </c>
      <c r="C406" s="11">
        <v>34</v>
      </c>
      <c r="D406" s="11" t="s">
        <v>49</v>
      </c>
      <c r="E406" s="11" t="s">
        <v>50</v>
      </c>
      <c r="F406" s="11" t="s">
        <v>59</v>
      </c>
      <c r="G406" s="11" t="s">
        <v>60</v>
      </c>
      <c r="H406" s="11" t="s">
        <v>46</v>
      </c>
      <c r="I406" s="11" t="s">
        <v>46</v>
      </c>
      <c r="J406" s="11">
        <v>0.54</v>
      </c>
      <c r="K406" s="12">
        <v>44811</v>
      </c>
      <c r="L406" s="13" t="str" cm="1">
        <f t="array" ref="L406">_xlfn.IFS(
  OR(ISBLANK(A406),ISBLANK(C406),ISBLANK(J406)),"Missing Value",
  OR(C406&lt;18,C406&gt;120),"Review – Out of Range (Age)",
  J406&lt;0,"Review – Out of Range (Risk Score)",
  TRUE,"OK"
)</f>
        <v>OK</v>
      </c>
    </row>
    <row r="407" spans="1:12" ht="16.8" x14ac:dyDescent="0.3">
      <c r="A407" s="14" t="s">
        <v>865</v>
      </c>
      <c r="B407" s="14" t="s">
        <v>866</v>
      </c>
      <c r="C407" s="14">
        <v>35</v>
      </c>
      <c r="D407" s="14" t="s">
        <v>41</v>
      </c>
      <c r="E407" s="14" t="s">
        <v>58</v>
      </c>
      <c r="F407" s="14" t="s">
        <v>43</v>
      </c>
      <c r="G407" s="14" t="s">
        <v>44</v>
      </c>
      <c r="H407" s="14" t="s">
        <v>45</v>
      </c>
      <c r="I407" s="14" t="s">
        <v>46</v>
      </c>
      <c r="J407" s="14">
        <v>0.46</v>
      </c>
      <c r="K407" s="15">
        <v>43796</v>
      </c>
      <c r="L407" s="13" t="str" cm="1">
        <f t="array" ref="L407">_xlfn.IFS(
  OR(ISBLANK(A407),ISBLANK(C407),ISBLANK(J407)),"Missing Value",
  OR(C407&lt;18,C407&gt;120),"Review – Out of Range (Age)",
  J407&lt;0,"Review – Out of Range (Risk Score)",
  TRUE,"OK"
)</f>
        <v>OK</v>
      </c>
    </row>
    <row r="408" spans="1:12" ht="16.8" x14ac:dyDescent="0.3">
      <c r="A408" s="11" t="s">
        <v>867</v>
      </c>
      <c r="B408" s="11" t="s">
        <v>868</v>
      </c>
      <c r="C408" s="11">
        <v>25</v>
      </c>
      <c r="D408" s="11" t="s">
        <v>49</v>
      </c>
      <c r="E408" s="11" t="s">
        <v>58</v>
      </c>
      <c r="F408" s="11" t="s">
        <v>51</v>
      </c>
      <c r="G408" s="11" t="s">
        <v>60</v>
      </c>
      <c r="H408" s="11" t="s">
        <v>45</v>
      </c>
      <c r="I408" s="11" t="s">
        <v>45</v>
      </c>
      <c r="J408" s="11">
        <v>0.5</v>
      </c>
      <c r="K408" s="12">
        <v>44797</v>
      </c>
      <c r="L408" s="13" t="str" cm="1">
        <f t="array" ref="L408">_xlfn.IFS(
  OR(ISBLANK(A408),ISBLANK(C408),ISBLANK(J408)),"Missing Value",
  OR(C408&lt;18,C408&gt;120),"Review – Out of Range (Age)",
  J408&lt;0,"Review – Out of Range (Risk Score)",
  TRUE,"OK"
)</f>
        <v>OK</v>
      </c>
    </row>
    <row r="409" spans="1:12" ht="16.8" x14ac:dyDescent="0.3">
      <c r="A409" s="14" t="s">
        <v>869</v>
      </c>
      <c r="B409" s="14" t="s">
        <v>870</v>
      </c>
      <c r="C409" s="14">
        <v>24</v>
      </c>
      <c r="D409" s="14" t="s">
        <v>49</v>
      </c>
      <c r="E409" s="14" t="s">
        <v>58</v>
      </c>
      <c r="F409" s="14" t="s">
        <v>59</v>
      </c>
      <c r="G409" s="14" t="s">
        <v>52</v>
      </c>
      <c r="H409" s="14" t="s">
        <v>45</v>
      </c>
      <c r="I409" s="14" t="s">
        <v>45</v>
      </c>
      <c r="J409" s="14">
        <v>0.46</v>
      </c>
      <c r="K409" s="15">
        <v>44318</v>
      </c>
      <c r="L409" s="13" t="str" cm="1">
        <f t="array" ref="L409">_xlfn.IFS(
  OR(ISBLANK(A409),ISBLANK(C409),ISBLANK(J409)),"Missing Value",
  OR(C409&lt;18,C409&gt;120),"Review – Out of Range (Age)",
  J409&lt;0,"Review – Out of Range (Risk Score)",
  TRUE,"OK"
)</f>
        <v>OK</v>
      </c>
    </row>
    <row r="410" spans="1:12" ht="16.8" x14ac:dyDescent="0.3">
      <c r="A410" s="11" t="s">
        <v>871</v>
      </c>
      <c r="B410" s="11" t="s">
        <v>872</v>
      </c>
      <c r="C410" s="11">
        <v>56</v>
      </c>
      <c r="D410" s="11" t="s">
        <v>41</v>
      </c>
      <c r="E410" s="11" t="s">
        <v>58</v>
      </c>
      <c r="F410" s="11" t="s">
        <v>59</v>
      </c>
      <c r="G410" s="11" t="s">
        <v>94</v>
      </c>
      <c r="H410" s="11" t="s">
        <v>45</v>
      </c>
      <c r="I410" s="11" t="s">
        <v>46</v>
      </c>
      <c r="J410" s="11">
        <v>0.63</v>
      </c>
      <c r="K410" s="12">
        <v>43561</v>
      </c>
      <c r="L410" s="13" t="str" cm="1">
        <f t="array" ref="L410">_xlfn.IFS(
  OR(ISBLANK(A410),ISBLANK(C410),ISBLANK(J410)),"Missing Value",
  OR(C410&lt;18,C410&gt;120),"Review – Out of Range (Age)",
  J410&lt;0,"Review – Out of Range (Risk Score)",
  TRUE,"OK"
)</f>
        <v>OK</v>
      </c>
    </row>
    <row r="411" spans="1:12" ht="16.8" x14ac:dyDescent="0.3">
      <c r="A411" s="14" t="s">
        <v>873</v>
      </c>
      <c r="B411" s="14" t="s">
        <v>874</v>
      </c>
      <c r="C411" s="14">
        <v>22</v>
      </c>
      <c r="D411" s="14" t="s">
        <v>41</v>
      </c>
      <c r="E411" s="14" t="s">
        <v>42</v>
      </c>
      <c r="F411" s="14" t="s">
        <v>65</v>
      </c>
      <c r="G411" s="14" t="s">
        <v>55</v>
      </c>
      <c r="H411" s="14" t="s">
        <v>45</v>
      </c>
      <c r="I411" s="14" t="s">
        <v>45</v>
      </c>
      <c r="J411" s="14">
        <v>0.64</v>
      </c>
      <c r="K411" s="15">
        <v>44853</v>
      </c>
      <c r="L411" s="13" t="str" cm="1">
        <f t="array" ref="L411">_xlfn.IFS(
  OR(ISBLANK(A411),ISBLANK(C411),ISBLANK(J411)),"Missing Value",
  OR(C411&lt;18,C411&gt;120),"Review – Out of Range (Age)",
  J411&lt;0,"Review – Out of Range (Risk Score)",
  TRUE,"OK"
)</f>
        <v>OK</v>
      </c>
    </row>
    <row r="412" spans="1:12" ht="16.8" x14ac:dyDescent="0.3">
      <c r="A412" s="11" t="s">
        <v>875</v>
      </c>
      <c r="B412" s="11" t="s">
        <v>876</v>
      </c>
      <c r="C412" s="11">
        <v>59</v>
      </c>
      <c r="D412" s="11" t="s">
        <v>49</v>
      </c>
      <c r="E412" s="11" t="s">
        <v>50</v>
      </c>
      <c r="F412" s="11" t="s">
        <v>43</v>
      </c>
      <c r="G412" s="11" t="s">
        <v>44</v>
      </c>
      <c r="H412" s="11" t="s">
        <v>46</v>
      </c>
      <c r="I412" s="11" t="s">
        <v>45</v>
      </c>
      <c r="J412" s="11">
        <v>0.35</v>
      </c>
      <c r="K412" s="12">
        <v>43347</v>
      </c>
      <c r="L412" s="13" t="str" cm="1">
        <f t="array" ref="L412">_xlfn.IFS(
  OR(ISBLANK(A412),ISBLANK(C412),ISBLANK(J412)),"Missing Value",
  OR(C412&lt;18,C412&gt;120),"Review – Out of Range (Age)",
  J412&lt;0,"Review – Out of Range (Risk Score)",
  TRUE,"OK"
)</f>
        <v>OK</v>
      </c>
    </row>
    <row r="413" spans="1:12" ht="16.8" x14ac:dyDescent="0.3">
      <c r="A413" s="14" t="s">
        <v>877</v>
      </c>
      <c r="B413" s="14" t="s">
        <v>878</v>
      </c>
      <c r="C413" s="14">
        <v>23</v>
      </c>
      <c r="D413" s="14" t="s">
        <v>49</v>
      </c>
      <c r="E413" s="14" t="s">
        <v>50</v>
      </c>
      <c r="F413" s="14" t="s">
        <v>51</v>
      </c>
      <c r="G413" s="14" t="s">
        <v>109</v>
      </c>
      <c r="H413" s="14" t="s">
        <v>46</v>
      </c>
      <c r="I413" s="14" t="s">
        <v>46</v>
      </c>
      <c r="J413" s="14">
        <v>0.47</v>
      </c>
      <c r="K413" s="15">
        <v>43378</v>
      </c>
      <c r="L413" s="13" t="str" cm="1">
        <f t="array" ref="L413">_xlfn.IFS(
  OR(ISBLANK(A413),ISBLANK(C413),ISBLANK(J413)),"Missing Value",
  OR(C413&lt;18,C413&gt;120),"Review – Out of Range (Age)",
  J413&lt;0,"Review – Out of Range (Risk Score)",
  TRUE,"OK"
)</f>
        <v>OK</v>
      </c>
    </row>
    <row r="414" spans="1:12" ht="16.8" x14ac:dyDescent="0.3">
      <c r="A414" s="11" t="s">
        <v>879</v>
      </c>
      <c r="B414" s="11" t="s">
        <v>880</v>
      </c>
      <c r="C414" s="11">
        <v>45</v>
      </c>
      <c r="D414" s="11" t="s">
        <v>49</v>
      </c>
      <c r="E414" s="11" t="s">
        <v>42</v>
      </c>
      <c r="F414" s="11" t="s">
        <v>59</v>
      </c>
      <c r="G414" s="11" t="s">
        <v>60</v>
      </c>
      <c r="H414" s="11" t="s">
        <v>46</v>
      </c>
      <c r="I414" s="11" t="s">
        <v>46</v>
      </c>
      <c r="J414" s="11">
        <v>0.72</v>
      </c>
      <c r="K414" s="12">
        <v>44332</v>
      </c>
      <c r="L414" s="13" t="str" cm="1">
        <f t="array" ref="L414">_xlfn.IFS(
  OR(ISBLANK(A414),ISBLANK(C414),ISBLANK(J414)),"Missing Value",
  OR(C414&lt;18,C414&gt;120),"Review – Out of Range (Age)",
  J414&lt;0,"Review – Out of Range (Risk Score)",
  TRUE,"OK"
)</f>
        <v>OK</v>
      </c>
    </row>
    <row r="415" spans="1:12" ht="16.8" x14ac:dyDescent="0.3">
      <c r="A415" s="14" t="s">
        <v>881</v>
      </c>
      <c r="B415" s="14" t="s">
        <v>882</v>
      </c>
      <c r="C415" s="14">
        <v>23</v>
      </c>
      <c r="D415" s="14" t="s">
        <v>49</v>
      </c>
      <c r="E415" s="14" t="s">
        <v>42</v>
      </c>
      <c r="F415" s="14" t="s">
        <v>65</v>
      </c>
      <c r="G415" s="14" t="s">
        <v>52</v>
      </c>
      <c r="H415" s="14" t="s">
        <v>45</v>
      </c>
      <c r="I415" s="14" t="s">
        <v>46</v>
      </c>
      <c r="J415" s="14">
        <v>0.64</v>
      </c>
      <c r="K415" s="15">
        <v>44489</v>
      </c>
      <c r="L415" s="13" t="str" cm="1">
        <f t="array" ref="L415">_xlfn.IFS(
  OR(ISBLANK(A415),ISBLANK(C415),ISBLANK(J415)),"Missing Value",
  OR(C415&lt;18,C415&gt;120),"Review – Out of Range (Age)",
  J415&lt;0,"Review – Out of Range (Risk Score)",
  TRUE,"OK"
)</f>
        <v>OK</v>
      </c>
    </row>
    <row r="416" spans="1:12" ht="16.8" x14ac:dyDescent="0.3">
      <c r="A416" s="11" t="s">
        <v>883</v>
      </c>
      <c r="B416" s="11" t="s">
        <v>884</v>
      </c>
      <c r="C416" s="11">
        <v>33</v>
      </c>
      <c r="D416" s="11" t="s">
        <v>41</v>
      </c>
      <c r="E416" s="11" t="s">
        <v>50</v>
      </c>
      <c r="F416" s="11" t="s">
        <v>51</v>
      </c>
      <c r="G416" s="11" t="s">
        <v>94</v>
      </c>
      <c r="H416" s="11" t="s">
        <v>46</v>
      </c>
      <c r="I416" s="11" t="s">
        <v>46</v>
      </c>
      <c r="J416" s="11">
        <v>1</v>
      </c>
      <c r="K416" s="12">
        <v>44204</v>
      </c>
      <c r="L416" s="13" t="str" cm="1">
        <f t="array" ref="L416">_xlfn.IFS(
  OR(ISBLANK(A416),ISBLANK(C416),ISBLANK(J416)),"Missing Value",
  OR(C416&lt;18,C416&gt;120),"Review – Out of Range (Age)",
  J416&lt;0,"Review – Out of Range (Risk Score)",
  TRUE,"OK"
)</f>
        <v>OK</v>
      </c>
    </row>
    <row r="417" spans="1:12" ht="16.8" x14ac:dyDescent="0.3">
      <c r="A417" s="14" t="s">
        <v>885</v>
      </c>
      <c r="B417" s="14" t="s">
        <v>886</v>
      </c>
      <c r="C417" s="14">
        <v>50</v>
      </c>
      <c r="D417" s="14" t="s">
        <v>41</v>
      </c>
      <c r="E417" s="14" t="s">
        <v>58</v>
      </c>
      <c r="F417" s="14" t="s">
        <v>51</v>
      </c>
      <c r="G417" s="14" t="s">
        <v>44</v>
      </c>
      <c r="H417" s="14" t="s">
        <v>46</v>
      </c>
      <c r="I417" s="14" t="s">
        <v>45</v>
      </c>
      <c r="J417" s="14">
        <v>0.69</v>
      </c>
      <c r="K417" s="15">
        <v>43759</v>
      </c>
      <c r="L417" s="13" t="str" cm="1">
        <f t="array" ref="L417">_xlfn.IFS(
  OR(ISBLANK(A417),ISBLANK(C417),ISBLANK(J417)),"Missing Value",
  OR(C417&lt;18,C417&gt;120),"Review – Out of Range (Age)",
  J417&lt;0,"Review – Out of Range (Risk Score)",
  TRUE,"OK"
)</f>
        <v>OK</v>
      </c>
    </row>
    <row r="418" spans="1:12" ht="16.8" x14ac:dyDescent="0.3">
      <c r="A418" s="11" t="s">
        <v>887</v>
      </c>
      <c r="B418" s="11" t="s">
        <v>888</v>
      </c>
      <c r="C418" s="11">
        <v>23</v>
      </c>
      <c r="D418" s="11" t="s">
        <v>49</v>
      </c>
      <c r="E418" s="11" t="s">
        <v>50</v>
      </c>
      <c r="F418" s="11" t="s">
        <v>43</v>
      </c>
      <c r="G418" s="11" t="s">
        <v>94</v>
      </c>
      <c r="H418" s="11" t="s">
        <v>45</v>
      </c>
      <c r="I418" s="11" t="s">
        <v>45</v>
      </c>
      <c r="J418" s="11">
        <v>0.76</v>
      </c>
      <c r="K418" s="12">
        <v>44812</v>
      </c>
      <c r="L418" s="13" t="str" cm="1">
        <f t="array" ref="L418">_xlfn.IFS(
  OR(ISBLANK(A418),ISBLANK(C418),ISBLANK(J418)),"Missing Value",
  OR(C418&lt;18,C418&gt;120),"Review – Out of Range (Age)",
  J418&lt;0,"Review – Out of Range (Risk Score)",
  TRUE,"OK"
)</f>
        <v>OK</v>
      </c>
    </row>
    <row r="419" spans="1:12" ht="16.8" x14ac:dyDescent="0.3">
      <c r="A419" s="14" t="s">
        <v>889</v>
      </c>
      <c r="B419" s="14" t="s">
        <v>890</v>
      </c>
      <c r="C419" s="14">
        <v>32</v>
      </c>
      <c r="D419" s="14" t="s">
        <v>41</v>
      </c>
      <c r="E419" s="14" t="s">
        <v>58</v>
      </c>
      <c r="F419" s="14" t="s">
        <v>59</v>
      </c>
      <c r="G419" s="14" t="s">
        <v>52</v>
      </c>
      <c r="H419" s="14" t="s">
        <v>46</v>
      </c>
      <c r="I419" s="14" t="s">
        <v>45</v>
      </c>
      <c r="J419" s="14">
        <v>0.72</v>
      </c>
      <c r="K419" s="15">
        <v>43489</v>
      </c>
      <c r="L419" s="13" t="str" cm="1">
        <f t="array" ref="L419">_xlfn.IFS(
  OR(ISBLANK(A419),ISBLANK(C419),ISBLANK(J419)),"Missing Value",
  OR(C419&lt;18,C419&gt;120),"Review – Out of Range (Age)",
  J419&lt;0,"Review – Out of Range (Risk Score)",
  TRUE,"OK"
)</f>
        <v>OK</v>
      </c>
    </row>
    <row r="420" spans="1:12" ht="16.8" x14ac:dyDescent="0.3">
      <c r="A420" s="11" t="s">
        <v>891</v>
      </c>
      <c r="B420" s="11" t="s">
        <v>892</v>
      </c>
      <c r="C420" s="11">
        <v>69</v>
      </c>
      <c r="D420" s="11" t="s">
        <v>49</v>
      </c>
      <c r="E420" s="11" t="s">
        <v>58</v>
      </c>
      <c r="F420" s="11" t="s">
        <v>65</v>
      </c>
      <c r="G420" s="11" t="s">
        <v>52</v>
      </c>
      <c r="H420" s="11" t="s">
        <v>45</v>
      </c>
      <c r="I420" s="11" t="s">
        <v>46</v>
      </c>
      <c r="J420" s="11">
        <v>0.56999999999999995</v>
      </c>
      <c r="K420" s="12">
        <v>43773</v>
      </c>
      <c r="L420" s="13" t="str" cm="1">
        <f t="array" ref="L420">_xlfn.IFS(
  OR(ISBLANK(A420),ISBLANK(C420),ISBLANK(J420)),"Missing Value",
  OR(C420&lt;18,C420&gt;120),"Review – Out of Range (Age)",
  J420&lt;0,"Review – Out of Range (Risk Score)",
  TRUE,"OK"
)</f>
        <v>OK</v>
      </c>
    </row>
    <row r="421" spans="1:12" ht="16.8" x14ac:dyDescent="0.3">
      <c r="A421" s="14" t="s">
        <v>893</v>
      </c>
      <c r="B421" s="14" t="s">
        <v>894</v>
      </c>
      <c r="C421" s="14">
        <v>47</v>
      </c>
      <c r="D421" s="14" t="s">
        <v>49</v>
      </c>
      <c r="E421" s="14" t="s">
        <v>50</v>
      </c>
      <c r="F421" s="14" t="s">
        <v>59</v>
      </c>
      <c r="G421" s="14" t="s">
        <v>55</v>
      </c>
      <c r="H421" s="14" t="s">
        <v>45</v>
      </c>
      <c r="I421" s="14" t="s">
        <v>46</v>
      </c>
      <c r="J421" s="14">
        <v>0.54</v>
      </c>
      <c r="K421" s="15">
        <v>43310</v>
      </c>
      <c r="L421" s="13" t="str" cm="1">
        <f t="array" ref="L421">_xlfn.IFS(
  OR(ISBLANK(A421),ISBLANK(C421),ISBLANK(J421)),"Missing Value",
  OR(C421&lt;18,C421&gt;120),"Review – Out of Range (Age)",
  J421&lt;0,"Review – Out of Range (Risk Score)",
  TRUE,"OK"
)</f>
        <v>OK</v>
      </c>
    </row>
    <row r="422" spans="1:12" ht="16.8" x14ac:dyDescent="0.3">
      <c r="A422" s="11" t="s">
        <v>895</v>
      </c>
      <c r="B422" s="11" t="s">
        <v>896</v>
      </c>
      <c r="C422" s="11">
        <v>34</v>
      </c>
      <c r="D422" s="11" t="s">
        <v>41</v>
      </c>
      <c r="E422" s="11" t="s">
        <v>58</v>
      </c>
      <c r="F422" s="11" t="s">
        <v>43</v>
      </c>
      <c r="G422" s="11" t="s">
        <v>60</v>
      </c>
      <c r="H422" s="11" t="s">
        <v>46</v>
      </c>
      <c r="I422" s="11" t="s">
        <v>46</v>
      </c>
      <c r="J422" s="11">
        <v>0.45</v>
      </c>
      <c r="K422" s="12">
        <v>43750</v>
      </c>
      <c r="L422" s="13" t="str" cm="1">
        <f t="array" ref="L422">_xlfn.IFS(
  OR(ISBLANK(A422),ISBLANK(C422),ISBLANK(J422)),"Missing Value",
  OR(C422&lt;18,C422&gt;120),"Review – Out of Range (Age)",
  J422&lt;0,"Review – Out of Range (Risk Score)",
  TRUE,"OK"
)</f>
        <v>OK</v>
      </c>
    </row>
    <row r="423" spans="1:12" ht="16.8" x14ac:dyDescent="0.3">
      <c r="A423" s="14" t="s">
        <v>897</v>
      </c>
      <c r="B423" s="14" t="s">
        <v>898</v>
      </c>
      <c r="C423" s="14">
        <v>55</v>
      </c>
      <c r="D423" s="14" t="s">
        <v>41</v>
      </c>
      <c r="E423" s="14" t="s">
        <v>58</v>
      </c>
      <c r="F423" s="14" t="s">
        <v>43</v>
      </c>
      <c r="G423" s="14" t="s">
        <v>60</v>
      </c>
      <c r="H423" s="14" t="s">
        <v>45</v>
      </c>
      <c r="I423" s="14" t="s">
        <v>45</v>
      </c>
      <c r="J423" s="14">
        <v>0.37</v>
      </c>
      <c r="K423" s="15">
        <v>43138</v>
      </c>
      <c r="L423" s="13" t="str" cm="1">
        <f t="array" ref="L423">_xlfn.IFS(
  OR(ISBLANK(A423),ISBLANK(C423),ISBLANK(J423)),"Missing Value",
  OR(C423&lt;18,C423&gt;120),"Review – Out of Range (Age)",
  J423&lt;0,"Review – Out of Range (Risk Score)",
  TRUE,"OK"
)</f>
        <v>OK</v>
      </c>
    </row>
    <row r="424" spans="1:12" ht="16.8" x14ac:dyDescent="0.3">
      <c r="A424" s="11" t="s">
        <v>899</v>
      </c>
      <c r="B424" s="11" t="s">
        <v>900</v>
      </c>
      <c r="C424" s="11">
        <v>35</v>
      </c>
      <c r="D424" s="11" t="s">
        <v>41</v>
      </c>
      <c r="E424" s="11" t="s">
        <v>50</v>
      </c>
      <c r="F424" s="11" t="s">
        <v>43</v>
      </c>
      <c r="G424" s="11" t="s">
        <v>60</v>
      </c>
      <c r="H424" s="11" t="s">
        <v>45</v>
      </c>
      <c r="I424" s="11" t="s">
        <v>45</v>
      </c>
      <c r="J424" s="11">
        <v>0.32</v>
      </c>
      <c r="K424" s="12">
        <v>44681</v>
      </c>
      <c r="L424" s="13" t="str" cm="1">
        <f t="array" ref="L424">_xlfn.IFS(
  OR(ISBLANK(A424),ISBLANK(C424),ISBLANK(J424)),"Missing Value",
  OR(C424&lt;18,C424&gt;120),"Review – Out of Range (Age)",
  J424&lt;0,"Review – Out of Range (Risk Score)",
  TRUE,"OK"
)</f>
        <v>OK</v>
      </c>
    </row>
    <row r="425" spans="1:12" ht="16.8" x14ac:dyDescent="0.3">
      <c r="A425" s="14" t="s">
        <v>901</v>
      </c>
      <c r="B425" s="14" t="s">
        <v>902</v>
      </c>
      <c r="C425" s="14">
        <v>45</v>
      </c>
      <c r="D425" s="14" t="s">
        <v>49</v>
      </c>
      <c r="E425" s="14" t="s">
        <v>50</v>
      </c>
      <c r="F425" s="14" t="s">
        <v>59</v>
      </c>
      <c r="G425" s="14" t="s">
        <v>52</v>
      </c>
      <c r="H425" s="14" t="s">
        <v>45</v>
      </c>
      <c r="I425" s="14" t="s">
        <v>45</v>
      </c>
      <c r="J425" s="14">
        <v>0.35</v>
      </c>
      <c r="K425" s="15">
        <v>43308</v>
      </c>
      <c r="L425" s="13" t="str" cm="1">
        <f t="array" ref="L425">_xlfn.IFS(
  OR(ISBLANK(A425),ISBLANK(C425),ISBLANK(J425)),"Missing Value",
  OR(C425&lt;18,C425&gt;120),"Review – Out of Range (Age)",
  J425&lt;0,"Review – Out of Range (Risk Score)",
  TRUE,"OK"
)</f>
        <v>OK</v>
      </c>
    </row>
    <row r="426" spans="1:12" ht="16.8" x14ac:dyDescent="0.3">
      <c r="A426" s="11" t="s">
        <v>903</v>
      </c>
      <c r="B426" s="11" t="s">
        <v>904</v>
      </c>
      <c r="C426" s="11">
        <v>36</v>
      </c>
      <c r="D426" s="11" t="s">
        <v>41</v>
      </c>
      <c r="E426" s="11" t="s">
        <v>42</v>
      </c>
      <c r="F426" s="11" t="s">
        <v>43</v>
      </c>
      <c r="G426" s="11" t="s">
        <v>60</v>
      </c>
      <c r="H426" s="11" t="s">
        <v>46</v>
      </c>
      <c r="I426" s="11" t="s">
        <v>46</v>
      </c>
      <c r="J426" s="11">
        <v>0.86</v>
      </c>
      <c r="K426" s="12">
        <v>44303</v>
      </c>
      <c r="L426" s="13" t="str" cm="1">
        <f t="array" ref="L426">_xlfn.IFS(
  OR(ISBLANK(A426),ISBLANK(C426),ISBLANK(J426)),"Missing Value",
  OR(C426&lt;18,C426&gt;120),"Review – Out of Range (Age)",
  J426&lt;0,"Review – Out of Range (Risk Score)",
  TRUE,"OK"
)</f>
        <v>OK</v>
      </c>
    </row>
    <row r="427" spans="1:12" ht="16.8" x14ac:dyDescent="0.3">
      <c r="A427" s="14" t="s">
        <v>905</v>
      </c>
      <c r="B427" s="14" t="s">
        <v>906</v>
      </c>
      <c r="C427" s="14">
        <v>50</v>
      </c>
      <c r="D427" s="14" t="s">
        <v>41</v>
      </c>
      <c r="E427" s="14" t="s">
        <v>58</v>
      </c>
      <c r="F427" s="14" t="s">
        <v>59</v>
      </c>
      <c r="G427" s="14" t="s">
        <v>94</v>
      </c>
      <c r="H427" s="14" t="s">
        <v>46</v>
      </c>
      <c r="I427" s="14" t="s">
        <v>46</v>
      </c>
      <c r="J427" s="14">
        <v>0.49</v>
      </c>
      <c r="K427" s="15">
        <v>43490</v>
      </c>
      <c r="L427" s="13" t="str" cm="1">
        <f t="array" ref="L427">_xlfn.IFS(
  OR(ISBLANK(A427),ISBLANK(C427),ISBLANK(J427)),"Missing Value",
  OR(C427&lt;18,C427&gt;120),"Review – Out of Range (Age)",
  J427&lt;0,"Review – Out of Range (Risk Score)",
  TRUE,"OK"
)</f>
        <v>OK</v>
      </c>
    </row>
    <row r="428" spans="1:12" ht="16.8" x14ac:dyDescent="0.3">
      <c r="A428" s="11" t="s">
        <v>907</v>
      </c>
      <c r="B428" s="11" t="s">
        <v>908</v>
      </c>
      <c r="C428" s="11">
        <v>60</v>
      </c>
      <c r="D428" s="11" t="s">
        <v>49</v>
      </c>
      <c r="E428" s="11" t="s">
        <v>50</v>
      </c>
      <c r="F428" s="11" t="s">
        <v>43</v>
      </c>
      <c r="G428" s="11" t="s">
        <v>55</v>
      </c>
      <c r="H428" s="11" t="s">
        <v>46</v>
      </c>
      <c r="I428" s="11" t="s">
        <v>45</v>
      </c>
      <c r="J428" s="11">
        <v>0.55000000000000004</v>
      </c>
      <c r="K428" s="12">
        <v>44799</v>
      </c>
      <c r="L428" s="13" t="str" cm="1">
        <f t="array" ref="L428">_xlfn.IFS(
  OR(ISBLANK(A428),ISBLANK(C428),ISBLANK(J428)),"Missing Value",
  OR(C428&lt;18,C428&gt;120),"Review – Out of Range (Age)",
  J428&lt;0,"Review – Out of Range (Risk Score)",
  TRUE,"OK"
)</f>
        <v>OK</v>
      </c>
    </row>
    <row r="429" spans="1:12" ht="16.8" x14ac:dyDescent="0.3">
      <c r="A429" s="14" t="s">
        <v>909</v>
      </c>
      <c r="B429" s="14" t="s">
        <v>910</v>
      </c>
      <c r="C429" s="14">
        <v>29</v>
      </c>
      <c r="D429" s="14" t="s">
        <v>41</v>
      </c>
      <c r="E429" s="14" t="s">
        <v>50</v>
      </c>
      <c r="F429" s="14" t="s">
        <v>51</v>
      </c>
      <c r="G429" s="14" t="s">
        <v>60</v>
      </c>
      <c r="H429" s="14" t="s">
        <v>45</v>
      </c>
      <c r="I429" s="14" t="s">
        <v>46</v>
      </c>
      <c r="J429" s="14">
        <v>0.56000000000000005</v>
      </c>
      <c r="K429" s="15">
        <v>44314</v>
      </c>
      <c r="L429" s="13" t="str" cm="1">
        <f t="array" ref="L429">_xlfn.IFS(
  OR(ISBLANK(A429),ISBLANK(C429),ISBLANK(J429)),"Missing Value",
  OR(C429&lt;18,C429&gt;120),"Review – Out of Range (Age)",
  J429&lt;0,"Review – Out of Range (Risk Score)",
  TRUE,"OK"
)</f>
        <v>OK</v>
      </c>
    </row>
    <row r="430" spans="1:12" ht="16.8" x14ac:dyDescent="0.3">
      <c r="A430" s="11" t="s">
        <v>911</v>
      </c>
      <c r="B430" s="11" t="s">
        <v>912</v>
      </c>
      <c r="C430" s="11">
        <v>43</v>
      </c>
      <c r="D430" s="11" t="s">
        <v>49</v>
      </c>
      <c r="E430" s="11" t="s">
        <v>50</v>
      </c>
      <c r="F430" s="11" t="s">
        <v>51</v>
      </c>
      <c r="G430" s="11" t="s">
        <v>94</v>
      </c>
      <c r="H430" s="11" t="s">
        <v>46</v>
      </c>
      <c r="I430" s="11" t="s">
        <v>45</v>
      </c>
      <c r="J430" s="11">
        <v>0.53</v>
      </c>
      <c r="K430" s="12">
        <v>44173</v>
      </c>
      <c r="L430" s="13" t="str" cm="1">
        <f t="array" ref="L430">_xlfn.IFS(
  OR(ISBLANK(A430),ISBLANK(C430),ISBLANK(J430)),"Missing Value",
  OR(C430&lt;18,C430&gt;120),"Review – Out of Range (Age)",
  J430&lt;0,"Review – Out of Range (Risk Score)",
  TRUE,"OK"
)</f>
        <v>OK</v>
      </c>
    </row>
    <row r="431" spans="1:12" ht="16.8" x14ac:dyDescent="0.3">
      <c r="A431" s="14" t="s">
        <v>913</v>
      </c>
      <c r="B431" s="14" t="s">
        <v>914</v>
      </c>
      <c r="C431" s="14">
        <v>54</v>
      </c>
      <c r="D431" s="14" t="s">
        <v>49</v>
      </c>
      <c r="E431" s="14" t="s">
        <v>42</v>
      </c>
      <c r="F431" s="14" t="s">
        <v>51</v>
      </c>
      <c r="G431" s="14" t="s">
        <v>94</v>
      </c>
      <c r="H431" s="14" t="s">
        <v>45</v>
      </c>
      <c r="I431" s="14" t="s">
        <v>46</v>
      </c>
      <c r="J431" s="14">
        <v>0.85</v>
      </c>
      <c r="K431" s="15">
        <v>44380</v>
      </c>
      <c r="L431" s="13" t="str" cm="1">
        <f t="array" ref="L431">_xlfn.IFS(
  OR(ISBLANK(A431),ISBLANK(C431),ISBLANK(J431)),"Missing Value",
  OR(C431&lt;18,C431&gt;120),"Review – Out of Range (Age)",
  J431&lt;0,"Review – Out of Range (Risk Score)",
  TRUE,"OK"
)</f>
        <v>OK</v>
      </c>
    </row>
    <row r="432" spans="1:12" ht="16.8" x14ac:dyDescent="0.3">
      <c r="A432" s="11" t="s">
        <v>915</v>
      </c>
      <c r="B432" s="11" t="s">
        <v>916</v>
      </c>
      <c r="C432" s="11">
        <v>21</v>
      </c>
      <c r="D432" s="11" t="s">
        <v>49</v>
      </c>
      <c r="E432" s="11" t="s">
        <v>42</v>
      </c>
      <c r="F432" s="11" t="s">
        <v>51</v>
      </c>
      <c r="G432" s="11" t="s">
        <v>44</v>
      </c>
      <c r="H432" s="11" t="s">
        <v>45</v>
      </c>
      <c r="I432" s="11" t="s">
        <v>45</v>
      </c>
      <c r="J432" s="11">
        <v>0.35</v>
      </c>
      <c r="K432" s="12">
        <v>44280</v>
      </c>
      <c r="L432" s="13" t="str" cm="1">
        <f t="array" ref="L432">_xlfn.IFS(
  OR(ISBLANK(A432),ISBLANK(C432),ISBLANK(J432)),"Missing Value",
  OR(C432&lt;18,C432&gt;120),"Review – Out of Range (Age)",
  J432&lt;0,"Review – Out of Range (Risk Score)",
  TRUE,"OK"
)</f>
        <v>OK</v>
      </c>
    </row>
    <row r="433" spans="1:12" ht="16.8" x14ac:dyDescent="0.3">
      <c r="A433" s="14" t="s">
        <v>917</v>
      </c>
      <c r="B433" s="14" t="s">
        <v>918</v>
      </c>
      <c r="C433" s="14">
        <v>33</v>
      </c>
      <c r="D433" s="14" t="s">
        <v>41</v>
      </c>
      <c r="E433" s="14" t="s">
        <v>42</v>
      </c>
      <c r="F433" s="14" t="s">
        <v>65</v>
      </c>
      <c r="G433" s="14" t="s">
        <v>60</v>
      </c>
      <c r="H433" s="14" t="s">
        <v>46</v>
      </c>
      <c r="I433" s="14" t="s">
        <v>46</v>
      </c>
      <c r="J433" s="14">
        <v>0.25</v>
      </c>
      <c r="K433" s="15">
        <v>44520</v>
      </c>
      <c r="L433" s="13" t="str" cm="1">
        <f t="array" ref="L433">_xlfn.IFS(
  OR(ISBLANK(A433),ISBLANK(C433),ISBLANK(J433)),"Missing Value",
  OR(C433&lt;18,C433&gt;120),"Review – Out of Range (Age)",
  J433&lt;0,"Review – Out of Range (Risk Score)",
  TRUE,"OK"
)</f>
        <v>OK</v>
      </c>
    </row>
    <row r="434" spans="1:12" ht="16.8" x14ac:dyDescent="0.3">
      <c r="A434" s="11" t="s">
        <v>919</v>
      </c>
      <c r="B434" s="11" t="s">
        <v>920</v>
      </c>
      <c r="C434" s="11">
        <v>44</v>
      </c>
      <c r="D434" s="11" t="s">
        <v>41</v>
      </c>
      <c r="E434" s="11" t="s">
        <v>50</v>
      </c>
      <c r="F434" s="11" t="s">
        <v>43</v>
      </c>
      <c r="G434" s="11" t="s">
        <v>60</v>
      </c>
      <c r="H434" s="11" t="s">
        <v>45</v>
      </c>
      <c r="I434" s="11" t="s">
        <v>46</v>
      </c>
      <c r="J434" s="11">
        <v>0.54</v>
      </c>
      <c r="K434" s="12">
        <v>43792</v>
      </c>
      <c r="L434" s="13" t="str" cm="1">
        <f t="array" ref="L434">_xlfn.IFS(
  OR(ISBLANK(A434),ISBLANK(C434),ISBLANK(J434)),"Missing Value",
  OR(C434&lt;18,C434&gt;120),"Review – Out of Range (Age)",
  J434&lt;0,"Review – Out of Range (Risk Score)",
  TRUE,"OK"
)</f>
        <v>OK</v>
      </c>
    </row>
    <row r="435" spans="1:12" ht="16.8" x14ac:dyDescent="0.3">
      <c r="A435" s="14" t="s">
        <v>921</v>
      </c>
      <c r="B435" s="14" t="s">
        <v>922</v>
      </c>
      <c r="C435" s="14">
        <v>65</v>
      </c>
      <c r="D435" s="14" t="s">
        <v>41</v>
      </c>
      <c r="E435" s="14" t="s">
        <v>50</v>
      </c>
      <c r="F435" s="14" t="s">
        <v>51</v>
      </c>
      <c r="G435" s="14" t="s">
        <v>52</v>
      </c>
      <c r="H435" s="14" t="s">
        <v>46</v>
      </c>
      <c r="I435" s="14" t="s">
        <v>45</v>
      </c>
      <c r="J435" s="14">
        <v>0.72</v>
      </c>
      <c r="K435" s="15">
        <v>44877</v>
      </c>
      <c r="L435" s="13" t="str" cm="1">
        <f t="array" ref="L435">_xlfn.IFS(
  OR(ISBLANK(A435),ISBLANK(C435),ISBLANK(J435)),"Missing Value",
  OR(C435&lt;18,C435&gt;120),"Review – Out of Range (Age)",
  J435&lt;0,"Review – Out of Range (Risk Score)",
  TRUE,"OK"
)</f>
        <v>OK</v>
      </c>
    </row>
    <row r="436" spans="1:12" ht="16.8" x14ac:dyDescent="0.3">
      <c r="A436" s="11" t="s">
        <v>923</v>
      </c>
      <c r="B436" s="11" t="s">
        <v>924</v>
      </c>
      <c r="C436" s="11">
        <v>39</v>
      </c>
      <c r="D436" s="11" t="s">
        <v>49</v>
      </c>
      <c r="E436" s="11" t="s">
        <v>42</v>
      </c>
      <c r="F436" s="11" t="s">
        <v>65</v>
      </c>
      <c r="G436" s="11" t="s">
        <v>109</v>
      </c>
      <c r="H436" s="11" t="s">
        <v>45</v>
      </c>
      <c r="I436" s="11" t="s">
        <v>46</v>
      </c>
      <c r="J436" s="11">
        <v>0.28000000000000003</v>
      </c>
      <c r="K436" s="12">
        <v>44011</v>
      </c>
      <c r="L436" s="13" t="str" cm="1">
        <f t="array" ref="L436">_xlfn.IFS(
  OR(ISBLANK(A436),ISBLANK(C436),ISBLANK(J436)),"Missing Value",
  OR(C436&lt;18,C436&gt;120),"Review – Out of Range (Age)",
  J436&lt;0,"Review – Out of Range (Risk Score)",
  TRUE,"OK"
)</f>
        <v>OK</v>
      </c>
    </row>
    <row r="437" spans="1:12" ht="16.8" x14ac:dyDescent="0.3">
      <c r="A437" s="14" t="s">
        <v>925</v>
      </c>
      <c r="B437" s="14" t="s">
        <v>926</v>
      </c>
      <c r="C437" s="14">
        <v>46</v>
      </c>
      <c r="D437" s="14" t="s">
        <v>41</v>
      </c>
      <c r="E437" s="14" t="s">
        <v>42</v>
      </c>
      <c r="F437" s="14" t="s">
        <v>43</v>
      </c>
      <c r="G437" s="14" t="s">
        <v>55</v>
      </c>
      <c r="H437" s="14" t="s">
        <v>45</v>
      </c>
      <c r="I437" s="14" t="s">
        <v>45</v>
      </c>
      <c r="J437" s="14">
        <v>1</v>
      </c>
      <c r="K437" s="15">
        <v>44398</v>
      </c>
      <c r="L437" s="13" t="str" cm="1">
        <f t="array" ref="L437">_xlfn.IFS(
  OR(ISBLANK(A437),ISBLANK(C437),ISBLANK(J437)),"Missing Value",
  OR(C437&lt;18,C437&gt;120),"Review – Out of Range (Age)",
  J437&lt;0,"Review – Out of Range (Risk Score)",
  TRUE,"OK"
)</f>
        <v>OK</v>
      </c>
    </row>
    <row r="438" spans="1:12" ht="16.8" x14ac:dyDescent="0.3">
      <c r="A438" s="11" t="s">
        <v>927</v>
      </c>
      <c r="B438" s="11" t="s">
        <v>928</v>
      </c>
      <c r="C438" s="11">
        <v>38</v>
      </c>
      <c r="D438" s="11" t="s">
        <v>49</v>
      </c>
      <c r="E438" s="11" t="s">
        <v>58</v>
      </c>
      <c r="F438" s="11" t="s">
        <v>51</v>
      </c>
      <c r="G438" s="11" t="s">
        <v>60</v>
      </c>
      <c r="H438" s="11" t="s">
        <v>46</v>
      </c>
      <c r="I438" s="11" t="s">
        <v>45</v>
      </c>
      <c r="J438" s="11">
        <v>0.35</v>
      </c>
      <c r="K438" s="12">
        <v>43829</v>
      </c>
      <c r="L438" s="13" t="str" cm="1">
        <f t="array" ref="L438">_xlfn.IFS(
  OR(ISBLANK(A438),ISBLANK(C438),ISBLANK(J438)),"Missing Value",
  OR(C438&lt;18,C438&gt;120),"Review – Out of Range (Age)",
  J438&lt;0,"Review – Out of Range (Risk Score)",
  TRUE,"OK"
)</f>
        <v>OK</v>
      </c>
    </row>
    <row r="439" spans="1:12" ht="16.8" x14ac:dyDescent="0.3">
      <c r="A439" s="14" t="s">
        <v>929</v>
      </c>
      <c r="B439" s="14" t="s">
        <v>930</v>
      </c>
      <c r="C439" s="14">
        <v>47</v>
      </c>
      <c r="D439" s="14" t="s">
        <v>41</v>
      </c>
      <c r="E439" s="14" t="s">
        <v>42</v>
      </c>
      <c r="F439" s="14" t="s">
        <v>59</v>
      </c>
      <c r="G439" s="14" t="s">
        <v>44</v>
      </c>
      <c r="H439" s="14" t="s">
        <v>45</v>
      </c>
      <c r="I439" s="14" t="s">
        <v>46</v>
      </c>
      <c r="J439" s="14">
        <v>0.33</v>
      </c>
      <c r="K439" s="15">
        <v>44469</v>
      </c>
      <c r="L439" s="13" t="str" cm="1">
        <f t="array" ref="L439">_xlfn.IFS(
  OR(ISBLANK(A439),ISBLANK(C439),ISBLANK(J439)),"Missing Value",
  OR(C439&lt;18,C439&gt;120),"Review – Out of Range (Age)",
  J439&lt;0,"Review – Out of Range (Risk Score)",
  TRUE,"OK"
)</f>
        <v>OK</v>
      </c>
    </row>
    <row r="440" spans="1:12" ht="16.8" x14ac:dyDescent="0.3">
      <c r="A440" s="11" t="s">
        <v>931</v>
      </c>
      <c r="B440" s="11" t="s">
        <v>932</v>
      </c>
      <c r="C440" s="11">
        <v>27</v>
      </c>
      <c r="D440" s="11" t="s">
        <v>41</v>
      </c>
      <c r="E440" s="11" t="s">
        <v>58</v>
      </c>
      <c r="F440" s="11" t="s">
        <v>51</v>
      </c>
      <c r="G440" s="11" t="s">
        <v>44</v>
      </c>
      <c r="H440" s="11" t="s">
        <v>46</v>
      </c>
      <c r="I440" s="11" t="s">
        <v>46</v>
      </c>
      <c r="J440" s="11">
        <v>0.56000000000000005</v>
      </c>
      <c r="K440" s="12">
        <v>44241</v>
      </c>
      <c r="L440" s="13" t="str" cm="1">
        <f t="array" ref="L440">_xlfn.IFS(
  OR(ISBLANK(A440),ISBLANK(C440),ISBLANK(J440)),"Missing Value",
  OR(C440&lt;18,C440&gt;120),"Review – Out of Range (Age)",
  J440&lt;0,"Review – Out of Range (Risk Score)",
  TRUE,"OK"
)</f>
        <v>OK</v>
      </c>
    </row>
    <row r="441" spans="1:12" ht="16.8" x14ac:dyDescent="0.3">
      <c r="A441" s="14" t="s">
        <v>933</v>
      </c>
      <c r="B441" s="14" t="s">
        <v>934</v>
      </c>
      <c r="C441" s="14">
        <v>49</v>
      </c>
      <c r="D441" s="14" t="s">
        <v>41</v>
      </c>
      <c r="E441" s="14" t="s">
        <v>42</v>
      </c>
      <c r="F441" s="14" t="s">
        <v>65</v>
      </c>
      <c r="G441" s="14" t="s">
        <v>60</v>
      </c>
      <c r="H441" s="14" t="s">
        <v>46</v>
      </c>
      <c r="I441" s="14" t="s">
        <v>46</v>
      </c>
      <c r="J441" s="14">
        <v>0.67</v>
      </c>
      <c r="K441" s="15">
        <v>43792</v>
      </c>
      <c r="L441" s="13" t="str" cm="1">
        <f t="array" ref="L441">_xlfn.IFS(
  OR(ISBLANK(A441),ISBLANK(C441),ISBLANK(J441)),"Missing Value",
  OR(C441&lt;18,C441&gt;120),"Review – Out of Range (Age)",
  J441&lt;0,"Review – Out of Range (Risk Score)",
  TRUE,"OK"
)</f>
        <v>OK</v>
      </c>
    </row>
    <row r="442" spans="1:12" ht="16.8" x14ac:dyDescent="0.3">
      <c r="A442" s="11" t="s">
        <v>935</v>
      </c>
      <c r="B442" s="11" t="s">
        <v>936</v>
      </c>
      <c r="C442" s="11">
        <v>54</v>
      </c>
      <c r="D442" s="11" t="s">
        <v>49</v>
      </c>
      <c r="E442" s="11" t="s">
        <v>42</v>
      </c>
      <c r="F442" s="11" t="s">
        <v>59</v>
      </c>
      <c r="G442" s="11" t="s">
        <v>44</v>
      </c>
      <c r="H442" s="11" t="s">
        <v>45</v>
      </c>
      <c r="I442" s="11" t="s">
        <v>45</v>
      </c>
      <c r="J442" s="11">
        <v>0.4</v>
      </c>
      <c r="K442" s="12">
        <v>43723</v>
      </c>
      <c r="L442" s="13" t="str" cm="1">
        <f t="array" ref="L442">_xlfn.IFS(
  OR(ISBLANK(A442),ISBLANK(C442),ISBLANK(J442)),"Missing Value",
  OR(C442&lt;18,C442&gt;120),"Review – Out of Range (Age)",
  J442&lt;0,"Review – Out of Range (Risk Score)",
  TRUE,"OK"
)</f>
        <v>OK</v>
      </c>
    </row>
    <row r="443" spans="1:12" ht="16.8" x14ac:dyDescent="0.3">
      <c r="A443" s="14" t="s">
        <v>937</v>
      </c>
      <c r="B443" s="14" t="s">
        <v>938</v>
      </c>
      <c r="C443" s="14">
        <v>67</v>
      </c>
      <c r="D443" s="14" t="s">
        <v>41</v>
      </c>
      <c r="E443" s="14" t="s">
        <v>50</v>
      </c>
      <c r="F443" s="14" t="s">
        <v>59</v>
      </c>
      <c r="G443" s="14" t="s">
        <v>109</v>
      </c>
      <c r="H443" s="14" t="s">
        <v>45</v>
      </c>
      <c r="I443" s="14" t="s">
        <v>45</v>
      </c>
      <c r="J443" s="14">
        <v>0.7</v>
      </c>
      <c r="K443" s="15">
        <v>43294</v>
      </c>
      <c r="L443" s="13" t="str" cm="1">
        <f t="array" ref="L443">_xlfn.IFS(
  OR(ISBLANK(A443),ISBLANK(C443),ISBLANK(J443)),"Missing Value",
  OR(C443&lt;18,C443&gt;120),"Review – Out of Range (Age)",
  J443&lt;0,"Review – Out of Range (Risk Score)",
  TRUE,"OK"
)</f>
        <v>OK</v>
      </c>
    </row>
    <row r="444" spans="1:12" ht="16.8" x14ac:dyDescent="0.3">
      <c r="A444" s="11" t="s">
        <v>939</v>
      </c>
      <c r="B444" s="11" t="s">
        <v>940</v>
      </c>
      <c r="C444" s="11">
        <v>43</v>
      </c>
      <c r="D444" s="11" t="s">
        <v>41</v>
      </c>
      <c r="E444" s="11" t="s">
        <v>58</v>
      </c>
      <c r="F444" s="11" t="s">
        <v>43</v>
      </c>
      <c r="G444" s="11" t="s">
        <v>52</v>
      </c>
      <c r="H444" s="11" t="s">
        <v>45</v>
      </c>
      <c r="I444" s="11" t="s">
        <v>46</v>
      </c>
      <c r="J444" s="11">
        <v>0.64</v>
      </c>
      <c r="K444" s="12">
        <v>44190</v>
      </c>
      <c r="L444" s="13" t="str" cm="1">
        <f t="array" ref="L444">_xlfn.IFS(
  OR(ISBLANK(A444),ISBLANK(C444),ISBLANK(J444)),"Missing Value",
  OR(C444&lt;18,C444&gt;120),"Review – Out of Range (Age)",
  J444&lt;0,"Review – Out of Range (Risk Score)",
  TRUE,"OK"
)</f>
        <v>OK</v>
      </c>
    </row>
    <row r="445" spans="1:12" ht="16.8" x14ac:dyDescent="0.3">
      <c r="A445" s="14" t="s">
        <v>941</v>
      </c>
      <c r="B445" s="14" t="s">
        <v>942</v>
      </c>
      <c r="C445" s="14">
        <v>61</v>
      </c>
      <c r="D445" s="14" t="s">
        <v>41</v>
      </c>
      <c r="E445" s="14" t="s">
        <v>50</v>
      </c>
      <c r="F445" s="14" t="s">
        <v>65</v>
      </c>
      <c r="G445" s="14" t="s">
        <v>94</v>
      </c>
      <c r="H445" s="14" t="s">
        <v>46</v>
      </c>
      <c r="I445" s="14" t="s">
        <v>46</v>
      </c>
      <c r="J445" s="14">
        <v>0.63</v>
      </c>
      <c r="K445" s="15">
        <v>44021</v>
      </c>
      <c r="L445" s="13" t="str" cm="1">
        <f t="array" ref="L445">_xlfn.IFS(
  OR(ISBLANK(A445),ISBLANK(C445),ISBLANK(J445)),"Missing Value",
  OR(C445&lt;18,C445&gt;120),"Review – Out of Range (Age)",
  J445&lt;0,"Review – Out of Range (Risk Score)",
  TRUE,"OK"
)</f>
        <v>OK</v>
      </c>
    </row>
    <row r="446" spans="1:12" ht="16.8" x14ac:dyDescent="0.3">
      <c r="A446" s="11" t="s">
        <v>943</v>
      </c>
      <c r="B446" s="11" t="s">
        <v>944</v>
      </c>
      <c r="C446" s="11">
        <v>36</v>
      </c>
      <c r="D446" s="11" t="s">
        <v>49</v>
      </c>
      <c r="E446" s="11" t="s">
        <v>50</v>
      </c>
      <c r="F446" s="11" t="s">
        <v>59</v>
      </c>
      <c r="G446" s="11" t="s">
        <v>60</v>
      </c>
      <c r="H446" s="11" t="s">
        <v>46</v>
      </c>
      <c r="I446" s="11" t="s">
        <v>45</v>
      </c>
      <c r="J446" s="11">
        <v>0.5</v>
      </c>
      <c r="K446" s="12">
        <v>43184</v>
      </c>
      <c r="L446" s="13" t="str" cm="1">
        <f t="array" ref="L446">_xlfn.IFS(
  OR(ISBLANK(A446),ISBLANK(C446),ISBLANK(J446)),"Missing Value",
  OR(C446&lt;18,C446&gt;120),"Review – Out of Range (Age)",
  J446&lt;0,"Review – Out of Range (Risk Score)",
  TRUE,"OK"
)</f>
        <v>OK</v>
      </c>
    </row>
    <row r="447" spans="1:12" ht="16.8" x14ac:dyDescent="0.3">
      <c r="A447" s="14" t="s">
        <v>945</v>
      </c>
      <c r="B447" s="14" t="s">
        <v>946</v>
      </c>
      <c r="C447" s="14">
        <v>53</v>
      </c>
      <c r="D447" s="14" t="s">
        <v>49</v>
      </c>
      <c r="E447" s="14" t="s">
        <v>42</v>
      </c>
      <c r="F447" s="14" t="s">
        <v>65</v>
      </c>
      <c r="G447" s="14" t="s">
        <v>94</v>
      </c>
      <c r="H447" s="14" t="s">
        <v>45</v>
      </c>
      <c r="I447" s="14" t="s">
        <v>46</v>
      </c>
      <c r="J447" s="14">
        <v>0.45</v>
      </c>
      <c r="K447" s="15">
        <v>44471</v>
      </c>
      <c r="L447" s="13" t="str" cm="1">
        <f t="array" ref="L447">_xlfn.IFS(
  OR(ISBLANK(A447),ISBLANK(C447),ISBLANK(J447)),"Missing Value",
  OR(C447&lt;18,C447&gt;120),"Review – Out of Range (Age)",
  J447&lt;0,"Review – Out of Range (Risk Score)",
  TRUE,"OK"
)</f>
        <v>OK</v>
      </c>
    </row>
    <row r="448" spans="1:12" ht="16.8" x14ac:dyDescent="0.3">
      <c r="A448" s="11" t="s">
        <v>947</v>
      </c>
      <c r="B448" s="11" t="s">
        <v>948</v>
      </c>
      <c r="C448" s="11">
        <v>29</v>
      </c>
      <c r="D448" s="11" t="s">
        <v>49</v>
      </c>
      <c r="E448" s="11" t="s">
        <v>42</v>
      </c>
      <c r="F448" s="11" t="s">
        <v>51</v>
      </c>
      <c r="G448" s="11" t="s">
        <v>55</v>
      </c>
      <c r="H448" s="11" t="s">
        <v>46</v>
      </c>
      <c r="I448" s="11" t="s">
        <v>45</v>
      </c>
      <c r="J448" s="11">
        <v>0.82</v>
      </c>
      <c r="K448" s="12">
        <v>44137</v>
      </c>
      <c r="L448" s="13" t="str" cm="1">
        <f t="array" ref="L448">_xlfn.IFS(
  OR(ISBLANK(A448),ISBLANK(C448),ISBLANK(J448)),"Missing Value",
  OR(C448&lt;18,C448&gt;120),"Review – Out of Range (Age)",
  J448&lt;0,"Review – Out of Range (Risk Score)",
  TRUE,"OK"
)</f>
        <v>OK</v>
      </c>
    </row>
    <row r="449" spans="1:12" ht="16.8" x14ac:dyDescent="0.3">
      <c r="A449" s="14" t="s">
        <v>949</v>
      </c>
      <c r="B449" s="14" t="s">
        <v>950</v>
      </c>
      <c r="C449" s="14">
        <v>46</v>
      </c>
      <c r="D449" s="14" t="s">
        <v>49</v>
      </c>
      <c r="E449" s="14" t="s">
        <v>58</v>
      </c>
      <c r="F449" s="14" t="s">
        <v>43</v>
      </c>
      <c r="G449" s="14" t="s">
        <v>109</v>
      </c>
      <c r="H449" s="14" t="s">
        <v>45</v>
      </c>
      <c r="I449" s="14" t="s">
        <v>45</v>
      </c>
      <c r="J449" s="14">
        <v>0.68</v>
      </c>
      <c r="K449" s="15">
        <v>44450</v>
      </c>
      <c r="L449" s="13" t="str" cm="1">
        <f t="array" ref="L449">_xlfn.IFS(
  OR(ISBLANK(A449),ISBLANK(C449),ISBLANK(J449)),"Missing Value",
  OR(C449&lt;18,C449&gt;120),"Review – Out of Range (Age)",
  J449&lt;0,"Review – Out of Range (Risk Score)",
  TRUE,"OK"
)</f>
        <v>OK</v>
      </c>
    </row>
    <row r="450" spans="1:12" ht="16.8" x14ac:dyDescent="0.3">
      <c r="A450" s="11" t="s">
        <v>951</v>
      </c>
      <c r="B450" s="11" t="s">
        <v>952</v>
      </c>
      <c r="C450" s="11">
        <v>22</v>
      </c>
      <c r="D450" s="11" t="s">
        <v>49</v>
      </c>
      <c r="E450" s="11" t="s">
        <v>42</v>
      </c>
      <c r="F450" s="11" t="s">
        <v>43</v>
      </c>
      <c r="G450" s="11" t="s">
        <v>52</v>
      </c>
      <c r="H450" s="11" t="s">
        <v>45</v>
      </c>
      <c r="I450" s="11" t="s">
        <v>45</v>
      </c>
      <c r="J450" s="11">
        <v>0.62</v>
      </c>
      <c r="K450" s="12">
        <v>44759</v>
      </c>
      <c r="L450" s="13" t="str" cm="1">
        <f t="array" ref="L450">_xlfn.IFS(
  OR(ISBLANK(A450),ISBLANK(C450),ISBLANK(J450)),"Missing Value",
  OR(C450&lt;18,C450&gt;120),"Review – Out of Range (Age)",
  J450&lt;0,"Review – Out of Range (Risk Score)",
  TRUE,"OK"
)</f>
        <v>OK</v>
      </c>
    </row>
    <row r="451" spans="1:12" ht="16.8" x14ac:dyDescent="0.3">
      <c r="A451" s="14" t="s">
        <v>953</v>
      </c>
      <c r="B451" s="14" t="s">
        <v>954</v>
      </c>
      <c r="C451" s="14">
        <v>59</v>
      </c>
      <c r="D451" s="14" t="s">
        <v>49</v>
      </c>
      <c r="E451" s="14" t="s">
        <v>42</v>
      </c>
      <c r="F451" s="14" t="s">
        <v>43</v>
      </c>
      <c r="G451" s="14" t="s">
        <v>60</v>
      </c>
      <c r="H451" s="14" t="s">
        <v>46</v>
      </c>
      <c r="I451" s="14" t="s">
        <v>45</v>
      </c>
      <c r="J451" s="14">
        <v>0.56000000000000005</v>
      </c>
      <c r="K451" s="15">
        <v>44651</v>
      </c>
      <c r="L451" s="13" t="str" cm="1">
        <f t="array" ref="L451">_xlfn.IFS(
  OR(ISBLANK(A451),ISBLANK(C451),ISBLANK(J451)),"Missing Value",
  OR(C451&lt;18,C451&gt;120),"Review – Out of Range (Age)",
  J451&lt;0,"Review – Out of Range (Risk Score)",
  TRUE,"OK"
)</f>
        <v>OK</v>
      </c>
    </row>
    <row r="452" spans="1:12" ht="16.8" x14ac:dyDescent="0.3">
      <c r="A452" s="11" t="s">
        <v>955</v>
      </c>
      <c r="B452" s="11" t="s">
        <v>956</v>
      </c>
      <c r="C452" s="11">
        <v>32</v>
      </c>
      <c r="D452" s="11" t="s">
        <v>41</v>
      </c>
      <c r="E452" s="11" t="s">
        <v>58</v>
      </c>
      <c r="F452" s="11" t="s">
        <v>43</v>
      </c>
      <c r="G452" s="11" t="s">
        <v>52</v>
      </c>
      <c r="H452" s="11" t="s">
        <v>46</v>
      </c>
      <c r="I452" s="11" t="s">
        <v>46</v>
      </c>
      <c r="J452" s="11">
        <v>0.44</v>
      </c>
      <c r="K452" s="12">
        <v>43128</v>
      </c>
      <c r="L452" s="13" t="str" cm="1">
        <f t="array" ref="L452">_xlfn.IFS(
  OR(ISBLANK(A452),ISBLANK(C452),ISBLANK(J452)),"Missing Value",
  OR(C452&lt;18,C452&gt;120),"Review – Out of Range (Age)",
  J452&lt;0,"Review – Out of Range (Risk Score)",
  TRUE,"OK"
)</f>
        <v>OK</v>
      </c>
    </row>
    <row r="453" spans="1:12" ht="16.8" x14ac:dyDescent="0.3">
      <c r="A453" s="14" t="s">
        <v>957</v>
      </c>
      <c r="B453" s="14" t="s">
        <v>958</v>
      </c>
      <c r="C453" s="14">
        <v>27</v>
      </c>
      <c r="D453" s="14" t="s">
        <v>41</v>
      </c>
      <c r="E453" s="14" t="s">
        <v>58</v>
      </c>
      <c r="F453" s="14" t="s">
        <v>59</v>
      </c>
      <c r="G453" s="14" t="s">
        <v>109</v>
      </c>
      <c r="H453" s="14" t="s">
        <v>45</v>
      </c>
      <c r="I453" s="14" t="s">
        <v>46</v>
      </c>
      <c r="J453" s="14">
        <v>0.55000000000000004</v>
      </c>
      <c r="K453" s="15">
        <v>44354</v>
      </c>
      <c r="L453" s="13" t="str" cm="1">
        <f t="array" ref="L453">_xlfn.IFS(
  OR(ISBLANK(A453),ISBLANK(C453),ISBLANK(J453)),"Missing Value",
  OR(C453&lt;18,C453&gt;120),"Review – Out of Range (Age)",
  J453&lt;0,"Review – Out of Range (Risk Score)",
  TRUE,"OK"
)</f>
        <v>OK</v>
      </c>
    </row>
    <row r="454" spans="1:12" ht="16.8" x14ac:dyDescent="0.3">
      <c r="A454" s="11" t="s">
        <v>959</v>
      </c>
      <c r="B454" s="11" t="s">
        <v>960</v>
      </c>
      <c r="C454" s="11">
        <v>43</v>
      </c>
      <c r="D454" s="11" t="s">
        <v>41</v>
      </c>
      <c r="E454" s="11" t="s">
        <v>50</v>
      </c>
      <c r="F454" s="11" t="s">
        <v>59</v>
      </c>
      <c r="G454" s="11" t="s">
        <v>52</v>
      </c>
      <c r="H454" s="11" t="s">
        <v>46</v>
      </c>
      <c r="I454" s="11" t="s">
        <v>45</v>
      </c>
      <c r="J454" s="11">
        <v>0.41</v>
      </c>
      <c r="K454" s="12">
        <v>43175</v>
      </c>
      <c r="L454" s="13" t="str" cm="1">
        <f t="array" ref="L454">_xlfn.IFS(
  OR(ISBLANK(A454),ISBLANK(C454),ISBLANK(J454)),"Missing Value",
  OR(C454&lt;18,C454&gt;120),"Review – Out of Range (Age)",
  J454&lt;0,"Review – Out of Range (Risk Score)",
  TRUE,"OK"
)</f>
        <v>OK</v>
      </c>
    </row>
    <row r="455" spans="1:12" ht="16.8" x14ac:dyDescent="0.3">
      <c r="A455" s="14" t="s">
        <v>961</v>
      </c>
      <c r="B455" s="14" t="s">
        <v>962</v>
      </c>
      <c r="C455" s="14">
        <v>58</v>
      </c>
      <c r="D455" s="14" t="s">
        <v>41</v>
      </c>
      <c r="E455" s="14" t="s">
        <v>58</v>
      </c>
      <c r="F455" s="14" t="s">
        <v>65</v>
      </c>
      <c r="G455" s="14" t="s">
        <v>44</v>
      </c>
      <c r="H455" s="14" t="s">
        <v>45</v>
      </c>
      <c r="I455" s="14" t="s">
        <v>45</v>
      </c>
      <c r="J455" s="14">
        <v>0.41</v>
      </c>
      <c r="K455" s="15">
        <v>43643</v>
      </c>
      <c r="L455" s="13" t="str" cm="1">
        <f t="array" ref="L455">_xlfn.IFS(
  OR(ISBLANK(A455),ISBLANK(C455),ISBLANK(J455)),"Missing Value",
  OR(C455&lt;18,C455&gt;120),"Review – Out of Range (Age)",
  J455&lt;0,"Review – Out of Range (Risk Score)",
  TRUE,"OK"
)</f>
        <v>OK</v>
      </c>
    </row>
    <row r="456" spans="1:12" ht="16.8" x14ac:dyDescent="0.3">
      <c r="A456" s="11" t="s">
        <v>963</v>
      </c>
      <c r="B456" s="11" t="s">
        <v>964</v>
      </c>
      <c r="C456" s="11">
        <v>30</v>
      </c>
      <c r="D456" s="11" t="s">
        <v>49</v>
      </c>
      <c r="E456" s="11" t="s">
        <v>42</v>
      </c>
      <c r="F456" s="11" t="s">
        <v>43</v>
      </c>
      <c r="G456" s="11" t="s">
        <v>44</v>
      </c>
      <c r="H456" s="11" t="s">
        <v>46</v>
      </c>
      <c r="I456" s="11" t="s">
        <v>45</v>
      </c>
      <c r="J456" s="11">
        <v>0</v>
      </c>
      <c r="K456" s="12">
        <v>44391</v>
      </c>
      <c r="L456" s="13" t="str" cm="1">
        <f t="array" ref="L456">_xlfn.IFS(
  OR(ISBLANK(A456),ISBLANK(C456),ISBLANK(J456)),"Missing Value",
  OR(C456&lt;18,C456&gt;120),"Review – Out of Range (Age)",
  J456&lt;0,"Review – Out of Range (Risk Score)",
  TRUE,"OK"
)</f>
        <v>OK</v>
      </c>
    </row>
    <row r="457" spans="1:12" ht="16.8" x14ac:dyDescent="0.3">
      <c r="A457" s="14" t="s">
        <v>965</v>
      </c>
      <c r="B457" s="14" t="s">
        <v>966</v>
      </c>
      <c r="C457" s="14">
        <v>25</v>
      </c>
      <c r="D457" s="14" t="s">
        <v>49</v>
      </c>
      <c r="E457" s="14" t="s">
        <v>58</v>
      </c>
      <c r="F457" s="14" t="s">
        <v>59</v>
      </c>
      <c r="G457" s="14" t="s">
        <v>109</v>
      </c>
      <c r="H457" s="14" t="s">
        <v>46</v>
      </c>
      <c r="I457" s="14" t="s">
        <v>46</v>
      </c>
      <c r="J457" s="14">
        <v>0.54</v>
      </c>
      <c r="K457" s="15">
        <v>43147</v>
      </c>
      <c r="L457" s="13" t="str" cm="1">
        <f t="array" ref="L457">_xlfn.IFS(
  OR(ISBLANK(A457),ISBLANK(C457),ISBLANK(J457)),"Missing Value",
  OR(C457&lt;18,C457&gt;120),"Review – Out of Range (Age)",
  J457&lt;0,"Review – Out of Range (Risk Score)",
  TRUE,"OK"
)</f>
        <v>OK</v>
      </c>
    </row>
    <row r="458" spans="1:12" ht="16.8" x14ac:dyDescent="0.3">
      <c r="A458" s="11" t="s">
        <v>967</v>
      </c>
      <c r="B458" s="11" t="s">
        <v>968</v>
      </c>
      <c r="C458" s="11">
        <v>23</v>
      </c>
      <c r="D458" s="11" t="s">
        <v>41</v>
      </c>
      <c r="E458" s="11" t="s">
        <v>50</v>
      </c>
      <c r="F458" s="11" t="s">
        <v>65</v>
      </c>
      <c r="G458" s="11" t="s">
        <v>60</v>
      </c>
      <c r="H458" s="11" t="s">
        <v>45</v>
      </c>
      <c r="I458" s="11" t="s">
        <v>46</v>
      </c>
      <c r="J458" s="11">
        <v>0.2</v>
      </c>
      <c r="K458" s="12">
        <v>44727</v>
      </c>
      <c r="L458" s="13" t="str" cm="1">
        <f t="array" ref="L458">_xlfn.IFS(
  OR(ISBLANK(A458),ISBLANK(C458),ISBLANK(J458)),"Missing Value",
  OR(C458&lt;18,C458&gt;120),"Review – Out of Range (Age)",
  J458&lt;0,"Review – Out of Range (Risk Score)",
  TRUE,"OK"
)</f>
        <v>OK</v>
      </c>
    </row>
    <row r="459" spans="1:12" ht="16.8" x14ac:dyDescent="0.3">
      <c r="A459" s="14" t="s">
        <v>969</v>
      </c>
      <c r="B459" s="14" t="s">
        <v>970</v>
      </c>
      <c r="C459" s="14">
        <v>57</v>
      </c>
      <c r="D459" s="14" t="s">
        <v>41</v>
      </c>
      <c r="E459" s="14" t="s">
        <v>50</v>
      </c>
      <c r="F459" s="14" t="s">
        <v>65</v>
      </c>
      <c r="G459" s="14" t="s">
        <v>60</v>
      </c>
      <c r="H459" s="14" t="s">
        <v>46</v>
      </c>
      <c r="I459" s="14" t="s">
        <v>45</v>
      </c>
      <c r="J459" s="14">
        <v>0.33</v>
      </c>
      <c r="K459" s="15">
        <v>44070</v>
      </c>
      <c r="L459" s="13" t="str" cm="1">
        <f t="array" ref="L459">_xlfn.IFS(
  OR(ISBLANK(A459),ISBLANK(C459),ISBLANK(J459)),"Missing Value",
  OR(C459&lt;18,C459&gt;120),"Review – Out of Range (Age)",
  J459&lt;0,"Review – Out of Range (Risk Score)",
  TRUE,"OK"
)</f>
        <v>OK</v>
      </c>
    </row>
    <row r="460" spans="1:12" ht="16.8" x14ac:dyDescent="0.3">
      <c r="A460" s="11" t="s">
        <v>971</v>
      </c>
      <c r="B460" s="11" t="s">
        <v>972</v>
      </c>
      <c r="C460" s="11">
        <v>37</v>
      </c>
      <c r="D460" s="11" t="s">
        <v>41</v>
      </c>
      <c r="E460" s="11" t="s">
        <v>50</v>
      </c>
      <c r="F460" s="11" t="s">
        <v>65</v>
      </c>
      <c r="G460" s="11" t="s">
        <v>52</v>
      </c>
      <c r="H460" s="11" t="s">
        <v>45</v>
      </c>
      <c r="I460" s="11" t="s">
        <v>45</v>
      </c>
      <c r="J460" s="11">
        <v>0.48</v>
      </c>
      <c r="K460" s="12">
        <v>45064</v>
      </c>
      <c r="L460" s="13" t="str" cm="1">
        <f t="array" ref="L460">_xlfn.IFS(
  OR(ISBLANK(A460),ISBLANK(C460),ISBLANK(J460)),"Missing Value",
  OR(C460&lt;18,C460&gt;120),"Review – Out of Range (Age)",
  J460&lt;0,"Review – Out of Range (Risk Score)",
  TRUE,"OK"
)</f>
        <v>OK</v>
      </c>
    </row>
    <row r="461" spans="1:12" ht="16.8" x14ac:dyDescent="0.3">
      <c r="A461" s="14" t="s">
        <v>973</v>
      </c>
      <c r="B461" s="14" t="s">
        <v>974</v>
      </c>
      <c r="C461" s="14">
        <v>28</v>
      </c>
      <c r="D461" s="14" t="s">
        <v>49</v>
      </c>
      <c r="E461" s="14" t="s">
        <v>50</v>
      </c>
      <c r="F461" s="14" t="s">
        <v>43</v>
      </c>
      <c r="G461" s="14" t="s">
        <v>55</v>
      </c>
      <c r="H461" s="14" t="s">
        <v>45</v>
      </c>
      <c r="I461" s="14" t="s">
        <v>46</v>
      </c>
      <c r="J461" s="14">
        <v>0.52</v>
      </c>
      <c r="K461" s="15">
        <v>44686</v>
      </c>
      <c r="L461" s="13" t="str" cm="1">
        <f t="array" ref="L461">_xlfn.IFS(
  OR(ISBLANK(A461),ISBLANK(C461),ISBLANK(J461)),"Missing Value",
  OR(C461&lt;18,C461&gt;120),"Review – Out of Range (Age)",
  J461&lt;0,"Review – Out of Range (Risk Score)",
  TRUE,"OK"
)</f>
        <v>OK</v>
      </c>
    </row>
    <row r="462" spans="1:12" ht="16.8" x14ac:dyDescent="0.3">
      <c r="A462" s="11" t="s">
        <v>975</v>
      </c>
      <c r="B462" s="11" t="s">
        <v>976</v>
      </c>
      <c r="C462" s="11">
        <v>31</v>
      </c>
      <c r="D462" s="11" t="s">
        <v>49</v>
      </c>
      <c r="E462" s="11" t="s">
        <v>50</v>
      </c>
      <c r="F462" s="11" t="s">
        <v>43</v>
      </c>
      <c r="G462" s="11" t="s">
        <v>60</v>
      </c>
      <c r="H462" s="11" t="s">
        <v>46</v>
      </c>
      <c r="I462" s="11" t="s">
        <v>45</v>
      </c>
      <c r="J462" s="11">
        <v>0.28000000000000003</v>
      </c>
      <c r="K462" s="12">
        <v>44113</v>
      </c>
      <c r="L462" s="13" t="str" cm="1">
        <f t="array" ref="L462">_xlfn.IFS(
  OR(ISBLANK(A462),ISBLANK(C462),ISBLANK(J462)),"Missing Value",
  OR(C462&lt;18,C462&gt;120),"Review – Out of Range (Age)",
  J462&lt;0,"Review – Out of Range (Risk Score)",
  TRUE,"OK"
)</f>
        <v>OK</v>
      </c>
    </row>
    <row r="463" spans="1:12" ht="16.8" x14ac:dyDescent="0.3">
      <c r="A463" s="14" t="s">
        <v>977</v>
      </c>
      <c r="B463" s="14" t="s">
        <v>978</v>
      </c>
      <c r="C463" s="14">
        <v>50</v>
      </c>
      <c r="D463" s="14" t="s">
        <v>49</v>
      </c>
      <c r="E463" s="14" t="s">
        <v>42</v>
      </c>
      <c r="F463" s="14" t="s">
        <v>51</v>
      </c>
      <c r="G463" s="14" t="s">
        <v>55</v>
      </c>
      <c r="H463" s="14" t="s">
        <v>45</v>
      </c>
      <c r="I463" s="14" t="s">
        <v>45</v>
      </c>
      <c r="J463" s="14">
        <v>0.4</v>
      </c>
      <c r="K463" s="15">
        <v>44901</v>
      </c>
      <c r="L463" s="13" t="str" cm="1">
        <f t="array" ref="L463">_xlfn.IFS(
  OR(ISBLANK(A463),ISBLANK(C463),ISBLANK(J463)),"Missing Value",
  OR(C463&lt;18,C463&gt;120),"Review – Out of Range (Age)",
  J463&lt;0,"Review – Out of Range (Risk Score)",
  TRUE,"OK"
)</f>
        <v>OK</v>
      </c>
    </row>
    <row r="464" spans="1:12" ht="16.8" x14ac:dyDescent="0.3">
      <c r="A464" s="11" t="s">
        <v>979</v>
      </c>
      <c r="B464" s="11" t="s">
        <v>980</v>
      </c>
      <c r="C464" s="11">
        <v>35</v>
      </c>
      <c r="D464" s="11" t="s">
        <v>49</v>
      </c>
      <c r="E464" s="11" t="s">
        <v>58</v>
      </c>
      <c r="F464" s="11" t="s">
        <v>51</v>
      </c>
      <c r="G464" s="11" t="s">
        <v>60</v>
      </c>
      <c r="H464" s="11" t="s">
        <v>45</v>
      </c>
      <c r="I464" s="11" t="s">
        <v>45</v>
      </c>
      <c r="J464" s="11">
        <v>0.38</v>
      </c>
      <c r="K464" s="12">
        <v>45055</v>
      </c>
      <c r="L464" s="13" t="str" cm="1">
        <f t="array" ref="L464">_xlfn.IFS(
  OR(ISBLANK(A464),ISBLANK(C464),ISBLANK(J464)),"Missing Value",
  OR(C464&lt;18,C464&gt;120),"Review – Out of Range (Age)",
  J464&lt;0,"Review – Out of Range (Risk Score)",
  TRUE,"OK"
)</f>
        <v>OK</v>
      </c>
    </row>
    <row r="465" spans="1:12" ht="16.8" x14ac:dyDescent="0.3">
      <c r="A465" s="14" t="s">
        <v>981</v>
      </c>
      <c r="B465" s="14" t="s">
        <v>982</v>
      </c>
      <c r="C465" s="14">
        <v>58</v>
      </c>
      <c r="D465" s="14" t="s">
        <v>41</v>
      </c>
      <c r="E465" s="14" t="s">
        <v>50</v>
      </c>
      <c r="F465" s="14" t="s">
        <v>51</v>
      </c>
      <c r="G465" s="14" t="s">
        <v>109</v>
      </c>
      <c r="H465" s="14" t="s">
        <v>46</v>
      </c>
      <c r="I465" s="14" t="s">
        <v>46</v>
      </c>
      <c r="J465" s="14">
        <v>0.36</v>
      </c>
      <c r="K465" s="15">
        <v>43781</v>
      </c>
      <c r="L465" s="13" t="str" cm="1">
        <f t="array" ref="L465">_xlfn.IFS(
  OR(ISBLANK(A465),ISBLANK(C465),ISBLANK(J465)),"Missing Value",
  OR(C465&lt;18,C465&gt;120),"Review – Out of Range (Age)",
  J465&lt;0,"Review – Out of Range (Risk Score)",
  TRUE,"OK"
)</f>
        <v>OK</v>
      </c>
    </row>
    <row r="466" spans="1:12" ht="16.8" x14ac:dyDescent="0.3">
      <c r="A466" s="11" t="s">
        <v>983</v>
      </c>
      <c r="B466" s="11" t="s">
        <v>984</v>
      </c>
      <c r="C466" s="11">
        <v>35</v>
      </c>
      <c r="D466" s="11" t="s">
        <v>49</v>
      </c>
      <c r="E466" s="11" t="s">
        <v>50</v>
      </c>
      <c r="F466" s="11" t="s">
        <v>65</v>
      </c>
      <c r="G466" s="11" t="s">
        <v>94</v>
      </c>
      <c r="H466" s="11" t="s">
        <v>46</v>
      </c>
      <c r="I466" s="11" t="s">
        <v>45</v>
      </c>
      <c r="J466" s="11">
        <v>0.68</v>
      </c>
      <c r="K466" s="12">
        <v>43363</v>
      </c>
      <c r="L466" s="13" t="str" cm="1">
        <f t="array" ref="L466">_xlfn.IFS(
  OR(ISBLANK(A466),ISBLANK(C466),ISBLANK(J466)),"Missing Value",
  OR(C466&lt;18,C466&gt;120),"Review – Out of Range (Age)",
  J466&lt;0,"Review – Out of Range (Risk Score)",
  TRUE,"OK"
)</f>
        <v>OK</v>
      </c>
    </row>
    <row r="467" spans="1:12" ht="16.8" x14ac:dyDescent="0.3">
      <c r="A467" s="14" t="s">
        <v>985</v>
      </c>
      <c r="B467" s="14" t="s">
        <v>986</v>
      </c>
      <c r="C467" s="14">
        <v>42</v>
      </c>
      <c r="D467" s="14" t="s">
        <v>49</v>
      </c>
      <c r="E467" s="14" t="s">
        <v>42</v>
      </c>
      <c r="F467" s="14" t="s">
        <v>65</v>
      </c>
      <c r="G467" s="14" t="s">
        <v>55</v>
      </c>
      <c r="H467" s="14" t="s">
        <v>45</v>
      </c>
      <c r="I467" s="14" t="s">
        <v>45</v>
      </c>
      <c r="J467" s="14">
        <v>0.76</v>
      </c>
      <c r="K467" s="15">
        <v>44607</v>
      </c>
      <c r="L467" s="13" t="str" cm="1">
        <f t="array" ref="L467">_xlfn.IFS(
  OR(ISBLANK(A467),ISBLANK(C467),ISBLANK(J467)),"Missing Value",
  OR(C467&lt;18,C467&gt;120),"Review – Out of Range (Age)",
  J467&lt;0,"Review – Out of Range (Risk Score)",
  TRUE,"OK"
)</f>
        <v>OK</v>
      </c>
    </row>
    <row r="468" spans="1:12" ht="16.8" x14ac:dyDescent="0.3">
      <c r="A468" s="11" t="s">
        <v>987</v>
      </c>
      <c r="B468" s="11" t="s">
        <v>988</v>
      </c>
      <c r="C468" s="11">
        <v>30</v>
      </c>
      <c r="D468" s="11" t="s">
        <v>49</v>
      </c>
      <c r="E468" s="11" t="s">
        <v>42</v>
      </c>
      <c r="F468" s="11" t="s">
        <v>51</v>
      </c>
      <c r="G468" s="11" t="s">
        <v>109</v>
      </c>
      <c r="H468" s="11" t="s">
        <v>45</v>
      </c>
      <c r="I468" s="11" t="s">
        <v>45</v>
      </c>
      <c r="J468" s="11">
        <v>0.38</v>
      </c>
      <c r="K468" s="12">
        <v>44753</v>
      </c>
      <c r="L468" s="13" t="str" cm="1">
        <f t="array" ref="L468">_xlfn.IFS(
  OR(ISBLANK(A468),ISBLANK(C468),ISBLANK(J468)),"Missing Value",
  OR(C468&lt;18,C468&gt;120),"Review – Out of Range (Age)",
  J468&lt;0,"Review – Out of Range (Risk Score)",
  TRUE,"OK"
)</f>
        <v>OK</v>
      </c>
    </row>
    <row r="469" spans="1:12" ht="16.8" x14ac:dyDescent="0.3">
      <c r="A469" s="14" t="s">
        <v>989</v>
      </c>
      <c r="B469" s="14" t="s">
        <v>990</v>
      </c>
      <c r="C469" s="14">
        <v>51</v>
      </c>
      <c r="D469" s="14" t="s">
        <v>49</v>
      </c>
      <c r="E469" s="14" t="s">
        <v>42</v>
      </c>
      <c r="F469" s="14" t="s">
        <v>43</v>
      </c>
      <c r="G469" s="14" t="s">
        <v>55</v>
      </c>
      <c r="H469" s="14" t="s">
        <v>45</v>
      </c>
      <c r="I469" s="14" t="s">
        <v>45</v>
      </c>
      <c r="J469" s="14">
        <v>0.83</v>
      </c>
      <c r="K469" s="15">
        <v>44146</v>
      </c>
      <c r="L469" s="13" t="str" cm="1">
        <f t="array" ref="L469">_xlfn.IFS(
  OR(ISBLANK(A469),ISBLANK(C469),ISBLANK(J469)),"Missing Value",
  OR(C469&lt;18,C469&gt;120),"Review – Out of Range (Age)",
  J469&lt;0,"Review – Out of Range (Risk Score)",
  TRUE,"OK"
)</f>
        <v>OK</v>
      </c>
    </row>
    <row r="470" spans="1:12" ht="16.8" x14ac:dyDescent="0.3">
      <c r="A470" s="11" t="s">
        <v>991</v>
      </c>
      <c r="B470" s="11" t="s">
        <v>992</v>
      </c>
      <c r="C470" s="11">
        <v>19</v>
      </c>
      <c r="D470" s="11" t="s">
        <v>41</v>
      </c>
      <c r="E470" s="11" t="s">
        <v>58</v>
      </c>
      <c r="F470" s="11" t="s">
        <v>65</v>
      </c>
      <c r="G470" s="11" t="s">
        <v>55</v>
      </c>
      <c r="H470" s="11" t="s">
        <v>46</v>
      </c>
      <c r="I470" s="11" t="s">
        <v>46</v>
      </c>
      <c r="J470" s="11">
        <v>0.55000000000000004</v>
      </c>
      <c r="K470" s="12">
        <v>44214</v>
      </c>
      <c r="L470" s="13" t="str" cm="1">
        <f t="array" ref="L470">_xlfn.IFS(
  OR(ISBLANK(A470),ISBLANK(C470),ISBLANK(J470)),"Missing Value",
  OR(C470&lt;18,C470&gt;120),"Review – Out of Range (Age)",
  J470&lt;0,"Review – Out of Range (Risk Score)",
  TRUE,"OK"
)</f>
        <v>OK</v>
      </c>
    </row>
    <row r="471" spans="1:12" ht="16.8" x14ac:dyDescent="0.3">
      <c r="A471" s="14" t="s">
        <v>993</v>
      </c>
      <c r="B471" s="14" t="s">
        <v>994</v>
      </c>
      <c r="C471" s="14">
        <v>58</v>
      </c>
      <c r="D471" s="14" t="s">
        <v>41</v>
      </c>
      <c r="E471" s="14" t="s">
        <v>58</v>
      </c>
      <c r="F471" s="14" t="s">
        <v>65</v>
      </c>
      <c r="G471" s="14" t="s">
        <v>44</v>
      </c>
      <c r="H471" s="14" t="s">
        <v>46</v>
      </c>
      <c r="I471" s="14" t="s">
        <v>46</v>
      </c>
      <c r="J471" s="14">
        <v>0.28999999999999998</v>
      </c>
      <c r="K471" s="15">
        <v>44077</v>
      </c>
      <c r="L471" s="13" t="str" cm="1">
        <f t="array" ref="L471">_xlfn.IFS(
  OR(ISBLANK(A471),ISBLANK(C471),ISBLANK(J471)),"Missing Value",
  OR(C471&lt;18,C471&gt;120),"Review – Out of Range (Age)",
  J471&lt;0,"Review – Out of Range (Risk Score)",
  TRUE,"OK"
)</f>
        <v>OK</v>
      </c>
    </row>
    <row r="472" spans="1:12" ht="16.8" x14ac:dyDescent="0.3">
      <c r="A472" s="11" t="s">
        <v>995</v>
      </c>
      <c r="B472" s="11" t="s">
        <v>996</v>
      </c>
      <c r="C472" s="11">
        <v>69</v>
      </c>
      <c r="D472" s="11" t="s">
        <v>49</v>
      </c>
      <c r="E472" s="11" t="s">
        <v>50</v>
      </c>
      <c r="F472" s="11" t="s">
        <v>65</v>
      </c>
      <c r="G472" s="11" t="s">
        <v>60</v>
      </c>
      <c r="H472" s="11" t="s">
        <v>45</v>
      </c>
      <c r="I472" s="11" t="s">
        <v>46</v>
      </c>
      <c r="J472" s="11">
        <v>0.95</v>
      </c>
      <c r="K472" s="12">
        <v>44196</v>
      </c>
      <c r="L472" s="13" t="str" cm="1">
        <f t="array" ref="L472">_xlfn.IFS(
  OR(ISBLANK(A472),ISBLANK(C472),ISBLANK(J472)),"Missing Value",
  OR(C472&lt;18,C472&gt;120),"Review – Out of Range (Age)",
  J472&lt;0,"Review – Out of Range (Risk Score)",
  TRUE,"OK"
)</f>
        <v>OK</v>
      </c>
    </row>
    <row r="473" spans="1:12" ht="16.8" x14ac:dyDescent="0.3">
      <c r="A473" s="14" t="s">
        <v>997</v>
      </c>
      <c r="B473" s="14" t="s">
        <v>998</v>
      </c>
      <c r="C473" s="14">
        <v>41</v>
      </c>
      <c r="D473" s="14" t="s">
        <v>49</v>
      </c>
      <c r="E473" s="14" t="s">
        <v>50</v>
      </c>
      <c r="F473" s="14" t="s">
        <v>43</v>
      </c>
      <c r="G473" s="14" t="s">
        <v>109</v>
      </c>
      <c r="H473" s="14" t="s">
        <v>46</v>
      </c>
      <c r="I473" s="14" t="s">
        <v>45</v>
      </c>
      <c r="J473" s="14">
        <v>0.34</v>
      </c>
      <c r="K473" s="15">
        <v>43571</v>
      </c>
      <c r="L473" s="13" t="str" cm="1">
        <f t="array" ref="L473">_xlfn.IFS(
  OR(ISBLANK(A473),ISBLANK(C473),ISBLANK(J473)),"Missing Value",
  OR(C473&lt;18,C473&gt;120),"Review – Out of Range (Age)",
  J473&lt;0,"Review – Out of Range (Risk Score)",
  TRUE,"OK"
)</f>
        <v>OK</v>
      </c>
    </row>
    <row r="474" spans="1:12" ht="16.8" x14ac:dyDescent="0.3">
      <c r="A474" s="11" t="s">
        <v>999</v>
      </c>
      <c r="B474" s="11" t="s">
        <v>1000</v>
      </c>
      <c r="C474" s="11">
        <v>29</v>
      </c>
      <c r="D474" s="11" t="s">
        <v>49</v>
      </c>
      <c r="E474" s="11" t="s">
        <v>50</v>
      </c>
      <c r="F474" s="11" t="s">
        <v>43</v>
      </c>
      <c r="G474" s="11" t="s">
        <v>44</v>
      </c>
      <c r="H474" s="11" t="s">
        <v>46</v>
      </c>
      <c r="I474" s="11" t="s">
        <v>45</v>
      </c>
      <c r="J474" s="11">
        <v>1</v>
      </c>
      <c r="K474" s="12">
        <v>43899</v>
      </c>
      <c r="L474" s="13" t="str" cm="1">
        <f t="array" ref="L474">_xlfn.IFS(
  OR(ISBLANK(A474),ISBLANK(C474),ISBLANK(J474)),"Missing Value",
  OR(C474&lt;18,C474&gt;120),"Review – Out of Range (Age)",
  J474&lt;0,"Review – Out of Range (Risk Score)",
  TRUE,"OK"
)</f>
        <v>OK</v>
      </c>
    </row>
    <row r="475" spans="1:12" ht="16.8" x14ac:dyDescent="0.3">
      <c r="A475" s="14" t="s">
        <v>1001</v>
      </c>
      <c r="B475" s="14" t="s">
        <v>1002</v>
      </c>
      <c r="C475" s="14">
        <v>38</v>
      </c>
      <c r="D475" s="14" t="s">
        <v>49</v>
      </c>
      <c r="E475" s="14" t="s">
        <v>42</v>
      </c>
      <c r="F475" s="14" t="s">
        <v>51</v>
      </c>
      <c r="G475" s="14" t="s">
        <v>44</v>
      </c>
      <c r="H475" s="14" t="s">
        <v>45</v>
      </c>
      <c r="I475" s="14" t="s">
        <v>46</v>
      </c>
      <c r="J475" s="14">
        <v>0.78</v>
      </c>
      <c r="K475" s="15">
        <v>43183</v>
      </c>
      <c r="L475" s="13" t="str" cm="1">
        <f t="array" ref="L475">_xlfn.IFS(
  OR(ISBLANK(A475),ISBLANK(C475),ISBLANK(J475)),"Missing Value",
  OR(C475&lt;18,C475&gt;120),"Review – Out of Range (Age)",
  J475&lt;0,"Review – Out of Range (Risk Score)",
  TRUE,"OK"
)</f>
        <v>OK</v>
      </c>
    </row>
    <row r="476" spans="1:12" ht="16.8" x14ac:dyDescent="0.3">
      <c r="A476" s="11" t="s">
        <v>1003</v>
      </c>
      <c r="B476" s="11" t="s">
        <v>1004</v>
      </c>
      <c r="C476" s="11">
        <v>40</v>
      </c>
      <c r="D476" s="11" t="s">
        <v>49</v>
      </c>
      <c r="E476" s="11" t="s">
        <v>42</v>
      </c>
      <c r="F476" s="11" t="s">
        <v>59</v>
      </c>
      <c r="G476" s="11" t="s">
        <v>55</v>
      </c>
      <c r="H476" s="11" t="s">
        <v>45</v>
      </c>
      <c r="I476" s="11" t="s">
        <v>45</v>
      </c>
      <c r="J476" s="11">
        <v>0.73</v>
      </c>
      <c r="K476" s="12">
        <v>45125</v>
      </c>
      <c r="L476" s="13" t="str" cm="1">
        <f t="array" ref="L476">_xlfn.IFS(
  OR(ISBLANK(A476),ISBLANK(C476),ISBLANK(J476)),"Missing Value",
  OR(C476&lt;18,C476&gt;120),"Review – Out of Range (Age)",
  J476&lt;0,"Review – Out of Range (Risk Score)",
  TRUE,"OK"
)</f>
        <v>OK</v>
      </c>
    </row>
    <row r="477" spans="1:12" ht="16.8" x14ac:dyDescent="0.3">
      <c r="A477" s="14" t="s">
        <v>1005</v>
      </c>
      <c r="B477" s="14" t="s">
        <v>1006</v>
      </c>
      <c r="C477" s="14">
        <v>45</v>
      </c>
      <c r="D477" s="14" t="s">
        <v>49</v>
      </c>
      <c r="E477" s="14" t="s">
        <v>58</v>
      </c>
      <c r="F477" s="14" t="s">
        <v>59</v>
      </c>
      <c r="G477" s="14" t="s">
        <v>44</v>
      </c>
      <c r="H477" s="14" t="s">
        <v>46</v>
      </c>
      <c r="I477" s="14" t="s">
        <v>45</v>
      </c>
      <c r="J477" s="14">
        <v>0.23</v>
      </c>
      <c r="K477" s="15">
        <v>43553</v>
      </c>
      <c r="L477" s="13" t="str" cm="1">
        <f t="array" ref="L477">_xlfn.IFS(
  OR(ISBLANK(A477),ISBLANK(C477),ISBLANK(J477)),"Missing Value",
  OR(C477&lt;18,C477&gt;120),"Review – Out of Range (Age)",
  J477&lt;0,"Review – Out of Range (Risk Score)",
  TRUE,"OK"
)</f>
        <v>OK</v>
      </c>
    </row>
    <row r="478" spans="1:12" ht="16.8" x14ac:dyDescent="0.3">
      <c r="A478" s="11" t="s">
        <v>1007</v>
      </c>
      <c r="B478" s="11" t="s">
        <v>1008</v>
      </c>
      <c r="C478" s="11">
        <v>25</v>
      </c>
      <c r="D478" s="11" t="s">
        <v>41</v>
      </c>
      <c r="E478" s="11" t="s">
        <v>58</v>
      </c>
      <c r="F478" s="11" t="s">
        <v>43</v>
      </c>
      <c r="G478" s="11" t="s">
        <v>55</v>
      </c>
      <c r="H478" s="11" t="s">
        <v>45</v>
      </c>
      <c r="I478" s="11" t="s">
        <v>45</v>
      </c>
      <c r="J478" s="11">
        <v>0.36</v>
      </c>
      <c r="K478" s="12">
        <v>43973</v>
      </c>
      <c r="L478" s="13" t="str" cm="1">
        <f t="array" ref="L478">_xlfn.IFS(
  OR(ISBLANK(A478),ISBLANK(C478),ISBLANK(J478)),"Missing Value",
  OR(C478&lt;18,C478&gt;120),"Review – Out of Range (Age)",
  J478&lt;0,"Review – Out of Range (Risk Score)",
  TRUE,"OK"
)</f>
        <v>OK</v>
      </c>
    </row>
    <row r="479" spans="1:12" ht="16.8" x14ac:dyDescent="0.3">
      <c r="A479" s="14" t="s">
        <v>1009</v>
      </c>
      <c r="B479" s="14" t="s">
        <v>1010</v>
      </c>
      <c r="C479" s="14">
        <v>66</v>
      </c>
      <c r="D479" s="14" t="s">
        <v>41</v>
      </c>
      <c r="E479" s="14" t="s">
        <v>50</v>
      </c>
      <c r="F479" s="14" t="s">
        <v>65</v>
      </c>
      <c r="G479" s="14" t="s">
        <v>60</v>
      </c>
      <c r="H479" s="14" t="s">
        <v>46</v>
      </c>
      <c r="I479" s="14" t="s">
        <v>45</v>
      </c>
      <c r="J479" s="14">
        <v>0.48</v>
      </c>
      <c r="K479" s="15">
        <v>44768</v>
      </c>
      <c r="L479" s="13" t="str" cm="1">
        <f t="array" ref="L479">_xlfn.IFS(
  OR(ISBLANK(A479),ISBLANK(C479),ISBLANK(J479)),"Missing Value",
  OR(C479&lt;18,C479&gt;120),"Review – Out of Range (Age)",
  J479&lt;0,"Review – Out of Range (Risk Score)",
  TRUE,"OK"
)</f>
        <v>OK</v>
      </c>
    </row>
    <row r="480" spans="1:12" ht="16.8" x14ac:dyDescent="0.3">
      <c r="A480" s="11" t="s">
        <v>1011</v>
      </c>
      <c r="B480" s="11" t="s">
        <v>1012</v>
      </c>
      <c r="C480" s="11">
        <v>38</v>
      </c>
      <c r="D480" s="11" t="s">
        <v>49</v>
      </c>
      <c r="E480" s="11" t="s">
        <v>58</v>
      </c>
      <c r="F480" s="11" t="s">
        <v>59</v>
      </c>
      <c r="G480" s="11" t="s">
        <v>60</v>
      </c>
      <c r="H480" s="11" t="s">
        <v>45</v>
      </c>
      <c r="I480" s="11" t="s">
        <v>46</v>
      </c>
      <c r="J480" s="11">
        <v>0.43</v>
      </c>
      <c r="K480" s="12">
        <v>43690</v>
      </c>
      <c r="L480" s="13" t="str" cm="1">
        <f t="array" ref="L480">_xlfn.IFS(
  OR(ISBLANK(A480),ISBLANK(C480),ISBLANK(J480)),"Missing Value",
  OR(C480&lt;18,C480&gt;120),"Review – Out of Range (Age)",
  J480&lt;0,"Review – Out of Range (Risk Score)",
  TRUE,"OK"
)</f>
        <v>OK</v>
      </c>
    </row>
    <row r="481" spans="1:12" ht="16.8" x14ac:dyDescent="0.3">
      <c r="A481" s="14" t="s">
        <v>1013</v>
      </c>
      <c r="B481" s="14" t="s">
        <v>1014</v>
      </c>
      <c r="C481" s="14">
        <v>27</v>
      </c>
      <c r="D481" s="14" t="s">
        <v>49</v>
      </c>
      <c r="E481" s="14" t="s">
        <v>50</v>
      </c>
      <c r="F481" s="14" t="s">
        <v>65</v>
      </c>
      <c r="G481" s="14" t="s">
        <v>44</v>
      </c>
      <c r="H481" s="14" t="s">
        <v>45</v>
      </c>
      <c r="I481" s="14" t="s">
        <v>45</v>
      </c>
      <c r="J481" s="14">
        <v>0.55000000000000004</v>
      </c>
      <c r="K481" s="15">
        <v>43617</v>
      </c>
      <c r="L481" s="13" t="str" cm="1">
        <f t="array" ref="L481">_xlfn.IFS(
  OR(ISBLANK(A481),ISBLANK(C481),ISBLANK(J481)),"Missing Value",
  OR(C481&lt;18,C481&gt;120),"Review – Out of Range (Age)",
  J481&lt;0,"Review – Out of Range (Risk Score)",
  TRUE,"OK"
)</f>
        <v>OK</v>
      </c>
    </row>
    <row r="482" spans="1:12" ht="16.8" x14ac:dyDescent="0.3">
      <c r="A482" s="11" t="s">
        <v>1015</v>
      </c>
      <c r="B482" s="11" t="s">
        <v>1016</v>
      </c>
      <c r="C482" s="11">
        <v>35</v>
      </c>
      <c r="D482" s="11" t="s">
        <v>49</v>
      </c>
      <c r="E482" s="11" t="s">
        <v>58</v>
      </c>
      <c r="F482" s="11" t="s">
        <v>51</v>
      </c>
      <c r="G482" s="11" t="s">
        <v>52</v>
      </c>
      <c r="H482" s="11" t="s">
        <v>45</v>
      </c>
      <c r="I482" s="11" t="s">
        <v>45</v>
      </c>
      <c r="J482" s="11">
        <v>0.6</v>
      </c>
      <c r="K482" s="12">
        <v>45199</v>
      </c>
      <c r="L482" s="13" t="str" cm="1">
        <f t="array" ref="L482">_xlfn.IFS(
  OR(ISBLANK(A482),ISBLANK(C482),ISBLANK(J482)),"Missing Value",
  OR(C482&lt;18,C482&gt;120),"Review – Out of Range (Age)",
  J482&lt;0,"Review – Out of Range (Risk Score)",
  TRUE,"OK"
)</f>
        <v>OK</v>
      </c>
    </row>
    <row r="483" spans="1:12" ht="16.8" x14ac:dyDescent="0.3">
      <c r="A483" s="14" t="s">
        <v>1017</v>
      </c>
      <c r="B483" s="14" t="s">
        <v>1018</v>
      </c>
      <c r="C483" s="14">
        <v>63</v>
      </c>
      <c r="D483" s="14" t="s">
        <v>49</v>
      </c>
      <c r="E483" s="14" t="s">
        <v>42</v>
      </c>
      <c r="F483" s="14" t="s">
        <v>59</v>
      </c>
      <c r="G483" s="14" t="s">
        <v>52</v>
      </c>
      <c r="H483" s="14" t="s">
        <v>46</v>
      </c>
      <c r="I483" s="14" t="s">
        <v>45</v>
      </c>
      <c r="J483" s="14">
        <v>0.36</v>
      </c>
      <c r="K483" s="15">
        <v>44028</v>
      </c>
      <c r="L483" s="13" t="str" cm="1">
        <f t="array" ref="L483">_xlfn.IFS(
  OR(ISBLANK(A483),ISBLANK(C483),ISBLANK(J483)),"Missing Value",
  OR(C483&lt;18,C483&gt;120),"Review – Out of Range (Age)",
  J483&lt;0,"Review – Out of Range (Risk Score)",
  TRUE,"OK"
)</f>
        <v>OK</v>
      </c>
    </row>
    <row r="484" spans="1:12" ht="16.8" x14ac:dyDescent="0.3">
      <c r="A484" s="11" t="s">
        <v>1019</v>
      </c>
      <c r="B484" s="11" t="s">
        <v>1020</v>
      </c>
      <c r="C484" s="11">
        <v>67</v>
      </c>
      <c r="D484" s="11" t="s">
        <v>41</v>
      </c>
      <c r="E484" s="11" t="s">
        <v>42</v>
      </c>
      <c r="F484" s="11" t="s">
        <v>59</v>
      </c>
      <c r="G484" s="11" t="s">
        <v>94</v>
      </c>
      <c r="H484" s="11" t="s">
        <v>46</v>
      </c>
      <c r="I484" s="11" t="s">
        <v>45</v>
      </c>
      <c r="J484" s="11">
        <v>0.6</v>
      </c>
      <c r="K484" s="12">
        <v>44673</v>
      </c>
      <c r="L484" s="13" t="str" cm="1">
        <f t="array" ref="L484">_xlfn.IFS(
  OR(ISBLANK(A484),ISBLANK(C484),ISBLANK(J484)),"Missing Value",
  OR(C484&lt;18,C484&gt;120),"Review – Out of Range (Age)",
  J484&lt;0,"Review – Out of Range (Risk Score)",
  TRUE,"OK"
)</f>
        <v>OK</v>
      </c>
    </row>
    <row r="485" spans="1:12" ht="16.8" x14ac:dyDescent="0.3">
      <c r="A485" s="14" t="s">
        <v>1021</v>
      </c>
      <c r="B485" s="14" t="s">
        <v>1022</v>
      </c>
      <c r="C485" s="14">
        <v>23</v>
      </c>
      <c r="D485" s="14" t="s">
        <v>49</v>
      </c>
      <c r="E485" s="14" t="s">
        <v>58</v>
      </c>
      <c r="F485" s="14" t="s">
        <v>43</v>
      </c>
      <c r="G485" s="14" t="s">
        <v>52</v>
      </c>
      <c r="H485" s="14" t="s">
        <v>45</v>
      </c>
      <c r="I485" s="14" t="s">
        <v>46</v>
      </c>
      <c r="J485" s="14">
        <v>0.42</v>
      </c>
      <c r="K485" s="15">
        <v>44429</v>
      </c>
      <c r="L485" s="13" t="str" cm="1">
        <f t="array" ref="L485">_xlfn.IFS(
  OR(ISBLANK(A485),ISBLANK(C485),ISBLANK(J485)),"Missing Value",
  OR(C485&lt;18,C485&gt;120),"Review – Out of Range (Age)",
  J485&lt;0,"Review – Out of Range (Risk Score)",
  TRUE,"OK"
)</f>
        <v>OK</v>
      </c>
    </row>
    <row r="486" spans="1:12" ht="16.8" x14ac:dyDescent="0.3">
      <c r="A486" s="11" t="s">
        <v>1023</v>
      </c>
      <c r="B486" s="11" t="s">
        <v>1024</v>
      </c>
      <c r="C486" s="11">
        <v>36</v>
      </c>
      <c r="D486" s="11" t="s">
        <v>41</v>
      </c>
      <c r="E486" s="11" t="s">
        <v>50</v>
      </c>
      <c r="F486" s="11" t="s">
        <v>59</v>
      </c>
      <c r="G486" s="11" t="s">
        <v>52</v>
      </c>
      <c r="H486" s="11" t="s">
        <v>46</v>
      </c>
      <c r="I486" s="11" t="s">
        <v>46</v>
      </c>
      <c r="J486" s="11">
        <v>0.5</v>
      </c>
      <c r="K486" s="12">
        <v>44788</v>
      </c>
      <c r="L486" s="13" t="str" cm="1">
        <f t="array" ref="L486">_xlfn.IFS(
  OR(ISBLANK(A486),ISBLANK(C486),ISBLANK(J486)),"Missing Value",
  OR(C486&lt;18,C486&gt;120),"Review – Out of Range (Age)",
  J486&lt;0,"Review – Out of Range (Risk Score)",
  TRUE,"OK"
)</f>
        <v>OK</v>
      </c>
    </row>
    <row r="487" spans="1:12" ht="16.8" x14ac:dyDescent="0.3">
      <c r="A487" s="14" t="s">
        <v>1025</v>
      </c>
      <c r="B487" s="14" t="s">
        <v>1026</v>
      </c>
      <c r="C487" s="14">
        <v>26</v>
      </c>
      <c r="D487" s="14" t="s">
        <v>49</v>
      </c>
      <c r="E487" s="14" t="s">
        <v>42</v>
      </c>
      <c r="F487" s="14" t="s">
        <v>65</v>
      </c>
      <c r="G487" s="14" t="s">
        <v>60</v>
      </c>
      <c r="H487" s="14" t="s">
        <v>46</v>
      </c>
      <c r="I487" s="14" t="s">
        <v>45</v>
      </c>
      <c r="J487" s="14">
        <v>0.75</v>
      </c>
      <c r="K487" s="15">
        <v>43401</v>
      </c>
      <c r="L487" s="13" t="str" cm="1">
        <f t="array" ref="L487">_xlfn.IFS(
  OR(ISBLANK(A487),ISBLANK(C487),ISBLANK(J487)),"Missing Value",
  OR(C487&lt;18,C487&gt;120),"Review – Out of Range (Age)",
  J487&lt;0,"Review – Out of Range (Risk Score)",
  TRUE,"OK"
)</f>
        <v>OK</v>
      </c>
    </row>
    <row r="488" spans="1:12" ht="16.8" x14ac:dyDescent="0.3">
      <c r="A488" s="11" t="s">
        <v>1027</v>
      </c>
      <c r="B488" s="11" t="s">
        <v>1028</v>
      </c>
      <c r="C488" s="11">
        <v>65</v>
      </c>
      <c r="D488" s="11" t="s">
        <v>49</v>
      </c>
      <c r="E488" s="11" t="s">
        <v>50</v>
      </c>
      <c r="F488" s="11" t="s">
        <v>51</v>
      </c>
      <c r="G488" s="11" t="s">
        <v>52</v>
      </c>
      <c r="H488" s="11" t="s">
        <v>46</v>
      </c>
      <c r="I488" s="11" t="s">
        <v>46</v>
      </c>
      <c r="J488" s="11">
        <v>0.39</v>
      </c>
      <c r="K488" s="12">
        <v>45228</v>
      </c>
      <c r="L488" s="13" t="str" cm="1">
        <f t="array" ref="L488">_xlfn.IFS(
  OR(ISBLANK(A488),ISBLANK(C488),ISBLANK(J488)),"Missing Value",
  OR(C488&lt;18,C488&gt;120),"Review – Out of Range (Age)",
  J488&lt;0,"Review – Out of Range (Risk Score)",
  TRUE,"OK"
)</f>
        <v>OK</v>
      </c>
    </row>
    <row r="489" spans="1:12" ht="16.8" x14ac:dyDescent="0.3">
      <c r="A489" s="14" t="s">
        <v>1029</v>
      </c>
      <c r="B489" s="14" t="s">
        <v>1030</v>
      </c>
      <c r="C489" s="14">
        <v>42</v>
      </c>
      <c r="D489" s="14" t="s">
        <v>41</v>
      </c>
      <c r="E489" s="14" t="s">
        <v>58</v>
      </c>
      <c r="F489" s="14" t="s">
        <v>43</v>
      </c>
      <c r="G489" s="14" t="s">
        <v>60</v>
      </c>
      <c r="H489" s="14" t="s">
        <v>46</v>
      </c>
      <c r="I489" s="14" t="s">
        <v>46</v>
      </c>
      <c r="J489" s="14">
        <v>0.57999999999999996</v>
      </c>
      <c r="K489" s="15">
        <v>44016</v>
      </c>
      <c r="L489" s="13" t="str" cm="1">
        <f t="array" ref="L489">_xlfn.IFS(
  OR(ISBLANK(A489),ISBLANK(C489),ISBLANK(J489)),"Missing Value",
  OR(C489&lt;18,C489&gt;120),"Review – Out of Range (Age)",
  J489&lt;0,"Review – Out of Range (Risk Score)",
  TRUE,"OK"
)</f>
        <v>OK</v>
      </c>
    </row>
    <row r="490" spans="1:12" ht="16.8" x14ac:dyDescent="0.3">
      <c r="A490" s="11" t="s">
        <v>1031</v>
      </c>
      <c r="B490" s="11" t="s">
        <v>1032</v>
      </c>
      <c r="C490" s="11">
        <v>21</v>
      </c>
      <c r="D490" s="11" t="s">
        <v>49</v>
      </c>
      <c r="E490" s="11" t="s">
        <v>58</v>
      </c>
      <c r="F490" s="11" t="s">
        <v>43</v>
      </c>
      <c r="G490" s="11" t="s">
        <v>52</v>
      </c>
      <c r="H490" s="11" t="s">
        <v>45</v>
      </c>
      <c r="I490" s="11" t="s">
        <v>45</v>
      </c>
      <c r="J490" s="11">
        <v>0.32</v>
      </c>
      <c r="K490" s="12">
        <v>44625</v>
      </c>
      <c r="L490" s="13" t="str" cm="1">
        <f t="array" ref="L490">_xlfn.IFS(
  OR(ISBLANK(A490),ISBLANK(C490),ISBLANK(J490)),"Missing Value",
  OR(C490&lt;18,C490&gt;120),"Review – Out of Range (Age)",
  J490&lt;0,"Review – Out of Range (Risk Score)",
  TRUE,"OK"
)</f>
        <v>OK</v>
      </c>
    </row>
    <row r="491" spans="1:12" ht="16.8" x14ac:dyDescent="0.3">
      <c r="A491" s="14" t="s">
        <v>1033</v>
      </c>
      <c r="B491" s="14" t="s">
        <v>1034</v>
      </c>
      <c r="C491" s="14">
        <v>37</v>
      </c>
      <c r="D491" s="14" t="s">
        <v>41</v>
      </c>
      <c r="E491" s="14" t="s">
        <v>50</v>
      </c>
      <c r="F491" s="14" t="s">
        <v>65</v>
      </c>
      <c r="G491" s="14" t="s">
        <v>94</v>
      </c>
      <c r="H491" s="14" t="s">
        <v>45</v>
      </c>
      <c r="I491" s="14" t="s">
        <v>45</v>
      </c>
      <c r="J491" s="14">
        <v>0.51</v>
      </c>
      <c r="K491" s="15">
        <v>43135</v>
      </c>
      <c r="L491" s="13" t="str" cm="1">
        <f t="array" ref="L491">_xlfn.IFS(
  OR(ISBLANK(A491),ISBLANK(C491),ISBLANK(J491)),"Missing Value",
  OR(C491&lt;18,C491&gt;120),"Review – Out of Range (Age)",
  J491&lt;0,"Review – Out of Range (Risk Score)",
  TRUE,"OK"
)</f>
        <v>OK</v>
      </c>
    </row>
    <row r="492" spans="1:12" ht="16.8" x14ac:dyDescent="0.3">
      <c r="A492" s="11" t="s">
        <v>1035</v>
      </c>
      <c r="B492" s="11" t="s">
        <v>1036</v>
      </c>
      <c r="C492" s="11">
        <v>22</v>
      </c>
      <c r="D492" s="11" t="s">
        <v>49</v>
      </c>
      <c r="E492" s="11" t="s">
        <v>42</v>
      </c>
      <c r="F492" s="11" t="s">
        <v>65</v>
      </c>
      <c r="G492" s="11" t="s">
        <v>55</v>
      </c>
      <c r="H492" s="11" t="s">
        <v>45</v>
      </c>
      <c r="I492" s="11" t="s">
        <v>45</v>
      </c>
      <c r="J492" s="11">
        <v>0.69</v>
      </c>
      <c r="K492" s="12">
        <v>44194</v>
      </c>
      <c r="L492" s="13" t="str" cm="1">
        <f t="array" ref="L492">_xlfn.IFS(
  OR(ISBLANK(A492),ISBLANK(C492),ISBLANK(J492)),"Missing Value",
  OR(C492&lt;18,C492&gt;120),"Review – Out of Range (Age)",
  J492&lt;0,"Review – Out of Range (Risk Score)",
  TRUE,"OK"
)</f>
        <v>OK</v>
      </c>
    </row>
    <row r="493" spans="1:12" ht="16.8" x14ac:dyDescent="0.3">
      <c r="A493" s="14" t="s">
        <v>1037</v>
      </c>
      <c r="B493" s="14" t="s">
        <v>1038</v>
      </c>
      <c r="C493" s="14">
        <v>58</v>
      </c>
      <c r="D493" s="14" t="s">
        <v>49</v>
      </c>
      <c r="E493" s="14" t="s">
        <v>42</v>
      </c>
      <c r="F493" s="14" t="s">
        <v>59</v>
      </c>
      <c r="G493" s="14" t="s">
        <v>60</v>
      </c>
      <c r="H493" s="14" t="s">
        <v>45</v>
      </c>
      <c r="I493" s="14" t="s">
        <v>45</v>
      </c>
      <c r="J493" s="14">
        <v>0.72</v>
      </c>
      <c r="K493" s="15">
        <v>43810</v>
      </c>
      <c r="L493" s="13" t="str" cm="1">
        <f t="array" ref="L493">_xlfn.IFS(
  OR(ISBLANK(A493),ISBLANK(C493),ISBLANK(J493)),"Missing Value",
  OR(C493&lt;18,C493&gt;120),"Review – Out of Range (Age)",
  J493&lt;0,"Review – Out of Range (Risk Score)",
  TRUE,"OK"
)</f>
        <v>OK</v>
      </c>
    </row>
    <row r="494" spans="1:12" ht="16.8" x14ac:dyDescent="0.3">
      <c r="A494" s="11" t="s">
        <v>1039</v>
      </c>
      <c r="B494" s="11" t="s">
        <v>1040</v>
      </c>
      <c r="C494" s="11">
        <v>32</v>
      </c>
      <c r="D494" s="11" t="s">
        <v>49</v>
      </c>
      <c r="E494" s="11" t="s">
        <v>50</v>
      </c>
      <c r="F494" s="11" t="s">
        <v>43</v>
      </c>
      <c r="G494" s="11" t="s">
        <v>109</v>
      </c>
      <c r="H494" s="11" t="s">
        <v>46</v>
      </c>
      <c r="I494" s="11" t="s">
        <v>45</v>
      </c>
      <c r="J494" s="11">
        <v>0.35</v>
      </c>
      <c r="K494" s="12">
        <v>44110</v>
      </c>
      <c r="L494" s="13" t="str" cm="1">
        <f t="array" ref="L494">_xlfn.IFS(
  OR(ISBLANK(A494),ISBLANK(C494),ISBLANK(J494)),"Missing Value",
  OR(C494&lt;18,C494&gt;120),"Review – Out of Range (Age)",
  J494&lt;0,"Review – Out of Range (Risk Score)",
  TRUE,"OK"
)</f>
        <v>OK</v>
      </c>
    </row>
    <row r="495" spans="1:12" ht="16.8" x14ac:dyDescent="0.3">
      <c r="A495" s="14" t="s">
        <v>1041</v>
      </c>
      <c r="B495" s="14" t="s">
        <v>1042</v>
      </c>
      <c r="C495" s="14">
        <v>58</v>
      </c>
      <c r="D495" s="14" t="s">
        <v>49</v>
      </c>
      <c r="E495" s="14" t="s">
        <v>58</v>
      </c>
      <c r="F495" s="14" t="s">
        <v>51</v>
      </c>
      <c r="G495" s="14" t="s">
        <v>55</v>
      </c>
      <c r="H495" s="14" t="s">
        <v>45</v>
      </c>
      <c r="I495" s="14" t="s">
        <v>46</v>
      </c>
      <c r="J495" s="14">
        <v>0.81</v>
      </c>
      <c r="K495" s="15">
        <v>44472</v>
      </c>
      <c r="L495" s="13" t="str" cm="1">
        <f t="array" ref="L495">_xlfn.IFS(
  OR(ISBLANK(A495),ISBLANK(C495),ISBLANK(J495)),"Missing Value",
  OR(C495&lt;18,C495&gt;120),"Review – Out of Range (Age)",
  J495&lt;0,"Review – Out of Range (Risk Score)",
  TRUE,"OK"
)</f>
        <v>OK</v>
      </c>
    </row>
    <row r="496" spans="1:12" ht="16.8" x14ac:dyDescent="0.3">
      <c r="A496" s="11" t="s">
        <v>1043</v>
      </c>
      <c r="B496" s="11" t="s">
        <v>1044</v>
      </c>
      <c r="C496" s="11">
        <v>25</v>
      </c>
      <c r="D496" s="11" t="s">
        <v>49</v>
      </c>
      <c r="E496" s="11" t="s">
        <v>42</v>
      </c>
      <c r="F496" s="11" t="s">
        <v>65</v>
      </c>
      <c r="G496" s="11" t="s">
        <v>55</v>
      </c>
      <c r="H496" s="11" t="s">
        <v>45</v>
      </c>
      <c r="I496" s="11" t="s">
        <v>45</v>
      </c>
      <c r="J496" s="11">
        <v>0.37</v>
      </c>
      <c r="K496" s="12">
        <v>44588</v>
      </c>
      <c r="L496" s="13" t="str" cm="1">
        <f t="array" ref="L496">_xlfn.IFS(
  OR(ISBLANK(A496),ISBLANK(C496),ISBLANK(J496)),"Missing Value",
  OR(C496&lt;18,C496&gt;120),"Review – Out of Range (Age)",
  J496&lt;0,"Review – Out of Range (Risk Score)",
  TRUE,"OK"
)</f>
        <v>OK</v>
      </c>
    </row>
    <row r="497" spans="1:12" ht="16.8" x14ac:dyDescent="0.3">
      <c r="A497" s="14" t="s">
        <v>1045</v>
      </c>
      <c r="B497" s="14" t="s">
        <v>1046</v>
      </c>
      <c r="C497" s="14">
        <v>48</v>
      </c>
      <c r="D497" s="14" t="s">
        <v>41</v>
      </c>
      <c r="E497" s="14" t="s">
        <v>50</v>
      </c>
      <c r="F497" s="14" t="s">
        <v>51</v>
      </c>
      <c r="G497" s="14" t="s">
        <v>109</v>
      </c>
      <c r="H497" s="14" t="s">
        <v>45</v>
      </c>
      <c r="I497" s="14" t="s">
        <v>45</v>
      </c>
      <c r="J497" s="14">
        <v>0.65</v>
      </c>
      <c r="K497" s="15">
        <v>43754</v>
      </c>
      <c r="L497" s="13" t="str" cm="1">
        <f t="array" ref="L497">_xlfn.IFS(
  OR(ISBLANK(A497),ISBLANK(C497),ISBLANK(J497)),"Missing Value",
  OR(C497&lt;18,C497&gt;120),"Review – Out of Range (Age)",
  J497&lt;0,"Review – Out of Range (Risk Score)",
  TRUE,"OK"
)</f>
        <v>OK</v>
      </c>
    </row>
    <row r="498" spans="1:12" ht="16.8" x14ac:dyDescent="0.3">
      <c r="A498" s="11" t="s">
        <v>1047</v>
      </c>
      <c r="B498" s="11" t="s">
        <v>1048</v>
      </c>
      <c r="C498" s="11">
        <v>46</v>
      </c>
      <c r="D498" s="11" t="s">
        <v>41</v>
      </c>
      <c r="E498" s="11" t="s">
        <v>42</v>
      </c>
      <c r="F498" s="11" t="s">
        <v>65</v>
      </c>
      <c r="G498" s="11" t="s">
        <v>44</v>
      </c>
      <c r="H498" s="11" t="s">
        <v>46</v>
      </c>
      <c r="I498" s="11" t="s">
        <v>45</v>
      </c>
      <c r="J498" s="11">
        <v>0.14000000000000001</v>
      </c>
      <c r="K498" s="12">
        <v>44236</v>
      </c>
      <c r="L498" s="13" t="str" cm="1">
        <f t="array" ref="L498">_xlfn.IFS(
  OR(ISBLANK(A498),ISBLANK(C498),ISBLANK(J498)),"Missing Value",
  OR(C498&lt;18,C498&gt;120),"Review – Out of Range (Age)",
  J498&lt;0,"Review – Out of Range (Risk Score)",
  TRUE,"OK"
)</f>
        <v>OK</v>
      </c>
    </row>
    <row r="499" spans="1:12" ht="16.8" x14ac:dyDescent="0.3">
      <c r="A499" s="14" t="s">
        <v>1049</v>
      </c>
      <c r="B499" s="14" t="s">
        <v>1050</v>
      </c>
      <c r="C499" s="14">
        <v>58</v>
      </c>
      <c r="D499" s="14" t="s">
        <v>49</v>
      </c>
      <c r="E499" s="14" t="s">
        <v>50</v>
      </c>
      <c r="F499" s="14" t="s">
        <v>51</v>
      </c>
      <c r="G499" s="14" t="s">
        <v>60</v>
      </c>
      <c r="H499" s="14" t="s">
        <v>45</v>
      </c>
      <c r="I499" s="14" t="s">
        <v>46</v>
      </c>
      <c r="J499" s="14">
        <v>0.68</v>
      </c>
      <c r="K499" s="15">
        <v>45097</v>
      </c>
      <c r="L499" s="13" t="str" cm="1">
        <f t="array" ref="L499">_xlfn.IFS(
  OR(ISBLANK(A499),ISBLANK(C499),ISBLANK(J499)),"Missing Value",
  OR(C499&lt;18,C499&gt;120),"Review – Out of Range (Age)",
  J499&lt;0,"Review – Out of Range (Risk Score)",
  TRUE,"OK"
)</f>
        <v>OK</v>
      </c>
    </row>
    <row r="500" spans="1:12" ht="16.8" x14ac:dyDescent="0.3">
      <c r="A500" s="11" t="s">
        <v>1051</v>
      </c>
      <c r="B500" s="11" t="s">
        <v>1052</v>
      </c>
      <c r="C500" s="11">
        <v>58</v>
      </c>
      <c r="D500" s="11" t="s">
        <v>41</v>
      </c>
      <c r="E500" s="11" t="s">
        <v>58</v>
      </c>
      <c r="F500" s="11" t="s">
        <v>51</v>
      </c>
      <c r="G500" s="11" t="s">
        <v>109</v>
      </c>
      <c r="H500" s="11" t="s">
        <v>46</v>
      </c>
      <c r="I500" s="11" t="s">
        <v>45</v>
      </c>
      <c r="J500" s="11">
        <v>0.53</v>
      </c>
      <c r="K500" s="12">
        <v>43166</v>
      </c>
      <c r="L500" s="13" t="str" cm="1">
        <f t="array" ref="L500">_xlfn.IFS(
  OR(ISBLANK(A500),ISBLANK(C500),ISBLANK(J500)),"Missing Value",
  OR(C500&lt;18,C500&gt;120),"Review – Out of Range (Age)",
  J500&lt;0,"Review – Out of Range (Risk Score)",
  TRUE,"OK"
)</f>
        <v>OK</v>
      </c>
    </row>
    <row r="501" spans="1:12" ht="16.8" x14ac:dyDescent="0.3">
      <c r="A501" s="14" t="s">
        <v>1053</v>
      </c>
      <c r="B501" s="14" t="s">
        <v>1054</v>
      </c>
      <c r="C501" s="14">
        <v>60</v>
      </c>
      <c r="D501" s="14" t="s">
        <v>41</v>
      </c>
      <c r="E501" s="14" t="s">
        <v>50</v>
      </c>
      <c r="F501" s="14" t="s">
        <v>51</v>
      </c>
      <c r="G501" s="14" t="s">
        <v>52</v>
      </c>
      <c r="H501" s="14" t="s">
        <v>45</v>
      </c>
      <c r="I501" s="14" t="s">
        <v>46</v>
      </c>
      <c r="J501" s="14">
        <v>0.27</v>
      </c>
      <c r="K501" s="15">
        <v>44498</v>
      </c>
      <c r="L501" s="13" t="str" cm="1">
        <f t="array" ref="L501">_xlfn.IFS(
  OR(ISBLANK(A501),ISBLANK(C501),ISBLANK(J501)),"Missing Value",
  OR(C501&lt;18,C501&gt;120),"Review – Out of Range (Age)",
  J501&lt;0,"Review – Out of Range (Risk Score)",
  TRUE,"OK"
)</f>
        <v>OK</v>
      </c>
    </row>
    <row r="502" spans="1:12" ht="16.8" x14ac:dyDescent="0.3">
      <c r="A502" s="11" t="s">
        <v>1055</v>
      </c>
      <c r="B502" s="11" t="s">
        <v>1056</v>
      </c>
      <c r="C502" s="11">
        <v>44</v>
      </c>
      <c r="D502" s="11" t="s">
        <v>49</v>
      </c>
      <c r="E502" s="11" t="s">
        <v>50</v>
      </c>
      <c r="F502" s="11" t="s">
        <v>51</v>
      </c>
      <c r="G502" s="11" t="s">
        <v>94</v>
      </c>
      <c r="H502" s="11" t="s">
        <v>46</v>
      </c>
      <c r="I502" s="11" t="s">
        <v>46</v>
      </c>
      <c r="J502" s="11">
        <v>0.18</v>
      </c>
      <c r="K502" s="12">
        <v>44067</v>
      </c>
      <c r="L502" s="13" t="str" cm="1">
        <f t="array" ref="L502">_xlfn.IFS(
  OR(ISBLANK(A502),ISBLANK(C502),ISBLANK(J502)),"Missing Value",
  OR(C502&lt;18,C502&gt;120),"Review – Out of Range (Age)",
  J502&lt;0,"Review – Out of Range (Risk Score)",
  TRUE,"OK"
)</f>
        <v>OK</v>
      </c>
    </row>
    <row r="503" spans="1:12" ht="16.8" x14ac:dyDescent="0.3">
      <c r="A503" s="14" t="s">
        <v>1057</v>
      </c>
      <c r="B503" s="14" t="s">
        <v>1058</v>
      </c>
      <c r="C503" s="14">
        <v>23</v>
      </c>
      <c r="D503" s="14" t="s">
        <v>41</v>
      </c>
      <c r="E503" s="14" t="s">
        <v>42</v>
      </c>
      <c r="F503" s="14" t="s">
        <v>43</v>
      </c>
      <c r="G503" s="14" t="s">
        <v>94</v>
      </c>
      <c r="H503" s="14" t="s">
        <v>45</v>
      </c>
      <c r="I503" s="14" t="s">
        <v>45</v>
      </c>
      <c r="J503" s="14">
        <v>0.13</v>
      </c>
      <c r="K503" s="15">
        <v>44813</v>
      </c>
      <c r="L503" s="13" t="str" cm="1">
        <f t="array" ref="L503">_xlfn.IFS(
  OR(ISBLANK(A503),ISBLANK(C503),ISBLANK(J503)),"Missing Value",
  OR(C503&lt;18,C503&gt;120),"Review – Out of Range (Age)",
  J503&lt;0,"Review – Out of Range (Risk Score)",
  TRUE,"OK"
)</f>
        <v>OK</v>
      </c>
    </row>
    <row r="504" spans="1:12" ht="16.8" x14ac:dyDescent="0.3">
      <c r="A504" s="11" t="s">
        <v>1059</v>
      </c>
      <c r="B504" s="11" t="s">
        <v>1060</v>
      </c>
      <c r="C504" s="11">
        <v>42</v>
      </c>
      <c r="D504" s="11" t="s">
        <v>49</v>
      </c>
      <c r="E504" s="11" t="s">
        <v>58</v>
      </c>
      <c r="F504" s="11" t="s">
        <v>59</v>
      </c>
      <c r="G504" s="11" t="s">
        <v>109</v>
      </c>
      <c r="H504" s="11" t="s">
        <v>46</v>
      </c>
      <c r="I504" s="11" t="s">
        <v>46</v>
      </c>
      <c r="J504" s="11">
        <v>0.2</v>
      </c>
      <c r="K504" s="12">
        <v>44521</v>
      </c>
      <c r="L504" s="13" t="str" cm="1">
        <f t="array" ref="L504">_xlfn.IFS(
  OR(ISBLANK(A504),ISBLANK(C504),ISBLANK(J504)),"Missing Value",
  OR(C504&lt;18,C504&gt;120),"Review – Out of Range (Age)",
  J504&lt;0,"Review – Out of Range (Risk Score)",
  TRUE,"OK"
)</f>
        <v>OK</v>
      </c>
    </row>
    <row r="505" spans="1:12" ht="16.8" x14ac:dyDescent="0.3">
      <c r="A505" s="14" t="s">
        <v>1061</v>
      </c>
      <c r="B505" s="14" t="s">
        <v>1062</v>
      </c>
      <c r="C505" s="14">
        <v>22</v>
      </c>
      <c r="D505" s="14" t="s">
        <v>49</v>
      </c>
      <c r="E505" s="14" t="s">
        <v>50</v>
      </c>
      <c r="F505" s="14" t="s">
        <v>65</v>
      </c>
      <c r="G505" s="14" t="s">
        <v>109</v>
      </c>
      <c r="H505" s="14" t="s">
        <v>46</v>
      </c>
      <c r="I505" s="14" t="s">
        <v>46</v>
      </c>
      <c r="J505" s="14">
        <v>0.47</v>
      </c>
      <c r="K505" s="15">
        <v>44693</v>
      </c>
      <c r="L505" s="13" t="str" cm="1">
        <f t="array" ref="L505">_xlfn.IFS(
  OR(ISBLANK(A505),ISBLANK(C505),ISBLANK(J505)),"Missing Value",
  OR(C505&lt;18,C505&gt;120),"Review – Out of Range (Age)",
  J505&lt;0,"Review – Out of Range (Risk Score)",
  TRUE,"OK"
)</f>
        <v>OK</v>
      </c>
    </row>
    <row r="506" spans="1:12" ht="16.8" x14ac:dyDescent="0.3">
      <c r="A506" s="11" t="s">
        <v>1063</v>
      </c>
      <c r="B506" s="11" t="s">
        <v>1064</v>
      </c>
      <c r="C506" s="11">
        <v>39</v>
      </c>
      <c r="D506" s="11" t="s">
        <v>41</v>
      </c>
      <c r="E506" s="11" t="s">
        <v>50</v>
      </c>
      <c r="F506" s="11" t="s">
        <v>59</v>
      </c>
      <c r="G506" s="11" t="s">
        <v>55</v>
      </c>
      <c r="H506" s="11" t="s">
        <v>46</v>
      </c>
      <c r="I506" s="11" t="s">
        <v>46</v>
      </c>
      <c r="J506" s="11">
        <v>0.6</v>
      </c>
      <c r="K506" s="12">
        <v>43424</v>
      </c>
      <c r="L506" s="13" t="str" cm="1">
        <f t="array" ref="L506">_xlfn.IFS(
  OR(ISBLANK(A506),ISBLANK(C506),ISBLANK(J506)),"Missing Value",
  OR(C506&lt;18,C506&gt;120),"Review – Out of Range (Age)",
  J506&lt;0,"Review – Out of Range (Risk Score)",
  TRUE,"OK"
)</f>
        <v>OK</v>
      </c>
    </row>
    <row r="507" spans="1:12" ht="16.8" x14ac:dyDescent="0.3">
      <c r="A507" s="14" t="s">
        <v>1065</v>
      </c>
      <c r="B507" s="14" t="s">
        <v>1066</v>
      </c>
      <c r="C507" s="14">
        <v>21</v>
      </c>
      <c r="D507" s="14" t="s">
        <v>41</v>
      </c>
      <c r="E507" s="14" t="s">
        <v>58</v>
      </c>
      <c r="F507" s="14" t="s">
        <v>43</v>
      </c>
      <c r="G507" s="14" t="s">
        <v>52</v>
      </c>
      <c r="H507" s="14" t="s">
        <v>45</v>
      </c>
      <c r="I507" s="14" t="s">
        <v>46</v>
      </c>
      <c r="J507" s="14">
        <v>0.7</v>
      </c>
      <c r="K507" s="15">
        <v>43965</v>
      </c>
      <c r="L507" s="13" t="str" cm="1">
        <f t="array" ref="L507">_xlfn.IFS(
  OR(ISBLANK(A507),ISBLANK(C507),ISBLANK(J507)),"Missing Value",
  OR(C507&lt;18,C507&gt;120),"Review – Out of Range (Age)",
  J507&lt;0,"Review – Out of Range (Risk Score)",
  TRUE,"OK"
)</f>
        <v>OK</v>
      </c>
    </row>
    <row r="508" spans="1:12" ht="16.8" x14ac:dyDescent="0.3">
      <c r="A508" s="11" t="s">
        <v>1067</v>
      </c>
      <c r="B508" s="11" t="s">
        <v>1068</v>
      </c>
      <c r="C508" s="11">
        <v>25</v>
      </c>
      <c r="D508" s="11" t="s">
        <v>41</v>
      </c>
      <c r="E508" s="11" t="s">
        <v>58</v>
      </c>
      <c r="F508" s="11" t="s">
        <v>65</v>
      </c>
      <c r="G508" s="11" t="s">
        <v>55</v>
      </c>
      <c r="H508" s="11" t="s">
        <v>45</v>
      </c>
      <c r="I508" s="11" t="s">
        <v>46</v>
      </c>
      <c r="J508" s="11">
        <v>0.42</v>
      </c>
      <c r="K508" s="12">
        <v>45154</v>
      </c>
      <c r="L508" s="13" t="str" cm="1">
        <f t="array" ref="L508">_xlfn.IFS(
  OR(ISBLANK(A508),ISBLANK(C508),ISBLANK(J508)),"Missing Value",
  OR(C508&lt;18,C508&gt;120),"Review – Out of Range (Age)",
  J508&lt;0,"Review – Out of Range (Risk Score)",
  TRUE,"OK"
)</f>
        <v>OK</v>
      </c>
    </row>
    <row r="509" spans="1:12" ht="16.8" x14ac:dyDescent="0.3">
      <c r="A509" s="14" t="s">
        <v>1069</v>
      </c>
      <c r="B509" s="14" t="s">
        <v>1070</v>
      </c>
      <c r="C509" s="14">
        <v>21</v>
      </c>
      <c r="D509" s="14" t="s">
        <v>49</v>
      </c>
      <c r="E509" s="14" t="s">
        <v>58</v>
      </c>
      <c r="F509" s="14" t="s">
        <v>51</v>
      </c>
      <c r="G509" s="14" t="s">
        <v>44</v>
      </c>
      <c r="H509" s="14" t="s">
        <v>45</v>
      </c>
      <c r="I509" s="14" t="s">
        <v>45</v>
      </c>
      <c r="J509" s="14">
        <v>0.53</v>
      </c>
      <c r="K509" s="15">
        <v>43262</v>
      </c>
      <c r="L509" s="13" t="str" cm="1">
        <f t="array" ref="L509">_xlfn.IFS(
  OR(ISBLANK(A509),ISBLANK(C509),ISBLANK(J509)),"Missing Value",
  OR(C509&lt;18,C509&gt;120),"Review – Out of Range (Age)",
  J509&lt;0,"Review – Out of Range (Risk Score)",
  TRUE,"OK"
)</f>
        <v>OK</v>
      </c>
    </row>
    <row r="510" spans="1:12" ht="16.8" x14ac:dyDescent="0.3">
      <c r="A510" s="11" t="s">
        <v>1071</v>
      </c>
      <c r="B510" s="11" t="s">
        <v>1072</v>
      </c>
      <c r="C510" s="11">
        <v>31</v>
      </c>
      <c r="D510" s="11" t="s">
        <v>49</v>
      </c>
      <c r="E510" s="11" t="s">
        <v>42</v>
      </c>
      <c r="F510" s="11" t="s">
        <v>65</v>
      </c>
      <c r="G510" s="11" t="s">
        <v>60</v>
      </c>
      <c r="H510" s="11" t="s">
        <v>46</v>
      </c>
      <c r="I510" s="11" t="s">
        <v>46</v>
      </c>
      <c r="J510" s="11">
        <v>0.7</v>
      </c>
      <c r="K510" s="12">
        <v>44027</v>
      </c>
      <c r="L510" s="13" t="str" cm="1">
        <f t="array" ref="L510">_xlfn.IFS(
  OR(ISBLANK(A510),ISBLANK(C510),ISBLANK(J510)),"Missing Value",
  OR(C510&lt;18,C510&gt;120),"Review – Out of Range (Age)",
  J510&lt;0,"Review – Out of Range (Risk Score)",
  TRUE,"OK"
)</f>
        <v>OK</v>
      </c>
    </row>
    <row r="511" spans="1:12" ht="16.8" x14ac:dyDescent="0.3">
      <c r="A511" s="14" t="s">
        <v>1073</v>
      </c>
      <c r="B511" s="14" t="s">
        <v>1074</v>
      </c>
      <c r="C511" s="14">
        <v>30</v>
      </c>
      <c r="D511" s="14" t="s">
        <v>41</v>
      </c>
      <c r="E511" s="14" t="s">
        <v>58</v>
      </c>
      <c r="F511" s="14" t="s">
        <v>59</v>
      </c>
      <c r="G511" s="14" t="s">
        <v>52</v>
      </c>
      <c r="H511" s="14" t="s">
        <v>45</v>
      </c>
      <c r="I511" s="14" t="s">
        <v>45</v>
      </c>
      <c r="J511" s="14">
        <v>0.31</v>
      </c>
      <c r="K511" s="15">
        <v>44144</v>
      </c>
      <c r="L511" s="13" t="str" cm="1">
        <f t="array" ref="L511">_xlfn.IFS(
  OR(ISBLANK(A511),ISBLANK(C511),ISBLANK(J511)),"Missing Value",
  OR(C511&lt;18,C511&gt;120),"Review – Out of Range (Age)",
  J511&lt;0,"Review – Out of Range (Risk Score)",
  TRUE,"OK"
)</f>
        <v>OK</v>
      </c>
    </row>
    <row r="512" spans="1:12" ht="16.8" x14ac:dyDescent="0.3">
      <c r="A512" s="11" t="s">
        <v>1075</v>
      </c>
      <c r="B512" s="11" t="s">
        <v>1076</v>
      </c>
      <c r="C512" s="11">
        <v>43</v>
      </c>
      <c r="D512" s="11" t="s">
        <v>41</v>
      </c>
      <c r="E512" s="11" t="s">
        <v>42</v>
      </c>
      <c r="F512" s="11" t="s">
        <v>43</v>
      </c>
      <c r="G512" s="11" t="s">
        <v>55</v>
      </c>
      <c r="H512" s="11" t="s">
        <v>46</v>
      </c>
      <c r="I512" s="11" t="s">
        <v>45</v>
      </c>
      <c r="J512" s="11">
        <v>0.41</v>
      </c>
      <c r="K512" s="12">
        <v>44588</v>
      </c>
      <c r="L512" s="13" t="str" cm="1">
        <f t="array" ref="L512">_xlfn.IFS(
  OR(ISBLANK(A512),ISBLANK(C512),ISBLANK(J512)),"Missing Value",
  OR(C512&lt;18,C512&gt;120),"Review – Out of Range (Age)",
  J512&lt;0,"Review – Out of Range (Risk Score)",
  TRUE,"OK"
)</f>
        <v>OK</v>
      </c>
    </row>
    <row r="513" spans="1:12" ht="16.8" x14ac:dyDescent="0.3">
      <c r="A513" s="14" t="s">
        <v>1077</v>
      </c>
      <c r="B513" s="14" t="s">
        <v>1078</v>
      </c>
      <c r="C513" s="14">
        <v>66</v>
      </c>
      <c r="D513" s="14" t="s">
        <v>41</v>
      </c>
      <c r="E513" s="14" t="s">
        <v>50</v>
      </c>
      <c r="F513" s="14" t="s">
        <v>65</v>
      </c>
      <c r="G513" s="14" t="s">
        <v>109</v>
      </c>
      <c r="H513" s="14" t="s">
        <v>46</v>
      </c>
      <c r="I513" s="14" t="s">
        <v>46</v>
      </c>
      <c r="J513" s="14">
        <v>0.56000000000000005</v>
      </c>
      <c r="K513" s="15">
        <v>44380</v>
      </c>
      <c r="L513" s="13" t="str" cm="1">
        <f t="array" ref="L513">_xlfn.IFS(
  OR(ISBLANK(A513),ISBLANK(C513),ISBLANK(J513)),"Missing Value",
  OR(C513&lt;18,C513&gt;120),"Review – Out of Range (Age)",
  J513&lt;0,"Review – Out of Range (Risk Score)",
  TRUE,"OK"
)</f>
        <v>OK</v>
      </c>
    </row>
    <row r="514" spans="1:12" ht="16.8" x14ac:dyDescent="0.3">
      <c r="A514" s="11" t="s">
        <v>1079</v>
      </c>
      <c r="B514" s="11" t="s">
        <v>1080</v>
      </c>
      <c r="C514" s="11">
        <v>39</v>
      </c>
      <c r="D514" s="11" t="s">
        <v>41</v>
      </c>
      <c r="E514" s="11" t="s">
        <v>50</v>
      </c>
      <c r="F514" s="11" t="s">
        <v>59</v>
      </c>
      <c r="G514" s="11" t="s">
        <v>52</v>
      </c>
      <c r="H514" s="11" t="s">
        <v>45</v>
      </c>
      <c r="I514" s="11" t="s">
        <v>45</v>
      </c>
      <c r="J514" s="11">
        <v>0.43</v>
      </c>
      <c r="K514" s="12">
        <v>43677</v>
      </c>
      <c r="L514" s="13" t="str" cm="1">
        <f t="array" ref="L514">_xlfn.IFS(
  OR(ISBLANK(A514),ISBLANK(C514),ISBLANK(J514)),"Missing Value",
  OR(C514&lt;18,C514&gt;120),"Review – Out of Range (Age)",
  J514&lt;0,"Review – Out of Range (Risk Score)",
  TRUE,"OK"
)</f>
        <v>OK</v>
      </c>
    </row>
    <row r="515" spans="1:12" ht="16.8" x14ac:dyDescent="0.3">
      <c r="A515" s="14" t="s">
        <v>1081</v>
      </c>
      <c r="B515" s="14" t="s">
        <v>1082</v>
      </c>
      <c r="C515" s="14">
        <v>52</v>
      </c>
      <c r="D515" s="14" t="s">
        <v>49</v>
      </c>
      <c r="E515" s="14" t="s">
        <v>50</v>
      </c>
      <c r="F515" s="14" t="s">
        <v>65</v>
      </c>
      <c r="G515" s="14" t="s">
        <v>109</v>
      </c>
      <c r="H515" s="14" t="s">
        <v>46</v>
      </c>
      <c r="I515" s="14" t="s">
        <v>46</v>
      </c>
      <c r="J515" s="14">
        <v>0.61</v>
      </c>
      <c r="K515" s="15">
        <v>43163</v>
      </c>
      <c r="L515" s="13" t="str" cm="1">
        <f t="array" ref="L515">_xlfn.IFS(
  OR(ISBLANK(A515),ISBLANK(C515),ISBLANK(J515)),"Missing Value",
  OR(C515&lt;18,C515&gt;120),"Review – Out of Range (Age)",
  J515&lt;0,"Review – Out of Range (Risk Score)",
  TRUE,"OK"
)</f>
        <v>OK</v>
      </c>
    </row>
    <row r="516" spans="1:12" ht="16.8" x14ac:dyDescent="0.3">
      <c r="A516" s="11" t="s">
        <v>1083</v>
      </c>
      <c r="B516" s="11" t="s">
        <v>1084</v>
      </c>
      <c r="C516" s="11">
        <v>43</v>
      </c>
      <c r="D516" s="11" t="s">
        <v>49</v>
      </c>
      <c r="E516" s="11" t="s">
        <v>50</v>
      </c>
      <c r="F516" s="11" t="s">
        <v>43</v>
      </c>
      <c r="G516" s="11" t="s">
        <v>52</v>
      </c>
      <c r="H516" s="11" t="s">
        <v>45</v>
      </c>
      <c r="I516" s="11" t="s">
        <v>46</v>
      </c>
      <c r="J516" s="11">
        <v>0.6</v>
      </c>
      <c r="K516" s="12">
        <v>43829</v>
      </c>
      <c r="L516" s="13" t="str" cm="1">
        <f t="array" ref="L516">_xlfn.IFS(
  OR(ISBLANK(A516),ISBLANK(C516),ISBLANK(J516)),"Missing Value",
  OR(C516&lt;18,C516&gt;120),"Review – Out of Range (Age)",
  J516&lt;0,"Review – Out of Range (Risk Score)",
  TRUE,"OK"
)</f>
        <v>OK</v>
      </c>
    </row>
    <row r="517" spans="1:12" ht="16.8" x14ac:dyDescent="0.3">
      <c r="A517" s="14" t="s">
        <v>1085</v>
      </c>
      <c r="B517" s="14" t="s">
        <v>1086</v>
      </c>
      <c r="C517" s="14">
        <v>61</v>
      </c>
      <c r="D517" s="14" t="s">
        <v>49</v>
      </c>
      <c r="E517" s="14" t="s">
        <v>50</v>
      </c>
      <c r="F517" s="14" t="s">
        <v>43</v>
      </c>
      <c r="G517" s="14" t="s">
        <v>60</v>
      </c>
      <c r="H517" s="14" t="s">
        <v>45</v>
      </c>
      <c r="I517" s="14" t="s">
        <v>45</v>
      </c>
      <c r="J517" s="14">
        <v>0.54</v>
      </c>
      <c r="K517" s="15">
        <v>43769</v>
      </c>
      <c r="L517" s="13" t="str" cm="1">
        <f t="array" ref="L517">_xlfn.IFS(
  OR(ISBLANK(A517),ISBLANK(C517),ISBLANK(J517)),"Missing Value",
  OR(C517&lt;18,C517&gt;120),"Review – Out of Range (Age)",
  J517&lt;0,"Review – Out of Range (Risk Score)",
  TRUE,"OK"
)</f>
        <v>OK</v>
      </c>
    </row>
    <row r="518" spans="1:12" ht="16.8" x14ac:dyDescent="0.3">
      <c r="A518" s="11" t="s">
        <v>1087</v>
      </c>
      <c r="B518" s="11" t="s">
        <v>1088</v>
      </c>
      <c r="C518" s="11">
        <v>20</v>
      </c>
      <c r="D518" s="11" t="s">
        <v>41</v>
      </c>
      <c r="E518" s="11" t="s">
        <v>42</v>
      </c>
      <c r="F518" s="11" t="s">
        <v>43</v>
      </c>
      <c r="G518" s="11" t="s">
        <v>109</v>
      </c>
      <c r="H518" s="11" t="s">
        <v>46</v>
      </c>
      <c r="I518" s="11" t="s">
        <v>46</v>
      </c>
      <c r="J518" s="11">
        <v>0.69</v>
      </c>
      <c r="K518" s="12">
        <v>43813</v>
      </c>
      <c r="L518" s="13" t="str" cm="1">
        <f t="array" ref="L518">_xlfn.IFS(
  OR(ISBLANK(A518),ISBLANK(C518),ISBLANK(J518)),"Missing Value",
  OR(C518&lt;18,C518&gt;120),"Review – Out of Range (Age)",
  J518&lt;0,"Review – Out of Range (Risk Score)",
  TRUE,"OK"
)</f>
        <v>OK</v>
      </c>
    </row>
    <row r="519" spans="1:12" ht="16.8" x14ac:dyDescent="0.3">
      <c r="A519" s="14" t="s">
        <v>1089</v>
      </c>
      <c r="B519" s="14" t="s">
        <v>1090</v>
      </c>
      <c r="C519" s="14">
        <v>46</v>
      </c>
      <c r="D519" s="14" t="s">
        <v>49</v>
      </c>
      <c r="E519" s="14" t="s">
        <v>58</v>
      </c>
      <c r="F519" s="14" t="s">
        <v>59</v>
      </c>
      <c r="G519" s="14" t="s">
        <v>52</v>
      </c>
      <c r="H519" s="14" t="s">
        <v>46</v>
      </c>
      <c r="I519" s="14" t="s">
        <v>46</v>
      </c>
      <c r="J519" s="14">
        <v>0.57999999999999996</v>
      </c>
      <c r="K519" s="15">
        <v>44511</v>
      </c>
      <c r="L519" s="13" t="str" cm="1">
        <f t="array" ref="L519">_xlfn.IFS(
  OR(ISBLANK(A519),ISBLANK(C519),ISBLANK(J519)),"Missing Value",
  OR(C519&lt;18,C519&gt;120),"Review – Out of Range (Age)",
  J519&lt;0,"Review – Out of Range (Risk Score)",
  TRUE,"OK"
)</f>
        <v>OK</v>
      </c>
    </row>
    <row r="520" spans="1:12" ht="16.8" x14ac:dyDescent="0.3">
      <c r="A520" s="11" t="s">
        <v>1091</v>
      </c>
      <c r="B520" s="11" t="s">
        <v>1092</v>
      </c>
      <c r="C520" s="11">
        <v>33</v>
      </c>
      <c r="D520" s="11" t="s">
        <v>49</v>
      </c>
      <c r="E520" s="11" t="s">
        <v>50</v>
      </c>
      <c r="F520" s="11" t="s">
        <v>43</v>
      </c>
      <c r="G520" s="11" t="s">
        <v>109</v>
      </c>
      <c r="H520" s="11" t="s">
        <v>46</v>
      </c>
      <c r="I520" s="11" t="s">
        <v>46</v>
      </c>
      <c r="J520" s="11">
        <v>0.6</v>
      </c>
      <c r="K520" s="12">
        <v>43650</v>
      </c>
      <c r="L520" s="13" t="str" cm="1">
        <f t="array" ref="L520">_xlfn.IFS(
  OR(ISBLANK(A520),ISBLANK(C520),ISBLANK(J520)),"Missing Value",
  OR(C520&lt;18,C520&gt;120),"Review – Out of Range (Age)",
  J520&lt;0,"Review – Out of Range (Risk Score)",
  TRUE,"OK"
)</f>
        <v>OK</v>
      </c>
    </row>
    <row r="521" spans="1:12" ht="16.8" x14ac:dyDescent="0.3">
      <c r="A521" s="14" t="s">
        <v>1093</v>
      </c>
      <c r="B521" s="14" t="s">
        <v>1094</v>
      </c>
      <c r="C521" s="14">
        <v>65</v>
      </c>
      <c r="D521" s="14" t="s">
        <v>41</v>
      </c>
      <c r="E521" s="14" t="s">
        <v>50</v>
      </c>
      <c r="F521" s="14" t="s">
        <v>65</v>
      </c>
      <c r="G521" s="14" t="s">
        <v>52</v>
      </c>
      <c r="H521" s="14" t="s">
        <v>46</v>
      </c>
      <c r="I521" s="14" t="s">
        <v>46</v>
      </c>
      <c r="J521" s="14">
        <v>0.73</v>
      </c>
      <c r="K521" s="15">
        <v>44684</v>
      </c>
      <c r="L521" s="13" t="str" cm="1">
        <f t="array" ref="L521">_xlfn.IFS(
  OR(ISBLANK(A521),ISBLANK(C521),ISBLANK(J521)),"Missing Value",
  OR(C521&lt;18,C521&gt;120),"Review – Out of Range (Age)",
  J521&lt;0,"Review – Out of Range (Risk Score)",
  TRUE,"OK"
)</f>
        <v>OK</v>
      </c>
    </row>
    <row r="522" spans="1:12" ht="16.8" x14ac:dyDescent="0.3">
      <c r="A522" s="11" t="s">
        <v>1095</v>
      </c>
      <c r="B522" s="11" t="s">
        <v>1096</v>
      </c>
      <c r="C522" s="11">
        <v>66</v>
      </c>
      <c r="D522" s="11" t="s">
        <v>49</v>
      </c>
      <c r="E522" s="11" t="s">
        <v>58</v>
      </c>
      <c r="F522" s="11" t="s">
        <v>43</v>
      </c>
      <c r="G522" s="11" t="s">
        <v>60</v>
      </c>
      <c r="H522" s="11" t="s">
        <v>45</v>
      </c>
      <c r="I522" s="11" t="s">
        <v>46</v>
      </c>
      <c r="J522" s="11">
        <v>0.41</v>
      </c>
      <c r="K522" s="12">
        <v>44237</v>
      </c>
      <c r="L522" s="13" t="str" cm="1">
        <f t="array" ref="L522">_xlfn.IFS(
  OR(ISBLANK(A522),ISBLANK(C522),ISBLANK(J522)),"Missing Value",
  OR(C522&lt;18,C522&gt;120),"Review – Out of Range (Age)",
  J522&lt;0,"Review – Out of Range (Risk Score)",
  TRUE,"OK"
)</f>
        <v>OK</v>
      </c>
    </row>
    <row r="523" spans="1:12" ht="16.8" x14ac:dyDescent="0.3">
      <c r="A523" s="14" t="s">
        <v>1097</v>
      </c>
      <c r="B523" s="14" t="s">
        <v>1098</v>
      </c>
      <c r="C523" s="14">
        <v>25</v>
      </c>
      <c r="D523" s="14" t="s">
        <v>41</v>
      </c>
      <c r="E523" s="14" t="s">
        <v>50</v>
      </c>
      <c r="F523" s="14" t="s">
        <v>65</v>
      </c>
      <c r="G523" s="14" t="s">
        <v>94</v>
      </c>
      <c r="H523" s="14" t="s">
        <v>46</v>
      </c>
      <c r="I523" s="14" t="s">
        <v>46</v>
      </c>
      <c r="J523" s="14">
        <v>0.55000000000000004</v>
      </c>
      <c r="K523" s="15">
        <v>43226</v>
      </c>
      <c r="L523" s="13" t="str" cm="1">
        <f t="array" ref="L523">_xlfn.IFS(
  OR(ISBLANK(A523),ISBLANK(C523),ISBLANK(J523)),"Missing Value",
  OR(C523&lt;18,C523&gt;120),"Review – Out of Range (Age)",
  J523&lt;0,"Review – Out of Range (Risk Score)",
  TRUE,"OK"
)</f>
        <v>OK</v>
      </c>
    </row>
    <row r="524" spans="1:12" ht="16.8" x14ac:dyDescent="0.3">
      <c r="A524" s="11" t="s">
        <v>1099</v>
      </c>
      <c r="B524" s="11" t="s">
        <v>1100</v>
      </c>
      <c r="C524" s="11">
        <v>38</v>
      </c>
      <c r="D524" s="11" t="s">
        <v>49</v>
      </c>
      <c r="E524" s="11" t="s">
        <v>50</v>
      </c>
      <c r="F524" s="11" t="s">
        <v>51</v>
      </c>
      <c r="G524" s="11" t="s">
        <v>44</v>
      </c>
      <c r="H524" s="11" t="s">
        <v>45</v>
      </c>
      <c r="I524" s="11" t="s">
        <v>45</v>
      </c>
      <c r="J524" s="11">
        <v>0.4</v>
      </c>
      <c r="K524" s="12">
        <v>44153</v>
      </c>
      <c r="L524" s="13" t="str" cm="1">
        <f t="array" ref="L524">_xlfn.IFS(
  OR(ISBLANK(A524),ISBLANK(C524),ISBLANK(J524)),"Missing Value",
  OR(C524&lt;18,C524&gt;120),"Review – Out of Range (Age)",
  J524&lt;0,"Review – Out of Range (Risk Score)",
  TRUE,"OK"
)</f>
        <v>OK</v>
      </c>
    </row>
    <row r="525" spans="1:12" ht="16.8" x14ac:dyDescent="0.3">
      <c r="A525" s="14" t="s">
        <v>1101</v>
      </c>
      <c r="B525" s="14" t="s">
        <v>1102</v>
      </c>
      <c r="C525" s="14">
        <v>28</v>
      </c>
      <c r="D525" s="14" t="s">
        <v>49</v>
      </c>
      <c r="E525" s="14" t="s">
        <v>58</v>
      </c>
      <c r="F525" s="14" t="s">
        <v>59</v>
      </c>
      <c r="G525" s="14" t="s">
        <v>55</v>
      </c>
      <c r="H525" s="14" t="s">
        <v>46</v>
      </c>
      <c r="I525" s="14" t="s">
        <v>46</v>
      </c>
      <c r="J525" s="14">
        <v>0.69</v>
      </c>
      <c r="K525" s="15">
        <v>43352</v>
      </c>
      <c r="L525" s="13" t="str" cm="1">
        <f t="array" ref="L525">_xlfn.IFS(
  OR(ISBLANK(A525),ISBLANK(C525),ISBLANK(J525)),"Missing Value",
  OR(C525&lt;18,C525&gt;120),"Review – Out of Range (Age)",
  J525&lt;0,"Review – Out of Range (Risk Score)",
  TRUE,"OK"
)</f>
        <v>OK</v>
      </c>
    </row>
    <row r="526" spans="1:12" ht="16.8" x14ac:dyDescent="0.3">
      <c r="A526" s="11" t="s">
        <v>1103</v>
      </c>
      <c r="B526" s="11" t="s">
        <v>1104</v>
      </c>
      <c r="C526" s="11">
        <v>61</v>
      </c>
      <c r="D526" s="11" t="s">
        <v>49</v>
      </c>
      <c r="E526" s="11" t="s">
        <v>50</v>
      </c>
      <c r="F526" s="11" t="s">
        <v>59</v>
      </c>
      <c r="G526" s="11" t="s">
        <v>60</v>
      </c>
      <c r="H526" s="11" t="s">
        <v>45</v>
      </c>
      <c r="I526" s="11" t="s">
        <v>46</v>
      </c>
      <c r="J526" s="11">
        <v>0.82</v>
      </c>
      <c r="K526" s="12">
        <v>43646</v>
      </c>
      <c r="L526" s="13" t="str" cm="1">
        <f t="array" ref="L526">_xlfn.IFS(
  OR(ISBLANK(A526),ISBLANK(C526),ISBLANK(J526)),"Missing Value",
  OR(C526&lt;18,C526&gt;120),"Review – Out of Range (Age)",
  J526&lt;0,"Review – Out of Range (Risk Score)",
  TRUE,"OK"
)</f>
        <v>OK</v>
      </c>
    </row>
    <row r="527" spans="1:12" ht="16.8" x14ac:dyDescent="0.3">
      <c r="A527" s="14" t="s">
        <v>1105</v>
      </c>
      <c r="B527" s="14" t="s">
        <v>1106</v>
      </c>
      <c r="C527" s="14">
        <v>40</v>
      </c>
      <c r="D527" s="14" t="s">
        <v>49</v>
      </c>
      <c r="E527" s="14" t="s">
        <v>42</v>
      </c>
      <c r="F527" s="14" t="s">
        <v>59</v>
      </c>
      <c r="G527" s="14" t="s">
        <v>109</v>
      </c>
      <c r="H527" s="14" t="s">
        <v>46</v>
      </c>
      <c r="I527" s="14" t="s">
        <v>46</v>
      </c>
      <c r="J527" s="14">
        <v>0.18</v>
      </c>
      <c r="K527" s="15">
        <v>44181</v>
      </c>
      <c r="L527" s="13" t="str" cm="1">
        <f t="array" ref="L527">_xlfn.IFS(
  OR(ISBLANK(A527),ISBLANK(C527),ISBLANK(J527)),"Missing Value",
  OR(C527&lt;18,C527&gt;120),"Review – Out of Range (Age)",
  J527&lt;0,"Review – Out of Range (Risk Score)",
  TRUE,"OK"
)</f>
        <v>OK</v>
      </c>
    </row>
    <row r="528" spans="1:12" ht="16.8" x14ac:dyDescent="0.3">
      <c r="A528" s="11" t="s">
        <v>1107</v>
      </c>
      <c r="B528" s="11" t="s">
        <v>1108</v>
      </c>
      <c r="C528" s="11">
        <v>54</v>
      </c>
      <c r="D528" s="11" t="s">
        <v>41</v>
      </c>
      <c r="E528" s="11" t="s">
        <v>58</v>
      </c>
      <c r="F528" s="11" t="s">
        <v>43</v>
      </c>
      <c r="G528" s="11" t="s">
        <v>44</v>
      </c>
      <c r="H528" s="11" t="s">
        <v>45</v>
      </c>
      <c r="I528" s="11" t="s">
        <v>46</v>
      </c>
      <c r="J528" s="11">
        <v>0.53</v>
      </c>
      <c r="K528" s="12">
        <v>44968</v>
      </c>
      <c r="L528" s="13" t="str" cm="1">
        <f t="array" ref="L528">_xlfn.IFS(
  OR(ISBLANK(A528),ISBLANK(C528),ISBLANK(J528)),"Missing Value",
  OR(C528&lt;18,C528&gt;120),"Review – Out of Range (Age)",
  J528&lt;0,"Review – Out of Range (Risk Score)",
  TRUE,"OK"
)</f>
        <v>OK</v>
      </c>
    </row>
    <row r="529" spans="1:12" ht="16.8" x14ac:dyDescent="0.3">
      <c r="A529" s="14" t="s">
        <v>1109</v>
      </c>
      <c r="B529" s="14" t="s">
        <v>1110</v>
      </c>
      <c r="C529" s="14">
        <v>27</v>
      </c>
      <c r="D529" s="14" t="s">
        <v>41</v>
      </c>
      <c r="E529" s="14" t="s">
        <v>50</v>
      </c>
      <c r="F529" s="14" t="s">
        <v>65</v>
      </c>
      <c r="G529" s="14" t="s">
        <v>60</v>
      </c>
      <c r="H529" s="14" t="s">
        <v>46</v>
      </c>
      <c r="I529" s="14" t="s">
        <v>46</v>
      </c>
      <c r="J529" s="14">
        <v>0.5</v>
      </c>
      <c r="K529" s="15">
        <v>44255</v>
      </c>
      <c r="L529" s="13" t="str" cm="1">
        <f t="array" ref="L529">_xlfn.IFS(
  OR(ISBLANK(A529),ISBLANK(C529),ISBLANK(J529)),"Missing Value",
  OR(C529&lt;18,C529&gt;120),"Review – Out of Range (Age)",
  J529&lt;0,"Review – Out of Range (Risk Score)",
  TRUE,"OK"
)</f>
        <v>OK</v>
      </c>
    </row>
    <row r="530" spans="1:12" ht="16.8" x14ac:dyDescent="0.3">
      <c r="A530" s="11" t="s">
        <v>1111</v>
      </c>
      <c r="B530" s="11" t="s">
        <v>1112</v>
      </c>
      <c r="C530" s="11">
        <v>40</v>
      </c>
      <c r="D530" s="11" t="s">
        <v>41</v>
      </c>
      <c r="E530" s="11" t="s">
        <v>50</v>
      </c>
      <c r="F530" s="11" t="s">
        <v>43</v>
      </c>
      <c r="G530" s="11" t="s">
        <v>94</v>
      </c>
      <c r="H530" s="11" t="s">
        <v>45</v>
      </c>
      <c r="I530" s="11" t="s">
        <v>45</v>
      </c>
      <c r="J530" s="11">
        <v>0.51</v>
      </c>
      <c r="K530" s="12">
        <v>43823</v>
      </c>
      <c r="L530" s="13" t="str" cm="1">
        <f t="array" ref="L530">_xlfn.IFS(
  OR(ISBLANK(A530),ISBLANK(C530),ISBLANK(J530)),"Missing Value",
  OR(C530&lt;18,C530&gt;120),"Review – Out of Range (Age)",
  J530&lt;0,"Review – Out of Range (Risk Score)",
  TRUE,"OK"
)</f>
        <v>OK</v>
      </c>
    </row>
    <row r="531" spans="1:12" ht="16.8" x14ac:dyDescent="0.3">
      <c r="A531" s="14" t="s">
        <v>1113</v>
      </c>
      <c r="B531" s="14" t="s">
        <v>1114</v>
      </c>
      <c r="C531" s="14">
        <v>32</v>
      </c>
      <c r="D531" s="14" t="s">
        <v>41</v>
      </c>
      <c r="E531" s="14" t="s">
        <v>50</v>
      </c>
      <c r="F531" s="14" t="s">
        <v>65</v>
      </c>
      <c r="G531" s="14" t="s">
        <v>44</v>
      </c>
      <c r="H531" s="14" t="s">
        <v>45</v>
      </c>
      <c r="I531" s="14" t="s">
        <v>46</v>
      </c>
      <c r="J531" s="14">
        <v>0.57999999999999996</v>
      </c>
      <c r="K531" s="15">
        <v>44610</v>
      </c>
      <c r="L531" s="13" t="str" cm="1">
        <f t="array" ref="L531">_xlfn.IFS(
  OR(ISBLANK(A531),ISBLANK(C531),ISBLANK(J531)),"Missing Value",
  OR(C531&lt;18,C531&gt;120),"Review – Out of Range (Age)",
  J531&lt;0,"Review – Out of Range (Risk Score)",
  TRUE,"OK"
)</f>
        <v>OK</v>
      </c>
    </row>
    <row r="532" spans="1:12" ht="16.8" x14ac:dyDescent="0.3">
      <c r="A532" s="11" t="s">
        <v>1115</v>
      </c>
      <c r="B532" s="11" t="s">
        <v>1116</v>
      </c>
      <c r="C532" s="11">
        <v>28</v>
      </c>
      <c r="D532" s="11" t="s">
        <v>49</v>
      </c>
      <c r="E532" s="11" t="s">
        <v>42</v>
      </c>
      <c r="F532" s="11" t="s">
        <v>59</v>
      </c>
      <c r="G532" s="11" t="s">
        <v>94</v>
      </c>
      <c r="H532" s="11" t="s">
        <v>46</v>
      </c>
      <c r="I532" s="11" t="s">
        <v>46</v>
      </c>
      <c r="J532" s="11">
        <v>0.55000000000000004</v>
      </c>
      <c r="K532" s="12">
        <v>44400</v>
      </c>
      <c r="L532" s="13" t="str" cm="1">
        <f t="array" ref="L532">_xlfn.IFS(
  OR(ISBLANK(A532),ISBLANK(C532),ISBLANK(J532)),"Missing Value",
  OR(C532&lt;18,C532&gt;120),"Review – Out of Range (Age)",
  J532&lt;0,"Review – Out of Range (Risk Score)",
  TRUE,"OK"
)</f>
        <v>OK</v>
      </c>
    </row>
    <row r="533" spans="1:12" ht="16.8" x14ac:dyDescent="0.3">
      <c r="A533" s="14" t="s">
        <v>1117</v>
      </c>
      <c r="B533" s="14" t="s">
        <v>1118</v>
      </c>
      <c r="C533" s="14">
        <v>34</v>
      </c>
      <c r="D533" s="14" t="s">
        <v>49</v>
      </c>
      <c r="E533" s="14" t="s">
        <v>50</v>
      </c>
      <c r="F533" s="14" t="s">
        <v>43</v>
      </c>
      <c r="G533" s="14" t="s">
        <v>109</v>
      </c>
      <c r="H533" s="14" t="s">
        <v>46</v>
      </c>
      <c r="I533" s="14" t="s">
        <v>45</v>
      </c>
      <c r="J533" s="14">
        <v>0.28999999999999998</v>
      </c>
      <c r="K533" s="15">
        <v>43982</v>
      </c>
      <c r="L533" s="13" t="str" cm="1">
        <f t="array" ref="L533">_xlfn.IFS(
  OR(ISBLANK(A533),ISBLANK(C533),ISBLANK(J533)),"Missing Value",
  OR(C533&lt;18,C533&gt;120),"Review – Out of Range (Age)",
  J533&lt;0,"Review – Out of Range (Risk Score)",
  TRUE,"OK"
)</f>
        <v>OK</v>
      </c>
    </row>
    <row r="534" spans="1:12" ht="16.8" x14ac:dyDescent="0.3">
      <c r="A534" s="11" t="s">
        <v>1119</v>
      </c>
      <c r="B534" s="11" t="s">
        <v>1120</v>
      </c>
      <c r="C534" s="11">
        <v>66</v>
      </c>
      <c r="D534" s="11" t="s">
        <v>41</v>
      </c>
      <c r="E534" s="11" t="s">
        <v>50</v>
      </c>
      <c r="F534" s="11" t="s">
        <v>65</v>
      </c>
      <c r="G534" s="11" t="s">
        <v>94</v>
      </c>
      <c r="H534" s="11" t="s">
        <v>46</v>
      </c>
      <c r="I534" s="11" t="s">
        <v>46</v>
      </c>
      <c r="J534" s="11">
        <v>0.46</v>
      </c>
      <c r="K534" s="12">
        <v>44251</v>
      </c>
      <c r="L534" s="13" t="str" cm="1">
        <f t="array" ref="L534">_xlfn.IFS(
  OR(ISBLANK(A534),ISBLANK(C534),ISBLANK(J534)),"Missing Value",
  OR(C534&lt;18,C534&gt;120),"Review – Out of Range (Age)",
  J534&lt;0,"Review – Out of Range (Risk Score)",
  TRUE,"OK"
)</f>
        <v>OK</v>
      </c>
    </row>
    <row r="535" spans="1:12" ht="16.8" x14ac:dyDescent="0.3">
      <c r="A535" s="14" t="s">
        <v>1121</v>
      </c>
      <c r="B535" s="14" t="s">
        <v>1122</v>
      </c>
      <c r="C535" s="14">
        <v>57</v>
      </c>
      <c r="D535" s="14" t="s">
        <v>49</v>
      </c>
      <c r="E535" s="14" t="s">
        <v>42</v>
      </c>
      <c r="F535" s="14" t="s">
        <v>43</v>
      </c>
      <c r="G535" s="14" t="s">
        <v>44</v>
      </c>
      <c r="H535" s="14" t="s">
        <v>45</v>
      </c>
      <c r="I535" s="14" t="s">
        <v>46</v>
      </c>
      <c r="J535" s="14">
        <v>0.56999999999999995</v>
      </c>
      <c r="K535" s="15">
        <v>44743</v>
      </c>
      <c r="L535" s="13" t="str" cm="1">
        <f t="array" ref="L535">_xlfn.IFS(
  OR(ISBLANK(A535),ISBLANK(C535),ISBLANK(J535)),"Missing Value",
  OR(C535&lt;18,C535&gt;120),"Review – Out of Range (Age)",
  J535&lt;0,"Review – Out of Range (Risk Score)",
  TRUE,"OK"
)</f>
        <v>OK</v>
      </c>
    </row>
    <row r="536" spans="1:12" ht="16.8" x14ac:dyDescent="0.3">
      <c r="A536" s="11" t="s">
        <v>1123</v>
      </c>
      <c r="B536" s="11" t="s">
        <v>1124</v>
      </c>
      <c r="C536" s="11">
        <v>25</v>
      </c>
      <c r="D536" s="11" t="s">
        <v>41</v>
      </c>
      <c r="E536" s="11" t="s">
        <v>50</v>
      </c>
      <c r="F536" s="11" t="s">
        <v>43</v>
      </c>
      <c r="G536" s="11" t="s">
        <v>52</v>
      </c>
      <c r="H536" s="11" t="s">
        <v>45</v>
      </c>
      <c r="I536" s="11" t="s">
        <v>45</v>
      </c>
      <c r="J536" s="11">
        <v>0.19</v>
      </c>
      <c r="K536" s="12">
        <v>45004</v>
      </c>
      <c r="L536" s="13" t="str" cm="1">
        <f t="array" ref="L536">_xlfn.IFS(
  OR(ISBLANK(A536),ISBLANK(C536),ISBLANK(J536)),"Missing Value",
  OR(C536&lt;18,C536&gt;120),"Review – Out of Range (Age)",
  J536&lt;0,"Review – Out of Range (Risk Score)",
  TRUE,"OK"
)</f>
        <v>OK</v>
      </c>
    </row>
    <row r="537" spans="1:12" ht="16.8" x14ac:dyDescent="0.3">
      <c r="A537" s="14" t="s">
        <v>1125</v>
      </c>
      <c r="B537" s="14" t="s">
        <v>1126</v>
      </c>
      <c r="C537" s="14">
        <v>42</v>
      </c>
      <c r="D537" s="14" t="s">
        <v>41</v>
      </c>
      <c r="E537" s="14" t="s">
        <v>50</v>
      </c>
      <c r="F537" s="14" t="s">
        <v>43</v>
      </c>
      <c r="G537" s="14" t="s">
        <v>109</v>
      </c>
      <c r="H537" s="14" t="s">
        <v>46</v>
      </c>
      <c r="I537" s="14" t="s">
        <v>46</v>
      </c>
      <c r="J537" s="14">
        <v>0.56000000000000005</v>
      </c>
      <c r="K537" s="15">
        <v>43184</v>
      </c>
      <c r="L537" s="13" t="str" cm="1">
        <f t="array" ref="L537">_xlfn.IFS(
  OR(ISBLANK(A537),ISBLANK(C537),ISBLANK(J537)),"Missing Value",
  OR(C537&lt;18,C537&gt;120),"Review – Out of Range (Age)",
  J537&lt;0,"Review – Out of Range (Risk Score)",
  TRUE,"OK"
)</f>
        <v>OK</v>
      </c>
    </row>
    <row r="538" spans="1:12" ht="16.8" x14ac:dyDescent="0.3">
      <c r="A538" s="11" t="s">
        <v>1127</v>
      </c>
      <c r="B538" s="11" t="s">
        <v>1128</v>
      </c>
      <c r="C538" s="11">
        <v>51</v>
      </c>
      <c r="D538" s="11" t="s">
        <v>41</v>
      </c>
      <c r="E538" s="11" t="s">
        <v>58</v>
      </c>
      <c r="F538" s="11" t="s">
        <v>51</v>
      </c>
      <c r="G538" s="11" t="s">
        <v>109</v>
      </c>
      <c r="H538" s="11" t="s">
        <v>45</v>
      </c>
      <c r="I538" s="11" t="s">
        <v>45</v>
      </c>
      <c r="J538" s="11">
        <v>0.93</v>
      </c>
      <c r="K538" s="12">
        <v>43503</v>
      </c>
      <c r="L538" s="13" t="str" cm="1">
        <f t="array" ref="L538">_xlfn.IFS(
  OR(ISBLANK(A538),ISBLANK(C538),ISBLANK(J538)),"Missing Value",
  OR(C538&lt;18,C538&gt;120),"Review – Out of Range (Age)",
  J538&lt;0,"Review – Out of Range (Risk Score)",
  TRUE,"OK"
)</f>
        <v>OK</v>
      </c>
    </row>
    <row r="539" spans="1:12" ht="16.8" x14ac:dyDescent="0.3">
      <c r="A539" s="14" t="s">
        <v>1129</v>
      </c>
      <c r="B539" s="14" t="s">
        <v>1130</v>
      </c>
      <c r="C539" s="14">
        <v>56</v>
      </c>
      <c r="D539" s="14" t="s">
        <v>49</v>
      </c>
      <c r="E539" s="14" t="s">
        <v>42</v>
      </c>
      <c r="F539" s="14" t="s">
        <v>65</v>
      </c>
      <c r="G539" s="14" t="s">
        <v>60</v>
      </c>
      <c r="H539" s="14" t="s">
        <v>46</v>
      </c>
      <c r="I539" s="14" t="s">
        <v>45</v>
      </c>
      <c r="J539" s="14">
        <v>0.39</v>
      </c>
      <c r="K539" s="15">
        <v>44301</v>
      </c>
      <c r="L539" s="13" t="str" cm="1">
        <f t="array" ref="L539">_xlfn.IFS(
  OR(ISBLANK(A539),ISBLANK(C539),ISBLANK(J539)),"Missing Value",
  OR(C539&lt;18,C539&gt;120),"Review – Out of Range (Age)",
  J539&lt;0,"Review – Out of Range (Risk Score)",
  TRUE,"OK"
)</f>
        <v>OK</v>
      </c>
    </row>
    <row r="540" spans="1:12" ht="16.8" x14ac:dyDescent="0.3">
      <c r="A540" s="11" t="s">
        <v>1131</v>
      </c>
      <c r="B540" s="11" t="s">
        <v>1132</v>
      </c>
      <c r="C540" s="11">
        <v>25</v>
      </c>
      <c r="D540" s="11" t="s">
        <v>41</v>
      </c>
      <c r="E540" s="11" t="s">
        <v>42</v>
      </c>
      <c r="F540" s="11" t="s">
        <v>65</v>
      </c>
      <c r="G540" s="11" t="s">
        <v>55</v>
      </c>
      <c r="H540" s="11" t="s">
        <v>45</v>
      </c>
      <c r="I540" s="11" t="s">
        <v>46</v>
      </c>
      <c r="J540" s="11">
        <v>0.64</v>
      </c>
      <c r="K540" s="12">
        <v>45004</v>
      </c>
      <c r="L540" s="13" t="str" cm="1">
        <f t="array" ref="L540">_xlfn.IFS(
  OR(ISBLANK(A540),ISBLANK(C540),ISBLANK(J540)),"Missing Value",
  OR(C540&lt;18,C540&gt;120),"Review – Out of Range (Age)",
  J540&lt;0,"Review – Out of Range (Risk Score)",
  TRUE,"OK"
)</f>
        <v>OK</v>
      </c>
    </row>
    <row r="541" spans="1:12" ht="16.8" x14ac:dyDescent="0.3">
      <c r="A541" s="14" t="s">
        <v>1133</v>
      </c>
      <c r="B541" s="14" t="s">
        <v>1134</v>
      </c>
      <c r="C541" s="14">
        <v>38</v>
      </c>
      <c r="D541" s="14" t="s">
        <v>41</v>
      </c>
      <c r="E541" s="14" t="s">
        <v>42</v>
      </c>
      <c r="F541" s="14" t="s">
        <v>65</v>
      </c>
      <c r="G541" s="14" t="s">
        <v>60</v>
      </c>
      <c r="H541" s="14" t="s">
        <v>45</v>
      </c>
      <c r="I541" s="14" t="s">
        <v>45</v>
      </c>
      <c r="J541" s="14">
        <v>0.37</v>
      </c>
      <c r="K541" s="15">
        <v>44629</v>
      </c>
      <c r="L541" s="13" t="str" cm="1">
        <f t="array" ref="L541">_xlfn.IFS(
  OR(ISBLANK(A541),ISBLANK(C541),ISBLANK(J541)),"Missing Value",
  OR(C541&lt;18,C541&gt;120),"Review – Out of Range (Age)",
  J541&lt;0,"Review – Out of Range (Risk Score)",
  TRUE,"OK"
)</f>
        <v>OK</v>
      </c>
    </row>
    <row r="542" spans="1:12" ht="16.8" x14ac:dyDescent="0.3">
      <c r="A542" s="11" t="s">
        <v>1135</v>
      </c>
      <c r="B542" s="11" t="s">
        <v>1136</v>
      </c>
      <c r="C542" s="11">
        <v>19</v>
      </c>
      <c r="D542" s="11" t="s">
        <v>49</v>
      </c>
      <c r="E542" s="11" t="s">
        <v>50</v>
      </c>
      <c r="F542" s="11" t="s">
        <v>43</v>
      </c>
      <c r="G542" s="11" t="s">
        <v>44</v>
      </c>
      <c r="H542" s="11" t="s">
        <v>45</v>
      </c>
      <c r="I542" s="11" t="s">
        <v>46</v>
      </c>
      <c r="J542" s="11">
        <v>0.45</v>
      </c>
      <c r="K542" s="12">
        <v>44127</v>
      </c>
      <c r="L542" s="13" t="str" cm="1">
        <f t="array" ref="L542">_xlfn.IFS(
  OR(ISBLANK(A542),ISBLANK(C542),ISBLANK(J542)),"Missing Value",
  OR(C542&lt;18,C542&gt;120),"Review – Out of Range (Age)",
  J542&lt;0,"Review – Out of Range (Risk Score)",
  TRUE,"OK"
)</f>
        <v>OK</v>
      </c>
    </row>
    <row r="543" spans="1:12" ht="16.8" x14ac:dyDescent="0.3">
      <c r="A543" s="14" t="s">
        <v>1137</v>
      </c>
      <c r="B543" s="14" t="s">
        <v>1138</v>
      </c>
      <c r="C543" s="14">
        <v>50</v>
      </c>
      <c r="D543" s="14" t="s">
        <v>41</v>
      </c>
      <c r="E543" s="14" t="s">
        <v>58</v>
      </c>
      <c r="F543" s="14" t="s">
        <v>65</v>
      </c>
      <c r="G543" s="14" t="s">
        <v>109</v>
      </c>
      <c r="H543" s="14" t="s">
        <v>45</v>
      </c>
      <c r="I543" s="14" t="s">
        <v>45</v>
      </c>
      <c r="J543" s="14">
        <v>0.36</v>
      </c>
      <c r="K543" s="15">
        <v>43297</v>
      </c>
      <c r="L543" s="13" t="str" cm="1">
        <f t="array" ref="L543">_xlfn.IFS(
  OR(ISBLANK(A543),ISBLANK(C543),ISBLANK(J543)),"Missing Value",
  OR(C543&lt;18,C543&gt;120),"Review – Out of Range (Age)",
  J543&lt;0,"Review – Out of Range (Risk Score)",
  TRUE,"OK"
)</f>
        <v>OK</v>
      </c>
    </row>
    <row r="544" spans="1:12" ht="16.8" x14ac:dyDescent="0.3">
      <c r="A544" s="11" t="s">
        <v>1139</v>
      </c>
      <c r="B544" s="11" t="s">
        <v>1140</v>
      </c>
      <c r="C544" s="11">
        <v>63</v>
      </c>
      <c r="D544" s="11" t="s">
        <v>49</v>
      </c>
      <c r="E544" s="11" t="s">
        <v>42</v>
      </c>
      <c r="F544" s="11" t="s">
        <v>43</v>
      </c>
      <c r="G544" s="11" t="s">
        <v>44</v>
      </c>
      <c r="H544" s="11" t="s">
        <v>46</v>
      </c>
      <c r="I544" s="11" t="s">
        <v>46</v>
      </c>
      <c r="J544" s="11">
        <v>0.6</v>
      </c>
      <c r="K544" s="12">
        <v>45189</v>
      </c>
      <c r="L544" s="13" t="str" cm="1">
        <f t="array" ref="L544">_xlfn.IFS(
  OR(ISBLANK(A544),ISBLANK(C544),ISBLANK(J544)),"Missing Value",
  OR(C544&lt;18,C544&gt;120),"Review – Out of Range (Age)",
  J544&lt;0,"Review – Out of Range (Risk Score)",
  TRUE,"OK"
)</f>
        <v>OK</v>
      </c>
    </row>
    <row r="545" spans="1:12" ht="16.8" x14ac:dyDescent="0.3">
      <c r="A545" s="14" t="s">
        <v>1141</v>
      </c>
      <c r="B545" s="14" t="s">
        <v>1142</v>
      </c>
      <c r="C545" s="14">
        <v>58</v>
      </c>
      <c r="D545" s="14" t="s">
        <v>41</v>
      </c>
      <c r="E545" s="14" t="s">
        <v>50</v>
      </c>
      <c r="F545" s="14" t="s">
        <v>51</v>
      </c>
      <c r="G545" s="14" t="s">
        <v>44</v>
      </c>
      <c r="H545" s="14" t="s">
        <v>46</v>
      </c>
      <c r="I545" s="14" t="s">
        <v>46</v>
      </c>
      <c r="J545" s="14">
        <v>0.64</v>
      </c>
      <c r="K545" s="15">
        <v>44288</v>
      </c>
      <c r="L545" s="13" t="str" cm="1">
        <f t="array" ref="L545">_xlfn.IFS(
  OR(ISBLANK(A545),ISBLANK(C545),ISBLANK(J545)),"Missing Value",
  OR(C545&lt;18,C545&gt;120),"Review – Out of Range (Age)",
  J545&lt;0,"Review – Out of Range (Risk Score)",
  TRUE,"OK"
)</f>
        <v>OK</v>
      </c>
    </row>
    <row r="546" spans="1:12" ht="16.8" x14ac:dyDescent="0.3">
      <c r="A546" s="11" t="s">
        <v>1143</v>
      </c>
      <c r="B546" s="11" t="s">
        <v>1144</v>
      </c>
      <c r="C546" s="11">
        <v>40</v>
      </c>
      <c r="D546" s="11" t="s">
        <v>41</v>
      </c>
      <c r="E546" s="11" t="s">
        <v>58</v>
      </c>
      <c r="F546" s="11" t="s">
        <v>43</v>
      </c>
      <c r="G546" s="11" t="s">
        <v>44</v>
      </c>
      <c r="H546" s="11" t="s">
        <v>46</v>
      </c>
      <c r="I546" s="11" t="s">
        <v>46</v>
      </c>
      <c r="J546" s="11">
        <v>0.57999999999999996</v>
      </c>
      <c r="K546" s="12">
        <v>43994</v>
      </c>
      <c r="L546" s="13" t="str" cm="1">
        <f t="array" ref="L546">_xlfn.IFS(
  OR(ISBLANK(A546),ISBLANK(C546),ISBLANK(J546)),"Missing Value",
  OR(C546&lt;18,C546&gt;120),"Review – Out of Range (Age)",
  J546&lt;0,"Review – Out of Range (Risk Score)",
  TRUE,"OK"
)</f>
        <v>OK</v>
      </c>
    </row>
    <row r="547" spans="1:12" ht="16.8" x14ac:dyDescent="0.3">
      <c r="A547" s="14" t="s">
        <v>1145</v>
      </c>
      <c r="B547" s="14" t="s">
        <v>1146</v>
      </c>
      <c r="C547" s="14">
        <v>33</v>
      </c>
      <c r="D547" s="14" t="s">
        <v>41</v>
      </c>
      <c r="E547" s="14" t="s">
        <v>58</v>
      </c>
      <c r="F547" s="14" t="s">
        <v>59</v>
      </c>
      <c r="G547" s="14" t="s">
        <v>44</v>
      </c>
      <c r="H547" s="14" t="s">
        <v>45</v>
      </c>
      <c r="I547" s="14" t="s">
        <v>46</v>
      </c>
      <c r="J547" s="14">
        <v>0.43</v>
      </c>
      <c r="K547" s="15">
        <v>44585</v>
      </c>
      <c r="L547" s="13" t="str" cm="1">
        <f t="array" ref="L547">_xlfn.IFS(
  OR(ISBLANK(A547),ISBLANK(C547),ISBLANK(J547)),"Missing Value",
  OR(C547&lt;18,C547&gt;120),"Review – Out of Range (Age)",
  J547&lt;0,"Review – Out of Range (Risk Score)",
  TRUE,"OK"
)</f>
        <v>OK</v>
      </c>
    </row>
    <row r="548" spans="1:12" ht="16.8" x14ac:dyDescent="0.3">
      <c r="A548" s="11" t="s">
        <v>1147</v>
      </c>
      <c r="B548" s="11" t="s">
        <v>1148</v>
      </c>
      <c r="C548" s="11">
        <v>52</v>
      </c>
      <c r="D548" s="11" t="s">
        <v>49</v>
      </c>
      <c r="E548" s="11" t="s">
        <v>50</v>
      </c>
      <c r="F548" s="11" t="s">
        <v>43</v>
      </c>
      <c r="G548" s="11" t="s">
        <v>94</v>
      </c>
      <c r="H548" s="11" t="s">
        <v>45</v>
      </c>
      <c r="I548" s="11" t="s">
        <v>45</v>
      </c>
      <c r="J548" s="11">
        <v>0.37</v>
      </c>
      <c r="K548" s="12">
        <v>43948</v>
      </c>
      <c r="L548" s="13" t="str" cm="1">
        <f t="array" ref="L548">_xlfn.IFS(
  OR(ISBLANK(A548),ISBLANK(C548),ISBLANK(J548)),"Missing Value",
  OR(C548&lt;18,C548&gt;120),"Review – Out of Range (Age)",
  J548&lt;0,"Review – Out of Range (Risk Score)",
  TRUE,"OK"
)</f>
        <v>OK</v>
      </c>
    </row>
    <row r="549" spans="1:12" ht="16.8" x14ac:dyDescent="0.3">
      <c r="A549" s="14" t="s">
        <v>1149</v>
      </c>
      <c r="B549" s="14" t="s">
        <v>1150</v>
      </c>
      <c r="C549" s="14">
        <v>19</v>
      </c>
      <c r="D549" s="14" t="s">
        <v>49</v>
      </c>
      <c r="E549" s="14" t="s">
        <v>50</v>
      </c>
      <c r="F549" s="14" t="s">
        <v>43</v>
      </c>
      <c r="G549" s="14" t="s">
        <v>94</v>
      </c>
      <c r="H549" s="14" t="s">
        <v>46</v>
      </c>
      <c r="I549" s="14" t="s">
        <v>46</v>
      </c>
      <c r="J549" s="14">
        <v>0.27</v>
      </c>
      <c r="K549" s="15">
        <v>44652</v>
      </c>
      <c r="L549" s="13" t="str" cm="1">
        <f t="array" ref="L549">_xlfn.IFS(
  OR(ISBLANK(A549),ISBLANK(C549),ISBLANK(J549)),"Missing Value",
  OR(C549&lt;18,C549&gt;120),"Review – Out of Range (Age)",
  J549&lt;0,"Review – Out of Range (Risk Score)",
  TRUE,"OK"
)</f>
        <v>OK</v>
      </c>
    </row>
    <row r="550" spans="1:12" ht="16.8" x14ac:dyDescent="0.3">
      <c r="A550" s="11" t="s">
        <v>1151</v>
      </c>
      <c r="B550" s="11" t="s">
        <v>1152</v>
      </c>
      <c r="C550" s="11">
        <v>45</v>
      </c>
      <c r="D550" s="11" t="s">
        <v>41</v>
      </c>
      <c r="E550" s="11" t="s">
        <v>50</v>
      </c>
      <c r="F550" s="11" t="s">
        <v>51</v>
      </c>
      <c r="G550" s="11" t="s">
        <v>109</v>
      </c>
      <c r="H550" s="11" t="s">
        <v>45</v>
      </c>
      <c r="I550" s="11" t="s">
        <v>46</v>
      </c>
      <c r="J550" s="11">
        <v>0.67</v>
      </c>
      <c r="K550" s="12">
        <v>44480</v>
      </c>
      <c r="L550" s="13" t="str" cm="1">
        <f t="array" ref="L550">_xlfn.IFS(
  OR(ISBLANK(A550),ISBLANK(C550),ISBLANK(J550)),"Missing Value",
  OR(C550&lt;18,C550&gt;120),"Review – Out of Range (Age)",
  J550&lt;0,"Review – Out of Range (Risk Score)",
  TRUE,"OK"
)</f>
        <v>OK</v>
      </c>
    </row>
    <row r="551" spans="1:12" ht="16.8" x14ac:dyDescent="0.3">
      <c r="A551" s="14" t="s">
        <v>1153</v>
      </c>
      <c r="B551" s="14" t="s">
        <v>1154</v>
      </c>
      <c r="C551" s="14">
        <v>43</v>
      </c>
      <c r="D551" s="14" t="s">
        <v>49</v>
      </c>
      <c r="E551" s="14" t="s">
        <v>58</v>
      </c>
      <c r="F551" s="14" t="s">
        <v>59</v>
      </c>
      <c r="G551" s="14" t="s">
        <v>55</v>
      </c>
      <c r="H551" s="14" t="s">
        <v>46</v>
      </c>
      <c r="I551" s="14" t="s">
        <v>45</v>
      </c>
      <c r="J551" s="14">
        <v>0.62</v>
      </c>
      <c r="K551" s="15">
        <v>43923</v>
      </c>
      <c r="L551" s="13" t="str" cm="1">
        <f t="array" ref="L551">_xlfn.IFS(
  OR(ISBLANK(A551),ISBLANK(C551),ISBLANK(J551)),"Missing Value",
  OR(C551&lt;18,C551&gt;120),"Review – Out of Range (Age)",
  J551&lt;0,"Review – Out of Range (Risk Score)",
  TRUE,"OK"
)</f>
        <v>OK</v>
      </c>
    </row>
    <row r="552" spans="1:12" ht="16.8" x14ac:dyDescent="0.3">
      <c r="A552" s="11" t="s">
        <v>1155</v>
      </c>
      <c r="B552" s="11" t="s">
        <v>1156</v>
      </c>
      <c r="C552" s="11">
        <v>25</v>
      </c>
      <c r="D552" s="11" t="s">
        <v>49</v>
      </c>
      <c r="E552" s="11" t="s">
        <v>42</v>
      </c>
      <c r="F552" s="11" t="s">
        <v>51</v>
      </c>
      <c r="G552" s="11" t="s">
        <v>55</v>
      </c>
      <c r="H552" s="11" t="s">
        <v>45</v>
      </c>
      <c r="I552" s="11" t="s">
        <v>46</v>
      </c>
      <c r="J552" s="11">
        <v>0.56000000000000005</v>
      </c>
      <c r="K552" s="12">
        <v>44693</v>
      </c>
      <c r="L552" s="13" t="str" cm="1">
        <f t="array" ref="L552">_xlfn.IFS(
  OR(ISBLANK(A552),ISBLANK(C552),ISBLANK(J552)),"Missing Value",
  OR(C552&lt;18,C552&gt;120),"Review – Out of Range (Age)",
  J552&lt;0,"Review – Out of Range (Risk Score)",
  TRUE,"OK"
)</f>
        <v>OK</v>
      </c>
    </row>
    <row r="553" spans="1:12" ht="16.8" x14ac:dyDescent="0.3">
      <c r="A553" s="14" t="s">
        <v>1157</v>
      </c>
      <c r="B553" s="14" t="s">
        <v>1158</v>
      </c>
      <c r="C553" s="14">
        <v>29</v>
      </c>
      <c r="D553" s="14" t="s">
        <v>49</v>
      </c>
      <c r="E553" s="14" t="s">
        <v>42</v>
      </c>
      <c r="F553" s="14" t="s">
        <v>43</v>
      </c>
      <c r="G553" s="14" t="s">
        <v>109</v>
      </c>
      <c r="H553" s="14" t="s">
        <v>45</v>
      </c>
      <c r="I553" s="14" t="s">
        <v>46</v>
      </c>
      <c r="J553" s="14">
        <v>0.49</v>
      </c>
      <c r="K553" s="15">
        <v>44331</v>
      </c>
      <c r="L553" s="13" t="str" cm="1">
        <f t="array" ref="L553">_xlfn.IFS(
  OR(ISBLANK(A553),ISBLANK(C553),ISBLANK(J553)),"Missing Value",
  OR(C553&lt;18,C553&gt;120),"Review – Out of Range (Age)",
  J553&lt;0,"Review – Out of Range (Risk Score)",
  TRUE,"OK"
)</f>
        <v>OK</v>
      </c>
    </row>
    <row r="554" spans="1:12" ht="16.8" x14ac:dyDescent="0.3">
      <c r="A554" s="11" t="s">
        <v>1159</v>
      </c>
      <c r="B554" s="11" t="s">
        <v>1160</v>
      </c>
      <c r="C554" s="11">
        <v>45</v>
      </c>
      <c r="D554" s="11" t="s">
        <v>41</v>
      </c>
      <c r="E554" s="11" t="s">
        <v>42</v>
      </c>
      <c r="F554" s="11" t="s">
        <v>59</v>
      </c>
      <c r="G554" s="11" t="s">
        <v>94</v>
      </c>
      <c r="H554" s="11" t="s">
        <v>45</v>
      </c>
      <c r="I554" s="11" t="s">
        <v>46</v>
      </c>
      <c r="J554" s="11">
        <v>0.44</v>
      </c>
      <c r="K554" s="12">
        <v>45052</v>
      </c>
      <c r="L554" s="13" t="str" cm="1">
        <f t="array" ref="L554">_xlfn.IFS(
  OR(ISBLANK(A554),ISBLANK(C554),ISBLANK(J554)),"Missing Value",
  OR(C554&lt;18,C554&gt;120),"Review – Out of Range (Age)",
  J554&lt;0,"Review – Out of Range (Risk Score)",
  TRUE,"OK"
)</f>
        <v>OK</v>
      </c>
    </row>
    <row r="555" spans="1:12" ht="16.8" x14ac:dyDescent="0.3">
      <c r="A555" s="14" t="s">
        <v>1161</v>
      </c>
      <c r="B555" s="14" t="s">
        <v>1162</v>
      </c>
      <c r="C555" s="14">
        <v>67</v>
      </c>
      <c r="D555" s="14" t="s">
        <v>41</v>
      </c>
      <c r="E555" s="14" t="s">
        <v>50</v>
      </c>
      <c r="F555" s="14" t="s">
        <v>43</v>
      </c>
      <c r="G555" s="14" t="s">
        <v>52</v>
      </c>
      <c r="H555" s="14" t="s">
        <v>46</v>
      </c>
      <c r="I555" s="14" t="s">
        <v>45</v>
      </c>
      <c r="J555" s="14">
        <v>0.37</v>
      </c>
      <c r="K555" s="15">
        <v>43769</v>
      </c>
      <c r="L555" s="13" t="str" cm="1">
        <f t="array" ref="L555">_xlfn.IFS(
  OR(ISBLANK(A555),ISBLANK(C555),ISBLANK(J555)),"Missing Value",
  OR(C555&lt;18,C555&gt;120),"Review – Out of Range (Age)",
  J555&lt;0,"Review – Out of Range (Risk Score)",
  TRUE,"OK"
)</f>
        <v>OK</v>
      </c>
    </row>
    <row r="556" spans="1:12" ht="16.8" x14ac:dyDescent="0.3">
      <c r="A556" s="11" t="s">
        <v>1163</v>
      </c>
      <c r="B556" s="11" t="s">
        <v>1164</v>
      </c>
      <c r="C556" s="11">
        <v>55</v>
      </c>
      <c r="D556" s="11" t="s">
        <v>49</v>
      </c>
      <c r="E556" s="11" t="s">
        <v>42</v>
      </c>
      <c r="F556" s="11" t="s">
        <v>59</v>
      </c>
      <c r="G556" s="11" t="s">
        <v>55</v>
      </c>
      <c r="H556" s="11" t="s">
        <v>46</v>
      </c>
      <c r="I556" s="11" t="s">
        <v>45</v>
      </c>
      <c r="J556" s="11">
        <v>0.6</v>
      </c>
      <c r="K556" s="12">
        <v>44277</v>
      </c>
      <c r="L556" s="13" t="str" cm="1">
        <f t="array" ref="L556">_xlfn.IFS(
  OR(ISBLANK(A556),ISBLANK(C556),ISBLANK(J556)),"Missing Value",
  OR(C556&lt;18,C556&gt;120),"Review – Out of Range (Age)",
  J556&lt;0,"Review – Out of Range (Risk Score)",
  TRUE,"OK"
)</f>
        <v>OK</v>
      </c>
    </row>
    <row r="557" spans="1:12" ht="16.8" x14ac:dyDescent="0.3">
      <c r="A557" s="14" t="s">
        <v>1165</v>
      </c>
      <c r="B557" s="14" t="s">
        <v>1166</v>
      </c>
      <c r="C557" s="14">
        <v>49</v>
      </c>
      <c r="D557" s="14" t="s">
        <v>41</v>
      </c>
      <c r="E557" s="14" t="s">
        <v>58</v>
      </c>
      <c r="F557" s="14" t="s">
        <v>43</v>
      </c>
      <c r="G557" s="14" t="s">
        <v>44</v>
      </c>
      <c r="H557" s="14" t="s">
        <v>46</v>
      </c>
      <c r="I557" s="14" t="s">
        <v>46</v>
      </c>
      <c r="J557" s="14">
        <v>0.53</v>
      </c>
      <c r="K557" s="15">
        <v>43377</v>
      </c>
      <c r="L557" s="13" t="str" cm="1">
        <f t="array" ref="L557">_xlfn.IFS(
  OR(ISBLANK(A557),ISBLANK(C557),ISBLANK(J557)),"Missing Value",
  OR(C557&lt;18,C557&gt;120),"Review – Out of Range (Age)",
  J557&lt;0,"Review – Out of Range (Risk Score)",
  TRUE,"OK"
)</f>
        <v>OK</v>
      </c>
    </row>
    <row r="558" spans="1:12" ht="16.8" x14ac:dyDescent="0.3">
      <c r="A558" s="11" t="s">
        <v>1167</v>
      </c>
      <c r="B558" s="11" t="s">
        <v>1168</v>
      </c>
      <c r="C558" s="11">
        <v>25</v>
      </c>
      <c r="D558" s="11" t="s">
        <v>49</v>
      </c>
      <c r="E558" s="11" t="s">
        <v>42</v>
      </c>
      <c r="F558" s="11" t="s">
        <v>65</v>
      </c>
      <c r="G558" s="11" t="s">
        <v>55</v>
      </c>
      <c r="H558" s="11" t="s">
        <v>45</v>
      </c>
      <c r="I558" s="11" t="s">
        <v>45</v>
      </c>
      <c r="J558" s="11">
        <v>0.42</v>
      </c>
      <c r="K558" s="12">
        <v>43449</v>
      </c>
      <c r="L558" s="13" t="str" cm="1">
        <f t="array" ref="L558">_xlfn.IFS(
  OR(ISBLANK(A558),ISBLANK(C558),ISBLANK(J558)),"Missing Value",
  OR(C558&lt;18,C558&gt;120),"Review – Out of Range (Age)",
  J558&lt;0,"Review – Out of Range (Risk Score)",
  TRUE,"OK"
)</f>
        <v>OK</v>
      </c>
    </row>
    <row r="559" spans="1:12" ht="16.8" x14ac:dyDescent="0.3">
      <c r="A559" s="14" t="s">
        <v>1169</v>
      </c>
      <c r="B559" s="14" t="s">
        <v>1170</v>
      </c>
      <c r="C559" s="14">
        <v>35</v>
      </c>
      <c r="D559" s="14" t="s">
        <v>49</v>
      </c>
      <c r="E559" s="14" t="s">
        <v>58</v>
      </c>
      <c r="F559" s="14" t="s">
        <v>65</v>
      </c>
      <c r="G559" s="14" t="s">
        <v>52</v>
      </c>
      <c r="H559" s="14" t="s">
        <v>46</v>
      </c>
      <c r="I559" s="14" t="s">
        <v>46</v>
      </c>
      <c r="J559" s="14">
        <v>0.84</v>
      </c>
      <c r="K559" s="15">
        <v>44002</v>
      </c>
      <c r="L559" s="13" t="str" cm="1">
        <f t="array" ref="L559">_xlfn.IFS(
  OR(ISBLANK(A559),ISBLANK(C559),ISBLANK(J559)),"Missing Value",
  OR(C559&lt;18,C559&gt;120),"Review – Out of Range (Age)",
  J559&lt;0,"Review – Out of Range (Risk Score)",
  TRUE,"OK"
)</f>
        <v>OK</v>
      </c>
    </row>
    <row r="560" spans="1:12" ht="16.8" x14ac:dyDescent="0.3">
      <c r="A560" s="11" t="s">
        <v>1171</v>
      </c>
      <c r="B560" s="11" t="s">
        <v>1172</v>
      </c>
      <c r="C560" s="11">
        <v>45</v>
      </c>
      <c r="D560" s="11" t="s">
        <v>49</v>
      </c>
      <c r="E560" s="11" t="s">
        <v>42</v>
      </c>
      <c r="F560" s="11" t="s">
        <v>51</v>
      </c>
      <c r="G560" s="11" t="s">
        <v>94</v>
      </c>
      <c r="H560" s="11" t="s">
        <v>46</v>
      </c>
      <c r="I560" s="11" t="s">
        <v>46</v>
      </c>
      <c r="J560" s="11">
        <v>0.38</v>
      </c>
      <c r="K560" s="12">
        <v>43827</v>
      </c>
      <c r="L560" s="13" t="str" cm="1">
        <f t="array" ref="L560">_xlfn.IFS(
  OR(ISBLANK(A560),ISBLANK(C560),ISBLANK(J560)),"Missing Value",
  OR(C560&lt;18,C560&gt;120),"Review – Out of Range (Age)",
  J560&lt;0,"Review – Out of Range (Risk Score)",
  TRUE,"OK"
)</f>
        <v>OK</v>
      </c>
    </row>
    <row r="561" spans="1:12" ht="16.8" x14ac:dyDescent="0.3">
      <c r="A561" s="14" t="s">
        <v>1173</v>
      </c>
      <c r="B561" s="14" t="s">
        <v>1174</v>
      </c>
      <c r="C561" s="14">
        <v>34</v>
      </c>
      <c r="D561" s="14" t="s">
        <v>41</v>
      </c>
      <c r="E561" s="14" t="s">
        <v>42</v>
      </c>
      <c r="F561" s="14" t="s">
        <v>65</v>
      </c>
      <c r="G561" s="14" t="s">
        <v>60</v>
      </c>
      <c r="H561" s="14" t="s">
        <v>45</v>
      </c>
      <c r="I561" s="14" t="s">
        <v>45</v>
      </c>
      <c r="J561" s="14">
        <v>0.46</v>
      </c>
      <c r="K561" s="15">
        <v>43526</v>
      </c>
      <c r="L561" s="13" t="str" cm="1">
        <f t="array" ref="L561">_xlfn.IFS(
  OR(ISBLANK(A561),ISBLANK(C561),ISBLANK(J561)),"Missing Value",
  OR(C561&lt;18,C561&gt;120),"Review – Out of Range (Age)",
  J561&lt;0,"Review – Out of Range (Risk Score)",
  TRUE,"OK"
)</f>
        <v>OK</v>
      </c>
    </row>
    <row r="562" spans="1:12" ht="16.8" x14ac:dyDescent="0.3">
      <c r="A562" s="11" t="s">
        <v>1175</v>
      </c>
      <c r="B562" s="11" t="s">
        <v>1176</v>
      </c>
      <c r="C562" s="11">
        <v>32</v>
      </c>
      <c r="D562" s="11" t="s">
        <v>41</v>
      </c>
      <c r="E562" s="11" t="s">
        <v>50</v>
      </c>
      <c r="F562" s="11" t="s">
        <v>43</v>
      </c>
      <c r="G562" s="11" t="s">
        <v>52</v>
      </c>
      <c r="H562" s="11" t="s">
        <v>45</v>
      </c>
      <c r="I562" s="11" t="s">
        <v>45</v>
      </c>
      <c r="J562" s="11">
        <v>0.67</v>
      </c>
      <c r="K562" s="12">
        <v>44537</v>
      </c>
      <c r="L562" s="13" t="str" cm="1">
        <f t="array" ref="L562">_xlfn.IFS(
  OR(ISBLANK(A562),ISBLANK(C562),ISBLANK(J562)),"Missing Value",
  OR(C562&lt;18,C562&gt;120),"Review – Out of Range (Age)",
  J562&lt;0,"Review – Out of Range (Risk Score)",
  TRUE,"OK"
)</f>
        <v>OK</v>
      </c>
    </row>
    <row r="563" spans="1:12" ht="16.8" x14ac:dyDescent="0.3">
      <c r="A563" s="14" t="s">
        <v>1177</v>
      </c>
      <c r="B563" s="14" t="s">
        <v>1178</v>
      </c>
      <c r="C563" s="14">
        <v>39</v>
      </c>
      <c r="D563" s="14" t="s">
        <v>49</v>
      </c>
      <c r="E563" s="14" t="s">
        <v>58</v>
      </c>
      <c r="F563" s="14" t="s">
        <v>43</v>
      </c>
      <c r="G563" s="14" t="s">
        <v>44</v>
      </c>
      <c r="H563" s="14" t="s">
        <v>46</v>
      </c>
      <c r="I563" s="14" t="s">
        <v>46</v>
      </c>
      <c r="J563" s="14">
        <v>0</v>
      </c>
      <c r="K563" s="15">
        <v>44930</v>
      </c>
      <c r="L563" s="13" t="str" cm="1">
        <f t="array" ref="L563">_xlfn.IFS(
  OR(ISBLANK(A563),ISBLANK(C563),ISBLANK(J563)),"Missing Value",
  OR(C563&lt;18,C563&gt;120),"Review – Out of Range (Age)",
  J563&lt;0,"Review – Out of Range (Risk Score)",
  TRUE,"OK"
)</f>
        <v>OK</v>
      </c>
    </row>
    <row r="564" spans="1:12" ht="16.8" x14ac:dyDescent="0.3">
      <c r="A564" s="11" t="s">
        <v>1179</v>
      </c>
      <c r="B564" s="11" t="s">
        <v>1180</v>
      </c>
      <c r="C564" s="11">
        <v>45</v>
      </c>
      <c r="D564" s="11" t="s">
        <v>49</v>
      </c>
      <c r="E564" s="11" t="s">
        <v>58</v>
      </c>
      <c r="F564" s="11" t="s">
        <v>59</v>
      </c>
      <c r="G564" s="11" t="s">
        <v>44</v>
      </c>
      <c r="H564" s="11" t="s">
        <v>45</v>
      </c>
      <c r="I564" s="11" t="s">
        <v>45</v>
      </c>
      <c r="J564" s="11">
        <v>0.28999999999999998</v>
      </c>
      <c r="K564" s="12">
        <v>44454</v>
      </c>
      <c r="L564" s="13" t="str" cm="1">
        <f t="array" ref="L564">_xlfn.IFS(
  OR(ISBLANK(A564),ISBLANK(C564),ISBLANK(J564)),"Missing Value",
  OR(C564&lt;18,C564&gt;120),"Review – Out of Range (Age)",
  J564&lt;0,"Review – Out of Range (Risk Score)",
  TRUE,"OK"
)</f>
        <v>OK</v>
      </c>
    </row>
    <row r="565" spans="1:12" ht="16.8" x14ac:dyDescent="0.3">
      <c r="A565" s="14" t="s">
        <v>1181</v>
      </c>
      <c r="B565" s="14" t="s">
        <v>1182</v>
      </c>
      <c r="C565" s="14">
        <v>21</v>
      </c>
      <c r="D565" s="14" t="s">
        <v>49</v>
      </c>
      <c r="E565" s="14" t="s">
        <v>42</v>
      </c>
      <c r="F565" s="14" t="s">
        <v>59</v>
      </c>
      <c r="G565" s="14" t="s">
        <v>44</v>
      </c>
      <c r="H565" s="14" t="s">
        <v>46</v>
      </c>
      <c r="I565" s="14" t="s">
        <v>46</v>
      </c>
      <c r="J565" s="14">
        <v>0.71</v>
      </c>
      <c r="K565" s="15">
        <v>44863</v>
      </c>
      <c r="L565" s="13" t="str" cm="1">
        <f t="array" ref="L565">_xlfn.IFS(
  OR(ISBLANK(A565),ISBLANK(C565),ISBLANK(J565)),"Missing Value",
  OR(C565&lt;18,C565&gt;120),"Review – Out of Range (Age)",
  J565&lt;0,"Review – Out of Range (Risk Score)",
  TRUE,"OK"
)</f>
        <v>OK</v>
      </c>
    </row>
    <row r="566" spans="1:12" ht="16.8" x14ac:dyDescent="0.3">
      <c r="A566" s="11" t="s">
        <v>1183</v>
      </c>
      <c r="B566" s="11" t="s">
        <v>1184</v>
      </c>
      <c r="C566" s="11">
        <v>24</v>
      </c>
      <c r="D566" s="11" t="s">
        <v>41</v>
      </c>
      <c r="E566" s="11" t="s">
        <v>50</v>
      </c>
      <c r="F566" s="11" t="s">
        <v>51</v>
      </c>
      <c r="G566" s="11" t="s">
        <v>109</v>
      </c>
      <c r="H566" s="11" t="s">
        <v>46</v>
      </c>
      <c r="I566" s="11" t="s">
        <v>45</v>
      </c>
      <c r="J566" s="11">
        <v>0.48</v>
      </c>
      <c r="K566" s="12">
        <v>43103</v>
      </c>
      <c r="L566" s="13" t="str" cm="1">
        <f t="array" ref="L566">_xlfn.IFS(
  OR(ISBLANK(A566),ISBLANK(C566),ISBLANK(J566)),"Missing Value",
  OR(C566&lt;18,C566&gt;120),"Review – Out of Range (Age)",
  J566&lt;0,"Review – Out of Range (Risk Score)",
  TRUE,"OK"
)</f>
        <v>OK</v>
      </c>
    </row>
    <row r="567" spans="1:12" ht="16.8" x14ac:dyDescent="0.3">
      <c r="A567" s="14" t="s">
        <v>1185</v>
      </c>
      <c r="B567" s="14" t="s">
        <v>1186</v>
      </c>
      <c r="C567" s="14">
        <v>29</v>
      </c>
      <c r="D567" s="14" t="s">
        <v>41</v>
      </c>
      <c r="E567" s="14" t="s">
        <v>42</v>
      </c>
      <c r="F567" s="14" t="s">
        <v>43</v>
      </c>
      <c r="G567" s="14" t="s">
        <v>52</v>
      </c>
      <c r="H567" s="14" t="s">
        <v>46</v>
      </c>
      <c r="I567" s="14" t="s">
        <v>45</v>
      </c>
      <c r="J567" s="14">
        <v>0.52</v>
      </c>
      <c r="K567" s="15">
        <v>44104</v>
      </c>
      <c r="L567" s="13" t="str" cm="1">
        <f t="array" ref="L567">_xlfn.IFS(
  OR(ISBLANK(A567),ISBLANK(C567),ISBLANK(J567)),"Missing Value",
  OR(C567&lt;18,C567&gt;120),"Review – Out of Range (Age)",
  J567&lt;0,"Review – Out of Range (Risk Score)",
  TRUE,"OK"
)</f>
        <v>OK</v>
      </c>
    </row>
    <row r="568" spans="1:12" ht="16.8" x14ac:dyDescent="0.3">
      <c r="A568" s="11" t="s">
        <v>1187</v>
      </c>
      <c r="B568" s="11" t="s">
        <v>1188</v>
      </c>
      <c r="C568" s="11">
        <v>55</v>
      </c>
      <c r="D568" s="11" t="s">
        <v>49</v>
      </c>
      <c r="E568" s="11" t="s">
        <v>58</v>
      </c>
      <c r="F568" s="11" t="s">
        <v>51</v>
      </c>
      <c r="G568" s="11" t="s">
        <v>52</v>
      </c>
      <c r="H568" s="11" t="s">
        <v>46</v>
      </c>
      <c r="I568" s="11" t="s">
        <v>46</v>
      </c>
      <c r="J568" s="11">
        <v>0.5</v>
      </c>
      <c r="K568" s="12">
        <v>44287</v>
      </c>
      <c r="L568" s="13" t="str" cm="1">
        <f t="array" ref="L568">_xlfn.IFS(
  OR(ISBLANK(A568),ISBLANK(C568),ISBLANK(J568)),"Missing Value",
  OR(C568&lt;18,C568&gt;120),"Review – Out of Range (Age)",
  J568&lt;0,"Review – Out of Range (Risk Score)",
  TRUE,"OK"
)</f>
        <v>OK</v>
      </c>
    </row>
    <row r="569" spans="1:12" ht="16.8" x14ac:dyDescent="0.3">
      <c r="A569" s="14" t="s">
        <v>1189</v>
      </c>
      <c r="B569" s="14" t="s">
        <v>1190</v>
      </c>
      <c r="C569" s="14">
        <v>48</v>
      </c>
      <c r="D569" s="14" t="s">
        <v>41</v>
      </c>
      <c r="E569" s="14" t="s">
        <v>58</v>
      </c>
      <c r="F569" s="14" t="s">
        <v>51</v>
      </c>
      <c r="G569" s="14" t="s">
        <v>52</v>
      </c>
      <c r="H569" s="14" t="s">
        <v>45</v>
      </c>
      <c r="I569" s="14" t="s">
        <v>46</v>
      </c>
      <c r="J569" s="14">
        <v>0.75</v>
      </c>
      <c r="K569" s="15">
        <v>44807</v>
      </c>
      <c r="L569" s="13" t="str" cm="1">
        <f t="array" ref="L569">_xlfn.IFS(
  OR(ISBLANK(A569),ISBLANK(C569),ISBLANK(J569)),"Missing Value",
  OR(C569&lt;18,C569&gt;120),"Review – Out of Range (Age)",
  J569&lt;0,"Review – Out of Range (Risk Score)",
  TRUE,"OK"
)</f>
        <v>OK</v>
      </c>
    </row>
    <row r="570" spans="1:12" ht="16.8" x14ac:dyDescent="0.3">
      <c r="A570" s="11" t="s">
        <v>1191</v>
      </c>
      <c r="B570" s="11" t="s">
        <v>1192</v>
      </c>
      <c r="C570" s="11">
        <v>51</v>
      </c>
      <c r="D570" s="11" t="s">
        <v>41</v>
      </c>
      <c r="E570" s="11" t="s">
        <v>50</v>
      </c>
      <c r="F570" s="11" t="s">
        <v>43</v>
      </c>
      <c r="G570" s="11" t="s">
        <v>94</v>
      </c>
      <c r="H570" s="11" t="s">
        <v>45</v>
      </c>
      <c r="I570" s="11" t="s">
        <v>46</v>
      </c>
      <c r="J570" s="11">
        <v>0.33</v>
      </c>
      <c r="K570" s="12">
        <v>43412</v>
      </c>
      <c r="L570" s="13" t="str" cm="1">
        <f t="array" ref="L570">_xlfn.IFS(
  OR(ISBLANK(A570),ISBLANK(C570),ISBLANK(J570)),"Missing Value",
  OR(C570&lt;18,C570&gt;120),"Review – Out of Range (Age)",
  J570&lt;0,"Review – Out of Range (Risk Score)",
  TRUE,"OK"
)</f>
        <v>OK</v>
      </c>
    </row>
    <row r="571" spans="1:12" ht="16.8" x14ac:dyDescent="0.3">
      <c r="A571" s="14" t="s">
        <v>1193</v>
      </c>
      <c r="B571" s="14" t="s">
        <v>1194</v>
      </c>
      <c r="C571" s="14">
        <v>25</v>
      </c>
      <c r="D571" s="14" t="s">
        <v>49</v>
      </c>
      <c r="E571" s="14" t="s">
        <v>58</v>
      </c>
      <c r="F571" s="14" t="s">
        <v>59</v>
      </c>
      <c r="G571" s="14" t="s">
        <v>44</v>
      </c>
      <c r="H571" s="14" t="s">
        <v>45</v>
      </c>
      <c r="I571" s="14" t="s">
        <v>45</v>
      </c>
      <c r="J571" s="14">
        <v>0.23</v>
      </c>
      <c r="K571" s="15">
        <v>43940</v>
      </c>
      <c r="L571" s="13" t="str" cm="1">
        <f t="array" ref="L571">_xlfn.IFS(
  OR(ISBLANK(A571),ISBLANK(C571),ISBLANK(J571)),"Missing Value",
  OR(C571&lt;18,C571&gt;120),"Review – Out of Range (Age)",
  J571&lt;0,"Review – Out of Range (Risk Score)",
  TRUE,"OK"
)</f>
        <v>OK</v>
      </c>
    </row>
    <row r="572" spans="1:12" ht="16.8" x14ac:dyDescent="0.3">
      <c r="A572" s="11" t="s">
        <v>1195</v>
      </c>
      <c r="B572" s="11" t="s">
        <v>1196</v>
      </c>
      <c r="C572" s="11">
        <v>61</v>
      </c>
      <c r="D572" s="11" t="s">
        <v>49</v>
      </c>
      <c r="E572" s="11" t="s">
        <v>50</v>
      </c>
      <c r="F572" s="11" t="s">
        <v>65</v>
      </c>
      <c r="G572" s="11" t="s">
        <v>109</v>
      </c>
      <c r="H572" s="11" t="s">
        <v>45</v>
      </c>
      <c r="I572" s="11" t="s">
        <v>45</v>
      </c>
      <c r="J572" s="11">
        <v>0.4</v>
      </c>
      <c r="K572" s="12">
        <v>45173</v>
      </c>
      <c r="L572" s="13" t="str" cm="1">
        <f t="array" ref="L572">_xlfn.IFS(
  OR(ISBLANK(A572),ISBLANK(C572),ISBLANK(J572)),"Missing Value",
  OR(C572&lt;18,C572&gt;120),"Review – Out of Range (Age)",
  J572&lt;0,"Review – Out of Range (Risk Score)",
  TRUE,"OK"
)</f>
        <v>OK</v>
      </c>
    </row>
    <row r="573" spans="1:12" ht="16.8" x14ac:dyDescent="0.3">
      <c r="A573" s="14" t="s">
        <v>1197</v>
      </c>
      <c r="B573" s="14" t="s">
        <v>1198</v>
      </c>
      <c r="C573" s="14">
        <v>31</v>
      </c>
      <c r="D573" s="14" t="s">
        <v>49</v>
      </c>
      <c r="E573" s="14" t="s">
        <v>58</v>
      </c>
      <c r="F573" s="14" t="s">
        <v>65</v>
      </c>
      <c r="G573" s="14" t="s">
        <v>94</v>
      </c>
      <c r="H573" s="14" t="s">
        <v>45</v>
      </c>
      <c r="I573" s="14" t="s">
        <v>46</v>
      </c>
      <c r="J573" s="14">
        <v>0.68</v>
      </c>
      <c r="K573" s="15">
        <v>44883</v>
      </c>
      <c r="L573" s="13" t="str" cm="1">
        <f t="array" ref="L573">_xlfn.IFS(
  OR(ISBLANK(A573),ISBLANK(C573),ISBLANK(J573)),"Missing Value",
  OR(C573&lt;18,C573&gt;120),"Review – Out of Range (Age)",
  J573&lt;0,"Review – Out of Range (Risk Score)",
  TRUE,"OK"
)</f>
        <v>OK</v>
      </c>
    </row>
    <row r="574" spans="1:12" ht="16.8" x14ac:dyDescent="0.3">
      <c r="A574" s="11" t="s">
        <v>1199</v>
      </c>
      <c r="B574" s="11" t="s">
        <v>1200</v>
      </c>
      <c r="C574" s="11">
        <v>35</v>
      </c>
      <c r="D574" s="11" t="s">
        <v>41</v>
      </c>
      <c r="E574" s="11" t="s">
        <v>50</v>
      </c>
      <c r="F574" s="11" t="s">
        <v>65</v>
      </c>
      <c r="G574" s="11" t="s">
        <v>60</v>
      </c>
      <c r="H574" s="11" t="s">
        <v>45</v>
      </c>
      <c r="I574" s="11" t="s">
        <v>45</v>
      </c>
      <c r="J574" s="11">
        <v>0.59</v>
      </c>
      <c r="K574" s="12">
        <v>44128</v>
      </c>
      <c r="L574" s="13" t="str" cm="1">
        <f t="array" ref="L574">_xlfn.IFS(
  OR(ISBLANK(A574),ISBLANK(C574),ISBLANK(J574)),"Missing Value",
  OR(C574&lt;18,C574&gt;120),"Review – Out of Range (Age)",
  J574&lt;0,"Review – Out of Range (Risk Score)",
  TRUE,"OK"
)</f>
        <v>OK</v>
      </c>
    </row>
    <row r="575" spans="1:12" ht="16.8" x14ac:dyDescent="0.3">
      <c r="A575" s="14" t="s">
        <v>1201</v>
      </c>
      <c r="B575" s="14" t="s">
        <v>1202</v>
      </c>
      <c r="C575" s="14">
        <v>25</v>
      </c>
      <c r="D575" s="14" t="s">
        <v>49</v>
      </c>
      <c r="E575" s="14" t="s">
        <v>58</v>
      </c>
      <c r="F575" s="14" t="s">
        <v>43</v>
      </c>
      <c r="G575" s="14" t="s">
        <v>52</v>
      </c>
      <c r="H575" s="14" t="s">
        <v>46</v>
      </c>
      <c r="I575" s="14" t="s">
        <v>45</v>
      </c>
      <c r="J575" s="14">
        <v>0.57999999999999996</v>
      </c>
      <c r="K575" s="15">
        <v>43747</v>
      </c>
      <c r="L575" s="13" t="str" cm="1">
        <f t="array" ref="L575">_xlfn.IFS(
  OR(ISBLANK(A575),ISBLANK(C575),ISBLANK(J575)),"Missing Value",
  OR(C575&lt;18,C575&gt;120),"Review – Out of Range (Age)",
  J575&lt;0,"Review – Out of Range (Risk Score)",
  TRUE,"OK"
)</f>
        <v>OK</v>
      </c>
    </row>
    <row r="576" spans="1:12" ht="16.8" x14ac:dyDescent="0.3">
      <c r="A576" s="11" t="s">
        <v>1203</v>
      </c>
      <c r="B576" s="11" t="s">
        <v>1204</v>
      </c>
      <c r="C576" s="11">
        <v>52</v>
      </c>
      <c r="D576" s="11" t="s">
        <v>49</v>
      </c>
      <c r="E576" s="11" t="s">
        <v>58</v>
      </c>
      <c r="F576" s="11" t="s">
        <v>51</v>
      </c>
      <c r="G576" s="11" t="s">
        <v>109</v>
      </c>
      <c r="H576" s="11" t="s">
        <v>46</v>
      </c>
      <c r="I576" s="11" t="s">
        <v>45</v>
      </c>
      <c r="J576" s="11">
        <v>0.46</v>
      </c>
      <c r="K576" s="12">
        <v>44461</v>
      </c>
      <c r="L576" s="13" t="str" cm="1">
        <f t="array" ref="L576">_xlfn.IFS(
  OR(ISBLANK(A576),ISBLANK(C576),ISBLANK(J576)),"Missing Value",
  OR(C576&lt;18,C576&gt;120),"Review – Out of Range (Age)",
  J576&lt;0,"Review – Out of Range (Risk Score)",
  TRUE,"OK"
)</f>
        <v>OK</v>
      </c>
    </row>
    <row r="577" spans="1:12" ht="16.8" x14ac:dyDescent="0.3">
      <c r="A577" s="14" t="s">
        <v>1205</v>
      </c>
      <c r="B577" s="14" t="s">
        <v>1206</v>
      </c>
      <c r="C577" s="14">
        <v>25</v>
      </c>
      <c r="D577" s="14" t="s">
        <v>41</v>
      </c>
      <c r="E577" s="14" t="s">
        <v>58</v>
      </c>
      <c r="F577" s="14" t="s">
        <v>51</v>
      </c>
      <c r="G577" s="14" t="s">
        <v>52</v>
      </c>
      <c r="H577" s="14" t="s">
        <v>45</v>
      </c>
      <c r="I577" s="14" t="s">
        <v>45</v>
      </c>
      <c r="J577" s="14">
        <v>0.48</v>
      </c>
      <c r="K577" s="15">
        <v>43565</v>
      </c>
      <c r="L577" s="13" t="str" cm="1">
        <f t="array" ref="L577">_xlfn.IFS(
  OR(ISBLANK(A577),ISBLANK(C577),ISBLANK(J577)),"Missing Value",
  OR(C577&lt;18,C577&gt;120),"Review – Out of Range (Age)",
  J577&lt;0,"Review – Out of Range (Risk Score)",
  TRUE,"OK"
)</f>
        <v>OK</v>
      </c>
    </row>
    <row r="578" spans="1:12" ht="16.8" x14ac:dyDescent="0.3">
      <c r="A578" s="11" t="s">
        <v>1207</v>
      </c>
      <c r="B578" s="11" t="s">
        <v>1208</v>
      </c>
      <c r="C578" s="11">
        <v>52</v>
      </c>
      <c r="D578" s="11" t="s">
        <v>49</v>
      </c>
      <c r="E578" s="11" t="s">
        <v>50</v>
      </c>
      <c r="F578" s="11" t="s">
        <v>51</v>
      </c>
      <c r="G578" s="11" t="s">
        <v>109</v>
      </c>
      <c r="H578" s="11" t="s">
        <v>46</v>
      </c>
      <c r="I578" s="11" t="s">
        <v>45</v>
      </c>
      <c r="J578" s="11">
        <v>0.65</v>
      </c>
      <c r="K578" s="12">
        <v>44341</v>
      </c>
      <c r="L578" s="13" t="str" cm="1">
        <f t="array" ref="L578">_xlfn.IFS(
  OR(ISBLANK(A578),ISBLANK(C578),ISBLANK(J578)),"Missing Value",
  OR(C578&lt;18,C578&gt;120),"Review – Out of Range (Age)",
  J578&lt;0,"Review – Out of Range (Risk Score)",
  TRUE,"OK"
)</f>
        <v>OK</v>
      </c>
    </row>
    <row r="579" spans="1:12" ht="16.8" x14ac:dyDescent="0.3">
      <c r="A579" s="14" t="s">
        <v>1209</v>
      </c>
      <c r="B579" s="14" t="s">
        <v>1210</v>
      </c>
      <c r="C579" s="14">
        <v>31</v>
      </c>
      <c r="D579" s="14" t="s">
        <v>41</v>
      </c>
      <c r="E579" s="14" t="s">
        <v>58</v>
      </c>
      <c r="F579" s="14" t="s">
        <v>43</v>
      </c>
      <c r="G579" s="14" t="s">
        <v>60</v>
      </c>
      <c r="H579" s="14" t="s">
        <v>45</v>
      </c>
      <c r="I579" s="14" t="s">
        <v>46</v>
      </c>
      <c r="J579" s="14">
        <v>0.53</v>
      </c>
      <c r="K579" s="15">
        <v>43652</v>
      </c>
      <c r="L579" s="13" t="str" cm="1">
        <f t="array" ref="L579">_xlfn.IFS(
  OR(ISBLANK(A579),ISBLANK(C579),ISBLANK(J579)),"Missing Value",
  OR(C579&lt;18,C579&gt;120),"Review – Out of Range (Age)",
  J579&lt;0,"Review – Out of Range (Risk Score)",
  TRUE,"OK"
)</f>
        <v>OK</v>
      </c>
    </row>
    <row r="580" spans="1:12" ht="16.8" x14ac:dyDescent="0.3">
      <c r="A580" s="11" t="s">
        <v>1211</v>
      </c>
      <c r="B580" s="11" t="s">
        <v>1212</v>
      </c>
      <c r="C580" s="11">
        <v>30</v>
      </c>
      <c r="D580" s="11" t="s">
        <v>41</v>
      </c>
      <c r="E580" s="11" t="s">
        <v>42</v>
      </c>
      <c r="F580" s="11" t="s">
        <v>65</v>
      </c>
      <c r="G580" s="11" t="s">
        <v>60</v>
      </c>
      <c r="H580" s="11" t="s">
        <v>45</v>
      </c>
      <c r="I580" s="11" t="s">
        <v>45</v>
      </c>
      <c r="J580" s="11">
        <v>0.37</v>
      </c>
      <c r="K580" s="12">
        <v>44386</v>
      </c>
      <c r="L580" s="13" t="str" cm="1">
        <f t="array" ref="L580">_xlfn.IFS(
  OR(ISBLANK(A580),ISBLANK(C580),ISBLANK(J580)),"Missing Value",
  OR(C580&lt;18,C580&gt;120),"Review – Out of Range (Age)",
  J580&lt;0,"Review – Out of Range (Risk Score)",
  TRUE,"OK"
)</f>
        <v>OK</v>
      </c>
    </row>
    <row r="581" spans="1:12" ht="16.8" x14ac:dyDescent="0.3">
      <c r="A581" s="14" t="s">
        <v>1213</v>
      </c>
      <c r="B581" s="14" t="s">
        <v>1214</v>
      </c>
      <c r="C581" s="14">
        <v>62</v>
      </c>
      <c r="D581" s="14" t="s">
        <v>41</v>
      </c>
      <c r="E581" s="14" t="s">
        <v>50</v>
      </c>
      <c r="F581" s="14" t="s">
        <v>43</v>
      </c>
      <c r="G581" s="14" t="s">
        <v>60</v>
      </c>
      <c r="H581" s="14" t="s">
        <v>46</v>
      </c>
      <c r="I581" s="14" t="s">
        <v>46</v>
      </c>
      <c r="J581" s="14">
        <v>0.5</v>
      </c>
      <c r="K581" s="15">
        <v>44753</v>
      </c>
      <c r="L581" s="13" t="str" cm="1">
        <f t="array" ref="L581">_xlfn.IFS(
  OR(ISBLANK(A581),ISBLANK(C581),ISBLANK(J581)),"Missing Value",
  OR(C581&lt;18,C581&gt;120),"Review – Out of Range (Age)",
  J581&lt;0,"Review – Out of Range (Risk Score)",
  TRUE,"OK"
)</f>
        <v>OK</v>
      </c>
    </row>
    <row r="582" spans="1:12" ht="16.8" x14ac:dyDescent="0.3">
      <c r="A582" s="11" t="s">
        <v>1215</v>
      </c>
      <c r="B582" s="11" t="s">
        <v>1216</v>
      </c>
      <c r="C582" s="11">
        <v>45</v>
      </c>
      <c r="D582" s="11" t="s">
        <v>41</v>
      </c>
      <c r="E582" s="11" t="s">
        <v>50</v>
      </c>
      <c r="F582" s="11" t="s">
        <v>43</v>
      </c>
      <c r="G582" s="11" t="s">
        <v>109</v>
      </c>
      <c r="H582" s="11" t="s">
        <v>45</v>
      </c>
      <c r="I582" s="11" t="s">
        <v>45</v>
      </c>
      <c r="J582" s="11">
        <v>0.46</v>
      </c>
      <c r="K582" s="12">
        <v>45028</v>
      </c>
      <c r="L582" s="13" t="str" cm="1">
        <f t="array" ref="L582">_xlfn.IFS(
  OR(ISBLANK(A582),ISBLANK(C582),ISBLANK(J582)),"Missing Value",
  OR(C582&lt;18,C582&gt;120),"Review – Out of Range (Age)",
  J582&lt;0,"Review – Out of Range (Risk Score)",
  TRUE,"OK"
)</f>
        <v>OK</v>
      </c>
    </row>
    <row r="583" spans="1:12" ht="16.8" x14ac:dyDescent="0.3">
      <c r="A583" s="14" t="s">
        <v>1217</v>
      </c>
      <c r="B583" s="14" t="s">
        <v>1218</v>
      </c>
      <c r="C583" s="14">
        <v>42</v>
      </c>
      <c r="D583" s="14" t="s">
        <v>41</v>
      </c>
      <c r="E583" s="14" t="s">
        <v>50</v>
      </c>
      <c r="F583" s="14" t="s">
        <v>43</v>
      </c>
      <c r="G583" s="14" t="s">
        <v>60</v>
      </c>
      <c r="H583" s="14" t="s">
        <v>45</v>
      </c>
      <c r="I583" s="14" t="s">
        <v>45</v>
      </c>
      <c r="J583" s="14">
        <v>0.43</v>
      </c>
      <c r="K583" s="15">
        <v>44114</v>
      </c>
      <c r="L583" s="13" t="str" cm="1">
        <f t="array" ref="L583">_xlfn.IFS(
  OR(ISBLANK(A583),ISBLANK(C583),ISBLANK(J583)),"Missing Value",
  OR(C583&lt;18,C583&gt;120),"Review – Out of Range (Age)",
  J583&lt;0,"Review – Out of Range (Risk Score)",
  TRUE,"OK"
)</f>
        <v>OK</v>
      </c>
    </row>
    <row r="584" spans="1:12" ht="16.8" x14ac:dyDescent="0.3">
      <c r="A584" s="11" t="s">
        <v>1219</v>
      </c>
      <c r="B584" s="11" t="s">
        <v>1220</v>
      </c>
      <c r="C584" s="11">
        <v>54</v>
      </c>
      <c r="D584" s="11" t="s">
        <v>41</v>
      </c>
      <c r="E584" s="11" t="s">
        <v>50</v>
      </c>
      <c r="F584" s="11" t="s">
        <v>43</v>
      </c>
      <c r="G584" s="11" t="s">
        <v>44</v>
      </c>
      <c r="H584" s="11" t="s">
        <v>46</v>
      </c>
      <c r="I584" s="11" t="s">
        <v>46</v>
      </c>
      <c r="J584" s="11">
        <v>0.65</v>
      </c>
      <c r="K584" s="12">
        <v>44892</v>
      </c>
      <c r="L584" s="13" t="str" cm="1">
        <f t="array" ref="L584">_xlfn.IFS(
  OR(ISBLANK(A584),ISBLANK(C584),ISBLANK(J584)),"Missing Value",
  OR(C584&lt;18,C584&gt;120),"Review – Out of Range (Age)",
  J584&lt;0,"Review – Out of Range (Risk Score)",
  TRUE,"OK"
)</f>
        <v>OK</v>
      </c>
    </row>
    <row r="585" spans="1:12" ht="16.8" x14ac:dyDescent="0.3">
      <c r="A585" s="14" t="s">
        <v>1221</v>
      </c>
      <c r="B585" s="14" t="s">
        <v>1222</v>
      </c>
      <c r="C585" s="14">
        <v>51</v>
      </c>
      <c r="D585" s="14" t="s">
        <v>49</v>
      </c>
      <c r="E585" s="14" t="s">
        <v>58</v>
      </c>
      <c r="F585" s="14" t="s">
        <v>51</v>
      </c>
      <c r="G585" s="14" t="s">
        <v>55</v>
      </c>
      <c r="H585" s="14" t="s">
        <v>45</v>
      </c>
      <c r="I585" s="14" t="s">
        <v>45</v>
      </c>
      <c r="J585" s="14">
        <v>0.95</v>
      </c>
      <c r="K585" s="15">
        <v>44591</v>
      </c>
      <c r="L585" s="13" t="str" cm="1">
        <f t="array" ref="L585">_xlfn.IFS(
  OR(ISBLANK(A585),ISBLANK(C585),ISBLANK(J585)),"Missing Value",
  OR(C585&lt;18,C585&gt;120),"Review – Out of Range (Age)",
  J585&lt;0,"Review – Out of Range (Risk Score)",
  TRUE,"OK"
)</f>
        <v>OK</v>
      </c>
    </row>
    <row r="586" spans="1:12" ht="16.8" x14ac:dyDescent="0.3">
      <c r="A586" s="11" t="s">
        <v>1223</v>
      </c>
      <c r="B586" s="11" t="s">
        <v>1224</v>
      </c>
      <c r="C586" s="11">
        <v>59</v>
      </c>
      <c r="D586" s="11" t="s">
        <v>41</v>
      </c>
      <c r="E586" s="11" t="s">
        <v>58</v>
      </c>
      <c r="F586" s="11" t="s">
        <v>59</v>
      </c>
      <c r="G586" s="11" t="s">
        <v>109</v>
      </c>
      <c r="H586" s="11" t="s">
        <v>45</v>
      </c>
      <c r="I586" s="11" t="s">
        <v>46</v>
      </c>
      <c r="J586" s="11">
        <v>0.3</v>
      </c>
      <c r="K586" s="12">
        <v>43212</v>
      </c>
      <c r="L586" s="13" t="str" cm="1">
        <f t="array" ref="L586">_xlfn.IFS(
  OR(ISBLANK(A586),ISBLANK(C586),ISBLANK(J586)),"Missing Value",
  OR(C586&lt;18,C586&gt;120),"Review – Out of Range (Age)",
  J586&lt;0,"Review – Out of Range (Risk Score)",
  TRUE,"OK"
)</f>
        <v>OK</v>
      </c>
    </row>
    <row r="587" spans="1:12" ht="16.8" x14ac:dyDescent="0.3">
      <c r="A587" s="14" t="s">
        <v>1225</v>
      </c>
      <c r="B587" s="14" t="s">
        <v>1226</v>
      </c>
      <c r="C587" s="14">
        <v>30</v>
      </c>
      <c r="D587" s="14" t="s">
        <v>41</v>
      </c>
      <c r="E587" s="14" t="s">
        <v>42</v>
      </c>
      <c r="F587" s="14" t="s">
        <v>43</v>
      </c>
      <c r="G587" s="14" t="s">
        <v>109</v>
      </c>
      <c r="H587" s="14" t="s">
        <v>46</v>
      </c>
      <c r="I587" s="14" t="s">
        <v>46</v>
      </c>
      <c r="J587" s="14">
        <v>0.63</v>
      </c>
      <c r="K587" s="15">
        <v>43705</v>
      </c>
      <c r="L587" s="13" t="str" cm="1">
        <f t="array" ref="L587">_xlfn.IFS(
  OR(ISBLANK(A587),ISBLANK(C587),ISBLANK(J587)),"Missing Value",
  OR(C587&lt;18,C587&gt;120),"Review – Out of Range (Age)",
  J587&lt;0,"Review – Out of Range (Risk Score)",
  TRUE,"OK"
)</f>
        <v>OK</v>
      </c>
    </row>
    <row r="588" spans="1:12" ht="16.8" x14ac:dyDescent="0.3">
      <c r="A588" s="11" t="s">
        <v>1227</v>
      </c>
      <c r="B588" s="11" t="s">
        <v>1228</v>
      </c>
      <c r="C588" s="11">
        <v>64</v>
      </c>
      <c r="D588" s="11" t="s">
        <v>49</v>
      </c>
      <c r="E588" s="11" t="s">
        <v>58</v>
      </c>
      <c r="F588" s="11" t="s">
        <v>59</v>
      </c>
      <c r="G588" s="11" t="s">
        <v>44</v>
      </c>
      <c r="H588" s="11" t="s">
        <v>46</v>
      </c>
      <c r="I588" s="11" t="s">
        <v>45</v>
      </c>
      <c r="J588" s="11">
        <v>0.35</v>
      </c>
      <c r="K588" s="12">
        <v>44287</v>
      </c>
      <c r="L588" s="13" t="str" cm="1">
        <f t="array" ref="L588">_xlfn.IFS(
  OR(ISBLANK(A588),ISBLANK(C588),ISBLANK(J588)),"Missing Value",
  OR(C588&lt;18,C588&gt;120),"Review – Out of Range (Age)",
  J588&lt;0,"Review – Out of Range (Risk Score)",
  TRUE,"OK"
)</f>
        <v>OK</v>
      </c>
    </row>
    <row r="589" spans="1:12" ht="16.8" x14ac:dyDescent="0.3">
      <c r="A589" s="14" t="s">
        <v>1229</v>
      </c>
      <c r="B589" s="14" t="s">
        <v>1230</v>
      </c>
      <c r="C589" s="14">
        <v>24</v>
      </c>
      <c r="D589" s="14" t="s">
        <v>41</v>
      </c>
      <c r="E589" s="14" t="s">
        <v>50</v>
      </c>
      <c r="F589" s="14" t="s">
        <v>43</v>
      </c>
      <c r="G589" s="14" t="s">
        <v>60</v>
      </c>
      <c r="H589" s="14" t="s">
        <v>45</v>
      </c>
      <c r="I589" s="14" t="s">
        <v>45</v>
      </c>
      <c r="J589" s="14">
        <v>0.37</v>
      </c>
      <c r="K589" s="15">
        <v>43471</v>
      </c>
      <c r="L589" s="13" t="str" cm="1">
        <f t="array" ref="L589">_xlfn.IFS(
  OR(ISBLANK(A589),ISBLANK(C589),ISBLANK(J589)),"Missing Value",
  OR(C589&lt;18,C589&gt;120),"Review – Out of Range (Age)",
  J589&lt;0,"Review – Out of Range (Risk Score)",
  TRUE,"OK"
)</f>
        <v>OK</v>
      </c>
    </row>
    <row r="590" spans="1:12" ht="16.8" x14ac:dyDescent="0.3">
      <c r="A590" s="11" t="s">
        <v>1231</v>
      </c>
      <c r="B590" s="11" t="s">
        <v>1232</v>
      </c>
      <c r="C590" s="11">
        <v>55</v>
      </c>
      <c r="D590" s="11" t="s">
        <v>49</v>
      </c>
      <c r="E590" s="11" t="s">
        <v>50</v>
      </c>
      <c r="F590" s="11" t="s">
        <v>65</v>
      </c>
      <c r="G590" s="11" t="s">
        <v>60</v>
      </c>
      <c r="H590" s="11" t="s">
        <v>46</v>
      </c>
      <c r="I590" s="11" t="s">
        <v>45</v>
      </c>
      <c r="J590" s="11">
        <v>0.09</v>
      </c>
      <c r="K590" s="12">
        <v>43902</v>
      </c>
      <c r="L590" s="13" t="str" cm="1">
        <f t="array" ref="L590">_xlfn.IFS(
  OR(ISBLANK(A590),ISBLANK(C590),ISBLANK(J590)),"Missing Value",
  OR(C590&lt;18,C590&gt;120),"Review – Out of Range (Age)",
  J590&lt;0,"Review – Out of Range (Risk Score)",
  TRUE,"OK"
)</f>
        <v>OK</v>
      </c>
    </row>
    <row r="591" spans="1:12" ht="16.8" x14ac:dyDescent="0.3">
      <c r="A591" s="14" t="s">
        <v>1233</v>
      </c>
      <c r="B591" s="14" t="s">
        <v>1234</v>
      </c>
      <c r="C591" s="14">
        <v>51</v>
      </c>
      <c r="D591" s="14" t="s">
        <v>49</v>
      </c>
      <c r="E591" s="14" t="s">
        <v>58</v>
      </c>
      <c r="F591" s="14" t="s">
        <v>43</v>
      </c>
      <c r="G591" s="14" t="s">
        <v>60</v>
      </c>
      <c r="H591" s="14" t="s">
        <v>45</v>
      </c>
      <c r="I591" s="14" t="s">
        <v>46</v>
      </c>
      <c r="J591" s="14">
        <v>0.64</v>
      </c>
      <c r="K591" s="15">
        <v>44620</v>
      </c>
      <c r="L591" s="13" t="str" cm="1">
        <f t="array" ref="L591">_xlfn.IFS(
  OR(ISBLANK(A591),ISBLANK(C591),ISBLANK(J591)),"Missing Value",
  OR(C591&lt;18,C591&gt;120),"Review – Out of Range (Age)",
  J591&lt;0,"Review – Out of Range (Risk Score)",
  TRUE,"OK"
)</f>
        <v>OK</v>
      </c>
    </row>
    <row r="592" spans="1:12" ht="16.8" x14ac:dyDescent="0.3">
      <c r="A592" s="11" t="s">
        <v>1235</v>
      </c>
      <c r="B592" s="11" t="s">
        <v>1236</v>
      </c>
      <c r="C592" s="11">
        <v>39</v>
      </c>
      <c r="D592" s="11" t="s">
        <v>41</v>
      </c>
      <c r="E592" s="11" t="s">
        <v>58</v>
      </c>
      <c r="F592" s="11" t="s">
        <v>51</v>
      </c>
      <c r="G592" s="11" t="s">
        <v>52</v>
      </c>
      <c r="H592" s="11" t="s">
        <v>46</v>
      </c>
      <c r="I592" s="11" t="s">
        <v>46</v>
      </c>
      <c r="J592" s="11">
        <v>0</v>
      </c>
      <c r="K592" s="12">
        <v>43287</v>
      </c>
      <c r="L592" s="13" t="str" cm="1">
        <f t="array" ref="L592">_xlfn.IFS(
  OR(ISBLANK(A592),ISBLANK(C592),ISBLANK(J592)),"Missing Value",
  OR(C592&lt;18,C592&gt;120),"Review – Out of Range (Age)",
  J592&lt;0,"Review – Out of Range (Risk Score)",
  TRUE,"OK"
)</f>
        <v>OK</v>
      </c>
    </row>
    <row r="593" spans="1:12" ht="16.8" x14ac:dyDescent="0.3">
      <c r="A593" s="14" t="s">
        <v>1237</v>
      </c>
      <c r="B593" s="14" t="s">
        <v>1238</v>
      </c>
      <c r="C593" s="14">
        <v>50</v>
      </c>
      <c r="D593" s="14" t="s">
        <v>49</v>
      </c>
      <c r="E593" s="14" t="s">
        <v>50</v>
      </c>
      <c r="F593" s="14" t="s">
        <v>43</v>
      </c>
      <c r="G593" s="14" t="s">
        <v>44</v>
      </c>
      <c r="H593" s="14" t="s">
        <v>46</v>
      </c>
      <c r="I593" s="14" t="s">
        <v>46</v>
      </c>
      <c r="J593" s="14">
        <v>0.17</v>
      </c>
      <c r="K593" s="15">
        <v>43627</v>
      </c>
      <c r="L593" s="13" t="str" cm="1">
        <f t="array" ref="L593">_xlfn.IFS(
  OR(ISBLANK(A593),ISBLANK(C593),ISBLANK(J593)),"Missing Value",
  OR(C593&lt;18,C593&gt;120),"Review – Out of Range (Age)",
  J593&lt;0,"Review – Out of Range (Risk Score)",
  TRUE,"OK"
)</f>
        <v>OK</v>
      </c>
    </row>
    <row r="594" spans="1:12" ht="16.8" x14ac:dyDescent="0.3">
      <c r="A594" s="11" t="s">
        <v>1239</v>
      </c>
      <c r="B594" s="11" t="s">
        <v>1240</v>
      </c>
      <c r="C594" s="11">
        <v>59</v>
      </c>
      <c r="D594" s="11" t="s">
        <v>41</v>
      </c>
      <c r="E594" s="11" t="s">
        <v>58</v>
      </c>
      <c r="F594" s="11" t="s">
        <v>43</v>
      </c>
      <c r="G594" s="11" t="s">
        <v>109</v>
      </c>
      <c r="H594" s="11" t="s">
        <v>46</v>
      </c>
      <c r="I594" s="11" t="s">
        <v>45</v>
      </c>
      <c r="J594" s="11">
        <v>0.54</v>
      </c>
      <c r="K594" s="12">
        <v>43216</v>
      </c>
      <c r="L594" s="13" t="str" cm="1">
        <f t="array" ref="L594">_xlfn.IFS(
  OR(ISBLANK(A594),ISBLANK(C594),ISBLANK(J594)),"Missing Value",
  OR(C594&lt;18,C594&gt;120),"Review – Out of Range (Age)",
  J594&lt;0,"Review – Out of Range (Risk Score)",
  TRUE,"OK"
)</f>
        <v>OK</v>
      </c>
    </row>
    <row r="595" spans="1:12" ht="16.8" x14ac:dyDescent="0.3">
      <c r="A595" s="14" t="s">
        <v>1241</v>
      </c>
      <c r="B595" s="14" t="s">
        <v>1242</v>
      </c>
      <c r="C595" s="14">
        <v>66</v>
      </c>
      <c r="D595" s="14" t="s">
        <v>41</v>
      </c>
      <c r="E595" s="14" t="s">
        <v>58</v>
      </c>
      <c r="F595" s="14" t="s">
        <v>65</v>
      </c>
      <c r="G595" s="14" t="s">
        <v>60</v>
      </c>
      <c r="H595" s="14" t="s">
        <v>45</v>
      </c>
      <c r="I595" s="14" t="s">
        <v>46</v>
      </c>
      <c r="J595" s="14">
        <v>0.33</v>
      </c>
      <c r="K595" s="15">
        <v>43558</v>
      </c>
      <c r="L595" s="13" t="str" cm="1">
        <f t="array" ref="L595">_xlfn.IFS(
  OR(ISBLANK(A595),ISBLANK(C595),ISBLANK(J595)),"Missing Value",
  OR(C595&lt;18,C595&gt;120),"Review – Out of Range (Age)",
  J595&lt;0,"Review – Out of Range (Risk Score)",
  TRUE,"OK"
)</f>
        <v>OK</v>
      </c>
    </row>
    <row r="596" spans="1:12" ht="16.8" x14ac:dyDescent="0.3">
      <c r="A596" s="11" t="s">
        <v>1243</v>
      </c>
      <c r="B596" s="11" t="s">
        <v>1244</v>
      </c>
      <c r="C596" s="11">
        <v>35</v>
      </c>
      <c r="D596" s="11" t="s">
        <v>41</v>
      </c>
      <c r="E596" s="11" t="s">
        <v>58</v>
      </c>
      <c r="F596" s="11" t="s">
        <v>59</v>
      </c>
      <c r="G596" s="11" t="s">
        <v>55</v>
      </c>
      <c r="H596" s="11" t="s">
        <v>45</v>
      </c>
      <c r="I596" s="11" t="s">
        <v>46</v>
      </c>
      <c r="J596" s="11">
        <v>0.2</v>
      </c>
      <c r="K596" s="12">
        <v>43245</v>
      </c>
      <c r="L596" s="13" t="str" cm="1">
        <f t="array" ref="L596">_xlfn.IFS(
  OR(ISBLANK(A596),ISBLANK(C596),ISBLANK(J596)),"Missing Value",
  OR(C596&lt;18,C596&gt;120),"Review – Out of Range (Age)",
  J596&lt;0,"Review – Out of Range (Risk Score)",
  TRUE,"OK"
)</f>
        <v>OK</v>
      </c>
    </row>
    <row r="597" spans="1:12" ht="16.8" x14ac:dyDescent="0.3">
      <c r="A597" s="14" t="s">
        <v>1245</v>
      </c>
      <c r="B597" s="14" t="s">
        <v>1246</v>
      </c>
      <c r="C597" s="14">
        <v>66</v>
      </c>
      <c r="D597" s="14" t="s">
        <v>49</v>
      </c>
      <c r="E597" s="14" t="s">
        <v>50</v>
      </c>
      <c r="F597" s="14" t="s">
        <v>59</v>
      </c>
      <c r="G597" s="14" t="s">
        <v>55</v>
      </c>
      <c r="H597" s="14" t="s">
        <v>45</v>
      </c>
      <c r="I597" s="14" t="s">
        <v>45</v>
      </c>
      <c r="J597" s="14">
        <v>0.47</v>
      </c>
      <c r="K597" s="15">
        <v>45156</v>
      </c>
      <c r="L597" s="13" t="str" cm="1">
        <f t="array" ref="L597">_xlfn.IFS(
  OR(ISBLANK(A597),ISBLANK(C597),ISBLANK(J597)),"Missing Value",
  OR(C597&lt;18,C597&gt;120),"Review – Out of Range (Age)",
  J597&lt;0,"Review – Out of Range (Risk Score)",
  TRUE,"OK"
)</f>
        <v>OK</v>
      </c>
    </row>
    <row r="598" spans="1:12" ht="16.8" x14ac:dyDescent="0.3">
      <c r="A598" s="11" t="s">
        <v>1247</v>
      </c>
      <c r="B598" s="11" t="s">
        <v>1248</v>
      </c>
      <c r="C598" s="11">
        <v>52</v>
      </c>
      <c r="D598" s="11" t="s">
        <v>41</v>
      </c>
      <c r="E598" s="11" t="s">
        <v>58</v>
      </c>
      <c r="F598" s="11" t="s">
        <v>51</v>
      </c>
      <c r="G598" s="11" t="s">
        <v>44</v>
      </c>
      <c r="H598" s="11" t="s">
        <v>45</v>
      </c>
      <c r="I598" s="11" t="s">
        <v>46</v>
      </c>
      <c r="J598" s="11">
        <v>0.4</v>
      </c>
      <c r="K598" s="12">
        <v>43915</v>
      </c>
      <c r="L598" s="13" t="str" cm="1">
        <f t="array" ref="L598">_xlfn.IFS(
  OR(ISBLANK(A598),ISBLANK(C598),ISBLANK(J598)),"Missing Value",
  OR(C598&lt;18,C598&gt;120),"Review – Out of Range (Age)",
  J598&lt;0,"Review – Out of Range (Risk Score)",
  TRUE,"OK"
)</f>
        <v>OK</v>
      </c>
    </row>
    <row r="599" spans="1:12" ht="16.8" x14ac:dyDescent="0.3">
      <c r="A599" s="14" t="s">
        <v>1249</v>
      </c>
      <c r="B599" s="14" t="s">
        <v>1250</v>
      </c>
      <c r="C599" s="14">
        <v>54</v>
      </c>
      <c r="D599" s="14" t="s">
        <v>49</v>
      </c>
      <c r="E599" s="14" t="s">
        <v>58</v>
      </c>
      <c r="F599" s="14" t="s">
        <v>65</v>
      </c>
      <c r="G599" s="14" t="s">
        <v>94</v>
      </c>
      <c r="H599" s="14" t="s">
        <v>45</v>
      </c>
      <c r="I599" s="14" t="s">
        <v>46</v>
      </c>
      <c r="J599" s="14">
        <v>0.46</v>
      </c>
      <c r="K599" s="15">
        <v>44735</v>
      </c>
      <c r="L599" s="13" t="str" cm="1">
        <f t="array" ref="L599">_xlfn.IFS(
  OR(ISBLANK(A599),ISBLANK(C599),ISBLANK(J599)),"Missing Value",
  OR(C599&lt;18,C599&gt;120),"Review – Out of Range (Age)",
  J599&lt;0,"Review – Out of Range (Risk Score)",
  TRUE,"OK"
)</f>
        <v>OK</v>
      </c>
    </row>
    <row r="600" spans="1:12" ht="16.8" x14ac:dyDescent="0.3">
      <c r="A600" s="11" t="s">
        <v>1251</v>
      </c>
      <c r="B600" s="11" t="s">
        <v>1252</v>
      </c>
      <c r="C600" s="11">
        <v>69</v>
      </c>
      <c r="D600" s="11" t="s">
        <v>49</v>
      </c>
      <c r="E600" s="11" t="s">
        <v>58</v>
      </c>
      <c r="F600" s="11" t="s">
        <v>65</v>
      </c>
      <c r="G600" s="11" t="s">
        <v>52</v>
      </c>
      <c r="H600" s="11" t="s">
        <v>45</v>
      </c>
      <c r="I600" s="11" t="s">
        <v>45</v>
      </c>
      <c r="J600" s="11">
        <v>0.4</v>
      </c>
      <c r="K600" s="12">
        <v>44098</v>
      </c>
      <c r="L600" s="13" t="str" cm="1">
        <f t="array" ref="L600">_xlfn.IFS(
  OR(ISBLANK(A600),ISBLANK(C600),ISBLANK(J600)),"Missing Value",
  OR(C600&lt;18,C600&gt;120),"Review – Out of Range (Age)",
  J600&lt;0,"Review – Out of Range (Risk Score)",
  TRUE,"OK"
)</f>
        <v>OK</v>
      </c>
    </row>
    <row r="601" spans="1:12" ht="16.8" x14ac:dyDescent="0.3">
      <c r="A601" s="14" t="s">
        <v>1253</v>
      </c>
      <c r="B601" s="14" t="s">
        <v>1254</v>
      </c>
      <c r="C601" s="14">
        <v>48</v>
      </c>
      <c r="D601" s="14" t="s">
        <v>49</v>
      </c>
      <c r="E601" s="14" t="s">
        <v>58</v>
      </c>
      <c r="F601" s="14" t="s">
        <v>51</v>
      </c>
      <c r="G601" s="14" t="s">
        <v>55</v>
      </c>
      <c r="H601" s="14" t="s">
        <v>45</v>
      </c>
      <c r="I601" s="14" t="s">
        <v>45</v>
      </c>
      <c r="J601" s="14">
        <v>0.62</v>
      </c>
      <c r="K601" s="15">
        <v>45072</v>
      </c>
      <c r="L601" s="13" t="str" cm="1">
        <f t="array" ref="L601">_xlfn.IFS(
  OR(ISBLANK(A601),ISBLANK(C601),ISBLANK(J601)),"Missing Value",
  OR(C601&lt;18,C601&gt;120),"Review – Out of Range (Age)",
  J601&lt;0,"Review – Out of Range (Risk Score)",
  TRUE,"OK"
)</f>
        <v>OK</v>
      </c>
    </row>
    <row r="602" spans="1:12" ht="16.8" x14ac:dyDescent="0.3">
      <c r="A602" s="11" t="s">
        <v>1255</v>
      </c>
      <c r="B602" s="11" t="s">
        <v>1256</v>
      </c>
      <c r="C602" s="11">
        <v>23</v>
      </c>
      <c r="D602" s="11" t="s">
        <v>41</v>
      </c>
      <c r="E602" s="11" t="s">
        <v>58</v>
      </c>
      <c r="F602" s="11" t="s">
        <v>51</v>
      </c>
      <c r="G602" s="11" t="s">
        <v>52</v>
      </c>
      <c r="H602" s="11" t="s">
        <v>46</v>
      </c>
      <c r="I602" s="11" t="s">
        <v>46</v>
      </c>
      <c r="J602" s="11">
        <v>0.5</v>
      </c>
      <c r="K602" s="12">
        <v>44445</v>
      </c>
      <c r="L602" s="13" t="str" cm="1">
        <f t="array" ref="L602">_xlfn.IFS(
  OR(ISBLANK(A602),ISBLANK(C602),ISBLANK(J602)),"Missing Value",
  OR(C602&lt;18,C602&gt;120),"Review – Out of Range (Age)",
  J602&lt;0,"Review – Out of Range (Risk Score)",
  TRUE,"OK"
)</f>
        <v>OK</v>
      </c>
    </row>
    <row r="603" spans="1:12" ht="16.8" x14ac:dyDescent="0.3">
      <c r="A603" s="14" t="s">
        <v>1257</v>
      </c>
      <c r="B603" s="14" t="s">
        <v>1258</v>
      </c>
      <c r="C603" s="14">
        <v>69</v>
      </c>
      <c r="D603" s="14" t="s">
        <v>41</v>
      </c>
      <c r="E603" s="14" t="s">
        <v>42</v>
      </c>
      <c r="F603" s="14" t="s">
        <v>65</v>
      </c>
      <c r="G603" s="14" t="s">
        <v>52</v>
      </c>
      <c r="H603" s="14" t="s">
        <v>45</v>
      </c>
      <c r="I603" s="14" t="s">
        <v>46</v>
      </c>
      <c r="J603" s="14">
        <v>0.33</v>
      </c>
      <c r="K603" s="15">
        <v>43966</v>
      </c>
      <c r="L603" s="13" t="str" cm="1">
        <f t="array" ref="L603">_xlfn.IFS(
  OR(ISBLANK(A603),ISBLANK(C603),ISBLANK(J603)),"Missing Value",
  OR(C603&lt;18,C603&gt;120),"Review – Out of Range (Age)",
  J603&lt;0,"Review – Out of Range (Risk Score)",
  TRUE,"OK"
)</f>
        <v>OK</v>
      </c>
    </row>
    <row r="604" spans="1:12" ht="16.8" x14ac:dyDescent="0.3">
      <c r="A604" s="11" t="s">
        <v>1259</v>
      </c>
      <c r="B604" s="11" t="s">
        <v>1260</v>
      </c>
      <c r="C604" s="11">
        <v>46</v>
      </c>
      <c r="D604" s="11" t="s">
        <v>49</v>
      </c>
      <c r="E604" s="11" t="s">
        <v>58</v>
      </c>
      <c r="F604" s="11" t="s">
        <v>65</v>
      </c>
      <c r="G604" s="11" t="s">
        <v>52</v>
      </c>
      <c r="H604" s="11" t="s">
        <v>45</v>
      </c>
      <c r="I604" s="11" t="s">
        <v>46</v>
      </c>
      <c r="J604" s="11">
        <v>0.69</v>
      </c>
      <c r="K604" s="12">
        <v>43291</v>
      </c>
      <c r="L604" s="13" t="str" cm="1">
        <f t="array" ref="L604">_xlfn.IFS(
  OR(ISBLANK(A604),ISBLANK(C604),ISBLANK(J604)),"Missing Value",
  OR(C604&lt;18,C604&gt;120),"Review – Out of Range (Age)",
  J604&lt;0,"Review – Out of Range (Risk Score)",
  TRUE,"OK"
)</f>
        <v>OK</v>
      </c>
    </row>
    <row r="605" spans="1:12" ht="16.8" x14ac:dyDescent="0.3">
      <c r="A605" s="14" t="s">
        <v>1261</v>
      </c>
      <c r="B605" s="14" t="s">
        <v>1262</v>
      </c>
      <c r="C605" s="14">
        <v>30</v>
      </c>
      <c r="D605" s="14" t="s">
        <v>41</v>
      </c>
      <c r="E605" s="14" t="s">
        <v>42</v>
      </c>
      <c r="F605" s="14" t="s">
        <v>65</v>
      </c>
      <c r="G605" s="14" t="s">
        <v>55</v>
      </c>
      <c r="H605" s="14" t="s">
        <v>46</v>
      </c>
      <c r="I605" s="14" t="s">
        <v>45</v>
      </c>
      <c r="J605" s="14">
        <v>0.31</v>
      </c>
      <c r="K605" s="15">
        <v>43451</v>
      </c>
      <c r="L605" s="13" t="str" cm="1">
        <f t="array" ref="L605">_xlfn.IFS(
  OR(ISBLANK(A605),ISBLANK(C605),ISBLANK(J605)),"Missing Value",
  OR(C605&lt;18,C605&gt;120),"Review – Out of Range (Age)",
  J605&lt;0,"Review – Out of Range (Risk Score)",
  TRUE,"OK"
)</f>
        <v>OK</v>
      </c>
    </row>
    <row r="606" spans="1:12" ht="16.8" x14ac:dyDescent="0.3">
      <c r="A606" s="11" t="s">
        <v>1263</v>
      </c>
      <c r="B606" s="11" t="s">
        <v>1264</v>
      </c>
      <c r="C606" s="11">
        <v>36</v>
      </c>
      <c r="D606" s="11" t="s">
        <v>49</v>
      </c>
      <c r="E606" s="11" t="s">
        <v>42</v>
      </c>
      <c r="F606" s="11" t="s">
        <v>43</v>
      </c>
      <c r="G606" s="11" t="s">
        <v>94</v>
      </c>
      <c r="H606" s="11" t="s">
        <v>45</v>
      </c>
      <c r="I606" s="11" t="s">
        <v>46</v>
      </c>
      <c r="J606" s="11">
        <v>0.59</v>
      </c>
      <c r="K606" s="12">
        <v>43579</v>
      </c>
      <c r="L606" s="13" t="str" cm="1">
        <f t="array" ref="L606">_xlfn.IFS(
  OR(ISBLANK(A606),ISBLANK(C606),ISBLANK(J606)),"Missing Value",
  OR(C606&lt;18,C606&gt;120),"Review – Out of Range (Age)",
  J606&lt;0,"Review – Out of Range (Risk Score)",
  TRUE,"OK"
)</f>
        <v>OK</v>
      </c>
    </row>
    <row r="607" spans="1:12" ht="16.8" x14ac:dyDescent="0.3">
      <c r="A607" s="14" t="s">
        <v>1265</v>
      </c>
      <c r="B607" s="14" t="s">
        <v>1266</v>
      </c>
      <c r="C607" s="14">
        <v>63</v>
      </c>
      <c r="D607" s="14" t="s">
        <v>49</v>
      </c>
      <c r="E607" s="14" t="s">
        <v>58</v>
      </c>
      <c r="F607" s="14" t="s">
        <v>51</v>
      </c>
      <c r="G607" s="14" t="s">
        <v>109</v>
      </c>
      <c r="H607" s="14" t="s">
        <v>46</v>
      </c>
      <c r="I607" s="14" t="s">
        <v>45</v>
      </c>
      <c r="J607" s="14">
        <v>0.5</v>
      </c>
      <c r="K607" s="15">
        <v>43570</v>
      </c>
      <c r="L607" s="13" t="str" cm="1">
        <f t="array" ref="L607">_xlfn.IFS(
  OR(ISBLANK(A607),ISBLANK(C607),ISBLANK(J607)),"Missing Value",
  OR(C607&lt;18,C607&gt;120),"Review – Out of Range (Age)",
  J607&lt;0,"Review – Out of Range (Risk Score)",
  TRUE,"OK"
)</f>
        <v>OK</v>
      </c>
    </row>
    <row r="608" spans="1:12" ht="16.8" x14ac:dyDescent="0.3">
      <c r="A608" s="11" t="s">
        <v>1267</v>
      </c>
      <c r="B608" s="11" t="s">
        <v>1268</v>
      </c>
      <c r="C608" s="11">
        <v>49</v>
      </c>
      <c r="D608" s="11" t="s">
        <v>41</v>
      </c>
      <c r="E608" s="11" t="s">
        <v>58</v>
      </c>
      <c r="F608" s="11" t="s">
        <v>65</v>
      </c>
      <c r="G608" s="11" t="s">
        <v>94</v>
      </c>
      <c r="H608" s="11" t="s">
        <v>45</v>
      </c>
      <c r="I608" s="11" t="s">
        <v>45</v>
      </c>
      <c r="J608" s="11">
        <v>0.5</v>
      </c>
      <c r="K608" s="12">
        <v>43466</v>
      </c>
      <c r="L608" s="13" t="str" cm="1">
        <f t="array" ref="L608">_xlfn.IFS(
  OR(ISBLANK(A608),ISBLANK(C608),ISBLANK(J608)),"Missing Value",
  OR(C608&lt;18,C608&gt;120),"Review – Out of Range (Age)",
  J608&lt;0,"Review – Out of Range (Risk Score)",
  TRUE,"OK"
)</f>
        <v>OK</v>
      </c>
    </row>
    <row r="609" spans="1:12" ht="16.8" x14ac:dyDescent="0.3">
      <c r="A609" s="14" t="s">
        <v>1269</v>
      </c>
      <c r="B609" s="14" t="s">
        <v>1270</v>
      </c>
      <c r="C609" s="14">
        <v>68</v>
      </c>
      <c r="D609" s="14" t="s">
        <v>41</v>
      </c>
      <c r="E609" s="14" t="s">
        <v>42</v>
      </c>
      <c r="F609" s="14" t="s">
        <v>51</v>
      </c>
      <c r="G609" s="14" t="s">
        <v>52</v>
      </c>
      <c r="H609" s="14" t="s">
        <v>45</v>
      </c>
      <c r="I609" s="14" t="s">
        <v>45</v>
      </c>
      <c r="J609" s="14">
        <v>0.15</v>
      </c>
      <c r="K609" s="15">
        <v>43239</v>
      </c>
      <c r="L609" s="13" t="str" cm="1">
        <f t="array" ref="L609">_xlfn.IFS(
  OR(ISBLANK(A609),ISBLANK(C609),ISBLANK(J609)),"Missing Value",
  OR(C609&lt;18,C609&gt;120),"Review – Out of Range (Age)",
  J609&lt;0,"Review – Out of Range (Risk Score)",
  TRUE,"OK"
)</f>
        <v>OK</v>
      </c>
    </row>
    <row r="610" spans="1:12" ht="16.8" x14ac:dyDescent="0.3">
      <c r="A610" s="11" t="s">
        <v>1271</v>
      </c>
      <c r="B610" s="11" t="s">
        <v>1272</v>
      </c>
      <c r="C610" s="11">
        <v>22</v>
      </c>
      <c r="D610" s="11" t="s">
        <v>41</v>
      </c>
      <c r="E610" s="11" t="s">
        <v>42</v>
      </c>
      <c r="F610" s="11" t="s">
        <v>43</v>
      </c>
      <c r="G610" s="11" t="s">
        <v>55</v>
      </c>
      <c r="H610" s="11" t="s">
        <v>45</v>
      </c>
      <c r="I610" s="11" t="s">
        <v>46</v>
      </c>
      <c r="J610" s="11">
        <v>0.74</v>
      </c>
      <c r="K610" s="12">
        <v>44675</v>
      </c>
      <c r="L610" s="13" t="str" cm="1">
        <f t="array" ref="L610">_xlfn.IFS(
  OR(ISBLANK(A610),ISBLANK(C610),ISBLANK(J610)),"Missing Value",
  OR(C610&lt;18,C610&gt;120),"Review – Out of Range (Age)",
  J610&lt;0,"Review – Out of Range (Risk Score)",
  TRUE,"OK"
)</f>
        <v>OK</v>
      </c>
    </row>
    <row r="611" spans="1:12" ht="16.8" x14ac:dyDescent="0.3">
      <c r="A611" s="14" t="s">
        <v>1273</v>
      </c>
      <c r="B611" s="14" t="s">
        <v>1274</v>
      </c>
      <c r="C611" s="14">
        <v>45</v>
      </c>
      <c r="D611" s="14" t="s">
        <v>49</v>
      </c>
      <c r="E611" s="14" t="s">
        <v>50</v>
      </c>
      <c r="F611" s="14" t="s">
        <v>65</v>
      </c>
      <c r="G611" s="14" t="s">
        <v>109</v>
      </c>
      <c r="H611" s="14" t="s">
        <v>46</v>
      </c>
      <c r="I611" s="14" t="s">
        <v>45</v>
      </c>
      <c r="J611" s="14">
        <v>0.6</v>
      </c>
      <c r="K611" s="15">
        <v>44891</v>
      </c>
      <c r="L611" s="13" t="str" cm="1">
        <f t="array" ref="L611">_xlfn.IFS(
  OR(ISBLANK(A611),ISBLANK(C611),ISBLANK(J611)),"Missing Value",
  OR(C611&lt;18,C611&gt;120),"Review – Out of Range (Age)",
  J611&lt;0,"Review – Out of Range (Risk Score)",
  TRUE,"OK"
)</f>
        <v>OK</v>
      </c>
    </row>
    <row r="612" spans="1:12" ht="16.8" x14ac:dyDescent="0.3">
      <c r="A612" s="11" t="s">
        <v>1275</v>
      </c>
      <c r="B612" s="11" t="s">
        <v>1276</v>
      </c>
      <c r="C612" s="11">
        <v>18</v>
      </c>
      <c r="D612" s="11" t="s">
        <v>49</v>
      </c>
      <c r="E612" s="11" t="s">
        <v>50</v>
      </c>
      <c r="F612" s="11" t="s">
        <v>51</v>
      </c>
      <c r="G612" s="11" t="s">
        <v>94</v>
      </c>
      <c r="H612" s="11" t="s">
        <v>46</v>
      </c>
      <c r="I612" s="11" t="s">
        <v>45</v>
      </c>
      <c r="J612" s="11">
        <v>0.68</v>
      </c>
      <c r="K612" s="12">
        <v>43965</v>
      </c>
      <c r="L612" s="13" t="str" cm="1">
        <f t="array" ref="L612">_xlfn.IFS(
  OR(ISBLANK(A612),ISBLANK(C612),ISBLANK(J612)),"Missing Value",
  OR(C612&lt;18,C612&gt;120),"Review – Out of Range (Age)",
  J612&lt;0,"Review – Out of Range (Risk Score)",
  TRUE,"OK"
)</f>
        <v>OK</v>
      </c>
    </row>
    <row r="613" spans="1:12" ht="16.8" x14ac:dyDescent="0.3">
      <c r="A613" s="14" t="s">
        <v>1277</v>
      </c>
      <c r="B613" s="14" t="s">
        <v>1278</v>
      </c>
      <c r="C613" s="14">
        <v>19</v>
      </c>
      <c r="D613" s="14" t="s">
        <v>41</v>
      </c>
      <c r="E613" s="14" t="s">
        <v>58</v>
      </c>
      <c r="F613" s="14" t="s">
        <v>65</v>
      </c>
      <c r="G613" s="14" t="s">
        <v>44</v>
      </c>
      <c r="H613" s="14" t="s">
        <v>46</v>
      </c>
      <c r="I613" s="14" t="s">
        <v>46</v>
      </c>
      <c r="J613" s="14">
        <v>0.31</v>
      </c>
      <c r="K613" s="15">
        <v>44347</v>
      </c>
      <c r="L613" s="13" t="str" cm="1">
        <f t="array" ref="L613">_xlfn.IFS(
  OR(ISBLANK(A613),ISBLANK(C613),ISBLANK(J613)),"Missing Value",
  OR(C613&lt;18,C613&gt;120),"Review – Out of Range (Age)",
  J613&lt;0,"Review – Out of Range (Risk Score)",
  TRUE,"OK"
)</f>
        <v>OK</v>
      </c>
    </row>
    <row r="614" spans="1:12" ht="16.8" x14ac:dyDescent="0.3">
      <c r="A614" s="11" t="s">
        <v>1279</v>
      </c>
      <c r="B614" s="11" t="s">
        <v>1280</v>
      </c>
      <c r="C614" s="11">
        <v>51</v>
      </c>
      <c r="D614" s="11" t="s">
        <v>49</v>
      </c>
      <c r="E614" s="11" t="s">
        <v>58</v>
      </c>
      <c r="F614" s="11" t="s">
        <v>51</v>
      </c>
      <c r="G614" s="11" t="s">
        <v>44</v>
      </c>
      <c r="H614" s="11" t="s">
        <v>46</v>
      </c>
      <c r="I614" s="11" t="s">
        <v>46</v>
      </c>
      <c r="J614" s="11">
        <v>0.67</v>
      </c>
      <c r="K614" s="12">
        <v>44066</v>
      </c>
      <c r="L614" s="13" t="str" cm="1">
        <f t="array" ref="L614">_xlfn.IFS(
  OR(ISBLANK(A614),ISBLANK(C614),ISBLANK(J614)),"Missing Value",
  OR(C614&lt;18,C614&gt;120),"Review – Out of Range (Age)",
  J614&lt;0,"Review – Out of Range (Risk Score)",
  TRUE,"OK"
)</f>
        <v>OK</v>
      </c>
    </row>
    <row r="615" spans="1:12" ht="16.8" x14ac:dyDescent="0.3">
      <c r="A615" s="14" t="s">
        <v>1281</v>
      </c>
      <c r="B615" s="14" t="s">
        <v>1282</v>
      </c>
      <c r="C615" s="14">
        <v>25</v>
      </c>
      <c r="D615" s="14" t="s">
        <v>49</v>
      </c>
      <c r="E615" s="14" t="s">
        <v>42</v>
      </c>
      <c r="F615" s="14" t="s">
        <v>65</v>
      </c>
      <c r="G615" s="14" t="s">
        <v>94</v>
      </c>
      <c r="H615" s="14" t="s">
        <v>46</v>
      </c>
      <c r="I615" s="14" t="s">
        <v>45</v>
      </c>
      <c r="J615" s="14">
        <v>0.48</v>
      </c>
      <c r="K615" s="15">
        <v>44215</v>
      </c>
      <c r="L615" s="13" t="str" cm="1">
        <f t="array" ref="L615">_xlfn.IFS(
  OR(ISBLANK(A615),ISBLANK(C615),ISBLANK(J615)),"Missing Value",
  OR(C615&lt;18,C615&gt;120),"Review – Out of Range (Age)",
  J615&lt;0,"Review – Out of Range (Risk Score)",
  TRUE,"OK"
)</f>
        <v>OK</v>
      </c>
    </row>
    <row r="616" spans="1:12" ht="16.8" x14ac:dyDescent="0.3">
      <c r="A616" s="11" t="s">
        <v>1283</v>
      </c>
      <c r="B616" s="11" t="s">
        <v>1284</v>
      </c>
      <c r="C616" s="11">
        <v>35</v>
      </c>
      <c r="D616" s="11" t="s">
        <v>49</v>
      </c>
      <c r="E616" s="11" t="s">
        <v>50</v>
      </c>
      <c r="F616" s="11" t="s">
        <v>59</v>
      </c>
      <c r="G616" s="11" t="s">
        <v>52</v>
      </c>
      <c r="H616" s="11" t="s">
        <v>46</v>
      </c>
      <c r="I616" s="11" t="s">
        <v>45</v>
      </c>
      <c r="J616" s="11">
        <v>0.61</v>
      </c>
      <c r="K616" s="12">
        <v>43142</v>
      </c>
      <c r="L616" s="13" t="str" cm="1">
        <f t="array" ref="L616">_xlfn.IFS(
  OR(ISBLANK(A616),ISBLANK(C616),ISBLANK(J616)),"Missing Value",
  OR(C616&lt;18,C616&gt;120),"Review – Out of Range (Age)",
  J616&lt;0,"Review – Out of Range (Risk Score)",
  TRUE,"OK"
)</f>
        <v>OK</v>
      </c>
    </row>
    <row r="617" spans="1:12" ht="16.8" x14ac:dyDescent="0.3">
      <c r="A617" s="14" t="s">
        <v>1285</v>
      </c>
      <c r="B617" s="14" t="s">
        <v>1286</v>
      </c>
      <c r="C617" s="14">
        <v>58</v>
      </c>
      <c r="D617" s="14" t="s">
        <v>49</v>
      </c>
      <c r="E617" s="14" t="s">
        <v>42</v>
      </c>
      <c r="F617" s="14" t="s">
        <v>51</v>
      </c>
      <c r="G617" s="14" t="s">
        <v>44</v>
      </c>
      <c r="H617" s="14" t="s">
        <v>45</v>
      </c>
      <c r="I617" s="14" t="s">
        <v>46</v>
      </c>
      <c r="J617" s="14">
        <v>0.18</v>
      </c>
      <c r="K617" s="15">
        <v>44013</v>
      </c>
      <c r="L617" s="13" t="str" cm="1">
        <f t="array" ref="L617">_xlfn.IFS(
  OR(ISBLANK(A617),ISBLANK(C617),ISBLANK(J617)),"Missing Value",
  OR(C617&lt;18,C617&gt;120),"Review – Out of Range (Age)",
  J617&lt;0,"Review – Out of Range (Risk Score)",
  TRUE,"OK"
)</f>
        <v>OK</v>
      </c>
    </row>
    <row r="618" spans="1:12" ht="16.8" x14ac:dyDescent="0.3">
      <c r="A618" s="11" t="s">
        <v>1287</v>
      </c>
      <c r="B618" s="11" t="s">
        <v>1288</v>
      </c>
      <c r="C618" s="11">
        <v>62</v>
      </c>
      <c r="D618" s="11" t="s">
        <v>41</v>
      </c>
      <c r="E618" s="11" t="s">
        <v>42</v>
      </c>
      <c r="F618" s="11" t="s">
        <v>65</v>
      </c>
      <c r="G618" s="11" t="s">
        <v>44</v>
      </c>
      <c r="H618" s="11" t="s">
        <v>46</v>
      </c>
      <c r="I618" s="11" t="s">
        <v>46</v>
      </c>
      <c r="J618" s="11">
        <v>0.43</v>
      </c>
      <c r="K618" s="12">
        <v>43493</v>
      </c>
      <c r="L618" s="13" t="str" cm="1">
        <f t="array" ref="L618">_xlfn.IFS(
  OR(ISBLANK(A618),ISBLANK(C618),ISBLANK(J618)),"Missing Value",
  OR(C618&lt;18,C618&gt;120),"Review – Out of Range (Age)",
  J618&lt;0,"Review – Out of Range (Risk Score)",
  TRUE,"OK"
)</f>
        <v>OK</v>
      </c>
    </row>
    <row r="619" spans="1:12" ht="16.8" x14ac:dyDescent="0.3">
      <c r="A619" s="14" t="s">
        <v>1289</v>
      </c>
      <c r="B619" s="14" t="s">
        <v>1290</v>
      </c>
      <c r="C619" s="14">
        <v>53</v>
      </c>
      <c r="D619" s="14" t="s">
        <v>49</v>
      </c>
      <c r="E619" s="14" t="s">
        <v>42</v>
      </c>
      <c r="F619" s="14" t="s">
        <v>51</v>
      </c>
      <c r="G619" s="14" t="s">
        <v>44</v>
      </c>
      <c r="H619" s="14" t="s">
        <v>45</v>
      </c>
      <c r="I619" s="14" t="s">
        <v>45</v>
      </c>
      <c r="J619" s="14">
        <v>0.5</v>
      </c>
      <c r="K619" s="15">
        <v>44170</v>
      </c>
      <c r="L619" s="13" t="str" cm="1">
        <f t="array" ref="L619">_xlfn.IFS(
  OR(ISBLANK(A619),ISBLANK(C619),ISBLANK(J619)),"Missing Value",
  OR(C619&lt;18,C619&gt;120),"Review – Out of Range (Age)",
  J619&lt;0,"Review – Out of Range (Risk Score)",
  TRUE,"OK"
)</f>
        <v>OK</v>
      </c>
    </row>
    <row r="620" spans="1:12" ht="16.8" x14ac:dyDescent="0.3">
      <c r="A620" s="11" t="s">
        <v>1291</v>
      </c>
      <c r="B620" s="11" t="s">
        <v>1292</v>
      </c>
      <c r="C620" s="11">
        <v>24</v>
      </c>
      <c r="D620" s="11" t="s">
        <v>49</v>
      </c>
      <c r="E620" s="11" t="s">
        <v>58</v>
      </c>
      <c r="F620" s="11" t="s">
        <v>59</v>
      </c>
      <c r="G620" s="11" t="s">
        <v>52</v>
      </c>
      <c r="H620" s="11" t="s">
        <v>45</v>
      </c>
      <c r="I620" s="11" t="s">
        <v>46</v>
      </c>
      <c r="J620" s="11">
        <v>0.27</v>
      </c>
      <c r="K620" s="12">
        <v>43558</v>
      </c>
      <c r="L620" s="13" t="str" cm="1">
        <f t="array" ref="L620">_xlfn.IFS(
  OR(ISBLANK(A620),ISBLANK(C620),ISBLANK(J620)),"Missing Value",
  OR(C620&lt;18,C620&gt;120),"Review – Out of Range (Age)",
  J620&lt;0,"Review – Out of Range (Risk Score)",
  TRUE,"OK"
)</f>
        <v>OK</v>
      </c>
    </row>
    <row r="621" spans="1:12" ht="16.8" x14ac:dyDescent="0.3">
      <c r="A621" s="14" t="s">
        <v>1293</v>
      </c>
      <c r="B621" s="14" t="s">
        <v>1294</v>
      </c>
      <c r="C621" s="14">
        <v>24</v>
      </c>
      <c r="D621" s="14" t="s">
        <v>41</v>
      </c>
      <c r="E621" s="14" t="s">
        <v>58</v>
      </c>
      <c r="F621" s="14" t="s">
        <v>59</v>
      </c>
      <c r="G621" s="14" t="s">
        <v>44</v>
      </c>
      <c r="H621" s="14" t="s">
        <v>46</v>
      </c>
      <c r="I621" s="14" t="s">
        <v>46</v>
      </c>
      <c r="J621" s="14">
        <v>0.76</v>
      </c>
      <c r="K621" s="15">
        <v>44908</v>
      </c>
      <c r="L621" s="13" t="str" cm="1">
        <f t="array" ref="L621">_xlfn.IFS(
  OR(ISBLANK(A621),ISBLANK(C621),ISBLANK(J621)),"Missing Value",
  OR(C621&lt;18,C621&gt;120),"Review – Out of Range (Age)",
  J621&lt;0,"Review – Out of Range (Risk Score)",
  TRUE,"OK"
)</f>
        <v>OK</v>
      </c>
    </row>
    <row r="622" spans="1:12" ht="16.8" x14ac:dyDescent="0.3">
      <c r="A622" s="11" t="s">
        <v>1295</v>
      </c>
      <c r="B622" s="11" t="s">
        <v>1296</v>
      </c>
      <c r="C622" s="11">
        <v>45</v>
      </c>
      <c r="D622" s="11" t="s">
        <v>49</v>
      </c>
      <c r="E622" s="11" t="s">
        <v>50</v>
      </c>
      <c r="F622" s="11" t="s">
        <v>65</v>
      </c>
      <c r="G622" s="11" t="s">
        <v>44</v>
      </c>
      <c r="H622" s="11" t="s">
        <v>45</v>
      </c>
      <c r="I622" s="11" t="s">
        <v>45</v>
      </c>
      <c r="J622" s="11">
        <v>0.56999999999999995</v>
      </c>
      <c r="K622" s="12">
        <v>43253</v>
      </c>
      <c r="L622" s="13" t="str" cm="1">
        <f t="array" ref="L622">_xlfn.IFS(
  OR(ISBLANK(A622),ISBLANK(C622),ISBLANK(J622)),"Missing Value",
  OR(C622&lt;18,C622&gt;120),"Review – Out of Range (Age)",
  J622&lt;0,"Review – Out of Range (Risk Score)",
  TRUE,"OK"
)</f>
        <v>OK</v>
      </c>
    </row>
    <row r="623" spans="1:12" ht="16.8" x14ac:dyDescent="0.3">
      <c r="A623" s="14" t="s">
        <v>1297</v>
      </c>
      <c r="B623" s="14" t="s">
        <v>1298</v>
      </c>
      <c r="C623" s="14">
        <v>42</v>
      </c>
      <c r="D623" s="14" t="s">
        <v>41</v>
      </c>
      <c r="E623" s="14" t="s">
        <v>50</v>
      </c>
      <c r="F623" s="14" t="s">
        <v>43</v>
      </c>
      <c r="G623" s="14" t="s">
        <v>55</v>
      </c>
      <c r="H623" s="14" t="s">
        <v>45</v>
      </c>
      <c r="I623" s="14" t="s">
        <v>46</v>
      </c>
      <c r="J623" s="14">
        <v>0.64</v>
      </c>
      <c r="K623" s="15">
        <v>44004</v>
      </c>
      <c r="L623" s="13" t="str" cm="1">
        <f t="array" ref="L623">_xlfn.IFS(
  OR(ISBLANK(A623),ISBLANK(C623),ISBLANK(J623)),"Missing Value",
  OR(C623&lt;18,C623&gt;120),"Review – Out of Range (Age)",
  J623&lt;0,"Review – Out of Range (Risk Score)",
  TRUE,"OK"
)</f>
        <v>OK</v>
      </c>
    </row>
    <row r="624" spans="1:12" ht="16.8" x14ac:dyDescent="0.3">
      <c r="A624" s="11" t="s">
        <v>1299</v>
      </c>
      <c r="B624" s="11" t="s">
        <v>1300</v>
      </c>
      <c r="C624" s="11">
        <v>46</v>
      </c>
      <c r="D624" s="11" t="s">
        <v>49</v>
      </c>
      <c r="E624" s="11" t="s">
        <v>58</v>
      </c>
      <c r="F624" s="11" t="s">
        <v>51</v>
      </c>
      <c r="G624" s="11" t="s">
        <v>52</v>
      </c>
      <c r="H624" s="11" t="s">
        <v>45</v>
      </c>
      <c r="I624" s="11" t="s">
        <v>46</v>
      </c>
      <c r="J624" s="11">
        <v>0.39</v>
      </c>
      <c r="K624" s="12">
        <v>44616</v>
      </c>
      <c r="L624" s="13" t="str" cm="1">
        <f t="array" ref="L624">_xlfn.IFS(
  OR(ISBLANK(A624),ISBLANK(C624),ISBLANK(J624)),"Missing Value",
  OR(C624&lt;18,C624&gt;120),"Review – Out of Range (Age)",
  J624&lt;0,"Review – Out of Range (Risk Score)",
  TRUE,"OK"
)</f>
        <v>OK</v>
      </c>
    </row>
    <row r="625" spans="1:12" ht="16.8" x14ac:dyDescent="0.3">
      <c r="A625" s="14" t="s">
        <v>1301</v>
      </c>
      <c r="B625" s="14" t="s">
        <v>1302</v>
      </c>
      <c r="C625" s="14">
        <v>35</v>
      </c>
      <c r="D625" s="14" t="s">
        <v>41</v>
      </c>
      <c r="E625" s="14" t="s">
        <v>58</v>
      </c>
      <c r="F625" s="14" t="s">
        <v>65</v>
      </c>
      <c r="G625" s="14" t="s">
        <v>52</v>
      </c>
      <c r="H625" s="14" t="s">
        <v>45</v>
      </c>
      <c r="I625" s="14" t="s">
        <v>46</v>
      </c>
      <c r="J625" s="14">
        <v>0.57999999999999996</v>
      </c>
      <c r="K625" s="15">
        <v>44797</v>
      </c>
      <c r="L625" s="13" t="str" cm="1">
        <f t="array" ref="L625">_xlfn.IFS(
  OR(ISBLANK(A625),ISBLANK(C625),ISBLANK(J625)),"Missing Value",
  OR(C625&lt;18,C625&gt;120),"Review – Out of Range (Age)",
  J625&lt;0,"Review – Out of Range (Risk Score)",
  TRUE,"OK"
)</f>
        <v>OK</v>
      </c>
    </row>
    <row r="626" spans="1:12" ht="16.8" x14ac:dyDescent="0.3">
      <c r="A626" s="11" t="s">
        <v>1303</v>
      </c>
      <c r="B626" s="11" t="s">
        <v>1304</v>
      </c>
      <c r="C626" s="11">
        <v>42</v>
      </c>
      <c r="D626" s="11" t="s">
        <v>49</v>
      </c>
      <c r="E626" s="11" t="s">
        <v>50</v>
      </c>
      <c r="F626" s="11" t="s">
        <v>65</v>
      </c>
      <c r="G626" s="11" t="s">
        <v>52</v>
      </c>
      <c r="H626" s="11" t="s">
        <v>46</v>
      </c>
      <c r="I626" s="11" t="s">
        <v>46</v>
      </c>
      <c r="J626" s="11">
        <v>0.68</v>
      </c>
      <c r="K626" s="12">
        <v>43998</v>
      </c>
      <c r="L626" s="13" t="str" cm="1">
        <f t="array" ref="L626">_xlfn.IFS(
  OR(ISBLANK(A626),ISBLANK(C626),ISBLANK(J626)),"Missing Value",
  OR(C626&lt;18,C626&gt;120),"Review – Out of Range (Age)",
  J626&lt;0,"Review – Out of Range (Risk Score)",
  TRUE,"OK"
)</f>
        <v>OK</v>
      </c>
    </row>
    <row r="627" spans="1:12" ht="16.8" x14ac:dyDescent="0.3">
      <c r="A627" s="14" t="s">
        <v>1305</v>
      </c>
      <c r="B627" s="14" t="s">
        <v>1306</v>
      </c>
      <c r="C627" s="14">
        <v>20</v>
      </c>
      <c r="D627" s="14" t="s">
        <v>49</v>
      </c>
      <c r="E627" s="14" t="s">
        <v>50</v>
      </c>
      <c r="F627" s="14" t="s">
        <v>51</v>
      </c>
      <c r="G627" s="14" t="s">
        <v>52</v>
      </c>
      <c r="H627" s="14" t="s">
        <v>45</v>
      </c>
      <c r="I627" s="14" t="s">
        <v>45</v>
      </c>
      <c r="J627" s="14">
        <v>0.45</v>
      </c>
      <c r="K627" s="15">
        <v>43654</v>
      </c>
      <c r="L627" s="13" t="str" cm="1">
        <f t="array" ref="L627">_xlfn.IFS(
  OR(ISBLANK(A627),ISBLANK(C627),ISBLANK(J627)),"Missing Value",
  OR(C627&lt;18,C627&gt;120),"Review – Out of Range (Age)",
  J627&lt;0,"Review – Out of Range (Risk Score)",
  TRUE,"OK"
)</f>
        <v>OK</v>
      </c>
    </row>
    <row r="628" spans="1:12" ht="16.8" x14ac:dyDescent="0.3">
      <c r="A628" s="11" t="s">
        <v>1307</v>
      </c>
      <c r="B628" s="11" t="s">
        <v>1308</v>
      </c>
      <c r="C628" s="11">
        <v>41</v>
      </c>
      <c r="D628" s="11" t="s">
        <v>41</v>
      </c>
      <c r="E628" s="11" t="s">
        <v>50</v>
      </c>
      <c r="F628" s="11" t="s">
        <v>59</v>
      </c>
      <c r="G628" s="11" t="s">
        <v>109</v>
      </c>
      <c r="H628" s="11" t="s">
        <v>46</v>
      </c>
      <c r="I628" s="11" t="s">
        <v>45</v>
      </c>
      <c r="J628" s="11">
        <v>0.46</v>
      </c>
      <c r="K628" s="12">
        <v>44110</v>
      </c>
      <c r="L628" s="13" t="str" cm="1">
        <f t="array" ref="L628">_xlfn.IFS(
  OR(ISBLANK(A628),ISBLANK(C628),ISBLANK(J628)),"Missing Value",
  OR(C628&lt;18,C628&gt;120),"Review – Out of Range (Age)",
  J628&lt;0,"Review – Out of Range (Risk Score)",
  TRUE,"OK"
)</f>
        <v>OK</v>
      </c>
    </row>
    <row r="629" spans="1:12" ht="16.8" x14ac:dyDescent="0.3">
      <c r="A629" s="14" t="s">
        <v>1309</v>
      </c>
      <c r="B629" s="14" t="s">
        <v>1310</v>
      </c>
      <c r="C629" s="14">
        <v>19</v>
      </c>
      <c r="D629" s="14" t="s">
        <v>49</v>
      </c>
      <c r="E629" s="14" t="s">
        <v>58</v>
      </c>
      <c r="F629" s="14" t="s">
        <v>59</v>
      </c>
      <c r="G629" s="14" t="s">
        <v>52</v>
      </c>
      <c r="H629" s="14" t="s">
        <v>46</v>
      </c>
      <c r="I629" s="14" t="s">
        <v>45</v>
      </c>
      <c r="J629" s="14">
        <v>0.31</v>
      </c>
      <c r="K629" s="15">
        <v>44808</v>
      </c>
      <c r="L629" s="13" t="str" cm="1">
        <f t="array" ref="L629">_xlfn.IFS(
  OR(ISBLANK(A629),ISBLANK(C629),ISBLANK(J629)),"Missing Value",
  OR(C629&lt;18,C629&gt;120),"Review – Out of Range (Age)",
  J629&lt;0,"Review – Out of Range (Risk Score)",
  TRUE,"OK"
)</f>
        <v>OK</v>
      </c>
    </row>
    <row r="630" spans="1:12" ht="16.8" x14ac:dyDescent="0.3">
      <c r="A630" s="11" t="s">
        <v>1311</v>
      </c>
      <c r="B630" s="11" t="s">
        <v>1312</v>
      </c>
      <c r="C630" s="11">
        <v>47</v>
      </c>
      <c r="D630" s="11" t="s">
        <v>49</v>
      </c>
      <c r="E630" s="11" t="s">
        <v>42</v>
      </c>
      <c r="F630" s="11" t="s">
        <v>65</v>
      </c>
      <c r="G630" s="11" t="s">
        <v>60</v>
      </c>
      <c r="H630" s="11" t="s">
        <v>45</v>
      </c>
      <c r="I630" s="11" t="s">
        <v>45</v>
      </c>
      <c r="J630" s="11">
        <v>0.53</v>
      </c>
      <c r="K630" s="12">
        <v>44499</v>
      </c>
      <c r="L630" s="13" t="str" cm="1">
        <f t="array" ref="L630">_xlfn.IFS(
  OR(ISBLANK(A630),ISBLANK(C630),ISBLANK(J630)),"Missing Value",
  OR(C630&lt;18,C630&gt;120),"Review – Out of Range (Age)",
  J630&lt;0,"Review – Out of Range (Risk Score)",
  TRUE,"OK"
)</f>
        <v>OK</v>
      </c>
    </row>
    <row r="631" spans="1:12" ht="16.8" x14ac:dyDescent="0.3">
      <c r="A631" s="14" t="s">
        <v>1313</v>
      </c>
      <c r="B631" s="14" t="s">
        <v>1314</v>
      </c>
      <c r="C631" s="14">
        <v>20</v>
      </c>
      <c r="D631" s="14" t="s">
        <v>49</v>
      </c>
      <c r="E631" s="14" t="s">
        <v>42</v>
      </c>
      <c r="F631" s="14" t="s">
        <v>59</v>
      </c>
      <c r="G631" s="14" t="s">
        <v>60</v>
      </c>
      <c r="H631" s="14" t="s">
        <v>45</v>
      </c>
      <c r="I631" s="14" t="s">
        <v>46</v>
      </c>
      <c r="J631" s="14">
        <v>1</v>
      </c>
      <c r="K631" s="15">
        <v>43462</v>
      </c>
      <c r="L631" s="13" t="str" cm="1">
        <f t="array" ref="L631">_xlfn.IFS(
  OR(ISBLANK(A631),ISBLANK(C631),ISBLANK(J631)),"Missing Value",
  OR(C631&lt;18,C631&gt;120),"Review – Out of Range (Age)",
  J631&lt;0,"Review – Out of Range (Risk Score)",
  TRUE,"OK"
)</f>
        <v>OK</v>
      </c>
    </row>
    <row r="632" spans="1:12" ht="16.8" x14ac:dyDescent="0.3">
      <c r="A632" s="11" t="s">
        <v>1315</v>
      </c>
      <c r="B632" s="11" t="s">
        <v>1316</v>
      </c>
      <c r="C632" s="11">
        <v>47</v>
      </c>
      <c r="D632" s="11" t="s">
        <v>49</v>
      </c>
      <c r="E632" s="11" t="s">
        <v>50</v>
      </c>
      <c r="F632" s="11" t="s">
        <v>59</v>
      </c>
      <c r="G632" s="11" t="s">
        <v>94</v>
      </c>
      <c r="H632" s="11" t="s">
        <v>46</v>
      </c>
      <c r="I632" s="11" t="s">
        <v>45</v>
      </c>
      <c r="J632" s="11">
        <v>0.31</v>
      </c>
      <c r="K632" s="12">
        <v>43741</v>
      </c>
      <c r="L632" s="13" t="str" cm="1">
        <f t="array" ref="L632">_xlfn.IFS(
  OR(ISBLANK(A632),ISBLANK(C632),ISBLANK(J632)),"Missing Value",
  OR(C632&lt;18,C632&gt;120),"Review – Out of Range (Age)",
  J632&lt;0,"Review – Out of Range (Risk Score)",
  TRUE,"OK"
)</f>
        <v>OK</v>
      </c>
    </row>
    <row r="633" spans="1:12" ht="16.8" x14ac:dyDescent="0.3">
      <c r="A633" s="14" t="s">
        <v>1317</v>
      </c>
      <c r="B633" s="14" t="s">
        <v>1318</v>
      </c>
      <c r="C633" s="14">
        <v>28</v>
      </c>
      <c r="D633" s="14" t="s">
        <v>41</v>
      </c>
      <c r="E633" s="14" t="s">
        <v>50</v>
      </c>
      <c r="F633" s="14" t="s">
        <v>59</v>
      </c>
      <c r="G633" s="14" t="s">
        <v>94</v>
      </c>
      <c r="H633" s="14" t="s">
        <v>46</v>
      </c>
      <c r="I633" s="14" t="s">
        <v>45</v>
      </c>
      <c r="J633" s="14">
        <v>0.28000000000000003</v>
      </c>
      <c r="K633" s="15">
        <v>45269</v>
      </c>
      <c r="L633" s="13" t="str" cm="1">
        <f t="array" ref="L633">_xlfn.IFS(
  OR(ISBLANK(A633),ISBLANK(C633),ISBLANK(J633)),"Missing Value",
  OR(C633&lt;18,C633&gt;120),"Review – Out of Range (Age)",
  J633&lt;0,"Review – Out of Range (Risk Score)",
  TRUE,"OK"
)</f>
        <v>OK</v>
      </c>
    </row>
    <row r="634" spans="1:12" ht="16.8" x14ac:dyDescent="0.3">
      <c r="A634" s="11" t="s">
        <v>1319</v>
      </c>
      <c r="B634" s="11" t="s">
        <v>1320</v>
      </c>
      <c r="C634" s="11">
        <v>62</v>
      </c>
      <c r="D634" s="11" t="s">
        <v>41</v>
      </c>
      <c r="E634" s="11" t="s">
        <v>50</v>
      </c>
      <c r="F634" s="11" t="s">
        <v>59</v>
      </c>
      <c r="G634" s="11" t="s">
        <v>60</v>
      </c>
      <c r="H634" s="11" t="s">
        <v>45</v>
      </c>
      <c r="I634" s="11" t="s">
        <v>45</v>
      </c>
      <c r="J634" s="11">
        <v>0.47</v>
      </c>
      <c r="K634" s="12">
        <v>43749</v>
      </c>
      <c r="L634" s="13" t="str" cm="1">
        <f t="array" ref="L634">_xlfn.IFS(
  OR(ISBLANK(A634),ISBLANK(C634),ISBLANK(J634)),"Missing Value",
  OR(C634&lt;18,C634&gt;120),"Review – Out of Range (Age)",
  J634&lt;0,"Review – Out of Range (Risk Score)",
  TRUE,"OK"
)</f>
        <v>OK</v>
      </c>
    </row>
    <row r="635" spans="1:12" ht="16.8" x14ac:dyDescent="0.3">
      <c r="A635" s="14" t="s">
        <v>1321</v>
      </c>
      <c r="B635" s="14" t="s">
        <v>1322</v>
      </c>
      <c r="C635" s="14">
        <v>50</v>
      </c>
      <c r="D635" s="14" t="s">
        <v>49</v>
      </c>
      <c r="E635" s="14" t="s">
        <v>50</v>
      </c>
      <c r="F635" s="14" t="s">
        <v>43</v>
      </c>
      <c r="G635" s="14" t="s">
        <v>44</v>
      </c>
      <c r="H635" s="14" t="s">
        <v>45</v>
      </c>
      <c r="I635" s="14" t="s">
        <v>45</v>
      </c>
      <c r="J635" s="14">
        <v>0.79</v>
      </c>
      <c r="K635" s="15">
        <v>44476</v>
      </c>
      <c r="L635" s="13" t="str" cm="1">
        <f t="array" ref="L635">_xlfn.IFS(
  OR(ISBLANK(A635),ISBLANK(C635),ISBLANK(J635)),"Missing Value",
  OR(C635&lt;18,C635&gt;120),"Review – Out of Range (Age)",
  J635&lt;0,"Review – Out of Range (Risk Score)",
  TRUE,"OK"
)</f>
        <v>OK</v>
      </c>
    </row>
    <row r="636" spans="1:12" ht="16.8" x14ac:dyDescent="0.3">
      <c r="A636" s="11" t="s">
        <v>1323</v>
      </c>
      <c r="B636" s="11" t="s">
        <v>1324</v>
      </c>
      <c r="C636" s="11">
        <v>38</v>
      </c>
      <c r="D636" s="11" t="s">
        <v>41</v>
      </c>
      <c r="E636" s="11" t="s">
        <v>50</v>
      </c>
      <c r="F636" s="11" t="s">
        <v>65</v>
      </c>
      <c r="G636" s="11" t="s">
        <v>52</v>
      </c>
      <c r="H636" s="11" t="s">
        <v>46</v>
      </c>
      <c r="I636" s="11" t="s">
        <v>46</v>
      </c>
      <c r="J636" s="11">
        <v>0.43</v>
      </c>
      <c r="K636" s="12">
        <v>43925</v>
      </c>
      <c r="L636" s="13" t="str" cm="1">
        <f t="array" ref="L636">_xlfn.IFS(
  OR(ISBLANK(A636),ISBLANK(C636),ISBLANK(J636)),"Missing Value",
  OR(C636&lt;18,C636&gt;120),"Review – Out of Range (Age)",
  J636&lt;0,"Review – Out of Range (Risk Score)",
  TRUE,"OK"
)</f>
        <v>OK</v>
      </c>
    </row>
    <row r="637" spans="1:12" ht="16.8" x14ac:dyDescent="0.3">
      <c r="A637" s="14" t="s">
        <v>1325</v>
      </c>
      <c r="B637" s="14" t="s">
        <v>1326</v>
      </c>
      <c r="C637" s="14">
        <v>56</v>
      </c>
      <c r="D637" s="14" t="s">
        <v>49</v>
      </c>
      <c r="E637" s="14" t="s">
        <v>58</v>
      </c>
      <c r="F637" s="14" t="s">
        <v>65</v>
      </c>
      <c r="G637" s="14" t="s">
        <v>94</v>
      </c>
      <c r="H637" s="14" t="s">
        <v>45</v>
      </c>
      <c r="I637" s="14" t="s">
        <v>46</v>
      </c>
      <c r="J637" s="14">
        <v>0.39</v>
      </c>
      <c r="K637" s="15">
        <v>44752</v>
      </c>
      <c r="L637" s="13" t="str" cm="1">
        <f t="array" ref="L637">_xlfn.IFS(
  OR(ISBLANK(A637),ISBLANK(C637),ISBLANK(J637)),"Missing Value",
  OR(C637&lt;18,C637&gt;120),"Review – Out of Range (Age)",
  J637&lt;0,"Review – Out of Range (Risk Score)",
  TRUE,"OK"
)</f>
        <v>OK</v>
      </c>
    </row>
    <row r="638" spans="1:12" ht="16.8" x14ac:dyDescent="0.3">
      <c r="A638" s="11" t="s">
        <v>1327</v>
      </c>
      <c r="B638" s="11" t="s">
        <v>1328</v>
      </c>
      <c r="C638" s="11">
        <v>19</v>
      </c>
      <c r="D638" s="11" t="s">
        <v>49</v>
      </c>
      <c r="E638" s="11" t="s">
        <v>50</v>
      </c>
      <c r="F638" s="11" t="s">
        <v>65</v>
      </c>
      <c r="G638" s="11" t="s">
        <v>94</v>
      </c>
      <c r="H638" s="11" t="s">
        <v>46</v>
      </c>
      <c r="I638" s="11" t="s">
        <v>45</v>
      </c>
      <c r="J638" s="11">
        <v>0.48</v>
      </c>
      <c r="K638" s="12">
        <v>44042</v>
      </c>
      <c r="L638" s="13" t="str" cm="1">
        <f t="array" ref="L638">_xlfn.IFS(
  OR(ISBLANK(A638),ISBLANK(C638),ISBLANK(J638)),"Missing Value",
  OR(C638&lt;18,C638&gt;120),"Review – Out of Range (Age)",
  J638&lt;0,"Review – Out of Range (Risk Score)",
  TRUE,"OK"
)</f>
        <v>OK</v>
      </c>
    </row>
    <row r="639" spans="1:12" ht="16.8" x14ac:dyDescent="0.3">
      <c r="A639" s="14" t="s">
        <v>1329</v>
      </c>
      <c r="B639" s="14" t="s">
        <v>1330</v>
      </c>
      <c r="C639" s="14">
        <v>57</v>
      </c>
      <c r="D639" s="14" t="s">
        <v>49</v>
      </c>
      <c r="E639" s="14" t="s">
        <v>50</v>
      </c>
      <c r="F639" s="14" t="s">
        <v>51</v>
      </c>
      <c r="G639" s="14" t="s">
        <v>52</v>
      </c>
      <c r="H639" s="14" t="s">
        <v>46</v>
      </c>
      <c r="I639" s="14" t="s">
        <v>45</v>
      </c>
      <c r="J639" s="14">
        <v>0.6</v>
      </c>
      <c r="K639" s="15">
        <v>43269</v>
      </c>
      <c r="L639" s="13" t="str" cm="1">
        <f t="array" ref="L639">_xlfn.IFS(
  OR(ISBLANK(A639),ISBLANK(C639),ISBLANK(J639)),"Missing Value",
  OR(C639&lt;18,C639&gt;120),"Review – Out of Range (Age)",
  J639&lt;0,"Review – Out of Range (Risk Score)",
  TRUE,"OK"
)</f>
        <v>OK</v>
      </c>
    </row>
    <row r="640" spans="1:12" ht="16.8" x14ac:dyDescent="0.3">
      <c r="A640" s="11" t="s">
        <v>1331</v>
      </c>
      <c r="B640" s="11" t="s">
        <v>1332</v>
      </c>
      <c r="C640" s="11">
        <v>41</v>
      </c>
      <c r="D640" s="11" t="s">
        <v>41</v>
      </c>
      <c r="E640" s="11" t="s">
        <v>50</v>
      </c>
      <c r="F640" s="11" t="s">
        <v>59</v>
      </c>
      <c r="G640" s="11" t="s">
        <v>60</v>
      </c>
      <c r="H640" s="11" t="s">
        <v>46</v>
      </c>
      <c r="I640" s="11" t="s">
        <v>46</v>
      </c>
      <c r="J640" s="11">
        <v>0.28000000000000003</v>
      </c>
      <c r="K640" s="12">
        <v>44407</v>
      </c>
      <c r="L640" s="13" t="str" cm="1">
        <f t="array" ref="L640">_xlfn.IFS(
  OR(ISBLANK(A640),ISBLANK(C640),ISBLANK(J640)),"Missing Value",
  OR(C640&lt;18,C640&gt;120),"Review – Out of Range (Age)",
  J640&lt;0,"Review – Out of Range (Risk Score)",
  TRUE,"OK"
)</f>
        <v>OK</v>
      </c>
    </row>
    <row r="641" spans="1:12" ht="16.8" x14ac:dyDescent="0.3">
      <c r="A641" s="14" t="s">
        <v>1333</v>
      </c>
      <c r="B641" s="14" t="s">
        <v>1334</v>
      </c>
      <c r="C641" s="14">
        <v>40</v>
      </c>
      <c r="D641" s="14" t="s">
        <v>41</v>
      </c>
      <c r="E641" s="14" t="s">
        <v>50</v>
      </c>
      <c r="F641" s="14" t="s">
        <v>51</v>
      </c>
      <c r="G641" s="14" t="s">
        <v>55</v>
      </c>
      <c r="H641" s="14" t="s">
        <v>45</v>
      </c>
      <c r="I641" s="14" t="s">
        <v>45</v>
      </c>
      <c r="J641" s="14">
        <v>0.32</v>
      </c>
      <c r="K641" s="15">
        <v>44246</v>
      </c>
      <c r="L641" s="13" t="str" cm="1">
        <f t="array" ref="L641">_xlfn.IFS(
  OR(ISBLANK(A641),ISBLANK(C641),ISBLANK(J641)),"Missing Value",
  OR(C641&lt;18,C641&gt;120),"Review – Out of Range (Age)",
  J641&lt;0,"Review – Out of Range (Risk Score)",
  TRUE,"OK"
)</f>
        <v>OK</v>
      </c>
    </row>
    <row r="642" spans="1:12" ht="16.8" x14ac:dyDescent="0.3">
      <c r="A642" s="11" t="s">
        <v>1335</v>
      </c>
      <c r="B642" s="11" t="s">
        <v>1336</v>
      </c>
      <c r="C642" s="11">
        <v>58</v>
      </c>
      <c r="D642" s="11" t="s">
        <v>41</v>
      </c>
      <c r="E642" s="11" t="s">
        <v>50</v>
      </c>
      <c r="F642" s="11" t="s">
        <v>65</v>
      </c>
      <c r="G642" s="11" t="s">
        <v>60</v>
      </c>
      <c r="H642" s="11" t="s">
        <v>46</v>
      </c>
      <c r="I642" s="11" t="s">
        <v>46</v>
      </c>
      <c r="J642" s="11">
        <v>0.23</v>
      </c>
      <c r="K642" s="12">
        <v>44549</v>
      </c>
      <c r="L642" s="13" t="str" cm="1">
        <f t="array" ref="L642">_xlfn.IFS(
  OR(ISBLANK(A642),ISBLANK(C642),ISBLANK(J642)),"Missing Value",
  OR(C642&lt;18,C642&gt;120),"Review – Out of Range (Age)",
  J642&lt;0,"Review – Out of Range (Risk Score)",
  TRUE,"OK"
)</f>
        <v>OK</v>
      </c>
    </row>
    <row r="643" spans="1:12" ht="16.8" x14ac:dyDescent="0.3">
      <c r="A643" s="14" t="s">
        <v>1337</v>
      </c>
      <c r="B643" s="14" t="s">
        <v>1338</v>
      </c>
      <c r="C643" s="14">
        <v>36</v>
      </c>
      <c r="D643" s="14" t="s">
        <v>49</v>
      </c>
      <c r="E643" s="14" t="s">
        <v>50</v>
      </c>
      <c r="F643" s="14" t="s">
        <v>59</v>
      </c>
      <c r="G643" s="14" t="s">
        <v>109</v>
      </c>
      <c r="H643" s="14" t="s">
        <v>45</v>
      </c>
      <c r="I643" s="14" t="s">
        <v>46</v>
      </c>
      <c r="J643" s="14">
        <v>0.23</v>
      </c>
      <c r="K643" s="15">
        <v>44573</v>
      </c>
      <c r="L643" s="13" t="str" cm="1">
        <f t="array" ref="L643">_xlfn.IFS(
  OR(ISBLANK(A643),ISBLANK(C643),ISBLANK(J643)),"Missing Value",
  OR(C643&lt;18,C643&gt;120),"Review – Out of Range (Age)",
  J643&lt;0,"Review – Out of Range (Risk Score)",
  TRUE,"OK"
)</f>
        <v>OK</v>
      </c>
    </row>
    <row r="644" spans="1:12" ht="16.8" x14ac:dyDescent="0.3">
      <c r="A644" s="11" t="s">
        <v>1339</v>
      </c>
      <c r="B644" s="11" t="s">
        <v>1340</v>
      </c>
      <c r="C644" s="11">
        <v>62</v>
      </c>
      <c r="D644" s="11" t="s">
        <v>49</v>
      </c>
      <c r="E644" s="11" t="s">
        <v>42</v>
      </c>
      <c r="F644" s="11" t="s">
        <v>65</v>
      </c>
      <c r="G644" s="11" t="s">
        <v>55</v>
      </c>
      <c r="H644" s="11" t="s">
        <v>45</v>
      </c>
      <c r="I644" s="11" t="s">
        <v>46</v>
      </c>
      <c r="J644" s="11">
        <v>0.27</v>
      </c>
      <c r="K644" s="12">
        <v>43189</v>
      </c>
      <c r="L644" s="13" t="str" cm="1">
        <f t="array" ref="L644">_xlfn.IFS(
  OR(ISBLANK(A644),ISBLANK(C644),ISBLANK(J644)),"Missing Value",
  OR(C644&lt;18,C644&gt;120),"Review – Out of Range (Age)",
  J644&lt;0,"Review – Out of Range (Risk Score)",
  TRUE,"OK"
)</f>
        <v>OK</v>
      </c>
    </row>
    <row r="645" spans="1:12" ht="16.8" x14ac:dyDescent="0.3">
      <c r="A645" s="14" t="s">
        <v>1341</v>
      </c>
      <c r="B645" s="14" t="s">
        <v>1342</v>
      </c>
      <c r="C645" s="14">
        <v>43</v>
      </c>
      <c r="D645" s="14" t="s">
        <v>49</v>
      </c>
      <c r="E645" s="14" t="s">
        <v>58</v>
      </c>
      <c r="F645" s="14" t="s">
        <v>51</v>
      </c>
      <c r="G645" s="14" t="s">
        <v>109</v>
      </c>
      <c r="H645" s="14" t="s">
        <v>45</v>
      </c>
      <c r="I645" s="14" t="s">
        <v>46</v>
      </c>
      <c r="J645" s="14">
        <v>0.48</v>
      </c>
      <c r="K645" s="15">
        <v>44066</v>
      </c>
      <c r="L645" s="13" t="str" cm="1">
        <f t="array" ref="L645">_xlfn.IFS(
  OR(ISBLANK(A645),ISBLANK(C645),ISBLANK(J645)),"Missing Value",
  OR(C645&lt;18,C645&gt;120),"Review – Out of Range (Age)",
  J645&lt;0,"Review – Out of Range (Risk Score)",
  TRUE,"OK"
)</f>
        <v>OK</v>
      </c>
    </row>
    <row r="646" spans="1:12" ht="16.8" x14ac:dyDescent="0.3">
      <c r="A646" s="11" t="s">
        <v>1343</v>
      </c>
      <c r="B646" s="11" t="s">
        <v>1344</v>
      </c>
      <c r="C646" s="11">
        <v>26</v>
      </c>
      <c r="D646" s="11" t="s">
        <v>49</v>
      </c>
      <c r="E646" s="11" t="s">
        <v>58</v>
      </c>
      <c r="F646" s="11" t="s">
        <v>51</v>
      </c>
      <c r="G646" s="11" t="s">
        <v>52</v>
      </c>
      <c r="H646" s="11" t="s">
        <v>45</v>
      </c>
      <c r="I646" s="11" t="s">
        <v>46</v>
      </c>
      <c r="J646" s="11">
        <v>0.47</v>
      </c>
      <c r="K646" s="12">
        <v>43679</v>
      </c>
      <c r="L646" s="13" t="str" cm="1">
        <f t="array" ref="L646">_xlfn.IFS(
  OR(ISBLANK(A646),ISBLANK(C646),ISBLANK(J646)),"Missing Value",
  OR(C646&lt;18,C646&gt;120),"Review – Out of Range (Age)",
  J646&lt;0,"Review – Out of Range (Risk Score)",
  TRUE,"OK"
)</f>
        <v>OK</v>
      </c>
    </row>
    <row r="647" spans="1:12" ht="16.8" x14ac:dyDescent="0.3">
      <c r="A647" s="14" t="s">
        <v>1345</v>
      </c>
      <c r="B647" s="14" t="s">
        <v>1346</v>
      </c>
      <c r="C647" s="14">
        <v>61</v>
      </c>
      <c r="D647" s="14" t="s">
        <v>49</v>
      </c>
      <c r="E647" s="14" t="s">
        <v>50</v>
      </c>
      <c r="F647" s="14" t="s">
        <v>59</v>
      </c>
      <c r="G647" s="14" t="s">
        <v>60</v>
      </c>
      <c r="H647" s="14" t="s">
        <v>45</v>
      </c>
      <c r="I647" s="14" t="s">
        <v>45</v>
      </c>
      <c r="J647" s="14">
        <v>0.27</v>
      </c>
      <c r="K647" s="15">
        <v>43640</v>
      </c>
      <c r="L647" s="13" t="str" cm="1">
        <f t="array" ref="L647">_xlfn.IFS(
  OR(ISBLANK(A647),ISBLANK(C647),ISBLANK(J647)),"Missing Value",
  OR(C647&lt;18,C647&gt;120),"Review – Out of Range (Age)",
  J647&lt;0,"Review – Out of Range (Risk Score)",
  TRUE,"OK"
)</f>
        <v>OK</v>
      </c>
    </row>
    <row r="648" spans="1:12" ht="16.8" x14ac:dyDescent="0.3">
      <c r="A648" s="11" t="s">
        <v>1347</v>
      </c>
      <c r="B648" s="11" t="s">
        <v>1348</v>
      </c>
      <c r="C648" s="11">
        <v>68</v>
      </c>
      <c r="D648" s="11" t="s">
        <v>41</v>
      </c>
      <c r="E648" s="11" t="s">
        <v>58</v>
      </c>
      <c r="F648" s="11" t="s">
        <v>51</v>
      </c>
      <c r="G648" s="11" t="s">
        <v>94</v>
      </c>
      <c r="H648" s="11" t="s">
        <v>46</v>
      </c>
      <c r="I648" s="11" t="s">
        <v>45</v>
      </c>
      <c r="J648" s="11">
        <v>0.56999999999999995</v>
      </c>
      <c r="K648" s="12">
        <v>43507</v>
      </c>
      <c r="L648" s="13" t="str" cm="1">
        <f t="array" ref="L648">_xlfn.IFS(
  OR(ISBLANK(A648),ISBLANK(C648),ISBLANK(J648)),"Missing Value",
  OR(C648&lt;18,C648&gt;120),"Review – Out of Range (Age)",
  J648&lt;0,"Review – Out of Range (Risk Score)",
  TRUE,"OK"
)</f>
        <v>OK</v>
      </c>
    </row>
    <row r="649" spans="1:12" ht="16.8" x14ac:dyDescent="0.3">
      <c r="A649" s="14" t="s">
        <v>1349</v>
      </c>
      <c r="B649" s="14" t="s">
        <v>1350</v>
      </c>
      <c r="C649" s="14">
        <v>55</v>
      </c>
      <c r="D649" s="14" t="s">
        <v>49</v>
      </c>
      <c r="E649" s="14" t="s">
        <v>42</v>
      </c>
      <c r="F649" s="14" t="s">
        <v>51</v>
      </c>
      <c r="G649" s="14" t="s">
        <v>55</v>
      </c>
      <c r="H649" s="14" t="s">
        <v>45</v>
      </c>
      <c r="I649" s="14" t="s">
        <v>45</v>
      </c>
      <c r="J649" s="14">
        <v>0.51</v>
      </c>
      <c r="K649" s="15">
        <v>43854</v>
      </c>
      <c r="L649" s="13" t="str" cm="1">
        <f t="array" ref="L649">_xlfn.IFS(
  OR(ISBLANK(A649),ISBLANK(C649),ISBLANK(J649)),"Missing Value",
  OR(C649&lt;18,C649&gt;120),"Review – Out of Range (Age)",
  J649&lt;0,"Review – Out of Range (Risk Score)",
  TRUE,"OK"
)</f>
        <v>OK</v>
      </c>
    </row>
    <row r="650" spans="1:12" ht="16.8" x14ac:dyDescent="0.3">
      <c r="A650" s="11" t="s">
        <v>1351</v>
      </c>
      <c r="B650" s="11" t="s">
        <v>1352</v>
      </c>
      <c r="C650" s="11">
        <v>50</v>
      </c>
      <c r="D650" s="11" t="s">
        <v>41</v>
      </c>
      <c r="E650" s="11" t="s">
        <v>58</v>
      </c>
      <c r="F650" s="11" t="s">
        <v>51</v>
      </c>
      <c r="G650" s="11" t="s">
        <v>44</v>
      </c>
      <c r="H650" s="11" t="s">
        <v>46</v>
      </c>
      <c r="I650" s="11" t="s">
        <v>46</v>
      </c>
      <c r="J650" s="11">
        <v>0.48</v>
      </c>
      <c r="K650" s="12">
        <v>44292</v>
      </c>
      <c r="L650" s="13" t="str" cm="1">
        <f t="array" ref="L650">_xlfn.IFS(
  OR(ISBLANK(A650),ISBLANK(C650),ISBLANK(J650)),"Missing Value",
  OR(C650&lt;18,C650&gt;120),"Review – Out of Range (Age)",
  J650&lt;0,"Review – Out of Range (Risk Score)",
  TRUE,"OK"
)</f>
        <v>OK</v>
      </c>
    </row>
    <row r="651" spans="1:12" ht="16.8" x14ac:dyDescent="0.3">
      <c r="A651" s="14" t="s">
        <v>1353</v>
      </c>
      <c r="B651" s="14" t="s">
        <v>1354</v>
      </c>
      <c r="C651" s="14">
        <v>22</v>
      </c>
      <c r="D651" s="14" t="s">
        <v>49</v>
      </c>
      <c r="E651" s="14" t="s">
        <v>42</v>
      </c>
      <c r="F651" s="14" t="s">
        <v>65</v>
      </c>
      <c r="G651" s="14" t="s">
        <v>60</v>
      </c>
      <c r="H651" s="14" t="s">
        <v>46</v>
      </c>
      <c r="I651" s="14" t="s">
        <v>46</v>
      </c>
      <c r="J651" s="14">
        <v>0.56999999999999995</v>
      </c>
      <c r="K651" s="15">
        <v>43142</v>
      </c>
      <c r="L651" s="13" t="str" cm="1">
        <f t="array" ref="L651">_xlfn.IFS(
  OR(ISBLANK(A651),ISBLANK(C651),ISBLANK(J651)),"Missing Value",
  OR(C651&lt;18,C651&gt;120),"Review – Out of Range (Age)",
  J651&lt;0,"Review – Out of Range (Risk Score)",
  TRUE,"OK"
)</f>
        <v>OK</v>
      </c>
    </row>
    <row r="652" spans="1:12" ht="16.8" x14ac:dyDescent="0.3">
      <c r="A652" s="11" t="s">
        <v>1355</v>
      </c>
      <c r="B652" s="11" t="s">
        <v>1356</v>
      </c>
      <c r="C652" s="11">
        <v>36</v>
      </c>
      <c r="D652" s="11" t="s">
        <v>41</v>
      </c>
      <c r="E652" s="11" t="s">
        <v>42</v>
      </c>
      <c r="F652" s="11" t="s">
        <v>51</v>
      </c>
      <c r="G652" s="11" t="s">
        <v>52</v>
      </c>
      <c r="H652" s="11" t="s">
        <v>45</v>
      </c>
      <c r="I652" s="11" t="s">
        <v>46</v>
      </c>
      <c r="J652" s="11">
        <v>0.25</v>
      </c>
      <c r="K652" s="12">
        <v>44730</v>
      </c>
      <c r="L652" s="13" t="str" cm="1">
        <f t="array" ref="L652">_xlfn.IFS(
  OR(ISBLANK(A652),ISBLANK(C652),ISBLANK(J652)),"Missing Value",
  OR(C652&lt;18,C652&gt;120),"Review – Out of Range (Age)",
  J652&lt;0,"Review – Out of Range (Risk Score)",
  TRUE,"OK"
)</f>
        <v>OK</v>
      </c>
    </row>
    <row r="653" spans="1:12" ht="16.8" x14ac:dyDescent="0.3">
      <c r="A653" s="14" t="s">
        <v>1357</v>
      </c>
      <c r="B653" s="14" t="s">
        <v>1358</v>
      </c>
      <c r="C653" s="14">
        <v>27</v>
      </c>
      <c r="D653" s="14" t="s">
        <v>41</v>
      </c>
      <c r="E653" s="14" t="s">
        <v>58</v>
      </c>
      <c r="F653" s="14" t="s">
        <v>51</v>
      </c>
      <c r="G653" s="14" t="s">
        <v>94</v>
      </c>
      <c r="H653" s="14" t="s">
        <v>46</v>
      </c>
      <c r="I653" s="14" t="s">
        <v>45</v>
      </c>
      <c r="J653" s="14">
        <v>0.21</v>
      </c>
      <c r="K653" s="15">
        <v>45118</v>
      </c>
      <c r="L653" s="13" t="str" cm="1">
        <f t="array" ref="L653">_xlfn.IFS(
  OR(ISBLANK(A653),ISBLANK(C653),ISBLANK(J653)),"Missing Value",
  OR(C653&lt;18,C653&gt;120),"Review – Out of Range (Age)",
  J653&lt;0,"Review – Out of Range (Risk Score)",
  TRUE,"OK"
)</f>
        <v>OK</v>
      </c>
    </row>
    <row r="654" spans="1:12" ht="16.8" x14ac:dyDescent="0.3">
      <c r="A654" s="11" t="s">
        <v>1359</v>
      </c>
      <c r="B654" s="11" t="s">
        <v>1360</v>
      </c>
      <c r="C654" s="11">
        <v>29</v>
      </c>
      <c r="D654" s="11" t="s">
        <v>49</v>
      </c>
      <c r="E654" s="11" t="s">
        <v>50</v>
      </c>
      <c r="F654" s="11" t="s">
        <v>65</v>
      </c>
      <c r="G654" s="11" t="s">
        <v>94</v>
      </c>
      <c r="H654" s="11" t="s">
        <v>45</v>
      </c>
      <c r="I654" s="11" t="s">
        <v>46</v>
      </c>
      <c r="J654" s="11">
        <v>0.32</v>
      </c>
      <c r="K654" s="12">
        <v>43359</v>
      </c>
      <c r="L654" s="13" t="str" cm="1">
        <f t="array" ref="L654">_xlfn.IFS(
  OR(ISBLANK(A654),ISBLANK(C654),ISBLANK(J654)),"Missing Value",
  OR(C654&lt;18,C654&gt;120),"Review – Out of Range (Age)",
  J654&lt;0,"Review – Out of Range (Risk Score)",
  TRUE,"OK"
)</f>
        <v>OK</v>
      </c>
    </row>
    <row r="655" spans="1:12" ht="16.8" x14ac:dyDescent="0.3">
      <c r="A655" s="14" t="s">
        <v>1361</v>
      </c>
      <c r="B655" s="14" t="s">
        <v>1362</v>
      </c>
      <c r="C655" s="14">
        <v>22</v>
      </c>
      <c r="D655" s="14" t="s">
        <v>41</v>
      </c>
      <c r="E655" s="14" t="s">
        <v>42</v>
      </c>
      <c r="F655" s="14" t="s">
        <v>43</v>
      </c>
      <c r="G655" s="14" t="s">
        <v>60</v>
      </c>
      <c r="H655" s="14" t="s">
        <v>46</v>
      </c>
      <c r="I655" s="14" t="s">
        <v>45</v>
      </c>
      <c r="J655" s="14">
        <v>0.22</v>
      </c>
      <c r="K655" s="15">
        <v>43814</v>
      </c>
      <c r="L655" s="13" t="str" cm="1">
        <f t="array" ref="L655">_xlfn.IFS(
  OR(ISBLANK(A655),ISBLANK(C655),ISBLANK(J655)),"Missing Value",
  OR(C655&lt;18,C655&gt;120),"Review – Out of Range (Age)",
  J655&lt;0,"Review – Out of Range (Risk Score)",
  TRUE,"OK"
)</f>
        <v>OK</v>
      </c>
    </row>
    <row r="656" spans="1:12" ht="16.8" x14ac:dyDescent="0.3">
      <c r="A656" s="11" t="s">
        <v>1363</v>
      </c>
      <c r="B656" s="11" t="s">
        <v>1364</v>
      </c>
      <c r="C656" s="11">
        <v>34</v>
      </c>
      <c r="D656" s="11" t="s">
        <v>41</v>
      </c>
      <c r="E656" s="11" t="s">
        <v>50</v>
      </c>
      <c r="F656" s="11" t="s">
        <v>59</v>
      </c>
      <c r="G656" s="11" t="s">
        <v>60</v>
      </c>
      <c r="H656" s="11" t="s">
        <v>46</v>
      </c>
      <c r="I656" s="11" t="s">
        <v>45</v>
      </c>
      <c r="J656" s="11">
        <v>0.62</v>
      </c>
      <c r="K656" s="12">
        <v>43816</v>
      </c>
      <c r="L656" s="13" t="str" cm="1">
        <f t="array" ref="L656">_xlfn.IFS(
  OR(ISBLANK(A656),ISBLANK(C656),ISBLANK(J656)),"Missing Value",
  OR(C656&lt;18,C656&gt;120),"Review – Out of Range (Age)",
  J656&lt;0,"Review – Out of Range (Risk Score)",
  TRUE,"OK"
)</f>
        <v>OK</v>
      </c>
    </row>
    <row r="657" spans="1:12" ht="16.8" x14ac:dyDescent="0.3">
      <c r="A657" s="14" t="s">
        <v>1365</v>
      </c>
      <c r="B657" s="14" t="s">
        <v>1366</v>
      </c>
      <c r="C657" s="14">
        <v>27</v>
      </c>
      <c r="D657" s="14" t="s">
        <v>49</v>
      </c>
      <c r="E657" s="14" t="s">
        <v>58</v>
      </c>
      <c r="F657" s="14" t="s">
        <v>51</v>
      </c>
      <c r="G657" s="14" t="s">
        <v>55</v>
      </c>
      <c r="H657" s="14" t="s">
        <v>45</v>
      </c>
      <c r="I657" s="14" t="s">
        <v>46</v>
      </c>
      <c r="J657" s="14">
        <v>0.47</v>
      </c>
      <c r="K657" s="15">
        <v>44312</v>
      </c>
      <c r="L657" s="13" t="str" cm="1">
        <f t="array" ref="L657">_xlfn.IFS(
  OR(ISBLANK(A657),ISBLANK(C657),ISBLANK(J657)),"Missing Value",
  OR(C657&lt;18,C657&gt;120),"Review – Out of Range (Age)",
  J657&lt;0,"Review – Out of Range (Risk Score)",
  TRUE,"OK"
)</f>
        <v>OK</v>
      </c>
    </row>
    <row r="658" spans="1:12" ht="16.8" x14ac:dyDescent="0.3">
      <c r="A658" s="11" t="s">
        <v>1367</v>
      </c>
      <c r="B658" s="11" t="s">
        <v>1368</v>
      </c>
      <c r="C658" s="11">
        <v>27</v>
      </c>
      <c r="D658" s="11" t="s">
        <v>49</v>
      </c>
      <c r="E658" s="11" t="s">
        <v>58</v>
      </c>
      <c r="F658" s="11" t="s">
        <v>65</v>
      </c>
      <c r="G658" s="11" t="s">
        <v>60</v>
      </c>
      <c r="H658" s="11" t="s">
        <v>46</v>
      </c>
      <c r="I658" s="11" t="s">
        <v>45</v>
      </c>
      <c r="J658" s="11">
        <v>0.4</v>
      </c>
      <c r="K658" s="12">
        <v>44376</v>
      </c>
      <c r="L658" s="13" t="str" cm="1">
        <f t="array" ref="L658">_xlfn.IFS(
  OR(ISBLANK(A658),ISBLANK(C658),ISBLANK(J658)),"Missing Value",
  OR(C658&lt;18,C658&gt;120),"Review – Out of Range (Age)",
  J658&lt;0,"Review – Out of Range (Risk Score)",
  TRUE,"OK"
)</f>
        <v>OK</v>
      </c>
    </row>
    <row r="659" spans="1:12" ht="16.8" x14ac:dyDescent="0.3">
      <c r="A659" s="14" t="s">
        <v>1369</v>
      </c>
      <c r="B659" s="14" t="s">
        <v>1370</v>
      </c>
      <c r="C659" s="14">
        <v>48</v>
      </c>
      <c r="D659" s="14" t="s">
        <v>49</v>
      </c>
      <c r="E659" s="14" t="s">
        <v>50</v>
      </c>
      <c r="F659" s="14" t="s">
        <v>65</v>
      </c>
      <c r="G659" s="14" t="s">
        <v>44</v>
      </c>
      <c r="H659" s="14" t="s">
        <v>46</v>
      </c>
      <c r="I659" s="14" t="s">
        <v>46</v>
      </c>
      <c r="J659" s="14">
        <v>0.31</v>
      </c>
      <c r="K659" s="15">
        <v>45048</v>
      </c>
      <c r="L659" s="13" t="str" cm="1">
        <f t="array" ref="L659">_xlfn.IFS(
  OR(ISBLANK(A659),ISBLANK(C659),ISBLANK(J659)),"Missing Value",
  OR(C659&lt;18,C659&gt;120),"Review – Out of Range (Age)",
  J659&lt;0,"Review – Out of Range (Risk Score)",
  TRUE,"OK"
)</f>
        <v>OK</v>
      </c>
    </row>
    <row r="660" spans="1:12" ht="16.8" x14ac:dyDescent="0.3">
      <c r="A660" s="11" t="s">
        <v>1371</v>
      </c>
      <c r="B660" s="11" t="s">
        <v>1372</v>
      </c>
      <c r="C660" s="11">
        <v>47</v>
      </c>
      <c r="D660" s="11" t="s">
        <v>41</v>
      </c>
      <c r="E660" s="11" t="s">
        <v>58</v>
      </c>
      <c r="F660" s="11" t="s">
        <v>65</v>
      </c>
      <c r="G660" s="11" t="s">
        <v>52</v>
      </c>
      <c r="H660" s="11" t="s">
        <v>45</v>
      </c>
      <c r="I660" s="11" t="s">
        <v>46</v>
      </c>
      <c r="J660" s="11">
        <v>0.49</v>
      </c>
      <c r="K660" s="12">
        <v>44248</v>
      </c>
      <c r="L660" s="13" t="str" cm="1">
        <f t="array" ref="L660">_xlfn.IFS(
  OR(ISBLANK(A660),ISBLANK(C660),ISBLANK(J660)),"Missing Value",
  OR(C660&lt;18,C660&gt;120),"Review – Out of Range (Age)",
  J660&lt;0,"Review – Out of Range (Risk Score)",
  TRUE,"OK"
)</f>
        <v>OK</v>
      </c>
    </row>
    <row r="661" spans="1:12" ht="16.8" x14ac:dyDescent="0.3">
      <c r="A661" s="14" t="s">
        <v>1373</v>
      </c>
      <c r="B661" s="14" t="s">
        <v>1374</v>
      </c>
      <c r="C661" s="14">
        <v>26</v>
      </c>
      <c r="D661" s="14" t="s">
        <v>41</v>
      </c>
      <c r="E661" s="14" t="s">
        <v>50</v>
      </c>
      <c r="F661" s="14" t="s">
        <v>43</v>
      </c>
      <c r="G661" s="14" t="s">
        <v>94</v>
      </c>
      <c r="H661" s="14" t="s">
        <v>45</v>
      </c>
      <c r="I661" s="14" t="s">
        <v>46</v>
      </c>
      <c r="J661" s="14">
        <v>0.92</v>
      </c>
      <c r="K661" s="15">
        <v>43323</v>
      </c>
      <c r="L661" s="13" t="str" cm="1">
        <f t="array" ref="L661">_xlfn.IFS(
  OR(ISBLANK(A661),ISBLANK(C661),ISBLANK(J661)),"Missing Value",
  OR(C661&lt;18,C661&gt;120),"Review – Out of Range (Age)",
  J661&lt;0,"Review – Out of Range (Risk Score)",
  TRUE,"OK"
)</f>
        <v>OK</v>
      </c>
    </row>
    <row r="662" spans="1:12" ht="16.8" x14ac:dyDescent="0.3">
      <c r="A662" s="11" t="s">
        <v>1375</v>
      </c>
      <c r="B662" s="11" t="s">
        <v>1376</v>
      </c>
      <c r="C662" s="11">
        <v>21</v>
      </c>
      <c r="D662" s="11" t="s">
        <v>41</v>
      </c>
      <c r="E662" s="11" t="s">
        <v>42</v>
      </c>
      <c r="F662" s="11" t="s">
        <v>43</v>
      </c>
      <c r="G662" s="11" t="s">
        <v>60</v>
      </c>
      <c r="H662" s="11" t="s">
        <v>46</v>
      </c>
      <c r="I662" s="11" t="s">
        <v>46</v>
      </c>
      <c r="J662" s="11">
        <v>0.5</v>
      </c>
      <c r="K662" s="12">
        <v>44030</v>
      </c>
      <c r="L662" s="13" t="str" cm="1">
        <f t="array" ref="L662">_xlfn.IFS(
  OR(ISBLANK(A662),ISBLANK(C662),ISBLANK(J662)),"Missing Value",
  OR(C662&lt;18,C662&gt;120),"Review – Out of Range (Age)",
  J662&lt;0,"Review – Out of Range (Risk Score)",
  TRUE,"OK"
)</f>
        <v>OK</v>
      </c>
    </row>
    <row r="663" spans="1:12" ht="16.8" x14ac:dyDescent="0.3">
      <c r="A663" s="14" t="s">
        <v>1377</v>
      </c>
      <c r="B663" s="14" t="s">
        <v>1378</v>
      </c>
      <c r="C663" s="14">
        <v>28</v>
      </c>
      <c r="D663" s="14" t="s">
        <v>49</v>
      </c>
      <c r="E663" s="14" t="s">
        <v>50</v>
      </c>
      <c r="F663" s="14" t="s">
        <v>51</v>
      </c>
      <c r="G663" s="14" t="s">
        <v>52</v>
      </c>
      <c r="H663" s="14" t="s">
        <v>46</v>
      </c>
      <c r="I663" s="14" t="s">
        <v>46</v>
      </c>
      <c r="J663" s="14">
        <v>0.74</v>
      </c>
      <c r="K663" s="15">
        <v>44069</v>
      </c>
      <c r="L663" s="13" t="str" cm="1">
        <f t="array" ref="L663">_xlfn.IFS(
  OR(ISBLANK(A663),ISBLANK(C663),ISBLANK(J663)),"Missing Value",
  OR(C663&lt;18,C663&gt;120),"Review – Out of Range (Age)",
  J663&lt;0,"Review – Out of Range (Risk Score)",
  TRUE,"OK"
)</f>
        <v>OK</v>
      </c>
    </row>
    <row r="664" spans="1:12" ht="16.8" x14ac:dyDescent="0.3">
      <c r="A664" s="11" t="s">
        <v>1379</v>
      </c>
      <c r="B664" s="11" t="s">
        <v>1380</v>
      </c>
      <c r="C664" s="11">
        <v>41</v>
      </c>
      <c r="D664" s="11" t="s">
        <v>41</v>
      </c>
      <c r="E664" s="11" t="s">
        <v>58</v>
      </c>
      <c r="F664" s="11" t="s">
        <v>43</v>
      </c>
      <c r="G664" s="11" t="s">
        <v>109</v>
      </c>
      <c r="H664" s="11" t="s">
        <v>45</v>
      </c>
      <c r="I664" s="11" t="s">
        <v>45</v>
      </c>
      <c r="J664" s="11">
        <v>0.24</v>
      </c>
      <c r="K664" s="12">
        <v>43176</v>
      </c>
      <c r="L664" s="13" t="str" cm="1">
        <f t="array" ref="L664">_xlfn.IFS(
  OR(ISBLANK(A664),ISBLANK(C664),ISBLANK(J664)),"Missing Value",
  OR(C664&lt;18,C664&gt;120),"Review – Out of Range (Age)",
  J664&lt;0,"Review – Out of Range (Risk Score)",
  TRUE,"OK"
)</f>
        <v>OK</v>
      </c>
    </row>
    <row r="665" spans="1:12" ht="16.8" x14ac:dyDescent="0.3">
      <c r="A665" s="14" t="s">
        <v>1381</v>
      </c>
      <c r="B665" s="14" t="s">
        <v>1382</v>
      </c>
      <c r="C665" s="14">
        <v>58</v>
      </c>
      <c r="D665" s="14" t="s">
        <v>41</v>
      </c>
      <c r="E665" s="14" t="s">
        <v>42</v>
      </c>
      <c r="F665" s="14" t="s">
        <v>65</v>
      </c>
      <c r="G665" s="14" t="s">
        <v>60</v>
      </c>
      <c r="H665" s="14" t="s">
        <v>46</v>
      </c>
      <c r="I665" s="14" t="s">
        <v>45</v>
      </c>
      <c r="J665" s="14">
        <v>0.5</v>
      </c>
      <c r="K665" s="15">
        <v>43782</v>
      </c>
      <c r="L665" s="13" t="str" cm="1">
        <f t="array" ref="L665">_xlfn.IFS(
  OR(ISBLANK(A665),ISBLANK(C665),ISBLANK(J665)),"Missing Value",
  OR(C665&lt;18,C665&gt;120),"Review – Out of Range (Age)",
  J665&lt;0,"Review – Out of Range (Risk Score)",
  TRUE,"OK"
)</f>
        <v>OK</v>
      </c>
    </row>
    <row r="666" spans="1:12" ht="16.8" x14ac:dyDescent="0.3">
      <c r="A666" s="11" t="s">
        <v>1383</v>
      </c>
      <c r="B666" s="11" t="s">
        <v>1384</v>
      </c>
      <c r="C666" s="11">
        <v>40</v>
      </c>
      <c r="D666" s="11" t="s">
        <v>41</v>
      </c>
      <c r="E666" s="11" t="s">
        <v>58</v>
      </c>
      <c r="F666" s="11" t="s">
        <v>51</v>
      </c>
      <c r="G666" s="11" t="s">
        <v>94</v>
      </c>
      <c r="H666" s="11" t="s">
        <v>46</v>
      </c>
      <c r="I666" s="11" t="s">
        <v>46</v>
      </c>
      <c r="J666" s="11">
        <v>0.08</v>
      </c>
      <c r="K666" s="12">
        <v>44689</v>
      </c>
      <c r="L666" s="13" t="str" cm="1">
        <f t="array" ref="L666">_xlfn.IFS(
  OR(ISBLANK(A666),ISBLANK(C666),ISBLANK(J666)),"Missing Value",
  OR(C666&lt;18,C666&gt;120),"Review – Out of Range (Age)",
  J666&lt;0,"Review – Out of Range (Risk Score)",
  TRUE,"OK"
)</f>
        <v>OK</v>
      </c>
    </row>
    <row r="667" spans="1:12" ht="16.8" x14ac:dyDescent="0.3">
      <c r="A667" s="14" t="s">
        <v>1385</v>
      </c>
      <c r="B667" s="14" t="s">
        <v>1386</v>
      </c>
      <c r="C667" s="14">
        <v>29</v>
      </c>
      <c r="D667" s="14" t="s">
        <v>49</v>
      </c>
      <c r="E667" s="14" t="s">
        <v>42</v>
      </c>
      <c r="F667" s="14" t="s">
        <v>65</v>
      </c>
      <c r="G667" s="14" t="s">
        <v>55</v>
      </c>
      <c r="H667" s="14" t="s">
        <v>46</v>
      </c>
      <c r="I667" s="14" t="s">
        <v>46</v>
      </c>
      <c r="J667" s="14">
        <v>0.46</v>
      </c>
      <c r="K667" s="15">
        <v>43532</v>
      </c>
      <c r="L667" s="13" t="str" cm="1">
        <f t="array" ref="L667">_xlfn.IFS(
  OR(ISBLANK(A667),ISBLANK(C667),ISBLANK(J667)),"Missing Value",
  OR(C667&lt;18,C667&gt;120),"Review – Out of Range (Age)",
  J667&lt;0,"Review – Out of Range (Risk Score)",
  TRUE,"OK"
)</f>
        <v>OK</v>
      </c>
    </row>
    <row r="668" spans="1:12" ht="16.8" x14ac:dyDescent="0.3">
      <c r="A668" s="11" t="s">
        <v>1387</v>
      </c>
      <c r="B668" s="11" t="s">
        <v>1388</v>
      </c>
      <c r="C668" s="11">
        <v>47</v>
      </c>
      <c r="D668" s="11" t="s">
        <v>41</v>
      </c>
      <c r="E668" s="11" t="s">
        <v>42</v>
      </c>
      <c r="F668" s="11" t="s">
        <v>43</v>
      </c>
      <c r="G668" s="11" t="s">
        <v>55</v>
      </c>
      <c r="H668" s="11" t="s">
        <v>45</v>
      </c>
      <c r="I668" s="11" t="s">
        <v>46</v>
      </c>
      <c r="J668" s="11">
        <v>0.03</v>
      </c>
      <c r="K668" s="12">
        <v>44309</v>
      </c>
      <c r="L668" s="13" t="str" cm="1">
        <f t="array" ref="L668">_xlfn.IFS(
  OR(ISBLANK(A668),ISBLANK(C668),ISBLANK(J668)),"Missing Value",
  OR(C668&lt;18,C668&gt;120),"Review – Out of Range (Age)",
  J668&lt;0,"Review – Out of Range (Risk Score)",
  TRUE,"OK"
)</f>
        <v>OK</v>
      </c>
    </row>
    <row r="669" spans="1:12" ht="16.8" x14ac:dyDescent="0.3">
      <c r="A669" s="14" t="s">
        <v>1389</v>
      </c>
      <c r="B669" s="14" t="s">
        <v>1390</v>
      </c>
      <c r="C669" s="14">
        <v>47</v>
      </c>
      <c r="D669" s="14" t="s">
        <v>49</v>
      </c>
      <c r="E669" s="14" t="s">
        <v>58</v>
      </c>
      <c r="F669" s="14" t="s">
        <v>65</v>
      </c>
      <c r="G669" s="14" t="s">
        <v>55</v>
      </c>
      <c r="H669" s="14" t="s">
        <v>45</v>
      </c>
      <c r="I669" s="14" t="s">
        <v>46</v>
      </c>
      <c r="J669" s="14">
        <v>0.54</v>
      </c>
      <c r="K669" s="15">
        <v>44583</v>
      </c>
      <c r="L669" s="13" t="str" cm="1">
        <f t="array" ref="L669">_xlfn.IFS(
  OR(ISBLANK(A669),ISBLANK(C669),ISBLANK(J669)),"Missing Value",
  OR(C669&lt;18,C669&gt;120),"Review – Out of Range (Age)",
  J669&lt;0,"Review – Out of Range (Risk Score)",
  TRUE,"OK"
)</f>
        <v>OK</v>
      </c>
    </row>
    <row r="670" spans="1:12" ht="16.8" x14ac:dyDescent="0.3">
      <c r="A670" s="11" t="s">
        <v>1391</v>
      </c>
      <c r="B670" s="11" t="s">
        <v>1392</v>
      </c>
      <c r="C670" s="11">
        <v>66</v>
      </c>
      <c r="D670" s="11" t="s">
        <v>41</v>
      </c>
      <c r="E670" s="11" t="s">
        <v>50</v>
      </c>
      <c r="F670" s="11" t="s">
        <v>51</v>
      </c>
      <c r="G670" s="11" t="s">
        <v>109</v>
      </c>
      <c r="H670" s="11" t="s">
        <v>46</v>
      </c>
      <c r="I670" s="11" t="s">
        <v>46</v>
      </c>
      <c r="J670" s="11">
        <v>0.28000000000000003</v>
      </c>
      <c r="K670" s="12">
        <v>44463</v>
      </c>
      <c r="L670" s="13" t="str" cm="1">
        <f t="array" ref="L670">_xlfn.IFS(
  OR(ISBLANK(A670),ISBLANK(C670),ISBLANK(J670)),"Missing Value",
  OR(C670&lt;18,C670&gt;120),"Review – Out of Range (Age)",
  J670&lt;0,"Review – Out of Range (Risk Score)",
  TRUE,"OK"
)</f>
        <v>OK</v>
      </c>
    </row>
    <row r="671" spans="1:12" ht="16.8" x14ac:dyDescent="0.3">
      <c r="A671" s="14" t="s">
        <v>1393</v>
      </c>
      <c r="B671" s="14" t="s">
        <v>1394</v>
      </c>
      <c r="C671" s="14">
        <v>28</v>
      </c>
      <c r="D671" s="14" t="s">
        <v>41</v>
      </c>
      <c r="E671" s="14" t="s">
        <v>58</v>
      </c>
      <c r="F671" s="14" t="s">
        <v>65</v>
      </c>
      <c r="G671" s="14" t="s">
        <v>55</v>
      </c>
      <c r="H671" s="14" t="s">
        <v>45</v>
      </c>
      <c r="I671" s="14" t="s">
        <v>45</v>
      </c>
      <c r="J671" s="14">
        <v>0.53</v>
      </c>
      <c r="K671" s="15">
        <v>44078</v>
      </c>
      <c r="L671" s="13" t="str" cm="1">
        <f t="array" ref="L671">_xlfn.IFS(
  OR(ISBLANK(A671),ISBLANK(C671),ISBLANK(J671)),"Missing Value",
  OR(C671&lt;18,C671&gt;120),"Review – Out of Range (Age)",
  J671&lt;0,"Review – Out of Range (Risk Score)",
  TRUE,"OK"
)</f>
        <v>OK</v>
      </c>
    </row>
    <row r="672" spans="1:12" ht="16.8" x14ac:dyDescent="0.3">
      <c r="A672" s="11" t="s">
        <v>1395</v>
      </c>
      <c r="B672" s="11" t="s">
        <v>1396</v>
      </c>
      <c r="C672" s="11">
        <v>30</v>
      </c>
      <c r="D672" s="11" t="s">
        <v>49</v>
      </c>
      <c r="E672" s="11" t="s">
        <v>42</v>
      </c>
      <c r="F672" s="11" t="s">
        <v>65</v>
      </c>
      <c r="G672" s="11" t="s">
        <v>55</v>
      </c>
      <c r="H672" s="11" t="s">
        <v>46</v>
      </c>
      <c r="I672" s="11" t="s">
        <v>46</v>
      </c>
      <c r="J672" s="11">
        <v>0.33</v>
      </c>
      <c r="K672" s="12">
        <v>43715</v>
      </c>
      <c r="L672" s="13" t="str" cm="1">
        <f t="array" ref="L672">_xlfn.IFS(
  OR(ISBLANK(A672),ISBLANK(C672),ISBLANK(J672)),"Missing Value",
  OR(C672&lt;18,C672&gt;120),"Review – Out of Range (Age)",
  J672&lt;0,"Review – Out of Range (Risk Score)",
  TRUE,"OK"
)</f>
        <v>OK</v>
      </c>
    </row>
    <row r="673" spans="1:12" ht="16.8" x14ac:dyDescent="0.3">
      <c r="A673" s="14" t="s">
        <v>1397</v>
      </c>
      <c r="B673" s="14" t="s">
        <v>1398</v>
      </c>
      <c r="C673" s="14">
        <v>18</v>
      </c>
      <c r="D673" s="14" t="s">
        <v>49</v>
      </c>
      <c r="E673" s="14" t="s">
        <v>58</v>
      </c>
      <c r="F673" s="14" t="s">
        <v>43</v>
      </c>
      <c r="G673" s="14" t="s">
        <v>55</v>
      </c>
      <c r="H673" s="14" t="s">
        <v>46</v>
      </c>
      <c r="I673" s="14" t="s">
        <v>45</v>
      </c>
      <c r="J673" s="14">
        <v>0.53</v>
      </c>
      <c r="K673" s="15">
        <v>43787</v>
      </c>
      <c r="L673" s="13" t="str" cm="1">
        <f t="array" ref="L673">_xlfn.IFS(
  OR(ISBLANK(A673),ISBLANK(C673),ISBLANK(J673)),"Missing Value",
  OR(C673&lt;18,C673&gt;120),"Review – Out of Range (Age)",
  J673&lt;0,"Review – Out of Range (Risk Score)",
  TRUE,"OK"
)</f>
        <v>OK</v>
      </c>
    </row>
    <row r="674" spans="1:12" ht="16.8" x14ac:dyDescent="0.3">
      <c r="A674" s="11" t="s">
        <v>1399</v>
      </c>
      <c r="B674" s="11" t="s">
        <v>1400</v>
      </c>
      <c r="C674" s="11">
        <v>57</v>
      </c>
      <c r="D674" s="11" t="s">
        <v>41</v>
      </c>
      <c r="E674" s="11" t="s">
        <v>58</v>
      </c>
      <c r="F674" s="11" t="s">
        <v>43</v>
      </c>
      <c r="G674" s="11" t="s">
        <v>44</v>
      </c>
      <c r="H674" s="11" t="s">
        <v>45</v>
      </c>
      <c r="I674" s="11" t="s">
        <v>45</v>
      </c>
      <c r="J674" s="11">
        <v>0.65</v>
      </c>
      <c r="K674" s="12">
        <v>43433</v>
      </c>
      <c r="L674" s="13" t="str" cm="1">
        <f t="array" ref="L674">_xlfn.IFS(
  OR(ISBLANK(A674),ISBLANK(C674),ISBLANK(J674)),"Missing Value",
  OR(C674&lt;18,C674&gt;120),"Review – Out of Range (Age)",
  J674&lt;0,"Review – Out of Range (Risk Score)",
  TRUE,"OK"
)</f>
        <v>OK</v>
      </c>
    </row>
    <row r="675" spans="1:12" ht="16.8" x14ac:dyDescent="0.3">
      <c r="A675" s="14" t="s">
        <v>1401</v>
      </c>
      <c r="B675" s="14" t="s">
        <v>1402</v>
      </c>
      <c r="C675" s="14">
        <v>31</v>
      </c>
      <c r="D675" s="14" t="s">
        <v>41</v>
      </c>
      <c r="E675" s="14" t="s">
        <v>58</v>
      </c>
      <c r="F675" s="14" t="s">
        <v>51</v>
      </c>
      <c r="G675" s="14" t="s">
        <v>52</v>
      </c>
      <c r="H675" s="14" t="s">
        <v>45</v>
      </c>
      <c r="I675" s="14" t="s">
        <v>46</v>
      </c>
      <c r="J675" s="14">
        <v>0.28000000000000003</v>
      </c>
      <c r="K675" s="15">
        <v>44743</v>
      </c>
      <c r="L675" s="13" t="str" cm="1">
        <f t="array" ref="L675">_xlfn.IFS(
  OR(ISBLANK(A675),ISBLANK(C675),ISBLANK(J675)),"Missing Value",
  OR(C675&lt;18,C675&gt;120),"Review – Out of Range (Age)",
  J675&lt;0,"Review – Out of Range (Risk Score)",
  TRUE,"OK"
)</f>
        <v>OK</v>
      </c>
    </row>
    <row r="676" spans="1:12" ht="16.8" x14ac:dyDescent="0.3">
      <c r="A676" s="11" t="s">
        <v>1403</v>
      </c>
      <c r="B676" s="11" t="s">
        <v>1404</v>
      </c>
      <c r="C676" s="11">
        <v>45</v>
      </c>
      <c r="D676" s="11" t="s">
        <v>41</v>
      </c>
      <c r="E676" s="11" t="s">
        <v>42</v>
      </c>
      <c r="F676" s="11" t="s">
        <v>43</v>
      </c>
      <c r="G676" s="11" t="s">
        <v>55</v>
      </c>
      <c r="H676" s="11" t="s">
        <v>45</v>
      </c>
      <c r="I676" s="11" t="s">
        <v>46</v>
      </c>
      <c r="J676" s="11">
        <v>0.67</v>
      </c>
      <c r="K676" s="12">
        <v>43484</v>
      </c>
      <c r="L676" s="13" t="str" cm="1">
        <f t="array" ref="L676">_xlfn.IFS(
  OR(ISBLANK(A676),ISBLANK(C676),ISBLANK(J676)),"Missing Value",
  OR(C676&lt;18,C676&gt;120),"Review – Out of Range (Age)",
  J676&lt;0,"Review – Out of Range (Risk Score)",
  TRUE,"OK"
)</f>
        <v>OK</v>
      </c>
    </row>
    <row r="677" spans="1:12" ht="16.8" x14ac:dyDescent="0.3">
      <c r="A677" s="14" t="s">
        <v>1405</v>
      </c>
      <c r="B677" s="14" t="s">
        <v>1406</v>
      </c>
      <c r="C677" s="14">
        <v>45</v>
      </c>
      <c r="D677" s="14" t="s">
        <v>41</v>
      </c>
      <c r="E677" s="14" t="s">
        <v>58</v>
      </c>
      <c r="F677" s="14" t="s">
        <v>59</v>
      </c>
      <c r="G677" s="14" t="s">
        <v>94</v>
      </c>
      <c r="H677" s="14" t="s">
        <v>45</v>
      </c>
      <c r="I677" s="14" t="s">
        <v>46</v>
      </c>
      <c r="J677" s="14">
        <v>0.49</v>
      </c>
      <c r="K677" s="15">
        <v>43744</v>
      </c>
      <c r="L677" s="13" t="str" cm="1">
        <f t="array" ref="L677">_xlfn.IFS(
  OR(ISBLANK(A677),ISBLANK(C677),ISBLANK(J677)),"Missing Value",
  OR(C677&lt;18,C677&gt;120),"Review – Out of Range (Age)",
  J677&lt;0,"Review – Out of Range (Risk Score)",
  TRUE,"OK"
)</f>
        <v>OK</v>
      </c>
    </row>
    <row r="678" spans="1:12" ht="16.8" x14ac:dyDescent="0.3">
      <c r="A678" s="11" t="s">
        <v>1407</v>
      </c>
      <c r="B678" s="11" t="s">
        <v>1408</v>
      </c>
      <c r="C678" s="11">
        <v>37</v>
      </c>
      <c r="D678" s="11" t="s">
        <v>49</v>
      </c>
      <c r="E678" s="11" t="s">
        <v>50</v>
      </c>
      <c r="F678" s="11" t="s">
        <v>65</v>
      </c>
      <c r="G678" s="11" t="s">
        <v>52</v>
      </c>
      <c r="H678" s="11" t="s">
        <v>45</v>
      </c>
      <c r="I678" s="11" t="s">
        <v>45</v>
      </c>
      <c r="J678" s="11">
        <v>0.78</v>
      </c>
      <c r="K678" s="12">
        <v>44901</v>
      </c>
      <c r="L678" s="13" t="str" cm="1">
        <f t="array" ref="L678">_xlfn.IFS(
  OR(ISBLANK(A678),ISBLANK(C678),ISBLANK(J678)),"Missing Value",
  OR(C678&lt;18,C678&gt;120),"Review – Out of Range (Age)",
  J678&lt;0,"Review – Out of Range (Risk Score)",
  TRUE,"OK"
)</f>
        <v>OK</v>
      </c>
    </row>
    <row r="679" spans="1:12" ht="16.8" x14ac:dyDescent="0.3">
      <c r="A679" s="14" t="s">
        <v>1409</v>
      </c>
      <c r="B679" s="14" t="s">
        <v>1410</v>
      </c>
      <c r="C679" s="14">
        <v>26</v>
      </c>
      <c r="D679" s="14" t="s">
        <v>49</v>
      </c>
      <c r="E679" s="14" t="s">
        <v>58</v>
      </c>
      <c r="F679" s="14" t="s">
        <v>51</v>
      </c>
      <c r="G679" s="14" t="s">
        <v>109</v>
      </c>
      <c r="H679" s="14" t="s">
        <v>45</v>
      </c>
      <c r="I679" s="14" t="s">
        <v>45</v>
      </c>
      <c r="J679" s="14">
        <v>0.56000000000000005</v>
      </c>
      <c r="K679" s="15">
        <v>43121</v>
      </c>
      <c r="L679" s="13" t="str" cm="1">
        <f t="array" ref="L679">_xlfn.IFS(
  OR(ISBLANK(A679),ISBLANK(C679),ISBLANK(J679)),"Missing Value",
  OR(C679&lt;18,C679&gt;120),"Review – Out of Range (Age)",
  J679&lt;0,"Review – Out of Range (Risk Score)",
  TRUE,"OK"
)</f>
        <v>OK</v>
      </c>
    </row>
    <row r="680" spans="1:12" ht="16.8" x14ac:dyDescent="0.3">
      <c r="A680" s="11" t="s">
        <v>1411</v>
      </c>
      <c r="B680" s="11" t="s">
        <v>1412</v>
      </c>
      <c r="C680" s="11">
        <v>45</v>
      </c>
      <c r="D680" s="11" t="s">
        <v>41</v>
      </c>
      <c r="E680" s="11" t="s">
        <v>58</v>
      </c>
      <c r="F680" s="11" t="s">
        <v>51</v>
      </c>
      <c r="G680" s="11" t="s">
        <v>55</v>
      </c>
      <c r="H680" s="11" t="s">
        <v>46</v>
      </c>
      <c r="I680" s="11" t="s">
        <v>45</v>
      </c>
      <c r="J680" s="11">
        <v>0.46</v>
      </c>
      <c r="K680" s="12">
        <v>44752</v>
      </c>
      <c r="L680" s="13" t="str" cm="1">
        <f t="array" ref="L680">_xlfn.IFS(
  OR(ISBLANK(A680),ISBLANK(C680),ISBLANK(J680)),"Missing Value",
  OR(C680&lt;18,C680&gt;120),"Review – Out of Range (Age)",
  J680&lt;0,"Review – Out of Range (Risk Score)",
  TRUE,"OK"
)</f>
        <v>OK</v>
      </c>
    </row>
    <row r="681" spans="1:12" ht="16.8" x14ac:dyDescent="0.3">
      <c r="A681" s="14" t="s">
        <v>1413</v>
      </c>
      <c r="B681" s="14" t="s">
        <v>1414</v>
      </c>
      <c r="C681" s="14">
        <v>40</v>
      </c>
      <c r="D681" s="14" t="s">
        <v>41</v>
      </c>
      <c r="E681" s="14" t="s">
        <v>58</v>
      </c>
      <c r="F681" s="14" t="s">
        <v>51</v>
      </c>
      <c r="G681" s="14" t="s">
        <v>44</v>
      </c>
      <c r="H681" s="14" t="s">
        <v>46</v>
      </c>
      <c r="I681" s="14" t="s">
        <v>46</v>
      </c>
      <c r="J681" s="14">
        <v>0.37</v>
      </c>
      <c r="K681" s="15">
        <v>43251</v>
      </c>
      <c r="L681" s="13" t="str" cm="1">
        <f t="array" ref="L681">_xlfn.IFS(
  OR(ISBLANK(A681),ISBLANK(C681),ISBLANK(J681)),"Missing Value",
  OR(C681&lt;18,C681&gt;120),"Review – Out of Range (Age)",
  J681&lt;0,"Review – Out of Range (Risk Score)",
  TRUE,"OK"
)</f>
        <v>OK</v>
      </c>
    </row>
    <row r="682" spans="1:12" ht="16.8" x14ac:dyDescent="0.3">
      <c r="A682" s="11" t="s">
        <v>1415</v>
      </c>
      <c r="B682" s="11" t="s">
        <v>1416</v>
      </c>
      <c r="C682" s="11">
        <v>41</v>
      </c>
      <c r="D682" s="11" t="s">
        <v>41</v>
      </c>
      <c r="E682" s="11" t="s">
        <v>58</v>
      </c>
      <c r="F682" s="11" t="s">
        <v>59</v>
      </c>
      <c r="G682" s="11" t="s">
        <v>55</v>
      </c>
      <c r="H682" s="11" t="s">
        <v>46</v>
      </c>
      <c r="I682" s="11" t="s">
        <v>45</v>
      </c>
      <c r="J682" s="11">
        <v>0.55000000000000004</v>
      </c>
      <c r="K682" s="12">
        <v>45026</v>
      </c>
      <c r="L682" s="13" t="str" cm="1">
        <f t="array" ref="L682">_xlfn.IFS(
  OR(ISBLANK(A682),ISBLANK(C682),ISBLANK(J682)),"Missing Value",
  OR(C682&lt;18,C682&gt;120),"Review – Out of Range (Age)",
  J682&lt;0,"Review – Out of Range (Risk Score)",
  TRUE,"OK"
)</f>
        <v>OK</v>
      </c>
    </row>
    <row r="683" spans="1:12" ht="16.8" x14ac:dyDescent="0.3">
      <c r="A683" s="14" t="s">
        <v>1417</v>
      </c>
      <c r="B683" s="14" t="s">
        <v>1418</v>
      </c>
      <c r="C683" s="14">
        <v>64</v>
      </c>
      <c r="D683" s="14" t="s">
        <v>49</v>
      </c>
      <c r="E683" s="14" t="s">
        <v>58</v>
      </c>
      <c r="F683" s="14" t="s">
        <v>43</v>
      </c>
      <c r="G683" s="14" t="s">
        <v>52</v>
      </c>
      <c r="H683" s="14" t="s">
        <v>46</v>
      </c>
      <c r="I683" s="14" t="s">
        <v>46</v>
      </c>
      <c r="J683" s="14">
        <v>0.34</v>
      </c>
      <c r="K683" s="15">
        <v>43361</v>
      </c>
      <c r="L683" s="13" t="str" cm="1">
        <f t="array" ref="L683">_xlfn.IFS(
  OR(ISBLANK(A683),ISBLANK(C683),ISBLANK(J683)),"Missing Value",
  OR(C683&lt;18,C683&gt;120),"Review – Out of Range (Age)",
  J683&lt;0,"Review – Out of Range (Risk Score)",
  TRUE,"OK"
)</f>
        <v>OK</v>
      </c>
    </row>
    <row r="684" spans="1:12" ht="16.8" x14ac:dyDescent="0.3">
      <c r="A684" s="11" t="s">
        <v>1419</v>
      </c>
      <c r="B684" s="11" t="s">
        <v>1420</v>
      </c>
      <c r="C684" s="11">
        <v>33</v>
      </c>
      <c r="D684" s="11" t="s">
        <v>41</v>
      </c>
      <c r="E684" s="11" t="s">
        <v>50</v>
      </c>
      <c r="F684" s="11" t="s">
        <v>65</v>
      </c>
      <c r="G684" s="11" t="s">
        <v>52</v>
      </c>
      <c r="H684" s="11" t="s">
        <v>46</v>
      </c>
      <c r="I684" s="11" t="s">
        <v>45</v>
      </c>
      <c r="J684" s="11">
        <v>1</v>
      </c>
      <c r="K684" s="12">
        <v>43335</v>
      </c>
      <c r="L684" s="13" t="str" cm="1">
        <f t="array" ref="L684">_xlfn.IFS(
  OR(ISBLANK(A684),ISBLANK(C684),ISBLANK(J684)),"Missing Value",
  OR(C684&lt;18,C684&gt;120),"Review – Out of Range (Age)",
  J684&lt;0,"Review – Out of Range (Risk Score)",
  TRUE,"OK"
)</f>
        <v>OK</v>
      </c>
    </row>
    <row r="685" spans="1:12" ht="16.8" x14ac:dyDescent="0.3">
      <c r="A685" s="14" t="s">
        <v>1421</v>
      </c>
      <c r="B685" s="14" t="s">
        <v>1422</v>
      </c>
      <c r="C685" s="14">
        <v>51</v>
      </c>
      <c r="D685" s="14" t="s">
        <v>49</v>
      </c>
      <c r="E685" s="14" t="s">
        <v>42</v>
      </c>
      <c r="F685" s="14" t="s">
        <v>65</v>
      </c>
      <c r="G685" s="14" t="s">
        <v>94</v>
      </c>
      <c r="H685" s="14" t="s">
        <v>46</v>
      </c>
      <c r="I685" s="14" t="s">
        <v>45</v>
      </c>
      <c r="J685" s="14">
        <v>0.01</v>
      </c>
      <c r="K685" s="15">
        <v>43386</v>
      </c>
      <c r="L685" s="13" t="str" cm="1">
        <f t="array" ref="L685">_xlfn.IFS(
  OR(ISBLANK(A685),ISBLANK(C685),ISBLANK(J685)),"Missing Value",
  OR(C685&lt;18,C685&gt;120),"Review – Out of Range (Age)",
  J685&lt;0,"Review – Out of Range (Risk Score)",
  TRUE,"OK"
)</f>
        <v>OK</v>
      </c>
    </row>
    <row r="686" spans="1:12" ht="16.8" x14ac:dyDescent="0.3">
      <c r="A686" s="11" t="s">
        <v>1423</v>
      </c>
      <c r="B686" s="11" t="s">
        <v>1424</v>
      </c>
      <c r="C686" s="11">
        <v>50</v>
      </c>
      <c r="D686" s="11" t="s">
        <v>41</v>
      </c>
      <c r="E686" s="11" t="s">
        <v>58</v>
      </c>
      <c r="F686" s="11" t="s">
        <v>59</v>
      </c>
      <c r="G686" s="11" t="s">
        <v>60</v>
      </c>
      <c r="H686" s="11" t="s">
        <v>46</v>
      </c>
      <c r="I686" s="11" t="s">
        <v>46</v>
      </c>
      <c r="J686" s="11">
        <v>0.4</v>
      </c>
      <c r="K686" s="12">
        <v>44843</v>
      </c>
      <c r="L686" s="13" t="str" cm="1">
        <f t="array" ref="L686">_xlfn.IFS(
  OR(ISBLANK(A686),ISBLANK(C686),ISBLANK(J686)),"Missing Value",
  OR(C686&lt;18,C686&gt;120),"Review – Out of Range (Age)",
  J686&lt;0,"Review – Out of Range (Risk Score)",
  TRUE,"OK"
)</f>
        <v>OK</v>
      </c>
    </row>
    <row r="687" spans="1:12" ht="16.8" x14ac:dyDescent="0.3">
      <c r="A687" s="14" t="s">
        <v>1425</v>
      </c>
      <c r="B687" s="14" t="s">
        <v>1426</v>
      </c>
      <c r="C687" s="14">
        <v>36</v>
      </c>
      <c r="D687" s="14" t="s">
        <v>49</v>
      </c>
      <c r="E687" s="14" t="s">
        <v>42</v>
      </c>
      <c r="F687" s="14" t="s">
        <v>51</v>
      </c>
      <c r="G687" s="14" t="s">
        <v>55</v>
      </c>
      <c r="H687" s="14" t="s">
        <v>45</v>
      </c>
      <c r="I687" s="14" t="s">
        <v>45</v>
      </c>
      <c r="J687" s="14">
        <v>0.26</v>
      </c>
      <c r="K687" s="15">
        <v>44740</v>
      </c>
      <c r="L687" s="13" t="str" cm="1">
        <f t="array" ref="L687">_xlfn.IFS(
  OR(ISBLANK(A687),ISBLANK(C687),ISBLANK(J687)),"Missing Value",
  OR(C687&lt;18,C687&gt;120),"Review – Out of Range (Age)",
  J687&lt;0,"Review – Out of Range (Risk Score)",
  TRUE,"OK"
)</f>
        <v>OK</v>
      </c>
    </row>
    <row r="688" spans="1:12" ht="16.8" x14ac:dyDescent="0.3">
      <c r="A688" s="11" t="s">
        <v>1427</v>
      </c>
      <c r="B688" s="11" t="s">
        <v>1428</v>
      </c>
      <c r="C688" s="11">
        <v>29</v>
      </c>
      <c r="D688" s="11" t="s">
        <v>49</v>
      </c>
      <c r="E688" s="11" t="s">
        <v>50</v>
      </c>
      <c r="F688" s="11" t="s">
        <v>43</v>
      </c>
      <c r="G688" s="11" t="s">
        <v>44</v>
      </c>
      <c r="H688" s="11" t="s">
        <v>45</v>
      </c>
      <c r="I688" s="11" t="s">
        <v>46</v>
      </c>
      <c r="J688" s="11">
        <v>0.42</v>
      </c>
      <c r="K688" s="12">
        <v>43365</v>
      </c>
      <c r="L688" s="13" t="str" cm="1">
        <f t="array" ref="L688">_xlfn.IFS(
  OR(ISBLANK(A688),ISBLANK(C688),ISBLANK(J688)),"Missing Value",
  OR(C688&lt;18,C688&gt;120),"Review – Out of Range (Age)",
  J688&lt;0,"Review – Out of Range (Risk Score)",
  TRUE,"OK"
)</f>
        <v>OK</v>
      </c>
    </row>
    <row r="689" spans="1:12" ht="16.8" x14ac:dyDescent="0.3">
      <c r="A689" s="14" t="s">
        <v>1429</v>
      </c>
      <c r="B689" s="14" t="s">
        <v>1430</v>
      </c>
      <c r="C689" s="14">
        <v>44</v>
      </c>
      <c r="D689" s="14" t="s">
        <v>41</v>
      </c>
      <c r="E689" s="14" t="s">
        <v>58</v>
      </c>
      <c r="F689" s="14" t="s">
        <v>65</v>
      </c>
      <c r="G689" s="14" t="s">
        <v>55</v>
      </c>
      <c r="H689" s="14" t="s">
        <v>46</v>
      </c>
      <c r="I689" s="14" t="s">
        <v>46</v>
      </c>
      <c r="J689" s="14">
        <v>0.27</v>
      </c>
      <c r="K689" s="15">
        <v>45049</v>
      </c>
      <c r="L689" s="13" t="str" cm="1">
        <f t="array" ref="L689">_xlfn.IFS(
  OR(ISBLANK(A689),ISBLANK(C689),ISBLANK(J689)),"Missing Value",
  OR(C689&lt;18,C689&gt;120),"Review – Out of Range (Age)",
  J689&lt;0,"Review – Out of Range (Risk Score)",
  TRUE,"OK"
)</f>
        <v>OK</v>
      </c>
    </row>
    <row r="690" spans="1:12" ht="16.8" x14ac:dyDescent="0.3">
      <c r="A690" s="11" t="s">
        <v>1431</v>
      </c>
      <c r="B690" s="11" t="s">
        <v>1432</v>
      </c>
      <c r="C690" s="11">
        <v>33</v>
      </c>
      <c r="D690" s="11" t="s">
        <v>41</v>
      </c>
      <c r="E690" s="11" t="s">
        <v>42</v>
      </c>
      <c r="F690" s="11" t="s">
        <v>65</v>
      </c>
      <c r="G690" s="11" t="s">
        <v>94</v>
      </c>
      <c r="H690" s="11" t="s">
        <v>45</v>
      </c>
      <c r="I690" s="11" t="s">
        <v>46</v>
      </c>
      <c r="J690" s="11">
        <v>0.45</v>
      </c>
      <c r="K690" s="12">
        <v>43531</v>
      </c>
      <c r="L690" s="13" t="str" cm="1">
        <f t="array" ref="L690">_xlfn.IFS(
  OR(ISBLANK(A690),ISBLANK(C690),ISBLANK(J690)),"Missing Value",
  OR(C690&lt;18,C690&gt;120),"Review – Out of Range (Age)",
  J690&lt;0,"Review – Out of Range (Risk Score)",
  TRUE,"OK"
)</f>
        <v>OK</v>
      </c>
    </row>
    <row r="691" spans="1:12" ht="16.8" x14ac:dyDescent="0.3">
      <c r="A691" s="14" t="s">
        <v>1433</v>
      </c>
      <c r="B691" s="14" t="s">
        <v>1434</v>
      </c>
      <c r="C691" s="14">
        <v>41</v>
      </c>
      <c r="D691" s="14" t="s">
        <v>41</v>
      </c>
      <c r="E691" s="14" t="s">
        <v>58</v>
      </c>
      <c r="F691" s="14" t="s">
        <v>51</v>
      </c>
      <c r="G691" s="14" t="s">
        <v>94</v>
      </c>
      <c r="H691" s="14" t="s">
        <v>45</v>
      </c>
      <c r="I691" s="14" t="s">
        <v>45</v>
      </c>
      <c r="J691" s="14">
        <v>0.14000000000000001</v>
      </c>
      <c r="K691" s="15">
        <v>44416</v>
      </c>
      <c r="L691" s="13" t="str" cm="1">
        <f t="array" ref="L691">_xlfn.IFS(
  OR(ISBLANK(A691),ISBLANK(C691),ISBLANK(J691)),"Missing Value",
  OR(C691&lt;18,C691&gt;120),"Review – Out of Range (Age)",
  J691&lt;0,"Review – Out of Range (Risk Score)",
  TRUE,"OK"
)</f>
        <v>OK</v>
      </c>
    </row>
    <row r="692" spans="1:12" ht="16.8" x14ac:dyDescent="0.3">
      <c r="A692" s="11" t="s">
        <v>1435</v>
      </c>
      <c r="B692" s="11" t="s">
        <v>1436</v>
      </c>
      <c r="C692" s="11">
        <v>36</v>
      </c>
      <c r="D692" s="11" t="s">
        <v>49</v>
      </c>
      <c r="E692" s="11" t="s">
        <v>50</v>
      </c>
      <c r="F692" s="11" t="s">
        <v>43</v>
      </c>
      <c r="G692" s="11" t="s">
        <v>55</v>
      </c>
      <c r="H692" s="11" t="s">
        <v>46</v>
      </c>
      <c r="I692" s="11" t="s">
        <v>46</v>
      </c>
      <c r="J692" s="11">
        <v>0.74</v>
      </c>
      <c r="K692" s="12">
        <v>43157</v>
      </c>
      <c r="L692" s="13" t="str" cm="1">
        <f t="array" ref="L692">_xlfn.IFS(
  OR(ISBLANK(A692),ISBLANK(C692),ISBLANK(J692)),"Missing Value",
  OR(C692&lt;18,C692&gt;120),"Review – Out of Range (Age)",
  J692&lt;0,"Review – Out of Range (Risk Score)",
  TRUE,"OK"
)</f>
        <v>OK</v>
      </c>
    </row>
    <row r="693" spans="1:12" ht="16.8" x14ac:dyDescent="0.3">
      <c r="A693" s="14" t="s">
        <v>1437</v>
      </c>
      <c r="B693" s="14" t="s">
        <v>1438</v>
      </c>
      <c r="C693" s="14">
        <v>58</v>
      </c>
      <c r="D693" s="14" t="s">
        <v>49</v>
      </c>
      <c r="E693" s="14" t="s">
        <v>42</v>
      </c>
      <c r="F693" s="14" t="s">
        <v>65</v>
      </c>
      <c r="G693" s="14" t="s">
        <v>94</v>
      </c>
      <c r="H693" s="14" t="s">
        <v>45</v>
      </c>
      <c r="I693" s="14" t="s">
        <v>45</v>
      </c>
      <c r="J693" s="14">
        <v>0.41</v>
      </c>
      <c r="K693" s="15">
        <v>45101</v>
      </c>
      <c r="L693" s="13" t="str" cm="1">
        <f t="array" ref="L693">_xlfn.IFS(
  OR(ISBLANK(A693),ISBLANK(C693),ISBLANK(J693)),"Missing Value",
  OR(C693&lt;18,C693&gt;120),"Review – Out of Range (Age)",
  J693&lt;0,"Review – Out of Range (Risk Score)",
  TRUE,"OK"
)</f>
        <v>OK</v>
      </c>
    </row>
    <row r="694" spans="1:12" ht="16.8" x14ac:dyDescent="0.3">
      <c r="A694" s="11" t="s">
        <v>1439</v>
      </c>
      <c r="B694" s="11" t="s">
        <v>1440</v>
      </c>
      <c r="C694" s="11">
        <v>55</v>
      </c>
      <c r="D694" s="11" t="s">
        <v>49</v>
      </c>
      <c r="E694" s="11" t="s">
        <v>58</v>
      </c>
      <c r="F694" s="11" t="s">
        <v>59</v>
      </c>
      <c r="G694" s="11" t="s">
        <v>60</v>
      </c>
      <c r="H694" s="11" t="s">
        <v>45</v>
      </c>
      <c r="I694" s="11" t="s">
        <v>46</v>
      </c>
      <c r="J694" s="11">
        <v>0.63</v>
      </c>
      <c r="K694" s="12">
        <v>44621</v>
      </c>
      <c r="L694" s="13" t="str" cm="1">
        <f t="array" ref="L694">_xlfn.IFS(
  OR(ISBLANK(A694),ISBLANK(C694),ISBLANK(J694)),"Missing Value",
  OR(C694&lt;18,C694&gt;120),"Review – Out of Range (Age)",
  J694&lt;0,"Review – Out of Range (Risk Score)",
  TRUE,"OK"
)</f>
        <v>OK</v>
      </c>
    </row>
    <row r="695" spans="1:12" ht="16.8" x14ac:dyDescent="0.3">
      <c r="A695" s="14" t="s">
        <v>1441</v>
      </c>
      <c r="B695" s="14" t="s">
        <v>1442</v>
      </c>
      <c r="C695" s="14">
        <v>21</v>
      </c>
      <c r="D695" s="14" t="s">
        <v>49</v>
      </c>
      <c r="E695" s="14" t="s">
        <v>42</v>
      </c>
      <c r="F695" s="14" t="s">
        <v>43</v>
      </c>
      <c r="G695" s="14" t="s">
        <v>109</v>
      </c>
      <c r="H695" s="14" t="s">
        <v>45</v>
      </c>
      <c r="I695" s="14" t="s">
        <v>46</v>
      </c>
      <c r="J695" s="14">
        <v>0.39</v>
      </c>
      <c r="K695" s="15">
        <v>43485</v>
      </c>
      <c r="L695" s="13" t="str" cm="1">
        <f t="array" ref="L695">_xlfn.IFS(
  OR(ISBLANK(A695),ISBLANK(C695),ISBLANK(J695)),"Missing Value",
  OR(C695&lt;18,C695&gt;120),"Review – Out of Range (Age)",
  J695&lt;0,"Review – Out of Range (Risk Score)",
  TRUE,"OK"
)</f>
        <v>OK</v>
      </c>
    </row>
    <row r="696" spans="1:12" ht="16.8" x14ac:dyDescent="0.3">
      <c r="A696" s="11" t="s">
        <v>1443</v>
      </c>
      <c r="B696" s="11" t="s">
        <v>1444</v>
      </c>
      <c r="C696" s="11">
        <v>37</v>
      </c>
      <c r="D696" s="11" t="s">
        <v>49</v>
      </c>
      <c r="E696" s="11" t="s">
        <v>50</v>
      </c>
      <c r="F696" s="11" t="s">
        <v>65</v>
      </c>
      <c r="G696" s="11" t="s">
        <v>60</v>
      </c>
      <c r="H696" s="11" t="s">
        <v>45</v>
      </c>
      <c r="I696" s="11" t="s">
        <v>46</v>
      </c>
      <c r="J696" s="11">
        <v>0.5</v>
      </c>
      <c r="K696" s="12">
        <v>43414</v>
      </c>
      <c r="L696" s="13" t="str" cm="1">
        <f t="array" ref="L696">_xlfn.IFS(
  OR(ISBLANK(A696),ISBLANK(C696),ISBLANK(J696)),"Missing Value",
  OR(C696&lt;18,C696&gt;120),"Review – Out of Range (Age)",
  J696&lt;0,"Review – Out of Range (Risk Score)",
  TRUE,"OK"
)</f>
        <v>OK</v>
      </c>
    </row>
    <row r="697" spans="1:12" ht="16.8" x14ac:dyDescent="0.3">
      <c r="A697" s="14" t="s">
        <v>1445</v>
      </c>
      <c r="B697" s="14" t="s">
        <v>1446</v>
      </c>
      <c r="C697" s="14">
        <v>29</v>
      </c>
      <c r="D697" s="14" t="s">
        <v>49</v>
      </c>
      <c r="E697" s="14" t="s">
        <v>50</v>
      </c>
      <c r="F697" s="14" t="s">
        <v>51</v>
      </c>
      <c r="G697" s="14" t="s">
        <v>94</v>
      </c>
      <c r="H697" s="14" t="s">
        <v>45</v>
      </c>
      <c r="I697" s="14" t="s">
        <v>46</v>
      </c>
      <c r="J697" s="14">
        <v>0.65</v>
      </c>
      <c r="K697" s="15">
        <v>43188</v>
      </c>
      <c r="L697" s="13" t="str" cm="1">
        <f t="array" ref="L697">_xlfn.IFS(
  OR(ISBLANK(A697),ISBLANK(C697),ISBLANK(J697)),"Missing Value",
  OR(C697&lt;18,C697&gt;120),"Review – Out of Range (Age)",
  J697&lt;0,"Review – Out of Range (Risk Score)",
  TRUE,"OK"
)</f>
        <v>OK</v>
      </c>
    </row>
    <row r="698" spans="1:12" ht="16.8" x14ac:dyDescent="0.3">
      <c r="A698" s="11" t="s">
        <v>1447</v>
      </c>
      <c r="B698" s="11" t="s">
        <v>1448</v>
      </c>
      <c r="C698" s="11">
        <v>50</v>
      </c>
      <c r="D698" s="11" t="s">
        <v>49</v>
      </c>
      <c r="E698" s="11" t="s">
        <v>50</v>
      </c>
      <c r="F698" s="11" t="s">
        <v>65</v>
      </c>
      <c r="G698" s="11" t="s">
        <v>55</v>
      </c>
      <c r="H698" s="11" t="s">
        <v>45</v>
      </c>
      <c r="I698" s="11" t="s">
        <v>45</v>
      </c>
      <c r="J698" s="11">
        <v>0.61</v>
      </c>
      <c r="K698" s="12">
        <v>43728</v>
      </c>
      <c r="L698" s="13" t="str" cm="1">
        <f t="array" ref="L698">_xlfn.IFS(
  OR(ISBLANK(A698),ISBLANK(C698),ISBLANK(J698)),"Missing Value",
  OR(C698&lt;18,C698&gt;120),"Review – Out of Range (Age)",
  J698&lt;0,"Review – Out of Range (Risk Score)",
  TRUE,"OK"
)</f>
        <v>OK</v>
      </c>
    </row>
    <row r="699" spans="1:12" ht="16.8" x14ac:dyDescent="0.3">
      <c r="A699" s="14" t="s">
        <v>1449</v>
      </c>
      <c r="B699" s="14" t="s">
        <v>1450</v>
      </c>
      <c r="C699" s="14">
        <v>39</v>
      </c>
      <c r="D699" s="14" t="s">
        <v>41</v>
      </c>
      <c r="E699" s="14" t="s">
        <v>50</v>
      </c>
      <c r="F699" s="14" t="s">
        <v>65</v>
      </c>
      <c r="G699" s="14" t="s">
        <v>44</v>
      </c>
      <c r="H699" s="14" t="s">
        <v>46</v>
      </c>
      <c r="I699" s="14" t="s">
        <v>45</v>
      </c>
      <c r="J699" s="14">
        <v>0.57999999999999996</v>
      </c>
      <c r="K699" s="15">
        <v>44732</v>
      </c>
      <c r="L699" s="13" t="str" cm="1">
        <f t="array" ref="L699">_xlfn.IFS(
  OR(ISBLANK(A699),ISBLANK(C699),ISBLANK(J699)),"Missing Value",
  OR(C699&lt;18,C699&gt;120),"Review – Out of Range (Age)",
  J699&lt;0,"Review – Out of Range (Risk Score)",
  TRUE,"OK"
)</f>
        <v>OK</v>
      </c>
    </row>
    <row r="700" spans="1:12" ht="16.8" x14ac:dyDescent="0.3">
      <c r="A700" s="11" t="s">
        <v>1451</v>
      </c>
      <c r="B700" s="11" t="s">
        <v>1452</v>
      </c>
      <c r="C700" s="11">
        <v>18</v>
      </c>
      <c r="D700" s="11" t="s">
        <v>49</v>
      </c>
      <c r="E700" s="11" t="s">
        <v>50</v>
      </c>
      <c r="F700" s="11" t="s">
        <v>51</v>
      </c>
      <c r="G700" s="11" t="s">
        <v>55</v>
      </c>
      <c r="H700" s="11" t="s">
        <v>45</v>
      </c>
      <c r="I700" s="11" t="s">
        <v>45</v>
      </c>
      <c r="J700" s="11">
        <v>0.18</v>
      </c>
      <c r="K700" s="12">
        <v>43245</v>
      </c>
      <c r="L700" s="13" t="str" cm="1">
        <f t="array" ref="L700">_xlfn.IFS(
  OR(ISBLANK(A700),ISBLANK(C700),ISBLANK(J700)),"Missing Value",
  OR(C700&lt;18,C700&gt;120),"Review – Out of Range (Age)",
  J700&lt;0,"Review – Out of Range (Risk Score)",
  TRUE,"OK"
)</f>
        <v>OK</v>
      </c>
    </row>
    <row r="701" spans="1:12" ht="16.8" x14ac:dyDescent="0.3">
      <c r="A701" s="14" t="s">
        <v>1453</v>
      </c>
      <c r="B701" s="14" t="s">
        <v>1454</v>
      </c>
      <c r="C701" s="14">
        <v>21</v>
      </c>
      <c r="D701" s="14" t="s">
        <v>41</v>
      </c>
      <c r="E701" s="14" t="s">
        <v>42</v>
      </c>
      <c r="F701" s="14" t="s">
        <v>51</v>
      </c>
      <c r="G701" s="14" t="s">
        <v>60</v>
      </c>
      <c r="H701" s="14" t="s">
        <v>46</v>
      </c>
      <c r="I701" s="14" t="s">
        <v>45</v>
      </c>
      <c r="J701" s="14">
        <v>0.82</v>
      </c>
      <c r="K701" s="15">
        <v>44461</v>
      </c>
      <c r="L701" s="13" t="str" cm="1">
        <f t="array" ref="L701">_xlfn.IFS(
  OR(ISBLANK(A701),ISBLANK(C701),ISBLANK(J701)),"Missing Value",
  OR(C701&lt;18,C701&gt;120),"Review – Out of Range (Age)",
  J701&lt;0,"Review – Out of Range (Risk Score)",
  TRUE,"OK"
)</f>
        <v>OK</v>
      </c>
    </row>
    <row r="702" spans="1:12" ht="16.8" x14ac:dyDescent="0.3">
      <c r="A702" s="11" t="s">
        <v>1455</v>
      </c>
      <c r="B702" s="11" t="s">
        <v>1456</v>
      </c>
      <c r="C702" s="11">
        <v>40</v>
      </c>
      <c r="D702" s="11" t="s">
        <v>41</v>
      </c>
      <c r="E702" s="11" t="s">
        <v>58</v>
      </c>
      <c r="F702" s="11" t="s">
        <v>43</v>
      </c>
      <c r="G702" s="11" t="s">
        <v>44</v>
      </c>
      <c r="H702" s="11" t="s">
        <v>45</v>
      </c>
      <c r="I702" s="11" t="s">
        <v>46</v>
      </c>
      <c r="J702" s="11">
        <v>0.54</v>
      </c>
      <c r="K702" s="12">
        <v>44519</v>
      </c>
      <c r="L702" s="13" t="str" cm="1">
        <f t="array" ref="L702">_xlfn.IFS(
  OR(ISBLANK(A702),ISBLANK(C702),ISBLANK(J702)),"Missing Value",
  OR(C702&lt;18,C702&gt;120),"Review – Out of Range (Age)",
  J702&lt;0,"Review – Out of Range (Risk Score)",
  TRUE,"OK"
)</f>
        <v>OK</v>
      </c>
    </row>
    <row r="703" spans="1:12" ht="16.8" x14ac:dyDescent="0.3">
      <c r="A703" s="14" t="s">
        <v>1457</v>
      </c>
      <c r="B703" s="14" t="s">
        <v>1458</v>
      </c>
      <c r="C703" s="14">
        <v>43</v>
      </c>
      <c r="D703" s="14" t="s">
        <v>41</v>
      </c>
      <c r="E703" s="14" t="s">
        <v>50</v>
      </c>
      <c r="F703" s="14" t="s">
        <v>59</v>
      </c>
      <c r="G703" s="14" t="s">
        <v>109</v>
      </c>
      <c r="H703" s="14" t="s">
        <v>45</v>
      </c>
      <c r="I703" s="14" t="s">
        <v>45</v>
      </c>
      <c r="J703" s="14">
        <v>0.44</v>
      </c>
      <c r="K703" s="15">
        <v>43605</v>
      </c>
      <c r="L703" s="13" t="str" cm="1">
        <f t="array" ref="L703">_xlfn.IFS(
  OR(ISBLANK(A703),ISBLANK(C703),ISBLANK(J703)),"Missing Value",
  OR(C703&lt;18,C703&gt;120),"Review – Out of Range (Age)",
  J703&lt;0,"Review – Out of Range (Risk Score)",
  TRUE,"OK"
)</f>
        <v>OK</v>
      </c>
    </row>
    <row r="704" spans="1:12" ht="16.8" x14ac:dyDescent="0.3">
      <c r="A704" s="11" t="s">
        <v>1459</v>
      </c>
      <c r="B704" s="11" t="s">
        <v>1460</v>
      </c>
      <c r="C704" s="11">
        <v>58</v>
      </c>
      <c r="D704" s="11" t="s">
        <v>49</v>
      </c>
      <c r="E704" s="11" t="s">
        <v>42</v>
      </c>
      <c r="F704" s="11" t="s">
        <v>43</v>
      </c>
      <c r="G704" s="11" t="s">
        <v>94</v>
      </c>
      <c r="H704" s="11" t="s">
        <v>46</v>
      </c>
      <c r="I704" s="11" t="s">
        <v>45</v>
      </c>
      <c r="J704" s="11">
        <v>7.0000000000000007E-2</v>
      </c>
      <c r="K704" s="12">
        <v>43477</v>
      </c>
      <c r="L704" s="13" t="str" cm="1">
        <f t="array" ref="L704">_xlfn.IFS(
  OR(ISBLANK(A704),ISBLANK(C704),ISBLANK(J704)),"Missing Value",
  OR(C704&lt;18,C704&gt;120),"Review – Out of Range (Age)",
  J704&lt;0,"Review – Out of Range (Risk Score)",
  TRUE,"OK"
)</f>
        <v>OK</v>
      </c>
    </row>
    <row r="705" spans="1:12" ht="16.8" x14ac:dyDescent="0.3">
      <c r="A705" s="14" t="s">
        <v>1461</v>
      </c>
      <c r="B705" s="14" t="s">
        <v>1462</v>
      </c>
      <c r="C705" s="14">
        <v>69</v>
      </c>
      <c r="D705" s="14" t="s">
        <v>41</v>
      </c>
      <c r="E705" s="14" t="s">
        <v>58</v>
      </c>
      <c r="F705" s="14" t="s">
        <v>43</v>
      </c>
      <c r="G705" s="14" t="s">
        <v>60</v>
      </c>
      <c r="H705" s="14" t="s">
        <v>45</v>
      </c>
      <c r="I705" s="14" t="s">
        <v>45</v>
      </c>
      <c r="J705" s="14">
        <v>0.91</v>
      </c>
      <c r="K705" s="15">
        <v>43837</v>
      </c>
      <c r="L705" s="13" t="str" cm="1">
        <f t="array" ref="L705">_xlfn.IFS(
  OR(ISBLANK(A705),ISBLANK(C705),ISBLANK(J705)),"Missing Value",
  OR(C705&lt;18,C705&gt;120),"Review – Out of Range (Age)",
  J705&lt;0,"Review – Out of Range (Risk Score)",
  TRUE,"OK"
)</f>
        <v>OK</v>
      </c>
    </row>
    <row r="706" spans="1:12" ht="16.8" x14ac:dyDescent="0.3">
      <c r="A706" s="11" t="s">
        <v>1463</v>
      </c>
      <c r="B706" s="11" t="s">
        <v>1464</v>
      </c>
      <c r="C706" s="11">
        <v>49</v>
      </c>
      <c r="D706" s="11" t="s">
        <v>41</v>
      </c>
      <c r="E706" s="11" t="s">
        <v>42</v>
      </c>
      <c r="F706" s="11" t="s">
        <v>43</v>
      </c>
      <c r="G706" s="11" t="s">
        <v>109</v>
      </c>
      <c r="H706" s="11" t="s">
        <v>46</v>
      </c>
      <c r="I706" s="11" t="s">
        <v>45</v>
      </c>
      <c r="J706" s="11">
        <v>0.39</v>
      </c>
      <c r="K706" s="12">
        <v>44169</v>
      </c>
      <c r="L706" s="13" t="str" cm="1">
        <f t="array" ref="L706">_xlfn.IFS(
  OR(ISBLANK(A706),ISBLANK(C706),ISBLANK(J706)),"Missing Value",
  OR(C706&lt;18,C706&gt;120),"Review – Out of Range (Age)",
  J706&lt;0,"Review – Out of Range (Risk Score)",
  TRUE,"OK"
)</f>
        <v>OK</v>
      </c>
    </row>
    <row r="707" spans="1:12" ht="16.8" x14ac:dyDescent="0.3">
      <c r="A707" s="14" t="s">
        <v>1465</v>
      </c>
      <c r="B707" s="14" t="s">
        <v>1466</v>
      </c>
      <c r="C707" s="14">
        <v>31</v>
      </c>
      <c r="D707" s="14" t="s">
        <v>41</v>
      </c>
      <c r="E707" s="14" t="s">
        <v>58</v>
      </c>
      <c r="F707" s="14" t="s">
        <v>43</v>
      </c>
      <c r="G707" s="14" t="s">
        <v>55</v>
      </c>
      <c r="H707" s="14" t="s">
        <v>45</v>
      </c>
      <c r="I707" s="14" t="s">
        <v>46</v>
      </c>
      <c r="J707" s="14">
        <v>0.64</v>
      </c>
      <c r="K707" s="15">
        <v>44503</v>
      </c>
      <c r="L707" s="13" t="str" cm="1">
        <f t="array" ref="L707">_xlfn.IFS(
  OR(ISBLANK(A707),ISBLANK(C707),ISBLANK(J707)),"Missing Value",
  OR(C707&lt;18,C707&gt;120),"Review – Out of Range (Age)",
  J707&lt;0,"Review – Out of Range (Risk Score)",
  TRUE,"OK"
)</f>
        <v>OK</v>
      </c>
    </row>
    <row r="708" spans="1:12" ht="16.8" x14ac:dyDescent="0.3">
      <c r="A708" s="11" t="s">
        <v>1467</v>
      </c>
      <c r="B708" s="11" t="s">
        <v>1468</v>
      </c>
      <c r="C708" s="11">
        <v>35</v>
      </c>
      <c r="D708" s="11" t="s">
        <v>41</v>
      </c>
      <c r="E708" s="11" t="s">
        <v>50</v>
      </c>
      <c r="F708" s="11" t="s">
        <v>65</v>
      </c>
      <c r="G708" s="11" t="s">
        <v>109</v>
      </c>
      <c r="H708" s="11" t="s">
        <v>46</v>
      </c>
      <c r="I708" s="11" t="s">
        <v>45</v>
      </c>
      <c r="J708" s="11">
        <v>0.69</v>
      </c>
      <c r="K708" s="12">
        <v>44027</v>
      </c>
      <c r="L708" s="13" t="str" cm="1">
        <f t="array" ref="L708">_xlfn.IFS(
  OR(ISBLANK(A708),ISBLANK(C708),ISBLANK(J708)),"Missing Value",
  OR(C708&lt;18,C708&gt;120),"Review – Out of Range (Age)",
  J708&lt;0,"Review – Out of Range (Risk Score)",
  TRUE,"OK"
)</f>
        <v>OK</v>
      </c>
    </row>
    <row r="709" spans="1:12" ht="16.8" x14ac:dyDescent="0.3">
      <c r="A709" s="14" t="s">
        <v>1469</v>
      </c>
      <c r="B709" s="14" t="s">
        <v>1470</v>
      </c>
      <c r="C709" s="14">
        <v>41</v>
      </c>
      <c r="D709" s="14" t="s">
        <v>41</v>
      </c>
      <c r="E709" s="14" t="s">
        <v>50</v>
      </c>
      <c r="F709" s="14" t="s">
        <v>65</v>
      </c>
      <c r="G709" s="14" t="s">
        <v>52</v>
      </c>
      <c r="H709" s="14" t="s">
        <v>45</v>
      </c>
      <c r="I709" s="14" t="s">
        <v>45</v>
      </c>
      <c r="J709" s="14">
        <v>0.36</v>
      </c>
      <c r="K709" s="15">
        <v>44017</v>
      </c>
      <c r="L709" s="13" t="str" cm="1">
        <f t="array" ref="L709">_xlfn.IFS(
  OR(ISBLANK(A709),ISBLANK(C709),ISBLANK(J709)),"Missing Value",
  OR(C709&lt;18,C709&gt;120),"Review – Out of Range (Age)",
  J709&lt;0,"Review – Out of Range (Risk Score)",
  TRUE,"OK"
)</f>
        <v>OK</v>
      </c>
    </row>
    <row r="710" spans="1:12" ht="16.8" x14ac:dyDescent="0.3">
      <c r="A710" s="11" t="s">
        <v>1471</v>
      </c>
      <c r="B710" s="11" t="s">
        <v>1472</v>
      </c>
      <c r="C710" s="11">
        <v>30</v>
      </c>
      <c r="D710" s="11" t="s">
        <v>49</v>
      </c>
      <c r="E710" s="11" t="s">
        <v>42</v>
      </c>
      <c r="F710" s="11" t="s">
        <v>59</v>
      </c>
      <c r="G710" s="11" t="s">
        <v>109</v>
      </c>
      <c r="H710" s="11" t="s">
        <v>46</v>
      </c>
      <c r="I710" s="11" t="s">
        <v>45</v>
      </c>
      <c r="J710" s="11">
        <v>0.62</v>
      </c>
      <c r="K710" s="12">
        <v>43393</v>
      </c>
      <c r="L710" s="13" t="str" cm="1">
        <f t="array" ref="L710">_xlfn.IFS(
  OR(ISBLANK(A710),ISBLANK(C710),ISBLANK(J710)),"Missing Value",
  OR(C710&lt;18,C710&gt;120),"Review – Out of Range (Age)",
  J710&lt;0,"Review – Out of Range (Risk Score)",
  TRUE,"OK"
)</f>
        <v>OK</v>
      </c>
    </row>
    <row r="711" spans="1:12" ht="16.8" x14ac:dyDescent="0.3">
      <c r="A711" s="14" t="s">
        <v>1473</v>
      </c>
      <c r="B711" s="14" t="s">
        <v>1474</v>
      </c>
      <c r="C711" s="14">
        <v>53</v>
      </c>
      <c r="D711" s="14" t="s">
        <v>41</v>
      </c>
      <c r="E711" s="14" t="s">
        <v>50</v>
      </c>
      <c r="F711" s="14" t="s">
        <v>59</v>
      </c>
      <c r="G711" s="14" t="s">
        <v>55</v>
      </c>
      <c r="H711" s="14" t="s">
        <v>46</v>
      </c>
      <c r="I711" s="14" t="s">
        <v>45</v>
      </c>
      <c r="J711" s="14">
        <v>0.56999999999999995</v>
      </c>
      <c r="K711" s="15">
        <v>43525</v>
      </c>
      <c r="L711" s="13" t="str" cm="1">
        <f t="array" ref="L711">_xlfn.IFS(
  OR(ISBLANK(A711),ISBLANK(C711),ISBLANK(J711)),"Missing Value",
  OR(C711&lt;18,C711&gt;120),"Review – Out of Range (Age)",
  J711&lt;0,"Review – Out of Range (Risk Score)",
  TRUE,"OK"
)</f>
        <v>OK</v>
      </c>
    </row>
    <row r="712" spans="1:12" ht="16.8" x14ac:dyDescent="0.3">
      <c r="A712" s="11" t="s">
        <v>1475</v>
      </c>
      <c r="B712" s="11" t="s">
        <v>1476</v>
      </c>
      <c r="C712" s="11">
        <v>21</v>
      </c>
      <c r="D712" s="11" t="s">
        <v>41</v>
      </c>
      <c r="E712" s="11" t="s">
        <v>50</v>
      </c>
      <c r="F712" s="11" t="s">
        <v>51</v>
      </c>
      <c r="G712" s="11" t="s">
        <v>60</v>
      </c>
      <c r="H712" s="11" t="s">
        <v>46</v>
      </c>
      <c r="I712" s="11" t="s">
        <v>46</v>
      </c>
      <c r="J712" s="11">
        <v>0.63</v>
      </c>
      <c r="K712" s="12">
        <v>43538</v>
      </c>
      <c r="L712" s="13" t="str" cm="1">
        <f t="array" ref="L712">_xlfn.IFS(
  OR(ISBLANK(A712),ISBLANK(C712),ISBLANK(J712)),"Missing Value",
  OR(C712&lt;18,C712&gt;120),"Review – Out of Range (Age)",
  J712&lt;0,"Review – Out of Range (Risk Score)",
  TRUE,"OK"
)</f>
        <v>OK</v>
      </c>
    </row>
    <row r="713" spans="1:12" ht="16.8" x14ac:dyDescent="0.3">
      <c r="A713" s="14" t="s">
        <v>1477</v>
      </c>
      <c r="B713" s="14" t="s">
        <v>1478</v>
      </c>
      <c r="C713" s="14">
        <v>43</v>
      </c>
      <c r="D713" s="14" t="s">
        <v>41</v>
      </c>
      <c r="E713" s="14" t="s">
        <v>58</v>
      </c>
      <c r="F713" s="14" t="s">
        <v>65</v>
      </c>
      <c r="G713" s="14" t="s">
        <v>60</v>
      </c>
      <c r="H713" s="14" t="s">
        <v>45</v>
      </c>
      <c r="I713" s="14" t="s">
        <v>46</v>
      </c>
      <c r="J713" s="14">
        <v>0.72</v>
      </c>
      <c r="K713" s="15">
        <v>43830</v>
      </c>
      <c r="L713" s="13" t="str" cm="1">
        <f t="array" ref="L713">_xlfn.IFS(
  OR(ISBLANK(A713),ISBLANK(C713),ISBLANK(J713)),"Missing Value",
  OR(C713&lt;18,C713&gt;120),"Review – Out of Range (Age)",
  J713&lt;0,"Review – Out of Range (Risk Score)",
  TRUE,"OK"
)</f>
        <v>OK</v>
      </c>
    </row>
    <row r="714" spans="1:12" ht="16.8" x14ac:dyDescent="0.3">
      <c r="A714" s="11" t="s">
        <v>1479</v>
      </c>
      <c r="B714" s="11" t="s">
        <v>1480</v>
      </c>
      <c r="C714" s="11">
        <v>38</v>
      </c>
      <c r="D714" s="11" t="s">
        <v>49</v>
      </c>
      <c r="E714" s="11" t="s">
        <v>58</v>
      </c>
      <c r="F714" s="11" t="s">
        <v>65</v>
      </c>
      <c r="G714" s="11" t="s">
        <v>109</v>
      </c>
      <c r="H714" s="11" t="s">
        <v>45</v>
      </c>
      <c r="I714" s="11" t="s">
        <v>46</v>
      </c>
      <c r="J714" s="11">
        <v>0.62</v>
      </c>
      <c r="K714" s="12">
        <v>43799</v>
      </c>
      <c r="L714" s="13" t="str" cm="1">
        <f t="array" ref="L714">_xlfn.IFS(
  OR(ISBLANK(A714),ISBLANK(C714),ISBLANK(J714)),"Missing Value",
  OR(C714&lt;18,C714&gt;120),"Review – Out of Range (Age)",
  J714&lt;0,"Review – Out of Range (Risk Score)",
  TRUE,"OK"
)</f>
        <v>OK</v>
      </c>
    </row>
    <row r="715" spans="1:12" ht="16.8" x14ac:dyDescent="0.3">
      <c r="A715" s="14" t="s">
        <v>1481</v>
      </c>
      <c r="B715" s="14" t="s">
        <v>1482</v>
      </c>
      <c r="C715" s="14">
        <v>57</v>
      </c>
      <c r="D715" s="14" t="s">
        <v>41</v>
      </c>
      <c r="E715" s="14" t="s">
        <v>42</v>
      </c>
      <c r="F715" s="14" t="s">
        <v>59</v>
      </c>
      <c r="G715" s="14" t="s">
        <v>60</v>
      </c>
      <c r="H715" s="14" t="s">
        <v>46</v>
      </c>
      <c r="I715" s="14" t="s">
        <v>46</v>
      </c>
      <c r="J715" s="14">
        <v>0.51</v>
      </c>
      <c r="K715" s="15">
        <v>43237</v>
      </c>
      <c r="L715" s="13" t="str" cm="1">
        <f t="array" ref="L715">_xlfn.IFS(
  OR(ISBLANK(A715),ISBLANK(C715),ISBLANK(J715)),"Missing Value",
  OR(C715&lt;18,C715&gt;120),"Review – Out of Range (Age)",
  J715&lt;0,"Review – Out of Range (Risk Score)",
  TRUE,"OK"
)</f>
        <v>OK</v>
      </c>
    </row>
    <row r="716" spans="1:12" ht="16.8" x14ac:dyDescent="0.3">
      <c r="A716" s="11" t="s">
        <v>1483</v>
      </c>
      <c r="B716" s="11" t="s">
        <v>1484</v>
      </c>
      <c r="C716" s="11">
        <v>46</v>
      </c>
      <c r="D716" s="11" t="s">
        <v>49</v>
      </c>
      <c r="E716" s="11" t="s">
        <v>50</v>
      </c>
      <c r="F716" s="11" t="s">
        <v>43</v>
      </c>
      <c r="G716" s="11" t="s">
        <v>109</v>
      </c>
      <c r="H716" s="11" t="s">
        <v>46</v>
      </c>
      <c r="I716" s="11" t="s">
        <v>45</v>
      </c>
      <c r="J716" s="11">
        <v>0.45</v>
      </c>
      <c r="K716" s="12">
        <v>43795</v>
      </c>
      <c r="L716" s="13" t="str" cm="1">
        <f t="array" ref="L716">_xlfn.IFS(
  OR(ISBLANK(A716),ISBLANK(C716),ISBLANK(J716)),"Missing Value",
  OR(C716&lt;18,C716&gt;120),"Review – Out of Range (Age)",
  J716&lt;0,"Review – Out of Range (Risk Score)",
  TRUE,"OK"
)</f>
        <v>OK</v>
      </c>
    </row>
    <row r="717" spans="1:12" ht="16.8" x14ac:dyDescent="0.3">
      <c r="A717" s="14" t="s">
        <v>1485</v>
      </c>
      <c r="B717" s="14" t="s">
        <v>1486</v>
      </c>
      <c r="C717" s="14">
        <v>19</v>
      </c>
      <c r="D717" s="14" t="s">
        <v>41</v>
      </c>
      <c r="E717" s="14" t="s">
        <v>42</v>
      </c>
      <c r="F717" s="14" t="s">
        <v>51</v>
      </c>
      <c r="G717" s="14" t="s">
        <v>44</v>
      </c>
      <c r="H717" s="14" t="s">
        <v>46</v>
      </c>
      <c r="I717" s="14" t="s">
        <v>46</v>
      </c>
      <c r="J717" s="14">
        <v>0.42</v>
      </c>
      <c r="K717" s="15">
        <v>44640</v>
      </c>
      <c r="L717" s="13" t="str" cm="1">
        <f t="array" ref="L717">_xlfn.IFS(
  OR(ISBLANK(A717),ISBLANK(C717),ISBLANK(J717)),"Missing Value",
  OR(C717&lt;18,C717&gt;120),"Review – Out of Range (Age)",
  J717&lt;0,"Review – Out of Range (Risk Score)",
  TRUE,"OK"
)</f>
        <v>OK</v>
      </c>
    </row>
    <row r="718" spans="1:12" ht="16.8" x14ac:dyDescent="0.3">
      <c r="A718" s="11" t="s">
        <v>1487</v>
      </c>
      <c r="B718" s="11" t="s">
        <v>1488</v>
      </c>
      <c r="C718" s="11">
        <v>32</v>
      </c>
      <c r="D718" s="11" t="s">
        <v>41</v>
      </c>
      <c r="E718" s="11" t="s">
        <v>50</v>
      </c>
      <c r="F718" s="11" t="s">
        <v>51</v>
      </c>
      <c r="G718" s="11" t="s">
        <v>109</v>
      </c>
      <c r="H718" s="11" t="s">
        <v>46</v>
      </c>
      <c r="I718" s="11" t="s">
        <v>45</v>
      </c>
      <c r="J718" s="11">
        <v>0.85</v>
      </c>
      <c r="K718" s="12">
        <v>43377</v>
      </c>
      <c r="L718" s="13" t="str" cm="1">
        <f t="array" ref="L718">_xlfn.IFS(
  OR(ISBLANK(A718),ISBLANK(C718),ISBLANK(J718)),"Missing Value",
  OR(C718&lt;18,C718&gt;120),"Review – Out of Range (Age)",
  J718&lt;0,"Review – Out of Range (Risk Score)",
  TRUE,"OK"
)</f>
        <v>OK</v>
      </c>
    </row>
    <row r="719" spans="1:12" ht="16.8" x14ac:dyDescent="0.3">
      <c r="A719" s="14" t="s">
        <v>1489</v>
      </c>
      <c r="B719" s="14" t="s">
        <v>1490</v>
      </c>
      <c r="C719" s="14">
        <v>35</v>
      </c>
      <c r="D719" s="14" t="s">
        <v>49</v>
      </c>
      <c r="E719" s="14" t="s">
        <v>42</v>
      </c>
      <c r="F719" s="14" t="s">
        <v>59</v>
      </c>
      <c r="G719" s="14" t="s">
        <v>55</v>
      </c>
      <c r="H719" s="14" t="s">
        <v>45</v>
      </c>
      <c r="I719" s="14" t="s">
        <v>45</v>
      </c>
      <c r="J719" s="14">
        <v>0.43</v>
      </c>
      <c r="K719" s="15">
        <v>44206</v>
      </c>
      <c r="L719" s="13" t="str" cm="1">
        <f t="array" ref="L719">_xlfn.IFS(
  OR(ISBLANK(A719),ISBLANK(C719),ISBLANK(J719)),"Missing Value",
  OR(C719&lt;18,C719&gt;120),"Review – Out of Range (Age)",
  J719&lt;0,"Review – Out of Range (Risk Score)",
  TRUE,"OK"
)</f>
        <v>OK</v>
      </c>
    </row>
    <row r="720" spans="1:12" ht="16.8" x14ac:dyDescent="0.3">
      <c r="A720" s="11" t="s">
        <v>1491</v>
      </c>
      <c r="B720" s="11" t="s">
        <v>1492</v>
      </c>
      <c r="C720" s="11">
        <v>43</v>
      </c>
      <c r="D720" s="11" t="s">
        <v>41</v>
      </c>
      <c r="E720" s="11" t="s">
        <v>50</v>
      </c>
      <c r="F720" s="11" t="s">
        <v>65</v>
      </c>
      <c r="G720" s="11" t="s">
        <v>109</v>
      </c>
      <c r="H720" s="11" t="s">
        <v>45</v>
      </c>
      <c r="I720" s="11" t="s">
        <v>45</v>
      </c>
      <c r="J720" s="11">
        <v>0.53</v>
      </c>
      <c r="K720" s="12">
        <v>43793</v>
      </c>
      <c r="L720" s="13" t="str" cm="1">
        <f t="array" ref="L720">_xlfn.IFS(
  OR(ISBLANK(A720),ISBLANK(C720),ISBLANK(J720)),"Missing Value",
  OR(C720&lt;18,C720&gt;120),"Review – Out of Range (Age)",
  J720&lt;0,"Review – Out of Range (Risk Score)",
  TRUE,"OK"
)</f>
        <v>OK</v>
      </c>
    </row>
    <row r="721" spans="1:12" ht="16.8" x14ac:dyDescent="0.3">
      <c r="A721" s="14" t="s">
        <v>1493</v>
      </c>
      <c r="B721" s="14" t="s">
        <v>1494</v>
      </c>
      <c r="C721" s="14">
        <v>32</v>
      </c>
      <c r="D721" s="14" t="s">
        <v>49</v>
      </c>
      <c r="E721" s="14" t="s">
        <v>58</v>
      </c>
      <c r="F721" s="14" t="s">
        <v>65</v>
      </c>
      <c r="G721" s="14" t="s">
        <v>52</v>
      </c>
      <c r="H721" s="14" t="s">
        <v>46</v>
      </c>
      <c r="I721" s="14" t="s">
        <v>45</v>
      </c>
      <c r="J721" s="14">
        <v>0.22</v>
      </c>
      <c r="K721" s="15">
        <v>45100</v>
      </c>
      <c r="L721" s="13" t="str" cm="1">
        <f t="array" ref="L721">_xlfn.IFS(
  OR(ISBLANK(A721),ISBLANK(C721),ISBLANK(J721)),"Missing Value",
  OR(C721&lt;18,C721&gt;120),"Review – Out of Range (Age)",
  J721&lt;0,"Review – Out of Range (Risk Score)",
  TRUE,"OK"
)</f>
        <v>OK</v>
      </c>
    </row>
    <row r="722" spans="1:12" ht="16.8" x14ac:dyDescent="0.3">
      <c r="A722" s="11" t="s">
        <v>1495</v>
      </c>
      <c r="B722" s="11" t="s">
        <v>1496</v>
      </c>
      <c r="C722" s="11">
        <v>57</v>
      </c>
      <c r="D722" s="11" t="s">
        <v>41</v>
      </c>
      <c r="E722" s="11" t="s">
        <v>42</v>
      </c>
      <c r="F722" s="11" t="s">
        <v>65</v>
      </c>
      <c r="G722" s="11" t="s">
        <v>109</v>
      </c>
      <c r="H722" s="11" t="s">
        <v>46</v>
      </c>
      <c r="I722" s="11" t="s">
        <v>46</v>
      </c>
      <c r="J722" s="11">
        <v>0.56000000000000005</v>
      </c>
      <c r="K722" s="12">
        <v>45194</v>
      </c>
      <c r="L722" s="13" t="str" cm="1">
        <f t="array" ref="L722">_xlfn.IFS(
  OR(ISBLANK(A722),ISBLANK(C722),ISBLANK(J722)),"Missing Value",
  OR(C722&lt;18,C722&gt;120),"Review – Out of Range (Age)",
  J722&lt;0,"Review – Out of Range (Risk Score)",
  TRUE,"OK"
)</f>
        <v>OK</v>
      </c>
    </row>
    <row r="723" spans="1:12" ht="16.8" x14ac:dyDescent="0.3">
      <c r="A723" s="14" t="s">
        <v>1497</v>
      </c>
      <c r="B723" s="14" t="s">
        <v>1498</v>
      </c>
      <c r="C723" s="14">
        <v>26</v>
      </c>
      <c r="D723" s="14" t="s">
        <v>41</v>
      </c>
      <c r="E723" s="14" t="s">
        <v>50</v>
      </c>
      <c r="F723" s="14" t="s">
        <v>59</v>
      </c>
      <c r="G723" s="14" t="s">
        <v>109</v>
      </c>
      <c r="H723" s="14" t="s">
        <v>46</v>
      </c>
      <c r="I723" s="14" t="s">
        <v>45</v>
      </c>
      <c r="J723" s="14">
        <v>0.53</v>
      </c>
      <c r="K723" s="15">
        <v>43338</v>
      </c>
      <c r="L723" s="13" t="str" cm="1">
        <f t="array" ref="L723">_xlfn.IFS(
  OR(ISBLANK(A723),ISBLANK(C723),ISBLANK(J723)),"Missing Value",
  OR(C723&lt;18,C723&gt;120),"Review – Out of Range (Age)",
  J723&lt;0,"Review – Out of Range (Risk Score)",
  TRUE,"OK"
)</f>
        <v>OK</v>
      </c>
    </row>
    <row r="724" spans="1:12" ht="16.8" x14ac:dyDescent="0.3">
      <c r="A724" s="11" t="s">
        <v>1499</v>
      </c>
      <c r="B724" s="11" t="s">
        <v>1500</v>
      </c>
      <c r="C724" s="11">
        <v>63</v>
      </c>
      <c r="D724" s="11" t="s">
        <v>49</v>
      </c>
      <c r="E724" s="11" t="s">
        <v>42</v>
      </c>
      <c r="F724" s="11" t="s">
        <v>43</v>
      </c>
      <c r="G724" s="11" t="s">
        <v>44</v>
      </c>
      <c r="H724" s="11" t="s">
        <v>45</v>
      </c>
      <c r="I724" s="11" t="s">
        <v>45</v>
      </c>
      <c r="J724" s="11">
        <v>0.54</v>
      </c>
      <c r="K724" s="12">
        <v>43350</v>
      </c>
      <c r="L724" s="13" t="str" cm="1">
        <f t="array" ref="L724">_xlfn.IFS(
  OR(ISBLANK(A724),ISBLANK(C724),ISBLANK(J724)),"Missing Value",
  OR(C724&lt;18,C724&gt;120),"Review – Out of Range (Age)",
  J724&lt;0,"Review – Out of Range (Risk Score)",
  TRUE,"OK"
)</f>
        <v>OK</v>
      </c>
    </row>
    <row r="725" spans="1:12" ht="16.8" x14ac:dyDescent="0.3">
      <c r="A725" s="14" t="s">
        <v>1501</v>
      </c>
      <c r="B725" s="14" t="s">
        <v>1502</v>
      </c>
      <c r="C725" s="14">
        <v>45</v>
      </c>
      <c r="D725" s="14" t="s">
        <v>41</v>
      </c>
      <c r="E725" s="14" t="s">
        <v>42</v>
      </c>
      <c r="F725" s="14" t="s">
        <v>65</v>
      </c>
      <c r="G725" s="14" t="s">
        <v>52</v>
      </c>
      <c r="H725" s="14" t="s">
        <v>46</v>
      </c>
      <c r="I725" s="14" t="s">
        <v>46</v>
      </c>
      <c r="J725" s="14">
        <v>0.61</v>
      </c>
      <c r="K725" s="15">
        <v>44104</v>
      </c>
      <c r="L725" s="13" t="str" cm="1">
        <f t="array" ref="L725">_xlfn.IFS(
  OR(ISBLANK(A725),ISBLANK(C725),ISBLANK(J725)),"Missing Value",
  OR(C725&lt;18,C725&gt;120),"Review – Out of Range (Age)",
  J725&lt;0,"Review – Out of Range (Risk Score)",
  TRUE,"OK"
)</f>
        <v>OK</v>
      </c>
    </row>
    <row r="726" spans="1:12" ht="16.8" x14ac:dyDescent="0.3">
      <c r="A726" s="11" t="s">
        <v>1503</v>
      </c>
      <c r="B726" s="11" t="s">
        <v>1504</v>
      </c>
      <c r="C726" s="11">
        <v>54</v>
      </c>
      <c r="D726" s="11" t="s">
        <v>49</v>
      </c>
      <c r="E726" s="11" t="s">
        <v>42</v>
      </c>
      <c r="F726" s="11" t="s">
        <v>51</v>
      </c>
      <c r="G726" s="11" t="s">
        <v>60</v>
      </c>
      <c r="H726" s="11" t="s">
        <v>45</v>
      </c>
      <c r="I726" s="11" t="s">
        <v>46</v>
      </c>
      <c r="J726" s="11">
        <v>0.69</v>
      </c>
      <c r="K726" s="12">
        <v>44044</v>
      </c>
      <c r="L726" s="13" t="str" cm="1">
        <f t="array" ref="L726">_xlfn.IFS(
  OR(ISBLANK(A726),ISBLANK(C726),ISBLANK(J726)),"Missing Value",
  OR(C726&lt;18,C726&gt;120),"Review – Out of Range (Age)",
  J726&lt;0,"Review – Out of Range (Risk Score)",
  TRUE,"OK"
)</f>
        <v>OK</v>
      </c>
    </row>
    <row r="727" spans="1:12" ht="16.8" x14ac:dyDescent="0.3">
      <c r="A727" s="14" t="s">
        <v>1505</v>
      </c>
      <c r="B727" s="14" t="s">
        <v>1506</v>
      </c>
      <c r="C727" s="14">
        <v>29</v>
      </c>
      <c r="D727" s="14" t="s">
        <v>49</v>
      </c>
      <c r="E727" s="14" t="s">
        <v>58</v>
      </c>
      <c r="F727" s="14" t="s">
        <v>51</v>
      </c>
      <c r="G727" s="14" t="s">
        <v>44</v>
      </c>
      <c r="H727" s="14" t="s">
        <v>46</v>
      </c>
      <c r="I727" s="14" t="s">
        <v>46</v>
      </c>
      <c r="J727" s="14">
        <v>0.5</v>
      </c>
      <c r="K727" s="15">
        <v>45090</v>
      </c>
      <c r="L727" s="13" t="str" cm="1">
        <f t="array" ref="L727">_xlfn.IFS(
  OR(ISBLANK(A727),ISBLANK(C727),ISBLANK(J727)),"Missing Value",
  OR(C727&lt;18,C727&gt;120),"Review – Out of Range (Age)",
  J727&lt;0,"Review – Out of Range (Risk Score)",
  TRUE,"OK"
)</f>
        <v>OK</v>
      </c>
    </row>
    <row r="728" spans="1:12" ht="16.8" x14ac:dyDescent="0.3">
      <c r="A728" s="11" t="s">
        <v>1507</v>
      </c>
      <c r="B728" s="11" t="s">
        <v>1508</v>
      </c>
      <c r="C728" s="11">
        <v>57</v>
      </c>
      <c r="D728" s="11" t="s">
        <v>49</v>
      </c>
      <c r="E728" s="11" t="s">
        <v>42</v>
      </c>
      <c r="F728" s="11" t="s">
        <v>65</v>
      </c>
      <c r="G728" s="11" t="s">
        <v>44</v>
      </c>
      <c r="H728" s="11" t="s">
        <v>45</v>
      </c>
      <c r="I728" s="11" t="s">
        <v>46</v>
      </c>
      <c r="J728" s="11">
        <v>0.57999999999999996</v>
      </c>
      <c r="K728" s="12">
        <v>44323</v>
      </c>
      <c r="L728" s="13" t="str" cm="1">
        <f t="array" ref="L728">_xlfn.IFS(
  OR(ISBLANK(A728),ISBLANK(C728),ISBLANK(J728)),"Missing Value",
  OR(C728&lt;18,C728&gt;120),"Review – Out of Range (Age)",
  J728&lt;0,"Review – Out of Range (Risk Score)",
  TRUE,"OK"
)</f>
        <v>OK</v>
      </c>
    </row>
    <row r="729" spans="1:12" ht="16.8" x14ac:dyDescent="0.3">
      <c r="A729" s="14" t="s">
        <v>1509</v>
      </c>
      <c r="B729" s="14" t="s">
        <v>1510</v>
      </c>
      <c r="C729" s="14">
        <v>60</v>
      </c>
      <c r="D729" s="14" t="s">
        <v>49</v>
      </c>
      <c r="E729" s="14" t="s">
        <v>50</v>
      </c>
      <c r="F729" s="14" t="s">
        <v>65</v>
      </c>
      <c r="G729" s="14" t="s">
        <v>44</v>
      </c>
      <c r="H729" s="14" t="s">
        <v>46</v>
      </c>
      <c r="I729" s="14" t="s">
        <v>46</v>
      </c>
      <c r="J729" s="14">
        <v>0.36</v>
      </c>
      <c r="K729" s="15">
        <v>44576</v>
      </c>
      <c r="L729" s="13" t="str" cm="1">
        <f t="array" ref="L729">_xlfn.IFS(
  OR(ISBLANK(A729),ISBLANK(C729),ISBLANK(J729)),"Missing Value",
  OR(C729&lt;18,C729&gt;120),"Review – Out of Range (Age)",
  J729&lt;0,"Review – Out of Range (Risk Score)",
  TRUE,"OK"
)</f>
        <v>OK</v>
      </c>
    </row>
    <row r="730" spans="1:12" ht="16.8" x14ac:dyDescent="0.3">
      <c r="A730" s="11" t="s">
        <v>1511</v>
      </c>
      <c r="B730" s="11" t="s">
        <v>1512</v>
      </c>
      <c r="C730" s="11">
        <v>49</v>
      </c>
      <c r="D730" s="11" t="s">
        <v>49</v>
      </c>
      <c r="E730" s="11" t="s">
        <v>42</v>
      </c>
      <c r="F730" s="11" t="s">
        <v>43</v>
      </c>
      <c r="G730" s="11" t="s">
        <v>52</v>
      </c>
      <c r="H730" s="11" t="s">
        <v>46</v>
      </c>
      <c r="I730" s="11" t="s">
        <v>46</v>
      </c>
      <c r="J730" s="11">
        <v>0.72</v>
      </c>
      <c r="K730" s="12">
        <v>44474</v>
      </c>
      <c r="L730" s="13" t="str" cm="1">
        <f t="array" ref="L730">_xlfn.IFS(
  OR(ISBLANK(A730),ISBLANK(C730),ISBLANK(J730)),"Missing Value",
  OR(C730&lt;18,C730&gt;120),"Review – Out of Range (Age)",
  J730&lt;0,"Review – Out of Range (Risk Score)",
  TRUE,"OK"
)</f>
        <v>OK</v>
      </c>
    </row>
    <row r="731" spans="1:12" ht="16.8" x14ac:dyDescent="0.3">
      <c r="A731" s="14" t="s">
        <v>1513</v>
      </c>
      <c r="B731" s="14" t="s">
        <v>1514</v>
      </c>
      <c r="C731" s="14">
        <v>18</v>
      </c>
      <c r="D731" s="14" t="s">
        <v>41</v>
      </c>
      <c r="E731" s="14" t="s">
        <v>58</v>
      </c>
      <c r="F731" s="14" t="s">
        <v>43</v>
      </c>
      <c r="G731" s="14" t="s">
        <v>109</v>
      </c>
      <c r="H731" s="14" t="s">
        <v>46</v>
      </c>
      <c r="I731" s="14" t="s">
        <v>46</v>
      </c>
      <c r="J731" s="14">
        <v>0.73</v>
      </c>
      <c r="K731" s="15">
        <v>43200</v>
      </c>
      <c r="L731" s="13" t="str" cm="1">
        <f t="array" ref="L731">_xlfn.IFS(
  OR(ISBLANK(A731),ISBLANK(C731),ISBLANK(J731)),"Missing Value",
  OR(C731&lt;18,C731&gt;120),"Review – Out of Range (Age)",
  J731&lt;0,"Review – Out of Range (Risk Score)",
  TRUE,"OK"
)</f>
        <v>OK</v>
      </c>
    </row>
    <row r="732" spans="1:12" ht="16.8" x14ac:dyDescent="0.3">
      <c r="A732" s="11" t="s">
        <v>1515</v>
      </c>
      <c r="B732" s="11" t="s">
        <v>1516</v>
      </c>
      <c r="C732" s="11">
        <v>29</v>
      </c>
      <c r="D732" s="11" t="s">
        <v>41</v>
      </c>
      <c r="E732" s="11" t="s">
        <v>58</v>
      </c>
      <c r="F732" s="11" t="s">
        <v>65</v>
      </c>
      <c r="G732" s="11" t="s">
        <v>55</v>
      </c>
      <c r="H732" s="11" t="s">
        <v>46</v>
      </c>
      <c r="I732" s="11" t="s">
        <v>45</v>
      </c>
      <c r="J732" s="11">
        <v>0.56000000000000005</v>
      </c>
      <c r="K732" s="12">
        <v>44178</v>
      </c>
      <c r="L732" s="13" t="str" cm="1">
        <f t="array" ref="L732">_xlfn.IFS(
  OR(ISBLANK(A732),ISBLANK(C732),ISBLANK(J732)),"Missing Value",
  OR(C732&lt;18,C732&gt;120),"Review – Out of Range (Age)",
  J732&lt;0,"Review – Out of Range (Risk Score)",
  TRUE,"OK"
)</f>
        <v>OK</v>
      </c>
    </row>
    <row r="733" spans="1:12" ht="16.8" x14ac:dyDescent="0.3">
      <c r="A733" s="14" t="s">
        <v>1517</v>
      </c>
      <c r="B733" s="14" t="s">
        <v>1518</v>
      </c>
      <c r="C733" s="14">
        <v>35</v>
      </c>
      <c r="D733" s="14" t="s">
        <v>49</v>
      </c>
      <c r="E733" s="14" t="s">
        <v>58</v>
      </c>
      <c r="F733" s="14" t="s">
        <v>43</v>
      </c>
      <c r="G733" s="14" t="s">
        <v>52</v>
      </c>
      <c r="H733" s="14" t="s">
        <v>45</v>
      </c>
      <c r="I733" s="14" t="s">
        <v>46</v>
      </c>
      <c r="J733" s="14">
        <v>0.36</v>
      </c>
      <c r="K733" s="15">
        <v>44932</v>
      </c>
      <c r="L733" s="13" t="str" cm="1">
        <f t="array" ref="L733">_xlfn.IFS(
  OR(ISBLANK(A733),ISBLANK(C733),ISBLANK(J733)),"Missing Value",
  OR(C733&lt;18,C733&gt;120),"Review – Out of Range (Age)",
  J733&lt;0,"Review – Out of Range (Risk Score)",
  TRUE,"OK"
)</f>
        <v>OK</v>
      </c>
    </row>
    <row r="734" spans="1:12" ht="16.8" x14ac:dyDescent="0.3">
      <c r="A734" s="11" t="s">
        <v>1519</v>
      </c>
      <c r="B734" s="11" t="s">
        <v>1520</v>
      </c>
      <c r="C734" s="11">
        <v>59</v>
      </c>
      <c r="D734" s="11" t="s">
        <v>49</v>
      </c>
      <c r="E734" s="11" t="s">
        <v>58</v>
      </c>
      <c r="F734" s="11" t="s">
        <v>59</v>
      </c>
      <c r="G734" s="11" t="s">
        <v>55</v>
      </c>
      <c r="H734" s="11" t="s">
        <v>45</v>
      </c>
      <c r="I734" s="11" t="s">
        <v>45</v>
      </c>
      <c r="J734" s="11">
        <v>0.44</v>
      </c>
      <c r="K734" s="12">
        <v>43328</v>
      </c>
      <c r="L734" s="13" t="str" cm="1">
        <f t="array" ref="L734">_xlfn.IFS(
  OR(ISBLANK(A734),ISBLANK(C734),ISBLANK(J734)),"Missing Value",
  OR(C734&lt;18,C734&gt;120),"Review – Out of Range (Age)",
  J734&lt;0,"Review – Out of Range (Risk Score)",
  TRUE,"OK"
)</f>
        <v>OK</v>
      </c>
    </row>
    <row r="735" spans="1:12" ht="16.8" x14ac:dyDescent="0.3">
      <c r="A735" s="14" t="s">
        <v>1521</v>
      </c>
      <c r="B735" s="14" t="s">
        <v>1522</v>
      </c>
      <c r="C735" s="14">
        <v>40</v>
      </c>
      <c r="D735" s="14" t="s">
        <v>49</v>
      </c>
      <c r="E735" s="14" t="s">
        <v>42</v>
      </c>
      <c r="F735" s="14" t="s">
        <v>65</v>
      </c>
      <c r="G735" s="14" t="s">
        <v>94</v>
      </c>
      <c r="H735" s="14" t="s">
        <v>45</v>
      </c>
      <c r="I735" s="14" t="s">
        <v>45</v>
      </c>
      <c r="J735" s="14">
        <v>0.56000000000000005</v>
      </c>
      <c r="K735" s="15">
        <v>45084</v>
      </c>
      <c r="L735" s="13" t="str" cm="1">
        <f t="array" ref="L735">_xlfn.IFS(
  OR(ISBLANK(A735),ISBLANK(C735),ISBLANK(J735)),"Missing Value",
  OR(C735&lt;18,C735&gt;120),"Review – Out of Range (Age)",
  J735&lt;0,"Review – Out of Range (Risk Score)",
  TRUE,"OK"
)</f>
        <v>OK</v>
      </c>
    </row>
    <row r="736" spans="1:12" ht="16.8" x14ac:dyDescent="0.3">
      <c r="A736" s="11" t="s">
        <v>1523</v>
      </c>
      <c r="B736" s="11" t="s">
        <v>1524</v>
      </c>
      <c r="C736" s="11">
        <v>60</v>
      </c>
      <c r="D736" s="11" t="s">
        <v>49</v>
      </c>
      <c r="E736" s="11" t="s">
        <v>50</v>
      </c>
      <c r="F736" s="11" t="s">
        <v>59</v>
      </c>
      <c r="G736" s="11" t="s">
        <v>55</v>
      </c>
      <c r="H736" s="11" t="s">
        <v>46</v>
      </c>
      <c r="I736" s="11" t="s">
        <v>46</v>
      </c>
      <c r="J736" s="11">
        <v>0.69</v>
      </c>
      <c r="K736" s="12">
        <v>44018</v>
      </c>
      <c r="L736" s="13" t="str" cm="1">
        <f t="array" ref="L736">_xlfn.IFS(
  OR(ISBLANK(A736),ISBLANK(C736),ISBLANK(J736)),"Missing Value",
  OR(C736&lt;18,C736&gt;120),"Review – Out of Range (Age)",
  J736&lt;0,"Review – Out of Range (Risk Score)",
  TRUE,"OK"
)</f>
        <v>OK</v>
      </c>
    </row>
    <row r="737" spans="1:12" ht="16.8" x14ac:dyDescent="0.3">
      <c r="A737" s="14" t="s">
        <v>1525</v>
      </c>
      <c r="B737" s="14" t="s">
        <v>1526</v>
      </c>
      <c r="C737" s="14">
        <v>66</v>
      </c>
      <c r="D737" s="14" t="s">
        <v>49</v>
      </c>
      <c r="E737" s="14" t="s">
        <v>50</v>
      </c>
      <c r="F737" s="14" t="s">
        <v>43</v>
      </c>
      <c r="G737" s="14" t="s">
        <v>55</v>
      </c>
      <c r="H737" s="14" t="s">
        <v>46</v>
      </c>
      <c r="I737" s="14" t="s">
        <v>45</v>
      </c>
      <c r="J737" s="14">
        <v>0</v>
      </c>
      <c r="K737" s="15">
        <v>44214</v>
      </c>
      <c r="L737" s="13" t="str" cm="1">
        <f t="array" ref="L737">_xlfn.IFS(
  OR(ISBLANK(A737),ISBLANK(C737),ISBLANK(J737)),"Missing Value",
  OR(C737&lt;18,C737&gt;120),"Review – Out of Range (Age)",
  J737&lt;0,"Review – Out of Range (Risk Score)",
  TRUE,"OK"
)</f>
        <v>OK</v>
      </c>
    </row>
    <row r="738" spans="1:12" ht="16.8" x14ac:dyDescent="0.3">
      <c r="A738" s="11" t="s">
        <v>1527</v>
      </c>
      <c r="B738" s="11" t="s">
        <v>1528</v>
      </c>
      <c r="C738" s="11">
        <v>55</v>
      </c>
      <c r="D738" s="11" t="s">
        <v>49</v>
      </c>
      <c r="E738" s="11" t="s">
        <v>58</v>
      </c>
      <c r="F738" s="11" t="s">
        <v>65</v>
      </c>
      <c r="G738" s="11" t="s">
        <v>109</v>
      </c>
      <c r="H738" s="11" t="s">
        <v>45</v>
      </c>
      <c r="I738" s="11" t="s">
        <v>46</v>
      </c>
      <c r="J738" s="11">
        <v>0.3</v>
      </c>
      <c r="K738" s="12">
        <v>43301</v>
      </c>
      <c r="L738" s="13" t="str" cm="1">
        <f t="array" ref="L738">_xlfn.IFS(
  OR(ISBLANK(A738),ISBLANK(C738),ISBLANK(J738)),"Missing Value",
  OR(C738&lt;18,C738&gt;120),"Review – Out of Range (Age)",
  J738&lt;0,"Review – Out of Range (Risk Score)",
  TRUE,"OK"
)</f>
        <v>OK</v>
      </c>
    </row>
    <row r="739" spans="1:12" ht="16.8" x14ac:dyDescent="0.3">
      <c r="A739" s="14" t="s">
        <v>1529</v>
      </c>
      <c r="B739" s="14" t="s">
        <v>1530</v>
      </c>
      <c r="C739" s="14">
        <v>53</v>
      </c>
      <c r="D739" s="14" t="s">
        <v>41</v>
      </c>
      <c r="E739" s="14" t="s">
        <v>42</v>
      </c>
      <c r="F739" s="14" t="s">
        <v>65</v>
      </c>
      <c r="G739" s="14" t="s">
        <v>55</v>
      </c>
      <c r="H739" s="14" t="s">
        <v>46</v>
      </c>
      <c r="I739" s="14" t="s">
        <v>45</v>
      </c>
      <c r="J739" s="14">
        <v>0.25</v>
      </c>
      <c r="K739" s="15">
        <v>44789</v>
      </c>
      <c r="L739" s="13" t="str" cm="1">
        <f t="array" ref="L739">_xlfn.IFS(
  OR(ISBLANK(A739),ISBLANK(C739),ISBLANK(J739)),"Missing Value",
  OR(C739&lt;18,C739&gt;120),"Review – Out of Range (Age)",
  J739&lt;0,"Review – Out of Range (Risk Score)",
  TRUE,"OK"
)</f>
        <v>OK</v>
      </c>
    </row>
    <row r="740" spans="1:12" ht="16.8" x14ac:dyDescent="0.3">
      <c r="A740" s="11" t="s">
        <v>1531</v>
      </c>
      <c r="B740" s="11" t="s">
        <v>1532</v>
      </c>
      <c r="C740" s="11">
        <v>65</v>
      </c>
      <c r="D740" s="11" t="s">
        <v>49</v>
      </c>
      <c r="E740" s="11" t="s">
        <v>58</v>
      </c>
      <c r="F740" s="11" t="s">
        <v>65</v>
      </c>
      <c r="G740" s="11" t="s">
        <v>109</v>
      </c>
      <c r="H740" s="11" t="s">
        <v>45</v>
      </c>
      <c r="I740" s="11" t="s">
        <v>45</v>
      </c>
      <c r="J740" s="11">
        <v>0.25</v>
      </c>
      <c r="K740" s="12">
        <v>45265</v>
      </c>
      <c r="L740" s="13" t="str" cm="1">
        <f t="array" ref="L740">_xlfn.IFS(
  OR(ISBLANK(A740),ISBLANK(C740),ISBLANK(J740)),"Missing Value",
  OR(C740&lt;18,C740&gt;120),"Review – Out of Range (Age)",
  J740&lt;0,"Review – Out of Range (Risk Score)",
  TRUE,"OK"
)</f>
        <v>OK</v>
      </c>
    </row>
    <row r="741" spans="1:12" ht="16.8" x14ac:dyDescent="0.3">
      <c r="A741" s="14" t="s">
        <v>1533</v>
      </c>
      <c r="B741" s="14" t="s">
        <v>1534</v>
      </c>
      <c r="C741" s="14">
        <v>62</v>
      </c>
      <c r="D741" s="14" t="s">
        <v>41</v>
      </c>
      <c r="E741" s="14" t="s">
        <v>58</v>
      </c>
      <c r="F741" s="14" t="s">
        <v>43</v>
      </c>
      <c r="G741" s="14" t="s">
        <v>52</v>
      </c>
      <c r="H741" s="14" t="s">
        <v>46</v>
      </c>
      <c r="I741" s="14" t="s">
        <v>45</v>
      </c>
      <c r="J741" s="14">
        <v>0.7</v>
      </c>
      <c r="K741" s="15">
        <v>44765</v>
      </c>
      <c r="L741" s="13" t="str" cm="1">
        <f t="array" ref="L741">_xlfn.IFS(
  OR(ISBLANK(A741),ISBLANK(C741),ISBLANK(J741)),"Missing Value",
  OR(C741&lt;18,C741&gt;120),"Review – Out of Range (Age)",
  J741&lt;0,"Review – Out of Range (Risk Score)",
  TRUE,"OK"
)</f>
        <v>OK</v>
      </c>
    </row>
    <row r="742" spans="1:12" ht="16.8" x14ac:dyDescent="0.3">
      <c r="A742" s="11" t="s">
        <v>1535</v>
      </c>
      <c r="B742" s="11" t="s">
        <v>1536</v>
      </c>
      <c r="C742" s="11">
        <v>19</v>
      </c>
      <c r="D742" s="11" t="s">
        <v>41</v>
      </c>
      <c r="E742" s="11" t="s">
        <v>58</v>
      </c>
      <c r="F742" s="11" t="s">
        <v>59</v>
      </c>
      <c r="G742" s="11" t="s">
        <v>52</v>
      </c>
      <c r="H742" s="11" t="s">
        <v>45</v>
      </c>
      <c r="I742" s="11" t="s">
        <v>45</v>
      </c>
      <c r="J742" s="11">
        <v>0.33</v>
      </c>
      <c r="K742" s="12">
        <v>43652</v>
      </c>
      <c r="L742" s="13" t="str" cm="1">
        <f t="array" ref="L742">_xlfn.IFS(
  OR(ISBLANK(A742),ISBLANK(C742),ISBLANK(J742)),"Missing Value",
  OR(C742&lt;18,C742&gt;120),"Review – Out of Range (Age)",
  J742&lt;0,"Review – Out of Range (Risk Score)",
  TRUE,"OK"
)</f>
        <v>OK</v>
      </c>
    </row>
    <row r="743" spans="1:12" ht="16.8" x14ac:dyDescent="0.3">
      <c r="A743" s="14" t="s">
        <v>1537</v>
      </c>
      <c r="B743" s="14" t="s">
        <v>1538</v>
      </c>
      <c r="C743" s="14">
        <v>55</v>
      </c>
      <c r="D743" s="14" t="s">
        <v>41</v>
      </c>
      <c r="E743" s="14" t="s">
        <v>50</v>
      </c>
      <c r="F743" s="14" t="s">
        <v>43</v>
      </c>
      <c r="G743" s="14" t="s">
        <v>109</v>
      </c>
      <c r="H743" s="14" t="s">
        <v>45</v>
      </c>
      <c r="I743" s="14" t="s">
        <v>46</v>
      </c>
      <c r="J743" s="14">
        <v>0.72</v>
      </c>
      <c r="K743" s="15">
        <v>43466</v>
      </c>
      <c r="L743" s="13" t="str" cm="1">
        <f t="array" ref="L743">_xlfn.IFS(
  OR(ISBLANK(A743),ISBLANK(C743),ISBLANK(J743)),"Missing Value",
  OR(C743&lt;18,C743&gt;120),"Review – Out of Range (Age)",
  J743&lt;0,"Review – Out of Range (Risk Score)",
  TRUE,"OK"
)</f>
        <v>OK</v>
      </c>
    </row>
    <row r="744" spans="1:12" ht="16.8" x14ac:dyDescent="0.3">
      <c r="A744" s="11" t="s">
        <v>1539</v>
      </c>
      <c r="B744" s="11" t="s">
        <v>1540</v>
      </c>
      <c r="C744" s="11">
        <v>42</v>
      </c>
      <c r="D744" s="11" t="s">
        <v>41</v>
      </c>
      <c r="E744" s="11" t="s">
        <v>42</v>
      </c>
      <c r="F744" s="11" t="s">
        <v>51</v>
      </c>
      <c r="G744" s="11" t="s">
        <v>44</v>
      </c>
      <c r="H744" s="11" t="s">
        <v>45</v>
      </c>
      <c r="I744" s="11" t="s">
        <v>46</v>
      </c>
      <c r="J744" s="11">
        <v>0.48</v>
      </c>
      <c r="K744" s="12">
        <v>44628</v>
      </c>
      <c r="L744" s="13" t="str" cm="1">
        <f t="array" ref="L744">_xlfn.IFS(
  OR(ISBLANK(A744),ISBLANK(C744),ISBLANK(J744)),"Missing Value",
  OR(C744&lt;18,C744&gt;120),"Review – Out of Range (Age)",
  J744&lt;0,"Review – Out of Range (Risk Score)",
  TRUE,"OK"
)</f>
        <v>OK</v>
      </c>
    </row>
    <row r="745" spans="1:12" ht="16.8" x14ac:dyDescent="0.3">
      <c r="A745" s="14" t="s">
        <v>1541</v>
      </c>
      <c r="B745" s="14" t="s">
        <v>1542</v>
      </c>
      <c r="C745" s="14">
        <v>39</v>
      </c>
      <c r="D745" s="14" t="s">
        <v>41</v>
      </c>
      <c r="E745" s="14" t="s">
        <v>42</v>
      </c>
      <c r="F745" s="14" t="s">
        <v>65</v>
      </c>
      <c r="G745" s="14" t="s">
        <v>55</v>
      </c>
      <c r="H745" s="14" t="s">
        <v>45</v>
      </c>
      <c r="I745" s="14" t="s">
        <v>46</v>
      </c>
      <c r="J745" s="14">
        <v>0.41</v>
      </c>
      <c r="K745" s="15">
        <v>45137</v>
      </c>
      <c r="L745" s="13" t="str" cm="1">
        <f t="array" ref="L745">_xlfn.IFS(
  OR(ISBLANK(A745),ISBLANK(C745),ISBLANK(J745)),"Missing Value",
  OR(C745&lt;18,C745&gt;120),"Review – Out of Range (Age)",
  J745&lt;0,"Review – Out of Range (Risk Score)",
  TRUE,"OK"
)</f>
        <v>OK</v>
      </c>
    </row>
    <row r="746" spans="1:12" ht="16.8" x14ac:dyDescent="0.3">
      <c r="A746" s="11" t="s">
        <v>1543</v>
      </c>
      <c r="B746" s="11" t="s">
        <v>1544</v>
      </c>
      <c r="C746" s="11">
        <v>42</v>
      </c>
      <c r="D746" s="11" t="s">
        <v>49</v>
      </c>
      <c r="E746" s="11" t="s">
        <v>42</v>
      </c>
      <c r="F746" s="11" t="s">
        <v>51</v>
      </c>
      <c r="G746" s="11" t="s">
        <v>94</v>
      </c>
      <c r="H746" s="11" t="s">
        <v>46</v>
      </c>
      <c r="I746" s="11" t="s">
        <v>46</v>
      </c>
      <c r="J746" s="11">
        <v>0.36</v>
      </c>
      <c r="K746" s="12">
        <v>43741</v>
      </c>
      <c r="L746" s="13" t="str" cm="1">
        <f t="array" ref="L746">_xlfn.IFS(
  OR(ISBLANK(A746),ISBLANK(C746),ISBLANK(J746)),"Missing Value",
  OR(C746&lt;18,C746&gt;120),"Review – Out of Range (Age)",
  J746&lt;0,"Review – Out of Range (Risk Score)",
  TRUE,"OK"
)</f>
        <v>OK</v>
      </c>
    </row>
    <row r="747" spans="1:12" ht="16.8" x14ac:dyDescent="0.3">
      <c r="A747" s="14" t="s">
        <v>1545</v>
      </c>
      <c r="B747" s="14" t="s">
        <v>1546</v>
      </c>
      <c r="C747" s="14">
        <v>69</v>
      </c>
      <c r="D747" s="14" t="s">
        <v>41</v>
      </c>
      <c r="E747" s="14" t="s">
        <v>42</v>
      </c>
      <c r="F747" s="14" t="s">
        <v>43</v>
      </c>
      <c r="G747" s="14" t="s">
        <v>44</v>
      </c>
      <c r="H747" s="14" t="s">
        <v>45</v>
      </c>
      <c r="I747" s="14" t="s">
        <v>46</v>
      </c>
      <c r="J747" s="14">
        <v>0</v>
      </c>
      <c r="K747" s="15">
        <v>43765</v>
      </c>
      <c r="L747" s="13" t="str" cm="1">
        <f t="array" ref="L747">_xlfn.IFS(
  OR(ISBLANK(A747),ISBLANK(C747),ISBLANK(J747)),"Missing Value",
  OR(C747&lt;18,C747&gt;120),"Review – Out of Range (Age)",
  J747&lt;0,"Review – Out of Range (Risk Score)",
  TRUE,"OK"
)</f>
        <v>OK</v>
      </c>
    </row>
    <row r="748" spans="1:12" ht="16.8" x14ac:dyDescent="0.3">
      <c r="A748" s="11" t="s">
        <v>1547</v>
      </c>
      <c r="B748" s="11" t="s">
        <v>1548</v>
      </c>
      <c r="C748" s="11">
        <v>52</v>
      </c>
      <c r="D748" s="11" t="s">
        <v>49</v>
      </c>
      <c r="E748" s="11" t="s">
        <v>58</v>
      </c>
      <c r="F748" s="11" t="s">
        <v>43</v>
      </c>
      <c r="G748" s="11" t="s">
        <v>55</v>
      </c>
      <c r="H748" s="11" t="s">
        <v>45</v>
      </c>
      <c r="I748" s="11" t="s">
        <v>45</v>
      </c>
      <c r="J748" s="11">
        <v>0.41</v>
      </c>
      <c r="K748" s="12">
        <v>44299</v>
      </c>
      <c r="L748" s="13" t="str" cm="1">
        <f t="array" ref="L748">_xlfn.IFS(
  OR(ISBLANK(A748),ISBLANK(C748),ISBLANK(J748)),"Missing Value",
  OR(C748&lt;18,C748&gt;120),"Review – Out of Range (Age)",
  J748&lt;0,"Review – Out of Range (Risk Score)",
  TRUE,"OK"
)</f>
        <v>OK</v>
      </c>
    </row>
    <row r="749" spans="1:12" ht="16.8" x14ac:dyDescent="0.3">
      <c r="A749" s="14" t="s">
        <v>1549</v>
      </c>
      <c r="B749" s="14" t="s">
        <v>1550</v>
      </c>
      <c r="C749" s="14">
        <v>65</v>
      </c>
      <c r="D749" s="14" t="s">
        <v>49</v>
      </c>
      <c r="E749" s="14" t="s">
        <v>58</v>
      </c>
      <c r="F749" s="14" t="s">
        <v>43</v>
      </c>
      <c r="G749" s="14" t="s">
        <v>52</v>
      </c>
      <c r="H749" s="14" t="s">
        <v>45</v>
      </c>
      <c r="I749" s="14" t="s">
        <v>46</v>
      </c>
      <c r="J749" s="14">
        <v>0.79</v>
      </c>
      <c r="K749" s="15">
        <v>44130</v>
      </c>
      <c r="L749" s="13" t="str" cm="1">
        <f t="array" ref="L749">_xlfn.IFS(
  OR(ISBLANK(A749),ISBLANK(C749),ISBLANK(J749)),"Missing Value",
  OR(C749&lt;18,C749&gt;120),"Review – Out of Range (Age)",
  J749&lt;0,"Review – Out of Range (Risk Score)",
  TRUE,"OK"
)</f>
        <v>OK</v>
      </c>
    </row>
    <row r="750" spans="1:12" ht="16.8" x14ac:dyDescent="0.3">
      <c r="A750" s="11" t="s">
        <v>1551</v>
      </c>
      <c r="B750" s="11" t="s">
        <v>1552</v>
      </c>
      <c r="C750" s="11">
        <v>20</v>
      </c>
      <c r="D750" s="11" t="s">
        <v>49</v>
      </c>
      <c r="E750" s="11" t="s">
        <v>42</v>
      </c>
      <c r="F750" s="11" t="s">
        <v>59</v>
      </c>
      <c r="G750" s="11" t="s">
        <v>60</v>
      </c>
      <c r="H750" s="11" t="s">
        <v>46</v>
      </c>
      <c r="I750" s="11" t="s">
        <v>46</v>
      </c>
      <c r="J750" s="11">
        <v>0.26</v>
      </c>
      <c r="K750" s="12">
        <v>44092</v>
      </c>
      <c r="L750" s="13" t="str" cm="1">
        <f t="array" ref="L750">_xlfn.IFS(
  OR(ISBLANK(A750),ISBLANK(C750),ISBLANK(J750)),"Missing Value",
  OR(C750&lt;18,C750&gt;120),"Review – Out of Range (Age)",
  J750&lt;0,"Review – Out of Range (Risk Score)",
  TRUE,"OK"
)</f>
        <v>OK</v>
      </c>
    </row>
    <row r="751" spans="1:12" ht="16.8" x14ac:dyDescent="0.3">
      <c r="A751" s="14" t="s">
        <v>1553</v>
      </c>
      <c r="B751" s="14" t="s">
        <v>1554</v>
      </c>
      <c r="C751" s="14">
        <v>44</v>
      </c>
      <c r="D751" s="14" t="s">
        <v>49</v>
      </c>
      <c r="E751" s="14" t="s">
        <v>58</v>
      </c>
      <c r="F751" s="14" t="s">
        <v>59</v>
      </c>
      <c r="G751" s="14" t="s">
        <v>109</v>
      </c>
      <c r="H751" s="14" t="s">
        <v>46</v>
      </c>
      <c r="I751" s="14" t="s">
        <v>45</v>
      </c>
      <c r="J751" s="14">
        <v>0.44</v>
      </c>
      <c r="K751" s="15">
        <v>45161</v>
      </c>
      <c r="L751" s="13" t="str" cm="1">
        <f t="array" ref="L751">_xlfn.IFS(
  OR(ISBLANK(A751),ISBLANK(C751),ISBLANK(J751)),"Missing Value",
  OR(C751&lt;18,C751&gt;120),"Review – Out of Range (Age)",
  J751&lt;0,"Review – Out of Range (Risk Score)",
  TRUE,"OK"
)</f>
        <v>OK</v>
      </c>
    </row>
    <row r="752" spans="1:12" ht="16.8" x14ac:dyDescent="0.3">
      <c r="A752" s="11" t="s">
        <v>1555</v>
      </c>
      <c r="B752" s="11" t="s">
        <v>1556</v>
      </c>
      <c r="C752" s="11">
        <v>67</v>
      </c>
      <c r="D752" s="11" t="s">
        <v>49</v>
      </c>
      <c r="E752" s="11" t="s">
        <v>50</v>
      </c>
      <c r="F752" s="11" t="s">
        <v>51</v>
      </c>
      <c r="G752" s="11" t="s">
        <v>52</v>
      </c>
      <c r="H752" s="11" t="s">
        <v>46</v>
      </c>
      <c r="I752" s="11" t="s">
        <v>45</v>
      </c>
      <c r="J752" s="11">
        <v>0.39</v>
      </c>
      <c r="K752" s="12">
        <v>43707</v>
      </c>
      <c r="L752" s="13" t="str" cm="1">
        <f t="array" ref="L752">_xlfn.IFS(
  OR(ISBLANK(A752),ISBLANK(C752),ISBLANK(J752)),"Missing Value",
  OR(C752&lt;18,C752&gt;120),"Review – Out of Range (Age)",
  J752&lt;0,"Review – Out of Range (Risk Score)",
  TRUE,"OK"
)</f>
        <v>OK</v>
      </c>
    </row>
    <row r="753" spans="1:12" ht="16.8" x14ac:dyDescent="0.3">
      <c r="A753" s="14" t="s">
        <v>1557</v>
      </c>
      <c r="B753" s="14" t="s">
        <v>1558</v>
      </c>
      <c r="C753" s="14">
        <v>60</v>
      </c>
      <c r="D753" s="14" t="s">
        <v>49</v>
      </c>
      <c r="E753" s="14" t="s">
        <v>42</v>
      </c>
      <c r="F753" s="14" t="s">
        <v>43</v>
      </c>
      <c r="G753" s="14" t="s">
        <v>52</v>
      </c>
      <c r="H753" s="14" t="s">
        <v>46</v>
      </c>
      <c r="I753" s="14" t="s">
        <v>45</v>
      </c>
      <c r="J753" s="14">
        <v>0.45</v>
      </c>
      <c r="K753" s="15">
        <v>43963</v>
      </c>
      <c r="L753" s="13" t="str" cm="1">
        <f t="array" ref="L753">_xlfn.IFS(
  OR(ISBLANK(A753),ISBLANK(C753),ISBLANK(J753)),"Missing Value",
  OR(C753&lt;18,C753&gt;120),"Review – Out of Range (Age)",
  J753&lt;0,"Review – Out of Range (Risk Score)",
  TRUE,"OK"
)</f>
        <v>OK</v>
      </c>
    </row>
    <row r="754" spans="1:12" ht="16.8" x14ac:dyDescent="0.3">
      <c r="A754" s="11" t="s">
        <v>1559</v>
      </c>
      <c r="B754" s="11" t="s">
        <v>1560</v>
      </c>
      <c r="C754" s="11">
        <v>32</v>
      </c>
      <c r="D754" s="11" t="s">
        <v>49</v>
      </c>
      <c r="E754" s="11" t="s">
        <v>50</v>
      </c>
      <c r="F754" s="11" t="s">
        <v>59</v>
      </c>
      <c r="G754" s="11" t="s">
        <v>94</v>
      </c>
      <c r="H754" s="11" t="s">
        <v>45</v>
      </c>
      <c r="I754" s="11" t="s">
        <v>45</v>
      </c>
      <c r="J754" s="11">
        <v>0.49</v>
      </c>
      <c r="K754" s="12">
        <v>43291</v>
      </c>
      <c r="L754" s="13" t="str" cm="1">
        <f t="array" ref="L754">_xlfn.IFS(
  OR(ISBLANK(A754),ISBLANK(C754),ISBLANK(J754)),"Missing Value",
  OR(C754&lt;18,C754&gt;120),"Review – Out of Range (Age)",
  J754&lt;0,"Review – Out of Range (Risk Score)",
  TRUE,"OK"
)</f>
        <v>OK</v>
      </c>
    </row>
    <row r="755" spans="1:12" ht="16.8" x14ac:dyDescent="0.3">
      <c r="A755" s="14" t="s">
        <v>1561</v>
      </c>
      <c r="B755" s="14" t="s">
        <v>1562</v>
      </c>
      <c r="C755" s="14">
        <v>39</v>
      </c>
      <c r="D755" s="14" t="s">
        <v>49</v>
      </c>
      <c r="E755" s="14" t="s">
        <v>58</v>
      </c>
      <c r="F755" s="14" t="s">
        <v>43</v>
      </c>
      <c r="G755" s="14" t="s">
        <v>44</v>
      </c>
      <c r="H755" s="14" t="s">
        <v>45</v>
      </c>
      <c r="I755" s="14" t="s">
        <v>46</v>
      </c>
      <c r="J755" s="14">
        <v>0.52</v>
      </c>
      <c r="K755" s="15">
        <v>44213</v>
      </c>
      <c r="L755" s="13" t="str" cm="1">
        <f t="array" ref="L755">_xlfn.IFS(
  OR(ISBLANK(A755),ISBLANK(C755),ISBLANK(J755)),"Missing Value",
  OR(C755&lt;18,C755&gt;120),"Review – Out of Range (Age)",
  J755&lt;0,"Review – Out of Range (Risk Score)",
  TRUE,"OK"
)</f>
        <v>OK</v>
      </c>
    </row>
    <row r="756" spans="1:12" ht="16.8" x14ac:dyDescent="0.3">
      <c r="A756" s="11" t="s">
        <v>1563</v>
      </c>
      <c r="B756" s="11" t="s">
        <v>1564</v>
      </c>
      <c r="C756" s="11">
        <v>48</v>
      </c>
      <c r="D756" s="11" t="s">
        <v>41</v>
      </c>
      <c r="E756" s="11" t="s">
        <v>58</v>
      </c>
      <c r="F756" s="11" t="s">
        <v>43</v>
      </c>
      <c r="G756" s="11" t="s">
        <v>44</v>
      </c>
      <c r="H756" s="11" t="s">
        <v>46</v>
      </c>
      <c r="I756" s="11" t="s">
        <v>46</v>
      </c>
      <c r="J756" s="11">
        <v>0.36</v>
      </c>
      <c r="K756" s="12">
        <v>44596</v>
      </c>
      <c r="L756" s="13" t="str" cm="1">
        <f t="array" ref="L756">_xlfn.IFS(
  OR(ISBLANK(A756),ISBLANK(C756),ISBLANK(J756)),"Missing Value",
  OR(C756&lt;18,C756&gt;120),"Review – Out of Range (Age)",
  J756&lt;0,"Review – Out of Range (Risk Score)",
  TRUE,"OK"
)</f>
        <v>OK</v>
      </c>
    </row>
    <row r="757" spans="1:12" ht="16.8" x14ac:dyDescent="0.3">
      <c r="A757" s="14" t="s">
        <v>1565</v>
      </c>
      <c r="B757" s="14" t="s">
        <v>1566</v>
      </c>
      <c r="C757" s="14">
        <v>67</v>
      </c>
      <c r="D757" s="14" t="s">
        <v>41</v>
      </c>
      <c r="E757" s="14" t="s">
        <v>50</v>
      </c>
      <c r="F757" s="14" t="s">
        <v>51</v>
      </c>
      <c r="G757" s="14" t="s">
        <v>52</v>
      </c>
      <c r="H757" s="14" t="s">
        <v>45</v>
      </c>
      <c r="I757" s="14" t="s">
        <v>45</v>
      </c>
      <c r="J757" s="14">
        <v>0.47</v>
      </c>
      <c r="K757" s="15">
        <v>44149</v>
      </c>
      <c r="L757" s="13" t="str" cm="1">
        <f t="array" ref="L757">_xlfn.IFS(
  OR(ISBLANK(A757),ISBLANK(C757),ISBLANK(J757)),"Missing Value",
  OR(C757&lt;18,C757&gt;120),"Review – Out of Range (Age)",
  J757&lt;0,"Review – Out of Range (Risk Score)",
  TRUE,"OK"
)</f>
        <v>OK</v>
      </c>
    </row>
    <row r="758" spans="1:12" ht="16.8" x14ac:dyDescent="0.3">
      <c r="A758" s="11" t="s">
        <v>1567</v>
      </c>
      <c r="B758" s="11" t="s">
        <v>1568</v>
      </c>
      <c r="C758" s="11">
        <v>21</v>
      </c>
      <c r="D758" s="11" t="s">
        <v>49</v>
      </c>
      <c r="E758" s="11" t="s">
        <v>42</v>
      </c>
      <c r="F758" s="11" t="s">
        <v>65</v>
      </c>
      <c r="G758" s="11" t="s">
        <v>44</v>
      </c>
      <c r="H758" s="11" t="s">
        <v>45</v>
      </c>
      <c r="I758" s="11" t="s">
        <v>46</v>
      </c>
      <c r="J758" s="11">
        <v>0.36</v>
      </c>
      <c r="K758" s="12">
        <v>44617</v>
      </c>
      <c r="L758" s="13" t="str" cm="1">
        <f t="array" ref="L758">_xlfn.IFS(
  OR(ISBLANK(A758),ISBLANK(C758),ISBLANK(J758)),"Missing Value",
  OR(C758&lt;18,C758&gt;120),"Review – Out of Range (Age)",
  J758&lt;0,"Review – Out of Range (Risk Score)",
  TRUE,"OK"
)</f>
        <v>OK</v>
      </c>
    </row>
    <row r="759" spans="1:12" ht="16.8" x14ac:dyDescent="0.3">
      <c r="A759" s="14" t="s">
        <v>1569</v>
      </c>
      <c r="B759" s="14" t="s">
        <v>1570</v>
      </c>
      <c r="C759" s="14">
        <v>54</v>
      </c>
      <c r="D759" s="14" t="s">
        <v>49</v>
      </c>
      <c r="E759" s="14" t="s">
        <v>50</v>
      </c>
      <c r="F759" s="14" t="s">
        <v>59</v>
      </c>
      <c r="G759" s="14" t="s">
        <v>44</v>
      </c>
      <c r="H759" s="14" t="s">
        <v>45</v>
      </c>
      <c r="I759" s="14" t="s">
        <v>45</v>
      </c>
      <c r="J759" s="14">
        <v>0.38</v>
      </c>
      <c r="K759" s="15">
        <v>44203</v>
      </c>
      <c r="L759" s="13" t="str" cm="1">
        <f t="array" ref="L759">_xlfn.IFS(
  OR(ISBLANK(A759),ISBLANK(C759),ISBLANK(J759)),"Missing Value",
  OR(C759&lt;18,C759&gt;120),"Review – Out of Range (Age)",
  J759&lt;0,"Review – Out of Range (Risk Score)",
  TRUE,"OK"
)</f>
        <v>OK</v>
      </c>
    </row>
    <row r="760" spans="1:12" ht="16.8" x14ac:dyDescent="0.3">
      <c r="A760" s="11" t="s">
        <v>1571</v>
      </c>
      <c r="B760" s="11" t="s">
        <v>1572</v>
      </c>
      <c r="C760" s="11">
        <v>21</v>
      </c>
      <c r="D760" s="11" t="s">
        <v>49</v>
      </c>
      <c r="E760" s="11" t="s">
        <v>58</v>
      </c>
      <c r="F760" s="11" t="s">
        <v>65</v>
      </c>
      <c r="G760" s="11" t="s">
        <v>94</v>
      </c>
      <c r="H760" s="11" t="s">
        <v>45</v>
      </c>
      <c r="I760" s="11" t="s">
        <v>45</v>
      </c>
      <c r="J760" s="11">
        <v>0.46</v>
      </c>
      <c r="K760" s="12">
        <v>44780</v>
      </c>
      <c r="L760" s="13" t="str" cm="1">
        <f t="array" ref="L760">_xlfn.IFS(
  OR(ISBLANK(A760),ISBLANK(C760),ISBLANK(J760)),"Missing Value",
  OR(C760&lt;18,C760&gt;120),"Review – Out of Range (Age)",
  J760&lt;0,"Review – Out of Range (Risk Score)",
  TRUE,"OK"
)</f>
        <v>OK</v>
      </c>
    </row>
    <row r="761" spans="1:12" ht="16.8" x14ac:dyDescent="0.3">
      <c r="A761" s="14" t="s">
        <v>1573</v>
      </c>
      <c r="B761" s="14" t="s">
        <v>1574</v>
      </c>
      <c r="C761" s="14">
        <v>60</v>
      </c>
      <c r="D761" s="14" t="s">
        <v>49</v>
      </c>
      <c r="E761" s="14" t="s">
        <v>42</v>
      </c>
      <c r="F761" s="14" t="s">
        <v>65</v>
      </c>
      <c r="G761" s="14" t="s">
        <v>60</v>
      </c>
      <c r="H761" s="14" t="s">
        <v>46</v>
      </c>
      <c r="I761" s="14" t="s">
        <v>45</v>
      </c>
      <c r="J761" s="14">
        <v>0.36</v>
      </c>
      <c r="K761" s="15">
        <v>43758</v>
      </c>
      <c r="L761" s="13" t="str" cm="1">
        <f t="array" ref="L761">_xlfn.IFS(
  OR(ISBLANK(A761),ISBLANK(C761),ISBLANK(J761)),"Missing Value",
  OR(C761&lt;18,C761&gt;120),"Review – Out of Range (Age)",
  J761&lt;0,"Review – Out of Range (Risk Score)",
  TRUE,"OK"
)</f>
        <v>OK</v>
      </c>
    </row>
    <row r="762" spans="1:12" ht="16.8" x14ac:dyDescent="0.3">
      <c r="A762" s="11" t="s">
        <v>1575</v>
      </c>
      <c r="B762" s="11" t="s">
        <v>1576</v>
      </c>
      <c r="C762" s="11">
        <v>29</v>
      </c>
      <c r="D762" s="11" t="s">
        <v>49</v>
      </c>
      <c r="E762" s="11" t="s">
        <v>42</v>
      </c>
      <c r="F762" s="11" t="s">
        <v>59</v>
      </c>
      <c r="G762" s="11" t="s">
        <v>44</v>
      </c>
      <c r="H762" s="11" t="s">
        <v>45</v>
      </c>
      <c r="I762" s="11" t="s">
        <v>46</v>
      </c>
      <c r="J762" s="11">
        <v>0.37</v>
      </c>
      <c r="K762" s="12">
        <v>43868</v>
      </c>
      <c r="L762" s="13" t="str" cm="1">
        <f t="array" ref="L762">_xlfn.IFS(
  OR(ISBLANK(A762),ISBLANK(C762),ISBLANK(J762)),"Missing Value",
  OR(C762&lt;18,C762&gt;120),"Review – Out of Range (Age)",
  J762&lt;0,"Review – Out of Range (Risk Score)",
  TRUE,"OK"
)</f>
        <v>OK</v>
      </c>
    </row>
    <row r="763" spans="1:12" ht="16.8" x14ac:dyDescent="0.3">
      <c r="A763" s="14" t="s">
        <v>1577</v>
      </c>
      <c r="B763" s="14" t="s">
        <v>1578</v>
      </c>
      <c r="C763" s="14">
        <v>19</v>
      </c>
      <c r="D763" s="14" t="s">
        <v>49</v>
      </c>
      <c r="E763" s="14" t="s">
        <v>42</v>
      </c>
      <c r="F763" s="14" t="s">
        <v>43</v>
      </c>
      <c r="G763" s="14" t="s">
        <v>44</v>
      </c>
      <c r="H763" s="14" t="s">
        <v>45</v>
      </c>
      <c r="I763" s="14" t="s">
        <v>45</v>
      </c>
      <c r="J763" s="14">
        <v>0.04</v>
      </c>
      <c r="K763" s="15">
        <v>43672</v>
      </c>
      <c r="L763" s="13" t="str" cm="1">
        <f t="array" ref="L763">_xlfn.IFS(
  OR(ISBLANK(A763),ISBLANK(C763),ISBLANK(J763)),"Missing Value",
  OR(C763&lt;18,C763&gt;120),"Review – Out of Range (Age)",
  J763&lt;0,"Review – Out of Range (Risk Score)",
  TRUE,"OK"
)</f>
        <v>OK</v>
      </c>
    </row>
    <row r="764" spans="1:12" ht="16.8" x14ac:dyDescent="0.3">
      <c r="A764" s="11" t="s">
        <v>1579</v>
      </c>
      <c r="B764" s="11" t="s">
        <v>1580</v>
      </c>
      <c r="C764" s="11">
        <v>49</v>
      </c>
      <c r="D764" s="11" t="s">
        <v>41</v>
      </c>
      <c r="E764" s="11" t="s">
        <v>58</v>
      </c>
      <c r="F764" s="11" t="s">
        <v>43</v>
      </c>
      <c r="G764" s="11" t="s">
        <v>109</v>
      </c>
      <c r="H764" s="11" t="s">
        <v>45</v>
      </c>
      <c r="I764" s="11" t="s">
        <v>46</v>
      </c>
      <c r="J764" s="11">
        <v>0.5</v>
      </c>
      <c r="K764" s="12">
        <v>45068</v>
      </c>
      <c r="L764" s="13" t="str" cm="1">
        <f t="array" ref="L764">_xlfn.IFS(
  OR(ISBLANK(A764),ISBLANK(C764),ISBLANK(J764)),"Missing Value",
  OR(C764&lt;18,C764&gt;120),"Review – Out of Range (Age)",
  J764&lt;0,"Review – Out of Range (Risk Score)",
  TRUE,"OK"
)</f>
        <v>OK</v>
      </c>
    </row>
    <row r="765" spans="1:12" ht="16.8" x14ac:dyDescent="0.3">
      <c r="A765" s="14" t="s">
        <v>1581</v>
      </c>
      <c r="B765" s="14" t="s">
        <v>1582</v>
      </c>
      <c r="C765" s="14">
        <v>56</v>
      </c>
      <c r="D765" s="14" t="s">
        <v>41</v>
      </c>
      <c r="E765" s="14" t="s">
        <v>42</v>
      </c>
      <c r="F765" s="14" t="s">
        <v>59</v>
      </c>
      <c r="G765" s="14" t="s">
        <v>94</v>
      </c>
      <c r="H765" s="14" t="s">
        <v>45</v>
      </c>
      <c r="I765" s="14" t="s">
        <v>46</v>
      </c>
      <c r="J765" s="14">
        <v>0.33</v>
      </c>
      <c r="K765" s="15">
        <v>43680</v>
      </c>
      <c r="L765" s="13" t="str" cm="1">
        <f t="array" ref="L765">_xlfn.IFS(
  OR(ISBLANK(A765),ISBLANK(C765),ISBLANK(J765)),"Missing Value",
  OR(C765&lt;18,C765&gt;120),"Review – Out of Range (Age)",
  J765&lt;0,"Review – Out of Range (Risk Score)",
  TRUE,"OK"
)</f>
        <v>OK</v>
      </c>
    </row>
    <row r="766" spans="1:12" ht="16.8" x14ac:dyDescent="0.3">
      <c r="A766" s="11" t="s">
        <v>1583</v>
      </c>
      <c r="B766" s="11" t="s">
        <v>1584</v>
      </c>
      <c r="C766" s="11">
        <v>22</v>
      </c>
      <c r="D766" s="11" t="s">
        <v>41</v>
      </c>
      <c r="E766" s="11" t="s">
        <v>58</v>
      </c>
      <c r="F766" s="11" t="s">
        <v>65</v>
      </c>
      <c r="G766" s="11" t="s">
        <v>60</v>
      </c>
      <c r="H766" s="11" t="s">
        <v>46</v>
      </c>
      <c r="I766" s="11" t="s">
        <v>45</v>
      </c>
      <c r="J766" s="11">
        <v>0.12</v>
      </c>
      <c r="K766" s="12">
        <v>43820</v>
      </c>
      <c r="L766" s="13" t="str" cm="1">
        <f t="array" ref="L766">_xlfn.IFS(
  OR(ISBLANK(A766),ISBLANK(C766),ISBLANK(J766)),"Missing Value",
  OR(C766&lt;18,C766&gt;120),"Review – Out of Range (Age)",
  J766&lt;0,"Review – Out of Range (Risk Score)",
  TRUE,"OK"
)</f>
        <v>OK</v>
      </c>
    </row>
    <row r="767" spans="1:12" ht="16.8" x14ac:dyDescent="0.3">
      <c r="A767" s="14" t="s">
        <v>1585</v>
      </c>
      <c r="B767" s="14" t="s">
        <v>1586</v>
      </c>
      <c r="C767" s="14">
        <v>39</v>
      </c>
      <c r="D767" s="14" t="s">
        <v>41</v>
      </c>
      <c r="E767" s="14" t="s">
        <v>58</v>
      </c>
      <c r="F767" s="14" t="s">
        <v>43</v>
      </c>
      <c r="G767" s="14" t="s">
        <v>52</v>
      </c>
      <c r="H767" s="14" t="s">
        <v>45</v>
      </c>
      <c r="I767" s="14" t="s">
        <v>46</v>
      </c>
      <c r="J767" s="14">
        <v>0.49</v>
      </c>
      <c r="K767" s="15">
        <v>43437</v>
      </c>
      <c r="L767" s="13" t="str" cm="1">
        <f t="array" ref="L767">_xlfn.IFS(
  OR(ISBLANK(A767),ISBLANK(C767),ISBLANK(J767)),"Missing Value",
  OR(C767&lt;18,C767&gt;120),"Review – Out of Range (Age)",
  J767&lt;0,"Review – Out of Range (Risk Score)",
  TRUE,"OK"
)</f>
        <v>OK</v>
      </c>
    </row>
    <row r="768" spans="1:12" ht="16.8" x14ac:dyDescent="0.3">
      <c r="A768" s="11" t="s">
        <v>1587</v>
      </c>
      <c r="B768" s="11" t="s">
        <v>1588</v>
      </c>
      <c r="C768" s="11">
        <v>38</v>
      </c>
      <c r="D768" s="11" t="s">
        <v>41</v>
      </c>
      <c r="E768" s="11" t="s">
        <v>42</v>
      </c>
      <c r="F768" s="11" t="s">
        <v>59</v>
      </c>
      <c r="G768" s="11" t="s">
        <v>60</v>
      </c>
      <c r="H768" s="11" t="s">
        <v>46</v>
      </c>
      <c r="I768" s="11" t="s">
        <v>45</v>
      </c>
      <c r="J768" s="11">
        <v>0.47</v>
      </c>
      <c r="K768" s="12">
        <v>44677</v>
      </c>
      <c r="L768" s="13" t="str" cm="1">
        <f t="array" ref="L768">_xlfn.IFS(
  OR(ISBLANK(A768),ISBLANK(C768),ISBLANK(J768)),"Missing Value",
  OR(C768&lt;18,C768&gt;120),"Review – Out of Range (Age)",
  J768&lt;0,"Review – Out of Range (Risk Score)",
  TRUE,"OK"
)</f>
        <v>OK</v>
      </c>
    </row>
    <row r="769" spans="1:12" ht="16.8" x14ac:dyDescent="0.3">
      <c r="A769" s="14" t="s">
        <v>1589</v>
      </c>
      <c r="B769" s="14" t="s">
        <v>1590</v>
      </c>
      <c r="C769" s="14">
        <v>43</v>
      </c>
      <c r="D769" s="14" t="s">
        <v>49</v>
      </c>
      <c r="E769" s="14" t="s">
        <v>50</v>
      </c>
      <c r="F769" s="14" t="s">
        <v>43</v>
      </c>
      <c r="G769" s="14" t="s">
        <v>94</v>
      </c>
      <c r="H769" s="14" t="s">
        <v>45</v>
      </c>
      <c r="I769" s="14" t="s">
        <v>46</v>
      </c>
      <c r="J769" s="14">
        <v>0.39</v>
      </c>
      <c r="K769" s="15">
        <v>43989</v>
      </c>
      <c r="L769" s="13" t="str" cm="1">
        <f t="array" ref="L769">_xlfn.IFS(
  OR(ISBLANK(A769),ISBLANK(C769),ISBLANK(J769)),"Missing Value",
  OR(C769&lt;18,C769&gt;120),"Review – Out of Range (Age)",
  J769&lt;0,"Review – Out of Range (Risk Score)",
  TRUE,"OK"
)</f>
        <v>OK</v>
      </c>
    </row>
    <row r="770" spans="1:12" ht="16.8" x14ac:dyDescent="0.3">
      <c r="A770" s="11" t="s">
        <v>1591</v>
      </c>
      <c r="B770" s="11" t="s">
        <v>1592</v>
      </c>
      <c r="C770" s="11">
        <v>43</v>
      </c>
      <c r="D770" s="11" t="s">
        <v>49</v>
      </c>
      <c r="E770" s="11" t="s">
        <v>42</v>
      </c>
      <c r="F770" s="11" t="s">
        <v>59</v>
      </c>
      <c r="G770" s="11" t="s">
        <v>94</v>
      </c>
      <c r="H770" s="11" t="s">
        <v>45</v>
      </c>
      <c r="I770" s="11" t="s">
        <v>45</v>
      </c>
      <c r="J770" s="11">
        <v>0.68</v>
      </c>
      <c r="K770" s="12">
        <v>44276</v>
      </c>
      <c r="L770" s="13" t="str" cm="1">
        <f t="array" ref="L770">_xlfn.IFS(
  OR(ISBLANK(A770),ISBLANK(C770),ISBLANK(J770)),"Missing Value",
  OR(C770&lt;18,C770&gt;120),"Review – Out of Range (Age)",
  J770&lt;0,"Review – Out of Range (Risk Score)",
  TRUE,"OK"
)</f>
        <v>OK</v>
      </c>
    </row>
    <row r="771" spans="1:12" ht="16.8" x14ac:dyDescent="0.3">
      <c r="A771" s="14" t="s">
        <v>1593</v>
      </c>
      <c r="B771" s="14" t="s">
        <v>1594</v>
      </c>
      <c r="C771" s="14">
        <v>52</v>
      </c>
      <c r="D771" s="14" t="s">
        <v>41</v>
      </c>
      <c r="E771" s="14" t="s">
        <v>58</v>
      </c>
      <c r="F771" s="14" t="s">
        <v>65</v>
      </c>
      <c r="G771" s="14" t="s">
        <v>55</v>
      </c>
      <c r="H771" s="14" t="s">
        <v>46</v>
      </c>
      <c r="I771" s="14" t="s">
        <v>46</v>
      </c>
      <c r="J771" s="14">
        <v>0.43</v>
      </c>
      <c r="K771" s="15">
        <v>43835</v>
      </c>
      <c r="L771" s="13" t="str" cm="1">
        <f t="array" ref="L771">_xlfn.IFS(
  OR(ISBLANK(A771),ISBLANK(C771),ISBLANK(J771)),"Missing Value",
  OR(C771&lt;18,C771&gt;120),"Review – Out of Range (Age)",
  J771&lt;0,"Review – Out of Range (Risk Score)",
  TRUE,"OK"
)</f>
        <v>OK</v>
      </c>
    </row>
    <row r="772" spans="1:12" ht="16.8" x14ac:dyDescent="0.3">
      <c r="A772" s="11" t="s">
        <v>1595</v>
      </c>
      <c r="B772" s="11" t="s">
        <v>1596</v>
      </c>
      <c r="C772" s="11">
        <v>53</v>
      </c>
      <c r="D772" s="11" t="s">
        <v>49</v>
      </c>
      <c r="E772" s="11" t="s">
        <v>58</v>
      </c>
      <c r="F772" s="11" t="s">
        <v>59</v>
      </c>
      <c r="G772" s="11" t="s">
        <v>94</v>
      </c>
      <c r="H772" s="11" t="s">
        <v>46</v>
      </c>
      <c r="I772" s="11" t="s">
        <v>45</v>
      </c>
      <c r="J772" s="11">
        <v>0.52</v>
      </c>
      <c r="K772" s="12">
        <v>43938</v>
      </c>
      <c r="L772" s="13" t="str" cm="1">
        <f t="array" ref="L772">_xlfn.IFS(
  OR(ISBLANK(A772),ISBLANK(C772),ISBLANK(J772)),"Missing Value",
  OR(C772&lt;18,C772&gt;120),"Review – Out of Range (Age)",
  J772&lt;0,"Review – Out of Range (Risk Score)",
  TRUE,"OK"
)</f>
        <v>OK</v>
      </c>
    </row>
    <row r="773" spans="1:12" ht="16.8" x14ac:dyDescent="0.3">
      <c r="A773" s="14" t="s">
        <v>1597</v>
      </c>
      <c r="B773" s="14" t="s">
        <v>1598</v>
      </c>
      <c r="C773" s="14">
        <v>67</v>
      </c>
      <c r="D773" s="14" t="s">
        <v>41</v>
      </c>
      <c r="E773" s="14" t="s">
        <v>58</v>
      </c>
      <c r="F773" s="14" t="s">
        <v>59</v>
      </c>
      <c r="G773" s="14" t="s">
        <v>52</v>
      </c>
      <c r="H773" s="14" t="s">
        <v>46</v>
      </c>
      <c r="I773" s="14" t="s">
        <v>45</v>
      </c>
      <c r="J773" s="14">
        <v>0.12</v>
      </c>
      <c r="K773" s="15">
        <v>44544</v>
      </c>
      <c r="L773" s="13" t="str" cm="1">
        <f t="array" ref="L773">_xlfn.IFS(
  OR(ISBLANK(A773),ISBLANK(C773),ISBLANK(J773)),"Missing Value",
  OR(C773&lt;18,C773&gt;120),"Review – Out of Range (Age)",
  J773&lt;0,"Review – Out of Range (Risk Score)",
  TRUE,"OK"
)</f>
        <v>OK</v>
      </c>
    </row>
    <row r="774" spans="1:12" ht="16.8" x14ac:dyDescent="0.3">
      <c r="A774" s="11" t="s">
        <v>1599</v>
      </c>
      <c r="B774" s="11" t="s">
        <v>1600</v>
      </c>
      <c r="C774" s="11">
        <v>56</v>
      </c>
      <c r="D774" s="11" t="s">
        <v>41</v>
      </c>
      <c r="E774" s="11" t="s">
        <v>50</v>
      </c>
      <c r="F774" s="11" t="s">
        <v>43</v>
      </c>
      <c r="G774" s="11" t="s">
        <v>60</v>
      </c>
      <c r="H774" s="11" t="s">
        <v>45</v>
      </c>
      <c r="I774" s="11" t="s">
        <v>45</v>
      </c>
      <c r="J774" s="11">
        <v>0.27</v>
      </c>
      <c r="K774" s="12">
        <v>45097</v>
      </c>
      <c r="L774" s="13" t="str" cm="1">
        <f t="array" ref="L774">_xlfn.IFS(
  OR(ISBLANK(A774),ISBLANK(C774),ISBLANK(J774)),"Missing Value",
  OR(C774&lt;18,C774&gt;120),"Review – Out of Range (Age)",
  J774&lt;0,"Review – Out of Range (Risk Score)",
  TRUE,"OK"
)</f>
        <v>OK</v>
      </c>
    </row>
    <row r="775" spans="1:12" ht="16.8" x14ac:dyDescent="0.3">
      <c r="A775" s="14" t="s">
        <v>1601</v>
      </c>
      <c r="B775" s="14" t="s">
        <v>1602</v>
      </c>
      <c r="C775" s="14">
        <v>18</v>
      </c>
      <c r="D775" s="14" t="s">
        <v>41</v>
      </c>
      <c r="E775" s="14" t="s">
        <v>50</v>
      </c>
      <c r="F775" s="14" t="s">
        <v>65</v>
      </c>
      <c r="G775" s="14" t="s">
        <v>109</v>
      </c>
      <c r="H775" s="14" t="s">
        <v>46</v>
      </c>
      <c r="I775" s="14" t="s">
        <v>46</v>
      </c>
      <c r="J775" s="14">
        <v>0.09</v>
      </c>
      <c r="K775" s="15">
        <v>45257</v>
      </c>
      <c r="L775" s="13" t="str" cm="1">
        <f t="array" ref="L775">_xlfn.IFS(
  OR(ISBLANK(A775),ISBLANK(C775),ISBLANK(J775)),"Missing Value",
  OR(C775&lt;18,C775&gt;120),"Review – Out of Range (Age)",
  J775&lt;0,"Review – Out of Range (Risk Score)",
  TRUE,"OK"
)</f>
        <v>OK</v>
      </c>
    </row>
    <row r="776" spans="1:12" ht="16.8" x14ac:dyDescent="0.3">
      <c r="A776" s="11" t="s">
        <v>1603</v>
      </c>
      <c r="B776" s="11" t="s">
        <v>1604</v>
      </c>
      <c r="C776" s="11">
        <v>32</v>
      </c>
      <c r="D776" s="11" t="s">
        <v>49</v>
      </c>
      <c r="E776" s="11" t="s">
        <v>58</v>
      </c>
      <c r="F776" s="11" t="s">
        <v>59</v>
      </c>
      <c r="G776" s="11" t="s">
        <v>109</v>
      </c>
      <c r="H776" s="11" t="s">
        <v>45</v>
      </c>
      <c r="I776" s="11" t="s">
        <v>45</v>
      </c>
      <c r="J776" s="11">
        <v>0.32</v>
      </c>
      <c r="K776" s="12">
        <v>44154</v>
      </c>
      <c r="L776" s="13" t="str" cm="1">
        <f t="array" ref="L776">_xlfn.IFS(
  OR(ISBLANK(A776),ISBLANK(C776),ISBLANK(J776)),"Missing Value",
  OR(C776&lt;18,C776&gt;120),"Review – Out of Range (Age)",
  J776&lt;0,"Review – Out of Range (Risk Score)",
  TRUE,"OK"
)</f>
        <v>OK</v>
      </c>
    </row>
    <row r="777" spans="1:12" ht="16.8" x14ac:dyDescent="0.3">
      <c r="A777" s="14" t="s">
        <v>1605</v>
      </c>
      <c r="B777" s="14" t="s">
        <v>1606</v>
      </c>
      <c r="C777" s="14">
        <v>68</v>
      </c>
      <c r="D777" s="14" t="s">
        <v>49</v>
      </c>
      <c r="E777" s="14" t="s">
        <v>50</v>
      </c>
      <c r="F777" s="14" t="s">
        <v>43</v>
      </c>
      <c r="G777" s="14" t="s">
        <v>109</v>
      </c>
      <c r="H777" s="14" t="s">
        <v>46</v>
      </c>
      <c r="I777" s="14" t="s">
        <v>46</v>
      </c>
      <c r="J777" s="14">
        <v>0.06</v>
      </c>
      <c r="K777" s="15">
        <v>44307</v>
      </c>
      <c r="L777" s="13" t="str" cm="1">
        <f t="array" ref="L777">_xlfn.IFS(
  OR(ISBLANK(A777),ISBLANK(C777),ISBLANK(J777)),"Missing Value",
  OR(C777&lt;18,C777&gt;120),"Review – Out of Range (Age)",
  J777&lt;0,"Review – Out of Range (Risk Score)",
  TRUE,"OK"
)</f>
        <v>OK</v>
      </c>
    </row>
    <row r="778" spans="1:12" ht="16.8" x14ac:dyDescent="0.3">
      <c r="A778" s="11" t="s">
        <v>1607</v>
      </c>
      <c r="B778" s="11" t="s">
        <v>1608</v>
      </c>
      <c r="C778" s="11">
        <v>52</v>
      </c>
      <c r="D778" s="11" t="s">
        <v>41</v>
      </c>
      <c r="E778" s="11" t="s">
        <v>58</v>
      </c>
      <c r="F778" s="11" t="s">
        <v>43</v>
      </c>
      <c r="G778" s="11" t="s">
        <v>94</v>
      </c>
      <c r="H778" s="11" t="s">
        <v>46</v>
      </c>
      <c r="I778" s="11" t="s">
        <v>45</v>
      </c>
      <c r="J778" s="11">
        <v>0.18</v>
      </c>
      <c r="K778" s="12">
        <v>44661</v>
      </c>
      <c r="L778" s="13" t="str" cm="1">
        <f t="array" ref="L778">_xlfn.IFS(
  OR(ISBLANK(A778),ISBLANK(C778),ISBLANK(J778)),"Missing Value",
  OR(C778&lt;18,C778&gt;120),"Review – Out of Range (Age)",
  J778&lt;0,"Review – Out of Range (Risk Score)",
  TRUE,"OK"
)</f>
        <v>OK</v>
      </c>
    </row>
    <row r="779" spans="1:12" ht="16.8" x14ac:dyDescent="0.3">
      <c r="A779" s="14" t="s">
        <v>1609</v>
      </c>
      <c r="B779" s="14" t="s">
        <v>1610</v>
      </c>
      <c r="C779" s="14">
        <v>67</v>
      </c>
      <c r="D779" s="14" t="s">
        <v>49</v>
      </c>
      <c r="E779" s="14" t="s">
        <v>42</v>
      </c>
      <c r="F779" s="14" t="s">
        <v>65</v>
      </c>
      <c r="G779" s="14" t="s">
        <v>55</v>
      </c>
      <c r="H779" s="14" t="s">
        <v>45</v>
      </c>
      <c r="I779" s="14" t="s">
        <v>45</v>
      </c>
      <c r="J779" s="14">
        <v>0.76</v>
      </c>
      <c r="K779" s="15">
        <v>44003</v>
      </c>
      <c r="L779" s="13" t="str" cm="1">
        <f t="array" ref="L779">_xlfn.IFS(
  OR(ISBLANK(A779),ISBLANK(C779),ISBLANK(J779)),"Missing Value",
  OR(C779&lt;18,C779&gt;120),"Review – Out of Range (Age)",
  J779&lt;0,"Review – Out of Range (Risk Score)",
  TRUE,"OK"
)</f>
        <v>OK</v>
      </c>
    </row>
    <row r="780" spans="1:12" ht="16.8" x14ac:dyDescent="0.3">
      <c r="A780" s="11" t="s">
        <v>1611</v>
      </c>
      <c r="B780" s="11" t="s">
        <v>1612</v>
      </c>
      <c r="C780" s="11">
        <v>20</v>
      </c>
      <c r="D780" s="11" t="s">
        <v>41</v>
      </c>
      <c r="E780" s="11" t="s">
        <v>50</v>
      </c>
      <c r="F780" s="11" t="s">
        <v>51</v>
      </c>
      <c r="G780" s="11" t="s">
        <v>60</v>
      </c>
      <c r="H780" s="11" t="s">
        <v>46</v>
      </c>
      <c r="I780" s="11" t="s">
        <v>45</v>
      </c>
      <c r="J780" s="11">
        <v>0.5</v>
      </c>
      <c r="K780" s="12">
        <v>43183</v>
      </c>
      <c r="L780" s="13" t="str" cm="1">
        <f t="array" ref="L780">_xlfn.IFS(
  OR(ISBLANK(A780),ISBLANK(C780),ISBLANK(J780)),"Missing Value",
  OR(C780&lt;18,C780&gt;120),"Review – Out of Range (Age)",
  J780&lt;0,"Review – Out of Range (Risk Score)",
  TRUE,"OK"
)</f>
        <v>OK</v>
      </c>
    </row>
    <row r="781" spans="1:12" ht="16.8" x14ac:dyDescent="0.3">
      <c r="A781" s="14" t="s">
        <v>1613</v>
      </c>
      <c r="B781" s="14" t="s">
        <v>1614</v>
      </c>
      <c r="C781" s="14">
        <v>42</v>
      </c>
      <c r="D781" s="14" t="s">
        <v>49</v>
      </c>
      <c r="E781" s="14" t="s">
        <v>42</v>
      </c>
      <c r="F781" s="14" t="s">
        <v>51</v>
      </c>
      <c r="G781" s="14" t="s">
        <v>44</v>
      </c>
      <c r="H781" s="14" t="s">
        <v>46</v>
      </c>
      <c r="I781" s="14" t="s">
        <v>46</v>
      </c>
      <c r="J781" s="14">
        <v>0.47</v>
      </c>
      <c r="K781" s="15">
        <v>43652</v>
      </c>
      <c r="L781" s="13" t="str" cm="1">
        <f t="array" ref="L781">_xlfn.IFS(
  OR(ISBLANK(A781),ISBLANK(C781),ISBLANK(J781)),"Missing Value",
  OR(C781&lt;18,C781&gt;120),"Review – Out of Range (Age)",
  J781&lt;0,"Review – Out of Range (Risk Score)",
  TRUE,"OK"
)</f>
        <v>OK</v>
      </c>
    </row>
    <row r="782" spans="1:12" ht="16.8" x14ac:dyDescent="0.3">
      <c r="A782" s="11" t="s">
        <v>1615</v>
      </c>
      <c r="B782" s="11" t="s">
        <v>1616</v>
      </c>
      <c r="C782" s="11">
        <v>50</v>
      </c>
      <c r="D782" s="11" t="s">
        <v>49</v>
      </c>
      <c r="E782" s="11" t="s">
        <v>42</v>
      </c>
      <c r="F782" s="11" t="s">
        <v>59</v>
      </c>
      <c r="G782" s="11" t="s">
        <v>44</v>
      </c>
      <c r="H782" s="11" t="s">
        <v>46</v>
      </c>
      <c r="I782" s="11" t="s">
        <v>46</v>
      </c>
      <c r="J782" s="11">
        <v>0.6</v>
      </c>
      <c r="K782" s="12">
        <v>44830</v>
      </c>
      <c r="L782" s="13" t="str" cm="1">
        <f t="array" ref="L782">_xlfn.IFS(
  OR(ISBLANK(A782),ISBLANK(C782),ISBLANK(J782)),"Missing Value",
  OR(C782&lt;18,C782&gt;120),"Review – Out of Range (Age)",
  J782&lt;0,"Review – Out of Range (Risk Score)",
  TRUE,"OK"
)</f>
        <v>OK</v>
      </c>
    </row>
    <row r="783" spans="1:12" ht="16.8" x14ac:dyDescent="0.3">
      <c r="A783" s="14" t="s">
        <v>1617</v>
      </c>
      <c r="B783" s="14" t="s">
        <v>1618</v>
      </c>
      <c r="C783" s="14">
        <v>58</v>
      </c>
      <c r="D783" s="14" t="s">
        <v>49</v>
      </c>
      <c r="E783" s="14" t="s">
        <v>42</v>
      </c>
      <c r="F783" s="14" t="s">
        <v>51</v>
      </c>
      <c r="G783" s="14" t="s">
        <v>109</v>
      </c>
      <c r="H783" s="14" t="s">
        <v>46</v>
      </c>
      <c r="I783" s="14" t="s">
        <v>45</v>
      </c>
      <c r="J783" s="14">
        <v>0.49</v>
      </c>
      <c r="K783" s="15">
        <v>43957</v>
      </c>
      <c r="L783" s="13" t="str" cm="1">
        <f t="array" ref="L783">_xlfn.IFS(
  OR(ISBLANK(A783),ISBLANK(C783),ISBLANK(J783)),"Missing Value",
  OR(C783&lt;18,C783&gt;120),"Review – Out of Range (Age)",
  J783&lt;0,"Review – Out of Range (Risk Score)",
  TRUE,"OK"
)</f>
        <v>OK</v>
      </c>
    </row>
    <row r="784" spans="1:12" ht="16.8" x14ac:dyDescent="0.3">
      <c r="A784" s="11" t="s">
        <v>1619</v>
      </c>
      <c r="B784" s="11" t="s">
        <v>1620</v>
      </c>
      <c r="C784" s="11">
        <v>27</v>
      </c>
      <c r="D784" s="11" t="s">
        <v>49</v>
      </c>
      <c r="E784" s="11" t="s">
        <v>42</v>
      </c>
      <c r="F784" s="11" t="s">
        <v>51</v>
      </c>
      <c r="G784" s="11" t="s">
        <v>94</v>
      </c>
      <c r="H784" s="11" t="s">
        <v>46</v>
      </c>
      <c r="I784" s="11" t="s">
        <v>45</v>
      </c>
      <c r="J784" s="11">
        <v>0.14000000000000001</v>
      </c>
      <c r="K784" s="12">
        <v>44228</v>
      </c>
      <c r="L784" s="13" t="str" cm="1">
        <f t="array" ref="L784">_xlfn.IFS(
  OR(ISBLANK(A784),ISBLANK(C784),ISBLANK(J784)),"Missing Value",
  OR(C784&lt;18,C784&gt;120),"Review – Out of Range (Age)",
  J784&lt;0,"Review – Out of Range (Risk Score)",
  TRUE,"OK"
)</f>
        <v>OK</v>
      </c>
    </row>
    <row r="785" spans="1:12" ht="16.8" x14ac:dyDescent="0.3">
      <c r="A785" s="14" t="s">
        <v>1621</v>
      </c>
      <c r="B785" s="14" t="s">
        <v>1622</v>
      </c>
      <c r="C785" s="14">
        <v>46</v>
      </c>
      <c r="D785" s="14" t="s">
        <v>41</v>
      </c>
      <c r="E785" s="14" t="s">
        <v>42</v>
      </c>
      <c r="F785" s="14" t="s">
        <v>43</v>
      </c>
      <c r="G785" s="14" t="s">
        <v>52</v>
      </c>
      <c r="H785" s="14" t="s">
        <v>45</v>
      </c>
      <c r="I785" s="14" t="s">
        <v>46</v>
      </c>
      <c r="J785" s="14">
        <v>0.76</v>
      </c>
      <c r="K785" s="15">
        <v>45147</v>
      </c>
      <c r="L785" s="13" t="str" cm="1">
        <f t="array" ref="L785">_xlfn.IFS(
  OR(ISBLANK(A785),ISBLANK(C785),ISBLANK(J785)),"Missing Value",
  OR(C785&lt;18,C785&gt;120),"Review – Out of Range (Age)",
  J785&lt;0,"Review – Out of Range (Risk Score)",
  TRUE,"OK"
)</f>
        <v>OK</v>
      </c>
    </row>
    <row r="786" spans="1:12" ht="16.8" x14ac:dyDescent="0.3">
      <c r="A786" s="11" t="s">
        <v>1623</v>
      </c>
      <c r="B786" s="11" t="s">
        <v>1624</v>
      </c>
      <c r="C786" s="11">
        <v>66</v>
      </c>
      <c r="D786" s="11" t="s">
        <v>41</v>
      </c>
      <c r="E786" s="11" t="s">
        <v>42</v>
      </c>
      <c r="F786" s="11" t="s">
        <v>59</v>
      </c>
      <c r="G786" s="11" t="s">
        <v>55</v>
      </c>
      <c r="H786" s="11" t="s">
        <v>45</v>
      </c>
      <c r="I786" s="11" t="s">
        <v>46</v>
      </c>
      <c r="J786" s="11">
        <v>0.57999999999999996</v>
      </c>
      <c r="K786" s="12">
        <v>44957</v>
      </c>
      <c r="L786" s="13" t="str" cm="1">
        <f t="array" ref="L786">_xlfn.IFS(
  OR(ISBLANK(A786),ISBLANK(C786),ISBLANK(J786)),"Missing Value",
  OR(C786&lt;18,C786&gt;120),"Review – Out of Range (Age)",
  J786&lt;0,"Review – Out of Range (Risk Score)",
  TRUE,"OK"
)</f>
        <v>OK</v>
      </c>
    </row>
    <row r="787" spans="1:12" ht="16.8" x14ac:dyDescent="0.3">
      <c r="A787" s="14" t="s">
        <v>1625</v>
      </c>
      <c r="B787" s="14" t="s">
        <v>1626</v>
      </c>
      <c r="C787" s="14">
        <v>64</v>
      </c>
      <c r="D787" s="14" t="s">
        <v>41</v>
      </c>
      <c r="E787" s="14" t="s">
        <v>42</v>
      </c>
      <c r="F787" s="14" t="s">
        <v>43</v>
      </c>
      <c r="G787" s="14" t="s">
        <v>94</v>
      </c>
      <c r="H787" s="14" t="s">
        <v>46</v>
      </c>
      <c r="I787" s="14" t="s">
        <v>46</v>
      </c>
      <c r="J787" s="14">
        <v>0.62</v>
      </c>
      <c r="K787" s="15">
        <v>43124</v>
      </c>
      <c r="L787" s="13" t="str" cm="1">
        <f t="array" ref="L787">_xlfn.IFS(
  OR(ISBLANK(A787),ISBLANK(C787),ISBLANK(J787)),"Missing Value",
  OR(C787&lt;18,C787&gt;120),"Review – Out of Range (Age)",
  J787&lt;0,"Review – Out of Range (Risk Score)",
  TRUE,"OK"
)</f>
        <v>OK</v>
      </c>
    </row>
    <row r="788" spans="1:12" ht="16.8" x14ac:dyDescent="0.3">
      <c r="A788" s="11" t="s">
        <v>1627</v>
      </c>
      <c r="B788" s="11" t="s">
        <v>1628</v>
      </c>
      <c r="C788" s="11">
        <v>67</v>
      </c>
      <c r="D788" s="11" t="s">
        <v>41</v>
      </c>
      <c r="E788" s="11" t="s">
        <v>50</v>
      </c>
      <c r="F788" s="11" t="s">
        <v>65</v>
      </c>
      <c r="G788" s="11" t="s">
        <v>109</v>
      </c>
      <c r="H788" s="11" t="s">
        <v>46</v>
      </c>
      <c r="I788" s="11" t="s">
        <v>45</v>
      </c>
      <c r="J788" s="11">
        <v>0.54</v>
      </c>
      <c r="K788" s="12">
        <v>43741</v>
      </c>
      <c r="L788" s="13" t="str" cm="1">
        <f t="array" ref="L788">_xlfn.IFS(
  OR(ISBLANK(A788),ISBLANK(C788),ISBLANK(J788)),"Missing Value",
  OR(C788&lt;18,C788&gt;120),"Review – Out of Range (Age)",
  J788&lt;0,"Review – Out of Range (Risk Score)",
  TRUE,"OK"
)</f>
        <v>OK</v>
      </c>
    </row>
    <row r="789" spans="1:12" ht="16.8" x14ac:dyDescent="0.3">
      <c r="A789" s="14" t="s">
        <v>1629</v>
      </c>
      <c r="B789" s="14" t="s">
        <v>1630</v>
      </c>
      <c r="C789" s="14">
        <v>18</v>
      </c>
      <c r="D789" s="14" t="s">
        <v>41</v>
      </c>
      <c r="E789" s="14" t="s">
        <v>50</v>
      </c>
      <c r="F789" s="14" t="s">
        <v>59</v>
      </c>
      <c r="G789" s="14" t="s">
        <v>60</v>
      </c>
      <c r="H789" s="14" t="s">
        <v>45</v>
      </c>
      <c r="I789" s="14" t="s">
        <v>46</v>
      </c>
      <c r="J789" s="14">
        <v>0.65</v>
      </c>
      <c r="K789" s="15">
        <v>43101</v>
      </c>
      <c r="L789" s="13" t="str" cm="1">
        <f t="array" ref="L789">_xlfn.IFS(
  OR(ISBLANK(A789),ISBLANK(C789),ISBLANK(J789)),"Missing Value",
  OR(C789&lt;18,C789&gt;120),"Review – Out of Range (Age)",
  J789&lt;0,"Review – Out of Range (Risk Score)",
  TRUE,"OK"
)</f>
        <v>OK</v>
      </c>
    </row>
    <row r="790" spans="1:12" ht="16.8" x14ac:dyDescent="0.3">
      <c r="A790" s="11" t="s">
        <v>1631</v>
      </c>
      <c r="B790" s="11" t="s">
        <v>1632</v>
      </c>
      <c r="C790" s="11">
        <v>69</v>
      </c>
      <c r="D790" s="11" t="s">
        <v>49</v>
      </c>
      <c r="E790" s="11" t="s">
        <v>42</v>
      </c>
      <c r="F790" s="11" t="s">
        <v>59</v>
      </c>
      <c r="G790" s="11" t="s">
        <v>109</v>
      </c>
      <c r="H790" s="11" t="s">
        <v>45</v>
      </c>
      <c r="I790" s="11" t="s">
        <v>45</v>
      </c>
      <c r="J790" s="11">
        <v>0.49</v>
      </c>
      <c r="K790" s="12">
        <v>44206</v>
      </c>
      <c r="L790" s="13" t="str" cm="1">
        <f t="array" ref="L790">_xlfn.IFS(
  OR(ISBLANK(A790),ISBLANK(C790),ISBLANK(J790)),"Missing Value",
  OR(C790&lt;18,C790&gt;120),"Review – Out of Range (Age)",
  J790&lt;0,"Review – Out of Range (Risk Score)",
  TRUE,"OK"
)</f>
        <v>OK</v>
      </c>
    </row>
    <row r="791" spans="1:12" ht="16.8" x14ac:dyDescent="0.3">
      <c r="A791" s="14" t="s">
        <v>1633</v>
      </c>
      <c r="B791" s="14" t="s">
        <v>1634</v>
      </c>
      <c r="C791" s="14">
        <v>39</v>
      </c>
      <c r="D791" s="14" t="s">
        <v>49</v>
      </c>
      <c r="E791" s="14" t="s">
        <v>58</v>
      </c>
      <c r="F791" s="14" t="s">
        <v>51</v>
      </c>
      <c r="G791" s="14" t="s">
        <v>60</v>
      </c>
      <c r="H791" s="14" t="s">
        <v>45</v>
      </c>
      <c r="I791" s="14" t="s">
        <v>46</v>
      </c>
      <c r="J791" s="14">
        <v>0.41</v>
      </c>
      <c r="K791" s="15">
        <v>44210</v>
      </c>
      <c r="L791" s="13" t="str" cm="1">
        <f t="array" ref="L791">_xlfn.IFS(
  OR(ISBLANK(A791),ISBLANK(C791),ISBLANK(J791)),"Missing Value",
  OR(C791&lt;18,C791&gt;120),"Review – Out of Range (Age)",
  J791&lt;0,"Review – Out of Range (Risk Score)",
  TRUE,"OK"
)</f>
        <v>OK</v>
      </c>
    </row>
    <row r="792" spans="1:12" ht="16.8" x14ac:dyDescent="0.3">
      <c r="A792" s="11" t="s">
        <v>1635</v>
      </c>
      <c r="B792" s="11" t="s">
        <v>1636</v>
      </c>
      <c r="C792" s="11">
        <v>51</v>
      </c>
      <c r="D792" s="11" t="s">
        <v>41</v>
      </c>
      <c r="E792" s="11" t="s">
        <v>58</v>
      </c>
      <c r="F792" s="11" t="s">
        <v>51</v>
      </c>
      <c r="G792" s="11" t="s">
        <v>52</v>
      </c>
      <c r="H792" s="11" t="s">
        <v>45</v>
      </c>
      <c r="I792" s="11" t="s">
        <v>46</v>
      </c>
      <c r="J792" s="11">
        <v>0.38</v>
      </c>
      <c r="K792" s="12">
        <v>43363</v>
      </c>
      <c r="L792" s="13" t="str" cm="1">
        <f t="array" ref="L792">_xlfn.IFS(
  OR(ISBLANK(A792),ISBLANK(C792),ISBLANK(J792)),"Missing Value",
  OR(C792&lt;18,C792&gt;120),"Review – Out of Range (Age)",
  J792&lt;0,"Review – Out of Range (Risk Score)",
  TRUE,"OK"
)</f>
        <v>OK</v>
      </c>
    </row>
    <row r="793" spans="1:12" ht="16.8" x14ac:dyDescent="0.3">
      <c r="A793" s="14" t="s">
        <v>1637</v>
      </c>
      <c r="B793" s="14" t="s">
        <v>1638</v>
      </c>
      <c r="C793" s="14">
        <v>68</v>
      </c>
      <c r="D793" s="14" t="s">
        <v>41</v>
      </c>
      <c r="E793" s="14" t="s">
        <v>42</v>
      </c>
      <c r="F793" s="14" t="s">
        <v>65</v>
      </c>
      <c r="G793" s="14" t="s">
        <v>52</v>
      </c>
      <c r="H793" s="14" t="s">
        <v>46</v>
      </c>
      <c r="I793" s="14" t="s">
        <v>46</v>
      </c>
      <c r="J793" s="14">
        <v>0.71</v>
      </c>
      <c r="K793" s="15">
        <v>44394</v>
      </c>
      <c r="L793" s="13" t="str" cm="1">
        <f t="array" ref="L793">_xlfn.IFS(
  OR(ISBLANK(A793),ISBLANK(C793),ISBLANK(J793)),"Missing Value",
  OR(C793&lt;18,C793&gt;120),"Review – Out of Range (Age)",
  J793&lt;0,"Review – Out of Range (Risk Score)",
  TRUE,"OK"
)</f>
        <v>OK</v>
      </c>
    </row>
    <row r="794" spans="1:12" ht="16.8" x14ac:dyDescent="0.3">
      <c r="A794" s="11" t="s">
        <v>1639</v>
      </c>
      <c r="B794" s="11" t="s">
        <v>1640</v>
      </c>
      <c r="C794" s="11">
        <v>30</v>
      </c>
      <c r="D794" s="11" t="s">
        <v>41</v>
      </c>
      <c r="E794" s="11" t="s">
        <v>42</v>
      </c>
      <c r="F794" s="11" t="s">
        <v>51</v>
      </c>
      <c r="G794" s="11" t="s">
        <v>109</v>
      </c>
      <c r="H794" s="11" t="s">
        <v>45</v>
      </c>
      <c r="I794" s="11" t="s">
        <v>45</v>
      </c>
      <c r="J794" s="11">
        <v>0.64</v>
      </c>
      <c r="K794" s="12">
        <v>43339</v>
      </c>
      <c r="L794" s="13" t="str" cm="1">
        <f t="array" ref="L794">_xlfn.IFS(
  OR(ISBLANK(A794),ISBLANK(C794),ISBLANK(J794)),"Missing Value",
  OR(C794&lt;18,C794&gt;120),"Review – Out of Range (Age)",
  J794&lt;0,"Review – Out of Range (Risk Score)",
  TRUE,"OK"
)</f>
        <v>OK</v>
      </c>
    </row>
    <row r="795" spans="1:12" ht="16.8" x14ac:dyDescent="0.3">
      <c r="A795" s="14" t="s">
        <v>1641</v>
      </c>
      <c r="B795" s="14" t="s">
        <v>1642</v>
      </c>
      <c r="C795" s="14">
        <v>53</v>
      </c>
      <c r="D795" s="14" t="s">
        <v>49</v>
      </c>
      <c r="E795" s="14" t="s">
        <v>58</v>
      </c>
      <c r="F795" s="14" t="s">
        <v>59</v>
      </c>
      <c r="G795" s="14" t="s">
        <v>52</v>
      </c>
      <c r="H795" s="14" t="s">
        <v>45</v>
      </c>
      <c r="I795" s="14" t="s">
        <v>45</v>
      </c>
      <c r="J795" s="14">
        <v>0.64</v>
      </c>
      <c r="K795" s="15">
        <v>43134</v>
      </c>
      <c r="L795" s="13" t="str" cm="1">
        <f t="array" ref="L795">_xlfn.IFS(
  OR(ISBLANK(A795),ISBLANK(C795),ISBLANK(J795)),"Missing Value",
  OR(C795&lt;18,C795&gt;120),"Review – Out of Range (Age)",
  J795&lt;0,"Review – Out of Range (Risk Score)",
  TRUE,"OK"
)</f>
        <v>OK</v>
      </c>
    </row>
    <row r="796" spans="1:12" ht="16.8" x14ac:dyDescent="0.3">
      <c r="A796" s="11" t="s">
        <v>1643</v>
      </c>
      <c r="B796" s="11" t="s">
        <v>1644</v>
      </c>
      <c r="C796" s="11">
        <v>40</v>
      </c>
      <c r="D796" s="11" t="s">
        <v>49</v>
      </c>
      <c r="E796" s="11" t="s">
        <v>42</v>
      </c>
      <c r="F796" s="11" t="s">
        <v>59</v>
      </c>
      <c r="G796" s="11" t="s">
        <v>52</v>
      </c>
      <c r="H796" s="11" t="s">
        <v>45</v>
      </c>
      <c r="I796" s="11" t="s">
        <v>45</v>
      </c>
      <c r="J796" s="11">
        <v>0.62</v>
      </c>
      <c r="K796" s="12">
        <v>43334</v>
      </c>
      <c r="L796" s="13" t="str" cm="1">
        <f t="array" ref="L796">_xlfn.IFS(
  OR(ISBLANK(A796),ISBLANK(C796),ISBLANK(J796)),"Missing Value",
  OR(C796&lt;18,C796&gt;120),"Review – Out of Range (Age)",
  J796&lt;0,"Review – Out of Range (Risk Score)",
  TRUE,"OK"
)</f>
        <v>OK</v>
      </c>
    </row>
    <row r="797" spans="1:12" ht="16.8" x14ac:dyDescent="0.3">
      <c r="A797" s="14" t="s">
        <v>1645</v>
      </c>
      <c r="B797" s="14" t="s">
        <v>1646</v>
      </c>
      <c r="C797" s="14">
        <v>31</v>
      </c>
      <c r="D797" s="14" t="s">
        <v>49</v>
      </c>
      <c r="E797" s="14" t="s">
        <v>50</v>
      </c>
      <c r="F797" s="14" t="s">
        <v>65</v>
      </c>
      <c r="G797" s="14" t="s">
        <v>94</v>
      </c>
      <c r="H797" s="14" t="s">
        <v>45</v>
      </c>
      <c r="I797" s="14" t="s">
        <v>46</v>
      </c>
      <c r="J797" s="14">
        <v>0.7</v>
      </c>
      <c r="K797" s="15">
        <v>45116</v>
      </c>
      <c r="L797" s="13" t="str" cm="1">
        <f t="array" ref="L797">_xlfn.IFS(
  OR(ISBLANK(A797),ISBLANK(C797),ISBLANK(J797)),"Missing Value",
  OR(C797&lt;18,C797&gt;120),"Review – Out of Range (Age)",
  J797&lt;0,"Review – Out of Range (Risk Score)",
  TRUE,"OK"
)</f>
        <v>OK</v>
      </c>
    </row>
    <row r="798" spans="1:12" ht="16.8" x14ac:dyDescent="0.3">
      <c r="A798" s="11" t="s">
        <v>1647</v>
      </c>
      <c r="B798" s="11" t="s">
        <v>1648</v>
      </c>
      <c r="C798" s="11">
        <v>25</v>
      </c>
      <c r="D798" s="11" t="s">
        <v>49</v>
      </c>
      <c r="E798" s="11" t="s">
        <v>58</v>
      </c>
      <c r="F798" s="11" t="s">
        <v>51</v>
      </c>
      <c r="G798" s="11" t="s">
        <v>94</v>
      </c>
      <c r="H798" s="11" t="s">
        <v>46</v>
      </c>
      <c r="I798" s="11" t="s">
        <v>45</v>
      </c>
      <c r="J798" s="11">
        <v>0.59</v>
      </c>
      <c r="K798" s="12">
        <v>45144</v>
      </c>
      <c r="L798" s="13" t="str" cm="1">
        <f t="array" ref="L798">_xlfn.IFS(
  OR(ISBLANK(A798),ISBLANK(C798),ISBLANK(J798)),"Missing Value",
  OR(C798&lt;18,C798&gt;120),"Review – Out of Range (Age)",
  J798&lt;0,"Review – Out of Range (Risk Score)",
  TRUE,"OK"
)</f>
        <v>OK</v>
      </c>
    </row>
    <row r="799" spans="1:12" ht="16.8" x14ac:dyDescent="0.3">
      <c r="A799" s="14" t="s">
        <v>1649</v>
      </c>
      <c r="B799" s="14" t="s">
        <v>1650</v>
      </c>
      <c r="C799" s="14">
        <v>65</v>
      </c>
      <c r="D799" s="14" t="s">
        <v>41</v>
      </c>
      <c r="E799" s="14" t="s">
        <v>42</v>
      </c>
      <c r="F799" s="14" t="s">
        <v>65</v>
      </c>
      <c r="G799" s="14" t="s">
        <v>109</v>
      </c>
      <c r="H799" s="14" t="s">
        <v>46</v>
      </c>
      <c r="I799" s="14" t="s">
        <v>45</v>
      </c>
      <c r="J799" s="14">
        <v>0.75</v>
      </c>
      <c r="K799" s="15">
        <v>43328</v>
      </c>
      <c r="L799" s="13" t="str" cm="1">
        <f t="array" ref="L799">_xlfn.IFS(
  OR(ISBLANK(A799),ISBLANK(C799),ISBLANK(J799)),"Missing Value",
  OR(C799&lt;18,C799&gt;120),"Review – Out of Range (Age)",
  J799&lt;0,"Review – Out of Range (Risk Score)",
  TRUE,"OK"
)</f>
        <v>OK</v>
      </c>
    </row>
    <row r="800" spans="1:12" ht="16.8" x14ac:dyDescent="0.3">
      <c r="A800" s="11" t="s">
        <v>1651</v>
      </c>
      <c r="B800" s="11" t="s">
        <v>1652</v>
      </c>
      <c r="C800" s="11">
        <v>58</v>
      </c>
      <c r="D800" s="11" t="s">
        <v>49</v>
      </c>
      <c r="E800" s="11" t="s">
        <v>50</v>
      </c>
      <c r="F800" s="11" t="s">
        <v>51</v>
      </c>
      <c r="G800" s="11" t="s">
        <v>55</v>
      </c>
      <c r="H800" s="11" t="s">
        <v>45</v>
      </c>
      <c r="I800" s="11" t="s">
        <v>45</v>
      </c>
      <c r="J800" s="11">
        <v>0.56000000000000005</v>
      </c>
      <c r="K800" s="12">
        <v>44551</v>
      </c>
      <c r="L800" s="13" t="str" cm="1">
        <f t="array" ref="L800">_xlfn.IFS(
  OR(ISBLANK(A800),ISBLANK(C800),ISBLANK(J800)),"Missing Value",
  OR(C800&lt;18,C800&gt;120),"Review – Out of Range (Age)",
  J800&lt;0,"Review – Out of Range (Risk Score)",
  TRUE,"OK"
)</f>
        <v>OK</v>
      </c>
    </row>
    <row r="801" spans="1:12" ht="16.8" x14ac:dyDescent="0.3">
      <c r="A801" s="14" t="s">
        <v>1653</v>
      </c>
      <c r="B801" s="14" t="s">
        <v>1654</v>
      </c>
      <c r="C801" s="14">
        <v>59</v>
      </c>
      <c r="D801" s="14" t="s">
        <v>49</v>
      </c>
      <c r="E801" s="14" t="s">
        <v>42</v>
      </c>
      <c r="F801" s="14" t="s">
        <v>59</v>
      </c>
      <c r="G801" s="14" t="s">
        <v>44</v>
      </c>
      <c r="H801" s="14" t="s">
        <v>45</v>
      </c>
      <c r="I801" s="14" t="s">
        <v>45</v>
      </c>
      <c r="J801" s="14">
        <v>0.55000000000000004</v>
      </c>
      <c r="K801" s="15">
        <v>44436</v>
      </c>
      <c r="L801" s="13" t="str" cm="1">
        <f t="array" ref="L801">_xlfn.IFS(
  OR(ISBLANK(A801),ISBLANK(C801),ISBLANK(J801)),"Missing Value",
  OR(C801&lt;18,C801&gt;120),"Review – Out of Range (Age)",
  J801&lt;0,"Review – Out of Range (Risk Score)",
  TRUE,"OK"
)</f>
        <v>OK</v>
      </c>
    </row>
    <row r="802" spans="1:12" ht="16.8" x14ac:dyDescent="0.3">
      <c r="A802" s="11" t="s">
        <v>1655</v>
      </c>
      <c r="B802" s="11" t="s">
        <v>1656</v>
      </c>
      <c r="C802" s="11">
        <v>26</v>
      </c>
      <c r="D802" s="11" t="s">
        <v>49</v>
      </c>
      <c r="E802" s="11" t="s">
        <v>50</v>
      </c>
      <c r="F802" s="11" t="s">
        <v>51</v>
      </c>
      <c r="G802" s="11" t="s">
        <v>109</v>
      </c>
      <c r="H802" s="11" t="s">
        <v>46</v>
      </c>
      <c r="I802" s="11" t="s">
        <v>45</v>
      </c>
      <c r="J802" s="11">
        <v>0.5</v>
      </c>
      <c r="K802" s="12">
        <v>43279</v>
      </c>
      <c r="L802" s="13" t="str" cm="1">
        <f t="array" ref="L802">_xlfn.IFS(
  OR(ISBLANK(A802),ISBLANK(C802),ISBLANK(J802)),"Missing Value",
  OR(C802&lt;18,C802&gt;120),"Review – Out of Range (Age)",
  J802&lt;0,"Review – Out of Range (Risk Score)",
  TRUE,"OK"
)</f>
        <v>OK</v>
      </c>
    </row>
    <row r="803" spans="1:12" ht="16.8" x14ac:dyDescent="0.3">
      <c r="A803" s="14" t="s">
        <v>1657</v>
      </c>
      <c r="B803" s="14" t="s">
        <v>1658</v>
      </c>
      <c r="C803" s="14">
        <v>39</v>
      </c>
      <c r="D803" s="14" t="s">
        <v>49</v>
      </c>
      <c r="E803" s="14" t="s">
        <v>50</v>
      </c>
      <c r="F803" s="14" t="s">
        <v>65</v>
      </c>
      <c r="G803" s="14" t="s">
        <v>109</v>
      </c>
      <c r="H803" s="14" t="s">
        <v>45</v>
      </c>
      <c r="I803" s="14" t="s">
        <v>46</v>
      </c>
      <c r="J803" s="14">
        <v>0.39</v>
      </c>
      <c r="K803" s="15">
        <v>44302</v>
      </c>
      <c r="L803" s="13" t="str" cm="1">
        <f t="array" ref="L803">_xlfn.IFS(
  OR(ISBLANK(A803),ISBLANK(C803),ISBLANK(J803)),"Missing Value",
  OR(C803&lt;18,C803&gt;120),"Review – Out of Range (Age)",
  J803&lt;0,"Review – Out of Range (Risk Score)",
  TRUE,"OK"
)</f>
        <v>OK</v>
      </c>
    </row>
    <row r="804" spans="1:12" ht="16.8" x14ac:dyDescent="0.3">
      <c r="A804" s="11" t="s">
        <v>1659</v>
      </c>
      <c r="B804" s="11" t="s">
        <v>1660</v>
      </c>
      <c r="C804" s="11">
        <v>36</v>
      </c>
      <c r="D804" s="11" t="s">
        <v>41</v>
      </c>
      <c r="E804" s="11" t="s">
        <v>58</v>
      </c>
      <c r="F804" s="11" t="s">
        <v>43</v>
      </c>
      <c r="G804" s="11" t="s">
        <v>94</v>
      </c>
      <c r="H804" s="11" t="s">
        <v>46</v>
      </c>
      <c r="I804" s="11" t="s">
        <v>45</v>
      </c>
      <c r="J804" s="11">
        <v>0.35</v>
      </c>
      <c r="K804" s="12">
        <v>43144</v>
      </c>
      <c r="L804" s="13" t="str" cm="1">
        <f t="array" ref="L804">_xlfn.IFS(
  OR(ISBLANK(A804),ISBLANK(C804),ISBLANK(J804)),"Missing Value",
  OR(C804&lt;18,C804&gt;120),"Review – Out of Range (Age)",
  J804&lt;0,"Review – Out of Range (Risk Score)",
  TRUE,"OK"
)</f>
        <v>OK</v>
      </c>
    </row>
    <row r="805" spans="1:12" ht="16.8" x14ac:dyDescent="0.3">
      <c r="A805" s="14" t="s">
        <v>1661</v>
      </c>
      <c r="B805" s="14" t="s">
        <v>1662</v>
      </c>
      <c r="C805" s="14">
        <v>69</v>
      </c>
      <c r="D805" s="14" t="s">
        <v>49</v>
      </c>
      <c r="E805" s="14" t="s">
        <v>42</v>
      </c>
      <c r="F805" s="14" t="s">
        <v>59</v>
      </c>
      <c r="G805" s="14" t="s">
        <v>109</v>
      </c>
      <c r="H805" s="14" t="s">
        <v>45</v>
      </c>
      <c r="I805" s="14" t="s">
        <v>45</v>
      </c>
      <c r="J805" s="14">
        <v>0.5</v>
      </c>
      <c r="K805" s="15">
        <v>44784</v>
      </c>
      <c r="L805" s="13" t="str" cm="1">
        <f t="array" ref="L805">_xlfn.IFS(
  OR(ISBLANK(A805),ISBLANK(C805),ISBLANK(J805)),"Missing Value",
  OR(C805&lt;18,C805&gt;120),"Review – Out of Range (Age)",
  J805&lt;0,"Review – Out of Range (Risk Score)",
  TRUE,"OK"
)</f>
        <v>OK</v>
      </c>
    </row>
    <row r="806" spans="1:12" ht="16.8" x14ac:dyDescent="0.3">
      <c r="A806" s="11" t="s">
        <v>1663</v>
      </c>
      <c r="B806" s="11" t="s">
        <v>1664</v>
      </c>
      <c r="C806" s="11">
        <v>53</v>
      </c>
      <c r="D806" s="11" t="s">
        <v>41</v>
      </c>
      <c r="E806" s="11" t="s">
        <v>50</v>
      </c>
      <c r="F806" s="11" t="s">
        <v>51</v>
      </c>
      <c r="G806" s="11" t="s">
        <v>52</v>
      </c>
      <c r="H806" s="11" t="s">
        <v>45</v>
      </c>
      <c r="I806" s="11" t="s">
        <v>46</v>
      </c>
      <c r="J806" s="11">
        <v>0.2</v>
      </c>
      <c r="K806" s="12">
        <v>44981</v>
      </c>
      <c r="L806" s="13" t="str" cm="1">
        <f t="array" ref="L806">_xlfn.IFS(
  OR(ISBLANK(A806),ISBLANK(C806),ISBLANK(J806)),"Missing Value",
  OR(C806&lt;18,C806&gt;120),"Review – Out of Range (Age)",
  J806&lt;0,"Review – Out of Range (Risk Score)",
  TRUE,"OK"
)</f>
        <v>OK</v>
      </c>
    </row>
    <row r="807" spans="1:12" ht="16.8" x14ac:dyDescent="0.3">
      <c r="A807" s="14" t="s">
        <v>1665</v>
      </c>
      <c r="B807" s="14" t="s">
        <v>1666</v>
      </c>
      <c r="C807" s="14">
        <v>21</v>
      </c>
      <c r="D807" s="14" t="s">
        <v>41</v>
      </c>
      <c r="E807" s="14" t="s">
        <v>50</v>
      </c>
      <c r="F807" s="14" t="s">
        <v>43</v>
      </c>
      <c r="G807" s="14" t="s">
        <v>52</v>
      </c>
      <c r="H807" s="14" t="s">
        <v>46</v>
      </c>
      <c r="I807" s="14" t="s">
        <v>46</v>
      </c>
      <c r="J807" s="14">
        <v>0.53</v>
      </c>
      <c r="K807" s="15">
        <v>43123</v>
      </c>
      <c r="L807" s="13" t="str" cm="1">
        <f t="array" ref="L807">_xlfn.IFS(
  OR(ISBLANK(A807),ISBLANK(C807),ISBLANK(J807)),"Missing Value",
  OR(C807&lt;18,C807&gt;120),"Review – Out of Range (Age)",
  J807&lt;0,"Review – Out of Range (Risk Score)",
  TRUE,"OK"
)</f>
        <v>OK</v>
      </c>
    </row>
    <row r="808" spans="1:12" ht="16.8" x14ac:dyDescent="0.3">
      <c r="A808" s="11" t="s">
        <v>1667</v>
      </c>
      <c r="B808" s="11" t="s">
        <v>1668</v>
      </c>
      <c r="C808" s="11">
        <v>41</v>
      </c>
      <c r="D808" s="11" t="s">
        <v>49</v>
      </c>
      <c r="E808" s="11" t="s">
        <v>58</v>
      </c>
      <c r="F808" s="11" t="s">
        <v>51</v>
      </c>
      <c r="G808" s="11" t="s">
        <v>109</v>
      </c>
      <c r="H808" s="11" t="s">
        <v>45</v>
      </c>
      <c r="I808" s="11" t="s">
        <v>45</v>
      </c>
      <c r="J808" s="11">
        <v>0.95</v>
      </c>
      <c r="K808" s="12">
        <v>45076</v>
      </c>
      <c r="L808" s="13" t="str" cm="1">
        <f t="array" ref="L808">_xlfn.IFS(
  OR(ISBLANK(A808),ISBLANK(C808),ISBLANK(J808)),"Missing Value",
  OR(C808&lt;18,C808&gt;120),"Review – Out of Range (Age)",
  J808&lt;0,"Review – Out of Range (Risk Score)",
  TRUE,"OK"
)</f>
        <v>OK</v>
      </c>
    </row>
    <row r="809" spans="1:12" ht="16.8" x14ac:dyDescent="0.3">
      <c r="A809" s="14" t="s">
        <v>1669</v>
      </c>
      <c r="B809" s="14" t="s">
        <v>1670</v>
      </c>
      <c r="C809" s="14">
        <v>29</v>
      </c>
      <c r="D809" s="14" t="s">
        <v>41</v>
      </c>
      <c r="E809" s="14" t="s">
        <v>58</v>
      </c>
      <c r="F809" s="14" t="s">
        <v>43</v>
      </c>
      <c r="G809" s="14" t="s">
        <v>44</v>
      </c>
      <c r="H809" s="14" t="s">
        <v>46</v>
      </c>
      <c r="I809" s="14" t="s">
        <v>46</v>
      </c>
      <c r="J809" s="14">
        <v>0.33</v>
      </c>
      <c r="K809" s="15">
        <v>43753</v>
      </c>
      <c r="L809" s="13" t="str" cm="1">
        <f t="array" ref="L809">_xlfn.IFS(
  OR(ISBLANK(A809),ISBLANK(C809),ISBLANK(J809)),"Missing Value",
  OR(C809&lt;18,C809&gt;120),"Review – Out of Range (Age)",
  J809&lt;0,"Review – Out of Range (Risk Score)",
  TRUE,"OK"
)</f>
        <v>OK</v>
      </c>
    </row>
    <row r="810" spans="1:12" ht="16.8" x14ac:dyDescent="0.3">
      <c r="A810" s="11" t="s">
        <v>1671</v>
      </c>
      <c r="B810" s="11" t="s">
        <v>1672</v>
      </c>
      <c r="C810" s="11">
        <v>49</v>
      </c>
      <c r="D810" s="11" t="s">
        <v>41</v>
      </c>
      <c r="E810" s="11" t="s">
        <v>50</v>
      </c>
      <c r="F810" s="11" t="s">
        <v>59</v>
      </c>
      <c r="G810" s="11" t="s">
        <v>52</v>
      </c>
      <c r="H810" s="11" t="s">
        <v>46</v>
      </c>
      <c r="I810" s="11" t="s">
        <v>45</v>
      </c>
      <c r="J810" s="11">
        <v>0.13</v>
      </c>
      <c r="K810" s="12">
        <v>43941</v>
      </c>
      <c r="L810" s="13" t="str" cm="1">
        <f t="array" ref="L810">_xlfn.IFS(
  OR(ISBLANK(A810),ISBLANK(C810),ISBLANK(J810)),"Missing Value",
  OR(C810&lt;18,C810&gt;120),"Review – Out of Range (Age)",
  J810&lt;0,"Review – Out of Range (Risk Score)",
  TRUE,"OK"
)</f>
        <v>OK</v>
      </c>
    </row>
    <row r="811" spans="1:12" ht="16.8" x14ac:dyDescent="0.3">
      <c r="A811" s="14" t="s">
        <v>1673</v>
      </c>
      <c r="B811" s="14" t="s">
        <v>1674</v>
      </c>
      <c r="C811" s="14">
        <v>36</v>
      </c>
      <c r="D811" s="14" t="s">
        <v>49</v>
      </c>
      <c r="E811" s="14" t="s">
        <v>58</v>
      </c>
      <c r="F811" s="14" t="s">
        <v>65</v>
      </c>
      <c r="G811" s="14" t="s">
        <v>94</v>
      </c>
      <c r="H811" s="14" t="s">
        <v>46</v>
      </c>
      <c r="I811" s="14" t="s">
        <v>46</v>
      </c>
      <c r="J811" s="14">
        <v>0.43</v>
      </c>
      <c r="K811" s="15">
        <v>43799</v>
      </c>
      <c r="L811" s="13" t="str" cm="1">
        <f t="array" ref="L811">_xlfn.IFS(
  OR(ISBLANK(A811),ISBLANK(C811),ISBLANK(J811)),"Missing Value",
  OR(C811&lt;18,C811&gt;120),"Review – Out of Range (Age)",
  J811&lt;0,"Review – Out of Range (Risk Score)",
  TRUE,"OK"
)</f>
        <v>OK</v>
      </c>
    </row>
    <row r="812" spans="1:12" ht="16.8" x14ac:dyDescent="0.3">
      <c r="A812" s="11" t="s">
        <v>1675</v>
      </c>
      <c r="B812" s="11" t="s">
        <v>1676</v>
      </c>
      <c r="C812" s="11">
        <v>26</v>
      </c>
      <c r="D812" s="11" t="s">
        <v>41</v>
      </c>
      <c r="E812" s="11" t="s">
        <v>42</v>
      </c>
      <c r="F812" s="11" t="s">
        <v>59</v>
      </c>
      <c r="G812" s="11" t="s">
        <v>44</v>
      </c>
      <c r="H812" s="11" t="s">
        <v>46</v>
      </c>
      <c r="I812" s="11" t="s">
        <v>46</v>
      </c>
      <c r="J812" s="11">
        <v>0.41</v>
      </c>
      <c r="K812" s="12">
        <v>43257</v>
      </c>
      <c r="L812" s="13" t="str" cm="1">
        <f t="array" ref="L812">_xlfn.IFS(
  OR(ISBLANK(A812),ISBLANK(C812),ISBLANK(J812)),"Missing Value",
  OR(C812&lt;18,C812&gt;120),"Review – Out of Range (Age)",
  J812&lt;0,"Review – Out of Range (Risk Score)",
  TRUE,"OK"
)</f>
        <v>OK</v>
      </c>
    </row>
    <row r="813" spans="1:12" ht="16.8" x14ac:dyDescent="0.3">
      <c r="A813" s="14" t="s">
        <v>1677</v>
      </c>
      <c r="B813" s="14" t="s">
        <v>1678</v>
      </c>
      <c r="C813" s="14">
        <v>52</v>
      </c>
      <c r="D813" s="14" t="s">
        <v>41</v>
      </c>
      <c r="E813" s="14" t="s">
        <v>58</v>
      </c>
      <c r="F813" s="14" t="s">
        <v>43</v>
      </c>
      <c r="G813" s="14" t="s">
        <v>44</v>
      </c>
      <c r="H813" s="14" t="s">
        <v>46</v>
      </c>
      <c r="I813" s="14" t="s">
        <v>45</v>
      </c>
      <c r="J813" s="14">
        <v>0.45</v>
      </c>
      <c r="K813" s="15">
        <v>44794</v>
      </c>
      <c r="L813" s="13" t="str" cm="1">
        <f t="array" ref="L813">_xlfn.IFS(
  OR(ISBLANK(A813),ISBLANK(C813),ISBLANK(J813)),"Missing Value",
  OR(C813&lt;18,C813&gt;120),"Review – Out of Range (Age)",
  J813&lt;0,"Review – Out of Range (Risk Score)",
  TRUE,"OK"
)</f>
        <v>OK</v>
      </c>
    </row>
    <row r="814" spans="1:12" ht="16.8" x14ac:dyDescent="0.3">
      <c r="A814" s="11" t="s">
        <v>1679</v>
      </c>
      <c r="B814" s="11" t="s">
        <v>1680</v>
      </c>
      <c r="C814" s="11">
        <v>29</v>
      </c>
      <c r="D814" s="11" t="s">
        <v>41</v>
      </c>
      <c r="E814" s="11" t="s">
        <v>42</v>
      </c>
      <c r="F814" s="11" t="s">
        <v>65</v>
      </c>
      <c r="G814" s="11" t="s">
        <v>60</v>
      </c>
      <c r="H814" s="11" t="s">
        <v>45</v>
      </c>
      <c r="I814" s="11" t="s">
        <v>45</v>
      </c>
      <c r="J814" s="11">
        <v>0.22</v>
      </c>
      <c r="K814" s="12">
        <v>43871</v>
      </c>
      <c r="L814" s="13" t="str" cm="1">
        <f t="array" ref="L814">_xlfn.IFS(
  OR(ISBLANK(A814),ISBLANK(C814),ISBLANK(J814)),"Missing Value",
  OR(C814&lt;18,C814&gt;120),"Review – Out of Range (Age)",
  J814&lt;0,"Review – Out of Range (Risk Score)",
  TRUE,"OK"
)</f>
        <v>OK</v>
      </c>
    </row>
    <row r="815" spans="1:12" ht="16.8" x14ac:dyDescent="0.3">
      <c r="A815" s="14" t="s">
        <v>1681</v>
      </c>
      <c r="B815" s="14" t="s">
        <v>1682</v>
      </c>
      <c r="C815" s="14">
        <v>52</v>
      </c>
      <c r="D815" s="14" t="s">
        <v>41</v>
      </c>
      <c r="E815" s="14" t="s">
        <v>42</v>
      </c>
      <c r="F815" s="14" t="s">
        <v>59</v>
      </c>
      <c r="G815" s="14" t="s">
        <v>60</v>
      </c>
      <c r="H815" s="14" t="s">
        <v>45</v>
      </c>
      <c r="I815" s="14" t="s">
        <v>45</v>
      </c>
      <c r="J815" s="14">
        <v>0.35</v>
      </c>
      <c r="K815" s="15">
        <v>44573</v>
      </c>
      <c r="L815" s="13" t="str" cm="1">
        <f t="array" ref="L815">_xlfn.IFS(
  OR(ISBLANK(A815),ISBLANK(C815),ISBLANK(J815)),"Missing Value",
  OR(C815&lt;18,C815&gt;120),"Review – Out of Range (Age)",
  J815&lt;0,"Review – Out of Range (Risk Score)",
  TRUE,"OK"
)</f>
        <v>OK</v>
      </c>
    </row>
    <row r="816" spans="1:12" ht="16.8" x14ac:dyDescent="0.3">
      <c r="A816" s="11" t="s">
        <v>1683</v>
      </c>
      <c r="B816" s="11" t="s">
        <v>1684</v>
      </c>
      <c r="C816" s="11">
        <v>59</v>
      </c>
      <c r="D816" s="11" t="s">
        <v>49</v>
      </c>
      <c r="E816" s="11" t="s">
        <v>42</v>
      </c>
      <c r="F816" s="11" t="s">
        <v>43</v>
      </c>
      <c r="G816" s="11" t="s">
        <v>55</v>
      </c>
      <c r="H816" s="11" t="s">
        <v>46</v>
      </c>
      <c r="I816" s="11" t="s">
        <v>45</v>
      </c>
      <c r="J816" s="11">
        <v>0.57999999999999996</v>
      </c>
      <c r="K816" s="12">
        <v>43581</v>
      </c>
      <c r="L816" s="13" t="str" cm="1">
        <f t="array" ref="L816">_xlfn.IFS(
  OR(ISBLANK(A816),ISBLANK(C816),ISBLANK(J816)),"Missing Value",
  OR(C816&lt;18,C816&gt;120),"Review – Out of Range (Age)",
  J816&lt;0,"Review – Out of Range (Risk Score)",
  TRUE,"OK"
)</f>
        <v>OK</v>
      </c>
    </row>
    <row r="817" spans="1:12" ht="16.8" x14ac:dyDescent="0.3">
      <c r="A817" s="14" t="s">
        <v>1685</v>
      </c>
      <c r="B817" s="14" t="s">
        <v>1686</v>
      </c>
      <c r="C817" s="14">
        <v>36</v>
      </c>
      <c r="D817" s="14" t="s">
        <v>49</v>
      </c>
      <c r="E817" s="14" t="s">
        <v>42</v>
      </c>
      <c r="F817" s="14" t="s">
        <v>59</v>
      </c>
      <c r="G817" s="14" t="s">
        <v>55</v>
      </c>
      <c r="H817" s="14" t="s">
        <v>46</v>
      </c>
      <c r="I817" s="14" t="s">
        <v>45</v>
      </c>
      <c r="J817" s="14">
        <v>0.49</v>
      </c>
      <c r="K817" s="15">
        <v>44864</v>
      </c>
      <c r="L817" s="13" t="str" cm="1">
        <f t="array" ref="L817">_xlfn.IFS(
  OR(ISBLANK(A817),ISBLANK(C817),ISBLANK(J817)),"Missing Value",
  OR(C817&lt;18,C817&gt;120),"Review – Out of Range (Age)",
  J817&lt;0,"Review – Out of Range (Risk Score)",
  TRUE,"OK"
)</f>
        <v>OK</v>
      </c>
    </row>
    <row r="818" spans="1:12" ht="16.8" x14ac:dyDescent="0.3">
      <c r="A818" s="11" t="s">
        <v>1687</v>
      </c>
      <c r="B818" s="11" t="s">
        <v>1688</v>
      </c>
      <c r="C818" s="11">
        <v>66</v>
      </c>
      <c r="D818" s="11" t="s">
        <v>49</v>
      </c>
      <c r="E818" s="11" t="s">
        <v>42</v>
      </c>
      <c r="F818" s="11" t="s">
        <v>43</v>
      </c>
      <c r="G818" s="11" t="s">
        <v>52</v>
      </c>
      <c r="H818" s="11" t="s">
        <v>46</v>
      </c>
      <c r="I818" s="11" t="s">
        <v>45</v>
      </c>
      <c r="J818" s="11">
        <v>0.18</v>
      </c>
      <c r="K818" s="12">
        <v>44628</v>
      </c>
      <c r="L818" s="13" t="str" cm="1">
        <f t="array" ref="L818">_xlfn.IFS(
  OR(ISBLANK(A818),ISBLANK(C818),ISBLANK(J818)),"Missing Value",
  OR(C818&lt;18,C818&gt;120),"Review – Out of Range (Age)",
  J818&lt;0,"Review – Out of Range (Risk Score)",
  TRUE,"OK"
)</f>
        <v>OK</v>
      </c>
    </row>
    <row r="819" spans="1:12" ht="16.8" x14ac:dyDescent="0.3">
      <c r="A819" s="14" t="s">
        <v>1689</v>
      </c>
      <c r="B819" s="14" t="s">
        <v>1690</v>
      </c>
      <c r="C819" s="14">
        <v>51</v>
      </c>
      <c r="D819" s="14" t="s">
        <v>41</v>
      </c>
      <c r="E819" s="14" t="s">
        <v>58</v>
      </c>
      <c r="F819" s="14" t="s">
        <v>65</v>
      </c>
      <c r="G819" s="14" t="s">
        <v>44</v>
      </c>
      <c r="H819" s="14" t="s">
        <v>46</v>
      </c>
      <c r="I819" s="14" t="s">
        <v>45</v>
      </c>
      <c r="J819" s="14">
        <v>0.56999999999999995</v>
      </c>
      <c r="K819" s="15">
        <v>44094</v>
      </c>
      <c r="L819" s="13" t="str" cm="1">
        <f t="array" ref="L819">_xlfn.IFS(
  OR(ISBLANK(A819),ISBLANK(C819),ISBLANK(J819)),"Missing Value",
  OR(C819&lt;18,C819&gt;120),"Review – Out of Range (Age)",
  J819&lt;0,"Review – Out of Range (Risk Score)",
  TRUE,"OK"
)</f>
        <v>OK</v>
      </c>
    </row>
    <row r="820" spans="1:12" ht="16.8" x14ac:dyDescent="0.3">
      <c r="A820" s="11" t="s">
        <v>1691</v>
      </c>
      <c r="B820" s="11" t="s">
        <v>1692</v>
      </c>
      <c r="C820" s="11">
        <v>22</v>
      </c>
      <c r="D820" s="11" t="s">
        <v>41</v>
      </c>
      <c r="E820" s="11" t="s">
        <v>58</v>
      </c>
      <c r="F820" s="11" t="s">
        <v>43</v>
      </c>
      <c r="G820" s="11" t="s">
        <v>55</v>
      </c>
      <c r="H820" s="11" t="s">
        <v>46</v>
      </c>
      <c r="I820" s="11" t="s">
        <v>45</v>
      </c>
      <c r="J820" s="11">
        <v>0.7</v>
      </c>
      <c r="K820" s="12">
        <v>45270</v>
      </c>
      <c r="L820" s="13" t="str" cm="1">
        <f t="array" ref="L820">_xlfn.IFS(
  OR(ISBLANK(A820),ISBLANK(C820),ISBLANK(J820)),"Missing Value",
  OR(C820&lt;18,C820&gt;120),"Review – Out of Range (Age)",
  J820&lt;0,"Review – Out of Range (Risk Score)",
  TRUE,"OK"
)</f>
        <v>OK</v>
      </c>
    </row>
    <row r="821" spans="1:12" ht="16.8" x14ac:dyDescent="0.3">
      <c r="A821" s="14" t="s">
        <v>1693</v>
      </c>
      <c r="B821" s="14" t="s">
        <v>1694</v>
      </c>
      <c r="C821" s="14">
        <v>53</v>
      </c>
      <c r="D821" s="14" t="s">
        <v>49</v>
      </c>
      <c r="E821" s="14" t="s">
        <v>58</v>
      </c>
      <c r="F821" s="14" t="s">
        <v>65</v>
      </c>
      <c r="G821" s="14" t="s">
        <v>44</v>
      </c>
      <c r="H821" s="14" t="s">
        <v>46</v>
      </c>
      <c r="I821" s="14" t="s">
        <v>46</v>
      </c>
      <c r="J821" s="14">
        <v>0.36</v>
      </c>
      <c r="K821" s="15">
        <v>44259</v>
      </c>
      <c r="L821" s="13" t="str" cm="1">
        <f t="array" ref="L821">_xlfn.IFS(
  OR(ISBLANK(A821),ISBLANK(C821),ISBLANK(J821)),"Missing Value",
  OR(C821&lt;18,C821&gt;120),"Review – Out of Range (Age)",
  J821&lt;0,"Review – Out of Range (Risk Score)",
  TRUE,"OK"
)</f>
        <v>OK</v>
      </c>
    </row>
    <row r="822" spans="1:12" ht="16.8" x14ac:dyDescent="0.3">
      <c r="A822" s="11" t="s">
        <v>1695</v>
      </c>
      <c r="B822" s="11" t="s">
        <v>1696</v>
      </c>
      <c r="C822" s="11">
        <v>42</v>
      </c>
      <c r="D822" s="11" t="s">
        <v>41</v>
      </c>
      <c r="E822" s="11" t="s">
        <v>50</v>
      </c>
      <c r="F822" s="11" t="s">
        <v>65</v>
      </c>
      <c r="G822" s="11" t="s">
        <v>55</v>
      </c>
      <c r="H822" s="11" t="s">
        <v>45</v>
      </c>
      <c r="I822" s="11" t="s">
        <v>46</v>
      </c>
      <c r="J822" s="11">
        <v>0.78</v>
      </c>
      <c r="K822" s="12">
        <v>44511</v>
      </c>
      <c r="L822" s="13" t="str" cm="1">
        <f t="array" ref="L822">_xlfn.IFS(
  OR(ISBLANK(A822),ISBLANK(C822),ISBLANK(J822)),"Missing Value",
  OR(C822&lt;18,C822&gt;120),"Review – Out of Range (Age)",
  J822&lt;0,"Review – Out of Range (Risk Score)",
  TRUE,"OK"
)</f>
        <v>OK</v>
      </c>
    </row>
    <row r="823" spans="1:12" ht="16.8" x14ac:dyDescent="0.3">
      <c r="A823" s="14" t="s">
        <v>1697</v>
      </c>
      <c r="B823" s="14" t="s">
        <v>1698</v>
      </c>
      <c r="C823" s="14">
        <v>28</v>
      </c>
      <c r="D823" s="14" t="s">
        <v>49</v>
      </c>
      <c r="E823" s="14" t="s">
        <v>42</v>
      </c>
      <c r="F823" s="14" t="s">
        <v>59</v>
      </c>
      <c r="G823" s="14" t="s">
        <v>55</v>
      </c>
      <c r="H823" s="14" t="s">
        <v>45</v>
      </c>
      <c r="I823" s="14" t="s">
        <v>46</v>
      </c>
      <c r="J823" s="14">
        <v>0.65</v>
      </c>
      <c r="K823" s="15">
        <v>44578</v>
      </c>
      <c r="L823" s="13" t="str" cm="1">
        <f t="array" ref="L823">_xlfn.IFS(
  OR(ISBLANK(A823),ISBLANK(C823),ISBLANK(J823)),"Missing Value",
  OR(C823&lt;18,C823&gt;120),"Review – Out of Range (Age)",
  J823&lt;0,"Review – Out of Range (Risk Score)",
  TRUE,"OK"
)</f>
        <v>OK</v>
      </c>
    </row>
    <row r="824" spans="1:12" ht="16.8" x14ac:dyDescent="0.3">
      <c r="A824" s="11" t="s">
        <v>1699</v>
      </c>
      <c r="B824" s="11" t="s">
        <v>1700</v>
      </c>
      <c r="C824" s="11">
        <v>29</v>
      </c>
      <c r="D824" s="11" t="s">
        <v>41</v>
      </c>
      <c r="E824" s="11" t="s">
        <v>58</v>
      </c>
      <c r="F824" s="11" t="s">
        <v>65</v>
      </c>
      <c r="G824" s="11" t="s">
        <v>55</v>
      </c>
      <c r="H824" s="11" t="s">
        <v>46</v>
      </c>
      <c r="I824" s="11" t="s">
        <v>46</v>
      </c>
      <c r="J824" s="11">
        <v>0.44</v>
      </c>
      <c r="K824" s="12">
        <v>44450</v>
      </c>
      <c r="L824" s="13" t="str" cm="1">
        <f t="array" ref="L824">_xlfn.IFS(
  OR(ISBLANK(A824),ISBLANK(C824),ISBLANK(J824)),"Missing Value",
  OR(C824&lt;18,C824&gt;120),"Review – Out of Range (Age)",
  J824&lt;0,"Review – Out of Range (Risk Score)",
  TRUE,"OK"
)</f>
        <v>OK</v>
      </c>
    </row>
    <row r="825" spans="1:12" ht="16.8" x14ac:dyDescent="0.3">
      <c r="A825" s="14" t="s">
        <v>1701</v>
      </c>
      <c r="B825" s="14" t="s">
        <v>1702</v>
      </c>
      <c r="C825" s="14">
        <v>26</v>
      </c>
      <c r="D825" s="14" t="s">
        <v>41</v>
      </c>
      <c r="E825" s="14" t="s">
        <v>58</v>
      </c>
      <c r="F825" s="14" t="s">
        <v>43</v>
      </c>
      <c r="G825" s="14" t="s">
        <v>55</v>
      </c>
      <c r="H825" s="14" t="s">
        <v>46</v>
      </c>
      <c r="I825" s="14" t="s">
        <v>45</v>
      </c>
      <c r="J825" s="14">
        <v>0.5</v>
      </c>
      <c r="K825" s="15">
        <v>45190</v>
      </c>
      <c r="L825" s="13" t="str" cm="1">
        <f t="array" ref="L825">_xlfn.IFS(
  OR(ISBLANK(A825),ISBLANK(C825),ISBLANK(J825)),"Missing Value",
  OR(C825&lt;18,C825&gt;120),"Review – Out of Range (Age)",
  J825&lt;0,"Review – Out of Range (Risk Score)",
  TRUE,"OK"
)</f>
        <v>OK</v>
      </c>
    </row>
    <row r="826" spans="1:12" ht="16.8" x14ac:dyDescent="0.3">
      <c r="A826" s="11" t="s">
        <v>1703</v>
      </c>
      <c r="B826" s="11" t="s">
        <v>1704</v>
      </c>
      <c r="C826" s="11">
        <v>42</v>
      </c>
      <c r="D826" s="11" t="s">
        <v>49</v>
      </c>
      <c r="E826" s="11" t="s">
        <v>50</v>
      </c>
      <c r="F826" s="11" t="s">
        <v>65</v>
      </c>
      <c r="G826" s="11" t="s">
        <v>55</v>
      </c>
      <c r="H826" s="11" t="s">
        <v>45</v>
      </c>
      <c r="I826" s="11" t="s">
        <v>46</v>
      </c>
      <c r="J826" s="11">
        <v>0.68</v>
      </c>
      <c r="K826" s="12">
        <v>43954</v>
      </c>
      <c r="L826" s="13" t="str" cm="1">
        <f t="array" ref="L826">_xlfn.IFS(
  OR(ISBLANK(A826),ISBLANK(C826),ISBLANK(J826)),"Missing Value",
  OR(C826&lt;18,C826&gt;120),"Review – Out of Range (Age)",
  J826&lt;0,"Review – Out of Range (Risk Score)",
  TRUE,"OK"
)</f>
        <v>OK</v>
      </c>
    </row>
    <row r="827" spans="1:12" ht="16.8" x14ac:dyDescent="0.3">
      <c r="A827" s="14" t="s">
        <v>1705</v>
      </c>
      <c r="B827" s="14" t="s">
        <v>1706</v>
      </c>
      <c r="C827" s="14">
        <v>63</v>
      </c>
      <c r="D827" s="14" t="s">
        <v>41</v>
      </c>
      <c r="E827" s="14" t="s">
        <v>50</v>
      </c>
      <c r="F827" s="14" t="s">
        <v>65</v>
      </c>
      <c r="G827" s="14" t="s">
        <v>55</v>
      </c>
      <c r="H827" s="14" t="s">
        <v>46</v>
      </c>
      <c r="I827" s="14" t="s">
        <v>45</v>
      </c>
      <c r="J827" s="14">
        <v>0.66</v>
      </c>
      <c r="K827" s="15">
        <v>43480</v>
      </c>
      <c r="L827" s="13" t="str" cm="1">
        <f t="array" ref="L827">_xlfn.IFS(
  OR(ISBLANK(A827),ISBLANK(C827),ISBLANK(J827)),"Missing Value",
  OR(C827&lt;18,C827&gt;120),"Review – Out of Range (Age)",
  J827&lt;0,"Review – Out of Range (Risk Score)",
  TRUE,"OK"
)</f>
        <v>OK</v>
      </c>
    </row>
    <row r="828" spans="1:12" ht="16.8" x14ac:dyDescent="0.3">
      <c r="A828" s="11" t="s">
        <v>1707</v>
      </c>
      <c r="B828" s="11" t="s">
        <v>1708</v>
      </c>
      <c r="C828" s="11">
        <v>24</v>
      </c>
      <c r="D828" s="11" t="s">
        <v>41</v>
      </c>
      <c r="E828" s="11" t="s">
        <v>58</v>
      </c>
      <c r="F828" s="11" t="s">
        <v>65</v>
      </c>
      <c r="G828" s="11" t="s">
        <v>55</v>
      </c>
      <c r="H828" s="11" t="s">
        <v>45</v>
      </c>
      <c r="I828" s="11" t="s">
        <v>45</v>
      </c>
      <c r="J828" s="11">
        <v>0.54</v>
      </c>
      <c r="K828" s="12">
        <v>43972</v>
      </c>
      <c r="L828" s="13" t="str" cm="1">
        <f t="array" ref="L828">_xlfn.IFS(
  OR(ISBLANK(A828),ISBLANK(C828),ISBLANK(J828)),"Missing Value",
  OR(C828&lt;18,C828&gt;120),"Review – Out of Range (Age)",
  J828&lt;0,"Review – Out of Range (Risk Score)",
  TRUE,"OK"
)</f>
        <v>OK</v>
      </c>
    </row>
    <row r="829" spans="1:12" ht="16.8" x14ac:dyDescent="0.3">
      <c r="A829" s="14" t="s">
        <v>1709</v>
      </c>
      <c r="B829" s="14" t="s">
        <v>1710</v>
      </c>
      <c r="C829" s="14">
        <v>59</v>
      </c>
      <c r="D829" s="14" t="s">
        <v>41</v>
      </c>
      <c r="E829" s="14" t="s">
        <v>42</v>
      </c>
      <c r="F829" s="14" t="s">
        <v>43</v>
      </c>
      <c r="G829" s="14" t="s">
        <v>44</v>
      </c>
      <c r="H829" s="14" t="s">
        <v>46</v>
      </c>
      <c r="I829" s="14" t="s">
        <v>45</v>
      </c>
      <c r="J829" s="14">
        <v>0.51</v>
      </c>
      <c r="K829" s="15">
        <v>44187</v>
      </c>
      <c r="L829" s="13" t="str" cm="1">
        <f t="array" ref="L829">_xlfn.IFS(
  OR(ISBLANK(A829),ISBLANK(C829),ISBLANK(J829)),"Missing Value",
  OR(C829&lt;18,C829&gt;120),"Review – Out of Range (Age)",
  J829&lt;0,"Review – Out of Range (Risk Score)",
  TRUE,"OK"
)</f>
        <v>OK</v>
      </c>
    </row>
    <row r="830" spans="1:12" ht="16.8" x14ac:dyDescent="0.3">
      <c r="A830" s="11" t="s">
        <v>1711</v>
      </c>
      <c r="B830" s="11" t="s">
        <v>1712</v>
      </c>
      <c r="C830" s="11">
        <v>41</v>
      </c>
      <c r="D830" s="11" t="s">
        <v>49</v>
      </c>
      <c r="E830" s="11" t="s">
        <v>42</v>
      </c>
      <c r="F830" s="11" t="s">
        <v>43</v>
      </c>
      <c r="G830" s="11" t="s">
        <v>109</v>
      </c>
      <c r="H830" s="11" t="s">
        <v>46</v>
      </c>
      <c r="I830" s="11" t="s">
        <v>46</v>
      </c>
      <c r="J830" s="11">
        <v>0.62</v>
      </c>
      <c r="K830" s="12">
        <v>43718</v>
      </c>
      <c r="L830" s="13" t="str" cm="1">
        <f t="array" ref="L830">_xlfn.IFS(
  OR(ISBLANK(A830),ISBLANK(C830),ISBLANK(J830)),"Missing Value",
  OR(C830&lt;18,C830&gt;120),"Review – Out of Range (Age)",
  J830&lt;0,"Review – Out of Range (Risk Score)",
  TRUE,"OK"
)</f>
        <v>OK</v>
      </c>
    </row>
    <row r="831" spans="1:12" ht="16.8" x14ac:dyDescent="0.3">
      <c r="A831" s="14" t="s">
        <v>1713</v>
      </c>
      <c r="B831" s="14" t="s">
        <v>1714</v>
      </c>
      <c r="C831" s="14">
        <v>36</v>
      </c>
      <c r="D831" s="14" t="s">
        <v>49</v>
      </c>
      <c r="E831" s="14" t="s">
        <v>42</v>
      </c>
      <c r="F831" s="14" t="s">
        <v>59</v>
      </c>
      <c r="G831" s="14" t="s">
        <v>109</v>
      </c>
      <c r="H831" s="14" t="s">
        <v>46</v>
      </c>
      <c r="I831" s="14" t="s">
        <v>45</v>
      </c>
      <c r="J831" s="14">
        <v>0.39</v>
      </c>
      <c r="K831" s="15">
        <v>43310</v>
      </c>
      <c r="L831" s="13" t="str" cm="1">
        <f t="array" ref="L831">_xlfn.IFS(
  OR(ISBLANK(A831),ISBLANK(C831),ISBLANK(J831)),"Missing Value",
  OR(C831&lt;18,C831&gt;120),"Review – Out of Range (Age)",
  J831&lt;0,"Review – Out of Range (Risk Score)",
  TRUE,"OK"
)</f>
        <v>OK</v>
      </c>
    </row>
    <row r="832" spans="1:12" ht="16.8" x14ac:dyDescent="0.3">
      <c r="A832" s="11" t="s">
        <v>1715</v>
      </c>
      <c r="B832" s="11" t="s">
        <v>1716</v>
      </c>
      <c r="C832" s="11">
        <v>29</v>
      </c>
      <c r="D832" s="11" t="s">
        <v>41</v>
      </c>
      <c r="E832" s="11" t="s">
        <v>58</v>
      </c>
      <c r="F832" s="11" t="s">
        <v>51</v>
      </c>
      <c r="G832" s="11" t="s">
        <v>60</v>
      </c>
      <c r="H832" s="11" t="s">
        <v>45</v>
      </c>
      <c r="I832" s="11" t="s">
        <v>46</v>
      </c>
      <c r="J832" s="11">
        <v>0.55000000000000004</v>
      </c>
      <c r="K832" s="12">
        <v>44317</v>
      </c>
      <c r="L832" s="13" t="str" cm="1">
        <f t="array" ref="L832">_xlfn.IFS(
  OR(ISBLANK(A832),ISBLANK(C832),ISBLANK(J832)),"Missing Value",
  OR(C832&lt;18,C832&gt;120),"Review – Out of Range (Age)",
  J832&lt;0,"Review – Out of Range (Risk Score)",
  TRUE,"OK"
)</f>
        <v>OK</v>
      </c>
    </row>
    <row r="833" spans="1:12" ht="16.8" x14ac:dyDescent="0.3">
      <c r="A833" s="14" t="s">
        <v>1717</v>
      </c>
      <c r="B833" s="14" t="s">
        <v>1718</v>
      </c>
      <c r="C833" s="14">
        <v>54</v>
      </c>
      <c r="D833" s="14" t="s">
        <v>41</v>
      </c>
      <c r="E833" s="14" t="s">
        <v>42</v>
      </c>
      <c r="F833" s="14" t="s">
        <v>65</v>
      </c>
      <c r="G833" s="14" t="s">
        <v>109</v>
      </c>
      <c r="H833" s="14" t="s">
        <v>46</v>
      </c>
      <c r="I833" s="14" t="s">
        <v>46</v>
      </c>
      <c r="J833" s="14">
        <v>0.67</v>
      </c>
      <c r="K833" s="15">
        <v>44863</v>
      </c>
      <c r="L833" s="13" t="str" cm="1">
        <f t="array" ref="L833">_xlfn.IFS(
  OR(ISBLANK(A833),ISBLANK(C833),ISBLANK(J833)),"Missing Value",
  OR(C833&lt;18,C833&gt;120),"Review – Out of Range (Age)",
  J833&lt;0,"Review – Out of Range (Risk Score)",
  TRUE,"OK"
)</f>
        <v>OK</v>
      </c>
    </row>
    <row r="834" spans="1:12" ht="16.8" x14ac:dyDescent="0.3">
      <c r="A834" s="11" t="s">
        <v>1719</v>
      </c>
      <c r="B834" s="11" t="s">
        <v>1720</v>
      </c>
      <c r="C834" s="11">
        <v>67</v>
      </c>
      <c r="D834" s="11" t="s">
        <v>49</v>
      </c>
      <c r="E834" s="11" t="s">
        <v>50</v>
      </c>
      <c r="F834" s="11" t="s">
        <v>65</v>
      </c>
      <c r="G834" s="11" t="s">
        <v>60</v>
      </c>
      <c r="H834" s="11" t="s">
        <v>45</v>
      </c>
      <c r="I834" s="11" t="s">
        <v>45</v>
      </c>
      <c r="J834" s="11">
        <v>0.63</v>
      </c>
      <c r="K834" s="12">
        <v>43951</v>
      </c>
      <c r="L834" s="13" t="str" cm="1">
        <f t="array" ref="L834">_xlfn.IFS(
  OR(ISBLANK(A834),ISBLANK(C834),ISBLANK(J834)),"Missing Value",
  OR(C834&lt;18,C834&gt;120),"Review – Out of Range (Age)",
  J834&lt;0,"Review – Out of Range (Risk Score)",
  TRUE,"OK"
)</f>
        <v>OK</v>
      </c>
    </row>
    <row r="835" spans="1:12" ht="16.8" x14ac:dyDescent="0.3">
      <c r="A835" s="14" t="s">
        <v>1721</v>
      </c>
      <c r="B835" s="14" t="s">
        <v>1722</v>
      </c>
      <c r="C835" s="14">
        <v>59</v>
      </c>
      <c r="D835" s="14" t="s">
        <v>49</v>
      </c>
      <c r="E835" s="14" t="s">
        <v>58</v>
      </c>
      <c r="F835" s="14" t="s">
        <v>59</v>
      </c>
      <c r="G835" s="14" t="s">
        <v>55</v>
      </c>
      <c r="H835" s="14" t="s">
        <v>45</v>
      </c>
      <c r="I835" s="14" t="s">
        <v>45</v>
      </c>
      <c r="J835" s="14">
        <v>0.56999999999999995</v>
      </c>
      <c r="K835" s="15">
        <v>44247</v>
      </c>
      <c r="L835" s="13" t="str" cm="1">
        <f t="array" ref="L835">_xlfn.IFS(
  OR(ISBLANK(A835),ISBLANK(C835),ISBLANK(J835)),"Missing Value",
  OR(C835&lt;18,C835&gt;120),"Review – Out of Range (Age)",
  J835&lt;0,"Review – Out of Range (Risk Score)",
  TRUE,"OK"
)</f>
        <v>OK</v>
      </c>
    </row>
    <row r="836" spans="1:12" ht="16.8" x14ac:dyDescent="0.3">
      <c r="A836" s="11" t="s">
        <v>1723</v>
      </c>
      <c r="B836" s="11" t="s">
        <v>1724</v>
      </c>
      <c r="C836" s="11">
        <v>46</v>
      </c>
      <c r="D836" s="11" t="s">
        <v>49</v>
      </c>
      <c r="E836" s="11" t="s">
        <v>58</v>
      </c>
      <c r="F836" s="11" t="s">
        <v>51</v>
      </c>
      <c r="G836" s="11" t="s">
        <v>52</v>
      </c>
      <c r="H836" s="11" t="s">
        <v>46</v>
      </c>
      <c r="I836" s="11" t="s">
        <v>45</v>
      </c>
      <c r="J836" s="11">
        <v>0.85</v>
      </c>
      <c r="K836" s="12">
        <v>43546</v>
      </c>
      <c r="L836" s="13" t="str" cm="1">
        <f t="array" ref="L836">_xlfn.IFS(
  OR(ISBLANK(A836),ISBLANK(C836),ISBLANK(J836)),"Missing Value",
  OR(C836&lt;18,C836&gt;120),"Review – Out of Range (Age)",
  J836&lt;0,"Review – Out of Range (Risk Score)",
  TRUE,"OK"
)</f>
        <v>OK</v>
      </c>
    </row>
    <row r="837" spans="1:12" ht="16.8" x14ac:dyDescent="0.3">
      <c r="A837" s="14" t="s">
        <v>1725</v>
      </c>
      <c r="B837" s="14" t="s">
        <v>1726</v>
      </c>
      <c r="C837" s="14">
        <v>29</v>
      </c>
      <c r="D837" s="14" t="s">
        <v>49</v>
      </c>
      <c r="E837" s="14" t="s">
        <v>42</v>
      </c>
      <c r="F837" s="14" t="s">
        <v>59</v>
      </c>
      <c r="G837" s="14" t="s">
        <v>94</v>
      </c>
      <c r="H837" s="14" t="s">
        <v>46</v>
      </c>
      <c r="I837" s="14" t="s">
        <v>46</v>
      </c>
      <c r="J837" s="14">
        <v>0.36</v>
      </c>
      <c r="K837" s="15">
        <v>43913</v>
      </c>
      <c r="L837" s="13" t="str" cm="1">
        <f t="array" ref="L837">_xlfn.IFS(
  OR(ISBLANK(A837),ISBLANK(C837),ISBLANK(J837)),"Missing Value",
  OR(C837&lt;18,C837&gt;120),"Review – Out of Range (Age)",
  J837&lt;0,"Review – Out of Range (Risk Score)",
  TRUE,"OK"
)</f>
        <v>OK</v>
      </c>
    </row>
    <row r="838" spans="1:12" ht="16.8" x14ac:dyDescent="0.3">
      <c r="A838" s="11" t="s">
        <v>1727</v>
      </c>
      <c r="B838" s="11" t="s">
        <v>1728</v>
      </c>
      <c r="C838" s="11">
        <v>64</v>
      </c>
      <c r="D838" s="11" t="s">
        <v>41</v>
      </c>
      <c r="E838" s="11" t="s">
        <v>58</v>
      </c>
      <c r="F838" s="11" t="s">
        <v>59</v>
      </c>
      <c r="G838" s="11" t="s">
        <v>60</v>
      </c>
      <c r="H838" s="11" t="s">
        <v>46</v>
      </c>
      <c r="I838" s="11" t="s">
        <v>46</v>
      </c>
      <c r="J838" s="11">
        <v>0.7</v>
      </c>
      <c r="K838" s="12">
        <v>45223</v>
      </c>
      <c r="L838" s="13" t="str" cm="1">
        <f t="array" ref="L838">_xlfn.IFS(
  OR(ISBLANK(A838),ISBLANK(C838),ISBLANK(J838)),"Missing Value",
  OR(C838&lt;18,C838&gt;120),"Review – Out of Range (Age)",
  J838&lt;0,"Review – Out of Range (Risk Score)",
  TRUE,"OK"
)</f>
        <v>OK</v>
      </c>
    </row>
    <row r="839" spans="1:12" ht="16.8" x14ac:dyDescent="0.3">
      <c r="A839" s="14" t="s">
        <v>1729</v>
      </c>
      <c r="B839" s="14" t="s">
        <v>1730</v>
      </c>
      <c r="C839" s="14">
        <v>64</v>
      </c>
      <c r="D839" s="14" t="s">
        <v>41</v>
      </c>
      <c r="E839" s="14" t="s">
        <v>42</v>
      </c>
      <c r="F839" s="14" t="s">
        <v>43</v>
      </c>
      <c r="G839" s="14" t="s">
        <v>55</v>
      </c>
      <c r="H839" s="14" t="s">
        <v>46</v>
      </c>
      <c r="I839" s="14" t="s">
        <v>45</v>
      </c>
      <c r="J839" s="14">
        <v>0.37</v>
      </c>
      <c r="K839" s="15">
        <v>43211</v>
      </c>
      <c r="L839" s="13" t="str" cm="1">
        <f t="array" ref="L839">_xlfn.IFS(
  OR(ISBLANK(A839),ISBLANK(C839),ISBLANK(J839)),"Missing Value",
  OR(C839&lt;18,C839&gt;120),"Review – Out of Range (Age)",
  J839&lt;0,"Review – Out of Range (Risk Score)",
  TRUE,"OK"
)</f>
        <v>OK</v>
      </c>
    </row>
    <row r="840" spans="1:12" ht="16.8" x14ac:dyDescent="0.3">
      <c r="A840" s="11" t="s">
        <v>1731</v>
      </c>
      <c r="B840" s="11" t="s">
        <v>1732</v>
      </c>
      <c r="C840" s="11">
        <v>52</v>
      </c>
      <c r="D840" s="11" t="s">
        <v>41</v>
      </c>
      <c r="E840" s="11" t="s">
        <v>58</v>
      </c>
      <c r="F840" s="11" t="s">
        <v>51</v>
      </c>
      <c r="G840" s="11" t="s">
        <v>52</v>
      </c>
      <c r="H840" s="11" t="s">
        <v>46</v>
      </c>
      <c r="I840" s="11" t="s">
        <v>46</v>
      </c>
      <c r="J840" s="11">
        <v>0.81</v>
      </c>
      <c r="K840" s="12">
        <v>44372</v>
      </c>
      <c r="L840" s="13" t="str" cm="1">
        <f t="array" ref="L840">_xlfn.IFS(
  OR(ISBLANK(A840),ISBLANK(C840),ISBLANK(J840)),"Missing Value",
  OR(C840&lt;18,C840&gt;120),"Review – Out of Range (Age)",
  J840&lt;0,"Review – Out of Range (Risk Score)",
  TRUE,"OK"
)</f>
        <v>OK</v>
      </c>
    </row>
    <row r="841" spans="1:12" ht="16.8" x14ac:dyDescent="0.3">
      <c r="A841" s="14" t="s">
        <v>1733</v>
      </c>
      <c r="B841" s="14" t="s">
        <v>1734</v>
      </c>
      <c r="C841" s="14">
        <v>63</v>
      </c>
      <c r="D841" s="14" t="s">
        <v>41</v>
      </c>
      <c r="E841" s="14" t="s">
        <v>58</v>
      </c>
      <c r="F841" s="14" t="s">
        <v>59</v>
      </c>
      <c r="G841" s="14" t="s">
        <v>44</v>
      </c>
      <c r="H841" s="14" t="s">
        <v>46</v>
      </c>
      <c r="I841" s="14" t="s">
        <v>46</v>
      </c>
      <c r="J841" s="14">
        <v>0.35</v>
      </c>
      <c r="K841" s="15">
        <v>45001</v>
      </c>
      <c r="L841" s="13" t="str" cm="1">
        <f t="array" ref="L841">_xlfn.IFS(
  OR(ISBLANK(A841),ISBLANK(C841),ISBLANK(J841)),"Missing Value",
  OR(C841&lt;18,C841&gt;120),"Review – Out of Range (Age)",
  J841&lt;0,"Review – Out of Range (Risk Score)",
  TRUE,"OK"
)</f>
        <v>OK</v>
      </c>
    </row>
    <row r="842" spans="1:12" ht="16.8" x14ac:dyDescent="0.3">
      <c r="A842" s="11" t="s">
        <v>1735</v>
      </c>
      <c r="B842" s="11" t="s">
        <v>1736</v>
      </c>
      <c r="C842" s="11">
        <v>40</v>
      </c>
      <c r="D842" s="11" t="s">
        <v>41</v>
      </c>
      <c r="E842" s="11" t="s">
        <v>58</v>
      </c>
      <c r="F842" s="11" t="s">
        <v>43</v>
      </c>
      <c r="G842" s="11" t="s">
        <v>44</v>
      </c>
      <c r="H842" s="11" t="s">
        <v>46</v>
      </c>
      <c r="I842" s="11" t="s">
        <v>45</v>
      </c>
      <c r="J842" s="11">
        <v>0.06</v>
      </c>
      <c r="K842" s="12">
        <v>44583</v>
      </c>
      <c r="L842" s="13" t="str" cm="1">
        <f t="array" ref="L842">_xlfn.IFS(
  OR(ISBLANK(A842),ISBLANK(C842),ISBLANK(J842)),"Missing Value",
  OR(C842&lt;18,C842&gt;120),"Review – Out of Range (Age)",
  J842&lt;0,"Review – Out of Range (Risk Score)",
  TRUE,"OK"
)</f>
        <v>OK</v>
      </c>
    </row>
    <row r="843" spans="1:12" ht="16.8" x14ac:dyDescent="0.3">
      <c r="A843" s="14" t="s">
        <v>1737</v>
      </c>
      <c r="B843" s="14" t="s">
        <v>1738</v>
      </c>
      <c r="C843" s="14">
        <v>40</v>
      </c>
      <c r="D843" s="14" t="s">
        <v>41</v>
      </c>
      <c r="E843" s="14" t="s">
        <v>50</v>
      </c>
      <c r="F843" s="14" t="s">
        <v>43</v>
      </c>
      <c r="G843" s="14" t="s">
        <v>60</v>
      </c>
      <c r="H843" s="14" t="s">
        <v>46</v>
      </c>
      <c r="I843" s="14" t="s">
        <v>46</v>
      </c>
      <c r="J843" s="14">
        <v>0.75</v>
      </c>
      <c r="K843" s="15">
        <v>45177</v>
      </c>
      <c r="L843" s="13" t="str" cm="1">
        <f t="array" ref="L843">_xlfn.IFS(
  OR(ISBLANK(A843),ISBLANK(C843),ISBLANK(J843)),"Missing Value",
  OR(C843&lt;18,C843&gt;120),"Review – Out of Range (Age)",
  J843&lt;0,"Review – Out of Range (Risk Score)",
  TRUE,"OK"
)</f>
        <v>OK</v>
      </c>
    </row>
    <row r="844" spans="1:12" ht="16.8" x14ac:dyDescent="0.3">
      <c r="A844" s="11" t="s">
        <v>1739</v>
      </c>
      <c r="B844" s="11" t="s">
        <v>1740</v>
      </c>
      <c r="C844" s="11">
        <v>40</v>
      </c>
      <c r="D844" s="11" t="s">
        <v>49</v>
      </c>
      <c r="E844" s="11" t="s">
        <v>42</v>
      </c>
      <c r="F844" s="11" t="s">
        <v>51</v>
      </c>
      <c r="G844" s="11" t="s">
        <v>44</v>
      </c>
      <c r="H844" s="11" t="s">
        <v>45</v>
      </c>
      <c r="I844" s="11" t="s">
        <v>46</v>
      </c>
      <c r="J844" s="11">
        <v>0.46</v>
      </c>
      <c r="K844" s="12">
        <v>43754</v>
      </c>
      <c r="L844" s="13" t="str" cm="1">
        <f t="array" ref="L844">_xlfn.IFS(
  OR(ISBLANK(A844),ISBLANK(C844),ISBLANK(J844)),"Missing Value",
  OR(C844&lt;18,C844&gt;120),"Review – Out of Range (Age)",
  J844&lt;0,"Review – Out of Range (Risk Score)",
  TRUE,"OK"
)</f>
        <v>OK</v>
      </c>
    </row>
    <row r="845" spans="1:12" ht="16.8" x14ac:dyDescent="0.3">
      <c r="A845" s="14" t="s">
        <v>1741</v>
      </c>
      <c r="B845" s="14" t="s">
        <v>1742</v>
      </c>
      <c r="C845" s="14">
        <v>21</v>
      </c>
      <c r="D845" s="14" t="s">
        <v>49</v>
      </c>
      <c r="E845" s="14" t="s">
        <v>50</v>
      </c>
      <c r="F845" s="14" t="s">
        <v>51</v>
      </c>
      <c r="G845" s="14" t="s">
        <v>52</v>
      </c>
      <c r="H845" s="14" t="s">
        <v>46</v>
      </c>
      <c r="I845" s="14" t="s">
        <v>45</v>
      </c>
      <c r="J845" s="14">
        <v>0.64</v>
      </c>
      <c r="K845" s="15">
        <v>43804</v>
      </c>
      <c r="L845" s="13" t="str" cm="1">
        <f t="array" ref="L845">_xlfn.IFS(
  OR(ISBLANK(A845),ISBLANK(C845),ISBLANK(J845)),"Missing Value",
  OR(C845&lt;18,C845&gt;120),"Review – Out of Range (Age)",
  J845&lt;0,"Review – Out of Range (Risk Score)",
  TRUE,"OK"
)</f>
        <v>OK</v>
      </c>
    </row>
    <row r="846" spans="1:12" ht="16.8" x14ac:dyDescent="0.3">
      <c r="A846" s="11" t="s">
        <v>1743</v>
      </c>
      <c r="B846" s="11" t="s">
        <v>1744</v>
      </c>
      <c r="C846" s="11">
        <v>37</v>
      </c>
      <c r="D846" s="11" t="s">
        <v>49</v>
      </c>
      <c r="E846" s="11" t="s">
        <v>50</v>
      </c>
      <c r="F846" s="11" t="s">
        <v>59</v>
      </c>
      <c r="G846" s="11" t="s">
        <v>60</v>
      </c>
      <c r="H846" s="11" t="s">
        <v>45</v>
      </c>
      <c r="I846" s="11" t="s">
        <v>46</v>
      </c>
      <c r="J846" s="11">
        <v>0.57999999999999996</v>
      </c>
      <c r="K846" s="12">
        <v>44970</v>
      </c>
      <c r="L846" s="13" t="str" cm="1">
        <f t="array" ref="L846">_xlfn.IFS(
  OR(ISBLANK(A846),ISBLANK(C846),ISBLANK(J846)),"Missing Value",
  OR(C846&lt;18,C846&gt;120),"Review – Out of Range (Age)",
  J846&lt;0,"Review – Out of Range (Risk Score)",
  TRUE,"OK"
)</f>
        <v>OK</v>
      </c>
    </row>
    <row r="847" spans="1:12" ht="16.8" x14ac:dyDescent="0.3">
      <c r="A847" s="14" t="s">
        <v>1745</v>
      </c>
      <c r="B847" s="14" t="s">
        <v>1746</v>
      </c>
      <c r="C847" s="14">
        <v>31</v>
      </c>
      <c r="D847" s="14" t="s">
        <v>41</v>
      </c>
      <c r="E847" s="14" t="s">
        <v>58</v>
      </c>
      <c r="F847" s="14" t="s">
        <v>51</v>
      </c>
      <c r="G847" s="14" t="s">
        <v>109</v>
      </c>
      <c r="H847" s="14" t="s">
        <v>45</v>
      </c>
      <c r="I847" s="14" t="s">
        <v>45</v>
      </c>
      <c r="J847" s="14">
        <v>0.36</v>
      </c>
      <c r="K847" s="15">
        <v>44155</v>
      </c>
      <c r="L847" s="13" t="str" cm="1">
        <f t="array" ref="L847">_xlfn.IFS(
  OR(ISBLANK(A847),ISBLANK(C847),ISBLANK(J847)),"Missing Value",
  OR(C847&lt;18,C847&gt;120),"Review – Out of Range (Age)",
  J847&lt;0,"Review – Out of Range (Risk Score)",
  TRUE,"OK"
)</f>
        <v>OK</v>
      </c>
    </row>
    <row r="848" spans="1:12" ht="16.8" x14ac:dyDescent="0.3">
      <c r="A848" s="11" t="s">
        <v>1747</v>
      </c>
      <c r="B848" s="11" t="s">
        <v>1748</v>
      </c>
      <c r="C848" s="11">
        <v>65</v>
      </c>
      <c r="D848" s="11" t="s">
        <v>49</v>
      </c>
      <c r="E848" s="11" t="s">
        <v>50</v>
      </c>
      <c r="F848" s="11" t="s">
        <v>51</v>
      </c>
      <c r="G848" s="11" t="s">
        <v>52</v>
      </c>
      <c r="H848" s="11" t="s">
        <v>46</v>
      </c>
      <c r="I848" s="11" t="s">
        <v>46</v>
      </c>
      <c r="J848" s="11">
        <v>0.5</v>
      </c>
      <c r="K848" s="12">
        <v>44145</v>
      </c>
      <c r="L848" s="13" t="str" cm="1">
        <f t="array" ref="L848">_xlfn.IFS(
  OR(ISBLANK(A848),ISBLANK(C848),ISBLANK(J848)),"Missing Value",
  OR(C848&lt;18,C848&gt;120),"Review – Out of Range (Age)",
  J848&lt;0,"Review – Out of Range (Risk Score)",
  TRUE,"OK"
)</f>
        <v>OK</v>
      </c>
    </row>
    <row r="849" spans="1:12" ht="16.8" x14ac:dyDescent="0.3">
      <c r="A849" s="14" t="s">
        <v>1749</v>
      </c>
      <c r="B849" s="14" t="s">
        <v>1750</v>
      </c>
      <c r="C849" s="14">
        <v>47</v>
      </c>
      <c r="D849" s="14" t="s">
        <v>49</v>
      </c>
      <c r="E849" s="14" t="s">
        <v>58</v>
      </c>
      <c r="F849" s="14" t="s">
        <v>43</v>
      </c>
      <c r="G849" s="14" t="s">
        <v>94</v>
      </c>
      <c r="H849" s="14" t="s">
        <v>45</v>
      </c>
      <c r="I849" s="14" t="s">
        <v>46</v>
      </c>
      <c r="J849" s="14">
        <v>0.8</v>
      </c>
      <c r="K849" s="15">
        <v>44685</v>
      </c>
      <c r="L849" s="13" t="str" cm="1">
        <f t="array" ref="L849">_xlfn.IFS(
  OR(ISBLANK(A849),ISBLANK(C849),ISBLANK(J849)),"Missing Value",
  OR(C849&lt;18,C849&gt;120),"Review – Out of Range (Age)",
  J849&lt;0,"Review – Out of Range (Risk Score)",
  TRUE,"OK"
)</f>
        <v>OK</v>
      </c>
    </row>
    <row r="850" spans="1:12" ht="16.8" x14ac:dyDescent="0.3">
      <c r="A850" s="11" t="s">
        <v>1751</v>
      </c>
      <c r="B850" s="11" t="s">
        <v>1752</v>
      </c>
      <c r="C850" s="11">
        <v>47</v>
      </c>
      <c r="D850" s="11" t="s">
        <v>49</v>
      </c>
      <c r="E850" s="11" t="s">
        <v>42</v>
      </c>
      <c r="F850" s="11" t="s">
        <v>51</v>
      </c>
      <c r="G850" s="11" t="s">
        <v>109</v>
      </c>
      <c r="H850" s="11" t="s">
        <v>45</v>
      </c>
      <c r="I850" s="11" t="s">
        <v>46</v>
      </c>
      <c r="J850" s="11">
        <v>0.55000000000000004</v>
      </c>
      <c r="K850" s="12">
        <v>43967</v>
      </c>
      <c r="L850" s="13" t="str" cm="1">
        <f t="array" ref="L850">_xlfn.IFS(
  OR(ISBLANK(A850),ISBLANK(C850),ISBLANK(J850)),"Missing Value",
  OR(C850&lt;18,C850&gt;120),"Review – Out of Range (Age)",
  J850&lt;0,"Review – Out of Range (Risk Score)",
  TRUE,"OK"
)</f>
        <v>OK</v>
      </c>
    </row>
    <row r="851" spans="1:12" ht="16.8" x14ac:dyDescent="0.3">
      <c r="A851" s="14" t="s">
        <v>1753</v>
      </c>
      <c r="B851" s="14" t="s">
        <v>1754</v>
      </c>
      <c r="C851" s="14">
        <v>67</v>
      </c>
      <c r="D851" s="14" t="s">
        <v>49</v>
      </c>
      <c r="E851" s="14" t="s">
        <v>50</v>
      </c>
      <c r="F851" s="14" t="s">
        <v>59</v>
      </c>
      <c r="G851" s="14" t="s">
        <v>94</v>
      </c>
      <c r="H851" s="14" t="s">
        <v>45</v>
      </c>
      <c r="I851" s="14" t="s">
        <v>46</v>
      </c>
      <c r="J851" s="14">
        <v>0.56999999999999995</v>
      </c>
      <c r="K851" s="15">
        <v>44898</v>
      </c>
      <c r="L851" s="13" t="str" cm="1">
        <f t="array" ref="L851">_xlfn.IFS(
  OR(ISBLANK(A851),ISBLANK(C851),ISBLANK(J851)),"Missing Value",
  OR(C851&lt;18,C851&gt;120),"Review – Out of Range (Age)",
  J851&lt;0,"Review – Out of Range (Risk Score)",
  TRUE,"OK"
)</f>
        <v>OK</v>
      </c>
    </row>
    <row r="852" spans="1:12" ht="16.8" x14ac:dyDescent="0.3">
      <c r="A852" s="11" t="s">
        <v>1755</v>
      </c>
      <c r="B852" s="11" t="s">
        <v>1756</v>
      </c>
      <c r="C852" s="11">
        <v>56</v>
      </c>
      <c r="D852" s="11" t="s">
        <v>41</v>
      </c>
      <c r="E852" s="11" t="s">
        <v>42</v>
      </c>
      <c r="F852" s="11" t="s">
        <v>43</v>
      </c>
      <c r="G852" s="11" t="s">
        <v>94</v>
      </c>
      <c r="H852" s="11" t="s">
        <v>45</v>
      </c>
      <c r="I852" s="11" t="s">
        <v>46</v>
      </c>
      <c r="J852" s="11">
        <v>0.31</v>
      </c>
      <c r="K852" s="12">
        <v>44277</v>
      </c>
      <c r="L852" s="13" t="str" cm="1">
        <f t="array" ref="L852">_xlfn.IFS(
  OR(ISBLANK(A852),ISBLANK(C852),ISBLANK(J852)),"Missing Value",
  OR(C852&lt;18,C852&gt;120),"Review – Out of Range (Age)",
  J852&lt;0,"Review – Out of Range (Risk Score)",
  TRUE,"OK"
)</f>
        <v>OK</v>
      </c>
    </row>
    <row r="853" spans="1:12" ht="16.8" x14ac:dyDescent="0.3">
      <c r="A853" s="14" t="s">
        <v>1757</v>
      </c>
      <c r="B853" s="14" t="s">
        <v>1758</v>
      </c>
      <c r="C853" s="14">
        <v>30</v>
      </c>
      <c r="D853" s="14" t="s">
        <v>41</v>
      </c>
      <c r="E853" s="14" t="s">
        <v>58</v>
      </c>
      <c r="F853" s="14" t="s">
        <v>65</v>
      </c>
      <c r="G853" s="14" t="s">
        <v>44</v>
      </c>
      <c r="H853" s="14" t="s">
        <v>46</v>
      </c>
      <c r="I853" s="14" t="s">
        <v>46</v>
      </c>
      <c r="J853" s="14">
        <v>0.75</v>
      </c>
      <c r="K853" s="15">
        <v>44901</v>
      </c>
      <c r="L853" s="13" t="str" cm="1">
        <f t="array" ref="L853">_xlfn.IFS(
  OR(ISBLANK(A853),ISBLANK(C853),ISBLANK(J853)),"Missing Value",
  OR(C853&lt;18,C853&gt;120),"Review – Out of Range (Age)",
  J853&lt;0,"Review – Out of Range (Risk Score)",
  TRUE,"OK"
)</f>
        <v>OK</v>
      </c>
    </row>
    <row r="854" spans="1:12" ht="16.8" x14ac:dyDescent="0.3">
      <c r="A854" s="11" t="s">
        <v>1759</v>
      </c>
      <c r="B854" s="11" t="s">
        <v>1760</v>
      </c>
      <c r="C854" s="11">
        <v>69</v>
      </c>
      <c r="D854" s="11" t="s">
        <v>41</v>
      </c>
      <c r="E854" s="11" t="s">
        <v>50</v>
      </c>
      <c r="F854" s="11" t="s">
        <v>51</v>
      </c>
      <c r="G854" s="11" t="s">
        <v>52</v>
      </c>
      <c r="H854" s="11" t="s">
        <v>46</v>
      </c>
      <c r="I854" s="11" t="s">
        <v>46</v>
      </c>
      <c r="J854" s="11">
        <v>0.02</v>
      </c>
      <c r="K854" s="12">
        <v>45058</v>
      </c>
      <c r="L854" s="13" t="str" cm="1">
        <f t="array" ref="L854">_xlfn.IFS(
  OR(ISBLANK(A854),ISBLANK(C854),ISBLANK(J854)),"Missing Value",
  OR(C854&lt;18,C854&gt;120),"Review – Out of Range (Age)",
  J854&lt;0,"Review – Out of Range (Risk Score)",
  TRUE,"OK"
)</f>
        <v>OK</v>
      </c>
    </row>
    <row r="855" spans="1:12" ht="16.8" x14ac:dyDescent="0.3">
      <c r="A855" s="14" t="s">
        <v>1761</v>
      </c>
      <c r="B855" s="14" t="s">
        <v>1762</v>
      </c>
      <c r="C855" s="14">
        <v>30</v>
      </c>
      <c r="D855" s="14" t="s">
        <v>49</v>
      </c>
      <c r="E855" s="14" t="s">
        <v>58</v>
      </c>
      <c r="F855" s="14" t="s">
        <v>59</v>
      </c>
      <c r="G855" s="14" t="s">
        <v>52</v>
      </c>
      <c r="H855" s="14" t="s">
        <v>45</v>
      </c>
      <c r="I855" s="14" t="s">
        <v>45</v>
      </c>
      <c r="J855" s="14">
        <v>0.23</v>
      </c>
      <c r="K855" s="15">
        <v>44133</v>
      </c>
      <c r="L855" s="13" t="str" cm="1">
        <f t="array" ref="L855">_xlfn.IFS(
  OR(ISBLANK(A855),ISBLANK(C855),ISBLANK(J855)),"Missing Value",
  OR(C855&lt;18,C855&gt;120),"Review – Out of Range (Age)",
  J855&lt;0,"Review – Out of Range (Risk Score)",
  TRUE,"OK"
)</f>
        <v>OK</v>
      </c>
    </row>
    <row r="856" spans="1:12" ht="16.8" x14ac:dyDescent="0.3">
      <c r="A856" s="11" t="s">
        <v>1763</v>
      </c>
      <c r="B856" s="11" t="s">
        <v>1764</v>
      </c>
      <c r="C856" s="11">
        <v>53</v>
      </c>
      <c r="D856" s="11" t="s">
        <v>41</v>
      </c>
      <c r="E856" s="11" t="s">
        <v>42</v>
      </c>
      <c r="F856" s="11" t="s">
        <v>51</v>
      </c>
      <c r="G856" s="11" t="s">
        <v>44</v>
      </c>
      <c r="H856" s="11" t="s">
        <v>46</v>
      </c>
      <c r="I856" s="11" t="s">
        <v>45</v>
      </c>
      <c r="J856" s="11">
        <v>0.35</v>
      </c>
      <c r="K856" s="12">
        <v>44026</v>
      </c>
      <c r="L856" s="13" t="str" cm="1">
        <f t="array" ref="L856">_xlfn.IFS(
  OR(ISBLANK(A856),ISBLANK(C856),ISBLANK(J856)),"Missing Value",
  OR(C856&lt;18,C856&gt;120),"Review – Out of Range (Age)",
  J856&lt;0,"Review – Out of Range (Risk Score)",
  TRUE,"OK"
)</f>
        <v>OK</v>
      </c>
    </row>
    <row r="857" spans="1:12" ht="16.8" x14ac:dyDescent="0.3">
      <c r="A857" s="14" t="s">
        <v>1765</v>
      </c>
      <c r="B857" s="14" t="s">
        <v>1766</v>
      </c>
      <c r="C857" s="14">
        <v>23</v>
      </c>
      <c r="D857" s="14" t="s">
        <v>41</v>
      </c>
      <c r="E857" s="14" t="s">
        <v>58</v>
      </c>
      <c r="F857" s="14" t="s">
        <v>43</v>
      </c>
      <c r="G857" s="14" t="s">
        <v>44</v>
      </c>
      <c r="H857" s="14" t="s">
        <v>45</v>
      </c>
      <c r="I857" s="14" t="s">
        <v>46</v>
      </c>
      <c r="J857" s="14">
        <v>0.27</v>
      </c>
      <c r="K857" s="15">
        <v>43232</v>
      </c>
      <c r="L857" s="13" t="str" cm="1">
        <f t="array" ref="L857">_xlfn.IFS(
  OR(ISBLANK(A857),ISBLANK(C857),ISBLANK(J857)),"Missing Value",
  OR(C857&lt;18,C857&gt;120),"Review – Out of Range (Age)",
  J857&lt;0,"Review – Out of Range (Risk Score)",
  TRUE,"OK"
)</f>
        <v>OK</v>
      </c>
    </row>
    <row r="858" spans="1:12" ht="16.8" x14ac:dyDescent="0.3">
      <c r="A858" s="11" t="s">
        <v>1767</v>
      </c>
      <c r="B858" s="11" t="s">
        <v>1768</v>
      </c>
      <c r="C858" s="11">
        <v>42</v>
      </c>
      <c r="D858" s="11" t="s">
        <v>49</v>
      </c>
      <c r="E858" s="11" t="s">
        <v>42</v>
      </c>
      <c r="F858" s="11" t="s">
        <v>43</v>
      </c>
      <c r="G858" s="11" t="s">
        <v>109</v>
      </c>
      <c r="H858" s="11" t="s">
        <v>45</v>
      </c>
      <c r="I858" s="11" t="s">
        <v>45</v>
      </c>
      <c r="J858" s="11">
        <v>0.15</v>
      </c>
      <c r="K858" s="12">
        <v>44137</v>
      </c>
      <c r="L858" s="13" t="str" cm="1">
        <f t="array" ref="L858">_xlfn.IFS(
  OR(ISBLANK(A858),ISBLANK(C858),ISBLANK(J858)),"Missing Value",
  OR(C858&lt;18,C858&gt;120),"Review – Out of Range (Age)",
  J858&lt;0,"Review – Out of Range (Risk Score)",
  TRUE,"OK"
)</f>
        <v>OK</v>
      </c>
    </row>
    <row r="859" spans="1:12" ht="16.8" x14ac:dyDescent="0.3">
      <c r="A859" s="14" t="s">
        <v>1769</v>
      </c>
      <c r="B859" s="14" t="s">
        <v>1770</v>
      </c>
      <c r="C859" s="14">
        <v>38</v>
      </c>
      <c r="D859" s="14" t="s">
        <v>49</v>
      </c>
      <c r="E859" s="14" t="s">
        <v>42</v>
      </c>
      <c r="F859" s="14" t="s">
        <v>51</v>
      </c>
      <c r="G859" s="14" t="s">
        <v>109</v>
      </c>
      <c r="H859" s="14" t="s">
        <v>45</v>
      </c>
      <c r="I859" s="14" t="s">
        <v>45</v>
      </c>
      <c r="J859" s="14">
        <v>0.45</v>
      </c>
      <c r="K859" s="15">
        <v>44851</v>
      </c>
      <c r="L859" s="13" t="str" cm="1">
        <f t="array" ref="L859">_xlfn.IFS(
  OR(ISBLANK(A859),ISBLANK(C859),ISBLANK(J859)),"Missing Value",
  OR(C859&lt;18,C859&gt;120),"Review – Out of Range (Age)",
  J859&lt;0,"Review – Out of Range (Risk Score)",
  TRUE,"OK"
)</f>
        <v>OK</v>
      </c>
    </row>
    <row r="860" spans="1:12" ht="16.8" x14ac:dyDescent="0.3">
      <c r="A860" s="11" t="s">
        <v>1771</v>
      </c>
      <c r="B860" s="11" t="s">
        <v>1772</v>
      </c>
      <c r="C860" s="11">
        <v>62</v>
      </c>
      <c r="D860" s="11" t="s">
        <v>49</v>
      </c>
      <c r="E860" s="11" t="s">
        <v>50</v>
      </c>
      <c r="F860" s="11" t="s">
        <v>59</v>
      </c>
      <c r="G860" s="11" t="s">
        <v>52</v>
      </c>
      <c r="H860" s="11" t="s">
        <v>45</v>
      </c>
      <c r="I860" s="11" t="s">
        <v>45</v>
      </c>
      <c r="J860" s="11">
        <v>0.69</v>
      </c>
      <c r="K860" s="12">
        <v>43714</v>
      </c>
      <c r="L860" s="13" t="str" cm="1">
        <f t="array" ref="L860">_xlfn.IFS(
  OR(ISBLANK(A860),ISBLANK(C860),ISBLANK(J860)),"Missing Value",
  OR(C860&lt;18,C860&gt;120),"Review – Out of Range (Age)",
  J860&lt;0,"Review – Out of Range (Risk Score)",
  TRUE,"OK"
)</f>
        <v>OK</v>
      </c>
    </row>
    <row r="861" spans="1:12" ht="16.8" x14ac:dyDescent="0.3">
      <c r="A861" s="14" t="s">
        <v>1773</v>
      </c>
      <c r="B861" s="14" t="s">
        <v>1774</v>
      </c>
      <c r="C861" s="14">
        <v>59</v>
      </c>
      <c r="D861" s="14" t="s">
        <v>49</v>
      </c>
      <c r="E861" s="14" t="s">
        <v>58</v>
      </c>
      <c r="F861" s="14" t="s">
        <v>43</v>
      </c>
      <c r="G861" s="14" t="s">
        <v>44</v>
      </c>
      <c r="H861" s="14" t="s">
        <v>45</v>
      </c>
      <c r="I861" s="14" t="s">
        <v>46</v>
      </c>
      <c r="J861" s="14">
        <v>0.34</v>
      </c>
      <c r="K861" s="15">
        <v>43832</v>
      </c>
      <c r="L861" s="13" t="str" cm="1">
        <f t="array" ref="L861">_xlfn.IFS(
  OR(ISBLANK(A861),ISBLANK(C861),ISBLANK(J861)),"Missing Value",
  OR(C861&lt;18,C861&gt;120),"Review – Out of Range (Age)",
  J861&lt;0,"Review – Out of Range (Risk Score)",
  TRUE,"OK"
)</f>
        <v>OK</v>
      </c>
    </row>
    <row r="862" spans="1:12" ht="16.8" x14ac:dyDescent="0.3">
      <c r="A862" s="11" t="s">
        <v>1775</v>
      </c>
      <c r="B862" s="11" t="s">
        <v>1776</v>
      </c>
      <c r="C862" s="11">
        <v>30</v>
      </c>
      <c r="D862" s="11" t="s">
        <v>41</v>
      </c>
      <c r="E862" s="11" t="s">
        <v>58</v>
      </c>
      <c r="F862" s="11" t="s">
        <v>59</v>
      </c>
      <c r="G862" s="11" t="s">
        <v>60</v>
      </c>
      <c r="H862" s="11" t="s">
        <v>45</v>
      </c>
      <c r="I862" s="11" t="s">
        <v>45</v>
      </c>
      <c r="J862" s="11">
        <v>0.41</v>
      </c>
      <c r="K862" s="12">
        <v>44212</v>
      </c>
      <c r="L862" s="13" t="str" cm="1">
        <f t="array" ref="L862">_xlfn.IFS(
  OR(ISBLANK(A862),ISBLANK(C862),ISBLANK(J862)),"Missing Value",
  OR(C862&lt;18,C862&gt;120),"Review – Out of Range (Age)",
  J862&lt;0,"Review – Out of Range (Risk Score)",
  TRUE,"OK"
)</f>
        <v>OK</v>
      </c>
    </row>
    <row r="863" spans="1:12" ht="16.8" x14ac:dyDescent="0.3">
      <c r="A863" s="14" t="s">
        <v>1777</v>
      </c>
      <c r="B863" s="14" t="s">
        <v>1778</v>
      </c>
      <c r="C863" s="14">
        <v>31</v>
      </c>
      <c r="D863" s="14" t="s">
        <v>41</v>
      </c>
      <c r="E863" s="14" t="s">
        <v>58</v>
      </c>
      <c r="F863" s="14" t="s">
        <v>51</v>
      </c>
      <c r="G863" s="14" t="s">
        <v>55</v>
      </c>
      <c r="H863" s="14" t="s">
        <v>45</v>
      </c>
      <c r="I863" s="14" t="s">
        <v>45</v>
      </c>
      <c r="J863" s="14">
        <v>0.53</v>
      </c>
      <c r="K863" s="15">
        <v>43527</v>
      </c>
      <c r="L863" s="13" t="str" cm="1">
        <f t="array" ref="L863">_xlfn.IFS(
  OR(ISBLANK(A863),ISBLANK(C863),ISBLANK(J863)),"Missing Value",
  OR(C863&lt;18,C863&gt;120),"Review – Out of Range (Age)",
  J863&lt;0,"Review – Out of Range (Risk Score)",
  TRUE,"OK"
)</f>
        <v>OK</v>
      </c>
    </row>
    <row r="864" spans="1:12" ht="16.8" x14ac:dyDescent="0.3">
      <c r="A864" s="11" t="s">
        <v>1779</v>
      </c>
      <c r="B864" s="11" t="s">
        <v>1780</v>
      </c>
      <c r="C864" s="11">
        <v>41</v>
      </c>
      <c r="D864" s="11" t="s">
        <v>41</v>
      </c>
      <c r="E864" s="11" t="s">
        <v>50</v>
      </c>
      <c r="F864" s="11" t="s">
        <v>59</v>
      </c>
      <c r="G864" s="11" t="s">
        <v>44</v>
      </c>
      <c r="H864" s="11" t="s">
        <v>46</v>
      </c>
      <c r="I864" s="11" t="s">
        <v>45</v>
      </c>
      <c r="J864" s="11">
        <v>0.41</v>
      </c>
      <c r="K864" s="12">
        <v>45253</v>
      </c>
      <c r="L864" s="13" t="str" cm="1">
        <f t="array" ref="L864">_xlfn.IFS(
  OR(ISBLANK(A864),ISBLANK(C864),ISBLANK(J864)),"Missing Value",
  OR(C864&lt;18,C864&gt;120),"Review – Out of Range (Age)",
  J864&lt;0,"Review – Out of Range (Risk Score)",
  TRUE,"OK"
)</f>
        <v>OK</v>
      </c>
    </row>
    <row r="865" spans="1:12" ht="16.8" x14ac:dyDescent="0.3">
      <c r="A865" s="14" t="s">
        <v>1781</v>
      </c>
      <c r="B865" s="14" t="s">
        <v>1782</v>
      </c>
      <c r="C865" s="14">
        <v>54</v>
      </c>
      <c r="D865" s="14" t="s">
        <v>41</v>
      </c>
      <c r="E865" s="14" t="s">
        <v>42</v>
      </c>
      <c r="F865" s="14" t="s">
        <v>59</v>
      </c>
      <c r="G865" s="14" t="s">
        <v>60</v>
      </c>
      <c r="H865" s="14" t="s">
        <v>45</v>
      </c>
      <c r="I865" s="14" t="s">
        <v>46</v>
      </c>
      <c r="J865" s="14">
        <v>0.28000000000000003</v>
      </c>
      <c r="K865" s="15">
        <v>43736</v>
      </c>
      <c r="L865" s="13" t="str" cm="1">
        <f t="array" ref="L865">_xlfn.IFS(
  OR(ISBLANK(A865),ISBLANK(C865),ISBLANK(J865)),"Missing Value",
  OR(C865&lt;18,C865&gt;120),"Review – Out of Range (Age)",
  J865&lt;0,"Review – Out of Range (Risk Score)",
  TRUE,"OK"
)</f>
        <v>OK</v>
      </c>
    </row>
    <row r="866" spans="1:12" ht="16.8" x14ac:dyDescent="0.3">
      <c r="A866" s="11" t="s">
        <v>1783</v>
      </c>
      <c r="B866" s="11" t="s">
        <v>1784</v>
      </c>
      <c r="C866" s="11">
        <v>20</v>
      </c>
      <c r="D866" s="11" t="s">
        <v>49</v>
      </c>
      <c r="E866" s="11" t="s">
        <v>50</v>
      </c>
      <c r="F866" s="11" t="s">
        <v>65</v>
      </c>
      <c r="G866" s="11" t="s">
        <v>44</v>
      </c>
      <c r="H866" s="11" t="s">
        <v>45</v>
      </c>
      <c r="I866" s="11" t="s">
        <v>46</v>
      </c>
      <c r="J866" s="11">
        <v>0.31</v>
      </c>
      <c r="K866" s="12">
        <v>44789</v>
      </c>
      <c r="L866" s="13" t="str" cm="1">
        <f t="array" ref="L866">_xlfn.IFS(
  OR(ISBLANK(A866),ISBLANK(C866),ISBLANK(J866)),"Missing Value",
  OR(C866&lt;18,C866&gt;120),"Review – Out of Range (Age)",
  J866&lt;0,"Review – Out of Range (Risk Score)",
  TRUE,"OK"
)</f>
        <v>OK</v>
      </c>
    </row>
    <row r="867" spans="1:12" ht="16.8" x14ac:dyDescent="0.3">
      <c r="A867" s="14" t="s">
        <v>1785</v>
      </c>
      <c r="B867" s="14" t="s">
        <v>1786</v>
      </c>
      <c r="C867" s="14">
        <v>27</v>
      </c>
      <c r="D867" s="14" t="s">
        <v>49</v>
      </c>
      <c r="E867" s="14" t="s">
        <v>42</v>
      </c>
      <c r="F867" s="14" t="s">
        <v>51</v>
      </c>
      <c r="G867" s="14" t="s">
        <v>60</v>
      </c>
      <c r="H867" s="14" t="s">
        <v>45</v>
      </c>
      <c r="I867" s="14" t="s">
        <v>45</v>
      </c>
      <c r="J867" s="14">
        <v>0.26</v>
      </c>
      <c r="K867" s="15">
        <v>44628</v>
      </c>
      <c r="L867" s="13" t="str" cm="1">
        <f t="array" ref="L867">_xlfn.IFS(
  OR(ISBLANK(A867),ISBLANK(C867),ISBLANK(J867)),"Missing Value",
  OR(C867&lt;18,C867&gt;120),"Review – Out of Range (Age)",
  J867&lt;0,"Review – Out of Range (Risk Score)",
  TRUE,"OK"
)</f>
        <v>OK</v>
      </c>
    </row>
    <row r="868" spans="1:12" ht="16.8" x14ac:dyDescent="0.3">
      <c r="A868" s="11" t="s">
        <v>1787</v>
      </c>
      <c r="B868" s="11" t="s">
        <v>1788</v>
      </c>
      <c r="C868" s="11">
        <v>34</v>
      </c>
      <c r="D868" s="11" t="s">
        <v>49</v>
      </c>
      <c r="E868" s="11" t="s">
        <v>58</v>
      </c>
      <c r="F868" s="11" t="s">
        <v>51</v>
      </c>
      <c r="G868" s="11" t="s">
        <v>109</v>
      </c>
      <c r="H868" s="11" t="s">
        <v>45</v>
      </c>
      <c r="I868" s="11" t="s">
        <v>46</v>
      </c>
      <c r="J868" s="11">
        <v>0.5</v>
      </c>
      <c r="K868" s="12">
        <v>45110</v>
      </c>
      <c r="L868" s="13" t="str" cm="1">
        <f t="array" ref="L868">_xlfn.IFS(
  OR(ISBLANK(A868),ISBLANK(C868),ISBLANK(J868)),"Missing Value",
  OR(C868&lt;18,C868&gt;120),"Review – Out of Range (Age)",
  J868&lt;0,"Review – Out of Range (Risk Score)",
  TRUE,"OK"
)</f>
        <v>OK</v>
      </c>
    </row>
    <row r="869" spans="1:12" ht="16.8" x14ac:dyDescent="0.3">
      <c r="A869" s="14" t="s">
        <v>1789</v>
      </c>
      <c r="B869" s="14" t="s">
        <v>1790</v>
      </c>
      <c r="C869" s="14">
        <v>41</v>
      </c>
      <c r="D869" s="14" t="s">
        <v>41</v>
      </c>
      <c r="E869" s="14" t="s">
        <v>50</v>
      </c>
      <c r="F869" s="14" t="s">
        <v>65</v>
      </c>
      <c r="G869" s="14" t="s">
        <v>109</v>
      </c>
      <c r="H869" s="14" t="s">
        <v>46</v>
      </c>
      <c r="I869" s="14" t="s">
        <v>45</v>
      </c>
      <c r="J869" s="14">
        <v>0.51</v>
      </c>
      <c r="K869" s="15">
        <v>43697</v>
      </c>
      <c r="L869" s="13" t="str" cm="1">
        <f t="array" ref="L869">_xlfn.IFS(
  OR(ISBLANK(A869),ISBLANK(C869),ISBLANK(J869)),"Missing Value",
  OR(C869&lt;18,C869&gt;120),"Review – Out of Range (Age)",
  J869&lt;0,"Review – Out of Range (Risk Score)",
  TRUE,"OK"
)</f>
        <v>OK</v>
      </c>
    </row>
    <row r="870" spans="1:12" ht="16.8" x14ac:dyDescent="0.3">
      <c r="A870" s="11" t="s">
        <v>1791</v>
      </c>
      <c r="B870" s="11" t="s">
        <v>1792</v>
      </c>
      <c r="C870" s="11">
        <v>63</v>
      </c>
      <c r="D870" s="11" t="s">
        <v>49</v>
      </c>
      <c r="E870" s="11" t="s">
        <v>42</v>
      </c>
      <c r="F870" s="11" t="s">
        <v>65</v>
      </c>
      <c r="G870" s="11" t="s">
        <v>55</v>
      </c>
      <c r="H870" s="11" t="s">
        <v>45</v>
      </c>
      <c r="I870" s="11" t="s">
        <v>46</v>
      </c>
      <c r="J870" s="11">
        <v>0.47</v>
      </c>
      <c r="K870" s="12">
        <v>43315</v>
      </c>
      <c r="L870" s="13" t="str" cm="1">
        <f t="array" ref="L870">_xlfn.IFS(
  OR(ISBLANK(A870),ISBLANK(C870),ISBLANK(J870)),"Missing Value",
  OR(C870&lt;18,C870&gt;120),"Review – Out of Range (Age)",
  J870&lt;0,"Review – Out of Range (Risk Score)",
  TRUE,"OK"
)</f>
        <v>OK</v>
      </c>
    </row>
    <row r="871" spans="1:12" ht="16.8" x14ac:dyDescent="0.3">
      <c r="A871" s="14" t="s">
        <v>1793</v>
      </c>
      <c r="B871" s="14" t="s">
        <v>1794</v>
      </c>
      <c r="C871" s="14">
        <v>23</v>
      </c>
      <c r="D871" s="14" t="s">
        <v>49</v>
      </c>
      <c r="E871" s="14" t="s">
        <v>42</v>
      </c>
      <c r="F871" s="14" t="s">
        <v>65</v>
      </c>
      <c r="G871" s="14" t="s">
        <v>109</v>
      </c>
      <c r="H871" s="14" t="s">
        <v>46</v>
      </c>
      <c r="I871" s="14" t="s">
        <v>46</v>
      </c>
      <c r="J871" s="14">
        <v>0.56999999999999995</v>
      </c>
      <c r="K871" s="15">
        <v>43127</v>
      </c>
      <c r="L871" s="13" t="str" cm="1">
        <f t="array" ref="L871">_xlfn.IFS(
  OR(ISBLANK(A871),ISBLANK(C871),ISBLANK(J871)),"Missing Value",
  OR(C871&lt;18,C871&gt;120),"Review – Out of Range (Age)",
  J871&lt;0,"Review – Out of Range (Risk Score)",
  TRUE,"OK"
)</f>
        <v>OK</v>
      </c>
    </row>
    <row r="872" spans="1:12" ht="16.8" x14ac:dyDescent="0.3">
      <c r="A872" s="11" t="s">
        <v>1795</v>
      </c>
      <c r="B872" s="11" t="s">
        <v>1796</v>
      </c>
      <c r="C872" s="11">
        <v>26</v>
      </c>
      <c r="D872" s="11" t="s">
        <v>49</v>
      </c>
      <c r="E872" s="11" t="s">
        <v>58</v>
      </c>
      <c r="F872" s="11" t="s">
        <v>65</v>
      </c>
      <c r="G872" s="11" t="s">
        <v>94</v>
      </c>
      <c r="H872" s="11" t="s">
        <v>46</v>
      </c>
      <c r="I872" s="11" t="s">
        <v>46</v>
      </c>
      <c r="J872" s="11">
        <v>0.54</v>
      </c>
      <c r="K872" s="12">
        <v>43324</v>
      </c>
      <c r="L872" s="13" t="str" cm="1">
        <f t="array" ref="L872">_xlfn.IFS(
  OR(ISBLANK(A872),ISBLANK(C872),ISBLANK(J872)),"Missing Value",
  OR(C872&lt;18,C872&gt;120),"Review – Out of Range (Age)",
  J872&lt;0,"Review – Out of Range (Risk Score)",
  TRUE,"OK"
)</f>
        <v>OK</v>
      </c>
    </row>
    <row r="873" spans="1:12" ht="16.8" x14ac:dyDescent="0.3">
      <c r="A873" s="14" t="s">
        <v>1797</v>
      </c>
      <c r="B873" s="14" t="s">
        <v>1798</v>
      </c>
      <c r="C873" s="14">
        <v>69</v>
      </c>
      <c r="D873" s="14" t="s">
        <v>49</v>
      </c>
      <c r="E873" s="14" t="s">
        <v>50</v>
      </c>
      <c r="F873" s="14" t="s">
        <v>59</v>
      </c>
      <c r="G873" s="14" t="s">
        <v>55</v>
      </c>
      <c r="H873" s="14" t="s">
        <v>45</v>
      </c>
      <c r="I873" s="14" t="s">
        <v>46</v>
      </c>
      <c r="J873" s="14">
        <v>0.8</v>
      </c>
      <c r="K873" s="15">
        <v>43747</v>
      </c>
      <c r="L873" s="13" t="str" cm="1">
        <f t="array" ref="L873">_xlfn.IFS(
  OR(ISBLANK(A873),ISBLANK(C873),ISBLANK(J873)),"Missing Value",
  OR(C873&lt;18,C873&gt;120),"Review – Out of Range (Age)",
  J873&lt;0,"Review – Out of Range (Risk Score)",
  TRUE,"OK"
)</f>
        <v>OK</v>
      </c>
    </row>
    <row r="874" spans="1:12" ht="16.8" x14ac:dyDescent="0.3">
      <c r="A874" s="11" t="s">
        <v>1799</v>
      </c>
      <c r="B874" s="11" t="s">
        <v>1800</v>
      </c>
      <c r="C874" s="11">
        <v>63</v>
      </c>
      <c r="D874" s="11" t="s">
        <v>41</v>
      </c>
      <c r="E874" s="11" t="s">
        <v>58</v>
      </c>
      <c r="F874" s="11" t="s">
        <v>43</v>
      </c>
      <c r="G874" s="11" t="s">
        <v>52</v>
      </c>
      <c r="H874" s="11" t="s">
        <v>45</v>
      </c>
      <c r="I874" s="11" t="s">
        <v>46</v>
      </c>
      <c r="J874" s="11">
        <v>0.4</v>
      </c>
      <c r="K874" s="12">
        <v>43288</v>
      </c>
      <c r="L874" s="13" t="str" cm="1">
        <f t="array" ref="L874">_xlfn.IFS(
  OR(ISBLANK(A874),ISBLANK(C874),ISBLANK(J874)),"Missing Value",
  OR(C874&lt;18,C874&gt;120),"Review – Out of Range (Age)",
  J874&lt;0,"Review – Out of Range (Risk Score)",
  TRUE,"OK"
)</f>
        <v>OK</v>
      </c>
    </row>
    <row r="875" spans="1:12" ht="16.8" x14ac:dyDescent="0.3">
      <c r="A875" s="14" t="s">
        <v>1801</v>
      </c>
      <c r="B875" s="14" t="s">
        <v>1802</v>
      </c>
      <c r="C875" s="14">
        <v>35</v>
      </c>
      <c r="D875" s="14" t="s">
        <v>49</v>
      </c>
      <c r="E875" s="14" t="s">
        <v>42</v>
      </c>
      <c r="F875" s="14" t="s">
        <v>43</v>
      </c>
      <c r="G875" s="14" t="s">
        <v>55</v>
      </c>
      <c r="H875" s="14" t="s">
        <v>46</v>
      </c>
      <c r="I875" s="14" t="s">
        <v>45</v>
      </c>
      <c r="J875" s="14">
        <v>0.54</v>
      </c>
      <c r="K875" s="15">
        <v>43482</v>
      </c>
      <c r="L875" s="13" t="str" cm="1">
        <f t="array" ref="L875">_xlfn.IFS(
  OR(ISBLANK(A875),ISBLANK(C875),ISBLANK(J875)),"Missing Value",
  OR(C875&lt;18,C875&gt;120),"Review – Out of Range (Age)",
  J875&lt;0,"Review – Out of Range (Risk Score)",
  TRUE,"OK"
)</f>
        <v>OK</v>
      </c>
    </row>
    <row r="876" spans="1:12" ht="16.8" x14ac:dyDescent="0.3">
      <c r="A876" s="11" t="s">
        <v>1803</v>
      </c>
      <c r="B876" s="11" t="s">
        <v>1804</v>
      </c>
      <c r="C876" s="11">
        <v>60</v>
      </c>
      <c r="D876" s="11" t="s">
        <v>41</v>
      </c>
      <c r="E876" s="11" t="s">
        <v>50</v>
      </c>
      <c r="F876" s="11" t="s">
        <v>65</v>
      </c>
      <c r="G876" s="11" t="s">
        <v>55</v>
      </c>
      <c r="H876" s="11" t="s">
        <v>46</v>
      </c>
      <c r="I876" s="11" t="s">
        <v>45</v>
      </c>
      <c r="J876" s="11">
        <v>0.66</v>
      </c>
      <c r="K876" s="12">
        <v>43238</v>
      </c>
      <c r="L876" s="13" t="str" cm="1">
        <f t="array" ref="L876">_xlfn.IFS(
  OR(ISBLANK(A876),ISBLANK(C876),ISBLANK(J876)),"Missing Value",
  OR(C876&lt;18,C876&gt;120),"Review – Out of Range (Age)",
  J876&lt;0,"Review – Out of Range (Risk Score)",
  TRUE,"OK"
)</f>
        <v>OK</v>
      </c>
    </row>
    <row r="877" spans="1:12" ht="16.8" x14ac:dyDescent="0.3">
      <c r="A877" s="14" t="s">
        <v>1805</v>
      </c>
      <c r="B877" s="14" t="s">
        <v>1806</v>
      </c>
      <c r="C877" s="14">
        <v>40</v>
      </c>
      <c r="D877" s="14" t="s">
        <v>41</v>
      </c>
      <c r="E877" s="14" t="s">
        <v>58</v>
      </c>
      <c r="F877" s="14" t="s">
        <v>65</v>
      </c>
      <c r="G877" s="14" t="s">
        <v>60</v>
      </c>
      <c r="H877" s="14" t="s">
        <v>46</v>
      </c>
      <c r="I877" s="14" t="s">
        <v>45</v>
      </c>
      <c r="J877" s="14">
        <v>0.76</v>
      </c>
      <c r="K877" s="15">
        <v>44823</v>
      </c>
      <c r="L877" s="13" t="str" cm="1">
        <f t="array" ref="L877">_xlfn.IFS(
  OR(ISBLANK(A877),ISBLANK(C877),ISBLANK(J877)),"Missing Value",
  OR(C877&lt;18,C877&gt;120),"Review – Out of Range (Age)",
  J877&lt;0,"Review – Out of Range (Risk Score)",
  TRUE,"OK"
)</f>
        <v>OK</v>
      </c>
    </row>
    <row r="878" spans="1:12" ht="16.8" x14ac:dyDescent="0.3">
      <c r="A878" s="11" t="s">
        <v>1807</v>
      </c>
      <c r="B878" s="11" t="s">
        <v>1808</v>
      </c>
      <c r="C878" s="11">
        <v>64</v>
      </c>
      <c r="D878" s="11" t="s">
        <v>49</v>
      </c>
      <c r="E878" s="11" t="s">
        <v>42</v>
      </c>
      <c r="F878" s="11" t="s">
        <v>65</v>
      </c>
      <c r="G878" s="11" t="s">
        <v>109</v>
      </c>
      <c r="H878" s="11" t="s">
        <v>45</v>
      </c>
      <c r="I878" s="11" t="s">
        <v>45</v>
      </c>
      <c r="J878" s="11">
        <v>0.6</v>
      </c>
      <c r="K878" s="12">
        <v>44487</v>
      </c>
      <c r="L878" s="13" t="str" cm="1">
        <f t="array" ref="L878">_xlfn.IFS(
  OR(ISBLANK(A878),ISBLANK(C878),ISBLANK(J878)),"Missing Value",
  OR(C878&lt;18,C878&gt;120),"Review – Out of Range (Age)",
  J878&lt;0,"Review – Out of Range (Risk Score)",
  TRUE,"OK"
)</f>
        <v>OK</v>
      </c>
    </row>
    <row r="879" spans="1:12" ht="16.8" x14ac:dyDescent="0.3">
      <c r="A879" s="14" t="s">
        <v>1809</v>
      </c>
      <c r="B879" s="14" t="s">
        <v>1810</v>
      </c>
      <c r="C879" s="14">
        <v>48</v>
      </c>
      <c r="D879" s="14" t="s">
        <v>41</v>
      </c>
      <c r="E879" s="14" t="s">
        <v>58</v>
      </c>
      <c r="F879" s="14" t="s">
        <v>65</v>
      </c>
      <c r="G879" s="14" t="s">
        <v>55</v>
      </c>
      <c r="H879" s="14" t="s">
        <v>45</v>
      </c>
      <c r="I879" s="14" t="s">
        <v>46</v>
      </c>
      <c r="J879" s="14">
        <v>0.47</v>
      </c>
      <c r="K879" s="15">
        <v>44266</v>
      </c>
      <c r="L879" s="13" t="str" cm="1">
        <f t="array" ref="L879">_xlfn.IFS(
  OR(ISBLANK(A879),ISBLANK(C879),ISBLANK(J879)),"Missing Value",
  OR(C879&lt;18,C879&gt;120),"Review – Out of Range (Age)",
  J879&lt;0,"Review – Out of Range (Risk Score)",
  TRUE,"OK"
)</f>
        <v>OK</v>
      </c>
    </row>
    <row r="880" spans="1:12" ht="16.8" x14ac:dyDescent="0.3">
      <c r="A880" s="11" t="s">
        <v>1811</v>
      </c>
      <c r="B880" s="11" t="s">
        <v>1812</v>
      </c>
      <c r="C880" s="11">
        <v>54</v>
      </c>
      <c r="D880" s="11" t="s">
        <v>49</v>
      </c>
      <c r="E880" s="11" t="s">
        <v>58</v>
      </c>
      <c r="F880" s="11" t="s">
        <v>65</v>
      </c>
      <c r="G880" s="11" t="s">
        <v>55</v>
      </c>
      <c r="H880" s="11" t="s">
        <v>46</v>
      </c>
      <c r="I880" s="11" t="s">
        <v>45</v>
      </c>
      <c r="J880" s="11">
        <v>0.47</v>
      </c>
      <c r="K880" s="12">
        <v>43161</v>
      </c>
      <c r="L880" s="13" t="str" cm="1">
        <f t="array" ref="L880">_xlfn.IFS(
  OR(ISBLANK(A880),ISBLANK(C880),ISBLANK(J880)),"Missing Value",
  OR(C880&lt;18,C880&gt;120),"Review – Out of Range (Age)",
  J880&lt;0,"Review – Out of Range (Risk Score)",
  TRUE,"OK"
)</f>
        <v>OK</v>
      </c>
    </row>
    <row r="881" spans="1:12" ht="16.8" x14ac:dyDescent="0.3">
      <c r="A881" s="14" t="s">
        <v>1813</v>
      </c>
      <c r="B881" s="14" t="s">
        <v>1814</v>
      </c>
      <c r="C881" s="14">
        <v>62</v>
      </c>
      <c r="D881" s="14" t="s">
        <v>41</v>
      </c>
      <c r="E881" s="14" t="s">
        <v>50</v>
      </c>
      <c r="F881" s="14" t="s">
        <v>65</v>
      </c>
      <c r="G881" s="14" t="s">
        <v>94</v>
      </c>
      <c r="H881" s="14" t="s">
        <v>45</v>
      </c>
      <c r="I881" s="14" t="s">
        <v>46</v>
      </c>
      <c r="J881" s="14">
        <v>0.8</v>
      </c>
      <c r="K881" s="15">
        <v>45142</v>
      </c>
      <c r="L881" s="13" t="str" cm="1">
        <f t="array" ref="L881">_xlfn.IFS(
  OR(ISBLANK(A881),ISBLANK(C881),ISBLANK(J881)),"Missing Value",
  OR(C881&lt;18,C881&gt;120),"Review – Out of Range (Age)",
  J881&lt;0,"Review – Out of Range (Risk Score)",
  TRUE,"OK"
)</f>
        <v>OK</v>
      </c>
    </row>
    <row r="882" spans="1:12" ht="16.8" x14ac:dyDescent="0.3">
      <c r="A882" s="11" t="s">
        <v>1815</v>
      </c>
      <c r="B882" s="11" t="s">
        <v>1816</v>
      </c>
      <c r="C882" s="11">
        <v>31</v>
      </c>
      <c r="D882" s="11" t="s">
        <v>49</v>
      </c>
      <c r="E882" s="11" t="s">
        <v>58</v>
      </c>
      <c r="F882" s="11" t="s">
        <v>43</v>
      </c>
      <c r="G882" s="11" t="s">
        <v>52</v>
      </c>
      <c r="H882" s="11" t="s">
        <v>46</v>
      </c>
      <c r="I882" s="11" t="s">
        <v>46</v>
      </c>
      <c r="J882" s="11">
        <v>0.49</v>
      </c>
      <c r="K882" s="12">
        <v>44167</v>
      </c>
      <c r="L882" s="13" t="str" cm="1">
        <f t="array" ref="L882">_xlfn.IFS(
  OR(ISBLANK(A882),ISBLANK(C882),ISBLANK(J882)),"Missing Value",
  OR(C882&lt;18,C882&gt;120),"Review – Out of Range (Age)",
  J882&lt;0,"Review – Out of Range (Risk Score)",
  TRUE,"OK"
)</f>
        <v>OK</v>
      </c>
    </row>
    <row r="883" spans="1:12" ht="16.8" x14ac:dyDescent="0.3">
      <c r="A883" s="14" t="s">
        <v>1817</v>
      </c>
      <c r="B883" s="14" t="s">
        <v>1818</v>
      </c>
      <c r="C883" s="14">
        <v>56</v>
      </c>
      <c r="D883" s="14" t="s">
        <v>41</v>
      </c>
      <c r="E883" s="14" t="s">
        <v>42</v>
      </c>
      <c r="F883" s="14" t="s">
        <v>43</v>
      </c>
      <c r="G883" s="14" t="s">
        <v>52</v>
      </c>
      <c r="H883" s="14" t="s">
        <v>46</v>
      </c>
      <c r="I883" s="14" t="s">
        <v>46</v>
      </c>
      <c r="J883" s="14">
        <v>0.67</v>
      </c>
      <c r="K883" s="15">
        <v>44109</v>
      </c>
      <c r="L883" s="13" t="str" cm="1">
        <f t="array" ref="L883">_xlfn.IFS(
  OR(ISBLANK(A883),ISBLANK(C883),ISBLANK(J883)),"Missing Value",
  OR(C883&lt;18,C883&gt;120),"Review – Out of Range (Age)",
  J883&lt;0,"Review – Out of Range (Risk Score)",
  TRUE,"OK"
)</f>
        <v>OK</v>
      </c>
    </row>
    <row r="884" spans="1:12" ht="16.8" x14ac:dyDescent="0.3">
      <c r="A884" s="11" t="s">
        <v>1819</v>
      </c>
      <c r="B884" s="11" t="s">
        <v>1820</v>
      </c>
      <c r="C884" s="11">
        <v>35</v>
      </c>
      <c r="D884" s="11" t="s">
        <v>49</v>
      </c>
      <c r="E884" s="11" t="s">
        <v>42</v>
      </c>
      <c r="F884" s="11" t="s">
        <v>65</v>
      </c>
      <c r="G884" s="11" t="s">
        <v>94</v>
      </c>
      <c r="H884" s="11" t="s">
        <v>45</v>
      </c>
      <c r="I884" s="11" t="s">
        <v>45</v>
      </c>
      <c r="J884" s="11">
        <v>0.53</v>
      </c>
      <c r="K884" s="12">
        <v>45070</v>
      </c>
      <c r="L884" s="13" t="str" cm="1">
        <f t="array" ref="L884">_xlfn.IFS(
  OR(ISBLANK(A884),ISBLANK(C884),ISBLANK(J884)),"Missing Value",
  OR(C884&lt;18,C884&gt;120),"Review – Out of Range (Age)",
  J884&lt;0,"Review – Out of Range (Risk Score)",
  TRUE,"OK"
)</f>
        <v>OK</v>
      </c>
    </row>
    <row r="885" spans="1:12" ht="16.8" x14ac:dyDescent="0.3">
      <c r="A885" s="14" t="s">
        <v>1821</v>
      </c>
      <c r="B885" s="14" t="s">
        <v>1822</v>
      </c>
      <c r="C885" s="14">
        <v>34</v>
      </c>
      <c r="D885" s="14" t="s">
        <v>49</v>
      </c>
      <c r="E885" s="14" t="s">
        <v>58</v>
      </c>
      <c r="F885" s="14" t="s">
        <v>51</v>
      </c>
      <c r="G885" s="14" t="s">
        <v>55</v>
      </c>
      <c r="H885" s="14" t="s">
        <v>46</v>
      </c>
      <c r="I885" s="14" t="s">
        <v>45</v>
      </c>
      <c r="J885" s="14">
        <v>0.43</v>
      </c>
      <c r="K885" s="15">
        <v>44295</v>
      </c>
      <c r="L885" s="13" t="str" cm="1">
        <f t="array" ref="L885">_xlfn.IFS(
  OR(ISBLANK(A885),ISBLANK(C885),ISBLANK(J885)),"Missing Value",
  OR(C885&lt;18,C885&gt;120),"Review – Out of Range (Age)",
  J885&lt;0,"Review – Out of Range (Risk Score)",
  TRUE,"OK"
)</f>
        <v>OK</v>
      </c>
    </row>
    <row r="886" spans="1:12" ht="16.8" x14ac:dyDescent="0.3">
      <c r="A886" s="11" t="s">
        <v>1823</v>
      </c>
      <c r="B886" s="11" t="s">
        <v>1824</v>
      </c>
      <c r="C886" s="11">
        <v>33</v>
      </c>
      <c r="D886" s="11" t="s">
        <v>49</v>
      </c>
      <c r="E886" s="11" t="s">
        <v>42</v>
      </c>
      <c r="F886" s="11" t="s">
        <v>59</v>
      </c>
      <c r="G886" s="11" t="s">
        <v>109</v>
      </c>
      <c r="H886" s="11" t="s">
        <v>46</v>
      </c>
      <c r="I886" s="11" t="s">
        <v>46</v>
      </c>
      <c r="J886" s="11">
        <v>0.22</v>
      </c>
      <c r="K886" s="12">
        <v>44654</v>
      </c>
      <c r="L886" s="13" t="str" cm="1">
        <f t="array" ref="L886">_xlfn.IFS(
  OR(ISBLANK(A886),ISBLANK(C886),ISBLANK(J886)),"Missing Value",
  OR(C886&lt;18,C886&gt;120),"Review – Out of Range (Age)",
  J886&lt;0,"Review – Out of Range (Risk Score)",
  TRUE,"OK"
)</f>
        <v>OK</v>
      </c>
    </row>
    <row r="887" spans="1:12" ht="16.8" x14ac:dyDescent="0.3">
      <c r="A887" s="14" t="s">
        <v>1825</v>
      </c>
      <c r="B887" s="14" t="s">
        <v>1826</v>
      </c>
      <c r="C887" s="14">
        <v>32</v>
      </c>
      <c r="D887" s="14" t="s">
        <v>49</v>
      </c>
      <c r="E887" s="14" t="s">
        <v>50</v>
      </c>
      <c r="F887" s="14" t="s">
        <v>43</v>
      </c>
      <c r="G887" s="14" t="s">
        <v>55</v>
      </c>
      <c r="H887" s="14" t="s">
        <v>46</v>
      </c>
      <c r="I887" s="14" t="s">
        <v>45</v>
      </c>
      <c r="J887" s="14">
        <v>0.6</v>
      </c>
      <c r="K887" s="15">
        <v>45213</v>
      </c>
      <c r="L887" s="13" t="str" cm="1">
        <f t="array" ref="L887">_xlfn.IFS(
  OR(ISBLANK(A887),ISBLANK(C887),ISBLANK(J887)),"Missing Value",
  OR(C887&lt;18,C887&gt;120),"Review – Out of Range (Age)",
  J887&lt;0,"Review – Out of Range (Risk Score)",
  TRUE,"OK"
)</f>
        <v>OK</v>
      </c>
    </row>
    <row r="888" spans="1:12" ht="16.8" x14ac:dyDescent="0.3">
      <c r="A888" s="11" t="s">
        <v>1827</v>
      </c>
      <c r="B888" s="11" t="s">
        <v>1828</v>
      </c>
      <c r="C888" s="11">
        <v>29</v>
      </c>
      <c r="D888" s="11" t="s">
        <v>49</v>
      </c>
      <c r="E888" s="11" t="s">
        <v>50</v>
      </c>
      <c r="F888" s="11" t="s">
        <v>65</v>
      </c>
      <c r="G888" s="11" t="s">
        <v>60</v>
      </c>
      <c r="H888" s="11" t="s">
        <v>45</v>
      </c>
      <c r="I888" s="11" t="s">
        <v>45</v>
      </c>
      <c r="J888" s="11">
        <v>0.78</v>
      </c>
      <c r="K888" s="12">
        <v>44652</v>
      </c>
      <c r="L888" s="13" t="str" cm="1">
        <f t="array" ref="L888">_xlfn.IFS(
  OR(ISBLANK(A888),ISBLANK(C888),ISBLANK(J888)),"Missing Value",
  OR(C888&lt;18,C888&gt;120),"Review – Out of Range (Age)",
  J888&lt;0,"Review – Out of Range (Risk Score)",
  TRUE,"OK"
)</f>
        <v>OK</v>
      </c>
    </row>
    <row r="889" spans="1:12" ht="16.8" x14ac:dyDescent="0.3">
      <c r="A889" s="14" t="s">
        <v>1829</v>
      </c>
      <c r="B889" s="14" t="s">
        <v>1830</v>
      </c>
      <c r="C889" s="14">
        <v>36</v>
      </c>
      <c r="D889" s="14" t="s">
        <v>41</v>
      </c>
      <c r="E889" s="14" t="s">
        <v>42</v>
      </c>
      <c r="F889" s="14" t="s">
        <v>59</v>
      </c>
      <c r="G889" s="14" t="s">
        <v>109</v>
      </c>
      <c r="H889" s="14" t="s">
        <v>45</v>
      </c>
      <c r="I889" s="14" t="s">
        <v>45</v>
      </c>
      <c r="J889" s="14">
        <v>0.01</v>
      </c>
      <c r="K889" s="15">
        <v>44078</v>
      </c>
      <c r="L889" s="13" t="str" cm="1">
        <f t="array" ref="L889">_xlfn.IFS(
  OR(ISBLANK(A889),ISBLANK(C889),ISBLANK(J889)),"Missing Value",
  OR(C889&lt;18,C889&gt;120),"Review – Out of Range (Age)",
  J889&lt;0,"Review – Out of Range (Risk Score)",
  TRUE,"OK"
)</f>
        <v>OK</v>
      </c>
    </row>
    <row r="890" spans="1:12" ht="16.8" x14ac:dyDescent="0.3">
      <c r="A890" s="11" t="s">
        <v>1831</v>
      </c>
      <c r="B890" s="11" t="s">
        <v>1832</v>
      </c>
      <c r="C890" s="11">
        <v>49</v>
      </c>
      <c r="D890" s="11" t="s">
        <v>49</v>
      </c>
      <c r="E890" s="11" t="s">
        <v>58</v>
      </c>
      <c r="F890" s="11" t="s">
        <v>65</v>
      </c>
      <c r="G890" s="11" t="s">
        <v>52</v>
      </c>
      <c r="H890" s="11" t="s">
        <v>46</v>
      </c>
      <c r="I890" s="11" t="s">
        <v>45</v>
      </c>
      <c r="J890" s="11">
        <v>0.96</v>
      </c>
      <c r="K890" s="12">
        <v>43958</v>
      </c>
      <c r="L890" s="13" t="str" cm="1">
        <f t="array" ref="L890">_xlfn.IFS(
  OR(ISBLANK(A890),ISBLANK(C890),ISBLANK(J890)),"Missing Value",
  OR(C890&lt;18,C890&gt;120),"Review – Out of Range (Age)",
  J890&lt;0,"Review – Out of Range (Risk Score)",
  TRUE,"OK"
)</f>
        <v>OK</v>
      </c>
    </row>
    <row r="891" spans="1:12" ht="16.8" x14ac:dyDescent="0.3">
      <c r="A891" s="14" t="s">
        <v>1833</v>
      </c>
      <c r="B891" s="14" t="s">
        <v>1834</v>
      </c>
      <c r="C891" s="14">
        <v>38</v>
      </c>
      <c r="D891" s="14" t="s">
        <v>41</v>
      </c>
      <c r="E891" s="14" t="s">
        <v>42</v>
      </c>
      <c r="F891" s="14" t="s">
        <v>59</v>
      </c>
      <c r="G891" s="14" t="s">
        <v>55</v>
      </c>
      <c r="H891" s="14" t="s">
        <v>46</v>
      </c>
      <c r="I891" s="14" t="s">
        <v>46</v>
      </c>
      <c r="J891" s="14">
        <v>0.6</v>
      </c>
      <c r="K891" s="15">
        <v>43848</v>
      </c>
      <c r="L891" s="13" t="str" cm="1">
        <f t="array" ref="L891">_xlfn.IFS(
  OR(ISBLANK(A891),ISBLANK(C891),ISBLANK(J891)),"Missing Value",
  OR(C891&lt;18,C891&gt;120),"Review – Out of Range (Age)",
  J891&lt;0,"Review – Out of Range (Risk Score)",
  TRUE,"OK"
)</f>
        <v>OK</v>
      </c>
    </row>
    <row r="892" spans="1:12" ht="16.8" x14ac:dyDescent="0.3">
      <c r="A892" s="11" t="s">
        <v>1835</v>
      </c>
      <c r="B892" s="11" t="s">
        <v>1836</v>
      </c>
      <c r="C892" s="11">
        <v>34</v>
      </c>
      <c r="D892" s="11" t="s">
        <v>41</v>
      </c>
      <c r="E892" s="11" t="s">
        <v>58</v>
      </c>
      <c r="F892" s="11" t="s">
        <v>51</v>
      </c>
      <c r="G892" s="11" t="s">
        <v>44</v>
      </c>
      <c r="H892" s="11" t="s">
        <v>46</v>
      </c>
      <c r="I892" s="11" t="s">
        <v>45</v>
      </c>
      <c r="J892" s="11">
        <v>0.76</v>
      </c>
      <c r="K892" s="12">
        <v>43182</v>
      </c>
      <c r="L892" s="13" t="str" cm="1">
        <f t="array" ref="L892">_xlfn.IFS(
  OR(ISBLANK(A892),ISBLANK(C892),ISBLANK(J892)),"Missing Value",
  OR(C892&lt;18,C892&gt;120),"Review – Out of Range (Age)",
  J892&lt;0,"Review – Out of Range (Risk Score)",
  TRUE,"OK"
)</f>
        <v>OK</v>
      </c>
    </row>
    <row r="893" spans="1:12" ht="16.8" x14ac:dyDescent="0.3">
      <c r="A893" s="14" t="s">
        <v>1837</v>
      </c>
      <c r="B893" s="14" t="s">
        <v>1838</v>
      </c>
      <c r="C893" s="14">
        <v>23</v>
      </c>
      <c r="D893" s="14" t="s">
        <v>49</v>
      </c>
      <c r="E893" s="14" t="s">
        <v>42</v>
      </c>
      <c r="F893" s="14" t="s">
        <v>65</v>
      </c>
      <c r="G893" s="14" t="s">
        <v>94</v>
      </c>
      <c r="H893" s="14" t="s">
        <v>46</v>
      </c>
      <c r="I893" s="14" t="s">
        <v>46</v>
      </c>
      <c r="J893" s="14">
        <v>0.57999999999999996</v>
      </c>
      <c r="K893" s="15">
        <v>44851</v>
      </c>
      <c r="L893" s="13" t="str" cm="1">
        <f t="array" ref="L893">_xlfn.IFS(
  OR(ISBLANK(A893),ISBLANK(C893),ISBLANK(J893)),"Missing Value",
  OR(C893&lt;18,C893&gt;120),"Review – Out of Range (Age)",
  J893&lt;0,"Review – Out of Range (Risk Score)",
  TRUE,"OK"
)</f>
        <v>OK</v>
      </c>
    </row>
    <row r="894" spans="1:12" ht="16.8" x14ac:dyDescent="0.3">
      <c r="A894" s="11" t="s">
        <v>1839</v>
      </c>
      <c r="B894" s="11" t="s">
        <v>1840</v>
      </c>
      <c r="C894" s="11">
        <v>20</v>
      </c>
      <c r="D894" s="11" t="s">
        <v>49</v>
      </c>
      <c r="E894" s="11" t="s">
        <v>58</v>
      </c>
      <c r="F894" s="11" t="s">
        <v>59</v>
      </c>
      <c r="G894" s="11" t="s">
        <v>55</v>
      </c>
      <c r="H894" s="11" t="s">
        <v>45</v>
      </c>
      <c r="I894" s="11" t="s">
        <v>46</v>
      </c>
      <c r="J894" s="11">
        <v>0.75</v>
      </c>
      <c r="K894" s="12">
        <v>44146</v>
      </c>
      <c r="L894" s="13" t="str" cm="1">
        <f t="array" ref="L894">_xlfn.IFS(
  OR(ISBLANK(A894),ISBLANK(C894),ISBLANK(J894)),"Missing Value",
  OR(C894&lt;18,C894&gt;120),"Review – Out of Range (Age)",
  J894&lt;0,"Review – Out of Range (Risk Score)",
  TRUE,"OK"
)</f>
        <v>OK</v>
      </c>
    </row>
    <row r="895" spans="1:12" ht="16.8" x14ac:dyDescent="0.3">
      <c r="A895" s="14" t="s">
        <v>1841</v>
      </c>
      <c r="B895" s="14" t="s">
        <v>1842</v>
      </c>
      <c r="C895" s="14">
        <v>19</v>
      </c>
      <c r="D895" s="14" t="s">
        <v>49</v>
      </c>
      <c r="E895" s="14" t="s">
        <v>58</v>
      </c>
      <c r="F895" s="14" t="s">
        <v>65</v>
      </c>
      <c r="G895" s="14" t="s">
        <v>60</v>
      </c>
      <c r="H895" s="14" t="s">
        <v>46</v>
      </c>
      <c r="I895" s="14" t="s">
        <v>45</v>
      </c>
      <c r="J895" s="14">
        <v>0.23</v>
      </c>
      <c r="K895" s="15">
        <v>43900</v>
      </c>
      <c r="L895" s="13" t="str" cm="1">
        <f t="array" ref="L895">_xlfn.IFS(
  OR(ISBLANK(A895),ISBLANK(C895),ISBLANK(J895)),"Missing Value",
  OR(C895&lt;18,C895&gt;120),"Review – Out of Range (Age)",
  J895&lt;0,"Review – Out of Range (Risk Score)",
  TRUE,"OK"
)</f>
        <v>OK</v>
      </c>
    </row>
    <row r="896" spans="1:12" ht="16.8" x14ac:dyDescent="0.3">
      <c r="A896" s="11" t="s">
        <v>1843</v>
      </c>
      <c r="B896" s="11" t="s">
        <v>1844</v>
      </c>
      <c r="C896" s="11">
        <v>38</v>
      </c>
      <c r="D896" s="11" t="s">
        <v>49</v>
      </c>
      <c r="E896" s="11" t="s">
        <v>42</v>
      </c>
      <c r="F896" s="11" t="s">
        <v>59</v>
      </c>
      <c r="G896" s="11" t="s">
        <v>109</v>
      </c>
      <c r="H896" s="11" t="s">
        <v>45</v>
      </c>
      <c r="I896" s="11" t="s">
        <v>45</v>
      </c>
      <c r="J896" s="11">
        <v>0.93</v>
      </c>
      <c r="K896" s="12">
        <v>43730</v>
      </c>
      <c r="L896" s="13" t="str" cm="1">
        <f t="array" ref="L896">_xlfn.IFS(
  OR(ISBLANK(A896),ISBLANK(C896),ISBLANK(J896)),"Missing Value",
  OR(C896&lt;18,C896&gt;120),"Review – Out of Range (Age)",
  J896&lt;0,"Review – Out of Range (Risk Score)",
  TRUE,"OK"
)</f>
        <v>OK</v>
      </c>
    </row>
    <row r="897" spans="1:12" ht="16.8" x14ac:dyDescent="0.3">
      <c r="A897" s="14" t="s">
        <v>1845</v>
      </c>
      <c r="B897" s="14" t="s">
        <v>1846</v>
      </c>
      <c r="C897" s="14">
        <v>24</v>
      </c>
      <c r="D897" s="14" t="s">
        <v>41</v>
      </c>
      <c r="E897" s="14" t="s">
        <v>58</v>
      </c>
      <c r="F897" s="14" t="s">
        <v>59</v>
      </c>
      <c r="G897" s="14" t="s">
        <v>94</v>
      </c>
      <c r="H897" s="14" t="s">
        <v>46</v>
      </c>
      <c r="I897" s="14" t="s">
        <v>46</v>
      </c>
      <c r="J897" s="14">
        <v>0.42</v>
      </c>
      <c r="K897" s="15">
        <v>44818</v>
      </c>
      <c r="L897" s="13" t="str" cm="1">
        <f t="array" ref="L897">_xlfn.IFS(
  OR(ISBLANK(A897),ISBLANK(C897),ISBLANK(J897)),"Missing Value",
  OR(C897&lt;18,C897&gt;120),"Review – Out of Range (Age)",
  J897&lt;0,"Review – Out of Range (Risk Score)",
  TRUE,"OK"
)</f>
        <v>OK</v>
      </c>
    </row>
    <row r="898" spans="1:12" ht="16.8" x14ac:dyDescent="0.3">
      <c r="A898" s="11" t="s">
        <v>1847</v>
      </c>
      <c r="B898" s="11" t="s">
        <v>1848</v>
      </c>
      <c r="C898" s="11">
        <v>66</v>
      </c>
      <c r="D898" s="11" t="s">
        <v>49</v>
      </c>
      <c r="E898" s="11" t="s">
        <v>58</v>
      </c>
      <c r="F898" s="11" t="s">
        <v>43</v>
      </c>
      <c r="G898" s="11" t="s">
        <v>55</v>
      </c>
      <c r="H898" s="11" t="s">
        <v>45</v>
      </c>
      <c r="I898" s="11" t="s">
        <v>45</v>
      </c>
      <c r="J898" s="11">
        <v>0.36</v>
      </c>
      <c r="K898" s="12">
        <v>44018</v>
      </c>
      <c r="L898" s="13" t="str" cm="1">
        <f t="array" ref="L898">_xlfn.IFS(
  OR(ISBLANK(A898),ISBLANK(C898),ISBLANK(J898)),"Missing Value",
  OR(C898&lt;18,C898&gt;120),"Review – Out of Range (Age)",
  J898&lt;0,"Review – Out of Range (Risk Score)",
  TRUE,"OK"
)</f>
        <v>OK</v>
      </c>
    </row>
    <row r="899" spans="1:12" ht="16.8" x14ac:dyDescent="0.3">
      <c r="A899" s="14" t="s">
        <v>1849</v>
      </c>
      <c r="B899" s="14" t="s">
        <v>1850</v>
      </c>
      <c r="C899" s="14">
        <v>25</v>
      </c>
      <c r="D899" s="14" t="s">
        <v>41</v>
      </c>
      <c r="E899" s="14" t="s">
        <v>42</v>
      </c>
      <c r="F899" s="14" t="s">
        <v>51</v>
      </c>
      <c r="G899" s="14" t="s">
        <v>94</v>
      </c>
      <c r="H899" s="14" t="s">
        <v>45</v>
      </c>
      <c r="I899" s="14" t="s">
        <v>46</v>
      </c>
      <c r="J899" s="14">
        <v>0.34</v>
      </c>
      <c r="K899" s="15">
        <v>43392</v>
      </c>
      <c r="L899" s="13" t="str" cm="1">
        <f t="array" ref="L899">_xlfn.IFS(
  OR(ISBLANK(A899),ISBLANK(C899),ISBLANK(J899)),"Missing Value",
  OR(C899&lt;18,C899&gt;120),"Review – Out of Range (Age)",
  J899&lt;0,"Review – Out of Range (Risk Score)",
  TRUE,"OK"
)</f>
        <v>OK</v>
      </c>
    </row>
    <row r="900" spans="1:12" ht="16.8" x14ac:dyDescent="0.3">
      <c r="A900" s="11" t="s">
        <v>1851</v>
      </c>
      <c r="B900" s="11" t="s">
        <v>1852</v>
      </c>
      <c r="C900" s="11">
        <v>58</v>
      </c>
      <c r="D900" s="11" t="s">
        <v>49</v>
      </c>
      <c r="E900" s="11" t="s">
        <v>58</v>
      </c>
      <c r="F900" s="11" t="s">
        <v>65</v>
      </c>
      <c r="G900" s="11" t="s">
        <v>109</v>
      </c>
      <c r="H900" s="11" t="s">
        <v>45</v>
      </c>
      <c r="I900" s="11" t="s">
        <v>46</v>
      </c>
      <c r="J900" s="11">
        <v>0.73</v>
      </c>
      <c r="K900" s="12">
        <v>43121</v>
      </c>
      <c r="L900" s="13" t="str" cm="1">
        <f t="array" ref="L900">_xlfn.IFS(
  OR(ISBLANK(A900),ISBLANK(C900),ISBLANK(J900)),"Missing Value",
  OR(C900&lt;18,C900&gt;120),"Review – Out of Range (Age)",
  J900&lt;0,"Review – Out of Range (Risk Score)",
  TRUE,"OK"
)</f>
        <v>OK</v>
      </c>
    </row>
    <row r="901" spans="1:12" ht="16.8" x14ac:dyDescent="0.3">
      <c r="A901" s="14" t="s">
        <v>1853</v>
      </c>
      <c r="B901" s="14" t="s">
        <v>1854</v>
      </c>
      <c r="C901" s="14">
        <v>22</v>
      </c>
      <c r="D901" s="14" t="s">
        <v>41</v>
      </c>
      <c r="E901" s="14" t="s">
        <v>42</v>
      </c>
      <c r="F901" s="14" t="s">
        <v>51</v>
      </c>
      <c r="G901" s="14" t="s">
        <v>52</v>
      </c>
      <c r="H901" s="14" t="s">
        <v>46</v>
      </c>
      <c r="I901" s="14" t="s">
        <v>45</v>
      </c>
      <c r="J901" s="14">
        <v>0.36</v>
      </c>
      <c r="K901" s="15">
        <v>44670</v>
      </c>
      <c r="L901" s="13" t="str" cm="1">
        <f t="array" ref="L901">_xlfn.IFS(
  OR(ISBLANK(A901),ISBLANK(C901),ISBLANK(J901)),"Missing Value",
  OR(C901&lt;18,C901&gt;120),"Review – Out of Range (Age)",
  J901&lt;0,"Review – Out of Range (Risk Score)",
  TRUE,"OK"
)</f>
        <v>OK</v>
      </c>
    </row>
    <row r="902" spans="1:12" ht="16.8" x14ac:dyDescent="0.3">
      <c r="A902" s="11" t="s">
        <v>1855</v>
      </c>
      <c r="B902" s="11" t="s">
        <v>1856</v>
      </c>
      <c r="C902" s="11">
        <v>24</v>
      </c>
      <c r="D902" s="11" t="s">
        <v>41</v>
      </c>
      <c r="E902" s="11" t="s">
        <v>42</v>
      </c>
      <c r="F902" s="11" t="s">
        <v>43</v>
      </c>
      <c r="G902" s="11" t="s">
        <v>94</v>
      </c>
      <c r="H902" s="11" t="s">
        <v>46</v>
      </c>
      <c r="I902" s="11" t="s">
        <v>45</v>
      </c>
      <c r="J902" s="11">
        <v>0.42</v>
      </c>
      <c r="K902" s="12">
        <v>44276</v>
      </c>
      <c r="L902" s="13" t="str" cm="1">
        <f t="array" ref="L902">_xlfn.IFS(
  OR(ISBLANK(A902),ISBLANK(C902),ISBLANK(J902)),"Missing Value",
  OR(C902&lt;18,C902&gt;120),"Review – Out of Range (Age)",
  J902&lt;0,"Review – Out of Range (Risk Score)",
  TRUE,"OK"
)</f>
        <v>OK</v>
      </c>
    </row>
    <row r="903" spans="1:12" ht="16.8" x14ac:dyDescent="0.3">
      <c r="A903" s="14" t="s">
        <v>1857</v>
      </c>
      <c r="B903" s="14" t="s">
        <v>1858</v>
      </c>
      <c r="C903" s="14">
        <v>61</v>
      </c>
      <c r="D903" s="14" t="s">
        <v>49</v>
      </c>
      <c r="E903" s="14" t="s">
        <v>42</v>
      </c>
      <c r="F903" s="14" t="s">
        <v>59</v>
      </c>
      <c r="G903" s="14" t="s">
        <v>44</v>
      </c>
      <c r="H903" s="14" t="s">
        <v>45</v>
      </c>
      <c r="I903" s="14" t="s">
        <v>45</v>
      </c>
      <c r="J903" s="14">
        <v>0.59</v>
      </c>
      <c r="K903" s="15">
        <v>43897</v>
      </c>
      <c r="L903" s="13" t="str" cm="1">
        <f t="array" ref="L903">_xlfn.IFS(
  OR(ISBLANK(A903),ISBLANK(C903),ISBLANK(J903)),"Missing Value",
  OR(C903&lt;18,C903&gt;120),"Review – Out of Range (Age)",
  J903&lt;0,"Review – Out of Range (Risk Score)",
  TRUE,"OK"
)</f>
        <v>OK</v>
      </c>
    </row>
    <row r="904" spans="1:12" ht="16.8" x14ac:dyDescent="0.3">
      <c r="A904" s="11" t="s">
        <v>1859</v>
      </c>
      <c r="B904" s="11" t="s">
        <v>1860</v>
      </c>
      <c r="C904" s="11">
        <v>49</v>
      </c>
      <c r="D904" s="11" t="s">
        <v>41</v>
      </c>
      <c r="E904" s="11" t="s">
        <v>42</v>
      </c>
      <c r="F904" s="11" t="s">
        <v>65</v>
      </c>
      <c r="G904" s="11" t="s">
        <v>60</v>
      </c>
      <c r="H904" s="11" t="s">
        <v>45</v>
      </c>
      <c r="I904" s="11" t="s">
        <v>46</v>
      </c>
      <c r="J904" s="11">
        <v>0.39</v>
      </c>
      <c r="K904" s="12">
        <v>45116</v>
      </c>
      <c r="L904" s="13" t="str" cm="1">
        <f t="array" ref="L904">_xlfn.IFS(
  OR(ISBLANK(A904),ISBLANK(C904),ISBLANK(J904)),"Missing Value",
  OR(C904&lt;18,C904&gt;120),"Review – Out of Range (Age)",
  J904&lt;0,"Review – Out of Range (Risk Score)",
  TRUE,"OK"
)</f>
        <v>OK</v>
      </c>
    </row>
    <row r="905" spans="1:12" ht="16.8" x14ac:dyDescent="0.3">
      <c r="A905" s="14" t="s">
        <v>1861</v>
      </c>
      <c r="B905" s="14" t="s">
        <v>1862</v>
      </c>
      <c r="C905" s="14">
        <v>22</v>
      </c>
      <c r="D905" s="14" t="s">
        <v>41</v>
      </c>
      <c r="E905" s="14" t="s">
        <v>50</v>
      </c>
      <c r="F905" s="14" t="s">
        <v>51</v>
      </c>
      <c r="G905" s="14" t="s">
        <v>44</v>
      </c>
      <c r="H905" s="14" t="s">
        <v>45</v>
      </c>
      <c r="I905" s="14" t="s">
        <v>45</v>
      </c>
      <c r="J905" s="14">
        <v>0.38</v>
      </c>
      <c r="K905" s="15">
        <v>43890</v>
      </c>
      <c r="L905" s="13" t="str" cm="1">
        <f t="array" ref="L905">_xlfn.IFS(
  OR(ISBLANK(A905),ISBLANK(C905),ISBLANK(J905)),"Missing Value",
  OR(C905&lt;18,C905&gt;120),"Review – Out of Range (Age)",
  J905&lt;0,"Review – Out of Range (Risk Score)",
  TRUE,"OK"
)</f>
        <v>OK</v>
      </c>
    </row>
    <row r="906" spans="1:12" ht="16.8" x14ac:dyDescent="0.3">
      <c r="A906" s="11" t="s">
        <v>1863</v>
      </c>
      <c r="B906" s="11" t="s">
        <v>1864</v>
      </c>
      <c r="C906" s="11">
        <v>56</v>
      </c>
      <c r="D906" s="11" t="s">
        <v>41</v>
      </c>
      <c r="E906" s="11" t="s">
        <v>58</v>
      </c>
      <c r="F906" s="11" t="s">
        <v>65</v>
      </c>
      <c r="G906" s="11" t="s">
        <v>52</v>
      </c>
      <c r="H906" s="11" t="s">
        <v>45</v>
      </c>
      <c r="I906" s="11" t="s">
        <v>46</v>
      </c>
      <c r="J906" s="11">
        <v>0.77</v>
      </c>
      <c r="K906" s="12">
        <v>44639</v>
      </c>
      <c r="L906" s="13" t="str" cm="1">
        <f t="array" ref="L906">_xlfn.IFS(
  OR(ISBLANK(A906),ISBLANK(C906),ISBLANK(J906)),"Missing Value",
  OR(C906&lt;18,C906&gt;120),"Review – Out of Range (Age)",
  J906&lt;0,"Review – Out of Range (Risk Score)",
  TRUE,"OK"
)</f>
        <v>OK</v>
      </c>
    </row>
    <row r="907" spans="1:12" ht="16.8" x14ac:dyDescent="0.3">
      <c r="A907" s="14" t="s">
        <v>1865</v>
      </c>
      <c r="B907" s="14" t="s">
        <v>1866</v>
      </c>
      <c r="C907" s="14">
        <v>56</v>
      </c>
      <c r="D907" s="14" t="s">
        <v>41</v>
      </c>
      <c r="E907" s="14" t="s">
        <v>50</v>
      </c>
      <c r="F907" s="14" t="s">
        <v>59</v>
      </c>
      <c r="G907" s="14" t="s">
        <v>44</v>
      </c>
      <c r="H907" s="14" t="s">
        <v>45</v>
      </c>
      <c r="I907" s="14" t="s">
        <v>46</v>
      </c>
      <c r="J907" s="14">
        <v>0.78</v>
      </c>
      <c r="K907" s="15">
        <v>44554</v>
      </c>
      <c r="L907" s="13" t="str" cm="1">
        <f t="array" ref="L907">_xlfn.IFS(
  OR(ISBLANK(A907),ISBLANK(C907),ISBLANK(J907)),"Missing Value",
  OR(C907&lt;18,C907&gt;120),"Review – Out of Range (Age)",
  J907&lt;0,"Review – Out of Range (Risk Score)",
  TRUE,"OK"
)</f>
        <v>OK</v>
      </c>
    </row>
    <row r="908" spans="1:12" ht="16.8" x14ac:dyDescent="0.3">
      <c r="A908" s="11" t="s">
        <v>1867</v>
      </c>
      <c r="B908" s="11" t="s">
        <v>1868</v>
      </c>
      <c r="C908" s="11">
        <v>34</v>
      </c>
      <c r="D908" s="11" t="s">
        <v>49</v>
      </c>
      <c r="E908" s="11" t="s">
        <v>42</v>
      </c>
      <c r="F908" s="11" t="s">
        <v>43</v>
      </c>
      <c r="G908" s="11" t="s">
        <v>109</v>
      </c>
      <c r="H908" s="11" t="s">
        <v>45</v>
      </c>
      <c r="I908" s="11" t="s">
        <v>46</v>
      </c>
      <c r="J908" s="11">
        <v>0.65</v>
      </c>
      <c r="K908" s="12">
        <v>44922</v>
      </c>
      <c r="L908" s="13" t="str" cm="1">
        <f t="array" ref="L908">_xlfn.IFS(
  OR(ISBLANK(A908),ISBLANK(C908),ISBLANK(J908)),"Missing Value",
  OR(C908&lt;18,C908&gt;120),"Review – Out of Range (Age)",
  J908&lt;0,"Review – Out of Range (Risk Score)",
  TRUE,"OK"
)</f>
        <v>OK</v>
      </c>
    </row>
    <row r="909" spans="1:12" ht="16.8" x14ac:dyDescent="0.3">
      <c r="A909" s="14" t="s">
        <v>1869</v>
      </c>
      <c r="B909" s="14" t="s">
        <v>1870</v>
      </c>
      <c r="C909" s="14">
        <v>34</v>
      </c>
      <c r="D909" s="14" t="s">
        <v>41</v>
      </c>
      <c r="E909" s="14" t="s">
        <v>58</v>
      </c>
      <c r="F909" s="14" t="s">
        <v>51</v>
      </c>
      <c r="G909" s="14" t="s">
        <v>109</v>
      </c>
      <c r="H909" s="14" t="s">
        <v>46</v>
      </c>
      <c r="I909" s="14" t="s">
        <v>45</v>
      </c>
      <c r="J909" s="14">
        <v>0.77</v>
      </c>
      <c r="K909" s="15">
        <v>43464</v>
      </c>
      <c r="L909" s="13" t="str" cm="1">
        <f t="array" ref="L909">_xlfn.IFS(
  OR(ISBLANK(A909),ISBLANK(C909),ISBLANK(J909)),"Missing Value",
  OR(C909&lt;18,C909&gt;120),"Review – Out of Range (Age)",
  J909&lt;0,"Review – Out of Range (Risk Score)",
  TRUE,"OK"
)</f>
        <v>OK</v>
      </c>
    </row>
    <row r="910" spans="1:12" ht="16.8" x14ac:dyDescent="0.3">
      <c r="A910" s="11" t="s">
        <v>1871</v>
      </c>
      <c r="B910" s="11" t="s">
        <v>1872</v>
      </c>
      <c r="C910" s="11">
        <v>45</v>
      </c>
      <c r="D910" s="11" t="s">
        <v>41</v>
      </c>
      <c r="E910" s="11" t="s">
        <v>58</v>
      </c>
      <c r="F910" s="11" t="s">
        <v>65</v>
      </c>
      <c r="G910" s="11" t="s">
        <v>109</v>
      </c>
      <c r="H910" s="11" t="s">
        <v>46</v>
      </c>
      <c r="I910" s="11" t="s">
        <v>45</v>
      </c>
      <c r="J910" s="11">
        <v>0.3</v>
      </c>
      <c r="K910" s="12">
        <v>44238</v>
      </c>
      <c r="L910" s="13" t="str" cm="1">
        <f t="array" ref="L910">_xlfn.IFS(
  OR(ISBLANK(A910),ISBLANK(C910),ISBLANK(J910)),"Missing Value",
  OR(C910&lt;18,C910&gt;120),"Review – Out of Range (Age)",
  J910&lt;0,"Review – Out of Range (Risk Score)",
  TRUE,"OK"
)</f>
        <v>OK</v>
      </c>
    </row>
    <row r="911" spans="1:12" ht="16.8" x14ac:dyDescent="0.3">
      <c r="A911" s="14" t="s">
        <v>1873</v>
      </c>
      <c r="B911" s="14" t="s">
        <v>1874</v>
      </c>
      <c r="C911" s="14">
        <v>33</v>
      </c>
      <c r="D911" s="14" t="s">
        <v>49</v>
      </c>
      <c r="E911" s="14" t="s">
        <v>42</v>
      </c>
      <c r="F911" s="14" t="s">
        <v>51</v>
      </c>
      <c r="G911" s="14" t="s">
        <v>94</v>
      </c>
      <c r="H911" s="14" t="s">
        <v>45</v>
      </c>
      <c r="I911" s="14" t="s">
        <v>46</v>
      </c>
      <c r="J911" s="14">
        <v>0.45</v>
      </c>
      <c r="K911" s="15">
        <v>44208</v>
      </c>
      <c r="L911" s="13" t="str" cm="1">
        <f t="array" ref="L911">_xlfn.IFS(
  OR(ISBLANK(A911),ISBLANK(C911),ISBLANK(J911)),"Missing Value",
  OR(C911&lt;18,C911&gt;120),"Review – Out of Range (Age)",
  J911&lt;0,"Review – Out of Range (Risk Score)",
  TRUE,"OK"
)</f>
        <v>OK</v>
      </c>
    </row>
    <row r="912" spans="1:12" ht="16.8" x14ac:dyDescent="0.3">
      <c r="A912" s="11" t="s">
        <v>1875</v>
      </c>
      <c r="B912" s="11" t="s">
        <v>1876</v>
      </c>
      <c r="C912" s="11">
        <v>31</v>
      </c>
      <c r="D912" s="11" t="s">
        <v>49</v>
      </c>
      <c r="E912" s="11" t="s">
        <v>58</v>
      </c>
      <c r="F912" s="11" t="s">
        <v>43</v>
      </c>
      <c r="G912" s="11" t="s">
        <v>44</v>
      </c>
      <c r="H912" s="11" t="s">
        <v>45</v>
      </c>
      <c r="I912" s="11" t="s">
        <v>45</v>
      </c>
      <c r="J912" s="11">
        <v>0.39</v>
      </c>
      <c r="K912" s="12">
        <v>44617</v>
      </c>
      <c r="L912" s="13" t="str" cm="1">
        <f t="array" ref="L912">_xlfn.IFS(
  OR(ISBLANK(A912),ISBLANK(C912),ISBLANK(J912)),"Missing Value",
  OR(C912&lt;18,C912&gt;120),"Review – Out of Range (Age)",
  J912&lt;0,"Review – Out of Range (Risk Score)",
  TRUE,"OK"
)</f>
        <v>OK</v>
      </c>
    </row>
    <row r="913" spans="1:12" ht="16.8" x14ac:dyDescent="0.3">
      <c r="A913" s="14" t="s">
        <v>1877</v>
      </c>
      <c r="B913" s="14" t="s">
        <v>1878</v>
      </c>
      <c r="C913" s="14">
        <v>50</v>
      </c>
      <c r="D913" s="14" t="s">
        <v>49</v>
      </c>
      <c r="E913" s="14" t="s">
        <v>50</v>
      </c>
      <c r="F913" s="14" t="s">
        <v>43</v>
      </c>
      <c r="G913" s="14" t="s">
        <v>52</v>
      </c>
      <c r="H913" s="14" t="s">
        <v>45</v>
      </c>
      <c r="I913" s="14" t="s">
        <v>46</v>
      </c>
      <c r="J913" s="14">
        <v>0.73</v>
      </c>
      <c r="K913" s="15">
        <v>43671</v>
      </c>
      <c r="L913" s="13" t="str" cm="1">
        <f t="array" ref="L913">_xlfn.IFS(
  OR(ISBLANK(A913),ISBLANK(C913),ISBLANK(J913)),"Missing Value",
  OR(C913&lt;18,C913&gt;120),"Review – Out of Range (Age)",
  J913&lt;0,"Review – Out of Range (Risk Score)",
  TRUE,"OK"
)</f>
        <v>OK</v>
      </c>
    </row>
    <row r="914" spans="1:12" ht="16.8" x14ac:dyDescent="0.3">
      <c r="A914" s="11" t="s">
        <v>1879</v>
      </c>
      <c r="B914" s="11" t="s">
        <v>1880</v>
      </c>
      <c r="C914" s="11">
        <v>47</v>
      </c>
      <c r="D914" s="11" t="s">
        <v>49</v>
      </c>
      <c r="E914" s="11" t="s">
        <v>58</v>
      </c>
      <c r="F914" s="11" t="s">
        <v>65</v>
      </c>
      <c r="G914" s="11" t="s">
        <v>55</v>
      </c>
      <c r="H914" s="11" t="s">
        <v>46</v>
      </c>
      <c r="I914" s="11" t="s">
        <v>45</v>
      </c>
      <c r="J914" s="11">
        <v>0.89</v>
      </c>
      <c r="K914" s="12">
        <v>43112</v>
      </c>
      <c r="L914" s="13" t="str" cm="1">
        <f t="array" ref="L914">_xlfn.IFS(
  OR(ISBLANK(A914),ISBLANK(C914),ISBLANK(J914)),"Missing Value",
  OR(C914&lt;18,C914&gt;120),"Review – Out of Range (Age)",
  J914&lt;0,"Review – Out of Range (Risk Score)",
  TRUE,"OK"
)</f>
        <v>OK</v>
      </c>
    </row>
    <row r="915" spans="1:12" ht="16.8" x14ac:dyDescent="0.3">
      <c r="A915" s="14" t="s">
        <v>1881</v>
      </c>
      <c r="B915" s="14" t="s">
        <v>1882</v>
      </c>
      <c r="C915" s="14">
        <v>63</v>
      </c>
      <c r="D915" s="14" t="s">
        <v>49</v>
      </c>
      <c r="E915" s="14" t="s">
        <v>50</v>
      </c>
      <c r="F915" s="14" t="s">
        <v>65</v>
      </c>
      <c r="G915" s="14" t="s">
        <v>109</v>
      </c>
      <c r="H915" s="14" t="s">
        <v>46</v>
      </c>
      <c r="I915" s="14" t="s">
        <v>46</v>
      </c>
      <c r="J915" s="14">
        <v>0.68</v>
      </c>
      <c r="K915" s="15">
        <v>44089</v>
      </c>
      <c r="L915" s="13" t="str" cm="1">
        <f t="array" ref="L915">_xlfn.IFS(
  OR(ISBLANK(A915),ISBLANK(C915),ISBLANK(J915)),"Missing Value",
  OR(C915&lt;18,C915&gt;120),"Review – Out of Range (Age)",
  J915&lt;0,"Review – Out of Range (Risk Score)",
  TRUE,"OK"
)</f>
        <v>OK</v>
      </c>
    </row>
    <row r="916" spans="1:12" ht="16.8" x14ac:dyDescent="0.3">
      <c r="A916" s="11" t="s">
        <v>1883</v>
      </c>
      <c r="B916" s="11" t="s">
        <v>1884</v>
      </c>
      <c r="C916" s="11">
        <v>32</v>
      </c>
      <c r="D916" s="11" t="s">
        <v>41</v>
      </c>
      <c r="E916" s="11" t="s">
        <v>42</v>
      </c>
      <c r="F916" s="11" t="s">
        <v>65</v>
      </c>
      <c r="G916" s="11" t="s">
        <v>44</v>
      </c>
      <c r="H916" s="11" t="s">
        <v>46</v>
      </c>
      <c r="I916" s="11" t="s">
        <v>46</v>
      </c>
      <c r="J916" s="11">
        <v>0.55000000000000004</v>
      </c>
      <c r="K916" s="12">
        <v>44373</v>
      </c>
      <c r="L916" s="13" t="str" cm="1">
        <f t="array" ref="L916">_xlfn.IFS(
  OR(ISBLANK(A916),ISBLANK(C916),ISBLANK(J916)),"Missing Value",
  OR(C916&lt;18,C916&gt;120),"Review – Out of Range (Age)",
  J916&lt;0,"Review – Out of Range (Risk Score)",
  TRUE,"OK"
)</f>
        <v>OK</v>
      </c>
    </row>
    <row r="917" spans="1:12" ht="16.8" x14ac:dyDescent="0.3">
      <c r="A917" s="14" t="s">
        <v>1885</v>
      </c>
      <c r="B917" s="14" t="s">
        <v>1886</v>
      </c>
      <c r="C917" s="14">
        <v>27</v>
      </c>
      <c r="D917" s="14" t="s">
        <v>49</v>
      </c>
      <c r="E917" s="14" t="s">
        <v>50</v>
      </c>
      <c r="F917" s="14" t="s">
        <v>51</v>
      </c>
      <c r="G917" s="14" t="s">
        <v>44</v>
      </c>
      <c r="H917" s="14" t="s">
        <v>46</v>
      </c>
      <c r="I917" s="14" t="s">
        <v>45</v>
      </c>
      <c r="J917" s="14">
        <v>0.52</v>
      </c>
      <c r="K917" s="15">
        <v>44470</v>
      </c>
      <c r="L917" s="13" t="str" cm="1">
        <f t="array" ref="L917">_xlfn.IFS(
  OR(ISBLANK(A917),ISBLANK(C917),ISBLANK(J917)),"Missing Value",
  OR(C917&lt;18,C917&gt;120),"Review – Out of Range (Age)",
  J917&lt;0,"Review – Out of Range (Risk Score)",
  TRUE,"OK"
)</f>
        <v>OK</v>
      </c>
    </row>
    <row r="918" spans="1:12" ht="16.8" x14ac:dyDescent="0.3">
      <c r="A918" s="11" t="s">
        <v>1887</v>
      </c>
      <c r="B918" s="11" t="s">
        <v>1888</v>
      </c>
      <c r="C918" s="11">
        <v>37</v>
      </c>
      <c r="D918" s="11" t="s">
        <v>41</v>
      </c>
      <c r="E918" s="11" t="s">
        <v>58</v>
      </c>
      <c r="F918" s="11" t="s">
        <v>59</v>
      </c>
      <c r="G918" s="11" t="s">
        <v>55</v>
      </c>
      <c r="H918" s="11" t="s">
        <v>45</v>
      </c>
      <c r="I918" s="11" t="s">
        <v>46</v>
      </c>
      <c r="J918" s="11">
        <v>0.35</v>
      </c>
      <c r="K918" s="12">
        <v>44314</v>
      </c>
      <c r="L918" s="13" t="str" cm="1">
        <f t="array" ref="L918">_xlfn.IFS(
  OR(ISBLANK(A918),ISBLANK(C918),ISBLANK(J918)),"Missing Value",
  OR(C918&lt;18,C918&gt;120),"Review – Out of Range (Age)",
  J918&lt;0,"Review – Out of Range (Risk Score)",
  TRUE,"OK"
)</f>
        <v>OK</v>
      </c>
    </row>
    <row r="919" spans="1:12" ht="16.8" x14ac:dyDescent="0.3">
      <c r="A919" s="14" t="s">
        <v>1889</v>
      </c>
      <c r="B919" s="14" t="s">
        <v>1890</v>
      </c>
      <c r="C919" s="14">
        <v>65</v>
      </c>
      <c r="D919" s="14" t="s">
        <v>41</v>
      </c>
      <c r="E919" s="14" t="s">
        <v>50</v>
      </c>
      <c r="F919" s="14" t="s">
        <v>51</v>
      </c>
      <c r="G919" s="14" t="s">
        <v>44</v>
      </c>
      <c r="H919" s="14" t="s">
        <v>46</v>
      </c>
      <c r="I919" s="14" t="s">
        <v>45</v>
      </c>
      <c r="J919" s="14">
        <v>0.04</v>
      </c>
      <c r="K919" s="15">
        <v>43711</v>
      </c>
      <c r="L919" s="13" t="str" cm="1">
        <f t="array" ref="L919">_xlfn.IFS(
  OR(ISBLANK(A919),ISBLANK(C919),ISBLANK(J919)),"Missing Value",
  OR(C919&lt;18,C919&gt;120),"Review – Out of Range (Age)",
  J919&lt;0,"Review – Out of Range (Risk Score)",
  TRUE,"OK"
)</f>
        <v>OK</v>
      </c>
    </row>
    <row r="920" spans="1:12" ht="16.8" x14ac:dyDescent="0.3">
      <c r="A920" s="11" t="s">
        <v>1891</v>
      </c>
      <c r="B920" s="11" t="s">
        <v>1892</v>
      </c>
      <c r="C920" s="11">
        <v>53</v>
      </c>
      <c r="D920" s="11" t="s">
        <v>41</v>
      </c>
      <c r="E920" s="11" t="s">
        <v>42</v>
      </c>
      <c r="F920" s="11" t="s">
        <v>43</v>
      </c>
      <c r="G920" s="11" t="s">
        <v>44</v>
      </c>
      <c r="H920" s="11" t="s">
        <v>46</v>
      </c>
      <c r="I920" s="11" t="s">
        <v>45</v>
      </c>
      <c r="J920" s="11">
        <v>0.55000000000000004</v>
      </c>
      <c r="K920" s="12">
        <v>43324</v>
      </c>
      <c r="L920" s="13" t="str" cm="1">
        <f t="array" ref="L920">_xlfn.IFS(
  OR(ISBLANK(A920),ISBLANK(C920),ISBLANK(J920)),"Missing Value",
  OR(C920&lt;18,C920&gt;120),"Review – Out of Range (Age)",
  J920&lt;0,"Review – Out of Range (Risk Score)",
  TRUE,"OK"
)</f>
        <v>OK</v>
      </c>
    </row>
    <row r="921" spans="1:12" ht="16.8" x14ac:dyDescent="0.3">
      <c r="A921" s="14" t="s">
        <v>1893</v>
      </c>
      <c r="B921" s="14" t="s">
        <v>1894</v>
      </c>
      <c r="C921" s="14">
        <v>57</v>
      </c>
      <c r="D921" s="14" t="s">
        <v>41</v>
      </c>
      <c r="E921" s="14" t="s">
        <v>50</v>
      </c>
      <c r="F921" s="14" t="s">
        <v>43</v>
      </c>
      <c r="G921" s="14" t="s">
        <v>52</v>
      </c>
      <c r="H921" s="14" t="s">
        <v>45</v>
      </c>
      <c r="I921" s="14" t="s">
        <v>46</v>
      </c>
      <c r="J921" s="14">
        <v>1</v>
      </c>
      <c r="K921" s="15">
        <v>43710</v>
      </c>
      <c r="L921" s="13" t="str" cm="1">
        <f t="array" ref="L921">_xlfn.IFS(
  OR(ISBLANK(A921),ISBLANK(C921),ISBLANK(J921)),"Missing Value",
  OR(C921&lt;18,C921&gt;120),"Review – Out of Range (Age)",
  J921&lt;0,"Review – Out of Range (Risk Score)",
  TRUE,"OK"
)</f>
        <v>OK</v>
      </c>
    </row>
    <row r="922" spans="1:12" ht="16.8" x14ac:dyDescent="0.3">
      <c r="A922" s="11" t="s">
        <v>1895</v>
      </c>
      <c r="B922" s="11" t="s">
        <v>1896</v>
      </c>
      <c r="C922" s="11">
        <v>65</v>
      </c>
      <c r="D922" s="11" t="s">
        <v>41</v>
      </c>
      <c r="E922" s="11" t="s">
        <v>50</v>
      </c>
      <c r="F922" s="11" t="s">
        <v>59</v>
      </c>
      <c r="G922" s="11" t="s">
        <v>55</v>
      </c>
      <c r="H922" s="11" t="s">
        <v>45</v>
      </c>
      <c r="I922" s="11" t="s">
        <v>45</v>
      </c>
      <c r="J922" s="11">
        <v>0.47</v>
      </c>
      <c r="K922" s="12">
        <v>45022</v>
      </c>
      <c r="L922" s="13" t="str" cm="1">
        <f t="array" ref="L922">_xlfn.IFS(
  OR(ISBLANK(A922),ISBLANK(C922),ISBLANK(J922)),"Missing Value",
  OR(C922&lt;18,C922&gt;120),"Review – Out of Range (Age)",
  J922&lt;0,"Review – Out of Range (Risk Score)",
  TRUE,"OK"
)</f>
        <v>OK</v>
      </c>
    </row>
    <row r="923" spans="1:12" ht="16.8" x14ac:dyDescent="0.3">
      <c r="A923" s="14" t="s">
        <v>1897</v>
      </c>
      <c r="B923" s="14" t="s">
        <v>1898</v>
      </c>
      <c r="C923" s="14">
        <v>27</v>
      </c>
      <c r="D923" s="14" t="s">
        <v>49</v>
      </c>
      <c r="E923" s="14" t="s">
        <v>50</v>
      </c>
      <c r="F923" s="14" t="s">
        <v>59</v>
      </c>
      <c r="G923" s="14" t="s">
        <v>52</v>
      </c>
      <c r="H923" s="14" t="s">
        <v>46</v>
      </c>
      <c r="I923" s="14" t="s">
        <v>45</v>
      </c>
      <c r="J923" s="14">
        <v>0.48</v>
      </c>
      <c r="K923" s="15">
        <v>44527</v>
      </c>
      <c r="L923" s="13" t="str" cm="1">
        <f t="array" ref="L923">_xlfn.IFS(
  OR(ISBLANK(A923),ISBLANK(C923),ISBLANK(J923)),"Missing Value",
  OR(C923&lt;18,C923&gt;120),"Review – Out of Range (Age)",
  J923&lt;0,"Review – Out of Range (Risk Score)",
  TRUE,"OK"
)</f>
        <v>OK</v>
      </c>
    </row>
    <row r="924" spans="1:12" ht="16.8" x14ac:dyDescent="0.3">
      <c r="A924" s="11" t="s">
        <v>1899</v>
      </c>
      <c r="B924" s="11" t="s">
        <v>1900</v>
      </c>
      <c r="C924" s="11">
        <v>55</v>
      </c>
      <c r="D924" s="11" t="s">
        <v>49</v>
      </c>
      <c r="E924" s="11" t="s">
        <v>50</v>
      </c>
      <c r="F924" s="11" t="s">
        <v>59</v>
      </c>
      <c r="G924" s="11" t="s">
        <v>94</v>
      </c>
      <c r="H924" s="11" t="s">
        <v>46</v>
      </c>
      <c r="I924" s="11" t="s">
        <v>46</v>
      </c>
      <c r="J924" s="11">
        <v>0.42</v>
      </c>
      <c r="K924" s="12">
        <v>43247</v>
      </c>
      <c r="L924" s="13" t="str" cm="1">
        <f t="array" ref="L924">_xlfn.IFS(
  OR(ISBLANK(A924),ISBLANK(C924),ISBLANK(J924)),"Missing Value",
  OR(C924&lt;18,C924&gt;120),"Review – Out of Range (Age)",
  J924&lt;0,"Review – Out of Range (Risk Score)",
  TRUE,"OK"
)</f>
        <v>OK</v>
      </c>
    </row>
    <row r="925" spans="1:12" ht="16.8" x14ac:dyDescent="0.3">
      <c r="A925" s="14" t="s">
        <v>1901</v>
      </c>
      <c r="B925" s="14" t="s">
        <v>1902</v>
      </c>
      <c r="C925" s="14">
        <v>19</v>
      </c>
      <c r="D925" s="14" t="s">
        <v>49</v>
      </c>
      <c r="E925" s="14" t="s">
        <v>42</v>
      </c>
      <c r="F925" s="14" t="s">
        <v>65</v>
      </c>
      <c r="G925" s="14" t="s">
        <v>52</v>
      </c>
      <c r="H925" s="14" t="s">
        <v>45</v>
      </c>
      <c r="I925" s="14" t="s">
        <v>45</v>
      </c>
      <c r="J925" s="14">
        <v>0.81</v>
      </c>
      <c r="K925" s="15">
        <v>44554</v>
      </c>
      <c r="L925" s="13" t="str" cm="1">
        <f t="array" ref="L925">_xlfn.IFS(
  OR(ISBLANK(A925),ISBLANK(C925),ISBLANK(J925)),"Missing Value",
  OR(C925&lt;18,C925&gt;120),"Review – Out of Range (Age)",
  J925&lt;0,"Review – Out of Range (Risk Score)",
  TRUE,"OK"
)</f>
        <v>OK</v>
      </c>
    </row>
    <row r="926" spans="1:12" ht="16.8" x14ac:dyDescent="0.3">
      <c r="A926" s="11" t="s">
        <v>1903</v>
      </c>
      <c r="B926" s="11" t="s">
        <v>1904</v>
      </c>
      <c r="C926" s="11">
        <v>20</v>
      </c>
      <c r="D926" s="11" t="s">
        <v>41</v>
      </c>
      <c r="E926" s="11" t="s">
        <v>42</v>
      </c>
      <c r="F926" s="11" t="s">
        <v>59</v>
      </c>
      <c r="G926" s="11" t="s">
        <v>60</v>
      </c>
      <c r="H926" s="11" t="s">
        <v>45</v>
      </c>
      <c r="I926" s="11" t="s">
        <v>45</v>
      </c>
      <c r="J926" s="11">
        <v>0.71</v>
      </c>
      <c r="K926" s="12">
        <v>43721</v>
      </c>
      <c r="L926" s="13" t="str" cm="1">
        <f t="array" ref="L926">_xlfn.IFS(
  OR(ISBLANK(A926),ISBLANK(C926),ISBLANK(J926)),"Missing Value",
  OR(C926&lt;18,C926&gt;120),"Review – Out of Range (Age)",
  J926&lt;0,"Review – Out of Range (Risk Score)",
  TRUE,"OK"
)</f>
        <v>OK</v>
      </c>
    </row>
    <row r="927" spans="1:12" ht="16.8" x14ac:dyDescent="0.3">
      <c r="A927" s="14" t="s">
        <v>1905</v>
      </c>
      <c r="B927" s="14" t="s">
        <v>1906</v>
      </c>
      <c r="C927" s="14">
        <v>61</v>
      </c>
      <c r="D927" s="14" t="s">
        <v>41</v>
      </c>
      <c r="E927" s="14" t="s">
        <v>42</v>
      </c>
      <c r="F927" s="14" t="s">
        <v>65</v>
      </c>
      <c r="G927" s="14" t="s">
        <v>44</v>
      </c>
      <c r="H927" s="14" t="s">
        <v>45</v>
      </c>
      <c r="I927" s="14" t="s">
        <v>46</v>
      </c>
      <c r="J927" s="14">
        <v>0.56999999999999995</v>
      </c>
      <c r="K927" s="15">
        <v>44235</v>
      </c>
      <c r="L927" s="13" t="str" cm="1">
        <f t="array" ref="L927">_xlfn.IFS(
  OR(ISBLANK(A927),ISBLANK(C927),ISBLANK(J927)),"Missing Value",
  OR(C927&lt;18,C927&gt;120),"Review – Out of Range (Age)",
  J927&lt;0,"Review – Out of Range (Risk Score)",
  TRUE,"OK"
)</f>
        <v>OK</v>
      </c>
    </row>
    <row r="928" spans="1:12" ht="16.8" x14ac:dyDescent="0.3">
      <c r="A928" s="11" t="s">
        <v>1907</v>
      </c>
      <c r="B928" s="11" t="s">
        <v>1908</v>
      </c>
      <c r="C928" s="11">
        <v>32</v>
      </c>
      <c r="D928" s="11" t="s">
        <v>49</v>
      </c>
      <c r="E928" s="11" t="s">
        <v>50</v>
      </c>
      <c r="F928" s="11" t="s">
        <v>51</v>
      </c>
      <c r="G928" s="11" t="s">
        <v>94</v>
      </c>
      <c r="H928" s="11" t="s">
        <v>46</v>
      </c>
      <c r="I928" s="11" t="s">
        <v>45</v>
      </c>
      <c r="J928" s="11">
        <v>0.4</v>
      </c>
      <c r="K928" s="12">
        <v>43427</v>
      </c>
      <c r="L928" s="13" t="str" cm="1">
        <f t="array" ref="L928">_xlfn.IFS(
  OR(ISBLANK(A928),ISBLANK(C928),ISBLANK(J928)),"Missing Value",
  OR(C928&lt;18,C928&gt;120),"Review – Out of Range (Age)",
  J928&lt;0,"Review – Out of Range (Risk Score)",
  TRUE,"OK"
)</f>
        <v>OK</v>
      </c>
    </row>
    <row r="929" spans="1:12" ht="16.8" x14ac:dyDescent="0.3">
      <c r="A929" s="14" t="s">
        <v>1909</v>
      </c>
      <c r="B929" s="14" t="s">
        <v>1910</v>
      </c>
      <c r="C929" s="14">
        <v>53</v>
      </c>
      <c r="D929" s="14" t="s">
        <v>41</v>
      </c>
      <c r="E929" s="14" t="s">
        <v>58</v>
      </c>
      <c r="F929" s="14" t="s">
        <v>43</v>
      </c>
      <c r="G929" s="14" t="s">
        <v>94</v>
      </c>
      <c r="H929" s="14" t="s">
        <v>46</v>
      </c>
      <c r="I929" s="14" t="s">
        <v>45</v>
      </c>
      <c r="J929" s="14">
        <v>0.38</v>
      </c>
      <c r="K929" s="15">
        <v>43452</v>
      </c>
      <c r="L929" s="13" t="str" cm="1">
        <f t="array" ref="L929">_xlfn.IFS(
  OR(ISBLANK(A929),ISBLANK(C929),ISBLANK(J929)),"Missing Value",
  OR(C929&lt;18,C929&gt;120),"Review – Out of Range (Age)",
  J929&lt;0,"Review – Out of Range (Risk Score)",
  TRUE,"OK"
)</f>
        <v>OK</v>
      </c>
    </row>
    <row r="930" spans="1:12" ht="16.8" x14ac:dyDescent="0.3">
      <c r="A930" s="11" t="s">
        <v>1911</v>
      </c>
      <c r="B930" s="11" t="s">
        <v>1912</v>
      </c>
      <c r="C930" s="11">
        <v>62</v>
      </c>
      <c r="D930" s="11" t="s">
        <v>41</v>
      </c>
      <c r="E930" s="11" t="s">
        <v>42</v>
      </c>
      <c r="F930" s="11" t="s">
        <v>51</v>
      </c>
      <c r="G930" s="11" t="s">
        <v>52</v>
      </c>
      <c r="H930" s="11" t="s">
        <v>46</v>
      </c>
      <c r="I930" s="11" t="s">
        <v>46</v>
      </c>
      <c r="J930" s="11">
        <v>0.48</v>
      </c>
      <c r="K930" s="12">
        <v>44089</v>
      </c>
      <c r="L930" s="13" t="str" cm="1">
        <f t="array" ref="L930">_xlfn.IFS(
  OR(ISBLANK(A930),ISBLANK(C930),ISBLANK(J930)),"Missing Value",
  OR(C930&lt;18,C930&gt;120),"Review – Out of Range (Age)",
  J930&lt;0,"Review – Out of Range (Risk Score)",
  TRUE,"OK"
)</f>
        <v>OK</v>
      </c>
    </row>
    <row r="931" spans="1:12" ht="16.8" x14ac:dyDescent="0.3">
      <c r="A931" s="14" t="s">
        <v>1913</v>
      </c>
      <c r="B931" s="14" t="s">
        <v>1914</v>
      </c>
      <c r="C931" s="14">
        <v>50</v>
      </c>
      <c r="D931" s="14" t="s">
        <v>49</v>
      </c>
      <c r="E931" s="14" t="s">
        <v>58</v>
      </c>
      <c r="F931" s="14" t="s">
        <v>65</v>
      </c>
      <c r="G931" s="14" t="s">
        <v>52</v>
      </c>
      <c r="H931" s="14" t="s">
        <v>45</v>
      </c>
      <c r="I931" s="14" t="s">
        <v>46</v>
      </c>
      <c r="J931" s="14">
        <v>0.2</v>
      </c>
      <c r="K931" s="15">
        <v>44522</v>
      </c>
      <c r="L931" s="13" t="str" cm="1">
        <f t="array" ref="L931">_xlfn.IFS(
  OR(ISBLANK(A931),ISBLANK(C931),ISBLANK(J931)),"Missing Value",
  OR(C931&lt;18,C931&gt;120),"Review – Out of Range (Age)",
  J931&lt;0,"Review – Out of Range (Risk Score)",
  TRUE,"OK"
)</f>
        <v>OK</v>
      </c>
    </row>
    <row r="932" spans="1:12" ht="16.8" x14ac:dyDescent="0.3">
      <c r="A932" s="11" t="s">
        <v>1915</v>
      </c>
      <c r="B932" s="11" t="s">
        <v>1916</v>
      </c>
      <c r="C932" s="11">
        <v>57</v>
      </c>
      <c r="D932" s="11" t="s">
        <v>41</v>
      </c>
      <c r="E932" s="11" t="s">
        <v>42</v>
      </c>
      <c r="F932" s="11" t="s">
        <v>43</v>
      </c>
      <c r="G932" s="11" t="s">
        <v>44</v>
      </c>
      <c r="H932" s="11" t="s">
        <v>46</v>
      </c>
      <c r="I932" s="11" t="s">
        <v>45</v>
      </c>
      <c r="J932" s="11">
        <v>0.35</v>
      </c>
      <c r="K932" s="12">
        <v>43769</v>
      </c>
      <c r="L932" s="13" t="str" cm="1">
        <f t="array" ref="L932">_xlfn.IFS(
  OR(ISBLANK(A932),ISBLANK(C932),ISBLANK(J932)),"Missing Value",
  OR(C932&lt;18,C932&gt;120),"Review – Out of Range (Age)",
  J932&lt;0,"Review – Out of Range (Risk Score)",
  TRUE,"OK"
)</f>
        <v>OK</v>
      </c>
    </row>
    <row r="933" spans="1:12" ht="16.8" x14ac:dyDescent="0.3">
      <c r="A933" s="14" t="s">
        <v>1917</v>
      </c>
      <c r="B933" s="14" t="s">
        <v>1918</v>
      </c>
      <c r="C933" s="14">
        <v>54</v>
      </c>
      <c r="D933" s="14" t="s">
        <v>49</v>
      </c>
      <c r="E933" s="14" t="s">
        <v>50</v>
      </c>
      <c r="F933" s="14" t="s">
        <v>65</v>
      </c>
      <c r="G933" s="14" t="s">
        <v>94</v>
      </c>
      <c r="H933" s="14" t="s">
        <v>45</v>
      </c>
      <c r="I933" s="14" t="s">
        <v>46</v>
      </c>
      <c r="J933" s="14">
        <v>0.62</v>
      </c>
      <c r="K933" s="15">
        <v>44267</v>
      </c>
      <c r="L933" s="13" t="str" cm="1">
        <f t="array" ref="L933">_xlfn.IFS(
  OR(ISBLANK(A933),ISBLANK(C933),ISBLANK(J933)),"Missing Value",
  OR(C933&lt;18,C933&gt;120),"Review – Out of Range (Age)",
  J933&lt;0,"Review – Out of Range (Risk Score)",
  TRUE,"OK"
)</f>
        <v>OK</v>
      </c>
    </row>
    <row r="934" spans="1:12" ht="16.8" x14ac:dyDescent="0.3">
      <c r="A934" s="11" t="s">
        <v>1919</v>
      </c>
      <c r="B934" s="11" t="s">
        <v>1920</v>
      </c>
      <c r="C934" s="11">
        <v>47</v>
      </c>
      <c r="D934" s="11" t="s">
        <v>41</v>
      </c>
      <c r="E934" s="11" t="s">
        <v>42</v>
      </c>
      <c r="F934" s="11" t="s">
        <v>59</v>
      </c>
      <c r="G934" s="11" t="s">
        <v>55</v>
      </c>
      <c r="H934" s="11" t="s">
        <v>46</v>
      </c>
      <c r="I934" s="11" t="s">
        <v>46</v>
      </c>
      <c r="J934" s="11">
        <v>0.31</v>
      </c>
      <c r="K934" s="12">
        <v>44598</v>
      </c>
      <c r="L934" s="13" t="str" cm="1">
        <f t="array" ref="L934">_xlfn.IFS(
  OR(ISBLANK(A934),ISBLANK(C934),ISBLANK(J934)),"Missing Value",
  OR(C934&lt;18,C934&gt;120),"Review – Out of Range (Age)",
  J934&lt;0,"Review – Out of Range (Risk Score)",
  TRUE,"OK"
)</f>
        <v>OK</v>
      </c>
    </row>
    <row r="935" spans="1:12" ht="16.8" x14ac:dyDescent="0.3">
      <c r="A935" s="14" t="s">
        <v>1921</v>
      </c>
      <c r="B935" s="14" t="s">
        <v>1922</v>
      </c>
      <c r="C935" s="14">
        <v>68</v>
      </c>
      <c r="D935" s="14" t="s">
        <v>41</v>
      </c>
      <c r="E935" s="14" t="s">
        <v>50</v>
      </c>
      <c r="F935" s="14" t="s">
        <v>43</v>
      </c>
      <c r="G935" s="14" t="s">
        <v>55</v>
      </c>
      <c r="H935" s="14" t="s">
        <v>45</v>
      </c>
      <c r="I935" s="14" t="s">
        <v>45</v>
      </c>
      <c r="J935" s="14">
        <v>0.46</v>
      </c>
      <c r="K935" s="15">
        <v>44883</v>
      </c>
      <c r="L935" s="13" t="str" cm="1">
        <f t="array" ref="L935">_xlfn.IFS(
  OR(ISBLANK(A935),ISBLANK(C935),ISBLANK(J935)),"Missing Value",
  OR(C935&lt;18,C935&gt;120),"Review – Out of Range (Age)",
  J935&lt;0,"Review – Out of Range (Risk Score)",
  TRUE,"OK"
)</f>
        <v>OK</v>
      </c>
    </row>
    <row r="936" spans="1:12" ht="16.8" x14ac:dyDescent="0.3">
      <c r="A936" s="11" t="s">
        <v>1923</v>
      </c>
      <c r="B936" s="11" t="s">
        <v>1924</v>
      </c>
      <c r="C936" s="11">
        <v>66</v>
      </c>
      <c r="D936" s="11" t="s">
        <v>41</v>
      </c>
      <c r="E936" s="11" t="s">
        <v>42</v>
      </c>
      <c r="F936" s="11" t="s">
        <v>65</v>
      </c>
      <c r="G936" s="11" t="s">
        <v>109</v>
      </c>
      <c r="H936" s="11" t="s">
        <v>45</v>
      </c>
      <c r="I936" s="11" t="s">
        <v>45</v>
      </c>
      <c r="J936" s="11">
        <v>0.73</v>
      </c>
      <c r="K936" s="12">
        <v>44818</v>
      </c>
      <c r="L936" s="13" t="str" cm="1">
        <f t="array" ref="L936">_xlfn.IFS(
  OR(ISBLANK(A936),ISBLANK(C936),ISBLANK(J936)),"Missing Value",
  OR(C936&lt;18,C936&gt;120),"Review – Out of Range (Age)",
  J936&lt;0,"Review – Out of Range (Risk Score)",
  TRUE,"OK"
)</f>
        <v>OK</v>
      </c>
    </row>
    <row r="937" spans="1:12" ht="16.8" x14ac:dyDescent="0.3">
      <c r="A937" s="14" t="s">
        <v>1925</v>
      </c>
      <c r="B937" s="14" t="s">
        <v>1926</v>
      </c>
      <c r="C937" s="14">
        <v>65</v>
      </c>
      <c r="D937" s="14" t="s">
        <v>41</v>
      </c>
      <c r="E937" s="14" t="s">
        <v>42</v>
      </c>
      <c r="F937" s="14" t="s">
        <v>65</v>
      </c>
      <c r="G937" s="14" t="s">
        <v>55</v>
      </c>
      <c r="H937" s="14" t="s">
        <v>46</v>
      </c>
      <c r="I937" s="14" t="s">
        <v>46</v>
      </c>
      <c r="J937" s="14">
        <v>0.33</v>
      </c>
      <c r="K937" s="15">
        <v>43142</v>
      </c>
      <c r="L937" s="13" t="str" cm="1">
        <f t="array" ref="L937">_xlfn.IFS(
  OR(ISBLANK(A937),ISBLANK(C937),ISBLANK(J937)),"Missing Value",
  OR(C937&lt;18,C937&gt;120),"Review – Out of Range (Age)",
  J937&lt;0,"Review – Out of Range (Risk Score)",
  TRUE,"OK"
)</f>
        <v>OK</v>
      </c>
    </row>
    <row r="938" spans="1:12" ht="16.8" x14ac:dyDescent="0.3">
      <c r="A938" s="11" t="s">
        <v>1927</v>
      </c>
      <c r="B938" s="11" t="s">
        <v>1928</v>
      </c>
      <c r="C938" s="11">
        <v>57</v>
      </c>
      <c r="D938" s="11" t="s">
        <v>41</v>
      </c>
      <c r="E938" s="11" t="s">
        <v>58</v>
      </c>
      <c r="F938" s="11" t="s">
        <v>59</v>
      </c>
      <c r="G938" s="11" t="s">
        <v>60</v>
      </c>
      <c r="H938" s="11" t="s">
        <v>45</v>
      </c>
      <c r="I938" s="11" t="s">
        <v>46</v>
      </c>
      <c r="J938" s="11">
        <v>0.23</v>
      </c>
      <c r="K938" s="12">
        <v>43694</v>
      </c>
      <c r="L938" s="13" t="str" cm="1">
        <f t="array" ref="L938">_xlfn.IFS(
  OR(ISBLANK(A938),ISBLANK(C938),ISBLANK(J938)),"Missing Value",
  OR(C938&lt;18,C938&gt;120),"Review – Out of Range (Age)",
  J938&lt;0,"Review – Out of Range (Risk Score)",
  TRUE,"OK"
)</f>
        <v>OK</v>
      </c>
    </row>
    <row r="939" spans="1:12" ht="16.8" x14ac:dyDescent="0.3">
      <c r="A939" s="14" t="s">
        <v>1929</v>
      </c>
      <c r="B939" s="14" t="s">
        <v>1930</v>
      </c>
      <c r="C939" s="14">
        <v>65</v>
      </c>
      <c r="D939" s="14" t="s">
        <v>49</v>
      </c>
      <c r="E939" s="14" t="s">
        <v>58</v>
      </c>
      <c r="F939" s="14" t="s">
        <v>43</v>
      </c>
      <c r="G939" s="14" t="s">
        <v>55</v>
      </c>
      <c r="H939" s="14" t="s">
        <v>45</v>
      </c>
      <c r="I939" s="14" t="s">
        <v>45</v>
      </c>
      <c r="J939" s="14">
        <v>0.61</v>
      </c>
      <c r="K939" s="15">
        <v>43778</v>
      </c>
      <c r="L939" s="13" t="str" cm="1">
        <f t="array" ref="L939">_xlfn.IFS(
  OR(ISBLANK(A939),ISBLANK(C939),ISBLANK(J939)),"Missing Value",
  OR(C939&lt;18,C939&gt;120),"Review – Out of Range (Age)",
  J939&lt;0,"Review – Out of Range (Risk Score)",
  TRUE,"OK"
)</f>
        <v>OK</v>
      </c>
    </row>
    <row r="940" spans="1:12" ht="16.8" x14ac:dyDescent="0.3">
      <c r="A940" s="11" t="s">
        <v>1931</v>
      </c>
      <c r="B940" s="11" t="s">
        <v>1932</v>
      </c>
      <c r="C940" s="11">
        <v>31</v>
      </c>
      <c r="D940" s="11" t="s">
        <v>41</v>
      </c>
      <c r="E940" s="11" t="s">
        <v>50</v>
      </c>
      <c r="F940" s="11" t="s">
        <v>65</v>
      </c>
      <c r="G940" s="11" t="s">
        <v>52</v>
      </c>
      <c r="H940" s="11" t="s">
        <v>46</v>
      </c>
      <c r="I940" s="11" t="s">
        <v>46</v>
      </c>
      <c r="J940" s="11">
        <v>0.43</v>
      </c>
      <c r="K940" s="12">
        <v>44088</v>
      </c>
      <c r="L940" s="13" t="str" cm="1">
        <f t="array" ref="L940">_xlfn.IFS(
  OR(ISBLANK(A940),ISBLANK(C940),ISBLANK(J940)),"Missing Value",
  OR(C940&lt;18,C940&gt;120),"Review – Out of Range (Age)",
  J940&lt;0,"Review – Out of Range (Risk Score)",
  TRUE,"OK"
)</f>
        <v>OK</v>
      </c>
    </row>
    <row r="941" spans="1:12" ht="16.8" x14ac:dyDescent="0.3">
      <c r="A941" s="14" t="s">
        <v>1933</v>
      </c>
      <c r="B941" s="14" t="s">
        <v>1934</v>
      </c>
      <c r="C941" s="14">
        <v>18</v>
      </c>
      <c r="D941" s="14" t="s">
        <v>41</v>
      </c>
      <c r="E941" s="14" t="s">
        <v>42</v>
      </c>
      <c r="F941" s="14" t="s">
        <v>51</v>
      </c>
      <c r="G941" s="14" t="s">
        <v>52</v>
      </c>
      <c r="H941" s="14" t="s">
        <v>45</v>
      </c>
      <c r="I941" s="14" t="s">
        <v>45</v>
      </c>
      <c r="J941" s="14">
        <v>0.35</v>
      </c>
      <c r="K941" s="15">
        <v>44761</v>
      </c>
      <c r="L941" s="13" t="str" cm="1">
        <f t="array" ref="L941">_xlfn.IFS(
  OR(ISBLANK(A941),ISBLANK(C941),ISBLANK(J941)),"Missing Value",
  OR(C941&lt;18,C941&gt;120),"Review – Out of Range (Age)",
  J941&lt;0,"Review – Out of Range (Risk Score)",
  TRUE,"OK"
)</f>
        <v>OK</v>
      </c>
    </row>
    <row r="942" spans="1:12" ht="16.8" x14ac:dyDescent="0.3">
      <c r="A942" s="11" t="s">
        <v>1935</v>
      </c>
      <c r="B942" s="11" t="s">
        <v>1936</v>
      </c>
      <c r="C942" s="11">
        <v>67</v>
      </c>
      <c r="D942" s="11" t="s">
        <v>49</v>
      </c>
      <c r="E942" s="11" t="s">
        <v>58</v>
      </c>
      <c r="F942" s="11" t="s">
        <v>43</v>
      </c>
      <c r="G942" s="11" t="s">
        <v>60</v>
      </c>
      <c r="H942" s="11" t="s">
        <v>46</v>
      </c>
      <c r="I942" s="11" t="s">
        <v>45</v>
      </c>
      <c r="J942" s="11">
        <v>0.31</v>
      </c>
      <c r="K942" s="12">
        <v>43909</v>
      </c>
      <c r="L942" s="13" t="str" cm="1">
        <f t="array" ref="L942">_xlfn.IFS(
  OR(ISBLANK(A942),ISBLANK(C942),ISBLANK(J942)),"Missing Value",
  OR(C942&lt;18,C942&gt;120),"Review – Out of Range (Age)",
  J942&lt;0,"Review – Out of Range (Risk Score)",
  TRUE,"OK"
)</f>
        <v>OK</v>
      </c>
    </row>
    <row r="943" spans="1:12" ht="16.8" x14ac:dyDescent="0.3">
      <c r="A943" s="14" t="s">
        <v>1937</v>
      </c>
      <c r="B943" s="14" t="s">
        <v>1938</v>
      </c>
      <c r="C943" s="14">
        <v>62</v>
      </c>
      <c r="D943" s="14" t="s">
        <v>41</v>
      </c>
      <c r="E943" s="14" t="s">
        <v>58</v>
      </c>
      <c r="F943" s="14" t="s">
        <v>51</v>
      </c>
      <c r="G943" s="14" t="s">
        <v>55</v>
      </c>
      <c r="H943" s="14" t="s">
        <v>45</v>
      </c>
      <c r="I943" s="14" t="s">
        <v>45</v>
      </c>
      <c r="J943" s="14">
        <v>0.69</v>
      </c>
      <c r="K943" s="15">
        <v>44435</v>
      </c>
      <c r="L943" s="13" t="str" cm="1">
        <f t="array" ref="L943">_xlfn.IFS(
  OR(ISBLANK(A943),ISBLANK(C943),ISBLANK(J943)),"Missing Value",
  OR(C943&lt;18,C943&gt;120),"Review – Out of Range (Age)",
  J943&lt;0,"Review – Out of Range (Risk Score)",
  TRUE,"OK"
)</f>
        <v>OK</v>
      </c>
    </row>
    <row r="944" spans="1:12" ht="16.8" x14ac:dyDescent="0.3">
      <c r="A944" s="11" t="s">
        <v>1939</v>
      </c>
      <c r="B944" s="11" t="s">
        <v>1940</v>
      </c>
      <c r="C944" s="11">
        <v>65</v>
      </c>
      <c r="D944" s="11" t="s">
        <v>49</v>
      </c>
      <c r="E944" s="11" t="s">
        <v>50</v>
      </c>
      <c r="F944" s="11" t="s">
        <v>51</v>
      </c>
      <c r="G944" s="11" t="s">
        <v>52</v>
      </c>
      <c r="H944" s="11" t="s">
        <v>46</v>
      </c>
      <c r="I944" s="11" t="s">
        <v>45</v>
      </c>
      <c r="J944" s="11">
        <v>0.98</v>
      </c>
      <c r="K944" s="12">
        <v>43271</v>
      </c>
      <c r="L944" s="13" t="str" cm="1">
        <f t="array" ref="L944">_xlfn.IFS(
  OR(ISBLANK(A944),ISBLANK(C944),ISBLANK(J944)),"Missing Value",
  OR(C944&lt;18,C944&gt;120),"Review – Out of Range (Age)",
  J944&lt;0,"Review – Out of Range (Risk Score)",
  TRUE,"OK"
)</f>
        <v>OK</v>
      </c>
    </row>
    <row r="945" spans="1:12" ht="16.8" x14ac:dyDescent="0.3">
      <c r="A945" s="14" t="s">
        <v>1941</v>
      </c>
      <c r="B945" s="14" t="s">
        <v>1942</v>
      </c>
      <c r="C945" s="14">
        <v>19</v>
      </c>
      <c r="D945" s="14" t="s">
        <v>49</v>
      </c>
      <c r="E945" s="14" t="s">
        <v>50</v>
      </c>
      <c r="F945" s="14" t="s">
        <v>59</v>
      </c>
      <c r="G945" s="14" t="s">
        <v>109</v>
      </c>
      <c r="H945" s="14" t="s">
        <v>45</v>
      </c>
      <c r="I945" s="14" t="s">
        <v>46</v>
      </c>
      <c r="J945" s="14">
        <v>0.1</v>
      </c>
      <c r="K945" s="15">
        <v>44597</v>
      </c>
      <c r="L945" s="13" t="str" cm="1">
        <f t="array" ref="L945">_xlfn.IFS(
  OR(ISBLANK(A945),ISBLANK(C945),ISBLANK(J945)),"Missing Value",
  OR(C945&lt;18,C945&gt;120),"Review – Out of Range (Age)",
  J945&lt;0,"Review – Out of Range (Risk Score)",
  TRUE,"OK"
)</f>
        <v>OK</v>
      </c>
    </row>
    <row r="946" spans="1:12" ht="16.8" x14ac:dyDescent="0.3">
      <c r="A946" s="11" t="s">
        <v>1943</v>
      </c>
      <c r="B946" s="11" t="s">
        <v>1944</v>
      </c>
      <c r="C946" s="11">
        <v>30</v>
      </c>
      <c r="D946" s="11" t="s">
        <v>49</v>
      </c>
      <c r="E946" s="11" t="s">
        <v>50</v>
      </c>
      <c r="F946" s="11" t="s">
        <v>43</v>
      </c>
      <c r="G946" s="11" t="s">
        <v>94</v>
      </c>
      <c r="H946" s="11" t="s">
        <v>46</v>
      </c>
      <c r="I946" s="11" t="s">
        <v>46</v>
      </c>
      <c r="J946" s="11">
        <v>0.37</v>
      </c>
      <c r="K946" s="12">
        <v>44951</v>
      </c>
      <c r="L946" s="13" t="str" cm="1">
        <f t="array" ref="L946">_xlfn.IFS(
  OR(ISBLANK(A946),ISBLANK(C946),ISBLANK(J946)),"Missing Value",
  OR(C946&lt;18,C946&gt;120),"Review – Out of Range (Age)",
  J946&lt;0,"Review – Out of Range (Risk Score)",
  TRUE,"OK"
)</f>
        <v>OK</v>
      </c>
    </row>
    <row r="947" spans="1:12" ht="16.8" x14ac:dyDescent="0.3">
      <c r="A947" s="14" t="s">
        <v>1945</v>
      </c>
      <c r="B947" s="14" t="s">
        <v>1946</v>
      </c>
      <c r="C947" s="14">
        <v>59</v>
      </c>
      <c r="D947" s="14" t="s">
        <v>41</v>
      </c>
      <c r="E947" s="14" t="s">
        <v>58</v>
      </c>
      <c r="F947" s="14" t="s">
        <v>59</v>
      </c>
      <c r="G947" s="14" t="s">
        <v>94</v>
      </c>
      <c r="H947" s="14" t="s">
        <v>45</v>
      </c>
      <c r="I947" s="14" t="s">
        <v>45</v>
      </c>
      <c r="J947" s="14">
        <v>0.38</v>
      </c>
      <c r="K947" s="15">
        <v>43992</v>
      </c>
      <c r="L947" s="13" t="str" cm="1">
        <f t="array" ref="L947">_xlfn.IFS(
  OR(ISBLANK(A947),ISBLANK(C947),ISBLANK(J947)),"Missing Value",
  OR(C947&lt;18,C947&gt;120),"Review – Out of Range (Age)",
  J947&lt;0,"Review – Out of Range (Risk Score)",
  TRUE,"OK"
)</f>
        <v>OK</v>
      </c>
    </row>
    <row r="948" spans="1:12" ht="16.8" x14ac:dyDescent="0.3">
      <c r="A948" s="11" t="s">
        <v>1947</v>
      </c>
      <c r="B948" s="11" t="s">
        <v>1948</v>
      </c>
      <c r="C948" s="11">
        <v>60</v>
      </c>
      <c r="D948" s="11" t="s">
        <v>49</v>
      </c>
      <c r="E948" s="11" t="s">
        <v>42</v>
      </c>
      <c r="F948" s="11" t="s">
        <v>59</v>
      </c>
      <c r="G948" s="11" t="s">
        <v>94</v>
      </c>
      <c r="H948" s="11" t="s">
        <v>46</v>
      </c>
      <c r="I948" s="11" t="s">
        <v>45</v>
      </c>
      <c r="J948" s="11">
        <v>0.97</v>
      </c>
      <c r="K948" s="12">
        <v>44985</v>
      </c>
      <c r="L948" s="13" t="str" cm="1">
        <f t="array" ref="L948">_xlfn.IFS(
  OR(ISBLANK(A948),ISBLANK(C948),ISBLANK(J948)),"Missing Value",
  OR(C948&lt;18,C948&gt;120),"Review – Out of Range (Age)",
  J948&lt;0,"Review – Out of Range (Risk Score)",
  TRUE,"OK"
)</f>
        <v>OK</v>
      </c>
    </row>
    <row r="949" spans="1:12" ht="16.8" x14ac:dyDescent="0.3">
      <c r="A949" s="14" t="s">
        <v>1949</v>
      </c>
      <c r="B949" s="14" t="s">
        <v>1950</v>
      </c>
      <c r="C949" s="14">
        <v>56</v>
      </c>
      <c r="D949" s="14" t="s">
        <v>49</v>
      </c>
      <c r="E949" s="14" t="s">
        <v>42</v>
      </c>
      <c r="F949" s="14" t="s">
        <v>51</v>
      </c>
      <c r="G949" s="14" t="s">
        <v>55</v>
      </c>
      <c r="H949" s="14" t="s">
        <v>45</v>
      </c>
      <c r="I949" s="14" t="s">
        <v>46</v>
      </c>
      <c r="J949" s="14">
        <v>0.54</v>
      </c>
      <c r="K949" s="15">
        <v>43656</v>
      </c>
      <c r="L949" s="13" t="str" cm="1">
        <f t="array" ref="L949">_xlfn.IFS(
  OR(ISBLANK(A949),ISBLANK(C949),ISBLANK(J949)),"Missing Value",
  OR(C949&lt;18,C949&gt;120),"Review – Out of Range (Age)",
  J949&lt;0,"Review – Out of Range (Risk Score)",
  TRUE,"OK"
)</f>
        <v>OK</v>
      </c>
    </row>
    <row r="950" spans="1:12" ht="16.8" x14ac:dyDescent="0.3">
      <c r="A950" s="11" t="s">
        <v>1951</v>
      </c>
      <c r="B950" s="11" t="s">
        <v>1952</v>
      </c>
      <c r="C950" s="11">
        <v>69</v>
      </c>
      <c r="D950" s="11" t="s">
        <v>49</v>
      </c>
      <c r="E950" s="11" t="s">
        <v>50</v>
      </c>
      <c r="F950" s="11" t="s">
        <v>51</v>
      </c>
      <c r="G950" s="11" t="s">
        <v>60</v>
      </c>
      <c r="H950" s="11" t="s">
        <v>45</v>
      </c>
      <c r="I950" s="11" t="s">
        <v>46</v>
      </c>
      <c r="J950" s="11">
        <v>0.75</v>
      </c>
      <c r="K950" s="12">
        <v>44270</v>
      </c>
      <c r="L950" s="13" t="str" cm="1">
        <f t="array" ref="L950">_xlfn.IFS(
  OR(ISBLANK(A950),ISBLANK(C950),ISBLANK(J950)),"Missing Value",
  OR(C950&lt;18,C950&gt;120),"Review – Out of Range (Age)",
  J950&lt;0,"Review – Out of Range (Risk Score)",
  TRUE,"OK"
)</f>
        <v>OK</v>
      </c>
    </row>
    <row r="951" spans="1:12" ht="16.8" x14ac:dyDescent="0.3">
      <c r="A951" s="14" t="s">
        <v>1953</v>
      </c>
      <c r="B951" s="14" t="s">
        <v>1954</v>
      </c>
      <c r="C951" s="14">
        <v>26</v>
      </c>
      <c r="D951" s="14" t="s">
        <v>41</v>
      </c>
      <c r="E951" s="14" t="s">
        <v>42</v>
      </c>
      <c r="F951" s="14" t="s">
        <v>43</v>
      </c>
      <c r="G951" s="14" t="s">
        <v>109</v>
      </c>
      <c r="H951" s="14" t="s">
        <v>45</v>
      </c>
      <c r="I951" s="14" t="s">
        <v>46</v>
      </c>
      <c r="J951" s="14">
        <v>0.2</v>
      </c>
      <c r="K951" s="15">
        <v>45251</v>
      </c>
      <c r="L951" s="13" t="str" cm="1">
        <f t="array" ref="L951">_xlfn.IFS(
  OR(ISBLANK(A951),ISBLANK(C951),ISBLANK(J951)),"Missing Value",
  OR(C951&lt;18,C951&gt;120),"Review – Out of Range (Age)",
  J951&lt;0,"Review – Out of Range (Risk Score)",
  TRUE,"OK"
)</f>
        <v>OK</v>
      </c>
    </row>
    <row r="952" spans="1:12" ht="16.8" x14ac:dyDescent="0.3">
      <c r="A952" s="11" t="s">
        <v>1955</v>
      </c>
      <c r="B952" s="11" t="s">
        <v>1956</v>
      </c>
      <c r="C952" s="11">
        <v>48</v>
      </c>
      <c r="D952" s="11" t="s">
        <v>41</v>
      </c>
      <c r="E952" s="11" t="s">
        <v>50</v>
      </c>
      <c r="F952" s="11" t="s">
        <v>59</v>
      </c>
      <c r="G952" s="11" t="s">
        <v>94</v>
      </c>
      <c r="H952" s="11" t="s">
        <v>45</v>
      </c>
      <c r="I952" s="11" t="s">
        <v>45</v>
      </c>
      <c r="J952" s="11">
        <v>0.48</v>
      </c>
      <c r="K952" s="12">
        <v>44956</v>
      </c>
      <c r="L952" s="13" t="str" cm="1">
        <f t="array" ref="L952">_xlfn.IFS(
  OR(ISBLANK(A952),ISBLANK(C952),ISBLANK(J952)),"Missing Value",
  OR(C952&lt;18,C952&gt;120),"Review – Out of Range (Age)",
  J952&lt;0,"Review – Out of Range (Risk Score)",
  TRUE,"OK"
)</f>
        <v>OK</v>
      </c>
    </row>
    <row r="953" spans="1:12" ht="16.8" x14ac:dyDescent="0.3">
      <c r="A953" s="14" t="s">
        <v>1957</v>
      </c>
      <c r="B953" s="14" t="s">
        <v>1958</v>
      </c>
      <c r="C953" s="14">
        <v>22</v>
      </c>
      <c r="D953" s="14" t="s">
        <v>49</v>
      </c>
      <c r="E953" s="14" t="s">
        <v>42</v>
      </c>
      <c r="F953" s="14" t="s">
        <v>43</v>
      </c>
      <c r="G953" s="14" t="s">
        <v>44</v>
      </c>
      <c r="H953" s="14" t="s">
        <v>45</v>
      </c>
      <c r="I953" s="14" t="s">
        <v>45</v>
      </c>
      <c r="J953" s="14">
        <v>0.55000000000000004</v>
      </c>
      <c r="K953" s="15">
        <v>44461</v>
      </c>
      <c r="L953" s="13" t="str" cm="1">
        <f t="array" ref="L953">_xlfn.IFS(
  OR(ISBLANK(A953),ISBLANK(C953),ISBLANK(J953)),"Missing Value",
  OR(C953&lt;18,C953&gt;120),"Review – Out of Range (Age)",
  J953&lt;0,"Review – Out of Range (Risk Score)",
  TRUE,"OK"
)</f>
        <v>OK</v>
      </c>
    </row>
    <row r="954" spans="1:12" ht="16.8" x14ac:dyDescent="0.3">
      <c r="A954" s="11" t="s">
        <v>1959</v>
      </c>
      <c r="B954" s="11" t="s">
        <v>1960</v>
      </c>
      <c r="C954" s="11">
        <v>20</v>
      </c>
      <c r="D954" s="11" t="s">
        <v>41</v>
      </c>
      <c r="E954" s="11" t="s">
        <v>42</v>
      </c>
      <c r="F954" s="11" t="s">
        <v>65</v>
      </c>
      <c r="G954" s="11" t="s">
        <v>44</v>
      </c>
      <c r="H954" s="11" t="s">
        <v>46</v>
      </c>
      <c r="I954" s="11" t="s">
        <v>46</v>
      </c>
      <c r="J954" s="11">
        <v>0.62</v>
      </c>
      <c r="K954" s="12">
        <v>43728</v>
      </c>
      <c r="L954" s="13" t="str" cm="1">
        <f t="array" ref="L954">_xlfn.IFS(
  OR(ISBLANK(A954),ISBLANK(C954),ISBLANK(J954)),"Missing Value",
  OR(C954&lt;18,C954&gt;120),"Review – Out of Range (Age)",
  J954&lt;0,"Review – Out of Range (Risk Score)",
  TRUE,"OK"
)</f>
        <v>OK</v>
      </c>
    </row>
    <row r="955" spans="1:12" ht="16.8" x14ac:dyDescent="0.3">
      <c r="A955" s="14" t="s">
        <v>1961</v>
      </c>
      <c r="B955" s="14" t="s">
        <v>1962</v>
      </c>
      <c r="C955" s="14">
        <v>57</v>
      </c>
      <c r="D955" s="14" t="s">
        <v>41</v>
      </c>
      <c r="E955" s="14" t="s">
        <v>50</v>
      </c>
      <c r="F955" s="14" t="s">
        <v>59</v>
      </c>
      <c r="G955" s="14" t="s">
        <v>52</v>
      </c>
      <c r="H955" s="14" t="s">
        <v>45</v>
      </c>
      <c r="I955" s="14" t="s">
        <v>45</v>
      </c>
      <c r="J955" s="14">
        <v>0.35</v>
      </c>
      <c r="K955" s="15">
        <v>44202</v>
      </c>
      <c r="L955" s="13" t="str" cm="1">
        <f t="array" ref="L955">_xlfn.IFS(
  OR(ISBLANK(A955),ISBLANK(C955),ISBLANK(J955)),"Missing Value",
  OR(C955&lt;18,C955&gt;120),"Review – Out of Range (Age)",
  J955&lt;0,"Review – Out of Range (Risk Score)",
  TRUE,"OK"
)</f>
        <v>OK</v>
      </c>
    </row>
    <row r="956" spans="1:12" ht="16.8" x14ac:dyDescent="0.3">
      <c r="A956" s="11" t="s">
        <v>1963</v>
      </c>
      <c r="B956" s="11" t="s">
        <v>1964</v>
      </c>
      <c r="C956" s="11">
        <v>18</v>
      </c>
      <c r="D956" s="11" t="s">
        <v>41</v>
      </c>
      <c r="E956" s="11" t="s">
        <v>50</v>
      </c>
      <c r="F956" s="11" t="s">
        <v>43</v>
      </c>
      <c r="G956" s="11" t="s">
        <v>55</v>
      </c>
      <c r="H956" s="11" t="s">
        <v>45</v>
      </c>
      <c r="I956" s="11" t="s">
        <v>46</v>
      </c>
      <c r="J956" s="11">
        <v>0.54</v>
      </c>
      <c r="K956" s="12">
        <v>44178</v>
      </c>
      <c r="L956" s="13" t="str" cm="1">
        <f t="array" ref="L956">_xlfn.IFS(
  OR(ISBLANK(A956),ISBLANK(C956),ISBLANK(J956)),"Missing Value",
  OR(C956&lt;18,C956&gt;120),"Review – Out of Range (Age)",
  J956&lt;0,"Review – Out of Range (Risk Score)",
  TRUE,"OK"
)</f>
        <v>OK</v>
      </c>
    </row>
    <row r="957" spans="1:12" ht="16.8" x14ac:dyDescent="0.3">
      <c r="A957" s="14" t="s">
        <v>1965</v>
      </c>
      <c r="B957" s="14" t="s">
        <v>1966</v>
      </c>
      <c r="C957" s="14">
        <v>62</v>
      </c>
      <c r="D957" s="14" t="s">
        <v>49</v>
      </c>
      <c r="E957" s="14" t="s">
        <v>42</v>
      </c>
      <c r="F957" s="14" t="s">
        <v>51</v>
      </c>
      <c r="G957" s="14" t="s">
        <v>44</v>
      </c>
      <c r="H957" s="14" t="s">
        <v>46</v>
      </c>
      <c r="I957" s="14" t="s">
        <v>46</v>
      </c>
      <c r="J957" s="14">
        <v>0.34</v>
      </c>
      <c r="K957" s="15">
        <v>43678</v>
      </c>
      <c r="L957" s="13" t="str" cm="1">
        <f t="array" ref="L957">_xlfn.IFS(
  OR(ISBLANK(A957),ISBLANK(C957),ISBLANK(J957)),"Missing Value",
  OR(C957&lt;18,C957&gt;120),"Review – Out of Range (Age)",
  J957&lt;0,"Review – Out of Range (Risk Score)",
  TRUE,"OK"
)</f>
        <v>OK</v>
      </c>
    </row>
    <row r="958" spans="1:12" ht="16.8" x14ac:dyDescent="0.3">
      <c r="A958" s="11" t="s">
        <v>1967</v>
      </c>
      <c r="B958" s="11" t="s">
        <v>1968</v>
      </c>
      <c r="C958" s="11">
        <v>27</v>
      </c>
      <c r="D958" s="11" t="s">
        <v>41</v>
      </c>
      <c r="E958" s="11" t="s">
        <v>58</v>
      </c>
      <c r="F958" s="11" t="s">
        <v>59</v>
      </c>
      <c r="G958" s="11" t="s">
        <v>109</v>
      </c>
      <c r="H958" s="11" t="s">
        <v>45</v>
      </c>
      <c r="I958" s="11" t="s">
        <v>46</v>
      </c>
      <c r="J958" s="11">
        <v>0.54</v>
      </c>
      <c r="K958" s="12">
        <v>44354</v>
      </c>
      <c r="L958" s="13" t="str" cm="1">
        <f t="array" ref="L958">_xlfn.IFS(
  OR(ISBLANK(A958),ISBLANK(C958),ISBLANK(J958)),"Missing Value",
  OR(C958&lt;18,C958&gt;120),"Review – Out of Range (Age)",
  J958&lt;0,"Review – Out of Range (Risk Score)",
  TRUE,"OK"
)</f>
        <v>OK</v>
      </c>
    </row>
    <row r="959" spans="1:12" ht="16.8" x14ac:dyDescent="0.3">
      <c r="A959" s="14" t="s">
        <v>1969</v>
      </c>
      <c r="B959" s="14" t="s">
        <v>1970</v>
      </c>
      <c r="C959" s="14">
        <v>21</v>
      </c>
      <c r="D959" s="14" t="s">
        <v>41</v>
      </c>
      <c r="E959" s="14" t="s">
        <v>58</v>
      </c>
      <c r="F959" s="14" t="s">
        <v>65</v>
      </c>
      <c r="G959" s="14" t="s">
        <v>94</v>
      </c>
      <c r="H959" s="14" t="s">
        <v>45</v>
      </c>
      <c r="I959" s="14" t="s">
        <v>46</v>
      </c>
      <c r="J959" s="14">
        <v>0.74</v>
      </c>
      <c r="K959" s="15">
        <v>43335</v>
      </c>
      <c r="L959" s="13" t="str" cm="1">
        <f t="array" ref="L959">_xlfn.IFS(
  OR(ISBLANK(A959),ISBLANK(C959),ISBLANK(J959)),"Missing Value",
  OR(C959&lt;18,C959&gt;120),"Review – Out of Range (Age)",
  J959&lt;0,"Review – Out of Range (Risk Score)",
  TRUE,"OK"
)</f>
        <v>OK</v>
      </c>
    </row>
    <row r="960" spans="1:12" ht="16.8" x14ac:dyDescent="0.3">
      <c r="A960" s="11" t="s">
        <v>1971</v>
      </c>
      <c r="B960" s="11" t="s">
        <v>1972</v>
      </c>
      <c r="C960" s="11">
        <v>61</v>
      </c>
      <c r="D960" s="11" t="s">
        <v>41</v>
      </c>
      <c r="E960" s="11" t="s">
        <v>58</v>
      </c>
      <c r="F960" s="11" t="s">
        <v>59</v>
      </c>
      <c r="G960" s="11" t="s">
        <v>94</v>
      </c>
      <c r="H960" s="11" t="s">
        <v>46</v>
      </c>
      <c r="I960" s="11" t="s">
        <v>45</v>
      </c>
      <c r="J960" s="11">
        <v>0.82</v>
      </c>
      <c r="K960" s="12">
        <v>44643</v>
      </c>
      <c r="L960" s="13" t="str" cm="1">
        <f t="array" ref="L960">_xlfn.IFS(
  OR(ISBLANK(A960),ISBLANK(C960),ISBLANK(J960)),"Missing Value",
  OR(C960&lt;18,C960&gt;120),"Review – Out of Range (Age)",
  J960&lt;0,"Review – Out of Range (Risk Score)",
  TRUE,"OK"
)</f>
        <v>OK</v>
      </c>
    </row>
    <row r="961" spans="1:12" ht="16.8" x14ac:dyDescent="0.3">
      <c r="A961" s="14" t="s">
        <v>1973</v>
      </c>
      <c r="B961" s="14" t="s">
        <v>1974</v>
      </c>
      <c r="C961" s="14">
        <v>27</v>
      </c>
      <c r="D961" s="14" t="s">
        <v>49</v>
      </c>
      <c r="E961" s="14" t="s">
        <v>50</v>
      </c>
      <c r="F961" s="14" t="s">
        <v>43</v>
      </c>
      <c r="G961" s="14" t="s">
        <v>60</v>
      </c>
      <c r="H961" s="14" t="s">
        <v>45</v>
      </c>
      <c r="I961" s="14" t="s">
        <v>46</v>
      </c>
      <c r="J961" s="14">
        <v>0.62</v>
      </c>
      <c r="K961" s="15">
        <v>44671</v>
      </c>
      <c r="L961" s="13" t="str" cm="1">
        <f t="array" ref="L961">_xlfn.IFS(
  OR(ISBLANK(A961),ISBLANK(C961),ISBLANK(J961)),"Missing Value",
  OR(C961&lt;18,C961&gt;120),"Review – Out of Range (Age)",
  J961&lt;0,"Review – Out of Range (Risk Score)",
  TRUE,"OK"
)</f>
        <v>OK</v>
      </c>
    </row>
    <row r="962" spans="1:12" ht="16.8" x14ac:dyDescent="0.3">
      <c r="A962" s="11" t="s">
        <v>1975</v>
      </c>
      <c r="B962" s="11" t="s">
        <v>1976</v>
      </c>
      <c r="C962" s="11">
        <v>33</v>
      </c>
      <c r="D962" s="11" t="s">
        <v>41</v>
      </c>
      <c r="E962" s="11" t="s">
        <v>50</v>
      </c>
      <c r="F962" s="11" t="s">
        <v>43</v>
      </c>
      <c r="G962" s="11" t="s">
        <v>55</v>
      </c>
      <c r="H962" s="11" t="s">
        <v>46</v>
      </c>
      <c r="I962" s="11" t="s">
        <v>46</v>
      </c>
      <c r="J962" s="11">
        <v>0.4</v>
      </c>
      <c r="K962" s="12">
        <v>43115</v>
      </c>
      <c r="L962" s="13" t="str" cm="1">
        <f t="array" ref="L962">_xlfn.IFS(
  OR(ISBLANK(A962),ISBLANK(C962),ISBLANK(J962)),"Missing Value",
  OR(C962&lt;18,C962&gt;120),"Review – Out of Range (Age)",
  J962&lt;0,"Review – Out of Range (Risk Score)",
  TRUE,"OK"
)</f>
        <v>OK</v>
      </c>
    </row>
    <row r="963" spans="1:12" ht="16.8" x14ac:dyDescent="0.3">
      <c r="A963" s="14" t="s">
        <v>1977</v>
      </c>
      <c r="B963" s="14" t="s">
        <v>1978</v>
      </c>
      <c r="C963" s="14">
        <v>62</v>
      </c>
      <c r="D963" s="14" t="s">
        <v>41</v>
      </c>
      <c r="E963" s="14" t="s">
        <v>42</v>
      </c>
      <c r="F963" s="14" t="s">
        <v>43</v>
      </c>
      <c r="G963" s="14" t="s">
        <v>109</v>
      </c>
      <c r="H963" s="14" t="s">
        <v>46</v>
      </c>
      <c r="I963" s="14" t="s">
        <v>45</v>
      </c>
      <c r="J963" s="14">
        <v>0.4</v>
      </c>
      <c r="K963" s="15">
        <v>45171</v>
      </c>
      <c r="L963" s="13" t="str" cm="1">
        <f t="array" ref="L963">_xlfn.IFS(
  OR(ISBLANK(A963),ISBLANK(C963),ISBLANK(J963)),"Missing Value",
  OR(C963&lt;18,C963&gt;120),"Review – Out of Range (Age)",
  J963&lt;0,"Review – Out of Range (Risk Score)",
  TRUE,"OK"
)</f>
        <v>OK</v>
      </c>
    </row>
    <row r="964" spans="1:12" ht="16.8" x14ac:dyDescent="0.3">
      <c r="A964" s="11" t="s">
        <v>1979</v>
      </c>
      <c r="B964" s="11" t="s">
        <v>1980</v>
      </c>
      <c r="C964" s="11">
        <v>28</v>
      </c>
      <c r="D964" s="11" t="s">
        <v>49</v>
      </c>
      <c r="E964" s="11" t="s">
        <v>58</v>
      </c>
      <c r="F964" s="11" t="s">
        <v>65</v>
      </c>
      <c r="G964" s="11" t="s">
        <v>60</v>
      </c>
      <c r="H964" s="11" t="s">
        <v>45</v>
      </c>
      <c r="I964" s="11" t="s">
        <v>46</v>
      </c>
      <c r="J964" s="11">
        <v>0.56000000000000005</v>
      </c>
      <c r="K964" s="12">
        <v>43563</v>
      </c>
      <c r="L964" s="13" t="str" cm="1">
        <f t="array" ref="L964">_xlfn.IFS(
  OR(ISBLANK(A964),ISBLANK(C964),ISBLANK(J964)),"Missing Value",
  OR(C964&lt;18,C964&gt;120),"Review – Out of Range (Age)",
  J964&lt;0,"Review – Out of Range (Risk Score)",
  TRUE,"OK"
)</f>
        <v>OK</v>
      </c>
    </row>
    <row r="965" spans="1:12" ht="16.8" x14ac:dyDescent="0.3">
      <c r="A965" s="14" t="s">
        <v>1981</v>
      </c>
      <c r="B965" s="14" t="s">
        <v>1982</v>
      </c>
      <c r="C965" s="14">
        <v>35</v>
      </c>
      <c r="D965" s="14" t="s">
        <v>41</v>
      </c>
      <c r="E965" s="14" t="s">
        <v>42</v>
      </c>
      <c r="F965" s="14" t="s">
        <v>43</v>
      </c>
      <c r="G965" s="14" t="s">
        <v>94</v>
      </c>
      <c r="H965" s="14" t="s">
        <v>45</v>
      </c>
      <c r="I965" s="14" t="s">
        <v>45</v>
      </c>
      <c r="J965" s="14">
        <v>0.52</v>
      </c>
      <c r="K965" s="15">
        <v>44807</v>
      </c>
      <c r="L965" s="13" t="str" cm="1">
        <f t="array" ref="L965">_xlfn.IFS(
  OR(ISBLANK(A965),ISBLANK(C965),ISBLANK(J965)),"Missing Value",
  OR(C965&lt;18,C965&gt;120),"Review – Out of Range (Age)",
  J965&lt;0,"Review – Out of Range (Risk Score)",
  TRUE,"OK"
)</f>
        <v>OK</v>
      </c>
    </row>
    <row r="966" spans="1:12" ht="16.8" x14ac:dyDescent="0.3">
      <c r="A966" s="11" t="s">
        <v>1983</v>
      </c>
      <c r="B966" s="11" t="s">
        <v>1984</v>
      </c>
      <c r="C966" s="11">
        <v>35</v>
      </c>
      <c r="D966" s="11" t="s">
        <v>41</v>
      </c>
      <c r="E966" s="11" t="s">
        <v>50</v>
      </c>
      <c r="F966" s="11" t="s">
        <v>51</v>
      </c>
      <c r="G966" s="11" t="s">
        <v>55</v>
      </c>
      <c r="H966" s="11" t="s">
        <v>45</v>
      </c>
      <c r="I966" s="11" t="s">
        <v>45</v>
      </c>
      <c r="J966" s="11">
        <v>0.23</v>
      </c>
      <c r="K966" s="12">
        <v>44996</v>
      </c>
      <c r="L966" s="13" t="str" cm="1">
        <f t="array" ref="L966">_xlfn.IFS(
  OR(ISBLANK(A966),ISBLANK(C966),ISBLANK(J966)),"Missing Value",
  OR(C966&lt;18,C966&gt;120),"Review – Out of Range (Age)",
  J966&lt;0,"Review – Out of Range (Risk Score)",
  TRUE,"OK"
)</f>
        <v>OK</v>
      </c>
    </row>
    <row r="967" spans="1:12" ht="16.8" x14ac:dyDescent="0.3">
      <c r="A967" s="14" t="s">
        <v>1985</v>
      </c>
      <c r="B967" s="14" t="s">
        <v>1986</v>
      </c>
      <c r="C967" s="14">
        <v>29</v>
      </c>
      <c r="D967" s="14" t="s">
        <v>41</v>
      </c>
      <c r="E967" s="14" t="s">
        <v>50</v>
      </c>
      <c r="F967" s="14" t="s">
        <v>51</v>
      </c>
      <c r="G967" s="14" t="s">
        <v>94</v>
      </c>
      <c r="H967" s="14" t="s">
        <v>46</v>
      </c>
      <c r="I967" s="14" t="s">
        <v>46</v>
      </c>
      <c r="J967" s="14">
        <v>0.62</v>
      </c>
      <c r="K967" s="15">
        <v>43604</v>
      </c>
      <c r="L967" s="13" t="str" cm="1">
        <f t="array" ref="L967">_xlfn.IFS(
  OR(ISBLANK(A967),ISBLANK(C967),ISBLANK(J967)),"Missing Value",
  OR(C967&lt;18,C967&gt;120),"Review – Out of Range (Age)",
  J967&lt;0,"Review – Out of Range (Risk Score)",
  TRUE,"OK"
)</f>
        <v>OK</v>
      </c>
    </row>
    <row r="968" spans="1:12" ht="16.8" x14ac:dyDescent="0.3">
      <c r="A968" s="11" t="s">
        <v>1987</v>
      </c>
      <c r="B968" s="11" t="s">
        <v>1988</v>
      </c>
      <c r="C968" s="11">
        <v>45</v>
      </c>
      <c r="D968" s="11" t="s">
        <v>41</v>
      </c>
      <c r="E968" s="11" t="s">
        <v>58</v>
      </c>
      <c r="F968" s="11" t="s">
        <v>65</v>
      </c>
      <c r="G968" s="11" t="s">
        <v>109</v>
      </c>
      <c r="H968" s="11" t="s">
        <v>45</v>
      </c>
      <c r="I968" s="11" t="s">
        <v>45</v>
      </c>
      <c r="J968" s="11">
        <v>0.47</v>
      </c>
      <c r="K968" s="12">
        <v>44688</v>
      </c>
      <c r="L968" s="13" t="str" cm="1">
        <f t="array" ref="L968">_xlfn.IFS(
  OR(ISBLANK(A968),ISBLANK(C968),ISBLANK(J968)),"Missing Value",
  OR(C968&lt;18,C968&gt;120),"Review – Out of Range (Age)",
  J968&lt;0,"Review – Out of Range (Risk Score)",
  TRUE,"OK"
)</f>
        <v>OK</v>
      </c>
    </row>
    <row r="969" spans="1:12" ht="16.8" x14ac:dyDescent="0.3">
      <c r="A969" s="14" t="s">
        <v>1989</v>
      </c>
      <c r="B969" s="14" t="s">
        <v>1990</v>
      </c>
      <c r="C969" s="14">
        <v>68</v>
      </c>
      <c r="D969" s="14" t="s">
        <v>41</v>
      </c>
      <c r="E969" s="14" t="s">
        <v>42</v>
      </c>
      <c r="F969" s="14" t="s">
        <v>51</v>
      </c>
      <c r="G969" s="14" t="s">
        <v>60</v>
      </c>
      <c r="H969" s="14" t="s">
        <v>46</v>
      </c>
      <c r="I969" s="14" t="s">
        <v>46</v>
      </c>
      <c r="J969" s="14">
        <v>0.86</v>
      </c>
      <c r="K969" s="15">
        <v>43645</v>
      </c>
      <c r="L969" s="13" t="str" cm="1">
        <f t="array" ref="L969">_xlfn.IFS(
  OR(ISBLANK(A969),ISBLANK(C969),ISBLANK(J969)),"Missing Value",
  OR(C969&lt;18,C969&gt;120),"Review – Out of Range (Age)",
  J969&lt;0,"Review – Out of Range (Risk Score)",
  TRUE,"OK"
)</f>
        <v>OK</v>
      </c>
    </row>
    <row r="970" spans="1:12" ht="16.8" x14ac:dyDescent="0.3">
      <c r="A970" s="11" t="s">
        <v>1991</v>
      </c>
      <c r="B970" s="11" t="s">
        <v>1992</v>
      </c>
      <c r="C970" s="11">
        <v>35</v>
      </c>
      <c r="D970" s="11" t="s">
        <v>41</v>
      </c>
      <c r="E970" s="11" t="s">
        <v>58</v>
      </c>
      <c r="F970" s="11" t="s">
        <v>51</v>
      </c>
      <c r="G970" s="11" t="s">
        <v>44</v>
      </c>
      <c r="H970" s="11" t="s">
        <v>46</v>
      </c>
      <c r="I970" s="11" t="s">
        <v>45</v>
      </c>
      <c r="J970" s="11">
        <v>0.51</v>
      </c>
      <c r="K970" s="12">
        <v>43828</v>
      </c>
      <c r="L970" s="13" t="str" cm="1">
        <f t="array" ref="L970">_xlfn.IFS(
  OR(ISBLANK(A970),ISBLANK(C970),ISBLANK(J970)),"Missing Value",
  OR(C970&lt;18,C970&gt;120),"Review – Out of Range (Age)",
  J970&lt;0,"Review – Out of Range (Risk Score)",
  TRUE,"OK"
)</f>
        <v>OK</v>
      </c>
    </row>
    <row r="971" spans="1:12" ht="16.8" x14ac:dyDescent="0.3">
      <c r="A971" s="14" t="s">
        <v>1993</v>
      </c>
      <c r="B971" s="14" t="s">
        <v>1994</v>
      </c>
      <c r="C971" s="14">
        <v>59</v>
      </c>
      <c r="D971" s="14" t="s">
        <v>41</v>
      </c>
      <c r="E971" s="14" t="s">
        <v>42</v>
      </c>
      <c r="F971" s="14" t="s">
        <v>43</v>
      </c>
      <c r="G971" s="14" t="s">
        <v>52</v>
      </c>
      <c r="H971" s="14" t="s">
        <v>46</v>
      </c>
      <c r="I971" s="14" t="s">
        <v>46</v>
      </c>
      <c r="J971" s="14">
        <v>0.67</v>
      </c>
      <c r="K971" s="15">
        <v>45284</v>
      </c>
      <c r="L971" s="13" t="str" cm="1">
        <f t="array" ref="L971">_xlfn.IFS(
  OR(ISBLANK(A971),ISBLANK(C971),ISBLANK(J971)),"Missing Value",
  OR(C971&lt;18,C971&gt;120),"Review – Out of Range (Age)",
  J971&lt;0,"Review – Out of Range (Risk Score)",
  TRUE,"OK"
)</f>
        <v>OK</v>
      </c>
    </row>
    <row r="972" spans="1:12" ht="16.8" x14ac:dyDescent="0.3">
      <c r="A972" s="11" t="s">
        <v>1995</v>
      </c>
      <c r="B972" s="11" t="s">
        <v>1996</v>
      </c>
      <c r="C972" s="11">
        <v>32</v>
      </c>
      <c r="D972" s="11" t="s">
        <v>49</v>
      </c>
      <c r="E972" s="11" t="s">
        <v>50</v>
      </c>
      <c r="F972" s="11" t="s">
        <v>59</v>
      </c>
      <c r="G972" s="11" t="s">
        <v>55</v>
      </c>
      <c r="H972" s="11" t="s">
        <v>45</v>
      </c>
      <c r="I972" s="11" t="s">
        <v>46</v>
      </c>
      <c r="J972" s="11">
        <v>0.57999999999999996</v>
      </c>
      <c r="K972" s="12">
        <v>43200</v>
      </c>
      <c r="L972" s="13" t="str" cm="1">
        <f t="array" ref="L972">_xlfn.IFS(
  OR(ISBLANK(A972),ISBLANK(C972),ISBLANK(J972)),"Missing Value",
  OR(C972&lt;18,C972&gt;120),"Review – Out of Range (Age)",
  J972&lt;0,"Review – Out of Range (Risk Score)",
  TRUE,"OK"
)</f>
        <v>OK</v>
      </c>
    </row>
    <row r="973" spans="1:12" ht="16.8" x14ac:dyDescent="0.3">
      <c r="A973" s="14" t="s">
        <v>1997</v>
      </c>
      <c r="B973" s="14" t="s">
        <v>1998</v>
      </c>
      <c r="C973" s="14">
        <v>59</v>
      </c>
      <c r="D973" s="14" t="s">
        <v>49</v>
      </c>
      <c r="E973" s="14" t="s">
        <v>42</v>
      </c>
      <c r="F973" s="14" t="s">
        <v>43</v>
      </c>
      <c r="G973" s="14" t="s">
        <v>52</v>
      </c>
      <c r="H973" s="14" t="s">
        <v>46</v>
      </c>
      <c r="I973" s="14" t="s">
        <v>45</v>
      </c>
      <c r="J973" s="14">
        <v>0.39</v>
      </c>
      <c r="K973" s="15">
        <v>43786</v>
      </c>
      <c r="L973" s="13" t="str" cm="1">
        <f t="array" ref="L973">_xlfn.IFS(
  OR(ISBLANK(A973),ISBLANK(C973),ISBLANK(J973)),"Missing Value",
  OR(C973&lt;18,C973&gt;120),"Review – Out of Range (Age)",
  J973&lt;0,"Review – Out of Range (Risk Score)",
  TRUE,"OK"
)</f>
        <v>OK</v>
      </c>
    </row>
    <row r="974" spans="1:12" ht="16.8" x14ac:dyDescent="0.3">
      <c r="A974" s="11" t="s">
        <v>1999</v>
      </c>
      <c r="B974" s="11" t="s">
        <v>2000</v>
      </c>
      <c r="C974" s="11">
        <v>60</v>
      </c>
      <c r="D974" s="11" t="s">
        <v>49</v>
      </c>
      <c r="E974" s="11" t="s">
        <v>42</v>
      </c>
      <c r="F974" s="11" t="s">
        <v>51</v>
      </c>
      <c r="G974" s="11" t="s">
        <v>55</v>
      </c>
      <c r="H974" s="11" t="s">
        <v>45</v>
      </c>
      <c r="I974" s="11" t="s">
        <v>46</v>
      </c>
      <c r="J974" s="11">
        <v>0.6</v>
      </c>
      <c r="K974" s="12">
        <v>43497</v>
      </c>
      <c r="L974" s="13" t="str" cm="1">
        <f t="array" ref="L974">_xlfn.IFS(
  OR(ISBLANK(A974),ISBLANK(C974),ISBLANK(J974)),"Missing Value",
  OR(C974&lt;18,C974&gt;120),"Review – Out of Range (Age)",
  J974&lt;0,"Review – Out of Range (Risk Score)",
  TRUE,"OK"
)</f>
        <v>OK</v>
      </c>
    </row>
    <row r="975" spans="1:12" ht="16.8" x14ac:dyDescent="0.3">
      <c r="A975" s="14" t="s">
        <v>2001</v>
      </c>
      <c r="B975" s="14" t="s">
        <v>2002</v>
      </c>
      <c r="C975" s="14">
        <v>52</v>
      </c>
      <c r="D975" s="14" t="s">
        <v>41</v>
      </c>
      <c r="E975" s="14" t="s">
        <v>42</v>
      </c>
      <c r="F975" s="14" t="s">
        <v>51</v>
      </c>
      <c r="G975" s="14" t="s">
        <v>44</v>
      </c>
      <c r="H975" s="14" t="s">
        <v>46</v>
      </c>
      <c r="I975" s="14" t="s">
        <v>45</v>
      </c>
      <c r="J975" s="14">
        <v>0.28000000000000003</v>
      </c>
      <c r="K975" s="15">
        <v>43364</v>
      </c>
      <c r="L975" s="13" t="str" cm="1">
        <f t="array" ref="L975">_xlfn.IFS(
  OR(ISBLANK(A975),ISBLANK(C975),ISBLANK(J975)),"Missing Value",
  OR(C975&lt;18,C975&gt;120),"Review – Out of Range (Age)",
  J975&lt;0,"Review – Out of Range (Risk Score)",
  TRUE,"OK"
)</f>
        <v>OK</v>
      </c>
    </row>
    <row r="976" spans="1:12" ht="16.8" x14ac:dyDescent="0.3">
      <c r="A976" s="11" t="s">
        <v>2003</v>
      </c>
      <c r="B976" s="11" t="s">
        <v>2004</v>
      </c>
      <c r="C976" s="11">
        <v>62</v>
      </c>
      <c r="D976" s="11" t="s">
        <v>41</v>
      </c>
      <c r="E976" s="11" t="s">
        <v>58</v>
      </c>
      <c r="F976" s="11" t="s">
        <v>59</v>
      </c>
      <c r="G976" s="11" t="s">
        <v>60</v>
      </c>
      <c r="H976" s="11" t="s">
        <v>46</v>
      </c>
      <c r="I976" s="11" t="s">
        <v>46</v>
      </c>
      <c r="J976" s="11">
        <v>0.27</v>
      </c>
      <c r="K976" s="12">
        <v>43408</v>
      </c>
      <c r="L976" s="13" t="str" cm="1">
        <f t="array" ref="L976">_xlfn.IFS(
  OR(ISBLANK(A976),ISBLANK(C976),ISBLANK(J976)),"Missing Value",
  OR(C976&lt;18,C976&gt;120),"Review – Out of Range (Age)",
  J976&lt;0,"Review – Out of Range (Risk Score)",
  TRUE,"OK"
)</f>
        <v>OK</v>
      </c>
    </row>
    <row r="977" spans="1:12" ht="16.8" x14ac:dyDescent="0.3">
      <c r="A977" s="14" t="s">
        <v>2005</v>
      </c>
      <c r="B977" s="14" t="s">
        <v>2006</v>
      </c>
      <c r="C977" s="14">
        <v>60</v>
      </c>
      <c r="D977" s="14" t="s">
        <v>41</v>
      </c>
      <c r="E977" s="14" t="s">
        <v>50</v>
      </c>
      <c r="F977" s="14" t="s">
        <v>43</v>
      </c>
      <c r="G977" s="14" t="s">
        <v>55</v>
      </c>
      <c r="H977" s="14" t="s">
        <v>46</v>
      </c>
      <c r="I977" s="14" t="s">
        <v>46</v>
      </c>
      <c r="J977" s="14">
        <v>0.53</v>
      </c>
      <c r="K977" s="15">
        <v>43473</v>
      </c>
      <c r="L977" s="13" t="str" cm="1">
        <f t="array" ref="L977">_xlfn.IFS(
  OR(ISBLANK(A977),ISBLANK(C977),ISBLANK(J977)),"Missing Value",
  OR(C977&lt;18,C977&gt;120),"Review – Out of Range (Age)",
  J977&lt;0,"Review – Out of Range (Risk Score)",
  TRUE,"OK"
)</f>
        <v>OK</v>
      </c>
    </row>
    <row r="978" spans="1:12" ht="16.8" x14ac:dyDescent="0.3">
      <c r="A978" s="11" t="s">
        <v>2007</v>
      </c>
      <c r="B978" s="11" t="s">
        <v>2008</v>
      </c>
      <c r="C978" s="11">
        <v>51</v>
      </c>
      <c r="D978" s="11" t="s">
        <v>49</v>
      </c>
      <c r="E978" s="11" t="s">
        <v>42</v>
      </c>
      <c r="F978" s="11" t="s">
        <v>51</v>
      </c>
      <c r="G978" s="11" t="s">
        <v>52</v>
      </c>
      <c r="H978" s="11" t="s">
        <v>45</v>
      </c>
      <c r="I978" s="11" t="s">
        <v>45</v>
      </c>
      <c r="J978" s="11">
        <v>0.67</v>
      </c>
      <c r="K978" s="12">
        <v>43438</v>
      </c>
      <c r="L978" s="13" t="str" cm="1">
        <f t="array" ref="L978">_xlfn.IFS(
  OR(ISBLANK(A978),ISBLANK(C978),ISBLANK(J978)),"Missing Value",
  OR(C978&lt;18,C978&gt;120),"Review – Out of Range (Age)",
  J978&lt;0,"Review – Out of Range (Risk Score)",
  TRUE,"OK"
)</f>
        <v>OK</v>
      </c>
    </row>
    <row r="979" spans="1:12" ht="16.8" x14ac:dyDescent="0.3">
      <c r="A979" s="14" t="s">
        <v>2009</v>
      </c>
      <c r="B979" s="14" t="s">
        <v>2010</v>
      </c>
      <c r="C979" s="14">
        <v>52</v>
      </c>
      <c r="D979" s="14" t="s">
        <v>41</v>
      </c>
      <c r="E979" s="14" t="s">
        <v>42</v>
      </c>
      <c r="F979" s="14" t="s">
        <v>65</v>
      </c>
      <c r="G979" s="14" t="s">
        <v>52</v>
      </c>
      <c r="H979" s="14" t="s">
        <v>46</v>
      </c>
      <c r="I979" s="14" t="s">
        <v>46</v>
      </c>
      <c r="J979" s="14">
        <v>0.28000000000000003</v>
      </c>
      <c r="K979" s="15">
        <v>44878</v>
      </c>
      <c r="L979" s="13" t="str" cm="1">
        <f t="array" ref="L979">_xlfn.IFS(
  OR(ISBLANK(A979),ISBLANK(C979),ISBLANK(J979)),"Missing Value",
  OR(C979&lt;18,C979&gt;120),"Review – Out of Range (Age)",
  J979&lt;0,"Review – Out of Range (Risk Score)",
  TRUE,"OK"
)</f>
        <v>OK</v>
      </c>
    </row>
    <row r="980" spans="1:12" ht="16.8" x14ac:dyDescent="0.3">
      <c r="A980" s="11" t="s">
        <v>2011</v>
      </c>
      <c r="B980" s="11" t="s">
        <v>2012</v>
      </c>
      <c r="C980" s="11">
        <v>45</v>
      </c>
      <c r="D980" s="11" t="s">
        <v>41</v>
      </c>
      <c r="E980" s="11" t="s">
        <v>42</v>
      </c>
      <c r="F980" s="11" t="s">
        <v>43</v>
      </c>
      <c r="G980" s="11" t="s">
        <v>94</v>
      </c>
      <c r="H980" s="11" t="s">
        <v>46</v>
      </c>
      <c r="I980" s="11" t="s">
        <v>45</v>
      </c>
      <c r="J980" s="11">
        <v>0.49</v>
      </c>
      <c r="K980" s="12">
        <v>43641</v>
      </c>
      <c r="L980" s="13" t="str" cm="1">
        <f t="array" ref="L980">_xlfn.IFS(
  OR(ISBLANK(A980),ISBLANK(C980),ISBLANK(J980)),"Missing Value",
  OR(C980&lt;18,C980&gt;120),"Review – Out of Range (Age)",
  J980&lt;0,"Review – Out of Range (Risk Score)",
  TRUE,"OK"
)</f>
        <v>OK</v>
      </c>
    </row>
    <row r="981" spans="1:12" ht="16.8" x14ac:dyDescent="0.3">
      <c r="A981" s="14" t="s">
        <v>2013</v>
      </c>
      <c r="B981" s="14" t="s">
        <v>2014</v>
      </c>
      <c r="C981" s="14">
        <v>39</v>
      </c>
      <c r="D981" s="14" t="s">
        <v>49</v>
      </c>
      <c r="E981" s="14" t="s">
        <v>42</v>
      </c>
      <c r="F981" s="14" t="s">
        <v>51</v>
      </c>
      <c r="G981" s="14" t="s">
        <v>52</v>
      </c>
      <c r="H981" s="14" t="s">
        <v>45</v>
      </c>
      <c r="I981" s="14" t="s">
        <v>45</v>
      </c>
      <c r="J981" s="14">
        <v>0.51</v>
      </c>
      <c r="K981" s="15">
        <v>43590</v>
      </c>
      <c r="L981" s="13" t="str" cm="1">
        <f t="array" ref="L981">_xlfn.IFS(
  OR(ISBLANK(A981),ISBLANK(C981),ISBLANK(J981)),"Missing Value",
  OR(C981&lt;18,C981&gt;120),"Review – Out of Range (Age)",
  J981&lt;0,"Review – Out of Range (Risk Score)",
  TRUE,"OK"
)</f>
        <v>OK</v>
      </c>
    </row>
    <row r="982" spans="1:12" ht="16.8" x14ac:dyDescent="0.3">
      <c r="A982" s="11" t="s">
        <v>2015</v>
      </c>
      <c r="B982" s="11" t="s">
        <v>2016</v>
      </c>
      <c r="C982" s="11">
        <v>24</v>
      </c>
      <c r="D982" s="11" t="s">
        <v>41</v>
      </c>
      <c r="E982" s="11" t="s">
        <v>42</v>
      </c>
      <c r="F982" s="11" t="s">
        <v>59</v>
      </c>
      <c r="G982" s="11" t="s">
        <v>55</v>
      </c>
      <c r="H982" s="11" t="s">
        <v>45</v>
      </c>
      <c r="I982" s="11" t="s">
        <v>45</v>
      </c>
      <c r="J982" s="11">
        <v>0.45</v>
      </c>
      <c r="K982" s="12">
        <v>43932</v>
      </c>
      <c r="L982" s="13" t="str" cm="1">
        <f t="array" ref="L982">_xlfn.IFS(
  OR(ISBLANK(A982),ISBLANK(C982),ISBLANK(J982)),"Missing Value",
  OR(C982&lt;18,C982&gt;120),"Review – Out of Range (Age)",
  J982&lt;0,"Review – Out of Range (Risk Score)",
  TRUE,"OK"
)</f>
        <v>OK</v>
      </c>
    </row>
    <row r="983" spans="1:12" ht="16.8" x14ac:dyDescent="0.3">
      <c r="A983" s="14" t="s">
        <v>2017</v>
      </c>
      <c r="B983" s="14" t="s">
        <v>2018</v>
      </c>
      <c r="C983" s="14">
        <v>53</v>
      </c>
      <c r="D983" s="14" t="s">
        <v>49</v>
      </c>
      <c r="E983" s="14" t="s">
        <v>58</v>
      </c>
      <c r="F983" s="14" t="s">
        <v>65</v>
      </c>
      <c r="G983" s="14" t="s">
        <v>60</v>
      </c>
      <c r="H983" s="14" t="s">
        <v>46</v>
      </c>
      <c r="I983" s="14" t="s">
        <v>46</v>
      </c>
      <c r="J983" s="14">
        <v>0.42</v>
      </c>
      <c r="K983" s="15">
        <v>44412</v>
      </c>
      <c r="L983" s="13" t="str" cm="1">
        <f t="array" ref="L983">_xlfn.IFS(
  OR(ISBLANK(A983),ISBLANK(C983),ISBLANK(J983)),"Missing Value",
  OR(C983&lt;18,C983&gt;120),"Review – Out of Range (Age)",
  J983&lt;0,"Review – Out of Range (Risk Score)",
  TRUE,"OK"
)</f>
        <v>OK</v>
      </c>
    </row>
    <row r="984" spans="1:12" ht="16.8" x14ac:dyDescent="0.3">
      <c r="A984" s="11" t="s">
        <v>2019</v>
      </c>
      <c r="B984" s="11" t="s">
        <v>2020</v>
      </c>
      <c r="C984" s="11">
        <v>63</v>
      </c>
      <c r="D984" s="11" t="s">
        <v>41</v>
      </c>
      <c r="E984" s="11" t="s">
        <v>50</v>
      </c>
      <c r="F984" s="11" t="s">
        <v>51</v>
      </c>
      <c r="G984" s="11" t="s">
        <v>55</v>
      </c>
      <c r="H984" s="11" t="s">
        <v>45</v>
      </c>
      <c r="I984" s="11" t="s">
        <v>46</v>
      </c>
      <c r="J984" s="11">
        <v>0.85</v>
      </c>
      <c r="K984" s="12">
        <v>44706</v>
      </c>
      <c r="L984" s="13" t="str" cm="1">
        <f t="array" ref="L984">_xlfn.IFS(
  OR(ISBLANK(A984),ISBLANK(C984),ISBLANK(J984)),"Missing Value",
  OR(C984&lt;18,C984&gt;120),"Review – Out of Range (Age)",
  J984&lt;0,"Review – Out of Range (Risk Score)",
  TRUE,"OK"
)</f>
        <v>OK</v>
      </c>
    </row>
    <row r="985" spans="1:12" ht="16.8" x14ac:dyDescent="0.3">
      <c r="A985" s="14" t="s">
        <v>2021</v>
      </c>
      <c r="B985" s="14" t="s">
        <v>2022</v>
      </c>
      <c r="C985" s="14">
        <v>67</v>
      </c>
      <c r="D985" s="14" t="s">
        <v>41</v>
      </c>
      <c r="E985" s="14" t="s">
        <v>50</v>
      </c>
      <c r="F985" s="14" t="s">
        <v>43</v>
      </c>
      <c r="G985" s="14" t="s">
        <v>44</v>
      </c>
      <c r="H985" s="14" t="s">
        <v>45</v>
      </c>
      <c r="I985" s="14" t="s">
        <v>46</v>
      </c>
      <c r="J985" s="14">
        <v>0.82</v>
      </c>
      <c r="K985" s="15">
        <v>43479</v>
      </c>
      <c r="L985" s="13" t="str" cm="1">
        <f t="array" ref="L985">_xlfn.IFS(
  OR(ISBLANK(A985),ISBLANK(C985),ISBLANK(J985)),"Missing Value",
  OR(C985&lt;18,C985&gt;120),"Review – Out of Range (Age)",
  J985&lt;0,"Review – Out of Range (Risk Score)",
  TRUE,"OK"
)</f>
        <v>OK</v>
      </c>
    </row>
    <row r="986" spans="1:12" ht="16.8" x14ac:dyDescent="0.3">
      <c r="A986" s="11" t="s">
        <v>2023</v>
      </c>
      <c r="B986" s="11" t="s">
        <v>2024</v>
      </c>
      <c r="C986" s="11">
        <v>33</v>
      </c>
      <c r="D986" s="11" t="s">
        <v>49</v>
      </c>
      <c r="E986" s="11" t="s">
        <v>58</v>
      </c>
      <c r="F986" s="11" t="s">
        <v>59</v>
      </c>
      <c r="G986" s="11" t="s">
        <v>94</v>
      </c>
      <c r="H986" s="11" t="s">
        <v>46</v>
      </c>
      <c r="I986" s="11" t="s">
        <v>45</v>
      </c>
      <c r="J986" s="11">
        <v>0.25</v>
      </c>
      <c r="K986" s="12">
        <v>44703</v>
      </c>
      <c r="L986" s="13" t="str" cm="1">
        <f t="array" ref="L986">_xlfn.IFS(
  OR(ISBLANK(A986),ISBLANK(C986),ISBLANK(J986)),"Missing Value",
  OR(C986&lt;18,C986&gt;120),"Review – Out of Range (Age)",
  J986&lt;0,"Review – Out of Range (Risk Score)",
  TRUE,"OK"
)</f>
        <v>OK</v>
      </c>
    </row>
    <row r="987" spans="1:12" ht="16.8" x14ac:dyDescent="0.3">
      <c r="A987" s="14" t="s">
        <v>2025</v>
      </c>
      <c r="B987" s="14" t="s">
        <v>2026</v>
      </c>
      <c r="C987" s="14">
        <v>56</v>
      </c>
      <c r="D987" s="14" t="s">
        <v>49</v>
      </c>
      <c r="E987" s="14" t="s">
        <v>42</v>
      </c>
      <c r="F987" s="14" t="s">
        <v>51</v>
      </c>
      <c r="G987" s="14" t="s">
        <v>60</v>
      </c>
      <c r="H987" s="14" t="s">
        <v>45</v>
      </c>
      <c r="I987" s="14" t="s">
        <v>45</v>
      </c>
      <c r="J987" s="14">
        <v>0.46</v>
      </c>
      <c r="K987" s="15">
        <v>44578</v>
      </c>
      <c r="L987" s="13" t="str" cm="1">
        <f t="array" ref="L987">_xlfn.IFS(
  OR(ISBLANK(A987),ISBLANK(C987),ISBLANK(J987)),"Missing Value",
  OR(C987&lt;18,C987&gt;120),"Review – Out of Range (Age)",
  J987&lt;0,"Review – Out of Range (Risk Score)",
  TRUE,"OK"
)</f>
        <v>OK</v>
      </c>
    </row>
    <row r="988" spans="1:12" ht="16.8" x14ac:dyDescent="0.3">
      <c r="A988" s="11" t="s">
        <v>2027</v>
      </c>
      <c r="B988" s="11" t="s">
        <v>2028</v>
      </c>
      <c r="C988" s="11">
        <v>28</v>
      </c>
      <c r="D988" s="11" t="s">
        <v>41</v>
      </c>
      <c r="E988" s="11" t="s">
        <v>50</v>
      </c>
      <c r="F988" s="11" t="s">
        <v>51</v>
      </c>
      <c r="G988" s="11" t="s">
        <v>60</v>
      </c>
      <c r="H988" s="11" t="s">
        <v>46</v>
      </c>
      <c r="I988" s="11" t="s">
        <v>46</v>
      </c>
      <c r="J988" s="11">
        <v>0.62</v>
      </c>
      <c r="K988" s="12">
        <v>43109</v>
      </c>
      <c r="L988" s="13" t="str" cm="1">
        <f t="array" ref="L988">_xlfn.IFS(
  OR(ISBLANK(A988),ISBLANK(C988),ISBLANK(J988)),"Missing Value",
  OR(C988&lt;18,C988&gt;120),"Review – Out of Range (Age)",
  J988&lt;0,"Review – Out of Range (Risk Score)",
  TRUE,"OK"
)</f>
        <v>OK</v>
      </c>
    </row>
    <row r="989" spans="1:12" ht="16.8" x14ac:dyDescent="0.3">
      <c r="A989" s="14" t="s">
        <v>2029</v>
      </c>
      <c r="B989" s="14" t="s">
        <v>2030</v>
      </c>
      <c r="C989" s="14">
        <v>25</v>
      </c>
      <c r="D989" s="14" t="s">
        <v>41</v>
      </c>
      <c r="E989" s="14" t="s">
        <v>58</v>
      </c>
      <c r="F989" s="14" t="s">
        <v>65</v>
      </c>
      <c r="G989" s="14" t="s">
        <v>55</v>
      </c>
      <c r="H989" s="14" t="s">
        <v>46</v>
      </c>
      <c r="I989" s="14" t="s">
        <v>45</v>
      </c>
      <c r="J989" s="14">
        <v>0.75</v>
      </c>
      <c r="K989" s="15">
        <v>43165</v>
      </c>
      <c r="L989" s="13" t="str" cm="1">
        <f t="array" ref="L989">_xlfn.IFS(
  OR(ISBLANK(A989),ISBLANK(C989),ISBLANK(J989)),"Missing Value",
  OR(C989&lt;18,C989&gt;120),"Review – Out of Range (Age)",
  J989&lt;0,"Review – Out of Range (Risk Score)",
  TRUE,"OK"
)</f>
        <v>OK</v>
      </c>
    </row>
    <row r="990" spans="1:12" ht="16.8" x14ac:dyDescent="0.3">
      <c r="A990" s="11" t="s">
        <v>2031</v>
      </c>
      <c r="B990" s="11" t="s">
        <v>2032</v>
      </c>
      <c r="C990" s="11">
        <v>20</v>
      </c>
      <c r="D990" s="11" t="s">
        <v>41</v>
      </c>
      <c r="E990" s="11" t="s">
        <v>58</v>
      </c>
      <c r="F990" s="11" t="s">
        <v>65</v>
      </c>
      <c r="G990" s="11" t="s">
        <v>55</v>
      </c>
      <c r="H990" s="11" t="s">
        <v>45</v>
      </c>
      <c r="I990" s="11" t="s">
        <v>45</v>
      </c>
      <c r="J990" s="11">
        <v>0.56000000000000005</v>
      </c>
      <c r="K990" s="12">
        <v>43592</v>
      </c>
      <c r="L990" s="13" t="str" cm="1">
        <f t="array" ref="L990">_xlfn.IFS(
  OR(ISBLANK(A990),ISBLANK(C990),ISBLANK(J990)),"Missing Value",
  OR(C990&lt;18,C990&gt;120),"Review – Out of Range (Age)",
  J990&lt;0,"Review – Out of Range (Risk Score)",
  TRUE,"OK"
)</f>
        <v>OK</v>
      </c>
    </row>
    <row r="991" spans="1:12" ht="16.8" x14ac:dyDescent="0.3">
      <c r="A991" s="14" t="s">
        <v>2033</v>
      </c>
      <c r="B991" s="14" t="s">
        <v>2034</v>
      </c>
      <c r="C991" s="14">
        <v>47</v>
      </c>
      <c r="D991" s="14" t="s">
        <v>41</v>
      </c>
      <c r="E991" s="14" t="s">
        <v>58</v>
      </c>
      <c r="F991" s="14" t="s">
        <v>43</v>
      </c>
      <c r="G991" s="14" t="s">
        <v>44</v>
      </c>
      <c r="H991" s="14" t="s">
        <v>45</v>
      </c>
      <c r="I991" s="14" t="s">
        <v>46</v>
      </c>
      <c r="J991" s="14">
        <v>0.39</v>
      </c>
      <c r="K991" s="15">
        <v>44250</v>
      </c>
      <c r="L991" s="13" t="str" cm="1">
        <f t="array" ref="L991">_xlfn.IFS(
  OR(ISBLANK(A991),ISBLANK(C991),ISBLANK(J991)),"Missing Value",
  OR(C991&lt;18,C991&gt;120),"Review – Out of Range (Age)",
  J991&lt;0,"Review – Out of Range (Risk Score)",
  TRUE,"OK"
)</f>
        <v>OK</v>
      </c>
    </row>
    <row r="992" spans="1:12" ht="16.8" x14ac:dyDescent="0.3">
      <c r="A992" s="11" t="s">
        <v>2035</v>
      </c>
      <c r="B992" s="11" t="s">
        <v>2036</v>
      </c>
      <c r="C992" s="11">
        <v>27</v>
      </c>
      <c r="D992" s="11" t="s">
        <v>41</v>
      </c>
      <c r="E992" s="11" t="s">
        <v>42</v>
      </c>
      <c r="F992" s="11" t="s">
        <v>51</v>
      </c>
      <c r="G992" s="11" t="s">
        <v>52</v>
      </c>
      <c r="H992" s="11" t="s">
        <v>45</v>
      </c>
      <c r="I992" s="11" t="s">
        <v>46</v>
      </c>
      <c r="J992" s="11">
        <v>0.25</v>
      </c>
      <c r="K992" s="12">
        <v>43223</v>
      </c>
      <c r="L992" s="13" t="str" cm="1">
        <f t="array" ref="L992">_xlfn.IFS(
  OR(ISBLANK(A992),ISBLANK(C992),ISBLANK(J992)),"Missing Value",
  OR(C992&lt;18,C992&gt;120),"Review – Out of Range (Age)",
  J992&lt;0,"Review – Out of Range (Risk Score)",
  TRUE,"OK"
)</f>
        <v>OK</v>
      </c>
    </row>
    <row r="993" spans="1:12" ht="16.8" x14ac:dyDescent="0.3">
      <c r="A993" s="14" t="s">
        <v>2037</v>
      </c>
      <c r="B993" s="14" t="s">
        <v>2038</v>
      </c>
      <c r="C993" s="14">
        <v>32</v>
      </c>
      <c r="D993" s="14" t="s">
        <v>41</v>
      </c>
      <c r="E993" s="14" t="s">
        <v>58</v>
      </c>
      <c r="F993" s="14" t="s">
        <v>65</v>
      </c>
      <c r="G993" s="14" t="s">
        <v>60</v>
      </c>
      <c r="H993" s="14" t="s">
        <v>45</v>
      </c>
      <c r="I993" s="14" t="s">
        <v>45</v>
      </c>
      <c r="J993" s="14">
        <v>0.43</v>
      </c>
      <c r="K993" s="15">
        <v>44643</v>
      </c>
      <c r="L993" s="13" t="str" cm="1">
        <f t="array" ref="L993">_xlfn.IFS(
  OR(ISBLANK(A993),ISBLANK(C993),ISBLANK(J993)),"Missing Value",
  OR(C993&lt;18,C993&gt;120),"Review – Out of Range (Age)",
  J993&lt;0,"Review – Out of Range (Risk Score)",
  TRUE,"OK"
)</f>
        <v>OK</v>
      </c>
    </row>
    <row r="994" spans="1:12" ht="16.8" x14ac:dyDescent="0.3">
      <c r="A994" s="11" t="s">
        <v>2039</v>
      </c>
      <c r="B994" s="11" t="s">
        <v>2040</v>
      </c>
      <c r="C994" s="11">
        <v>30</v>
      </c>
      <c r="D994" s="11" t="s">
        <v>49</v>
      </c>
      <c r="E994" s="11" t="s">
        <v>42</v>
      </c>
      <c r="F994" s="11" t="s">
        <v>65</v>
      </c>
      <c r="G994" s="11" t="s">
        <v>52</v>
      </c>
      <c r="H994" s="11" t="s">
        <v>46</v>
      </c>
      <c r="I994" s="11" t="s">
        <v>45</v>
      </c>
      <c r="J994" s="11">
        <v>0.31</v>
      </c>
      <c r="K994" s="12">
        <v>43572</v>
      </c>
      <c r="L994" s="13" t="str" cm="1">
        <f t="array" ref="L994">_xlfn.IFS(
  OR(ISBLANK(A994),ISBLANK(C994),ISBLANK(J994)),"Missing Value",
  OR(C994&lt;18,C994&gt;120),"Review – Out of Range (Age)",
  J994&lt;0,"Review – Out of Range (Risk Score)",
  TRUE,"OK"
)</f>
        <v>OK</v>
      </c>
    </row>
    <row r="995" spans="1:12" ht="16.8" x14ac:dyDescent="0.3">
      <c r="A995" s="14" t="s">
        <v>2041</v>
      </c>
      <c r="B995" s="14" t="s">
        <v>2042</v>
      </c>
      <c r="C995" s="14">
        <v>46</v>
      </c>
      <c r="D995" s="14" t="s">
        <v>49</v>
      </c>
      <c r="E995" s="14" t="s">
        <v>58</v>
      </c>
      <c r="F995" s="14" t="s">
        <v>65</v>
      </c>
      <c r="G995" s="14" t="s">
        <v>60</v>
      </c>
      <c r="H995" s="14" t="s">
        <v>46</v>
      </c>
      <c r="I995" s="14" t="s">
        <v>45</v>
      </c>
      <c r="J995" s="14">
        <v>0.78</v>
      </c>
      <c r="K995" s="15">
        <v>44589</v>
      </c>
      <c r="L995" s="13" t="str" cm="1">
        <f t="array" ref="L995">_xlfn.IFS(
  OR(ISBLANK(A995),ISBLANK(C995),ISBLANK(J995)),"Missing Value",
  OR(C995&lt;18,C995&gt;120),"Review – Out of Range (Age)",
  J995&lt;0,"Review – Out of Range (Risk Score)",
  TRUE,"OK"
)</f>
        <v>OK</v>
      </c>
    </row>
    <row r="996" spans="1:12" ht="16.8" x14ac:dyDescent="0.3">
      <c r="A996" s="11" t="s">
        <v>2043</v>
      </c>
      <c r="B996" s="11" t="s">
        <v>2044</v>
      </c>
      <c r="C996" s="11">
        <v>26</v>
      </c>
      <c r="D996" s="11" t="s">
        <v>41</v>
      </c>
      <c r="E996" s="11" t="s">
        <v>58</v>
      </c>
      <c r="F996" s="11" t="s">
        <v>65</v>
      </c>
      <c r="G996" s="11" t="s">
        <v>52</v>
      </c>
      <c r="H996" s="11" t="s">
        <v>45</v>
      </c>
      <c r="I996" s="11" t="s">
        <v>46</v>
      </c>
      <c r="J996" s="11">
        <v>0.85</v>
      </c>
      <c r="K996" s="12">
        <v>44391</v>
      </c>
      <c r="L996" s="13" t="str" cm="1">
        <f t="array" ref="L996">_xlfn.IFS(
  OR(ISBLANK(A996),ISBLANK(C996),ISBLANK(J996)),"Missing Value",
  OR(C996&lt;18,C996&gt;120),"Review – Out of Range (Age)",
  J996&lt;0,"Review – Out of Range (Risk Score)",
  TRUE,"OK"
)</f>
        <v>OK</v>
      </c>
    </row>
    <row r="997" spans="1:12" ht="16.8" x14ac:dyDescent="0.3">
      <c r="A997" s="14" t="s">
        <v>2045</v>
      </c>
      <c r="B997" s="14" t="s">
        <v>2046</v>
      </c>
      <c r="C997" s="14">
        <v>56</v>
      </c>
      <c r="D997" s="14" t="s">
        <v>49</v>
      </c>
      <c r="E997" s="14" t="s">
        <v>58</v>
      </c>
      <c r="F997" s="14" t="s">
        <v>59</v>
      </c>
      <c r="G997" s="14" t="s">
        <v>44</v>
      </c>
      <c r="H997" s="14" t="s">
        <v>46</v>
      </c>
      <c r="I997" s="14" t="s">
        <v>45</v>
      </c>
      <c r="J997" s="14">
        <v>0.5</v>
      </c>
      <c r="K997" s="15">
        <v>43933</v>
      </c>
      <c r="L997" s="13" t="str" cm="1">
        <f t="array" ref="L997">_xlfn.IFS(
  OR(ISBLANK(A997),ISBLANK(C997),ISBLANK(J997)),"Missing Value",
  OR(C997&lt;18,C997&gt;120),"Review – Out of Range (Age)",
  J997&lt;0,"Review – Out of Range (Risk Score)",
  TRUE,"OK"
)</f>
        <v>OK</v>
      </c>
    </row>
    <row r="998" spans="1:12" ht="16.8" x14ac:dyDescent="0.3">
      <c r="A998" s="11" t="s">
        <v>2047</v>
      </c>
      <c r="B998" s="11" t="s">
        <v>2048</v>
      </c>
      <c r="C998" s="11">
        <v>29</v>
      </c>
      <c r="D998" s="11" t="s">
        <v>49</v>
      </c>
      <c r="E998" s="11" t="s">
        <v>42</v>
      </c>
      <c r="F998" s="11" t="s">
        <v>51</v>
      </c>
      <c r="G998" s="11" t="s">
        <v>52</v>
      </c>
      <c r="H998" s="11" t="s">
        <v>45</v>
      </c>
      <c r="I998" s="11" t="s">
        <v>45</v>
      </c>
      <c r="J998" s="11">
        <v>0.36</v>
      </c>
      <c r="K998" s="12">
        <v>44911</v>
      </c>
      <c r="L998" s="13" t="str" cm="1">
        <f t="array" ref="L998">_xlfn.IFS(
  OR(ISBLANK(A998),ISBLANK(C998),ISBLANK(J998)),"Missing Value",
  OR(C998&lt;18,C998&gt;120),"Review – Out of Range (Age)",
  J998&lt;0,"Review – Out of Range (Risk Score)",
  TRUE,"OK"
)</f>
        <v>OK</v>
      </c>
    </row>
    <row r="999" spans="1:12" ht="16.8" x14ac:dyDescent="0.3">
      <c r="A999" s="14" t="s">
        <v>2049</v>
      </c>
      <c r="B999" s="14" t="s">
        <v>2050</v>
      </c>
      <c r="C999" s="14">
        <v>19</v>
      </c>
      <c r="D999" s="14" t="s">
        <v>41</v>
      </c>
      <c r="E999" s="14" t="s">
        <v>42</v>
      </c>
      <c r="F999" s="14" t="s">
        <v>59</v>
      </c>
      <c r="G999" s="14" t="s">
        <v>44</v>
      </c>
      <c r="H999" s="14" t="s">
        <v>46</v>
      </c>
      <c r="I999" s="14" t="s">
        <v>45</v>
      </c>
      <c r="J999" s="14">
        <v>0.57999999999999996</v>
      </c>
      <c r="K999" s="15">
        <v>44311</v>
      </c>
      <c r="L999" s="13" t="str" cm="1">
        <f t="array" ref="L999">_xlfn.IFS(
  OR(ISBLANK(A999),ISBLANK(C999),ISBLANK(J999)),"Missing Value",
  OR(C999&lt;18,C999&gt;120),"Review – Out of Range (Age)",
  J999&lt;0,"Review – Out of Range (Risk Score)",
  TRUE,"OK"
)</f>
        <v>OK</v>
      </c>
    </row>
    <row r="1000" spans="1:12" ht="16.8" x14ac:dyDescent="0.3">
      <c r="A1000" s="11" t="s">
        <v>2051</v>
      </c>
      <c r="B1000" s="11" t="s">
        <v>2052</v>
      </c>
      <c r="C1000" s="11">
        <v>33</v>
      </c>
      <c r="D1000" s="11" t="s">
        <v>41</v>
      </c>
      <c r="E1000" s="11" t="s">
        <v>58</v>
      </c>
      <c r="F1000" s="11" t="s">
        <v>51</v>
      </c>
      <c r="G1000" s="11" t="s">
        <v>44</v>
      </c>
      <c r="H1000" s="11" t="s">
        <v>46</v>
      </c>
      <c r="I1000" s="11" t="s">
        <v>46</v>
      </c>
      <c r="J1000" s="11">
        <v>0.51</v>
      </c>
      <c r="K1000" s="12">
        <v>43811</v>
      </c>
      <c r="L1000" s="13" t="str" cm="1">
        <f t="array" ref="L1000">_xlfn.IFS(
  OR(ISBLANK(A1000),ISBLANK(C1000),ISBLANK(J1000)),"Missing Value",
  OR(C1000&lt;18,C1000&gt;120),"Review – Out of Range (Age)",
  J1000&lt;0,"Review – Out of Range (Risk Score)",
  TRUE,"OK"
)</f>
        <v>OK</v>
      </c>
    </row>
    <row r="1001" spans="1:12" ht="16.8" x14ac:dyDescent="0.3">
      <c r="A1001" s="14" t="s">
        <v>2053</v>
      </c>
      <c r="B1001" s="14" t="s">
        <v>2054</v>
      </c>
      <c r="C1001" s="14">
        <v>52</v>
      </c>
      <c r="D1001" s="14" t="s">
        <v>49</v>
      </c>
      <c r="E1001" s="14" t="s">
        <v>42</v>
      </c>
      <c r="F1001" s="14" t="s">
        <v>65</v>
      </c>
      <c r="G1001" s="14" t="s">
        <v>52</v>
      </c>
      <c r="H1001" s="14" t="s">
        <v>46</v>
      </c>
      <c r="I1001" s="14" t="s">
        <v>46</v>
      </c>
      <c r="J1001" s="14">
        <v>0.31</v>
      </c>
      <c r="K1001" s="15">
        <v>43871</v>
      </c>
      <c r="L1001" s="13" t="str" cm="1">
        <f t="array" ref="L1001">_xlfn.IFS(
  OR(ISBLANK(A1001),ISBLANK(C1001),ISBLANK(J1001)),"Missing Value",
  OR(C1001&lt;18,C1001&gt;120),"Review – Out of Range (Age)",
  J1001&lt;0,"Review – Out of Range (Risk Score)",
  TRUE,"OK"
)</f>
        <v>OK</v>
      </c>
    </row>
    <row r="1002" spans="1:12" ht="16.8" x14ac:dyDescent="0.3">
      <c r="A1002" s="11" t="s">
        <v>2055</v>
      </c>
      <c r="B1002" s="11" t="s">
        <v>2056</v>
      </c>
      <c r="C1002" s="11">
        <v>18</v>
      </c>
      <c r="D1002" s="11" t="s">
        <v>49</v>
      </c>
      <c r="E1002" s="11" t="s">
        <v>50</v>
      </c>
      <c r="F1002" s="11" t="s">
        <v>51</v>
      </c>
      <c r="G1002" s="11" t="s">
        <v>44</v>
      </c>
      <c r="H1002" s="11" t="s">
        <v>45</v>
      </c>
      <c r="I1002" s="11" t="s">
        <v>46</v>
      </c>
      <c r="J1002" s="11">
        <v>0.48</v>
      </c>
      <c r="K1002" s="12">
        <v>43865</v>
      </c>
      <c r="L1002" s="13" t="str" cm="1">
        <f t="array" ref="L1002">_xlfn.IFS(
  OR(ISBLANK(A1002),ISBLANK(C1002),ISBLANK(J1002)),"Missing Value",
  OR(C1002&lt;18,C1002&gt;120),"Review – Out of Range (Age)",
  J1002&lt;0,"Review – Out of Range (Risk Score)",
  TRUE,"OK"
)</f>
        <v>OK</v>
      </c>
    </row>
    <row r="1003" spans="1:12" ht="16.8" x14ac:dyDescent="0.3">
      <c r="A1003" s="14" t="s">
        <v>2057</v>
      </c>
      <c r="B1003" s="14" t="s">
        <v>2058</v>
      </c>
      <c r="C1003" s="14">
        <v>20</v>
      </c>
      <c r="D1003" s="14" t="s">
        <v>41</v>
      </c>
      <c r="E1003" s="14" t="s">
        <v>50</v>
      </c>
      <c r="F1003" s="14" t="s">
        <v>59</v>
      </c>
      <c r="G1003" s="14" t="s">
        <v>60</v>
      </c>
      <c r="H1003" s="14" t="s">
        <v>45</v>
      </c>
      <c r="I1003" s="14" t="s">
        <v>46</v>
      </c>
      <c r="J1003" s="14">
        <v>0.47</v>
      </c>
      <c r="K1003" s="15">
        <v>43208</v>
      </c>
      <c r="L1003" s="13" t="str" cm="1">
        <f t="array" ref="L1003">_xlfn.IFS(
  OR(ISBLANK(A1003),ISBLANK(C1003),ISBLANK(J1003)),"Missing Value",
  OR(C1003&lt;18,C1003&gt;120),"Review – Out of Range (Age)",
  J1003&lt;0,"Review – Out of Range (Risk Score)",
  TRUE,"OK"
)</f>
        <v>OK</v>
      </c>
    </row>
    <row r="1004" spans="1:12" ht="16.8" x14ac:dyDescent="0.3">
      <c r="A1004" s="11" t="s">
        <v>2059</v>
      </c>
      <c r="B1004" s="11" t="s">
        <v>2060</v>
      </c>
      <c r="C1004" s="11">
        <v>36</v>
      </c>
      <c r="D1004" s="11" t="s">
        <v>41</v>
      </c>
      <c r="E1004" s="11" t="s">
        <v>50</v>
      </c>
      <c r="F1004" s="11" t="s">
        <v>43</v>
      </c>
      <c r="G1004" s="11" t="s">
        <v>94</v>
      </c>
      <c r="H1004" s="11" t="s">
        <v>45</v>
      </c>
      <c r="I1004" s="11" t="s">
        <v>45</v>
      </c>
      <c r="J1004" s="11">
        <v>0.36</v>
      </c>
      <c r="K1004" s="12">
        <v>43547</v>
      </c>
      <c r="L1004" s="13" t="str" cm="1">
        <f t="array" ref="L1004">_xlfn.IFS(
  OR(ISBLANK(A1004),ISBLANK(C1004),ISBLANK(J1004)),"Missing Value",
  OR(C1004&lt;18,C1004&gt;120),"Review – Out of Range (Age)",
  J1004&lt;0,"Review – Out of Range (Risk Score)",
  TRUE,"OK"
)</f>
        <v>OK</v>
      </c>
    </row>
    <row r="1005" spans="1:12" ht="16.8" x14ac:dyDescent="0.3">
      <c r="A1005" s="14" t="s">
        <v>2061</v>
      </c>
      <c r="B1005" s="14" t="s">
        <v>2062</v>
      </c>
      <c r="C1005" s="14">
        <v>40</v>
      </c>
      <c r="D1005" s="14" t="s">
        <v>41</v>
      </c>
      <c r="E1005" s="14" t="s">
        <v>42</v>
      </c>
      <c r="F1005" s="14" t="s">
        <v>43</v>
      </c>
      <c r="G1005" s="14" t="s">
        <v>52</v>
      </c>
      <c r="H1005" s="14" t="s">
        <v>45</v>
      </c>
      <c r="I1005" s="14" t="s">
        <v>45</v>
      </c>
      <c r="J1005" s="14">
        <v>0.32</v>
      </c>
      <c r="K1005" s="15">
        <v>44775</v>
      </c>
      <c r="L1005" s="13" t="str" cm="1">
        <f t="array" ref="L1005">_xlfn.IFS(
  OR(ISBLANK(A1005),ISBLANK(C1005),ISBLANK(J1005)),"Missing Value",
  OR(C1005&lt;18,C1005&gt;120),"Review – Out of Range (Age)",
  J1005&lt;0,"Review – Out of Range (Risk Score)",
  TRUE,"OK"
)</f>
        <v>OK</v>
      </c>
    </row>
    <row r="1006" spans="1:12" ht="16.8" x14ac:dyDescent="0.3">
      <c r="A1006" s="11" t="s">
        <v>2063</v>
      </c>
      <c r="B1006" s="11" t="s">
        <v>2064</v>
      </c>
      <c r="C1006" s="11">
        <v>58</v>
      </c>
      <c r="D1006" s="11" t="s">
        <v>49</v>
      </c>
      <c r="E1006" s="11" t="s">
        <v>58</v>
      </c>
      <c r="F1006" s="11" t="s">
        <v>65</v>
      </c>
      <c r="G1006" s="11" t="s">
        <v>44</v>
      </c>
      <c r="H1006" s="11" t="s">
        <v>45</v>
      </c>
      <c r="I1006" s="11" t="s">
        <v>45</v>
      </c>
      <c r="J1006" s="11">
        <v>0.09</v>
      </c>
      <c r="K1006" s="12">
        <v>43795</v>
      </c>
      <c r="L1006" s="13" t="str" cm="1">
        <f t="array" ref="L1006">_xlfn.IFS(
  OR(ISBLANK(A1006),ISBLANK(C1006),ISBLANK(J1006)),"Missing Value",
  OR(C1006&lt;18,C1006&gt;120),"Review – Out of Range (Age)",
  J1006&lt;0,"Review – Out of Range (Risk Score)",
  TRUE,"OK"
)</f>
        <v>OK</v>
      </c>
    </row>
    <row r="1007" spans="1:12" ht="16.8" x14ac:dyDescent="0.3">
      <c r="A1007" s="14" t="s">
        <v>2065</v>
      </c>
      <c r="B1007" s="14" t="s">
        <v>2066</v>
      </c>
      <c r="C1007" s="14">
        <v>61</v>
      </c>
      <c r="D1007" s="14" t="s">
        <v>49</v>
      </c>
      <c r="E1007" s="14" t="s">
        <v>42</v>
      </c>
      <c r="F1007" s="14" t="s">
        <v>65</v>
      </c>
      <c r="G1007" s="14" t="s">
        <v>52</v>
      </c>
      <c r="H1007" s="14" t="s">
        <v>46</v>
      </c>
      <c r="I1007" s="14" t="s">
        <v>46</v>
      </c>
      <c r="J1007" s="14">
        <v>0.35</v>
      </c>
      <c r="K1007" s="15">
        <v>44353</v>
      </c>
      <c r="L1007" s="13" t="str" cm="1">
        <f t="array" ref="L1007">_xlfn.IFS(
  OR(ISBLANK(A1007),ISBLANK(C1007),ISBLANK(J1007)),"Missing Value",
  OR(C1007&lt;18,C1007&gt;120),"Review – Out of Range (Age)",
  J1007&lt;0,"Review – Out of Range (Risk Score)",
  TRUE,"OK"
)</f>
        <v>OK</v>
      </c>
    </row>
    <row r="1008" spans="1:12" ht="16.8" x14ac:dyDescent="0.3">
      <c r="A1008" s="11" t="s">
        <v>2067</v>
      </c>
      <c r="B1008" s="11" t="s">
        <v>2068</v>
      </c>
      <c r="C1008" s="11">
        <v>45</v>
      </c>
      <c r="D1008" s="11" t="s">
        <v>49</v>
      </c>
      <c r="E1008" s="11" t="s">
        <v>42</v>
      </c>
      <c r="F1008" s="11" t="s">
        <v>51</v>
      </c>
      <c r="G1008" s="11" t="s">
        <v>60</v>
      </c>
      <c r="H1008" s="11" t="s">
        <v>45</v>
      </c>
      <c r="I1008" s="11" t="s">
        <v>45</v>
      </c>
      <c r="J1008" s="11">
        <v>0.68</v>
      </c>
      <c r="K1008" s="12">
        <v>43539</v>
      </c>
      <c r="L1008" s="13" t="str" cm="1">
        <f t="array" ref="L1008">_xlfn.IFS(
  OR(ISBLANK(A1008),ISBLANK(C1008),ISBLANK(J1008)),"Missing Value",
  OR(C1008&lt;18,C1008&gt;120),"Review – Out of Range (Age)",
  J1008&lt;0,"Review – Out of Range (Risk Score)",
  TRUE,"OK"
)</f>
        <v>OK</v>
      </c>
    </row>
    <row r="1009" spans="1:12" ht="16.8" x14ac:dyDescent="0.3">
      <c r="A1009" s="14" t="s">
        <v>2069</v>
      </c>
      <c r="B1009" s="14" t="s">
        <v>2070</v>
      </c>
      <c r="C1009" s="14">
        <v>30</v>
      </c>
      <c r="D1009" s="14" t="s">
        <v>49</v>
      </c>
      <c r="E1009" s="14" t="s">
        <v>42</v>
      </c>
      <c r="F1009" s="14" t="s">
        <v>59</v>
      </c>
      <c r="G1009" s="14" t="s">
        <v>52</v>
      </c>
      <c r="H1009" s="14" t="s">
        <v>45</v>
      </c>
      <c r="I1009" s="14" t="s">
        <v>46</v>
      </c>
      <c r="J1009" s="14">
        <v>0.23</v>
      </c>
      <c r="K1009" s="15">
        <v>43146</v>
      </c>
      <c r="L1009" s="13" t="str" cm="1">
        <f t="array" ref="L1009">_xlfn.IFS(
  OR(ISBLANK(A1009),ISBLANK(C1009),ISBLANK(J1009)),"Missing Value",
  OR(C1009&lt;18,C1009&gt;120),"Review – Out of Range (Age)",
  J1009&lt;0,"Review – Out of Range (Risk Score)",
  TRUE,"OK"
)</f>
        <v>OK</v>
      </c>
    </row>
    <row r="1010" spans="1:12" ht="16.8" x14ac:dyDescent="0.3">
      <c r="A1010" s="11" t="s">
        <v>2071</v>
      </c>
      <c r="B1010" s="11" t="s">
        <v>2072</v>
      </c>
      <c r="C1010" s="11">
        <v>45</v>
      </c>
      <c r="D1010" s="11" t="s">
        <v>41</v>
      </c>
      <c r="E1010" s="11" t="s">
        <v>58</v>
      </c>
      <c r="F1010" s="11" t="s">
        <v>59</v>
      </c>
      <c r="G1010" s="11" t="s">
        <v>109</v>
      </c>
      <c r="H1010" s="11" t="s">
        <v>46</v>
      </c>
      <c r="I1010" s="11" t="s">
        <v>46</v>
      </c>
      <c r="J1010" s="11">
        <v>0.74</v>
      </c>
      <c r="K1010" s="12">
        <v>44488</v>
      </c>
      <c r="L1010" s="13" t="str" cm="1">
        <f t="array" ref="L1010">_xlfn.IFS(
  OR(ISBLANK(A1010),ISBLANK(C1010),ISBLANK(J1010)),"Missing Value",
  OR(C1010&lt;18,C1010&gt;120),"Review – Out of Range (Age)",
  J1010&lt;0,"Review – Out of Range (Risk Score)",
  TRUE,"OK"
)</f>
        <v>OK</v>
      </c>
    </row>
    <row r="1011" spans="1:12" ht="16.8" x14ac:dyDescent="0.3">
      <c r="A1011" s="14" t="s">
        <v>2073</v>
      </c>
      <c r="B1011" s="14" t="s">
        <v>2074</v>
      </c>
      <c r="C1011" s="14">
        <v>50</v>
      </c>
      <c r="D1011" s="14" t="s">
        <v>41</v>
      </c>
      <c r="E1011" s="14" t="s">
        <v>42</v>
      </c>
      <c r="F1011" s="14" t="s">
        <v>43</v>
      </c>
      <c r="G1011" s="14" t="s">
        <v>44</v>
      </c>
      <c r="H1011" s="14" t="s">
        <v>46</v>
      </c>
      <c r="I1011" s="14" t="s">
        <v>46</v>
      </c>
      <c r="J1011" s="14">
        <v>0.17</v>
      </c>
      <c r="K1011" s="15">
        <v>44022</v>
      </c>
      <c r="L1011" s="13" t="str" cm="1">
        <f t="array" ref="L1011">_xlfn.IFS(
  OR(ISBLANK(A1011),ISBLANK(C1011),ISBLANK(J1011)),"Missing Value",
  OR(C1011&lt;18,C1011&gt;120),"Review – Out of Range (Age)",
  J1011&lt;0,"Review – Out of Range (Risk Score)",
  TRUE,"OK"
)</f>
        <v>OK</v>
      </c>
    </row>
    <row r="1012" spans="1:12" ht="16.8" x14ac:dyDescent="0.3">
      <c r="A1012" s="11" t="s">
        <v>2075</v>
      </c>
      <c r="B1012" s="11" t="s">
        <v>2076</v>
      </c>
      <c r="C1012" s="11">
        <v>24</v>
      </c>
      <c r="D1012" s="11" t="s">
        <v>41</v>
      </c>
      <c r="E1012" s="11" t="s">
        <v>42</v>
      </c>
      <c r="F1012" s="11" t="s">
        <v>65</v>
      </c>
      <c r="G1012" s="11" t="s">
        <v>55</v>
      </c>
      <c r="H1012" s="11" t="s">
        <v>46</v>
      </c>
      <c r="I1012" s="11" t="s">
        <v>45</v>
      </c>
      <c r="J1012" s="11">
        <v>0.32</v>
      </c>
      <c r="K1012" s="12">
        <v>45045</v>
      </c>
      <c r="L1012" s="13" t="str" cm="1">
        <f t="array" ref="L1012">_xlfn.IFS(
  OR(ISBLANK(A1012),ISBLANK(C1012),ISBLANK(J1012)),"Missing Value",
  OR(C1012&lt;18,C1012&gt;120),"Review – Out of Range (Age)",
  J1012&lt;0,"Review – Out of Range (Risk Score)",
  TRUE,"OK"
)</f>
        <v>OK</v>
      </c>
    </row>
    <row r="1013" spans="1:12" ht="16.8" x14ac:dyDescent="0.3">
      <c r="A1013" s="14" t="s">
        <v>2077</v>
      </c>
      <c r="B1013" s="14" t="s">
        <v>2078</v>
      </c>
      <c r="C1013" s="14">
        <v>54</v>
      </c>
      <c r="D1013" s="14" t="s">
        <v>49</v>
      </c>
      <c r="E1013" s="14" t="s">
        <v>58</v>
      </c>
      <c r="F1013" s="14" t="s">
        <v>59</v>
      </c>
      <c r="G1013" s="14" t="s">
        <v>94</v>
      </c>
      <c r="H1013" s="14" t="s">
        <v>46</v>
      </c>
      <c r="I1013" s="14" t="s">
        <v>46</v>
      </c>
      <c r="J1013" s="14">
        <v>0.66</v>
      </c>
      <c r="K1013" s="15">
        <v>43172</v>
      </c>
      <c r="L1013" s="13" t="str" cm="1">
        <f t="array" ref="L1013">_xlfn.IFS(
  OR(ISBLANK(A1013),ISBLANK(C1013),ISBLANK(J1013)),"Missing Value",
  OR(C1013&lt;18,C1013&gt;120),"Review – Out of Range (Age)",
  J1013&lt;0,"Review – Out of Range (Risk Score)",
  TRUE,"OK"
)</f>
        <v>OK</v>
      </c>
    </row>
    <row r="1014" spans="1:12" ht="16.8" x14ac:dyDescent="0.3">
      <c r="A1014" s="11" t="s">
        <v>2079</v>
      </c>
      <c r="B1014" s="11" t="s">
        <v>2080</v>
      </c>
      <c r="C1014" s="11">
        <v>20</v>
      </c>
      <c r="D1014" s="11" t="s">
        <v>49</v>
      </c>
      <c r="E1014" s="11" t="s">
        <v>42</v>
      </c>
      <c r="F1014" s="11" t="s">
        <v>43</v>
      </c>
      <c r="G1014" s="11" t="s">
        <v>55</v>
      </c>
      <c r="H1014" s="11" t="s">
        <v>45</v>
      </c>
      <c r="I1014" s="11" t="s">
        <v>46</v>
      </c>
      <c r="J1014" s="11">
        <v>0.68</v>
      </c>
      <c r="K1014" s="12">
        <v>44550</v>
      </c>
      <c r="L1014" s="13" t="str" cm="1">
        <f t="array" ref="L1014">_xlfn.IFS(
  OR(ISBLANK(A1014),ISBLANK(C1014),ISBLANK(J1014)),"Missing Value",
  OR(C1014&lt;18,C1014&gt;120),"Review – Out of Range (Age)",
  J1014&lt;0,"Review – Out of Range (Risk Score)",
  TRUE,"OK"
)</f>
        <v>OK</v>
      </c>
    </row>
    <row r="1015" spans="1:12" ht="16.8" x14ac:dyDescent="0.3">
      <c r="A1015" s="14" t="s">
        <v>2081</v>
      </c>
      <c r="B1015" s="14" t="s">
        <v>2082</v>
      </c>
      <c r="C1015" s="14">
        <v>31</v>
      </c>
      <c r="D1015" s="14" t="s">
        <v>41</v>
      </c>
      <c r="E1015" s="14" t="s">
        <v>58</v>
      </c>
      <c r="F1015" s="14" t="s">
        <v>59</v>
      </c>
      <c r="G1015" s="14" t="s">
        <v>109</v>
      </c>
      <c r="H1015" s="14" t="s">
        <v>45</v>
      </c>
      <c r="I1015" s="14" t="s">
        <v>45</v>
      </c>
      <c r="J1015" s="14">
        <v>0.59</v>
      </c>
      <c r="K1015" s="15">
        <v>45029</v>
      </c>
      <c r="L1015" s="13" t="str" cm="1">
        <f t="array" ref="L1015">_xlfn.IFS(
  OR(ISBLANK(A1015),ISBLANK(C1015),ISBLANK(J1015)),"Missing Value",
  OR(C1015&lt;18,C1015&gt;120),"Review – Out of Range (Age)",
  J1015&lt;0,"Review – Out of Range (Risk Score)",
  TRUE,"OK"
)</f>
        <v>OK</v>
      </c>
    </row>
    <row r="1016" spans="1:12" ht="16.8" x14ac:dyDescent="0.3">
      <c r="A1016" s="11" t="s">
        <v>2083</v>
      </c>
      <c r="B1016" s="11" t="s">
        <v>2084</v>
      </c>
      <c r="C1016" s="11">
        <v>65</v>
      </c>
      <c r="D1016" s="11" t="s">
        <v>41</v>
      </c>
      <c r="E1016" s="11" t="s">
        <v>50</v>
      </c>
      <c r="F1016" s="11" t="s">
        <v>65</v>
      </c>
      <c r="G1016" s="11" t="s">
        <v>60</v>
      </c>
      <c r="H1016" s="11" t="s">
        <v>46</v>
      </c>
      <c r="I1016" s="11" t="s">
        <v>45</v>
      </c>
      <c r="J1016" s="11">
        <v>0.39</v>
      </c>
      <c r="K1016" s="12">
        <v>44627</v>
      </c>
      <c r="L1016" s="13" t="str" cm="1">
        <f t="array" ref="L1016">_xlfn.IFS(
  OR(ISBLANK(A1016),ISBLANK(C1016),ISBLANK(J1016)),"Missing Value",
  OR(C1016&lt;18,C1016&gt;120),"Review – Out of Range (Age)",
  J1016&lt;0,"Review – Out of Range (Risk Score)",
  TRUE,"OK"
)</f>
        <v>OK</v>
      </c>
    </row>
    <row r="1017" spans="1:12" ht="16.8" x14ac:dyDescent="0.3">
      <c r="A1017" s="14" t="s">
        <v>2085</v>
      </c>
      <c r="B1017" s="14" t="s">
        <v>2086</v>
      </c>
      <c r="C1017" s="14">
        <v>23</v>
      </c>
      <c r="D1017" s="14" t="s">
        <v>49</v>
      </c>
      <c r="E1017" s="14" t="s">
        <v>58</v>
      </c>
      <c r="F1017" s="14" t="s">
        <v>43</v>
      </c>
      <c r="G1017" s="14" t="s">
        <v>109</v>
      </c>
      <c r="H1017" s="14" t="s">
        <v>45</v>
      </c>
      <c r="I1017" s="14" t="s">
        <v>45</v>
      </c>
      <c r="J1017" s="14">
        <v>0.49</v>
      </c>
      <c r="K1017" s="15">
        <v>43770</v>
      </c>
      <c r="L1017" s="13" t="str" cm="1">
        <f t="array" ref="L1017">_xlfn.IFS(
  OR(ISBLANK(A1017),ISBLANK(C1017),ISBLANK(J1017)),"Missing Value",
  OR(C1017&lt;18,C1017&gt;120),"Review – Out of Range (Age)",
  J1017&lt;0,"Review – Out of Range (Risk Score)",
  TRUE,"OK"
)</f>
        <v>OK</v>
      </c>
    </row>
    <row r="1018" spans="1:12" ht="16.8" x14ac:dyDescent="0.3">
      <c r="A1018" s="11" t="s">
        <v>2087</v>
      </c>
      <c r="B1018" s="11" t="s">
        <v>2088</v>
      </c>
      <c r="C1018" s="11">
        <v>69</v>
      </c>
      <c r="D1018" s="11" t="s">
        <v>49</v>
      </c>
      <c r="E1018" s="11" t="s">
        <v>42</v>
      </c>
      <c r="F1018" s="11" t="s">
        <v>43</v>
      </c>
      <c r="G1018" s="11" t="s">
        <v>60</v>
      </c>
      <c r="H1018" s="11" t="s">
        <v>46</v>
      </c>
      <c r="I1018" s="11" t="s">
        <v>45</v>
      </c>
      <c r="J1018" s="11">
        <v>0.44</v>
      </c>
      <c r="K1018" s="12">
        <v>43995</v>
      </c>
      <c r="L1018" s="13" t="str" cm="1">
        <f t="array" ref="L1018">_xlfn.IFS(
  OR(ISBLANK(A1018),ISBLANK(C1018),ISBLANK(J1018)),"Missing Value",
  OR(C1018&lt;18,C1018&gt;120),"Review – Out of Range (Age)",
  J1018&lt;0,"Review – Out of Range (Risk Score)",
  TRUE,"OK"
)</f>
        <v>OK</v>
      </c>
    </row>
    <row r="1019" spans="1:12" ht="16.8" x14ac:dyDescent="0.3">
      <c r="A1019" s="14" t="s">
        <v>2089</v>
      </c>
      <c r="B1019" s="14" t="s">
        <v>2090</v>
      </c>
      <c r="C1019" s="14">
        <v>24</v>
      </c>
      <c r="D1019" s="14" t="s">
        <v>41</v>
      </c>
      <c r="E1019" s="14" t="s">
        <v>58</v>
      </c>
      <c r="F1019" s="14" t="s">
        <v>43</v>
      </c>
      <c r="G1019" s="14" t="s">
        <v>44</v>
      </c>
      <c r="H1019" s="14" t="s">
        <v>45</v>
      </c>
      <c r="I1019" s="14" t="s">
        <v>46</v>
      </c>
      <c r="J1019" s="14">
        <v>0.62</v>
      </c>
      <c r="K1019" s="15">
        <v>44188</v>
      </c>
      <c r="L1019" s="13" t="str" cm="1">
        <f t="array" ref="L1019">_xlfn.IFS(
  OR(ISBLANK(A1019),ISBLANK(C1019),ISBLANK(J1019)),"Missing Value",
  OR(C1019&lt;18,C1019&gt;120),"Review – Out of Range (Age)",
  J1019&lt;0,"Review – Out of Range (Risk Score)",
  TRUE,"OK"
)</f>
        <v>OK</v>
      </c>
    </row>
    <row r="1020" spans="1:12" ht="16.8" x14ac:dyDescent="0.3">
      <c r="A1020" s="11" t="s">
        <v>2091</v>
      </c>
      <c r="B1020" s="11" t="s">
        <v>2092</v>
      </c>
      <c r="C1020" s="11">
        <v>50</v>
      </c>
      <c r="D1020" s="11" t="s">
        <v>41</v>
      </c>
      <c r="E1020" s="11" t="s">
        <v>50</v>
      </c>
      <c r="F1020" s="11" t="s">
        <v>59</v>
      </c>
      <c r="G1020" s="11" t="s">
        <v>52</v>
      </c>
      <c r="H1020" s="11" t="s">
        <v>46</v>
      </c>
      <c r="I1020" s="11" t="s">
        <v>46</v>
      </c>
      <c r="J1020" s="11">
        <v>0.74</v>
      </c>
      <c r="K1020" s="12">
        <v>44937</v>
      </c>
      <c r="L1020" s="13" t="str" cm="1">
        <f t="array" ref="L1020">_xlfn.IFS(
  OR(ISBLANK(A1020),ISBLANK(C1020),ISBLANK(J1020)),"Missing Value",
  OR(C1020&lt;18,C1020&gt;120),"Review – Out of Range (Age)",
  J1020&lt;0,"Review – Out of Range (Risk Score)",
  TRUE,"OK"
)</f>
        <v>OK</v>
      </c>
    </row>
    <row r="1021" spans="1:12" ht="16.8" x14ac:dyDescent="0.3">
      <c r="A1021" s="14" t="s">
        <v>2093</v>
      </c>
      <c r="B1021" s="14" t="s">
        <v>2094</v>
      </c>
      <c r="C1021" s="14">
        <v>46</v>
      </c>
      <c r="D1021" s="14" t="s">
        <v>49</v>
      </c>
      <c r="E1021" s="14" t="s">
        <v>50</v>
      </c>
      <c r="F1021" s="14" t="s">
        <v>59</v>
      </c>
      <c r="G1021" s="14" t="s">
        <v>60</v>
      </c>
      <c r="H1021" s="14" t="s">
        <v>45</v>
      </c>
      <c r="I1021" s="14" t="s">
        <v>45</v>
      </c>
      <c r="J1021" s="14">
        <v>0.41</v>
      </c>
      <c r="K1021" s="15">
        <v>43452</v>
      </c>
      <c r="L1021" s="13" t="str" cm="1">
        <f t="array" ref="L1021">_xlfn.IFS(
  OR(ISBLANK(A1021),ISBLANK(C1021),ISBLANK(J1021)),"Missing Value",
  OR(C1021&lt;18,C1021&gt;120),"Review – Out of Range (Age)",
  J1021&lt;0,"Review – Out of Range (Risk Score)",
  TRUE,"OK"
)</f>
        <v>OK</v>
      </c>
    </row>
    <row r="1022" spans="1:12" ht="16.8" x14ac:dyDescent="0.3">
      <c r="A1022" s="11" t="s">
        <v>2095</v>
      </c>
      <c r="B1022" s="11" t="s">
        <v>2096</v>
      </c>
      <c r="C1022" s="11">
        <v>50</v>
      </c>
      <c r="D1022" s="11" t="s">
        <v>49</v>
      </c>
      <c r="E1022" s="11" t="s">
        <v>42</v>
      </c>
      <c r="F1022" s="11" t="s">
        <v>65</v>
      </c>
      <c r="G1022" s="11" t="s">
        <v>94</v>
      </c>
      <c r="H1022" s="11" t="s">
        <v>46</v>
      </c>
      <c r="I1022" s="11" t="s">
        <v>46</v>
      </c>
      <c r="J1022" s="11">
        <v>0.45</v>
      </c>
      <c r="K1022" s="12">
        <v>45029</v>
      </c>
      <c r="L1022" s="13" t="str" cm="1">
        <f t="array" ref="L1022">_xlfn.IFS(
  OR(ISBLANK(A1022),ISBLANK(C1022),ISBLANK(J1022)),"Missing Value",
  OR(C1022&lt;18,C1022&gt;120),"Review – Out of Range (Age)",
  J1022&lt;0,"Review – Out of Range (Risk Score)",
  TRUE,"OK"
)</f>
        <v>OK</v>
      </c>
    </row>
    <row r="1023" spans="1:12" ht="16.8" x14ac:dyDescent="0.3">
      <c r="A1023" s="14" t="s">
        <v>2097</v>
      </c>
      <c r="B1023" s="14" t="s">
        <v>2098</v>
      </c>
      <c r="C1023" s="14">
        <v>68</v>
      </c>
      <c r="D1023" s="14" t="s">
        <v>41</v>
      </c>
      <c r="E1023" s="14" t="s">
        <v>42</v>
      </c>
      <c r="F1023" s="14" t="s">
        <v>65</v>
      </c>
      <c r="G1023" s="14" t="s">
        <v>60</v>
      </c>
      <c r="H1023" s="14" t="s">
        <v>46</v>
      </c>
      <c r="I1023" s="14" t="s">
        <v>45</v>
      </c>
      <c r="J1023" s="14">
        <v>0.46</v>
      </c>
      <c r="K1023" s="15">
        <v>44085</v>
      </c>
      <c r="L1023" s="13" t="str" cm="1">
        <f t="array" ref="L1023">_xlfn.IFS(
  OR(ISBLANK(A1023),ISBLANK(C1023),ISBLANK(J1023)),"Missing Value",
  OR(C1023&lt;18,C1023&gt;120),"Review – Out of Range (Age)",
  J1023&lt;0,"Review – Out of Range (Risk Score)",
  TRUE,"OK"
)</f>
        <v>OK</v>
      </c>
    </row>
    <row r="1024" spans="1:12" ht="16.8" x14ac:dyDescent="0.3">
      <c r="A1024" s="11" t="s">
        <v>2099</v>
      </c>
      <c r="B1024" s="11" t="s">
        <v>2100</v>
      </c>
      <c r="C1024" s="11">
        <v>40</v>
      </c>
      <c r="D1024" s="11" t="s">
        <v>49</v>
      </c>
      <c r="E1024" s="11" t="s">
        <v>58</v>
      </c>
      <c r="F1024" s="11" t="s">
        <v>59</v>
      </c>
      <c r="G1024" s="11" t="s">
        <v>44</v>
      </c>
      <c r="H1024" s="11" t="s">
        <v>46</v>
      </c>
      <c r="I1024" s="11" t="s">
        <v>46</v>
      </c>
      <c r="J1024" s="11">
        <v>0.68</v>
      </c>
      <c r="K1024" s="12">
        <v>43376</v>
      </c>
      <c r="L1024" s="13" t="str" cm="1">
        <f t="array" ref="L1024">_xlfn.IFS(
  OR(ISBLANK(A1024),ISBLANK(C1024),ISBLANK(J1024)),"Missing Value",
  OR(C1024&lt;18,C1024&gt;120),"Review – Out of Range (Age)",
  J1024&lt;0,"Review – Out of Range (Risk Score)",
  TRUE,"OK"
)</f>
        <v>OK</v>
      </c>
    </row>
    <row r="1025" spans="1:12" ht="16.8" x14ac:dyDescent="0.3">
      <c r="A1025" s="14" t="s">
        <v>2101</v>
      </c>
      <c r="B1025" s="14" t="s">
        <v>2102</v>
      </c>
      <c r="C1025" s="14">
        <v>54</v>
      </c>
      <c r="D1025" s="14" t="s">
        <v>49</v>
      </c>
      <c r="E1025" s="14" t="s">
        <v>50</v>
      </c>
      <c r="F1025" s="14" t="s">
        <v>43</v>
      </c>
      <c r="G1025" s="14" t="s">
        <v>94</v>
      </c>
      <c r="H1025" s="14" t="s">
        <v>46</v>
      </c>
      <c r="I1025" s="14" t="s">
        <v>45</v>
      </c>
      <c r="J1025" s="14">
        <v>0.71</v>
      </c>
      <c r="K1025" s="15">
        <v>43686</v>
      </c>
      <c r="L1025" s="13" t="str" cm="1">
        <f t="array" ref="L1025">_xlfn.IFS(
  OR(ISBLANK(A1025),ISBLANK(C1025),ISBLANK(J1025)),"Missing Value",
  OR(C1025&lt;18,C1025&gt;120),"Review – Out of Range (Age)",
  J1025&lt;0,"Review – Out of Range (Risk Score)",
  TRUE,"OK"
)</f>
        <v>OK</v>
      </c>
    </row>
    <row r="1026" spans="1:12" ht="16.8" x14ac:dyDescent="0.3">
      <c r="A1026" s="11" t="s">
        <v>2103</v>
      </c>
      <c r="B1026" s="11" t="s">
        <v>2104</v>
      </c>
      <c r="C1026" s="11">
        <v>19</v>
      </c>
      <c r="D1026" s="11" t="s">
        <v>41</v>
      </c>
      <c r="E1026" s="11" t="s">
        <v>50</v>
      </c>
      <c r="F1026" s="11" t="s">
        <v>65</v>
      </c>
      <c r="G1026" s="11" t="s">
        <v>52</v>
      </c>
      <c r="H1026" s="11" t="s">
        <v>46</v>
      </c>
      <c r="I1026" s="11" t="s">
        <v>45</v>
      </c>
      <c r="J1026" s="11">
        <v>0.21</v>
      </c>
      <c r="K1026" s="12">
        <v>44426</v>
      </c>
      <c r="L1026" s="13" t="str" cm="1">
        <f t="array" ref="L1026">_xlfn.IFS(
  OR(ISBLANK(A1026),ISBLANK(C1026),ISBLANK(J1026)),"Missing Value",
  OR(C1026&lt;18,C1026&gt;120),"Review – Out of Range (Age)",
  J1026&lt;0,"Review – Out of Range (Risk Score)",
  TRUE,"OK"
)</f>
        <v>OK</v>
      </c>
    </row>
    <row r="1027" spans="1:12" ht="16.8" x14ac:dyDescent="0.3">
      <c r="A1027" s="14" t="s">
        <v>2105</v>
      </c>
      <c r="B1027" s="14" t="s">
        <v>2106</v>
      </c>
      <c r="C1027" s="14">
        <v>23</v>
      </c>
      <c r="D1027" s="14" t="s">
        <v>49</v>
      </c>
      <c r="E1027" s="14" t="s">
        <v>58</v>
      </c>
      <c r="F1027" s="14" t="s">
        <v>65</v>
      </c>
      <c r="G1027" s="14" t="s">
        <v>44</v>
      </c>
      <c r="H1027" s="14" t="s">
        <v>46</v>
      </c>
      <c r="I1027" s="14" t="s">
        <v>46</v>
      </c>
      <c r="J1027" s="14">
        <v>0.62</v>
      </c>
      <c r="K1027" s="15">
        <v>43501</v>
      </c>
      <c r="L1027" s="13" t="str" cm="1">
        <f t="array" ref="L1027">_xlfn.IFS(
  OR(ISBLANK(A1027),ISBLANK(C1027),ISBLANK(J1027)),"Missing Value",
  OR(C1027&lt;18,C1027&gt;120),"Review – Out of Range (Age)",
  J1027&lt;0,"Review – Out of Range (Risk Score)",
  TRUE,"OK"
)</f>
        <v>OK</v>
      </c>
    </row>
    <row r="1028" spans="1:12" ht="16.8" x14ac:dyDescent="0.3">
      <c r="A1028" s="11" t="s">
        <v>2107</v>
      </c>
      <c r="B1028" s="11" t="s">
        <v>2108</v>
      </c>
      <c r="C1028" s="11">
        <v>52</v>
      </c>
      <c r="D1028" s="11" t="s">
        <v>49</v>
      </c>
      <c r="E1028" s="11" t="s">
        <v>50</v>
      </c>
      <c r="F1028" s="11" t="s">
        <v>65</v>
      </c>
      <c r="G1028" s="11" t="s">
        <v>109</v>
      </c>
      <c r="H1028" s="11" t="s">
        <v>46</v>
      </c>
      <c r="I1028" s="11" t="s">
        <v>45</v>
      </c>
      <c r="J1028" s="11">
        <v>0.34</v>
      </c>
      <c r="K1028" s="12">
        <v>44749</v>
      </c>
      <c r="L1028" s="13" t="str" cm="1">
        <f t="array" ref="L1028">_xlfn.IFS(
  OR(ISBLANK(A1028),ISBLANK(C1028),ISBLANK(J1028)),"Missing Value",
  OR(C1028&lt;18,C1028&gt;120),"Review – Out of Range (Age)",
  J1028&lt;0,"Review – Out of Range (Risk Score)",
  TRUE,"OK"
)</f>
        <v>OK</v>
      </c>
    </row>
    <row r="1029" spans="1:12" ht="16.8" x14ac:dyDescent="0.3">
      <c r="A1029" s="14" t="s">
        <v>2109</v>
      </c>
      <c r="B1029" s="14" t="s">
        <v>2110</v>
      </c>
      <c r="C1029" s="14">
        <v>39</v>
      </c>
      <c r="D1029" s="14" t="s">
        <v>41</v>
      </c>
      <c r="E1029" s="14" t="s">
        <v>58</v>
      </c>
      <c r="F1029" s="14" t="s">
        <v>51</v>
      </c>
      <c r="G1029" s="14" t="s">
        <v>55</v>
      </c>
      <c r="H1029" s="14" t="s">
        <v>45</v>
      </c>
      <c r="I1029" s="14" t="s">
        <v>46</v>
      </c>
      <c r="J1029" s="14">
        <v>0.66</v>
      </c>
      <c r="K1029" s="15">
        <v>43897</v>
      </c>
      <c r="L1029" s="13" t="str" cm="1">
        <f t="array" ref="L1029">_xlfn.IFS(
  OR(ISBLANK(A1029),ISBLANK(C1029),ISBLANK(J1029)),"Missing Value",
  OR(C1029&lt;18,C1029&gt;120),"Review – Out of Range (Age)",
  J1029&lt;0,"Review – Out of Range (Risk Score)",
  TRUE,"OK"
)</f>
        <v>OK</v>
      </c>
    </row>
    <row r="1030" spans="1:12" ht="16.8" x14ac:dyDescent="0.3">
      <c r="A1030" s="11" t="s">
        <v>2111</v>
      </c>
      <c r="B1030" s="11" t="s">
        <v>2112</v>
      </c>
      <c r="C1030" s="11">
        <v>44</v>
      </c>
      <c r="D1030" s="11" t="s">
        <v>41</v>
      </c>
      <c r="E1030" s="11" t="s">
        <v>58</v>
      </c>
      <c r="F1030" s="11" t="s">
        <v>65</v>
      </c>
      <c r="G1030" s="11" t="s">
        <v>44</v>
      </c>
      <c r="H1030" s="11" t="s">
        <v>46</v>
      </c>
      <c r="I1030" s="11" t="s">
        <v>46</v>
      </c>
      <c r="J1030" s="11">
        <v>0.79</v>
      </c>
      <c r="K1030" s="12">
        <v>44184</v>
      </c>
      <c r="L1030" s="13" t="str" cm="1">
        <f t="array" ref="L1030">_xlfn.IFS(
  OR(ISBLANK(A1030),ISBLANK(C1030),ISBLANK(J1030)),"Missing Value",
  OR(C1030&lt;18,C1030&gt;120),"Review – Out of Range (Age)",
  J1030&lt;0,"Review – Out of Range (Risk Score)",
  TRUE,"OK"
)</f>
        <v>OK</v>
      </c>
    </row>
    <row r="1031" spans="1:12" ht="16.8" x14ac:dyDescent="0.3">
      <c r="A1031" s="14" t="s">
        <v>2113</v>
      </c>
      <c r="B1031" s="14" t="s">
        <v>2114</v>
      </c>
      <c r="C1031" s="14">
        <v>45</v>
      </c>
      <c r="D1031" s="14" t="s">
        <v>41</v>
      </c>
      <c r="E1031" s="14" t="s">
        <v>50</v>
      </c>
      <c r="F1031" s="14" t="s">
        <v>51</v>
      </c>
      <c r="G1031" s="14" t="s">
        <v>94</v>
      </c>
      <c r="H1031" s="14" t="s">
        <v>46</v>
      </c>
      <c r="I1031" s="14" t="s">
        <v>45</v>
      </c>
      <c r="J1031" s="14">
        <v>0.5</v>
      </c>
      <c r="K1031" s="15">
        <v>44265</v>
      </c>
      <c r="L1031" s="13" t="str" cm="1">
        <f t="array" ref="L1031">_xlfn.IFS(
  OR(ISBLANK(A1031),ISBLANK(C1031),ISBLANK(J1031)),"Missing Value",
  OR(C1031&lt;18,C1031&gt;120),"Review – Out of Range (Age)",
  J1031&lt;0,"Review – Out of Range (Risk Score)",
  TRUE,"OK"
)</f>
        <v>OK</v>
      </c>
    </row>
    <row r="1032" spans="1:12" ht="16.8" x14ac:dyDescent="0.3">
      <c r="A1032" s="11" t="s">
        <v>2115</v>
      </c>
      <c r="B1032" s="11" t="s">
        <v>2116</v>
      </c>
      <c r="C1032" s="11">
        <v>30</v>
      </c>
      <c r="D1032" s="11" t="s">
        <v>49</v>
      </c>
      <c r="E1032" s="11" t="s">
        <v>50</v>
      </c>
      <c r="F1032" s="11" t="s">
        <v>59</v>
      </c>
      <c r="G1032" s="11" t="s">
        <v>109</v>
      </c>
      <c r="H1032" s="11" t="s">
        <v>46</v>
      </c>
      <c r="I1032" s="11" t="s">
        <v>45</v>
      </c>
      <c r="J1032" s="11">
        <v>0.65</v>
      </c>
      <c r="K1032" s="12">
        <v>43369</v>
      </c>
      <c r="L1032" s="13" t="str" cm="1">
        <f t="array" ref="L1032">_xlfn.IFS(
  OR(ISBLANK(A1032),ISBLANK(C1032),ISBLANK(J1032)),"Missing Value",
  OR(C1032&lt;18,C1032&gt;120),"Review – Out of Range (Age)",
  J1032&lt;0,"Review – Out of Range (Risk Score)",
  TRUE,"OK"
)</f>
        <v>OK</v>
      </c>
    </row>
    <row r="1033" spans="1:12" ht="16.8" x14ac:dyDescent="0.3">
      <c r="A1033" s="14" t="s">
        <v>2117</v>
      </c>
      <c r="B1033" s="14" t="s">
        <v>2118</v>
      </c>
      <c r="C1033" s="14">
        <v>69</v>
      </c>
      <c r="D1033" s="14" t="s">
        <v>41</v>
      </c>
      <c r="E1033" s="14" t="s">
        <v>58</v>
      </c>
      <c r="F1033" s="14" t="s">
        <v>59</v>
      </c>
      <c r="G1033" s="14" t="s">
        <v>55</v>
      </c>
      <c r="H1033" s="14" t="s">
        <v>45</v>
      </c>
      <c r="I1033" s="14" t="s">
        <v>46</v>
      </c>
      <c r="J1033" s="14">
        <v>0.46</v>
      </c>
      <c r="K1033" s="15">
        <v>43484</v>
      </c>
      <c r="L1033" s="13" t="str" cm="1">
        <f t="array" ref="L1033">_xlfn.IFS(
  OR(ISBLANK(A1033),ISBLANK(C1033),ISBLANK(J1033)),"Missing Value",
  OR(C1033&lt;18,C1033&gt;120),"Review – Out of Range (Age)",
  J1033&lt;0,"Review – Out of Range (Risk Score)",
  TRUE,"OK"
)</f>
        <v>OK</v>
      </c>
    </row>
    <row r="1034" spans="1:12" ht="16.8" x14ac:dyDescent="0.3">
      <c r="A1034" s="11" t="s">
        <v>2119</v>
      </c>
      <c r="B1034" s="11" t="s">
        <v>2120</v>
      </c>
      <c r="C1034" s="11">
        <v>61</v>
      </c>
      <c r="D1034" s="11" t="s">
        <v>41</v>
      </c>
      <c r="E1034" s="11" t="s">
        <v>42</v>
      </c>
      <c r="F1034" s="11" t="s">
        <v>43</v>
      </c>
      <c r="G1034" s="11" t="s">
        <v>60</v>
      </c>
      <c r="H1034" s="11" t="s">
        <v>46</v>
      </c>
      <c r="I1034" s="11" t="s">
        <v>46</v>
      </c>
      <c r="J1034" s="11">
        <v>0.63</v>
      </c>
      <c r="K1034" s="12">
        <v>45231</v>
      </c>
      <c r="L1034" s="13" t="str" cm="1">
        <f t="array" ref="L1034">_xlfn.IFS(
  OR(ISBLANK(A1034),ISBLANK(C1034),ISBLANK(J1034)),"Missing Value",
  OR(C1034&lt;18,C1034&gt;120),"Review – Out of Range (Age)",
  J1034&lt;0,"Review – Out of Range (Risk Score)",
  TRUE,"OK"
)</f>
        <v>OK</v>
      </c>
    </row>
    <row r="1035" spans="1:12" ht="16.8" x14ac:dyDescent="0.3">
      <c r="A1035" s="14" t="s">
        <v>2121</v>
      </c>
      <c r="B1035" s="14" t="s">
        <v>2122</v>
      </c>
      <c r="C1035" s="14">
        <v>23</v>
      </c>
      <c r="D1035" s="14" t="s">
        <v>41</v>
      </c>
      <c r="E1035" s="14" t="s">
        <v>58</v>
      </c>
      <c r="F1035" s="14" t="s">
        <v>51</v>
      </c>
      <c r="G1035" s="14" t="s">
        <v>94</v>
      </c>
      <c r="H1035" s="14" t="s">
        <v>46</v>
      </c>
      <c r="I1035" s="14" t="s">
        <v>45</v>
      </c>
      <c r="J1035" s="14">
        <v>0.55000000000000004</v>
      </c>
      <c r="K1035" s="15">
        <v>44273</v>
      </c>
      <c r="L1035" s="13" t="str" cm="1">
        <f t="array" ref="L1035">_xlfn.IFS(
  OR(ISBLANK(A1035),ISBLANK(C1035),ISBLANK(J1035)),"Missing Value",
  OR(C1035&lt;18,C1035&gt;120),"Review – Out of Range (Age)",
  J1035&lt;0,"Review – Out of Range (Risk Score)",
  TRUE,"OK"
)</f>
        <v>OK</v>
      </c>
    </row>
    <row r="1036" spans="1:12" ht="16.8" x14ac:dyDescent="0.3">
      <c r="A1036" s="11" t="s">
        <v>2123</v>
      </c>
      <c r="B1036" s="11" t="s">
        <v>2124</v>
      </c>
      <c r="C1036" s="11">
        <v>63</v>
      </c>
      <c r="D1036" s="11" t="s">
        <v>49</v>
      </c>
      <c r="E1036" s="11" t="s">
        <v>58</v>
      </c>
      <c r="F1036" s="11" t="s">
        <v>65</v>
      </c>
      <c r="G1036" s="11" t="s">
        <v>109</v>
      </c>
      <c r="H1036" s="11" t="s">
        <v>46</v>
      </c>
      <c r="I1036" s="11" t="s">
        <v>45</v>
      </c>
      <c r="J1036" s="11">
        <v>0.47</v>
      </c>
      <c r="K1036" s="12">
        <v>43910</v>
      </c>
      <c r="L1036" s="13" t="str" cm="1">
        <f t="array" ref="L1036">_xlfn.IFS(
  OR(ISBLANK(A1036),ISBLANK(C1036),ISBLANK(J1036)),"Missing Value",
  OR(C1036&lt;18,C1036&gt;120),"Review – Out of Range (Age)",
  J1036&lt;0,"Review – Out of Range (Risk Score)",
  TRUE,"OK"
)</f>
        <v>OK</v>
      </c>
    </row>
    <row r="1037" spans="1:12" ht="16.8" x14ac:dyDescent="0.3">
      <c r="A1037" s="14" t="s">
        <v>2125</v>
      </c>
      <c r="B1037" s="14" t="s">
        <v>2126</v>
      </c>
      <c r="C1037" s="14">
        <v>38</v>
      </c>
      <c r="D1037" s="14" t="s">
        <v>41</v>
      </c>
      <c r="E1037" s="14" t="s">
        <v>50</v>
      </c>
      <c r="F1037" s="14" t="s">
        <v>43</v>
      </c>
      <c r="G1037" s="14" t="s">
        <v>94</v>
      </c>
      <c r="H1037" s="14" t="s">
        <v>46</v>
      </c>
      <c r="I1037" s="14" t="s">
        <v>46</v>
      </c>
      <c r="J1037" s="14">
        <v>0.66</v>
      </c>
      <c r="K1037" s="15">
        <v>44591</v>
      </c>
      <c r="L1037" s="13" t="str" cm="1">
        <f t="array" ref="L1037">_xlfn.IFS(
  OR(ISBLANK(A1037),ISBLANK(C1037),ISBLANK(J1037)),"Missing Value",
  OR(C1037&lt;18,C1037&gt;120),"Review – Out of Range (Age)",
  J1037&lt;0,"Review – Out of Range (Risk Score)",
  TRUE,"OK"
)</f>
        <v>OK</v>
      </c>
    </row>
    <row r="1038" spans="1:12" ht="16.8" x14ac:dyDescent="0.3">
      <c r="A1038" s="11" t="s">
        <v>2127</v>
      </c>
      <c r="B1038" s="11" t="s">
        <v>2128</v>
      </c>
      <c r="C1038" s="11">
        <v>36</v>
      </c>
      <c r="D1038" s="11" t="s">
        <v>49</v>
      </c>
      <c r="E1038" s="11" t="s">
        <v>42</v>
      </c>
      <c r="F1038" s="11" t="s">
        <v>59</v>
      </c>
      <c r="G1038" s="11" t="s">
        <v>52</v>
      </c>
      <c r="H1038" s="11" t="s">
        <v>46</v>
      </c>
      <c r="I1038" s="11" t="s">
        <v>46</v>
      </c>
      <c r="J1038" s="11">
        <v>0.22</v>
      </c>
      <c r="K1038" s="12">
        <v>43817</v>
      </c>
      <c r="L1038" s="13" t="str" cm="1">
        <f t="array" ref="L1038">_xlfn.IFS(
  OR(ISBLANK(A1038),ISBLANK(C1038),ISBLANK(J1038)),"Missing Value",
  OR(C1038&lt;18,C1038&gt;120),"Review – Out of Range (Age)",
  J1038&lt;0,"Review – Out of Range (Risk Score)",
  TRUE,"OK"
)</f>
        <v>OK</v>
      </c>
    </row>
    <row r="1039" spans="1:12" ht="16.8" x14ac:dyDescent="0.3">
      <c r="A1039" s="14" t="s">
        <v>2129</v>
      </c>
      <c r="B1039" s="14" t="s">
        <v>2130</v>
      </c>
      <c r="C1039" s="14">
        <v>53</v>
      </c>
      <c r="D1039" s="14" t="s">
        <v>41</v>
      </c>
      <c r="E1039" s="14" t="s">
        <v>42</v>
      </c>
      <c r="F1039" s="14" t="s">
        <v>43</v>
      </c>
      <c r="G1039" s="14" t="s">
        <v>44</v>
      </c>
      <c r="H1039" s="14" t="s">
        <v>46</v>
      </c>
      <c r="I1039" s="14" t="s">
        <v>45</v>
      </c>
      <c r="J1039" s="14">
        <v>0.19</v>
      </c>
      <c r="K1039" s="15">
        <v>43311</v>
      </c>
      <c r="L1039" s="13" t="str" cm="1">
        <f t="array" ref="L1039">_xlfn.IFS(
  OR(ISBLANK(A1039),ISBLANK(C1039),ISBLANK(J1039)),"Missing Value",
  OR(C1039&lt;18,C1039&gt;120),"Review – Out of Range (Age)",
  J1039&lt;0,"Review – Out of Range (Risk Score)",
  TRUE,"OK"
)</f>
        <v>OK</v>
      </c>
    </row>
    <row r="1040" spans="1:12" ht="16.8" x14ac:dyDescent="0.3">
      <c r="A1040" s="11" t="s">
        <v>2131</v>
      </c>
      <c r="B1040" s="11" t="s">
        <v>2132</v>
      </c>
      <c r="C1040" s="11">
        <v>41</v>
      </c>
      <c r="D1040" s="11" t="s">
        <v>41</v>
      </c>
      <c r="E1040" s="11" t="s">
        <v>42</v>
      </c>
      <c r="F1040" s="11" t="s">
        <v>65</v>
      </c>
      <c r="G1040" s="11" t="s">
        <v>55</v>
      </c>
      <c r="H1040" s="11" t="s">
        <v>45</v>
      </c>
      <c r="I1040" s="11" t="s">
        <v>45</v>
      </c>
      <c r="J1040" s="11">
        <v>0.38</v>
      </c>
      <c r="K1040" s="12">
        <v>44754</v>
      </c>
      <c r="L1040" s="13" t="str" cm="1">
        <f t="array" ref="L1040">_xlfn.IFS(
  OR(ISBLANK(A1040),ISBLANK(C1040),ISBLANK(J1040)),"Missing Value",
  OR(C1040&lt;18,C1040&gt;120),"Review – Out of Range (Age)",
  J1040&lt;0,"Review – Out of Range (Risk Score)",
  TRUE,"OK"
)</f>
        <v>OK</v>
      </c>
    </row>
    <row r="1041" spans="1:12" ht="16.8" x14ac:dyDescent="0.3">
      <c r="A1041" s="14" t="s">
        <v>2133</v>
      </c>
      <c r="B1041" s="14" t="s">
        <v>2134</v>
      </c>
      <c r="C1041" s="14">
        <v>62</v>
      </c>
      <c r="D1041" s="14" t="s">
        <v>41</v>
      </c>
      <c r="E1041" s="14" t="s">
        <v>42</v>
      </c>
      <c r="F1041" s="14" t="s">
        <v>43</v>
      </c>
      <c r="G1041" s="14" t="s">
        <v>52</v>
      </c>
      <c r="H1041" s="14" t="s">
        <v>46</v>
      </c>
      <c r="I1041" s="14" t="s">
        <v>45</v>
      </c>
      <c r="J1041" s="14">
        <v>0.6</v>
      </c>
      <c r="K1041" s="15">
        <v>43755</v>
      </c>
      <c r="L1041" s="13" t="str" cm="1">
        <f t="array" ref="L1041">_xlfn.IFS(
  OR(ISBLANK(A1041),ISBLANK(C1041),ISBLANK(J1041)),"Missing Value",
  OR(C1041&lt;18,C1041&gt;120),"Review – Out of Range (Age)",
  J1041&lt;0,"Review – Out of Range (Risk Score)",
  TRUE,"OK"
)</f>
        <v>OK</v>
      </c>
    </row>
    <row r="1042" spans="1:12" ht="16.8" x14ac:dyDescent="0.3">
      <c r="A1042" s="11" t="s">
        <v>2135</v>
      </c>
      <c r="B1042" s="11" t="s">
        <v>2136</v>
      </c>
      <c r="C1042" s="11">
        <v>67</v>
      </c>
      <c r="D1042" s="11" t="s">
        <v>49</v>
      </c>
      <c r="E1042" s="11" t="s">
        <v>50</v>
      </c>
      <c r="F1042" s="11" t="s">
        <v>65</v>
      </c>
      <c r="G1042" s="11" t="s">
        <v>109</v>
      </c>
      <c r="H1042" s="11" t="s">
        <v>46</v>
      </c>
      <c r="I1042" s="11" t="s">
        <v>46</v>
      </c>
      <c r="J1042" s="11">
        <v>0.66</v>
      </c>
      <c r="K1042" s="12">
        <v>44487</v>
      </c>
      <c r="L1042" s="13" t="str" cm="1">
        <f t="array" ref="L1042">_xlfn.IFS(
  OR(ISBLANK(A1042),ISBLANK(C1042),ISBLANK(J1042)),"Missing Value",
  OR(C1042&lt;18,C1042&gt;120),"Review – Out of Range (Age)",
  J1042&lt;0,"Review – Out of Range (Risk Score)",
  TRUE,"OK"
)</f>
        <v>OK</v>
      </c>
    </row>
    <row r="1043" spans="1:12" ht="16.8" x14ac:dyDescent="0.3">
      <c r="A1043" s="14" t="s">
        <v>2137</v>
      </c>
      <c r="B1043" s="14" t="s">
        <v>2138</v>
      </c>
      <c r="C1043" s="14">
        <v>38</v>
      </c>
      <c r="D1043" s="14" t="s">
        <v>41</v>
      </c>
      <c r="E1043" s="14" t="s">
        <v>58</v>
      </c>
      <c r="F1043" s="14" t="s">
        <v>59</v>
      </c>
      <c r="G1043" s="14" t="s">
        <v>109</v>
      </c>
      <c r="H1043" s="14" t="s">
        <v>45</v>
      </c>
      <c r="I1043" s="14" t="s">
        <v>46</v>
      </c>
      <c r="J1043" s="14">
        <v>0.43</v>
      </c>
      <c r="K1043" s="15">
        <v>43338</v>
      </c>
      <c r="L1043" s="13" t="str" cm="1">
        <f t="array" ref="L1043">_xlfn.IFS(
  OR(ISBLANK(A1043),ISBLANK(C1043),ISBLANK(J1043)),"Missing Value",
  OR(C1043&lt;18,C1043&gt;120),"Review – Out of Range (Age)",
  J1043&lt;0,"Review – Out of Range (Risk Score)",
  TRUE,"OK"
)</f>
        <v>OK</v>
      </c>
    </row>
    <row r="1044" spans="1:12" ht="16.8" x14ac:dyDescent="0.3">
      <c r="A1044" s="11" t="s">
        <v>2139</v>
      </c>
      <c r="B1044" s="11" t="s">
        <v>2140</v>
      </c>
      <c r="C1044" s="11">
        <v>33</v>
      </c>
      <c r="D1044" s="11" t="s">
        <v>41</v>
      </c>
      <c r="E1044" s="11" t="s">
        <v>42</v>
      </c>
      <c r="F1044" s="11" t="s">
        <v>43</v>
      </c>
      <c r="G1044" s="11" t="s">
        <v>94</v>
      </c>
      <c r="H1044" s="11" t="s">
        <v>46</v>
      </c>
      <c r="I1044" s="11" t="s">
        <v>45</v>
      </c>
      <c r="J1044" s="11">
        <v>0.19</v>
      </c>
      <c r="K1044" s="12">
        <v>44844</v>
      </c>
      <c r="L1044" s="13" t="str" cm="1">
        <f t="array" ref="L1044">_xlfn.IFS(
  OR(ISBLANK(A1044),ISBLANK(C1044),ISBLANK(J1044)),"Missing Value",
  OR(C1044&lt;18,C1044&gt;120),"Review – Out of Range (Age)",
  J1044&lt;0,"Review – Out of Range (Risk Score)",
  TRUE,"OK"
)</f>
        <v>OK</v>
      </c>
    </row>
    <row r="1045" spans="1:12" ht="16.8" x14ac:dyDescent="0.3">
      <c r="A1045" s="14" t="s">
        <v>2141</v>
      </c>
      <c r="B1045" s="14" t="s">
        <v>2142</v>
      </c>
      <c r="C1045" s="14">
        <v>20</v>
      </c>
      <c r="D1045" s="14" t="s">
        <v>41</v>
      </c>
      <c r="E1045" s="14" t="s">
        <v>42</v>
      </c>
      <c r="F1045" s="14" t="s">
        <v>43</v>
      </c>
      <c r="G1045" s="14" t="s">
        <v>60</v>
      </c>
      <c r="H1045" s="14" t="s">
        <v>45</v>
      </c>
      <c r="I1045" s="14" t="s">
        <v>45</v>
      </c>
      <c r="J1045" s="14">
        <v>0.2</v>
      </c>
      <c r="K1045" s="15">
        <v>43507</v>
      </c>
      <c r="L1045" s="13" t="str" cm="1">
        <f t="array" ref="L1045">_xlfn.IFS(
  OR(ISBLANK(A1045),ISBLANK(C1045),ISBLANK(J1045)),"Missing Value",
  OR(C1045&lt;18,C1045&gt;120),"Review – Out of Range (Age)",
  J1045&lt;0,"Review – Out of Range (Risk Score)",
  TRUE,"OK"
)</f>
        <v>OK</v>
      </c>
    </row>
    <row r="1046" spans="1:12" ht="16.8" x14ac:dyDescent="0.3">
      <c r="A1046" s="11" t="s">
        <v>2143</v>
      </c>
      <c r="B1046" s="11" t="s">
        <v>2144</v>
      </c>
      <c r="C1046" s="11">
        <v>51</v>
      </c>
      <c r="D1046" s="11" t="s">
        <v>41</v>
      </c>
      <c r="E1046" s="11" t="s">
        <v>58</v>
      </c>
      <c r="F1046" s="11" t="s">
        <v>43</v>
      </c>
      <c r="G1046" s="11" t="s">
        <v>94</v>
      </c>
      <c r="H1046" s="11" t="s">
        <v>46</v>
      </c>
      <c r="I1046" s="11" t="s">
        <v>46</v>
      </c>
      <c r="J1046" s="11">
        <v>0.38</v>
      </c>
      <c r="K1046" s="12">
        <v>43313</v>
      </c>
      <c r="L1046" s="13" t="str" cm="1">
        <f t="array" ref="L1046">_xlfn.IFS(
  OR(ISBLANK(A1046),ISBLANK(C1046),ISBLANK(J1046)),"Missing Value",
  OR(C1046&lt;18,C1046&gt;120),"Review – Out of Range (Age)",
  J1046&lt;0,"Review – Out of Range (Risk Score)",
  TRUE,"OK"
)</f>
        <v>OK</v>
      </c>
    </row>
    <row r="1047" spans="1:12" ht="16.8" x14ac:dyDescent="0.3">
      <c r="A1047" s="14" t="s">
        <v>2145</v>
      </c>
      <c r="B1047" s="14" t="s">
        <v>2146</v>
      </c>
      <c r="C1047" s="14">
        <v>36</v>
      </c>
      <c r="D1047" s="14" t="s">
        <v>49</v>
      </c>
      <c r="E1047" s="14" t="s">
        <v>58</v>
      </c>
      <c r="F1047" s="14" t="s">
        <v>51</v>
      </c>
      <c r="G1047" s="14" t="s">
        <v>55</v>
      </c>
      <c r="H1047" s="14" t="s">
        <v>45</v>
      </c>
      <c r="I1047" s="14" t="s">
        <v>45</v>
      </c>
      <c r="J1047" s="14">
        <v>0.94</v>
      </c>
      <c r="K1047" s="15">
        <v>45113</v>
      </c>
      <c r="L1047" s="13" t="str" cm="1">
        <f t="array" ref="L1047">_xlfn.IFS(
  OR(ISBLANK(A1047),ISBLANK(C1047),ISBLANK(J1047)),"Missing Value",
  OR(C1047&lt;18,C1047&gt;120),"Review – Out of Range (Age)",
  J1047&lt;0,"Review – Out of Range (Risk Score)",
  TRUE,"OK"
)</f>
        <v>OK</v>
      </c>
    </row>
    <row r="1048" spans="1:12" ht="16.8" x14ac:dyDescent="0.3">
      <c r="A1048" s="11" t="s">
        <v>2147</v>
      </c>
      <c r="B1048" s="11" t="s">
        <v>2148</v>
      </c>
      <c r="C1048" s="11">
        <v>44</v>
      </c>
      <c r="D1048" s="11" t="s">
        <v>41</v>
      </c>
      <c r="E1048" s="11" t="s">
        <v>42</v>
      </c>
      <c r="F1048" s="11" t="s">
        <v>65</v>
      </c>
      <c r="G1048" s="11" t="s">
        <v>94</v>
      </c>
      <c r="H1048" s="11" t="s">
        <v>46</v>
      </c>
      <c r="I1048" s="11" t="s">
        <v>46</v>
      </c>
      <c r="J1048" s="11">
        <v>0.21</v>
      </c>
      <c r="K1048" s="12">
        <v>43104</v>
      </c>
      <c r="L1048" s="13" t="str" cm="1">
        <f t="array" ref="L1048">_xlfn.IFS(
  OR(ISBLANK(A1048),ISBLANK(C1048),ISBLANK(J1048)),"Missing Value",
  OR(C1048&lt;18,C1048&gt;120),"Review – Out of Range (Age)",
  J1048&lt;0,"Review – Out of Range (Risk Score)",
  TRUE,"OK"
)</f>
        <v>OK</v>
      </c>
    </row>
    <row r="1049" spans="1:12" ht="16.8" x14ac:dyDescent="0.3">
      <c r="A1049" s="14" t="s">
        <v>2149</v>
      </c>
      <c r="B1049" s="14" t="s">
        <v>2150</v>
      </c>
      <c r="C1049" s="14">
        <v>22</v>
      </c>
      <c r="D1049" s="14" t="s">
        <v>49</v>
      </c>
      <c r="E1049" s="14" t="s">
        <v>58</v>
      </c>
      <c r="F1049" s="14" t="s">
        <v>43</v>
      </c>
      <c r="G1049" s="14" t="s">
        <v>55</v>
      </c>
      <c r="H1049" s="14" t="s">
        <v>46</v>
      </c>
      <c r="I1049" s="14" t="s">
        <v>46</v>
      </c>
      <c r="J1049" s="14">
        <v>0.63</v>
      </c>
      <c r="K1049" s="15">
        <v>43926</v>
      </c>
      <c r="L1049" s="13" t="str" cm="1">
        <f t="array" ref="L1049">_xlfn.IFS(
  OR(ISBLANK(A1049),ISBLANK(C1049),ISBLANK(J1049)),"Missing Value",
  OR(C1049&lt;18,C1049&gt;120),"Review – Out of Range (Age)",
  J1049&lt;0,"Review – Out of Range (Risk Score)",
  TRUE,"OK"
)</f>
        <v>OK</v>
      </c>
    </row>
    <row r="1050" spans="1:12" ht="16.8" x14ac:dyDescent="0.3">
      <c r="A1050" s="11" t="s">
        <v>2151</v>
      </c>
      <c r="B1050" s="11" t="s">
        <v>2152</v>
      </c>
      <c r="C1050" s="11">
        <v>41</v>
      </c>
      <c r="D1050" s="11" t="s">
        <v>49</v>
      </c>
      <c r="E1050" s="11" t="s">
        <v>42</v>
      </c>
      <c r="F1050" s="11" t="s">
        <v>65</v>
      </c>
      <c r="G1050" s="11" t="s">
        <v>109</v>
      </c>
      <c r="H1050" s="11" t="s">
        <v>45</v>
      </c>
      <c r="I1050" s="11" t="s">
        <v>45</v>
      </c>
      <c r="J1050" s="11">
        <v>0.64</v>
      </c>
      <c r="K1050" s="12">
        <v>45164</v>
      </c>
      <c r="L1050" s="13" t="str" cm="1">
        <f t="array" ref="L1050">_xlfn.IFS(
  OR(ISBLANK(A1050),ISBLANK(C1050),ISBLANK(J1050)),"Missing Value",
  OR(C1050&lt;18,C1050&gt;120),"Review – Out of Range (Age)",
  J1050&lt;0,"Review – Out of Range (Risk Score)",
  TRUE,"OK"
)</f>
        <v>OK</v>
      </c>
    </row>
    <row r="1051" spans="1:12" ht="16.8" x14ac:dyDescent="0.3">
      <c r="A1051" s="14" t="s">
        <v>2153</v>
      </c>
      <c r="B1051" s="14" t="s">
        <v>2154</v>
      </c>
      <c r="C1051" s="14">
        <v>24</v>
      </c>
      <c r="D1051" s="14" t="s">
        <v>49</v>
      </c>
      <c r="E1051" s="14" t="s">
        <v>58</v>
      </c>
      <c r="F1051" s="14" t="s">
        <v>59</v>
      </c>
      <c r="G1051" s="14" t="s">
        <v>60</v>
      </c>
      <c r="H1051" s="14" t="s">
        <v>45</v>
      </c>
      <c r="I1051" s="14" t="s">
        <v>45</v>
      </c>
      <c r="J1051" s="14">
        <v>0.17</v>
      </c>
      <c r="K1051" s="15">
        <v>43388</v>
      </c>
      <c r="L1051" s="13" t="str" cm="1">
        <f t="array" ref="L1051">_xlfn.IFS(
  OR(ISBLANK(A1051),ISBLANK(C1051),ISBLANK(J1051)),"Missing Value",
  OR(C1051&lt;18,C1051&gt;120),"Review – Out of Range (Age)",
  J1051&lt;0,"Review – Out of Range (Risk Score)",
  TRUE,"OK"
)</f>
        <v>OK</v>
      </c>
    </row>
    <row r="1052" spans="1:12" ht="16.8" x14ac:dyDescent="0.3">
      <c r="A1052" s="11" t="s">
        <v>2155</v>
      </c>
      <c r="B1052" s="11" t="s">
        <v>2156</v>
      </c>
      <c r="C1052" s="11">
        <v>23</v>
      </c>
      <c r="D1052" s="11" t="s">
        <v>49</v>
      </c>
      <c r="E1052" s="11" t="s">
        <v>42</v>
      </c>
      <c r="F1052" s="11" t="s">
        <v>59</v>
      </c>
      <c r="G1052" s="11" t="s">
        <v>44</v>
      </c>
      <c r="H1052" s="11" t="s">
        <v>45</v>
      </c>
      <c r="I1052" s="11" t="s">
        <v>45</v>
      </c>
      <c r="J1052" s="11">
        <v>0.17</v>
      </c>
      <c r="K1052" s="12">
        <v>43204</v>
      </c>
      <c r="L1052" s="13" t="str" cm="1">
        <f t="array" ref="L1052">_xlfn.IFS(
  OR(ISBLANK(A1052),ISBLANK(C1052),ISBLANK(J1052)),"Missing Value",
  OR(C1052&lt;18,C1052&gt;120),"Review – Out of Range (Age)",
  J1052&lt;0,"Review – Out of Range (Risk Score)",
  TRUE,"OK"
)</f>
        <v>OK</v>
      </c>
    </row>
    <row r="1053" spans="1:12" ht="16.8" x14ac:dyDescent="0.3">
      <c r="A1053" s="14" t="s">
        <v>2157</v>
      </c>
      <c r="B1053" s="14" t="s">
        <v>2158</v>
      </c>
      <c r="C1053" s="14">
        <v>47</v>
      </c>
      <c r="D1053" s="14" t="s">
        <v>41</v>
      </c>
      <c r="E1053" s="14" t="s">
        <v>58</v>
      </c>
      <c r="F1053" s="14" t="s">
        <v>65</v>
      </c>
      <c r="G1053" s="14" t="s">
        <v>44</v>
      </c>
      <c r="H1053" s="14" t="s">
        <v>45</v>
      </c>
      <c r="I1053" s="14" t="s">
        <v>46</v>
      </c>
      <c r="J1053" s="14">
        <v>0.28999999999999998</v>
      </c>
      <c r="K1053" s="15">
        <v>44792</v>
      </c>
      <c r="L1053" s="13" t="str" cm="1">
        <f t="array" ref="L1053">_xlfn.IFS(
  OR(ISBLANK(A1053),ISBLANK(C1053),ISBLANK(J1053)),"Missing Value",
  OR(C1053&lt;18,C1053&gt;120),"Review – Out of Range (Age)",
  J1053&lt;0,"Review – Out of Range (Risk Score)",
  TRUE,"OK"
)</f>
        <v>OK</v>
      </c>
    </row>
    <row r="1054" spans="1:12" ht="16.8" x14ac:dyDescent="0.3">
      <c r="A1054" s="11" t="s">
        <v>2159</v>
      </c>
      <c r="B1054" s="11" t="s">
        <v>2160</v>
      </c>
      <c r="C1054" s="11">
        <v>21</v>
      </c>
      <c r="D1054" s="11" t="s">
        <v>49</v>
      </c>
      <c r="E1054" s="11" t="s">
        <v>50</v>
      </c>
      <c r="F1054" s="11" t="s">
        <v>59</v>
      </c>
      <c r="G1054" s="11" t="s">
        <v>44</v>
      </c>
      <c r="H1054" s="11" t="s">
        <v>45</v>
      </c>
      <c r="I1054" s="11" t="s">
        <v>46</v>
      </c>
      <c r="J1054" s="11">
        <v>0.34</v>
      </c>
      <c r="K1054" s="12">
        <v>44111</v>
      </c>
      <c r="L1054" s="13" t="str" cm="1">
        <f t="array" ref="L1054">_xlfn.IFS(
  OR(ISBLANK(A1054),ISBLANK(C1054),ISBLANK(J1054)),"Missing Value",
  OR(C1054&lt;18,C1054&gt;120),"Review – Out of Range (Age)",
  J1054&lt;0,"Review – Out of Range (Risk Score)",
  TRUE,"OK"
)</f>
        <v>OK</v>
      </c>
    </row>
    <row r="1055" spans="1:12" ht="16.8" x14ac:dyDescent="0.3">
      <c r="A1055" s="14" t="s">
        <v>2161</v>
      </c>
      <c r="B1055" s="14" t="s">
        <v>2162</v>
      </c>
      <c r="C1055" s="14">
        <v>25</v>
      </c>
      <c r="D1055" s="14" t="s">
        <v>41</v>
      </c>
      <c r="E1055" s="14" t="s">
        <v>58</v>
      </c>
      <c r="F1055" s="14" t="s">
        <v>51</v>
      </c>
      <c r="G1055" s="14" t="s">
        <v>109</v>
      </c>
      <c r="H1055" s="14" t="s">
        <v>46</v>
      </c>
      <c r="I1055" s="14" t="s">
        <v>45</v>
      </c>
      <c r="J1055" s="14">
        <v>0.28999999999999998</v>
      </c>
      <c r="K1055" s="15">
        <v>44295</v>
      </c>
      <c r="L1055" s="13" t="str" cm="1">
        <f t="array" ref="L1055">_xlfn.IFS(
  OR(ISBLANK(A1055),ISBLANK(C1055),ISBLANK(J1055)),"Missing Value",
  OR(C1055&lt;18,C1055&gt;120),"Review – Out of Range (Age)",
  J1055&lt;0,"Review – Out of Range (Risk Score)",
  TRUE,"OK"
)</f>
        <v>OK</v>
      </c>
    </row>
    <row r="1056" spans="1:12" ht="16.8" x14ac:dyDescent="0.3">
      <c r="A1056" s="11" t="s">
        <v>2163</v>
      </c>
      <c r="B1056" s="11" t="s">
        <v>2164</v>
      </c>
      <c r="C1056" s="11">
        <v>60</v>
      </c>
      <c r="D1056" s="11" t="s">
        <v>49</v>
      </c>
      <c r="E1056" s="11" t="s">
        <v>50</v>
      </c>
      <c r="F1056" s="11" t="s">
        <v>59</v>
      </c>
      <c r="G1056" s="11" t="s">
        <v>60</v>
      </c>
      <c r="H1056" s="11" t="s">
        <v>45</v>
      </c>
      <c r="I1056" s="11" t="s">
        <v>46</v>
      </c>
      <c r="J1056" s="11">
        <v>0.56999999999999995</v>
      </c>
      <c r="K1056" s="12">
        <v>44256</v>
      </c>
      <c r="L1056" s="13" t="str" cm="1">
        <f t="array" ref="L1056">_xlfn.IFS(
  OR(ISBLANK(A1056),ISBLANK(C1056),ISBLANK(J1056)),"Missing Value",
  OR(C1056&lt;18,C1056&gt;120),"Review – Out of Range (Age)",
  J1056&lt;0,"Review – Out of Range (Risk Score)",
  TRUE,"OK"
)</f>
        <v>OK</v>
      </c>
    </row>
    <row r="1057" spans="1:12" ht="16.8" x14ac:dyDescent="0.3">
      <c r="A1057" s="14" t="s">
        <v>2165</v>
      </c>
      <c r="B1057" s="14" t="s">
        <v>2166</v>
      </c>
      <c r="C1057" s="14">
        <v>35</v>
      </c>
      <c r="D1057" s="14" t="s">
        <v>41</v>
      </c>
      <c r="E1057" s="14" t="s">
        <v>50</v>
      </c>
      <c r="F1057" s="14" t="s">
        <v>65</v>
      </c>
      <c r="G1057" s="14" t="s">
        <v>109</v>
      </c>
      <c r="H1057" s="14" t="s">
        <v>46</v>
      </c>
      <c r="I1057" s="14" t="s">
        <v>45</v>
      </c>
      <c r="J1057" s="14">
        <v>0.59</v>
      </c>
      <c r="K1057" s="15">
        <v>43545</v>
      </c>
      <c r="L1057" s="13" t="str" cm="1">
        <f t="array" ref="L1057">_xlfn.IFS(
  OR(ISBLANK(A1057),ISBLANK(C1057),ISBLANK(J1057)),"Missing Value",
  OR(C1057&lt;18,C1057&gt;120),"Review – Out of Range (Age)",
  J1057&lt;0,"Review – Out of Range (Risk Score)",
  TRUE,"OK"
)</f>
        <v>OK</v>
      </c>
    </row>
    <row r="1058" spans="1:12" ht="16.8" x14ac:dyDescent="0.3">
      <c r="A1058" s="11" t="s">
        <v>2167</v>
      </c>
      <c r="B1058" s="11" t="s">
        <v>2168</v>
      </c>
      <c r="C1058" s="11">
        <v>68</v>
      </c>
      <c r="D1058" s="11" t="s">
        <v>49</v>
      </c>
      <c r="E1058" s="11" t="s">
        <v>42</v>
      </c>
      <c r="F1058" s="11" t="s">
        <v>59</v>
      </c>
      <c r="G1058" s="11" t="s">
        <v>109</v>
      </c>
      <c r="H1058" s="11" t="s">
        <v>46</v>
      </c>
      <c r="I1058" s="11" t="s">
        <v>45</v>
      </c>
      <c r="J1058" s="11">
        <v>0.4</v>
      </c>
      <c r="K1058" s="12">
        <v>43977</v>
      </c>
      <c r="L1058" s="13" t="str" cm="1">
        <f t="array" ref="L1058">_xlfn.IFS(
  OR(ISBLANK(A1058),ISBLANK(C1058),ISBLANK(J1058)),"Missing Value",
  OR(C1058&lt;18,C1058&gt;120),"Review – Out of Range (Age)",
  J1058&lt;0,"Review – Out of Range (Risk Score)",
  TRUE,"OK"
)</f>
        <v>OK</v>
      </c>
    </row>
    <row r="1059" spans="1:12" ht="16.8" x14ac:dyDescent="0.3">
      <c r="A1059" s="14" t="s">
        <v>2169</v>
      </c>
      <c r="B1059" s="14" t="s">
        <v>2170</v>
      </c>
      <c r="C1059" s="14">
        <v>44</v>
      </c>
      <c r="D1059" s="14" t="s">
        <v>49</v>
      </c>
      <c r="E1059" s="14" t="s">
        <v>58</v>
      </c>
      <c r="F1059" s="14" t="s">
        <v>51</v>
      </c>
      <c r="G1059" s="14" t="s">
        <v>94</v>
      </c>
      <c r="H1059" s="14" t="s">
        <v>46</v>
      </c>
      <c r="I1059" s="14" t="s">
        <v>45</v>
      </c>
      <c r="J1059" s="14">
        <v>0.52</v>
      </c>
      <c r="K1059" s="15">
        <v>43140</v>
      </c>
      <c r="L1059" s="13" t="str" cm="1">
        <f t="array" ref="L1059">_xlfn.IFS(
  OR(ISBLANK(A1059),ISBLANK(C1059),ISBLANK(J1059)),"Missing Value",
  OR(C1059&lt;18,C1059&gt;120),"Review – Out of Range (Age)",
  J1059&lt;0,"Review – Out of Range (Risk Score)",
  TRUE,"OK"
)</f>
        <v>OK</v>
      </c>
    </row>
    <row r="1060" spans="1:12" ht="16.8" x14ac:dyDescent="0.3">
      <c r="A1060" s="11" t="s">
        <v>2171</v>
      </c>
      <c r="B1060" s="11" t="s">
        <v>2172</v>
      </c>
      <c r="C1060" s="11">
        <v>30</v>
      </c>
      <c r="D1060" s="11" t="s">
        <v>49</v>
      </c>
      <c r="E1060" s="11" t="s">
        <v>42</v>
      </c>
      <c r="F1060" s="11" t="s">
        <v>43</v>
      </c>
      <c r="G1060" s="11" t="s">
        <v>94</v>
      </c>
      <c r="H1060" s="11" t="s">
        <v>46</v>
      </c>
      <c r="I1060" s="11" t="s">
        <v>46</v>
      </c>
      <c r="J1060" s="11">
        <v>0.42</v>
      </c>
      <c r="K1060" s="12">
        <v>43428</v>
      </c>
      <c r="L1060" s="13" t="str" cm="1">
        <f t="array" ref="L1060">_xlfn.IFS(
  OR(ISBLANK(A1060),ISBLANK(C1060),ISBLANK(J1060)),"Missing Value",
  OR(C1060&lt;18,C1060&gt;120),"Review – Out of Range (Age)",
  J1060&lt;0,"Review – Out of Range (Risk Score)",
  TRUE,"OK"
)</f>
        <v>OK</v>
      </c>
    </row>
    <row r="1061" spans="1:12" ht="16.8" x14ac:dyDescent="0.3">
      <c r="A1061" s="14" t="s">
        <v>2173</v>
      </c>
      <c r="B1061" s="14" t="s">
        <v>2174</v>
      </c>
      <c r="C1061" s="14">
        <v>25</v>
      </c>
      <c r="D1061" s="14" t="s">
        <v>41</v>
      </c>
      <c r="E1061" s="14" t="s">
        <v>42</v>
      </c>
      <c r="F1061" s="14" t="s">
        <v>65</v>
      </c>
      <c r="G1061" s="14" t="s">
        <v>55</v>
      </c>
      <c r="H1061" s="14" t="s">
        <v>46</v>
      </c>
      <c r="I1061" s="14" t="s">
        <v>45</v>
      </c>
      <c r="J1061" s="14">
        <v>0.11</v>
      </c>
      <c r="K1061" s="15">
        <v>44604</v>
      </c>
      <c r="L1061" s="13" t="str" cm="1">
        <f t="array" ref="L1061">_xlfn.IFS(
  OR(ISBLANK(A1061),ISBLANK(C1061),ISBLANK(J1061)),"Missing Value",
  OR(C1061&lt;18,C1061&gt;120),"Review – Out of Range (Age)",
  J1061&lt;0,"Review – Out of Range (Risk Score)",
  TRUE,"OK"
)</f>
        <v>OK</v>
      </c>
    </row>
    <row r="1062" spans="1:12" ht="16.8" x14ac:dyDescent="0.3">
      <c r="A1062" s="11" t="s">
        <v>2175</v>
      </c>
      <c r="B1062" s="11" t="s">
        <v>2176</v>
      </c>
      <c r="C1062" s="11">
        <v>35</v>
      </c>
      <c r="D1062" s="11" t="s">
        <v>49</v>
      </c>
      <c r="E1062" s="11" t="s">
        <v>42</v>
      </c>
      <c r="F1062" s="11" t="s">
        <v>65</v>
      </c>
      <c r="G1062" s="11" t="s">
        <v>55</v>
      </c>
      <c r="H1062" s="11" t="s">
        <v>46</v>
      </c>
      <c r="I1062" s="11" t="s">
        <v>45</v>
      </c>
      <c r="J1062" s="11">
        <v>0</v>
      </c>
      <c r="K1062" s="12">
        <v>44630</v>
      </c>
      <c r="L1062" s="13" t="str" cm="1">
        <f t="array" ref="L1062">_xlfn.IFS(
  OR(ISBLANK(A1062),ISBLANK(C1062),ISBLANK(J1062)),"Missing Value",
  OR(C1062&lt;18,C1062&gt;120),"Review – Out of Range (Age)",
  J1062&lt;0,"Review – Out of Range (Risk Score)",
  TRUE,"OK"
)</f>
        <v>OK</v>
      </c>
    </row>
    <row r="1063" spans="1:12" ht="16.8" x14ac:dyDescent="0.3">
      <c r="A1063" s="14" t="s">
        <v>2177</v>
      </c>
      <c r="B1063" s="14" t="s">
        <v>2178</v>
      </c>
      <c r="C1063" s="14">
        <v>45</v>
      </c>
      <c r="D1063" s="14" t="s">
        <v>49</v>
      </c>
      <c r="E1063" s="14" t="s">
        <v>58</v>
      </c>
      <c r="F1063" s="14" t="s">
        <v>65</v>
      </c>
      <c r="G1063" s="14" t="s">
        <v>52</v>
      </c>
      <c r="H1063" s="14" t="s">
        <v>45</v>
      </c>
      <c r="I1063" s="14" t="s">
        <v>45</v>
      </c>
      <c r="J1063" s="14">
        <v>0.73</v>
      </c>
      <c r="K1063" s="15">
        <v>45236</v>
      </c>
      <c r="L1063" s="13" t="str" cm="1">
        <f t="array" ref="L1063">_xlfn.IFS(
  OR(ISBLANK(A1063),ISBLANK(C1063),ISBLANK(J1063)),"Missing Value",
  OR(C1063&lt;18,C1063&gt;120),"Review – Out of Range (Age)",
  J1063&lt;0,"Review – Out of Range (Risk Score)",
  TRUE,"OK"
)</f>
        <v>OK</v>
      </c>
    </row>
    <row r="1064" spans="1:12" ht="16.8" x14ac:dyDescent="0.3">
      <c r="A1064" s="11" t="s">
        <v>2179</v>
      </c>
      <c r="B1064" s="11" t="s">
        <v>2180</v>
      </c>
      <c r="C1064" s="11">
        <v>54</v>
      </c>
      <c r="D1064" s="11" t="s">
        <v>49</v>
      </c>
      <c r="E1064" s="11" t="s">
        <v>42</v>
      </c>
      <c r="F1064" s="11" t="s">
        <v>59</v>
      </c>
      <c r="G1064" s="11" t="s">
        <v>109</v>
      </c>
      <c r="H1064" s="11" t="s">
        <v>46</v>
      </c>
      <c r="I1064" s="11" t="s">
        <v>46</v>
      </c>
      <c r="J1064" s="11">
        <v>0.44</v>
      </c>
      <c r="K1064" s="12">
        <v>45130</v>
      </c>
      <c r="L1064" s="13" t="str" cm="1">
        <f t="array" ref="L1064">_xlfn.IFS(
  OR(ISBLANK(A1064),ISBLANK(C1064),ISBLANK(J1064)),"Missing Value",
  OR(C1064&lt;18,C1064&gt;120),"Review – Out of Range (Age)",
  J1064&lt;0,"Review – Out of Range (Risk Score)",
  TRUE,"OK"
)</f>
        <v>OK</v>
      </c>
    </row>
    <row r="1065" spans="1:12" ht="16.8" x14ac:dyDescent="0.3">
      <c r="A1065" s="14" t="s">
        <v>2181</v>
      </c>
      <c r="B1065" s="14" t="s">
        <v>2182</v>
      </c>
      <c r="C1065" s="14">
        <v>25</v>
      </c>
      <c r="D1065" s="14" t="s">
        <v>41</v>
      </c>
      <c r="E1065" s="14" t="s">
        <v>50</v>
      </c>
      <c r="F1065" s="14" t="s">
        <v>65</v>
      </c>
      <c r="G1065" s="14" t="s">
        <v>55</v>
      </c>
      <c r="H1065" s="14" t="s">
        <v>46</v>
      </c>
      <c r="I1065" s="14" t="s">
        <v>45</v>
      </c>
      <c r="J1065" s="14">
        <v>0.71</v>
      </c>
      <c r="K1065" s="15">
        <v>43128</v>
      </c>
      <c r="L1065" s="13" t="str" cm="1">
        <f t="array" ref="L1065">_xlfn.IFS(
  OR(ISBLANK(A1065),ISBLANK(C1065),ISBLANK(J1065)),"Missing Value",
  OR(C1065&lt;18,C1065&gt;120),"Review – Out of Range (Age)",
  J1065&lt;0,"Review – Out of Range (Risk Score)",
  TRUE,"OK"
)</f>
        <v>OK</v>
      </c>
    </row>
    <row r="1066" spans="1:12" ht="16.8" x14ac:dyDescent="0.3">
      <c r="A1066" s="11" t="s">
        <v>2183</v>
      </c>
      <c r="B1066" s="11" t="s">
        <v>2184</v>
      </c>
      <c r="C1066" s="11">
        <v>48</v>
      </c>
      <c r="D1066" s="11" t="s">
        <v>41</v>
      </c>
      <c r="E1066" s="11" t="s">
        <v>50</v>
      </c>
      <c r="F1066" s="11" t="s">
        <v>43</v>
      </c>
      <c r="G1066" s="11" t="s">
        <v>44</v>
      </c>
      <c r="H1066" s="11" t="s">
        <v>46</v>
      </c>
      <c r="I1066" s="11" t="s">
        <v>45</v>
      </c>
      <c r="J1066" s="11">
        <v>0.54</v>
      </c>
      <c r="K1066" s="12">
        <v>43374</v>
      </c>
      <c r="L1066" s="13" t="str" cm="1">
        <f t="array" ref="L1066">_xlfn.IFS(
  OR(ISBLANK(A1066),ISBLANK(C1066),ISBLANK(J1066)),"Missing Value",
  OR(C1066&lt;18,C1066&gt;120),"Review – Out of Range (Age)",
  J1066&lt;0,"Review – Out of Range (Risk Score)",
  TRUE,"OK"
)</f>
        <v>OK</v>
      </c>
    </row>
    <row r="1067" spans="1:12" ht="16.8" x14ac:dyDescent="0.3">
      <c r="A1067" s="14" t="s">
        <v>2185</v>
      </c>
      <c r="B1067" s="14" t="s">
        <v>2186</v>
      </c>
      <c r="C1067" s="14">
        <v>45</v>
      </c>
      <c r="D1067" s="14" t="s">
        <v>41</v>
      </c>
      <c r="E1067" s="14" t="s">
        <v>58</v>
      </c>
      <c r="F1067" s="14" t="s">
        <v>65</v>
      </c>
      <c r="G1067" s="14" t="s">
        <v>94</v>
      </c>
      <c r="H1067" s="14" t="s">
        <v>45</v>
      </c>
      <c r="I1067" s="14" t="s">
        <v>45</v>
      </c>
      <c r="J1067" s="14">
        <v>0.28999999999999998</v>
      </c>
      <c r="K1067" s="15">
        <v>44997</v>
      </c>
      <c r="L1067" s="13" t="str" cm="1">
        <f t="array" ref="L1067">_xlfn.IFS(
  OR(ISBLANK(A1067),ISBLANK(C1067),ISBLANK(J1067)),"Missing Value",
  OR(C1067&lt;18,C1067&gt;120),"Review – Out of Range (Age)",
  J1067&lt;0,"Review – Out of Range (Risk Score)",
  TRUE,"OK"
)</f>
        <v>OK</v>
      </c>
    </row>
    <row r="1068" spans="1:12" ht="16.8" x14ac:dyDescent="0.3">
      <c r="A1068" s="11" t="s">
        <v>2187</v>
      </c>
      <c r="B1068" s="11" t="s">
        <v>2188</v>
      </c>
      <c r="C1068" s="11">
        <v>51</v>
      </c>
      <c r="D1068" s="11" t="s">
        <v>41</v>
      </c>
      <c r="E1068" s="11" t="s">
        <v>50</v>
      </c>
      <c r="F1068" s="11" t="s">
        <v>51</v>
      </c>
      <c r="G1068" s="11" t="s">
        <v>52</v>
      </c>
      <c r="H1068" s="11" t="s">
        <v>46</v>
      </c>
      <c r="I1068" s="11" t="s">
        <v>46</v>
      </c>
      <c r="J1068" s="11">
        <v>0.53</v>
      </c>
      <c r="K1068" s="12">
        <v>44686</v>
      </c>
      <c r="L1068" s="13" t="str" cm="1">
        <f t="array" ref="L1068">_xlfn.IFS(
  OR(ISBLANK(A1068),ISBLANK(C1068),ISBLANK(J1068)),"Missing Value",
  OR(C1068&lt;18,C1068&gt;120),"Review – Out of Range (Age)",
  J1068&lt;0,"Review – Out of Range (Risk Score)",
  TRUE,"OK"
)</f>
        <v>OK</v>
      </c>
    </row>
    <row r="1069" spans="1:12" ht="16.8" x14ac:dyDescent="0.3">
      <c r="A1069" s="14" t="s">
        <v>2189</v>
      </c>
      <c r="B1069" s="14" t="s">
        <v>2190</v>
      </c>
      <c r="C1069" s="14">
        <v>25</v>
      </c>
      <c r="D1069" s="14" t="s">
        <v>49</v>
      </c>
      <c r="E1069" s="14" t="s">
        <v>58</v>
      </c>
      <c r="F1069" s="14" t="s">
        <v>43</v>
      </c>
      <c r="G1069" s="14" t="s">
        <v>52</v>
      </c>
      <c r="H1069" s="14" t="s">
        <v>45</v>
      </c>
      <c r="I1069" s="14" t="s">
        <v>45</v>
      </c>
      <c r="J1069" s="14">
        <v>0.6</v>
      </c>
      <c r="K1069" s="15">
        <v>44711</v>
      </c>
      <c r="L1069" s="13" t="str" cm="1">
        <f t="array" ref="L1069">_xlfn.IFS(
  OR(ISBLANK(A1069),ISBLANK(C1069),ISBLANK(J1069)),"Missing Value",
  OR(C1069&lt;18,C1069&gt;120),"Review – Out of Range (Age)",
  J1069&lt;0,"Review – Out of Range (Risk Score)",
  TRUE,"OK"
)</f>
        <v>OK</v>
      </c>
    </row>
    <row r="1070" spans="1:12" ht="16.8" x14ac:dyDescent="0.3">
      <c r="A1070" s="11" t="s">
        <v>2191</v>
      </c>
      <c r="B1070" s="11" t="s">
        <v>2192</v>
      </c>
      <c r="C1070" s="11">
        <v>42</v>
      </c>
      <c r="D1070" s="11" t="s">
        <v>49</v>
      </c>
      <c r="E1070" s="11" t="s">
        <v>42</v>
      </c>
      <c r="F1070" s="11" t="s">
        <v>59</v>
      </c>
      <c r="G1070" s="11" t="s">
        <v>109</v>
      </c>
      <c r="H1070" s="11" t="s">
        <v>46</v>
      </c>
      <c r="I1070" s="11" t="s">
        <v>45</v>
      </c>
      <c r="J1070" s="11">
        <v>0.36</v>
      </c>
      <c r="K1070" s="12">
        <v>44883</v>
      </c>
      <c r="L1070" s="13" t="str" cm="1">
        <f t="array" ref="L1070">_xlfn.IFS(
  OR(ISBLANK(A1070),ISBLANK(C1070),ISBLANK(J1070)),"Missing Value",
  OR(C1070&lt;18,C1070&gt;120),"Review – Out of Range (Age)",
  J1070&lt;0,"Review – Out of Range (Risk Score)",
  TRUE,"OK"
)</f>
        <v>OK</v>
      </c>
    </row>
    <row r="1071" spans="1:12" ht="16.8" x14ac:dyDescent="0.3">
      <c r="A1071" s="14" t="s">
        <v>2193</v>
      </c>
      <c r="B1071" s="14" t="s">
        <v>2194</v>
      </c>
      <c r="C1071" s="14">
        <v>31</v>
      </c>
      <c r="D1071" s="14" t="s">
        <v>49</v>
      </c>
      <c r="E1071" s="14" t="s">
        <v>58</v>
      </c>
      <c r="F1071" s="14" t="s">
        <v>51</v>
      </c>
      <c r="G1071" s="14" t="s">
        <v>109</v>
      </c>
      <c r="H1071" s="14" t="s">
        <v>46</v>
      </c>
      <c r="I1071" s="14" t="s">
        <v>45</v>
      </c>
      <c r="J1071" s="14">
        <v>0.55000000000000004</v>
      </c>
      <c r="K1071" s="15">
        <v>44412</v>
      </c>
      <c r="L1071" s="13" t="str" cm="1">
        <f t="array" ref="L1071">_xlfn.IFS(
  OR(ISBLANK(A1071),ISBLANK(C1071),ISBLANK(J1071)),"Missing Value",
  OR(C1071&lt;18,C1071&gt;120),"Review – Out of Range (Age)",
  J1071&lt;0,"Review – Out of Range (Risk Score)",
  TRUE,"OK"
)</f>
        <v>OK</v>
      </c>
    </row>
    <row r="1072" spans="1:12" ht="16.8" x14ac:dyDescent="0.3">
      <c r="A1072" s="11" t="s">
        <v>2195</v>
      </c>
      <c r="B1072" s="11" t="s">
        <v>2196</v>
      </c>
      <c r="C1072" s="11">
        <v>49</v>
      </c>
      <c r="D1072" s="11" t="s">
        <v>49</v>
      </c>
      <c r="E1072" s="11" t="s">
        <v>42</v>
      </c>
      <c r="F1072" s="11" t="s">
        <v>59</v>
      </c>
      <c r="G1072" s="11" t="s">
        <v>44</v>
      </c>
      <c r="H1072" s="11" t="s">
        <v>46</v>
      </c>
      <c r="I1072" s="11" t="s">
        <v>46</v>
      </c>
      <c r="J1072" s="11">
        <v>0.57999999999999996</v>
      </c>
      <c r="K1072" s="12">
        <v>43748</v>
      </c>
      <c r="L1072" s="13" t="str" cm="1">
        <f t="array" ref="L1072">_xlfn.IFS(
  OR(ISBLANK(A1072),ISBLANK(C1072),ISBLANK(J1072)),"Missing Value",
  OR(C1072&lt;18,C1072&gt;120),"Review – Out of Range (Age)",
  J1072&lt;0,"Review – Out of Range (Risk Score)",
  TRUE,"OK"
)</f>
        <v>OK</v>
      </c>
    </row>
    <row r="1073" spans="1:12" ht="16.8" x14ac:dyDescent="0.3">
      <c r="A1073" s="14" t="s">
        <v>2197</v>
      </c>
      <c r="B1073" s="14" t="s">
        <v>2198</v>
      </c>
      <c r="C1073" s="14">
        <v>37</v>
      </c>
      <c r="D1073" s="14" t="s">
        <v>41</v>
      </c>
      <c r="E1073" s="14" t="s">
        <v>42</v>
      </c>
      <c r="F1073" s="14" t="s">
        <v>65</v>
      </c>
      <c r="G1073" s="14" t="s">
        <v>52</v>
      </c>
      <c r="H1073" s="14" t="s">
        <v>46</v>
      </c>
      <c r="I1073" s="14" t="s">
        <v>46</v>
      </c>
      <c r="J1073" s="14">
        <v>0.43</v>
      </c>
      <c r="K1073" s="15">
        <v>43769</v>
      </c>
      <c r="L1073" s="13" t="str" cm="1">
        <f t="array" ref="L1073">_xlfn.IFS(
  OR(ISBLANK(A1073),ISBLANK(C1073),ISBLANK(J1073)),"Missing Value",
  OR(C1073&lt;18,C1073&gt;120),"Review – Out of Range (Age)",
  J1073&lt;0,"Review – Out of Range (Risk Score)",
  TRUE,"OK"
)</f>
        <v>OK</v>
      </c>
    </row>
    <row r="1074" spans="1:12" ht="16.8" x14ac:dyDescent="0.3">
      <c r="A1074" s="11" t="s">
        <v>2199</v>
      </c>
      <c r="B1074" s="11" t="s">
        <v>2200</v>
      </c>
      <c r="C1074" s="11">
        <v>24</v>
      </c>
      <c r="D1074" s="11" t="s">
        <v>41</v>
      </c>
      <c r="E1074" s="11" t="s">
        <v>42</v>
      </c>
      <c r="F1074" s="11" t="s">
        <v>65</v>
      </c>
      <c r="G1074" s="11" t="s">
        <v>94</v>
      </c>
      <c r="H1074" s="11" t="s">
        <v>45</v>
      </c>
      <c r="I1074" s="11" t="s">
        <v>45</v>
      </c>
      <c r="J1074" s="11">
        <v>0.7</v>
      </c>
      <c r="K1074" s="12">
        <v>44901</v>
      </c>
      <c r="L1074" s="13" t="str" cm="1">
        <f t="array" ref="L1074">_xlfn.IFS(
  OR(ISBLANK(A1074),ISBLANK(C1074),ISBLANK(J1074)),"Missing Value",
  OR(C1074&lt;18,C1074&gt;120),"Review – Out of Range (Age)",
  J1074&lt;0,"Review – Out of Range (Risk Score)",
  TRUE,"OK"
)</f>
        <v>OK</v>
      </c>
    </row>
    <row r="1075" spans="1:12" ht="16.8" x14ac:dyDescent="0.3">
      <c r="A1075" s="14" t="s">
        <v>2201</v>
      </c>
      <c r="B1075" s="14" t="s">
        <v>2202</v>
      </c>
      <c r="C1075" s="14">
        <v>28</v>
      </c>
      <c r="D1075" s="14" t="s">
        <v>41</v>
      </c>
      <c r="E1075" s="14" t="s">
        <v>42</v>
      </c>
      <c r="F1075" s="14" t="s">
        <v>43</v>
      </c>
      <c r="G1075" s="14" t="s">
        <v>60</v>
      </c>
      <c r="H1075" s="14" t="s">
        <v>45</v>
      </c>
      <c r="I1075" s="14" t="s">
        <v>45</v>
      </c>
      <c r="J1075" s="14">
        <v>0.52</v>
      </c>
      <c r="K1075" s="15">
        <v>44687</v>
      </c>
      <c r="L1075" s="13" t="str" cm="1">
        <f t="array" ref="L1075">_xlfn.IFS(
  OR(ISBLANK(A1075),ISBLANK(C1075),ISBLANK(J1075)),"Missing Value",
  OR(C1075&lt;18,C1075&gt;120),"Review – Out of Range (Age)",
  J1075&lt;0,"Review – Out of Range (Risk Score)",
  TRUE,"OK"
)</f>
        <v>OK</v>
      </c>
    </row>
    <row r="1076" spans="1:12" ht="16.8" x14ac:dyDescent="0.3">
      <c r="A1076" s="11" t="s">
        <v>2203</v>
      </c>
      <c r="B1076" s="11" t="s">
        <v>2204</v>
      </c>
      <c r="C1076" s="11">
        <v>28</v>
      </c>
      <c r="D1076" s="11" t="s">
        <v>49</v>
      </c>
      <c r="E1076" s="11" t="s">
        <v>58</v>
      </c>
      <c r="F1076" s="11" t="s">
        <v>59</v>
      </c>
      <c r="G1076" s="11" t="s">
        <v>44</v>
      </c>
      <c r="H1076" s="11" t="s">
        <v>46</v>
      </c>
      <c r="I1076" s="11" t="s">
        <v>45</v>
      </c>
      <c r="J1076" s="11">
        <v>0.41</v>
      </c>
      <c r="K1076" s="12">
        <v>43548</v>
      </c>
      <c r="L1076" s="13" t="str" cm="1">
        <f t="array" ref="L1076">_xlfn.IFS(
  OR(ISBLANK(A1076),ISBLANK(C1076),ISBLANK(J1076)),"Missing Value",
  OR(C1076&lt;18,C1076&gt;120),"Review – Out of Range (Age)",
  J1076&lt;0,"Review – Out of Range (Risk Score)",
  TRUE,"OK"
)</f>
        <v>OK</v>
      </c>
    </row>
    <row r="1077" spans="1:12" ht="16.8" x14ac:dyDescent="0.3">
      <c r="A1077" s="14" t="s">
        <v>2205</v>
      </c>
      <c r="B1077" s="14" t="s">
        <v>2206</v>
      </c>
      <c r="C1077" s="14">
        <v>59</v>
      </c>
      <c r="D1077" s="14" t="s">
        <v>41</v>
      </c>
      <c r="E1077" s="14" t="s">
        <v>58</v>
      </c>
      <c r="F1077" s="14" t="s">
        <v>51</v>
      </c>
      <c r="G1077" s="14" t="s">
        <v>60</v>
      </c>
      <c r="H1077" s="14" t="s">
        <v>45</v>
      </c>
      <c r="I1077" s="14" t="s">
        <v>45</v>
      </c>
      <c r="J1077" s="14">
        <v>0.11</v>
      </c>
      <c r="K1077" s="15">
        <v>44966</v>
      </c>
      <c r="L1077" s="13" t="str" cm="1">
        <f t="array" ref="L1077">_xlfn.IFS(
  OR(ISBLANK(A1077),ISBLANK(C1077),ISBLANK(J1077)),"Missing Value",
  OR(C1077&lt;18,C1077&gt;120),"Review – Out of Range (Age)",
  J1077&lt;0,"Review – Out of Range (Risk Score)",
  TRUE,"OK"
)</f>
        <v>OK</v>
      </c>
    </row>
    <row r="1078" spans="1:12" ht="16.8" x14ac:dyDescent="0.3">
      <c r="A1078" s="11" t="s">
        <v>2207</v>
      </c>
      <c r="B1078" s="11" t="s">
        <v>2208</v>
      </c>
      <c r="C1078" s="11">
        <v>26</v>
      </c>
      <c r="D1078" s="11" t="s">
        <v>41</v>
      </c>
      <c r="E1078" s="11" t="s">
        <v>58</v>
      </c>
      <c r="F1078" s="11" t="s">
        <v>43</v>
      </c>
      <c r="G1078" s="11" t="s">
        <v>44</v>
      </c>
      <c r="H1078" s="11" t="s">
        <v>46</v>
      </c>
      <c r="I1078" s="11" t="s">
        <v>45</v>
      </c>
      <c r="J1078" s="11">
        <v>0.76</v>
      </c>
      <c r="K1078" s="12">
        <v>43426</v>
      </c>
      <c r="L1078" s="13" t="str" cm="1">
        <f t="array" ref="L1078">_xlfn.IFS(
  OR(ISBLANK(A1078),ISBLANK(C1078),ISBLANK(J1078)),"Missing Value",
  OR(C1078&lt;18,C1078&gt;120),"Review – Out of Range (Age)",
  J1078&lt;0,"Review – Out of Range (Risk Score)",
  TRUE,"OK"
)</f>
        <v>OK</v>
      </c>
    </row>
    <row r="1079" spans="1:12" ht="16.8" x14ac:dyDescent="0.3">
      <c r="A1079" s="14" t="s">
        <v>2209</v>
      </c>
      <c r="B1079" s="14" t="s">
        <v>2210</v>
      </c>
      <c r="C1079" s="14">
        <v>24</v>
      </c>
      <c r="D1079" s="14" t="s">
        <v>49</v>
      </c>
      <c r="E1079" s="14" t="s">
        <v>58</v>
      </c>
      <c r="F1079" s="14" t="s">
        <v>65</v>
      </c>
      <c r="G1079" s="14" t="s">
        <v>52</v>
      </c>
      <c r="H1079" s="14" t="s">
        <v>45</v>
      </c>
      <c r="I1079" s="14" t="s">
        <v>46</v>
      </c>
      <c r="J1079" s="14">
        <v>0.11</v>
      </c>
      <c r="K1079" s="15">
        <v>43642</v>
      </c>
      <c r="L1079" s="13" t="str" cm="1">
        <f t="array" ref="L1079">_xlfn.IFS(
  OR(ISBLANK(A1079),ISBLANK(C1079),ISBLANK(J1079)),"Missing Value",
  OR(C1079&lt;18,C1079&gt;120),"Review – Out of Range (Age)",
  J1079&lt;0,"Review – Out of Range (Risk Score)",
  TRUE,"OK"
)</f>
        <v>OK</v>
      </c>
    </row>
    <row r="1080" spans="1:12" ht="16.8" x14ac:dyDescent="0.3">
      <c r="A1080" s="11" t="s">
        <v>2211</v>
      </c>
      <c r="B1080" s="11" t="s">
        <v>2212</v>
      </c>
      <c r="C1080" s="11">
        <v>41</v>
      </c>
      <c r="D1080" s="11" t="s">
        <v>41</v>
      </c>
      <c r="E1080" s="11" t="s">
        <v>50</v>
      </c>
      <c r="F1080" s="11" t="s">
        <v>65</v>
      </c>
      <c r="G1080" s="11" t="s">
        <v>52</v>
      </c>
      <c r="H1080" s="11" t="s">
        <v>45</v>
      </c>
      <c r="I1080" s="11" t="s">
        <v>46</v>
      </c>
      <c r="J1080" s="11">
        <v>0.59</v>
      </c>
      <c r="K1080" s="12">
        <v>43769</v>
      </c>
      <c r="L1080" s="13" t="str" cm="1">
        <f t="array" ref="L1080">_xlfn.IFS(
  OR(ISBLANK(A1080),ISBLANK(C1080),ISBLANK(J1080)),"Missing Value",
  OR(C1080&lt;18,C1080&gt;120),"Review – Out of Range (Age)",
  J1080&lt;0,"Review – Out of Range (Risk Score)",
  TRUE,"OK"
)</f>
        <v>OK</v>
      </c>
    </row>
    <row r="1081" spans="1:12" ht="16.8" x14ac:dyDescent="0.3">
      <c r="A1081" s="14" t="s">
        <v>2213</v>
      </c>
      <c r="B1081" s="14" t="s">
        <v>2214</v>
      </c>
      <c r="C1081" s="14">
        <v>38</v>
      </c>
      <c r="D1081" s="14" t="s">
        <v>49</v>
      </c>
      <c r="E1081" s="14" t="s">
        <v>58</v>
      </c>
      <c r="F1081" s="14" t="s">
        <v>59</v>
      </c>
      <c r="G1081" s="14" t="s">
        <v>109</v>
      </c>
      <c r="H1081" s="14" t="s">
        <v>46</v>
      </c>
      <c r="I1081" s="14" t="s">
        <v>45</v>
      </c>
      <c r="J1081" s="14">
        <v>0.56000000000000005</v>
      </c>
      <c r="K1081" s="15">
        <v>44931</v>
      </c>
      <c r="L1081" s="13" t="str" cm="1">
        <f t="array" ref="L1081">_xlfn.IFS(
  OR(ISBLANK(A1081),ISBLANK(C1081),ISBLANK(J1081)),"Missing Value",
  OR(C1081&lt;18,C1081&gt;120),"Review – Out of Range (Age)",
  J1081&lt;0,"Review – Out of Range (Risk Score)",
  TRUE,"OK"
)</f>
        <v>OK</v>
      </c>
    </row>
    <row r="1082" spans="1:12" ht="16.8" x14ac:dyDescent="0.3">
      <c r="A1082" s="11" t="s">
        <v>2215</v>
      </c>
      <c r="B1082" s="11" t="s">
        <v>2216</v>
      </c>
      <c r="C1082" s="11">
        <v>26</v>
      </c>
      <c r="D1082" s="11" t="s">
        <v>41</v>
      </c>
      <c r="E1082" s="11" t="s">
        <v>58</v>
      </c>
      <c r="F1082" s="11" t="s">
        <v>51</v>
      </c>
      <c r="G1082" s="11" t="s">
        <v>94</v>
      </c>
      <c r="H1082" s="11" t="s">
        <v>45</v>
      </c>
      <c r="I1082" s="11" t="s">
        <v>46</v>
      </c>
      <c r="J1082" s="11">
        <v>0.67</v>
      </c>
      <c r="K1082" s="12">
        <v>44253</v>
      </c>
      <c r="L1082" s="13" t="str" cm="1">
        <f t="array" ref="L1082">_xlfn.IFS(
  OR(ISBLANK(A1082),ISBLANK(C1082),ISBLANK(J1082)),"Missing Value",
  OR(C1082&lt;18,C1082&gt;120),"Review – Out of Range (Age)",
  J1082&lt;0,"Review – Out of Range (Risk Score)",
  TRUE,"OK"
)</f>
        <v>OK</v>
      </c>
    </row>
    <row r="1083" spans="1:12" ht="16.8" x14ac:dyDescent="0.3">
      <c r="A1083" s="14" t="s">
        <v>2217</v>
      </c>
      <c r="B1083" s="14" t="s">
        <v>2218</v>
      </c>
      <c r="C1083" s="14">
        <v>60</v>
      </c>
      <c r="D1083" s="14" t="s">
        <v>49</v>
      </c>
      <c r="E1083" s="14" t="s">
        <v>58</v>
      </c>
      <c r="F1083" s="14" t="s">
        <v>43</v>
      </c>
      <c r="G1083" s="14" t="s">
        <v>52</v>
      </c>
      <c r="H1083" s="14" t="s">
        <v>46</v>
      </c>
      <c r="I1083" s="14" t="s">
        <v>45</v>
      </c>
      <c r="J1083" s="14">
        <v>0.49</v>
      </c>
      <c r="K1083" s="15">
        <v>43319</v>
      </c>
      <c r="L1083" s="13" t="str" cm="1">
        <f t="array" ref="L1083">_xlfn.IFS(
  OR(ISBLANK(A1083),ISBLANK(C1083),ISBLANK(J1083)),"Missing Value",
  OR(C1083&lt;18,C1083&gt;120),"Review – Out of Range (Age)",
  J1083&lt;0,"Review – Out of Range (Risk Score)",
  TRUE,"OK"
)</f>
        <v>OK</v>
      </c>
    </row>
    <row r="1084" spans="1:12" ht="16.8" x14ac:dyDescent="0.3">
      <c r="A1084" s="11" t="s">
        <v>2219</v>
      </c>
      <c r="B1084" s="11" t="s">
        <v>2220</v>
      </c>
      <c r="C1084" s="11">
        <v>69</v>
      </c>
      <c r="D1084" s="11" t="s">
        <v>49</v>
      </c>
      <c r="E1084" s="11" t="s">
        <v>42</v>
      </c>
      <c r="F1084" s="11" t="s">
        <v>65</v>
      </c>
      <c r="G1084" s="11" t="s">
        <v>52</v>
      </c>
      <c r="H1084" s="11" t="s">
        <v>45</v>
      </c>
      <c r="I1084" s="11" t="s">
        <v>45</v>
      </c>
      <c r="J1084" s="11">
        <v>0.27</v>
      </c>
      <c r="K1084" s="12">
        <v>43717</v>
      </c>
      <c r="L1084" s="13" t="str" cm="1">
        <f t="array" ref="L1084">_xlfn.IFS(
  OR(ISBLANK(A1084),ISBLANK(C1084),ISBLANK(J1084)),"Missing Value",
  OR(C1084&lt;18,C1084&gt;120),"Review – Out of Range (Age)",
  J1084&lt;0,"Review – Out of Range (Risk Score)",
  TRUE,"OK"
)</f>
        <v>OK</v>
      </c>
    </row>
    <row r="1085" spans="1:12" ht="16.8" x14ac:dyDescent="0.3">
      <c r="A1085" s="14" t="s">
        <v>2221</v>
      </c>
      <c r="B1085" s="14" t="s">
        <v>2222</v>
      </c>
      <c r="C1085" s="14">
        <v>34</v>
      </c>
      <c r="D1085" s="14" t="s">
        <v>49</v>
      </c>
      <c r="E1085" s="14" t="s">
        <v>58</v>
      </c>
      <c r="F1085" s="14" t="s">
        <v>51</v>
      </c>
      <c r="G1085" s="14" t="s">
        <v>109</v>
      </c>
      <c r="H1085" s="14" t="s">
        <v>46</v>
      </c>
      <c r="I1085" s="14" t="s">
        <v>46</v>
      </c>
      <c r="J1085" s="14">
        <v>0.59</v>
      </c>
      <c r="K1085" s="15">
        <v>44135</v>
      </c>
      <c r="L1085" s="13" t="str" cm="1">
        <f t="array" ref="L1085">_xlfn.IFS(
  OR(ISBLANK(A1085),ISBLANK(C1085),ISBLANK(J1085)),"Missing Value",
  OR(C1085&lt;18,C1085&gt;120),"Review – Out of Range (Age)",
  J1085&lt;0,"Review – Out of Range (Risk Score)",
  TRUE,"OK"
)</f>
        <v>OK</v>
      </c>
    </row>
    <row r="1086" spans="1:12" ht="16.8" x14ac:dyDescent="0.3">
      <c r="A1086" s="11" t="s">
        <v>2223</v>
      </c>
      <c r="B1086" s="11" t="s">
        <v>2224</v>
      </c>
      <c r="C1086" s="11">
        <v>31</v>
      </c>
      <c r="D1086" s="11" t="s">
        <v>49</v>
      </c>
      <c r="E1086" s="11" t="s">
        <v>42</v>
      </c>
      <c r="F1086" s="11" t="s">
        <v>59</v>
      </c>
      <c r="G1086" s="11" t="s">
        <v>44</v>
      </c>
      <c r="H1086" s="11" t="s">
        <v>46</v>
      </c>
      <c r="I1086" s="11" t="s">
        <v>46</v>
      </c>
      <c r="J1086" s="11">
        <v>0.44</v>
      </c>
      <c r="K1086" s="12">
        <v>44036</v>
      </c>
      <c r="L1086" s="13" t="str" cm="1">
        <f t="array" ref="L1086">_xlfn.IFS(
  OR(ISBLANK(A1086),ISBLANK(C1086),ISBLANK(J1086)),"Missing Value",
  OR(C1086&lt;18,C1086&gt;120),"Review – Out of Range (Age)",
  J1086&lt;0,"Review – Out of Range (Risk Score)",
  TRUE,"OK"
)</f>
        <v>OK</v>
      </c>
    </row>
    <row r="1087" spans="1:12" ht="16.8" x14ac:dyDescent="0.3">
      <c r="A1087" s="14" t="s">
        <v>2225</v>
      </c>
      <c r="B1087" s="14" t="s">
        <v>2226</v>
      </c>
      <c r="C1087" s="14">
        <v>30</v>
      </c>
      <c r="D1087" s="14" t="s">
        <v>49</v>
      </c>
      <c r="E1087" s="14" t="s">
        <v>58</v>
      </c>
      <c r="F1087" s="14" t="s">
        <v>51</v>
      </c>
      <c r="G1087" s="14" t="s">
        <v>94</v>
      </c>
      <c r="H1087" s="14" t="s">
        <v>45</v>
      </c>
      <c r="I1087" s="14" t="s">
        <v>45</v>
      </c>
      <c r="J1087" s="14">
        <v>0.59</v>
      </c>
      <c r="K1087" s="15">
        <v>43221</v>
      </c>
      <c r="L1087" s="13" t="str" cm="1">
        <f t="array" ref="L1087">_xlfn.IFS(
  OR(ISBLANK(A1087),ISBLANK(C1087),ISBLANK(J1087)),"Missing Value",
  OR(C1087&lt;18,C1087&gt;120),"Review – Out of Range (Age)",
  J1087&lt;0,"Review – Out of Range (Risk Score)",
  TRUE,"OK"
)</f>
        <v>OK</v>
      </c>
    </row>
    <row r="1088" spans="1:12" ht="16.8" x14ac:dyDescent="0.3">
      <c r="A1088" s="11" t="s">
        <v>2227</v>
      </c>
      <c r="B1088" s="11" t="s">
        <v>2228</v>
      </c>
      <c r="C1088" s="11">
        <v>62</v>
      </c>
      <c r="D1088" s="11" t="s">
        <v>41</v>
      </c>
      <c r="E1088" s="11" t="s">
        <v>42</v>
      </c>
      <c r="F1088" s="11" t="s">
        <v>59</v>
      </c>
      <c r="G1088" s="11" t="s">
        <v>109</v>
      </c>
      <c r="H1088" s="11" t="s">
        <v>46</v>
      </c>
      <c r="I1088" s="11" t="s">
        <v>45</v>
      </c>
      <c r="J1088" s="11">
        <v>0.1</v>
      </c>
      <c r="K1088" s="12">
        <v>44713</v>
      </c>
      <c r="L1088" s="13" t="str" cm="1">
        <f t="array" ref="L1088">_xlfn.IFS(
  OR(ISBLANK(A1088),ISBLANK(C1088),ISBLANK(J1088)),"Missing Value",
  OR(C1088&lt;18,C1088&gt;120),"Review – Out of Range (Age)",
  J1088&lt;0,"Review – Out of Range (Risk Score)",
  TRUE,"OK"
)</f>
        <v>OK</v>
      </c>
    </row>
    <row r="1089" spans="1:12" ht="16.8" x14ac:dyDescent="0.3">
      <c r="A1089" s="14" t="s">
        <v>2229</v>
      </c>
      <c r="B1089" s="14" t="s">
        <v>2230</v>
      </c>
      <c r="C1089" s="14">
        <v>47</v>
      </c>
      <c r="D1089" s="14" t="s">
        <v>49</v>
      </c>
      <c r="E1089" s="14" t="s">
        <v>50</v>
      </c>
      <c r="F1089" s="14" t="s">
        <v>43</v>
      </c>
      <c r="G1089" s="14" t="s">
        <v>94</v>
      </c>
      <c r="H1089" s="14" t="s">
        <v>45</v>
      </c>
      <c r="I1089" s="14" t="s">
        <v>45</v>
      </c>
      <c r="J1089" s="14">
        <v>0.55000000000000004</v>
      </c>
      <c r="K1089" s="15">
        <v>44103</v>
      </c>
      <c r="L1089" s="13" t="str" cm="1">
        <f t="array" ref="L1089">_xlfn.IFS(
  OR(ISBLANK(A1089),ISBLANK(C1089),ISBLANK(J1089)),"Missing Value",
  OR(C1089&lt;18,C1089&gt;120),"Review – Out of Range (Age)",
  J1089&lt;0,"Review – Out of Range (Risk Score)",
  TRUE,"OK"
)</f>
        <v>OK</v>
      </c>
    </row>
    <row r="1090" spans="1:12" ht="16.8" x14ac:dyDescent="0.3">
      <c r="A1090" s="11" t="s">
        <v>2231</v>
      </c>
      <c r="B1090" s="11" t="s">
        <v>2232</v>
      </c>
      <c r="C1090" s="11">
        <v>46</v>
      </c>
      <c r="D1090" s="11" t="s">
        <v>41</v>
      </c>
      <c r="E1090" s="11" t="s">
        <v>58</v>
      </c>
      <c r="F1090" s="11" t="s">
        <v>43</v>
      </c>
      <c r="G1090" s="11" t="s">
        <v>55</v>
      </c>
      <c r="H1090" s="11" t="s">
        <v>45</v>
      </c>
      <c r="I1090" s="11" t="s">
        <v>46</v>
      </c>
      <c r="J1090" s="11">
        <v>0.61</v>
      </c>
      <c r="K1090" s="12">
        <v>44765</v>
      </c>
      <c r="L1090" s="13" t="str" cm="1">
        <f t="array" ref="L1090">_xlfn.IFS(
  OR(ISBLANK(A1090),ISBLANK(C1090),ISBLANK(J1090)),"Missing Value",
  OR(C1090&lt;18,C1090&gt;120),"Review – Out of Range (Age)",
  J1090&lt;0,"Review – Out of Range (Risk Score)",
  TRUE,"OK"
)</f>
        <v>OK</v>
      </c>
    </row>
    <row r="1091" spans="1:12" ht="16.8" x14ac:dyDescent="0.3">
      <c r="A1091" s="14" t="s">
        <v>2233</v>
      </c>
      <c r="B1091" s="14" t="s">
        <v>2234</v>
      </c>
      <c r="C1091" s="14">
        <v>61</v>
      </c>
      <c r="D1091" s="14" t="s">
        <v>49</v>
      </c>
      <c r="E1091" s="14" t="s">
        <v>50</v>
      </c>
      <c r="F1091" s="14" t="s">
        <v>43</v>
      </c>
      <c r="G1091" s="14" t="s">
        <v>94</v>
      </c>
      <c r="H1091" s="14" t="s">
        <v>45</v>
      </c>
      <c r="I1091" s="14" t="s">
        <v>46</v>
      </c>
      <c r="J1091" s="14">
        <v>0.59</v>
      </c>
      <c r="K1091" s="15">
        <v>44754</v>
      </c>
      <c r="L1091" s="13" t="str" cm="1">
        <f t="array" ref="L1091">_xlfn.IFS(
  OR(ISBLANK(A1091),ISBLANK(C1091),ISBLANK(J1091)),"Missing Value",
  OR(C1091&lt;18,C1091&gt;120),"Review – Out of Range (Age)",
  J1091&lt;0,"Review – Out of Range (Risk Score)",
  TRUE,"OK"
)</f>
        <v>OK</v>
      </c>
    </row>
    <row r="1092" spans="1:12" ht="16.8" x14ac:dyDescent="0.3">
      <c r="A1092" s="11" t="s">
        <v>2235</v>
      </c>
      <c r="B1092" s="11" t="s">
        <v>2236</v>
      </c>
      <c r="C1092" s="11">
        <v>39</v>
      </c>
      <c r="D1092" s="11" t="s">
        <v>41</v>
      </c>
      <c r="E1092" s="11" t="s">
        <v>42</v>
      </c>
      <c r="F1092" s="11" t="s">
        <v>43</v>
      </c>
      <c r="G1092" s="11" t="s">
        <v>60</v>
      </c>
      <c r="H1092" s="11" t="s">
        <v>46</v>
      </c>
      <c r="I1092" s="11" t="s">
        <v>46</v>
      </c>
      <c r="J1092" s="11">
        <v>0.59</v>
      </c>
      <c r="K1092" s="12">
        <v>43143</v>
      </c>
      <c r="L1092" s="13" t="str" cm="1">
        <f t="array" ref="L1092">_xlfn.IFS(
  OR(ISBLANK(A1092),ISBLANK(C1092),ISBLANK(J1092)),"Missing Value",
  OR(C1092&lt;18,C1092&gt;120),"Review – Out of Range (Age)",
  J1092&lt;0,"Review – Out of Range (Risk Score)",
  TRUE,"OK"
)</f>
        <v>OK</v>
      </c>
    </row>
    <row r="1093" spans="1:12" ht="16.8" x14ac:dyDescent="0.3">
      <c r="A1093" s="14" t="s">
        <v>2237</v>
      </c>
      <c r="B1093" s="14" t="s">
        <v>2238</v>
      </c>
      <c r="C1093" s="14">
        <v>46</v>
      </c>
      <c r="D1093" s="14" t="s">
        <v>41</v>
      </c>
      <c r="E1093" s="14" t="s">
        <v>42</v>
      </c>
      <c r="F1093" s="14" t="s">
        <v>43</v>
      </c>
      <c r="G1093" s="14" t="s">
        <v>60</v>
      </c>
      <c r="H1093" s="14" t="s">
        <v>45</v>
      </c>
      <c r="I1093" s="14" t="s">
        <v>45</v>
      </c>
      <c r="J1093" s="14">
        <v>0.5</v>
      </c>
      <c r="K1093" s="15">
        <v>44342</v>
      </c>
      <c r="L1093" s="13" t="str" cm="1">
        <f t="array" ref="L1093">_xlfn.IFS(
  OR(ISBLANK(A1093),ISBLANK(C1093),ISBLANK(J1093)),"Missing Value",
  OR(C1093&lt;18,C1093&gt;120),"Review – Out of Range (Age)",
  J1093&lt;0,"Review – Out of Range (Risk Score)",
  TRUE,"OK"
)</f>
        <v>OK</v>
      </c>
    </row>
    <row r="1094" spans="1:12" ht="16.8" x14ac:dyDescent="0.3">
      <c r="A1094" s="11" t="s">
        <v>2239</v>
      </c>
      <c r="B1094" s="11" t="s">
        <v>2240</v>
      </c>
      <c r="C1094" s="11">
        <v>34</v>
      </c>
      <c r="D1094" s="11" t="s">
        <v>41</v>
      </c>
      <c r="E1094" s="11" t="s">
        <v>50</v>
      </c>
      <c r="F1094" s="11" t="s">
        <v>65</v>
      </c>
      <c r="G1094" s="11" t="s">
        <v>44</v>
      </c>
      <c r="H1094" s="11" t="s">
        <v>45</v>
      </c>
      <c r="I1094" s="11" t="s">
        <v>45</v>
      </c>
      <c r="J1094" s="11">
        <v>0.78</v>
      </c>
      <c r="K1094" s="12">
        <v>44234</v>
      </c>
      <c r="L1094" s="13" t="str" cm="1">
        <f t="array" ref="L1094">_xlfn.IFS(
  OR(ISBLANK(A1094),ISBLANK(C1094),ISBLANK(J1094)),"Missing Value",
  OR(C1094&lt;18,C1094&gt;120),"Review – Out of Range (Age)",
  J1094&lt;0,"Review – Out of Range (Risk Score)",
  TRUE,"OK"
)</f>
        <v>OK</v>
      </c>
    </row>
    <row r="1095" spans="1:12" ht="16.8" x14ac:dyDescent="0.3">
      <c r="A1095" s="14" t="s">
        <v>2241</v>
      </c>
      <c r="B1095" s="14" t="s">
        <v>2242</v>
      </c>
      <c r="C1095" s="14">
        <v>39</v>
      </c>
      <c r="D1095" s="14" t="s">
        <v>49</v>
      </c>
      <c r="E1095" s="14" t="s">
        <v>42</v>
      </c>
      <c r="F1095" s="14" t="s">
        <v>65</v>
      </c>
      <c r="G1095" s="14" t="s">
        <v>109</v>
      </c>
      <c r="H1095" s="14" t="s">
        <v>45</v>
      </c>
      <c r="I1095" s="14" t="s">
        <v>45</v>
      </c>
      <c r="J1095" s="14">
        <v>0.52</v>
      </c>
      <c r="K1095" s="15">
        <v>43523</v>
      </c>
      <c r="L1095" s="13" t="str" cm="1">
        <f t="array" ref="L1095">_xlfn.IFS(
  OR(ISBLANK(A1095),ISBLANK(C1095),ISBLANK(J1095)),"Missing Value",
  OR(C1095&lt;18,C1095&gt;120),"Review – Out of Range (Age)",
  J1095&lt;0,"Review – Out of Range (Risk Score)",
  TRUE,"OK"
)</f>
        <v>OK</v>
      </c>
    </row>
    <row r="1096" spans="1:12" ht="16.8" x14ac:dyDescent="0.3">
      <c r="A1096" s="11" t="s">
        <v>2243</v>
      </c>
      <c r="B1096" s="11" t="s">
        <v>2244</v>
      </c>
      <c r="C1096" s="11">
        <v>54</v>
      </c>
      <c r="D1096" s="11" t="s">
        <v>41</v>
      </c>
      <c r="E1096" s="11" t="s">
        <v>42</v>
      </c>
      <c r="F1096" s="11" t="s">
        <v>43</v>
      </c>
      <c r="G1096" s="11" t="s">
        <v>44</v>
      </c>
      <c r="H1096" s="11" t="s">
        <v>46</v>
      </c>
      <c r="I1096" s="11" t="s">
        <v>46</v>
      </c>
      <c r="J1096" s="11">
        <v>0.32</v>
      </c>
      <c r="K1096" s="12">
        <v>43229</v>
      </c>
      <c r="L1096" s="13" t="str" cm="1">
        <f t="array" ref="L1096">_xlfn.IFS(
  OR(ISBLANK(A1096),ISBLANK(C1096),ISBLANK(J1096)),"Missing Value",
  OR(C1096&lt;18,C1096&gt;120),"Review – Out of Range (Age)",
  J1096&lt;0,"Review – Out of Range (Risk Score)",
  TRUE,"OK"
)</f>
        <v>OK</v>
      </c>
    </row>
    <row r="1097" spans="1:12" ht="16.8" x14ac:dyDescent="0.3">
      <c r="A1097" s="14" t="s">
        <v>2245</v>
      </c>
      <c r="B1097" s="14" t="s">
        <v>2246</v>
      </c>
      <c r="C1097" s="14">
        <v>40</v>
      </c>
      <c r="D1097" s="14" t="s">
        <v>49</v>
      </c>
      <c r="E1097" s="14" t="s">
        <v>50</v>
      </c>
      <c r="F1097" s="14" t="s">
        <v>43</v>
      </c>
      <c r="G1097" s="14" t="s">
        <v>109</v>
      </c>
      <c r="H1097" s="14" t="s">
        <v>46</v>
      </c>
      <c r="I1097" s="14" t="s">
        <v>46</v>
      </c>
      <c r="J1097" s="14">
        <v>0</v>
      </c>
      <c r="K1097" s="15">
        <v>43427</v>
      </c>
      <c r="L1097" s="13" t="str" cm="1">
        <f t="array" ref="L1097">_xlfn.IFS(
  OR(ISBLANK(A1097),ISBLANK(C1097),ISBLANK(J1097)),"Missing Value",
  OR(C1097&lt;18,C1097&gt;120),"Review – Out of Range (Age)",
  J1097&lt;0,"Review – Out of Range (Risk Score)",
  TRUE,"OK"
)</f>
        <v>OK</v>
      </c>
    </row>
    <row r="1098" spans="1:12" ht="16.8" x14ac:dyDescent="0.3">
      <c r="A1098" s="11" t="s">
        <v>2247</v>
      </c>
      <c r="B1098" s="11" t="s">
        <v>2248</v>
      </c>
      <c r="C1098" s="11">
        <v>60</v>
      </c>
      <c r="D1098" s="11" t="s">
        <v>41</v>
      </c>
      <c r="E1098" s="11" t="s">
        <v>42</v>
      </c>
      <c r="F1098" s="11" t="s">
        <v>59</v>
      </c>
      <c r="G1098" s="11" t="s">
        <v>55</v>
      </c>
      <c r="H1098" s="11" t="s">
        <v>45</v>
      </c>
      <c r="I1098" s="11" t="s">
        <v>46</v>
      </c>
      <c r="J1098" s="11">
        <v>0.65</v>
      </c>
      <c r="K1098" s="12">
        <v>44331</v>
      </c>
      <c r="L1098" s="13" t="str" cm="1">
        <f t="array" ref="L1098">_xlfn.IFS(
  OR(ISBLANK(A1098),ISBLANK(C1098),ISBLANK(J1098)),"Missing Value",
  OR(C1098&lt;18,C1098&gt;120),"Review – Out of Range (Age)",
  J1098&lt;0,"Review – Out of Range (Risk Score)",
  TRUE,"OK"
)</f>
        <v>OK</v>
      </c>
    </row>
    <row r="1099" spans="1:12" ht="16.8" x14ac:dyDescent="0.3">
      <c r="A1099" s="14" t="s">
        <v>2249</v>
      </c>
      <c r="B1099" s="14" t="s">
        <v>2250</v>
      </c>
      <c r="C1099" s="14">
        <v>57</v>
      </c>
      <c r="D1099" s="14" t="s">
        <v>49</v>
      </c>
      <c r="E1099" s="14" t="s">
        <v>50</v>
      </c>
      <c r="F1099" s="14" t="s">
        <v>59</v>
      </c>
      <c r="G1099" s="14" t="s">
        <v>44</v>
      </c>
      <c r="H1099" s="14" t="s">
        <v>45</v>
      </c>
      <c r="I1099" s="14" t="s">
        <v>45</v>
      </c>
      <c r="J1099" s="14">
        <v>0.51</v>
      </c>
      <c r="K1099" s="15">
        <v>43482</v>
      </c>
      <c r="L1099" s="13" t="str" cm="1">
        <f t="array" ref="L1099">_xlfn.IFS(
  OR(ISBLANK(A1099),ISBLANK(C1099),ISBLANK(J1099)),"Missing Value",
  OR(C1099&lt;18,C1099&gt;120),"Review – Out of Range (Age)",
  J1099&lt;0,"Review – Out of Range (Risk Score)",
  TRUE,"OK"
)</f>
        <v>OK</v>
      </c>
    </row>
    <row r="1100" spans="1:12" ht="16.8" x14ac:dyDescent="0.3">
      <c r="A1100" s="11" t="s">
        <v>2251</v>
      </c>
      <c r="B1100" s="11" t="s">
        <v>2252</v>
      </c>
      <c r="C1100" s="11">
        <v>51</v>
      </c>
      <c r="D1100" s="11" t="s">
        <v>41</v>
      </c>
      <c r="E1100" s="11" t="s">
        <v>58</v>
      </c>
      <c r="F1100" s="11" t="s">
        <v>43</v>
      </c>
      <c r="G1100" s="11" t="s">
        <v>94</v>
      </c>
      <c r="H1100" s="11" t="s">
        <v>46</v>
      </c>
      <c r="I1100" s="11" t="s">
        <v>46</v>
      </c>
      <c r="J1100" s="11">
        <v>0.62</v>
      </c>
      <c r="K1100" s="12">
        <v>44027</v>
      </c>
      <c r="L1100" s="13" t="str" cm="1">
        <f t="array" ref="L1100">_xlfn.IFS(
  OR(ISBLANK(A1100),ISBLANK(C1100),ISBLANK(J1100)),"Missing Value",
  OR(C1100&lt;18,C1100&gt;120),"Review – Out of Range (Age)",
  J1100&lt;0,"Review – Out of Range (Risk Score)",
  TRUE,"OK"
)</f>
        <v>OK</v>
      </c>
    </row>
    <row r="1101" spans="1:12" ht="16.8" x14ac:dyDescent="0.3">
      <c r="A1101" s="14" t="s">
        <v>2253</v>
      </c>
      <c r="B1101" s="14" t="s">
        <v>2254</v>
      </c>
      <c r="C1101" s="14">
        <v>59</v>
      </c>
      <c r="D1101" s="14" t="s">
        <v>41</v>
      </c>
      <c r="E1101" s="14" t="s">
        <v>58</v>
      </c>
      <c r="F1101" s="14" t="s">
        <v>43</v>
      </c>
      <c r="G1101" s="14" t="s">
        <v>109</v>
      </c>
      <c r="H1101" s="14" t="s">
        <v>45</v>
      </c>
      <c r="I1101" s="14" t="s">
        <v>46</v>
      </c>
      <c r="J1101" s="14">
        <v>0.57999999999999996</v>
      </c>
      <c r="K1101" s="15">
        <v>43182</v>
      </c>
      <c r="L1101" s="13" t="str" cm="1">
        <f t="array" ref="L1101">_xlfn.IFS(
  OR(ISBLANK(A1101),ISBLANK(C1101),ISBLANK(J1101)),"Missing Value",
  OR(C1101&lt;18,C1101&gt;120),"Review – Out of Range (Age)",
  J1101&lt;0,"Review – Out of Range (Risk Score)",
  TRUE,"OK"
)</f>
        <v>OK</v>
      </c>
    </row>
    <row r="1102" spans="1:12" ht="16.8" x14ac:dyDescent="0.3">
      <c r="A1102" s="11" t="s">
        <v>2255</v>
      </c>
      <c r="B1102" s="11" t="s">
        <v>2256</v>
      </c>
      <c r="C1102" s="11">
        <v>41</v>
      </c>
      <c r="D1102" s="11" t="s">
        <v>49</v>
      </c>
      <c r="E1102" s="11" t="s">
        <v>42</v>
      </c>
      <c r="F1102" s="11" t="s">
        <v>43</v>
      </c>
      <c r="G1102" s="11" t="s">
        <v>94</v>
      </c>
      <c r="H1102" s="11" t="s">
        <v>46</v>
      </c>
      <c r="I1102" s="11" t="s">
        <v>45</v>
      </c>
      <c r="J1102" s="11">
        <v>0.52</v>
      </c>
      <c r="K1102" s="12">
        <v>43318</v>
      </c>
      <c r="L1102" s="13" t="str" cm="1">
        <f t="array" ref="L1102">_xlfn.IFS(
  OR(ISBLANK(A1102),ISBLANK(C1102),ISBLANK(J1102)),"Missing Value",
  OR(C1102&lt;18,C1102&gt;120),"Review – Out of Range (Age)",
  J1102&lt;0,"Review – Out of Range (Risk Score)",
  TRUE,"OK"
)</f>
        <v>OK</v>
      </c>
    </row>
    <row r="1103" spans="1:12" ht="16.8" x14ac:dyDescent="0.3">
      <c r="A1103" s="14" t="s">
        <v>2257</v>
      </c>
      <c r="B1103" s="14" t="s">
        <v>2258</v>
      </c>
      <c r="C1103" s="14">
        <v>62</v>
      </c>
      <c r="D1103" s="14" t="s">
        <v>49</v>
      </c>
      <c r="E1103" s="14" t="s">
        <v>42</v>
      </c>
      <c r="F1103" s="14" t="s">
        <v>43</v>
      </c>
      <c r="G1103" s="14" t="s">
        <v>60</v>
      </c>
      <c r="H1103" s="14" t="s">
        <v>46</v>
      </c>
      <c r="I1103" s="14" t="s">
        <v>45</v>
      </c>
      <c r="J1103" s="14">
        <v>0.49</v>
      </c>
      <c r="K1103" s="15">
        <v>44610</v>
      </c>
      <c r="L1103" s="13" t="str" cm="1">
        <f t="array" ref="L1103">_xlfn.IFS(
  OR(ISBLANK(A1103),ISBLANK(C1103),ISBLANK(J1103)),"Missing Value",
  OR(C1103&lt;18,C1103&gt;120),"Review – Out of Range (Age)",
  J1103&lt;0,"Review – Out of Range (Risk Score)",
  TRUE,"OK"
)</f>
        <v>OK</v>
      </c>
    </row>
    <row r="1104" spans="1:12" ht="16.8" x14ac:dyDescent="0.3">
      <c r="A1104" s="11" t="s">
        <v>2259</v>
      </c>
      <c r="B1104" s="11" t="s">
        <v>2260</v>
      </c>
      <c r="C1104" s="11">
        <v>36</v>
      </c>
      <c r="D1104" s="11" t="s">
        <v>41</v>
      </c>
      <c r="E1104" s="11" t="s">
        <v>42</v>
      </c>
      <c r="F1104" s="11" t="s">
        <v>65</v>
      </c>
      <c r="G1104" s="11" t="s">
        <v>94</v>
      </c>
      <c r="H1104" s="11" t="s">
        <v>45</v>
      </c>
      <c r="I1104" s="11" t="s">
        <v>45</v>
      </c>
      <c r="J1104" s="11">
        <v>0.44</v>
      </c>
      <c r="K1104" s="12">
        <v>44583</v>
      </c>
      <c r="L1104" s="13" t="str" cm="1">
        <f t="array" ref="L1104">_xlfn.IFS(
  OR(ISBLANK(A1104),ISBLANK(C1104),ISBLANK(J1104)),"Missing Value",
  OR(C1104&lt;18,C1104&gt;120),"Review – Out of Range (Age)",
  J1104&lt;0,"Review – Out of Range (Risk Score)",
  TRUE,"OK"
)</f>
        <v>OK</v>
      </c>
    </row>
    <row r="1105" spans="1:12" ht="16.8" x14ac:dyDescent="0.3">
      <c r="A1105" s="14" t="s">
        <v>2261</v>
      </c>
      <c r="B1105" s="14" t="s">
        <v>2262</v>
      </c>
      <c r="C1105" s="14">
        <v>55</v>
      </c>
      <c r="D1105" s="14" t="s">
        <v>49</v>
      </c>
      <c r="E1105" s="14" t="s">
        <v>58</v>
      </c>
      <c r="F1105" s="14" t="s">
        <v>51</v>
      </c>
      <c r="G1105" s="14" t="s">
        <v>60</v>
      </c>
      <c r="H1105" s="14" t="s">
        <v>46</v>
      </c>
      <c r="I1105" s="14" t="s">
        <v>46</v>
      </c>
      <c r="J1105" s="14">
        <v>0.47</v>
      </c>
      <c r="K1105" s="15">
        <v>44249</v>
      </c>
      <c r="L1105" s="13" t="str" cm="1">
        <f t="array" ref="L1105">_xlfn.IFS(
  OR(ISBLANK(A1105),ISBLANK(C1105),ISBLANK(J1105)),"Missing Value",
  OR(C1105&lt;18,C1105&gt;120),"Review – Out of Range (Age)",
  J1105&lt;0,"Review – Out of Range (Risk Score)",
  TRUE,"OK"
)</f>
        <v>OK</v>
      </c>
    </row>
    <row r="1106" spans="1:12" ht="16.8" x14ac:dyDescent="0.3">
      <c r="A1106" s="11" t="s">
        <v>2263</v>
      </c>
      <c r="B1106" s="11" t="s">
        <v>2264</v>
      </c>
      <c r="C1106" s="11">
        <v>23</v>
      </c>
      <c r="D1106" s="11" t="s">
        <v>49</v>
      </c>
      <c r="E1106" s="11" t="s">
        <v>58</v>
      </c>
      <c r="F1106" s="11" t="s">
        <v>59</v>
      </c>
      <c r="G1106" s="11" t="s">
        <v>44</v>
      </c>
      <c r="H1106" s="11" t="s">
        <v>45</v>
      </c>
      <c r="I1106" s="11" t="s">
        <v>45</v>
      </c>
      <c r="J1106" s="11">
        <v>0.48</v>
      </c>
      <c r="K1106" s="12">
        <v>43313</v>
      </c>
      <c r="L1106" s="13" t="str" cm="1">
        <f t="array" ref="L1106">_xlfn.IFS(
  OR(ISBLANK(A1106),ISBLANK(C1106),ISBLANK(J1106)),"Missing Value",
  OR(C1106&lt;18,C1106&gt;120),"Review – Out of Range (Age)",
  J1106&lt;0,"Review – Out of Range (Risk Score)",
  TRUE,"OK"
)</f>
        <v>OK</v>
      </c>
    </row>
    <row r="1107" spans="1:12" ht="16.8" x14ac:dyDescent="0.3">
      <c r="A1107" s="14" t="s">
        <v>2265</v>
      </c>
      <c r="B1107" s="14" t="s">
        <v>2266</v>
      </c>
      <c r="C1107" s="14">
        <v>36</v>
      </c>
      <c r="D1107" s="14" t="s">
        <v>49</v>
      </c>
      <c r="E1107" s="14" t="s">
        <v>42</v>
      </c>
      <c r="F1107" s="14" t="s">
        <v>65</v>
      </c>
      <c r="G1107" s="14" t="s">
        <v>94</v>
      </c>
      <c r="H1107" s="14" t="s">
        <v>45</v>
      </c>
      <c r="I1107" s="14" t="s">
        <v>46</v>
      </c>
      <c r="J1107" s="14">
        <v>0.56999999999999995</v>
      </c>
      <c r="K1107" s="15">
        <v>44505</v>
      </c>
      <c r="L1107" s="13" t="str" cm="1">
        <f t="array" ref="L1107">_xlfn.IFS(
  OR(ISBLANK(A1107),ISBLANK(C1107),ISBLANK(J1107)),"Missing Value",
  OR(C1107&lt;18,C1107&gt;120),"Review – Out of Range (Age)",
  J1107&lt;0,"Review – Out of Range (Risk Score)",
  TRUE,"OK"
)</f>
        <v>OK</v>
      </c>
    </row>
    <row r="1108" spans="1:12" ht="16.8" x14ac:dyDescent="0.3">
      <c r="A1108" s="11" t="s">
        <v>2267</v>
      </c>
      <c r="B1108" s="11" t="s">
        <v>2268</v>
      </c>
      <c r="C1108" s="11">
        <v>48</v>
      </c>
      <c r="D1108" s="11" t="s">
        <v>41</v>
      </c>
      <c r="E1108" s="11" t="s">
        <v>42</v>
      </c>
      <c r="F1108" s="11" t="s">
        <v>65</v>
      </c>
      <c r="G1108" s="11" t="s">
        <v>94</v>
      </c>
      <c r="H1108" s="11" t="s">
        <v>45</v>
      </c>
      <c r="I1108" s="11" t="s">
        <v>45</v>
      </c>
      <c r="J1108" s="11">
        <v>0.66</v>
      </c>
      <c r="K1108" s="12">
        <v>43399</v>
      </c>
      <c r="L1108" s="13" t="str" cm="1">
        <f t="array" ref="L1108">_xlfn.IFS(
  OR(ISBLANK(A1108),ISBLANK(C1108),ISBLANK(J1108)),"Missing Value",
  OR(C1108&lt;18,C1108&gt;120),"Review – Out of Range (Age)",
  J1108&lt;0,"Review – Out of Range (Risk Score)",
  TRUE,"OK"
)</f>
        <v>OK</v>
      </c>
    </row>
    <row r="1109" spans="1:12" ht="16.8" x14ac:dyDescent="0.3">
      <c r="A1109" s="14" t="s">
        <v>2269</v>
      </c>
      <c r="B1109" s="14" t="s">
        <v>2270</v>
      </c>
      <c r="C1109" s="14">
        <v>64</v>
      </c>
      <c r="D1109" s="14" t="s">
        <v>41</v>
      </c>
      <c r="E1109" s="14" t="s">
        <v>50</v>
      </c>
      <c r="F1109" s="14" t="s">
        <v>65</v>
      </c>
      <c r="G1109" s="14" t="s">
        <v>55</v>
      </c>
      <c r="H1109" s="14" t="s">
        <v>45</v>
      </c>
      <c r="I1109" s="14" t="s">
        <v>45</v>
      </c>
      <c r="J1109" s="14">
        <v>0.08</v>
      </c>
      <c r="K1109" s="15">
        <v>43462</v>
      </c>
      <c r="L1109" s="13" t="str" cm="1">
        <f t="array" ref="L1109">_xlfn.IFS(
  OR(ISBLANK(A1109),ISBLANK(C1109),ISBLANK(J1109)),"Missing Value",
  OR(C1109&lt;18,C1109&gt;120),"Review – Out of Range (Age)",
  J1109&lt;0,"Review – Out of Range (Risk Score)",
  TRUE,"OK"
)</f>
        <v>OK</v>
      </c>
    </row>
    <row r="1110" spans="1:12" ht="16.8" x14ac:dyDescent="0.3">
      <c r="A1110" s="11" t="s">
        <v>2271</v>
      </c>
      <c r="B1110" s="11" t="s">
        <v>2272</v>
      </c>
      <c r="C1110" s="11">
        <v>22</v>
      </c>
      <c r="D1110" s="11" t="s">
        <v>49</v>
      </c>
      <c r="E1110" s="11" t="s">
        <v>42</v>
      </c>
      <c r="F1110" s="11" t="s">
        <v>65</v>
      </c>
      <c r="G1110" s="11" t="s">
        <v>94</v>
      </c>
      <c r="H1110" s="11" t="s">
        <v>46</v>
      </c>
      <c r="I1110" s="11" t="s">
        <v>45</v>
      </c>
      <c r="J1110" s="11">
        <v>0.36</v>
      </c>
      <c r="K1110" s="12">
        <v>43313</v>
      </c>
      <c r="L1110" s="13" t="str" cm="1">
        <f t="array" ref="L1110">_xlfn.IFS(
  OR(ISBLANK(A1110),ISBLANK(C1110),ISBLANK(J1110)),"Missing Value",
  OR(C1110&lt;18,C1110&gt;120),"Review – Out of Range (Age)",
  J1110&lt;0,"Review – Out of Range (Risk Score)",
  TRUE,"OK"
)</f>
        <v>OK</v>
      </c>
    </row>
    <row r="1111" spans="1:12" ht="16.8" x14ac:dyDescent="0.3">
      <c r="A1111" s="14" t="s">
        <v>2273</v>
      </c>
      <c r="B1111" s="14" t="s">
        <v>2274</v>
      </c>
      <c r="C1111" s="14">
        <v>45</v>
      </c>
      <c r="D1111" s="14" t="s">
        <v>49</v>
      </c>
      <c r="E1111" s="14" t="s">
        <v>50</v>
      </c>
      <c r="F1111" s="14" t="s">
        <v>65</v>
      </c>
      <c r="G1111" s="14" t="s">
        <v>52</v>
      </c>
      <c r="H1111" s="14" t="s">
        <v>45</v>
      </c>
      <c r="I1111" s="14" t="s">
        <v>45</v>
      </c>
      <c r="J1111" s="14">
        <v>0.81</v>
      </c>
      <c r="K1111" s="15">
        <v>43420</v>
      </c>
      <c r="L1111" s="13" t="str" cm="1">
        <f t="array" ref="L1111">_xlfn.IFS(
  OR(ISBLANK(A1111),ISBLANK(C1111),ISBLANK(J1111)),"Missing Value",
  OR(C1111&lt;18,C1111&gt;120),"Review – Out of Range (Age)",
  J1111&lt;0,"Review – Out of Range (Risk Score)",
  TRUE,"OK"
)</f>
        <v>OK</v>
      </c>
    </row>
    <row r="1112" spans="1:12" ht="16.8" x14ac:dyDescent="0.3">
      <c r="A1112" s="11" t="s">
        <v>2275</v>
      </c>
      <c r="B1112" s="11" t="s">
        <v>2276</v>
      </c>
      <c r="C1112" s="11">
        <v>50</v>
      </c>
      <c r="D1112" s="11" t="s">
        <v>41</v>
      </c>
      <c r="E1112" s="11" t="s">
        <v>42</v>
      </c>
      <c r="F1112" s="11" t="s">
        <v>43</v>
      </c>
      <c r="G1112" s="11" t="s">
        <v>109</v>
      </c>
      <c r="H1112" s="11" t="s">
        <v>46</v>
      </c>
      <c r="I1112" s="11" t="s">
        <v>45</v>
      </c>
      <c r="J1112" s="11">
        <v>0.5</v>
      </c>
      <c r="K1112" s="12">
        <v>43546</v>
      </c>
      <c r="L1112" s="13" t="str" cm="1">
        <f t="array" ref="L1112">_xlfn.IFS(
  OR(ISBLANK(A1112),ISBLANK(C1112),ISBLANK(J1112)),"Missing Value",
  OR(C1112&lt;18,C1112&gt;120),"Review – Out of Range (Age)",
  J1112&lt;0,"Review – Out of Range (Risk Score)",
  TRUE,"OK"
)</f>
        <v>OK</v>
      </c>
    </row>
    <row r="1113" spans="1:12" ht="16.8" x14ac:dyDescent="0.3">
      <c r="A1113" s="14" t="s">
        <v>2277</v>
      </c>
      <c r="B1113" s="14" t="s">
        <v>2278</v>
      </c>
      <c r="C1113" s="14">
        <v>46</v>
      </c>
      <c r="D1113" s="14" t="s">
        <v>41</v>
      </c>
      <c r="E1113" s="14" t="s">
        <v>50</v>
      </c>
      <c r="F1113" s="14" t="s">
        <v>65</v>
      </c>
      <c r="G1113" s="14" t="s">
        <v>109</v>
      </c>
      <c r="H1113" s="14" t="s">
        <v>45</v>
      </c>
      <c r="I1113" s="14" t="s">
        <v>46</v>
      </c>
      <c r="J1113" s="14">
        <v>0.76</v>
      </c>
      <c r="K1113" s="15">
        <v>44901</v>
      </c>
      <c r="L1113" s="13" t="str" cm="1">
        <f t="array" ref="L1113">_xlfn.IFS(
  OR(ISBLANK(A1113),ISBLANK(C1113),ISBLANK(J1113)),"Missing Value",
  OR(C1113&lt;18,C1113&gt;120),"Review – Out of Range (Age)",
  J1113&lt;0,"Review – Out of Range (Risk Score)",
  TRUE,"OK"
)</f>
        <v>OK</v>
      </c>
    </row>
    <row r="1114" spans="1:12" ht="16.8" x14ac:dyDescent="0.3">
      <c r="A1114" s="11" t="s">
        <v>2279</v>
      </c>
      <c r="B1114" s="11" t="s">
        <v>2280</v>
      </c>
      <c r="C1114" s="11">
        <v>59</v>
      </c>
      <c r="D1114" s="11" t="s">
        <v>41</v>
      </c>
      <c r="E1114" s="11" t="s">
        <v>58</v>
      </c>
      <c r="F1114" s="11" t="s">
        <v>59</v>
      </c>
      <c r="G1114" s="11" t="s">
        <v>55</v>
      </c>
      <c r="H1114" s="11" t="s">
        <v>46</v>
      </c>
      <c r="I1114" s="11" t="s">
        <v>46</v>
      </c>
      <c r="J1114" s="11">
        <v>0.48</v>
      </c>
      <c r="K1114" s="12">
        <v>44393</v>
      </c>
      <c r="L1114" s="13" t="str" cm="1">
        <f t="array" ref="L1114">_xlfn.IFS(
  OR(ISBLANK(A1114),ISBLANK(C1114),ISBLANK(J1114)),"Missing Value",
  OR(C1114&lt;18,C1114&gt;120),"Review – Out of Range (Age)",
  J1114&lt;0,"Review – Out of Range (Risk Score)",
  TRUE,"OK"
)</f>
        <v>OK</v>
      </c>
    </row>
    <row r="1115" spans="1:12" ht="16.8" x14ac:dyDescent="0.3">
      <c r="A1115" s="14" t="s">
        <v>2281</v>
      </c>
      <c r="B1115" s="14" t="s">
        <v>2282</v>
      </c>
      <c r="C1115" s="14">
        <v>65</v>
      </c>
      <c r="D1115" s="14" t="s">
        <v>41</v>
      </c>
      <c r="E1115" s="14" t="s">
        <v>50</v>
      </c>
      <c r="F1115" s="14" t="s">
        <v>65</v>
      </c>
      <c r="G1115" s="14" t="s">
        <v>52</v>
      </c>
      <c r="H1115" s="14" t="s">
        <v>46</v>
      </c>
      <c r="I1115" s="14" t="s">
        <v>46</v>
      </c>
      <c r="J1115" s="14">
        <v>0.45</v>
      </c>
      <c r="K1115" s="15">
        <v>43776</v>
      </c>
      <c r="L1115" s="13" t="str" cm="1">
        <f t="array" ref="L1115">_xlfn.IFS(
  OR(ISBLANK(A1115),ISBLANK(C1115),ISBLANK(J1115)),"Missing Value",
  OR(C1115&lt;18,C1115&gt;120),"Review – Out of Range (Age)",
  J1115&lt;0,"Review – Out of Range (Risk Score)",
  TRUE,"OK"
)</f>
        <v>OK</v>
      </c>
    </row>
    <row r="1116" spans="1:12" ht="16.8" x14ac:dyDescent="0.3">
      <c r="A1116" s="11" t="s">
        <v>2283</v>
      </c>
      <c r="B1116" s="11" t="s">
        <v>2284</v>
      </c>
      <c r="C1116" s="11">
        <v>66</v>
      </c>
      <c r="D1116" s="11" t="s">
        <v>41</v>
      </c>
      <c r="E1116" s="11" t="s">
        <v>42</v>
      </c>
      <c r="F1116" s="11" t="s">
        <v>65</v>
      </c>
      <c r="G1116" s="11" t="s">
        <v>55</v>
      </c>
      <c r="H1116" s="11" t="s">
        <v>45</v>
      </c>
      <c r="I1116" s="11" t="s">
        <v>45</v>
      </c>
      <c r="J1116" s="11">
        <v>0.54</v>
      </c>
      <c r="K1116" s="12">
        <v>44096</v>
      </c>
      <c r="L1116" s="13" t="str" cm="1">
        <f t="array" ref="L1116">_xlfn.IFS(
  OR(ISBLANK(A1116),ISBLANK(C1116),ISBLANK(J1116)),"Missing Value",
  OR(C1116&lt;18,C1116&gt;120),"Review – Out of Range (Age)",
  J1116&lt;0,"Review – Out of Range (Risk Score)",
  TRUE,"OK"
)</f>
        <v>OK</v>
      </c>
    </row>
    <row r="1117" spans="1:12" ht="16.8" x14ac:dyDescent="0.3">
      <c r="A1117" s="14" t="s">
        <v>2285</v>
      </c>
      <c r="B1117" s="14" t="s">
        <v>2286</v>
      </c>
      <c r="C1117" s="14">
        <v>55</v>
      </c>
      <c r="D1117" s="14" t="s">
        <v>41</v>
      </c>
      <c r="E1117" s="14" t="s">
        <v>58</v>
      </c>
      <c r="F1117" s="14" t="s">
        <v>65</v>
      </c>
      <c r="G1117" s="14" t="s">
        <v>94</v>
      </c>
      <c r="H1117" s="14" t="s">
        <v>45</v>
      </c>
      <c r="I1117" s="14" t="s">
        <v>45</v>
      </c>
      <c r="J1117" s="14">
        <v>0.54</v>
      </c>
      <c r="K1117" s="15">
        <v>44668</v>
      </c>
      <c r="L1117" s="13" t="str" cm="1">
        <f t="array" ref="L1117">_xlfn.IFS(
  OR(ISBLANK(A1117),ISBLANK(C1117),ISBLANK(J1117)),"Missing Value",
  OR(C1117&lt;18,C1117&gt;120),"Review – Out of Range (Age)",
  J1117&lt;0,"Review – Out of Range (Risk Score)",
  TRUE,"OK"
)</f>
        <v>OK</v>
      </c>
    </row>
    <row r="1118" spans="1:12" ht="16.8" x14ac:dyDescent="0.3">
      <c r="A1118" s="11" t="s">
        <v>2287</v>
      </c>
      <c r="B1118" s="11" t="s">
        <v>2288</v>
      </c>
      <c r="C1118" s="11">
        <v>64</v>
      </c>
      <c r="D1118" s="11" t="s">
        <v>49</v>
      </c>
      <c r="E1118" s="11" t="s">
        <v>50</v>
      </c>
      <c r="F1118" s="11" t="s">
        <v>43</v>
      </c>
      <c r="G1118" s="11" t="s">
        <v>109</v>
      </c>
      <c r="H1118" s="11" t="s">
        <v>46</v>
      </c>
      <c r="I1118" s="11" t="s">
        <v>46</v>
      </c>
      <c r="J1118" s="11">
        <v>0.48</v>
      </c>
      <c r="K1118" s="12">
        <v>44096</v>
      </c>
      <c r="L1118" s="13" t="str" cm="1">
        <f t="array" ref="L1118">_xlfn.IFS(
  OR(ISBLANK(A1118),ISBLANK(C1118),ISBLANK(J1118)),"Missing Value",
  OR(C1118&lt;18,C1118&gt;120),"Review – Out of Range (Age)",
  J1118&lt;0,"Review – Out of Range (Risk Score)",
  TRUE,"OK"
)</f>
        <v>OK</v>
      </c>
    </row>
    <row r="1119" spans="1:12" ht="16.8" x14ac:dyDescent="0.3">
      <c r="A1119" s="14" t="s">
        <v>2289</v>
      </c>
      <c r="B1119" s="14" t="s">
        <v>2290</v>
      </c>
      <c r="C1119" s="14">
        <v>62</v>
      </c>
      <c r="D1119" s="14" t="s">
        <v>49</v>
      </c>
      <c r="E1119" s="14" t="s">
        <v>42</v>
      </c>
      <c r="F1119" s="14" t="s">
        <v>51</v>
      </c>
      <c r="G1119" s="14" t="s">
        <v>55</v>
      </c>
      <c r="H1119" s="14" t="s">
        <v>45</v>
      </c>
      <c r="I1119" s="14" t="s">
        <v>46</v>
      </c>
      <c r="J1119" s="14">
        <v>0.51</v>
      </c>
      <c r="K1119" s="15">
        <v>45167</v>
      </c>
      <c r="L1119" s="13" t="str" cm="1">
        <f t="array" ref="L1119">_xlfn.IFS(
  OR(ISBLANK(A1119),ISBLANK(C1119),ISBLANK(J1119)),"Missing Value",
  OR(C1119&lt;18,C1119&gt;120),"Review – Out of Range (Age)",
  J1119&lt;0,"Review – Out of Range (Risk Score)",
  TRUE,"OK"
)</f>
        <v>OK</v>
      </c>
    </row>
    <row r="1120" spans="1:12" ht="16.8" x14ac:dyDescent="0.3">
      <c r="A1120" s="11" t="s">
        <v>2291</v>
      </c>
      <c r="B1120" s="11" t="s">
        <v>2292</v>
      </c>
      <c r="C1120" s="11">
        <v>49</v>
      </c>
      <c r="D1120" s="11" t="s">
        <v>49</v>
      </c>
      <c r="E1120" s="11" t="s">
        <v>58</v>
      </c>
      <c r="F1120" s="11" t="s">
        <v>43</v>
      </c>
      <c r="G1120" s="11" t="s">
        <v>109</v>
      </c>
      <c r="H1120" s="11" t="s">
        <v>46</v>
      </c>
      <c r="I1120" s="11" t="s">
        <v>46</v>
      </c>
      <c r="J1120" s="11">
        <v>0.69</v>
      </c>
      <c r="K1120" s="12">
        <v>44494</v>
      </c>
      <c r="L1120" s="13" t="str" cm="1">
        <f t="array" ref="L1120">_xlfn.IFS(
  OR(ISBLANK(A1120),ISBLANK(C1120),ISBLANK(J1120)),"Missing Value",
  OR(C1120&lt;18,C1120&gt;120),"Review – Out of Range (Age)",
  J1120&lt;0,"Review – Out of Range (Risk Score)",
  TRUE,"OK"
)</f>
        <v>OK</v>
      </c>
    </row>
    <row r="1121" spans="1:12" ht="16.8" x14ac:dyDescent="0.3">
      <c r="A1121" s="14" t="s">
        <v>2293</v>
      </c>
      <c r="B1121" s="14" t="s">
        <v>2294</v>
      </c>
      <c r="C1121" s="14">
        <v>57</v>
      </c>
      <c r="D1121" s="14" t="s">
        <v>49</v>
      </c>
      <c r="E1121" s="14" t="s">
        <v>42</v>
      </c>
      <c r="F1121" s="14" t="s">
        <v>59</v>
      </c>
      <c r="G1121" s="14" t="s">
        <v>109</v>
      </c>
      <c r="H1121" s="14" t="s">
        <v>45</v>
      </c>
      <c r="I1121" s="14" t="s">
        <v>46</v>
      </c>
      <c r="J1121" s="14">
        <v>0.37</v>
      </c>
      <c r="K1121" s="15">
        <v>43150</v>
      </c>
      <c r="L1121" s="13" t="str" cm="1">
        <f t="array" ref="L1121">_xlfn.IFS(
  OR(ISBLANK(A1121),ISBLANK(C1121),ISBLANK(J1121)),"Missing Value",
  OR(C1121&lt;18,C1121&gt;120),"Review – Out of Range (Age)",
  J1121&lt;0,"Review – Out of Range (Risk Score)",
  TRUE,"OK"
)</f>
        <v>OK</v>
      </c>
    </row>
    <row r="1122" spans="1:12" ht="16.8" x14ac:dyDescent="0.3">
      <c r="A1122" s="11" t="s">
        <v>2295</v>
      </c>
      <c r="B1122" s="11" t="s">
        <v>2296</v>
      </c>
      <c r="C1122" s="11">
        <v>69</v>
      </c>
      <c r="D1122" s="11" t="s">
        <v>41</v>
      </c>
      <c r="E1122" s="11" t="s">
        <v>50</v>
      </c>
      <c r="F1122" s="11" t="s">
        <v>43</v>
      </c>
      <c r="G1122" s="11" t="s">
        <v>52</v>
      </c>
      <c r="H1122" s="11" t="s">
        <v>45</v>
      </c>
      <c r="I1122" s="11" t="s">
        <v>45</v>
      </c>
      <c r="J1122" s="11">
        <v>0.28999999999999998</v>
      </c>
      <c r="K1122" s="12">
        <v>43173</v>
      </c>
      <c r="L1122" s="13" t="str" cm="1">
        <f t="array" ref="L1122">_xlfn.IFS(
  OR(ISBLANK(A1122),ISBLANK(C1122),ISBLANK(J1122)),"Missing Value",
  OR(C1122&lt;18,C1122&gt;120),"Review – Out of Range (Age)",
  J1122&lt;0,"Review – Out of Range (Risk Score)",
  TRUE,"OK"
)</f>
        <v>OK</v>
      </c>
    </row>
    <row r="1123" spans="1:12" ht="16.8" x14ac:dyDescent="0.3">
      <c r="A1123" s="14" t="s">
        <v>2297</v>
      </c>
      <c r="B1123" s="14" t="s">
        <v>2298</v>
      </c>
      <c r="C1123" s="14">
        <v>25</v>
      </c>
      <c r="D1123" s="14" t="s">
        <v>49</v>
      </c>
      <c r="E1123" s="14" t="s">
        <v>58</v>
      </c>
      <c r="F1123" s="14" t="s">
        <v>65</v>
      </c>
      <c r="G1123" s="14" t="s">
        <v>44</v>
      </c>
      <c r="H1123" s="14" t="s">
        <v>46</v>
      </c>
      <c r="I1123" s="14" t="s">
        <v>45</v>
      </c>
      <c r="J1123" s="14">
        <v>0.59</v>
      </c>
      <c r="K1123" s="15">
        <v>44645</v>
      </c>
      <c r="L1123" s="13" t="str" cm="1">
        <f t="array" ref="L1123">_xlfn.IFS(
  OR(ISBLANK(A1123),ISBLANK(C1123),ISBLANK(J1123)),"Missing Value",
  OR(C1123&lt;18,C1123&gt;120),"Review – Out of Range (Age)",
  J1123&lt;0,"Review – Out of Range (Risk Score)",
  TRUE,"OK"
)</f>
        <v>OK</v>
      </c>
    </row>
    <row r="1124" spans="1:12" ht="16.8" x14ac:dyDescent="0.3">
      <c r="A1124" s="11" t="s">
        <v>2299</v>
      </c>
      <c r="B1124" s="11" t="s">
        <v>2300</v>
      </c>
      <c r="C1124" s="11">
        <v>65</v>
      </c>
      <c r="D1124" s="11" t="s">
        <v>49</v>
      </c>
      <c r="E1124" s="11" t="s">
        <v>58</v>
      </c>
      <c r="F1124" s="11" t="s">
        <v>43</v>
      </c>
      <c r="G1124" s="11" t="s">
        <v>52</v>
      </c>
      <c r="H1124" s="11" t="s">
        <v>46</v>
      </c>
      <c r="I1124" s="11" t="s">
        <v>46</v>
      </c>
      <c r="J1124" s="11">
        <v>0.39</v>
      </c>
      <c r="K1124" s="12">
        <v>43642</v>
      </c>
      <c r="L1124" s="13" t="str" cm="1">
        <f t="array" ref="L1124">_xlfn.IFS(
  OR(ISBLANK(A1124),ISBLANK(C1124),ISBLANK(J1124)),"Missing Value",
  OR(C1124&lt;18,C1124&gt;120),"Review – Out of Range (Age)",
  J1124&lt;0,"Review – Out of Range (Risk Score)",
  TRUE,"OK"
)</f>
        <v>OK</v>
      </c>
    </row>
    <row r="1125" spans="1:12" ht="16.8" x14ac:dyDescent="0.3">
      <c r="A1125" s="14" t="s">
        <v>2301</v>
      </c>
      <c r="B1125" s="14" t="s">
        <v>2302</v>
      </c>
      <c r="C1125" s="14">
        <v>39</v>
      </c>
      <c r="D1125" s="14" t="s">
        <v>41</v>
      </c>
      <c r="E1125" s="14" t="s">
        <v>58</v>
      </c>
      <c r="F1125" s="14" t="s">
        <v>65</v>
      </c>
      <c r="G1125" s="14" t="s">
        <v>94</v>
      </c>
      <c r="H1125" s="14" t="s">
        <v>46</v>
      </c>
      <c r="I1125" s="14" t="s">
        <v>46</v>
      </c>
      <c r="J1125" s="14">
        <v>0.72</v>
      </c>
      <c r="K1125" s="15">
        <v>44133</v>
      </c>
      <c r="L1125" s="13" t="str" cm="1">
        <f t="array" ref="L1125">_xlfn.IFS(
  OR(ISBLANK(A1125),ISBLANK(C1125),ISBLANK(J1125)),"Missing Value",
  OR(C1125&lt;18,C1125&gt;120),"Review – Out of Range (Age)",
  J1125&lt;0,"Review – Out of Range (Risk Score)",
  TRUE,"OK"
)</f>
        <v>OK</v>
      </c>
    </row>
    <row r="1126" spans="1:12" ht="16.8" x14ac:dyDescent="0.3">
      <c r="A1126" s="11" t="s">
        <v>2303</v>
      </c>
      <c r="B1126" s="11" t="s">
        <v>2304</v>
      </c>
      <c r="C1126" s="11">
        <v>64</v>
      </c>
      <c r="D1126" s="11" t="s">
        <v>49</v>
      </c>
      <c r="E1126" s="11" t="s">
        <v>50</v>
      </c>
      <c r="F1126" s="11" t="s">
        <v>51</v>
      </c>
      <c r="G1126" s="11" t="s">
        <v>44</v>
      </c>
      <c r="H1126" s="11" t="s">
        <v>45</v>
      </c>
      <c r="I1126" s="11" t="s">
        <v>46</v>
      </c>
      <c r="J1126" s="11">
        <v>0.55000000000000004</v>
      </c>
      <c r="K1126" s="12">
        <v>43186</v>
      </c>
      <c r="L1126" s="13" t="str" cm="1">
        <f t="array" ref="L1126">_xlfn.IFS(
  OR(ISBLANK(A1126),ISBLANK(C1126),ISBLANK(J1126)),"Missing Value",
  OR(C1126&lt;18,C1126&gt;120),"Review – Out of Range (Age)",
  J1126&lt;0,"Review – Out of Range (Risk Score)",
  TRUE,"OK"
)</f>
        <v>OK</v>
      </c>
    </row>
    <row r="1127" spans="1:12" ht="16.8" x14ac:dyDescent="0.3">
      <c r="A1127" s="14" t="s">
        <v>2305</v>
      </c>
      <c r="B1127" s="14" t="s">
        <v>2306</v>
      </c>
      <c r="C1127" s="14">
        <v>37</v>
      </c>
      <c r="D1127" s="14" t="s">
        <v>49</v>
      </c>
      <c r="E1127" s="14" t="s">
        <v>58</v>
      </c>
      <c r="F1127" s="14" t="s">
        <v>65</v>
      </c>
      <c r="G1127" s="14" t="s">
        <v>44</v>
      </c>
      <c r="H1127" s="14" t="s">
        <v>45</v>
      </c>
      <c r="I1127" s="14" t="s">
        <v>46</v>
      </c>
      <c r="J1127" s="14">
        <v>0.17</v>
      </c>
      <c r="K1127" s="15">
        <v>43788</v>
      </c>
      <c r="L1127" s="13" t="str" cm="1">
        <f t="array" ref="L1127">_xlfn.IFS(
  OR(ISBLANK(A1127),ISBLANK(C1127),ISBLANK(J1127)),"Missing Value",
  OR(C1127&lt;18,C1127&gt;120),"Review – Out of Range (Age)",
  J1127&lt;0,"Review – Out of Range (Risk Score)",
  TRUE,"OK"
)</f>
        <v>OK</v>
      </c>
    </row>
    <row r="1128" spans="1:12" ht="16.8" x14ac:dyDescent="0.3">
      <c r="A1128" s="11" t="s">
        <v>2307</v>
      </c>
      <c r="B1128" s="11" t="s">
        <v>2308</v>
      </c>
      <c r="C1128" s="11">
        <v>33</v>
      </c>
      <c r="D1128" s="11" t="s">
        <v>49</v>
      </c>
      <c r="E1128" s="11" t="s">
        <v>42</v>
      </c>
      <c r="F1128" s="11" t="s">
        <v>51</v>
      </c>
      <c r="G1128" s="11" t="s">
        <v>109</v>
      </c>
      <c r="H1128" s="11" t="s">
        <v>45</v>
      </c>
      <c r="I1128" s="11" t="s">
        <v>46</v>
      </c>
      <c r="J1128" s="11">
        <v>0.6</v>
      </c>
      <c r="K1128" s="12">
        <v>43102</v>
      </c>
      <c r="L1128" s="13" t="str" cm="1">
        <f t="array" ref="L1128">_xlfn.IFS(
  OR(ISBLANK(A1128),ISBLANK(C1128),ISBLANK(J1128)),"Missing Value",
  OR(C1128&lt;18,C1128&gt;120),"Review – Out of Range (Age)",
  J1128&lt;0,"Review – Out of Range (Risk Score)",
  TRUE,"OK"
)</f>
        <v>OK</v>
      </c>
    </row>
    <row r="1129" spans="1:12" ht="16.8" x14ac:dyDescent="0.3">
      <c r="A1129" s="14" t="s">
        <v>2309</v>
      </c>
      <c r="B1129" s="14" t="s">
        <v>2310</v>
      </c>
      <c r="C1129" s="14">
        <v>25</v>
      </c>
      <c r="D1129" s="14" t="s">
        <v>41</v>
      </c>
      <c r="E1129" s="14" t="s">
        <v>50</v>
      </c>
      <c r="F1129" s="14" t="s">
        <v>51</v>
      </c>
      <c r="G1129" s="14" t="s">
        <v>94</v>
      </c>
      <c r="H1129" s="14" t="s">
        <v>45</v>
      </c>
      <c r="I1129" s="14" t="s">
        <v>45</v>
      </c>
      <c r="J1129" s="14">
        <v>0.39</v>
      </c>
      <c r="K1129" s="15">
        <v>43614</v>
      </c>
      <c r="L1129" s="13" t="str" cm="1">
        <f t="array" ref="L1129">_xlfn.IFS(
  OR(ISBLANK(A1129),ISBLANK(C1129),ISBLANK(J1129)),"Missing Value",
  OR(C1129&lt;18,C1129&gt;120),"Review – Out of Range (Age)",
  J1129&lt;0,"Review – Out of Range (Risk Score)",
  TRUE,"OK"
)</f>
        <v>OK</v>
      </c>
    </row>
    <row r="1130" spans="1:12" ht="16.8" x14ac:dyDescent="0.3">
      <c r="A1130" s="11" t="s">
        <v>2311</v>
      </c>
      <c r="B1130" s="11" t="s">
        <v>2312</v>
      </c>
      <c r="C1130" s="11">
        <v>38</v>
      </c>
      <c r="D1130" s="11" t="s">
        <v>49</v>
      </c>
      <c r="E1130" s="11" t="s">
        <v>42</v>
      </c>
      <c r="F1130" s="11" t="s">
        <v>43</v>
      </c>
      <c r="G1130" s="11" t="s">
        <v>44</v>
      </c>
      <c r="H1130" s="11" t="s">
        <v>45</v>
      </c>
      <c r="I1130" s="11" t="s">
        <v>45</v>
      </c>
      <c r="J1130" s="11">
        <v>0.19</v>
      </c>
      <c r="K1130" s="12">
        <v>45081</v>
      </c>
      <c r="L1130" s="13" t="str" cm="1">
        <f t="array" ref="L1130">_xlfn.IFS(
  OR(ISBLANK(A1130),ISBLANK(C1130),ISBLANK(J1130)),"Missing Value",
  OR(C1130&lt;18,C1130&gt;120),"Review – Out of Range (Age)",
  J1130&lt;0,"Review – Out of Range (Risk Score)",
  TRUE,"OK"
)</f>
        <v>OK</v>
      </c>
    </row>
    <row r="1131" spans="1:12" ht="16.8" x14ac:dyDescent="0.3">
      <c r="A1131" s="14" t="s">
        <v>2313</v>
      </c>
      <c r="B1131" s="14" t="s">
        <v>2314</v>
      </c>
      <c r="C1131" s="14">
        <v>66</v>
      </c>
      <c r="D1131" s="14" t="s">
        <v>41</v>
      </c>
      <c r="E1131" s="14" t="s">
        <v>42</v>
      </c>
      <c r="F1131" s="14" t="s">
        <v>43</v>
      </c>
      <c r="G1131" s="14" t="s">
        <v>94</v>
      </c>
      <c r="H1131" s="14" t="s">
        <v>46</v>
      </c>
      <c r="I1131" s="14" t="s">
        <v>45</v>
      </c>
      <c r="J1131" s="14">
        <v>0.43</v>
      </c>
      <c r="K1131" s="15">
        <v>43850</v>
      </c>
      <c r="L1131" s="13" t="str" cm="1">
        <f t="array" ref="L1131">_xlfn.IFS(
  OR(ISBLANK(A1131),ISBLANK(C1131),ISBLANK(J1131)),"Missing Value",
  OR(C1131&lt;18,C1131&gt;120),"Review – Out of Range (Age)",
  J1131&lt;0,"Review – Out of Range (Risk Score)",
  TRUE,"OK"
)</f>
        <v>OK</v>
      </c>
    </row>
    <row r="1132" spans="1:12" ht="16.8" x14ac:dyDescent="0.3">
      <c r="A1132" s="11" t="s">
        <v>2315</v>
      </c>
      <c r="B1132" s="11" t="s">
        <v>2316</v>
      </c>
      <c r="C1132" s="11">
        <v>43</v>
      </c>
      <c r="D1132" s="11" t="s">
        <v>49</v>
      </c>
      <c r="E1132" s="11" t="s">
        <v>58</v>
      </c>
      <c r="F1132" s="11" t="s">
        <v>43</v>
      </c>
      <c r="G1132" s="11" t="s">
        <v>52</v>
      </c>
      <c r="H1132" s="11" t="s">
        <v>46</v>
      </c>
      <c r="I1132" s="11" t="s">
        <v>46</v>
      </c>
      <c r="J1132" s="11">
        <v>0.57999999999999996</v>
      </c>
      <c r="K1132" s="12">
        <v>44116</v>
      </c>
      <c r="L1132" s="13" t="str" cm="1">
        <f t="array" ref="L1132">_xlfn.IFS(
  OR(ISBLANK(A1132),ISBLANK(C1132),ISBLANK(J1132)),"Missing Value",
  OR(C1132&lt;18,C1132&gt;120),"Review – Out of Range (Age)",
  J1132&lt;0,"Review – Out of Range (Risk Score)",
  TRUE,"OK"
)</f>
        <v>OK</v>
      </c>
    </row>
    <row r="1133" spans="1:12" ht="16.8" x14ac:dyDescent="0.3">
      <c r="A1133" s="14" t="s">
        <v>2317</v>
      </c>
      <c r="B1133" s="14" t="s">
        <v>2318</v>
      </c>
      <c r="C1133" s="14">
        <v>29</v>
      </c>
      <c r="D1133" s="14" t="s">
        <v>41</v>
      </c>
      <c r="E1133" s="14" t="s">
        <v>50</v>
      </c>
      <c r="F1133" s="14" t="s">
        <v>59</v>
      </c>
      <c r="G1133" s="14" t="s">
        <v>60</v>
      </c>
      <c r="H1133" s="14" t="s">
        <v>46</v>
      </c>
      <c r="I1133" s="14" t="s">
        <v>45</v>
      </c>
      <c r="J1133" s="14">
        <v>0.78</v>
      </c>
      <c r="K1133" s="15">
        <v>43749</v>
      </c>
      <c r="L1133" s="13" t="str" cm="1">
        <f t="array" ref="L1133">_xlfn.IFS(
  OR(ISBLANK(A1133),ISBLANK(C1133),ISBLANK(J1133)),"Missing Value",
  OR(C1133&lt;18,C1133&gt;120),"Review – Out of Range (Age)",
  J1133&lt;0,"Review – Out of Range (Risk Score)",
  TRUE,"OK"
)</f>
        <v>OK</v>
      </c>
    </row>
    <row r="1134" spans="1:12" ht="16.8" x14ac:dyDescent="0.3">
      <c r="A1134" s="11" t="s">
        <v>2319</v>
      </c>
      <c r="B1134" s="11" t="s">
        <v>2320</v>
      </c>
      <c r="C1134" s="11">
        <v>51</v>
      </c>
      <c r="D1134" s="11" t="s">
        <v>41</v>
      </c>
      <c r="E1134" s="11" t="s">
        <v>42</v>
      </c>
      <c r="F1134" s="11" t="s">
        <v>43</v>
      </c>
      <c r="G1134" s="11" t="s">
        <v>52</v>
      </c>
      <c r="H1134" s="11" t="s">
        <v>46</v>
      </c>
      <c r="I1134" s="11" t="s">
        <v>45</v>
      </c>
      <c r="J1134" s="11">
        <v>0.22</v>
      </c>
      <c r="K1134" s="12">
        <v>44647</v>
      </c>
      <c r="L1134" s="13" t="str" cm="1">
        <f t="array" ref="L1134">_xlfn.IFS(
  OR(ISBLANK(A1134),ISBLANK(C1134),ISBLANK(J1134)),"Missing Value",
  OR(C1134&lt;18,C1134&gt;120),"Review – Out of Range (Age)",
  J1134&lt;0,"Review – Out of Range (Risk Score)",
  TRUE,"OK"
)</f>
        <v>OK</v>
      </c>
    </row>
    <row r="1135" spans="1:12" ht="16.8" x14ac:dyDescent="0.3">
      <c r="A1135" s="14" t="s">
        <v>2321</v>
      </c>
      <c r="B1135" s="14" t="s">
        <v>2322</v>
      </c>
      <c r="C1135" s="14">
        <v>48</v>
      </c>
      <c r="D1135" s="14" t="s">
        <v>41</v>
      </c>
      <c r="E1135" s="14" t="s">
        <v>42</v>
      </c>
      <c r="F1135" s="14" t="s">
        <v>65</v>
      </c>
      <c r="G1135" s="14" t="s">
        <v>44</v>
      </c>
      <c r="H1135" s="14" t="s">
        <v>45</v>
      </c>
      <c r="I1135" s="14" t="s">
        <v>45</v>
      </c>
      <c r="J1135" s="14">
        <v>0.91</v>
      </c>
      <c r="K1135" s="15">
        <v>45043</v>
      </c>
      <c r="L1135" s="13" t="str" cm="1">
        <f t="array" ref="L1135">_xlfn.IFS(
  OR(ISBLANK(A1135),ISBLANK(C1135),ISBLANK(J1135)),"Missing Value",
  OR(C1135&lt;18,C1135&gt;120),"Review – Out of Range (Age)",
  J1135&lt;0,"Review – Out of Range (Risk Score)",
  TRUE,"OK"
)</f>
        <v>OK</v>
      </c>
    </row>
    <row r="1136" spans="1:12" ht="16.8" x14ac:dyDescent="0.3">
      <c r="A1136" s="11" t="s">
        <v>2323</v>
      </c>
      <c r="B1136" s="11" t="s">
        <v>2324</v>
      </c>
      <c r="C1136" s="11">
        <v>49</v>
      </c>
      <c r="D1136" s="11" t="s">
        <v>41</v>
      </c>
      <c r="E1136" s="11" t="s">
        <v>42</v>
      </c>
      <c r="F1136" s="11" t="s">
        <v>43</v>
      </c>
      <c r="G1136" s="11" t="s">
        <v>55</v>
      </c>
      <c r="H1136" s="11" t="s">
        <v>45</v>
      </c>
      <c r="I1136" s="11" t="s">
        <v>46</v>
      </c>
      <c r="J1136" s="11">
        <v>0.45</v>
      </c>
      <c r="K1136" s="12">
        <v>44862</v>
      </c>
      <c r="L1136" s="13" t="str" cm="1">
        <f t="array" ref="L1136">_xlfn.IFS(
  OR(ISBLANK(A1136),ISBLANK(C1136),ISBLANK(J1136)),"Missing Value",
  OR(C1136&lt;18,C1136&gt;120),"Review – Out of Range (Age)",
  J1136&lt;0,"Review – Out of Range (Risk Score)",
  TRUE,"OK"
)</f>
        <v>OK</v>
      </c>
    </row>
    <row r="1137" spans="1:12" ht="16.8" x14ac:dyDescent="0.3">
      <c r="A1137" s="14" t="s">
        <v>2325</v>
      </c>
      <c r="B1137" s="14" t="s">
        <v>2326</v>
      </c>
      <c r="C1137" s="14">
        <v>58</v>
      </c>
      <c r="D1137" s="14" t="s">
        <v>49</v>
      </c>
      <c r="E1137" s="14" t="s">
        <v>50</v>
      </c>
      <c r="F1137" s="14" t="s">
        <v>59</v>
      </c>
      <c r="G1137" s="14" t="s">
        <v>44</v>
      </c>
      <c r="H1137" s="14" t="s">
        <v>45</v>
      </c>
      <c r="I1137" s="14" t="s">
        <v>46</v>
      </c>
      <c r="J1137" s="14">
        <v>0.44</v>
      </c>
      <c r="K1137" s="15">
        <v>43397</v>
      </c>
      <c r="L1137" s="13" t="str" cm="1">
        <f t="array" ref="L1137">_xlfn.IFS(
  OR(ISBLANK(A1137),ISBLANK(C1137),ISBLANK(J1137)),"Missing Value",
  OR(C1137&lt;18,C1137&gt;120),"Review – Out of Range (Age)",
  J1137&lt;0,"Review – Out of Range (Risk Score)",
  TRUE,"OK"
)</f>
        <v>OK</v>
      </c>
    </row>
    <row r="1138" spans="1:12" ht="16.8" x14ac:dyDescent="0.3">
      <c r="A1138" s="11" t="s">
        <v>2327</v>
      </c>
      <c r="B1138" s="11" t="s">
        <v>2328</v>
      </c>
      <c r="C1138" s="11">
        <v>29</v>
      </c>
      <c r="D1138" s="11" t="s">
        <v>49</v>
      </c>
      <c r="E1138" s="11" t="s">
        <v>42</v>
      </c>
      <c r="F1138" s="11" t="s">
        <v>65</v>
      </c>
      <c r="G1138" s="11" t="s">
        <v>44</v>
      </c>
      <c r="H1138" s="11" t="s">
        <v>45</v>
      </c>
      <c r="I1138" s="11" t="s">
        <v>45</v>
      </c>
      <c r="J1138" s="11">
        <v>0.51</v>
      </c>
      <c r="K1138" s="12">
        <v>44856</v>
      </c>
      <c r="L1138" s="13" t="str" cm="1">
        <f t="array" ref="L1138">_xlfn.IFS(
  OR(ISBLANK(A1138),ISBLANK(C1138),ISBLANK(J1138)),"Missing Value",
  OR(C1138&lt;18,C1138&gt;120),"Review – Out of Range (Age)",
  J1138&lt;0,"Review – Out of Range (Risk Score)",
  TRUE,"OK"
)</f>
        <v>OK</v>
      </c>
    </row>
    <row r="1139" spans="1:12" ht="16.8" x14ac:dyDescent="0.3">
      <c r="A1139" s="14" t="s">
        <v>2329</v>
      </c>
      <c r="B1139" s="14" t="s">
        <v>2330</v>
      </c>
      <c r="C1139" s="14">
        <v>62</v>
      </c>
      <c r="D1139" s="14" t="s">
        <v>49</v>
      </c>
      <c r="E1139" s="14" t="s">
        <v>50</v>
      </c>
      <c r="F1139" s="14" t="s">
        <v>65</v>
      </c>
      <c r="G1139" s="14" t="s">
        <v>44</v>
      </c>
      <c r="H1139" s="14" t="s">
        <v>45</v>
      </c>
      <c r="I1139" s="14" t="s">
        <v>45</v>
      </c>
      <c r="J1139" s="14">
        <v>0.63</v>
      </c>
      <c r="K1139" s="15">
        <v>43188</v>
      </c>
      <c r="L1139" s="13" t="str" cm="1">
        <f t="array" ref="L1139">_xlfn.IFS(
  OR(ISBLANK(A1139),ISBLANK(C1139),ISBLANK(J1139)),"Missing Value",
  OR(C1139&lt;18,C1139&gt;120),"Review – Out of Range (Age)",
  J1139&lt;0,"Review – Out of Range (Risk Score)",
  TRUE,"OK"
)</f>
        <v>OK</v>
      </c>
    </row>
    <row r="1140" spans="1:12" ht="16.8" x14ac:dyDescent="0.3">
      <c r="A1140" s="11" t="s">
        <v>2331</v>
      </c>
      <c r="B1140" s="11" t="s">
        <v>2332</v>
      </c>
      <c r="C1140" s="11">
        <v>38</v>
      </c>
      <c r="D1140" s="11" t="s">
        <v>41</v>
      </c>
      <c r="E1140" s="11" t="s">
        <v>50</v>
      </c>
      <c r="F1140" s="11" t="s">
        <v>59</v>
      </c>
      <c r="G1140" s="11" t="s">
        <v>44</v>
      </c>
      <c r="H1140" s="11" t="s">
        <v>45</v>
      </c>
      <c r="I1140" s="11" t="s">
        <v>45</v>
      </c>
      <c r="J1140" s="11">
        <v>0.61</v>
      </c>
      <c r="K1140" s="12">
        <v>44245</v>
      </c>
      <c r="L1140" s="13" t="str" cm="1">
        <f t="array" ref="L1140">_xlfn.IFS(
  OR(ISBLANK(A1140),ISBLANK(C1140),ISBLANK(J1140)),"Missing Value",
  OR(C1140&lt;18,C1140&gt;120),"Review – Out of Range (Age)",
  J1140&lt;0,"Review – Out of Range (Risk Score)",
  TRUE,"OK"
)</f>
        <v>OK</v>
      </c>
    </row>
    <row r="1141" spans="1:12" ht="16.8" x14ac:dyDescent="0.3">
      <c r="A1141" s="14" t="s">
        <v>2333</v>
      </c>
      <c r="B1141" s="14" t="s">
        <v>2334</v>
      </c>
      <c r="C1141" s="14">
        <v>55</v>
      </c>
      <c r="D1141" s="14" t="s">
        <v>49</v>
      </c>
      <c r="E1141" s="14" t="s">
        <v>50</v>
      </c>
      <c r="F1141" s="14" t="s">
        <v>43</v>
      </c>
      <c r="G1141" s="14" t="s">
        <v>52</v>
      </c>
      <c r="H1141" s="14" t="s">
        <v>46</v>
      </c>
      <c r="I1141" s="14" t="s">
        <v>46</v>
      </c>
      <c r="J1141" s="14">
        <v>0.54</v>
      </c>
      <c r="K1141" s="15">
        <v>43277</v>
      </c>
      <c r="L1141" s="13" t="str" cm="1">
        <f t="array" ref="L1141">_xlfn.IFS(
  OR(ISBLANK(A1141),ISBLANK(C1141),ISBLANK(J1141)),"Missing Value",
  OR(C1141&lt;18,C1141&gt;120),"Review – Out of Range (Age)",
  J1141&lt;0,"Review – Out of Range (Risk Score)",
  TRUE,"OK"
)</f>
        <v>OK</v>
      </c>
    </row>
    <row r="1142" spans="1:12" ht="16.8" x14ac:dyDescent="0.3">
      <c r="A1142" s="11" t="s">
        <v>2335</v>
      </c>
      <c r="B1142" s="11" t="s">
        <v>2336</v>
      </c>
      <c r="C1142" s="11">
        <v>57</v>
      </c>
      <c r="D1142" s="11" t="s">
        <v>41</v>
      </c>
      <c r="E1142" s="11" t="s">
        <v>58</v>
      </c>
      <c r="F1142" s="11" t="s">
        <v>65</v>
      </c>
      <c r="G1142" s="11" t="s">
        <v>60</v>
      </c>
      <c r="H1142" s="11" t="s">
        <v>46</v>
      </c>
      <c r="I1142" s="11" t="s">
        <v>45</v>
      </c>
      <c r="J1142" s="11">
        <v>1</v>
      </c>
      <c r="K1142" s="12">
        <v>43969</v>
      </c>
      <c r="L1142" s="13" t="str" cm="1">
        <f t="array" ref="L1142">_xlfn.IFS(
  OR(ISBLANK(A1142),ISBLANK(C1142),ISBLANK(J1142)),"Missing Value",
  OR(C1142&lt;18,C1142&gt;120),"Review – Out of Range (Age)",
  J1142&lt;0,"Review – Out of Range (Risk Score)",
  TRUE,"OK"
)</f>
        <v>OK</v>
      </c>
    </row>
    <row r="1143" spans="1:12" ht="16.8" x14ac:dyDescent="0.3">
      <c r="A1143" s="14" t="s">
        <v>2337</v>
      </c>
      <c r="B1143" s="14" t="s">
        <v>2338</v>
      </c>
      <c r="C1143" s="14">
        <v>20</v>
      </c>
      <c r="D1143" s="14" t="s">
        <v>49</v>
      </c>
      <c r="E1143" s="14" t="s">
        <v>58</v>
      </c>
      <c r="F1143" s="14" t="s">
        <v>59</v>
      </c>
      <c r="G1143" s="14" t="s">
        <v>94</v>
      </c>
      <c r="H1143" s="14" t="s">
        <v>45</v>
      </c>
      <c r="I1143" s="14" t="s">
        <v>45</v>
      </c>
      <c r="J1143" s="14">
        <v>0.4</v>
      </c>
      <c r="K1143" s="15">
        <v>43467</v>
      </c>
      <c r="L1143" s="13" t="str" cm="1">
        <f t="array" ref="L1143">_xlfn.IFS(
  OR(ISBLANK(A1143),ISBLANK(C1143),ISBLANK(J1143)),"Missing Value",
  OR(C1143&lt;18,C1143&gt;120),"Review – Out of Range (Age)",
  J1143&lt;0,"Review – Out of Range (Risk Score)",
  TRUE,"OK"
)</f>
        <v>OK</v>
      </c>
    </row>
    <row r="1144" spans="1:12" ht="16.8" x14ac:dyDescent="0.3">
      <c r="A1144" s="11" t="s">
        <v>2339</v>
      </c>
      <c r="B1144" s="11" t="s">
        <v>2340</v>
      </c>
      <c r="C1144" s="11">
        <v>20</v>
      </c>
      <c r="D1144" s="11" t="s">
        <v>49</v>
      </c>
      <c r="E1144" s="11" t="s">
        <v>42</v>
      </c>
      <c r="F1144" s="11" t="s">
        <v>59</v>
      </c>
      <c r="G1144" s="11" t="s">
        <v>52</v>
      </c>
      <c r="H1144" s="11" t="s">
        <v>46</v>
      </c>
      <c r="I1144" s="11" t="s">
        <v>46</v>
      </c>
      <c r="J1144" s="11">
        <v>0.17</v>
      </c>
      <c r="K1144" s="12">
        <v>45030</v>
      </c>
      <c r="L1144" s="13" t="str" cm="1">
        <f t="array" ref="L1144">_xlfn.IFS(
  OR(ISBLANK(A1144),ISBLANK(C1144),ISBLANK(J1144)),"Missing Value",
  OR(C1144&lt;18,C1144&gt;120),"Review – Out of Range (Age)",
  J1144&lt;0,"Review – Out of Range (Risk Score)",
  TRUE,"OK"
)</f>
        <v>OK</v>
      </c>
    </row>
    <row r="1145" spans="1:12" ht="16.8" x14ac:dyDescent="0.3">
      <c r="A1145" s="14" t="s">
        <v>2341</v>
      </c>
      <c r="B1145" s="14" t="s">
        <v>2342</v>
      </c>
      <c r="C1145" s="14">
        <v>18</v>
      </c>
      <c r="D1145" s="14" t="s">
        <v>41</v>
      </c>
      <c r="E1145" s="14" t="s">
        <v>42</v>
      </c>
      <c r="F1145" s="14" t="s">
        <v>43</v>
      </c>
      <c r="G1145" s="14" t="s">
        <v>60</v>
      </c>
      <c r="H1145" s="14" t="s">
        <v>45</v>
      </c>
      <c r="I1145" s="14" t="s">
        <v>46</v>
      </c>
      <c r="J1145" s="14">
        <v>0.24</v>
      </c>
      <c r="K1145" s="15">
        <v>44117</v>
      </c>
      <c r="L1145" s="13" t="str" cm="1">
        <f t="array" ref="L1145">_xlfn.IFS(
  OR(ISBLANK(A1145),ISBLANK(C1145),ISBLANK(J1145)),"Missing Value",
  OR(C1145&lt;18,C1145&gt;120),"Review – Out of Range (Age)",
  J1145&lt;0,"Review – Out of Range (Risk Score)",
  TRUE,"OK"
)</f>
        <v>OK</v>
      </c>
    </row>
    <row r="1146" spans="1:12" ht="16.8" x14ac:dyDescent="0.3">
      <c r="A1146" s="11" t="s">
        <v>2343</v>
      </c>
      <c r="B1146" s="11" t="s">
        <v>2344</v>
      </c>
      <c r="C1146" s="11">
        <v>44</v>
      </c>
      <c r="D1146" s="11" t="s">
        <v>41</v>
      </c>
      <c r="E1146" s="11" t="s">
        <v>58</v>
      </c>
      <c r="F1146" s="11" t="s">
        <v>65</v>
      </c>
      <c r="G1146" s="11" t="s">
        <v>94</v>
      </c>
      <c r="H1146" s="11" t="s">
        <v>46</v>
      </c>
      <c r="I1146" s="11" t="s">
        <v>46</v>
      </c>
      <c r="J1146" s="11">
        <v>0.21</v>
      </c>
      <c r="K1146" s="12">
        <v>44730</v>
      </c>
      <c r="L1146" s="13" t="str" cm="1">
        <f t="array" ref="L1146">_xlfn.IFS(
  OR(ISBLANK(A1146),ISBLANK(C1146),ISBLANK(J1146)),"Missing Value",
  OR(C1146&lt;18,C1146&gt;120),"Review – Out of Range (Age)",
  J1146&lt;0,"Review – Out of Range (Risk Score)",
  TRUE,"OK"
)</f>
        <v>OK</v>
      </c>
    </row>
    <row r="1147" spans="1:12" ht="16.8" x14ac:dyDescent="0.3">
      <c r="A1147" s="14" t="s">
        <v>2345</v>
      </c>
      <c r="B1147" s="14" t="s">
        <v>2346</v>
      </c>
      <c r="C1147" s="14">
        <v>38</v>
      </c>
      <c r="D1147" s="14" t="s">
        <v>49</v>
      </c>
      <c r="E1147" s="14" t="s">
        <v>50</v>
      </c>
      <c r="F1147" s="14" t="s">
        <v>43</v>
      </c>
      <c r="G1147" s="14" t="s">
        <v>44</v>
      </c>
      <c r="H1147" s="14" t="s">
        <v>46</v>
      </c>
      <c r="I1147" s="14" t="s">
        <v>46</v>
      </c>
      <c r="J1147" s="14">
        <v>0.24</v>
      </c>
      <c r="K1147" s="15">
        <v>43510</v>
      </c>
      <c r="L1147" s="13" t="str" cm="1">
        <f t="array" ref="L1147">_xlfn.IFS(
  OR(ISBLANK(A1147),ISBLANK(C1147),ISBLANK(J1147)),"Missing Value",
  OR(C1147&lt;18,C1147&gt;120),"Review – Out of Range (Age)",
  J1147&lt;0,"Review – Out of Range (Risk Score)",
  TRUE,"OK"
)</f>
        <v>OK</v>
      </c>
    </row>
    <row r="1148" spans="1:12" ht="16.8" x14ac:dyDescent="0.3">
      <c r="A1148" s="11" t="s">
        <v>2347</v>
      </c>
      <c r="B1148" s="11" t="s">
        <v>2348</v>
      </c>
      <c r="C1148" s="11">
        <v>26</v>
      </c>
      <c r="D1148" s="11" t="s">
        <v>41</v>
      </c>
      <c r="E1148" s="11" t="s">
        <v>58</v>
      </c>
      <c r="F1148" s="11" t="s">
        <v>51</v>
      </c>
      <c r="G1148" s="11" t="s">
        <v>94</v>
      </c>
      <c r="H1148" s="11" t="s">
        <v>45</v>
      </c>
      <c r="I1148" s="11" t="s">
        <v>46</v>
      </c>
      <c r="J1148" s="11">
        <v>0.25</v>
      </c>
      <c r="K1148" s="12">
        <v>43104</v>
      </c>
      <c r="L1148" s="13" t="str" cm="1">
        <f t="array" ref="L1148">_xlfn.IFS(
  OR(ISBLANK(A1148),ISBLANK(C1148),ISBLANK(J1148)),"Missing Value",
  OR(C1148&lt;18,C1148&gt;120),"Review – Out of Range (Age)",
  J1148&lt;0,"Review – Out of Range (Risk Score)",
  TRUE,"OK"
)</f>
        <v>OK</v>
      </c>
    </row>
    <row r="1149" spans="1:12" ht="16.8" x14ac:dyDescent="0.3">
      <c r="A1149" s="14" t="s">
        <v>2349</v>
      </c>
      <c r="B1149" s="14" t="s">
        <v>2350</v>
      </c>
      <c r="C1149" s="14">
        <v>64</v>
      </c>
      <c r="D1149" s="14" t="s">
        <v>41</v>
      </c>
      <c r="E1149" s="14" t="s">
        <v>42</v>
      </c>
      <c r="F1149" s="14" t="s">
        <v>65</v>
      </c>
      <c r="G1149" s="14" t="s">
        <v>60</v>
      </c>
      <c r="H1149" s="14" t="s">
        <v>45</v>
      </c>
      <c r="I1149" s="14" t="s">
        <v>45</v>
      </c>
      <c r="J1149" s="14">
        <v>0.08</v>
      </c>
      <c r="K1149" s="15">
        <v>43928</v>
      </c>
      <c r="L1149" s="13" t="str" cm="1">
        <f t="array" ref="L1149">_xlfn.IFS(
  OR(ISBLANK(A1149),ISBLANK(C1149),ISBLANK(J1149)),"Missing Value",
  OR(C1149&lt;18,C1149&gt;120),"Review – Out of Range (Age)",
  J1149&lt;0,"Review – Out of Range (Risk Score)",
  TRUE,"OK"
)</f>
        <v>OK</v>
      </c>
    </row>
    <row r="1150" spans="1:12" ht="16.8" x14ac:dyDescent="0.3">
      <c r="A1150" s="11" t="s">
        <v>2351</v>
      </c>
      <c r="B1150" s="11" t="s">
        <v>2352</v>
      </c>
      <c r="C1150" s="11">
        <v>30</v>
      </c>
      <c r="D1150" s="11" t="s">
        <v>49</v>
      </c>
      <c r="E1150" s="11" t="s">
        <v>42</v>
      </c>
      <c r="F1150" s="11" t="s">
        <v>51</v>
      </c>
      <c r="G1150" s="11" t="s">
        <v>55</v>
      </c>
      <c r="H1150" s="11" t="s">
        <v>45</v>
      </c>
      <c r="I1150" s="11" t="s">
        <v>46</v>
      </c>
      <c r="J1150" s="11">
        <v>0.48</v>
      </c>
      <c r="K1150" s="12">
        <v>44718</v>
      </c>
      <c r="L1150" s="13" t="str" cm="1">
        <f t="array" ref="L1150">_xlfn.IFS(
  OR(ISBLANK(A1150),ISBLANK(C1150),ISBLANK(J1150)),"Missing Value",
  OR(C1150&lt;18,C1150&gt;120),"Review – Out of Range (Age)",
  J1150&lt;0,"Review – Out of Range (Risk Score)",
  TRUE,"OK"
)</f>
        <v>OK</v>
      </c>
    </row>
    <row r="1151" spans="1:12" ht="16.8" x14ac:dyDescent="0.3">
      <c r="A1151" s="14" t="s">
        <v>2353</v>
      </c>
      <c r="B1151" s="14" t="s">
        <v>2354</v>
      </c>
      <c r="C1151" s="14">
        <v>41</v>
      </c>
      <c r="D1151" s="14" t="s">
        <v>49</v>
      </c>
      <c r="E1151" s="14" t="s">
        <v>58</v>
      </c>
      <c r="F1151" s="14" t="s">
        <v>59</v>
      </c>
      <c r="G1151" s="14" t="s">
        <v>52</v>
      </c>
      <c r="H1151" s="14" t="s">
        <v>45</v>
      </c>
      <c r="I1151" s="14" t="s">
        <v>45</v>
      </c>
      <c r="J1151" s="14">
        <v>0.76</v>
      </c>
      <c r="K1151" s="15">
        <v>44475</v>
      </c>
      <c r="L1151" s="13" t="str" cm="1">
        <f t="array" ref="L1151">_xlfn.IFS(
  OR(ISBLANK(A1151),ISBLANK(C1151),ISBLANK(J1151)),"Missing Value",
  OR(C1151&lt;18,C1151&gt;120),"Review – Out of Range (Age)",
  J1151&lt;0,"Review – Out of Range (Risk Score)",
  TRUE,"OK"
)</f>
        <v>OK</v>
      </c>
    </row>
    <row r="1152" spans="1:12" ht="16.8" x14ac:dyDescent="0.3">
      <c r="A1152" s="11" t="s">
        <v>2355</v>
      </c>
      <c r="B1152" s="11" t="s">
        <v>2356</v>
      </c>
      <c r="C1152" s="11">
        <v>32</v>
      </c>
      <c r="D1152" s="11" t="s">
        <v>41</v>
      </c>
      <c r="E1152" s="11" t="s">
        <v>50</v>
      </c>
      <c r="F1152" s="11" t="s">
        <v>43</v>
      </c>
      <c r="G1152" s="11" t="s">
        <v>52</v>
      </c>
      <c r="H1152" s="11" t="s">
        <v>46</v>
      </c>
      <c r="I1152" s="11" t="s">
        <v>45</v>
      </c>
      <c r="J1152" s="11">
        <v>0.52</v>
      </c>
      <c r="K1152" s="12">
        <v>43807</v>
      </c>
      <c r="L1152" s="13" t="str" cm="1">
        <f t="array" ref="L1152">_xlfn.IFS(
  OR(ISBLANK(A1152),ISBLANK(C1152),ISBLANK(J1152)),"Missing Value",
  OR(C1152&lt;18,C1152&gt;120),"Review – Out of Range (Age)",
  J1152&lt;0,"Review – Out of Range (Risk Score)",
  TRUE,"OK"
)</f>
        <v>OK</v>
      </c>
    </row>
    <row r="1153" spans="1:12" ht="16.8" x14ac:dyDescent="0.3">
      <c r="A1153" s="14" t="s">
        <v>2357</v>
      </c>
      <c r="B1153" s="14" t="s">
        <v>2358</v>
      </c>
      <c r="C1153" s="14">
        <v>52</v>
      </c>
      <c r="D1153" s="14" t="s">
        <v>49</v>
      </c>
      <c r="E1153" s="14" t="s">
        <v>58</v>
      </c>
      <c r="F1153" s="14" t="s">
        <v>43</v>
      </c>
      <c r="G1153" s="14" t="s">
        <v>44</v>
      </c>
      <c r="H1153" s="14" t="s">
        <v>45</v>
      </c>
      <c r="I1153" s="14" t="s">
        <v>45</v>
      </c>
      <c r="J1153" s="14">
        <v>0.65</v>
      </c>
      <c r="K1153" s="15">
        <v>44006</v>
      </c>
      <c r="L1153" s="13" t="str" cm="1">
        <f t="array" ref="L1153">_xlfn.IFS(
  OR(ISBLANK(A1153),ISBLANK(C1153),ISBLANK(J1153)),"Missing Value",
  OR(C1153&lt;18,C1153&gt;120),"Review – Out of Range (Age)",
  J1153&lt;0,"Review – Out of Range (Risk Score)",
  TRUE,"OK"
)</f>
        <v>OK</v>
      </c>
    </row>
    <row r="1154" spans="1:12" ht="16.8" x14ac:dyDescent="0.3">
      <c r="A1154" s="11" t="s">
        <v>2359</v>
      </c>
      <c r="B1154" s="11" t="s">
        <v>2360</v>
      </c>
      <c r="C1154" s="11">
        <v>55</v>
      </c>
      <c r="D1154" s="11" t="s">
        <v>49</v>
      </c>
      <c r="E1154" s="11" t="s">
        <v>42</v>
      </c>
      <c r="F1154" s="11" t="s">
        <v>43</v>
      </c>
      <c r="G1154" s="11" t="s">
        <v>94</v>
      </c>
      <c r="H1154" s="11" t="s">
        <v>45</v>
      </c>
      <c r="I1154" s="11" t="s">
        <v>46</v>
      </c>
      <c r="J1154" s="11">
        <v>0.5</v>
      </c>
      <c r="K1154" s="12">
        <v>44020</v>
      </c>
      <c r="L1154" s="13" t="str" cm="1">
        <f t="array" ref="L1154">_xlfn.IFS(
  OR(ISBLANK(A1154),ISBLANK(C1154),ISBLANK(J1154)),"Missing Value",
  OR(C1154&lt;18,C1154&gt;120),"Review – Out of Range (Age)",
  J1154&lt;0,"Review – Out of Range (Risk Score)",
  TRUE,"OK"
)</f>
        <v>OK</v>
      </c>
    </row>
    <row r="1155" spans="1:12" ht="16.8" x14ac:dyDescent="0.3">
      <c r="A1155" s="14" t="s">
        <v>2361</v>
      </c>
      <c r="B1155" s="14" t="s">
        <v>2362</v>
      </c>
      <c r="C1155" s="14">
        <v>54</v>
      </c>
      <c r="D1155" s="14" t="s">
        <v>41</v>
      </c>
      <c r="E1155" s="14" t="s">
        <v>50</v>
      </c>
      <c r="F1155" s="14" t="s">
        <v>59</v>
      </c>
      <c r="G1155" s="14" t="s">
        <v>94</v>
      </c>
      <c r="H1155" s="14" t="s">
        <v>45</v>
      </c>
      <c r="I1155" s="14" t="s">
        <v>46</v>
      </c>
      <c r="J1155" s="14">
        <v>0.56000000000000005</v>
      </c>
      <c r="K1155" s="15">
        <v>43509</v>
      </c>
      <c r="L1155" s="13" t="str" cm="1">
        <f t="array" ref="L1155">_xlfn.IFS(
  OR(ISBLANK(A1155),ISBLANK(C1155),ISBLANK(J1155)),"Missing Value",
  OR(C1155&lt;18,C1155&gt;120),"Review – Out of Range (Age)",
  J1155&lt;0,"Review – Out of Range (Risk Score)",
  TRUE,"OK"
)</f>
        <v>OK</v>
      </c>
    </row>
    <row r="1156" spans="1:12" ht="16.8" x14ac:dyDescent="0.3">
      <c r="A1156" s="11" t="s">
        <v>2363</v>
      </c>
      <c r="B1156" s="11" t="s">
        <v>2364</v>
      </c>
      <c r="C1156" s="11">
        <v>33</v>
      </c>
      <c r="D1156" s="11" t="s">
        <v>49</v>
      </c>
      <c r="E1156" s="11" t="s">
        <v>50</v>
      </c>
      <c r="F1156" s="11" t="s">
        <v>51</v>
      </c>
      <c r="G1156" s="11" t="s">
        <v>109</v>
      </c>
      <c r="H1156" s="11" t="s">
        <v>45</v>
      </c>
      <c r="I1156" s="11" t="s">
        <v>46</v>
      </c>
      <c r="J1156" s="11">
        <v>0.44</v>
      </c>
      <c r="K1156" s="12">
        <v>44902</v>
      </c>
      <c r="L1156" s="13" t="str" cm="1">
        <f t="array" ref="L1156">_xlfn.IFS(
  OR(ISBLANK(A1156),ISBLANK(C1156),ISBLANK(J1156)),"Missing Value",
  OR(C1156&lt;18,C1156&gt;120),"Review – Out of Range (Age)",
  J1156&lt;0,"Review – Out of Range (Risk Score)",
  TRUE,"OK"
)</f>
        <v>OK</v>
      </c>
    </row>
    <row r="1157" spans="1:12" ht="16.8" x14ac:dyDescent="0.3">
      <c r="A1157" s="14" t="s">
        <v>2365</v>
      </c>
      <c r="B1157" s="14" t="s">
        <v>2366</v>
      </c>
      <c r="C1157" s="14">
        <v>54</v>
      </c>
      <c r="D1157" s="14" t="s">
        <v>49</v>
      </c>
      <c r="E1157" s="14" t="s">
        <v>42</v>
      </c>
      <c r="F1157" s="14" t="s">
        <v>51</v>
      </c>
      <c r="G1157" s="14" t="s">
        <v>52</v>
      </c>
      <c r="H1157" s="14" t="s">
        <v>45</v>
      </c>
      <c r="I1157" s="14" t="s">
        <v>46</v>
      </c>
      <c r="J1157" s="14">
        <v>0.67</v>
      </c>
      <c r="K1157" s="15">
        <v>44043</v>
      </c>
      <c r="L1157" s="13" t="str" cm="1">
        <f t="array" ref="L1157">_xlfn.IFS(
  OR(ISBLANK(A1157),ISBLANK(C1157),ISBLANK(J1157)),"Missing Value",
  OR(C1157&lt;18,C1157&gt;120),"Review – Out of Range (Age)",
  J1157&lt;0,"Review – Out of Range (Risk Score)",
  TRUE,"OK"
)</f>
        <v>OK</v>
      </c>
    </row>
    <row r="1158" spans="1:12" ht="16.8" x14ac:dyDescent="0.3">
      <c r="A1158" s="11" t="s">
        <v>2367</v>
      </c>
      <c r="B1158" s="11" t="s">
        <v>2368</v>
      </c>
      <c r="C1158" s="11">
        <v>60</v>
      </c>
      <c r="D1158" s="11" t="s">
        <v>49</v>
      </c>
      <c r="E1158" s="11" t="s">
        <v>42</v>
      </c>
      <c r="F1158" s="11" t="s">
        <v>43</v>
      </c>
      <c r="G1158" s="11" t="s">
        <v>60</v>
      </c>
      <c r="H1158" s="11" t="s">
        <v>46</v>
      </c>
      <c r="I1158" s="11" t="s">
        <v>45</v>
      </c>
      <c r="J1158" s="11">
        <v>0.42</v>
      </c>
      <c r="K1158" s="12">
        <v>43859</v>
      </c>
      <c r="L1158" s="13" t="str" cm="1">
        <f t="array" ref="L1158">_xlfn.IFS(
  OR(ISBLANK(A1158),ISBLANK(C1158),ISBLANK(J1158)),"Missing Value",
  OR(C1158&lt;18,C1158&gt;120),"Review – Out of Range (Age)",
  J1158&lt;0,"Review – Out of Range (Risk Score)",
  TRUE,"OK"
)</f>
        <v>OK</v>
      </c>
    </row>
    <row r="1159" spans="1:12" ht="16.8" x14ac:dyDescent="0.3">
      <c r="A1159" s="14" t="s">
        <v>2369</v>
      </c>
      <c r="B1159" s="14" t="s">
        <v>2370</v>
      </c>
      <c r="C1159" s="14">
        <v>39</v>
      </c>
      <c r="D1159" s="14" t="s">
        <v>41</v>
      </c>
      <c r="E1159" s="14" t="s">
        <v>58</v>
      </c>
      <c r="F1159" s="14" t="s">
        <v>43</v>
      </c>
      <c r="G1159" s="14" t="s">
        <v>44</v>
      </c>
      <c r="H1159" s="14" t="s">
        <v>46</v>
      </c>
      <c r="I1159" s="14" t="s">
        <v>46</v>
      </c>
      <c r="J1159" s="14">
        <v>0.28999999999999998</v>
      </c>
      <c r="K1159" s="15">
        <v>43210</v>
      </c>
      <c r="L1159" s="13" t="str" cm="1">
        <f t="array" ref="L1159">_xlfn.IFS(
  OR(ISBLANK(A1159),ISBLANK(C1159),ISBLANK(J1159)),"Missing Value",
  OR(C1159&lt;18,C1159&gt;120),"Review – Out of Range (Age)",
  J1159&lt;0,"Review – Out of Range (Risk Score)",
  TRUE,"OK"
)</f>
        <v>OK</v>
      </c>
    </row>
    <row r="1160" spans="1:12" ht="16.8" x14ac:dyDescent="0.3">
      <c r="A1160" s="11" t="s">
        <v>2371</v>
      </c>
      <c r="B1160" s="11" t="s">
        <v>2372</v>
      </c>
      <c r="C1160" s="11">
        <v>50</v>
      </c>
      <c r="D1160" s="11" t="s">
        <v>49</v>
      </c>
      <c r="E1160" s="11" t="s">
        <v>50</v>
      </c>
      <c r="F1160" s="11" t="s">
        <v>59</v>
      </c>
      <c r="G1160" s="11" t="s">
        <v>44</v>
      </c>
      <c r="H1160" s="11" t="s">
        <v>46</v>
      </c>
      <c r="I1160" s="11" t="s">
        <v>45</v>
      </c>
      <c r="J1160" s="11">
        <v>0.73</v>
      </c>
      <c r="K1160" s="12">
        <v>44883</v>
      </c>
      <c r="L1160" s="13" t="str" cm="1">
        <f t="array" ref="L1160">_xlfn.IFS(
  OR(ISBLANK(A1160),ISBLANK(C1160),ISBLANK(J1160)),"Missing Value",
  OR(C1160&lt;18,C1160&gt;120),"Review – Out of Range (Age)",
  J1160&lt;0,"Review – Out of Range (Risk Score)",
  TRUE,"OK"
)</f>
        <v>OK</v>
      </c>
    </row>
    <row r="1161" spans="1:12" ht="16.8" x14ac:dyDescent="0.3">
      <c r="A1161" s="14" t="s">
        <v>2373</v>
      </c>
      <c r="B1161" s="14" t="s">
        <v>2374</v>
      </c>
      <c r="C1161" s="14">
        <v>57</v>
      </c>
      <c r="D1161" s="14" t="s">
        <v>41</v>
      </c>
      <c r="E1161" s="14" t="s">
        <v>42</v>
      </c>
      <c r="F1161" s="14" t="s">
        <v>43</v>
      </c>
      <c r="G1161" s="14" t="s">
        <v>94</v>
      </c>
      <c r="H1161" s="14" t="s">
        <v>45</v>
      </c>
      <c r="I1161" s="14" t="s">
        <v>46</v>
      </c>
      <c r="J1161" s="14">
        <v>0.62</v>
      </c>
      <c r="K1161" s="15">
        <v>43185</v>
      </c>
      <c r="L1161" s="13" t="str" cm="1">
        <f t="array" ref="L1161">_xlfn.IFS(
  OR(ISBLANK(A1161),ISBLANK(C1161),ISBLANK(J1161)),"Missing Value",
  OR(C1161&lt;18,C1161&gt;120),"Review – Out of Range (Age)",
  J1161&lt;0,"Review – Out of Range (Risk Score)",
  TRUE,"OK"
)</f>
        <v>OK</v>
      </c>
    </row>
    <row r="1162" spans="1:12" ht="16.8" x14ac:dyDescent="0.3">
      <c r="A1162" s="11" t="s">
        <v>2375</v>
      </c>
      <c r="B1162" s="11" t="s">
        <v>2376</v>
      </c>
      <c r="C1162" s="11">
        <v>38</v>
      </c>
      <c r="D1162" s="11" t="s">
        <v>49</v>
      </c>
      <c r="E1162" s="11" t="s">
        <v>58</v>
      </c>
      <c r="F1162" s="11" t="s">
        <v>43</v>
      </c>
      <c r="G1162" s="11" t="s">
        <v>52</v>
      </c>
      <c r="H1162" s="11" t="s">
        <v>46</v>
      </c>
      <c r="I1162" s="11" t="s">
        <v>46</v>
      </c>
      <c r="J1162" s="11">
        <v>0.54</v>
      </c>
      <c r="K1162" s="12">
        <v>43674</v>
      </c>
      <c r="L1162" s="13" t="str" cm="1">
        <f t="array" ref="L1162">_xlfn.IFS(
  OR(ISBLANK(A1162),ISBLANK(C1162),ISBLANK(J1162)),"Missing Value",
  OR(C1162&lt;18,C1162&gt;120),"Review – Out of Range (Age)",
  J1162&lt;0,"Review – Out of Range (Risk Score)",
  TRUE,"OK"
)</f>
        <v>OK</v>
      </c>
    </row>
    <row r="1163" spans="1:12" ht="16.8" x14ac:dyDescent="0.3">
      <c r="A1163" s="14" t="s">
        <v>2377</v>
      </c>
      <c r="B1163" s="14" t="s">
        <v>2378</v>
      </c>
      <c r="C1163" s="14">
        <v>18</v>
      </c>
      <c r="D1163" s="14" t="s">
        <v>49</v>
      </c>
      <c r="E1163" s="14" t="s">
        <v>58</v>
      </c>
      <c r="F1163" s="14" t="s">
        <v>65</v>
      </c>
      <c r="G1163" s="14" t="s">
        <v>109</v>
      </c>
      <c r="H1163" s="14" t="s">
        <v>46</v>
      </c>
      <c r="I1163" s="14" t="s">
        <v>45</v>
      </c>
      <c r="J1163" s="14">
        <v>0.75</v>
      </c>
      <c r="K1163" s="15">
        <v>43673</v>
      </c>
      <c r="L1163" s="13" t="str" cm="1">
        <f t="array" ref="L1163">_xlfn.IFS(
  OR(ISBLANK(A1163),ISBLANK(C1163),ISBLANK(J1163)),"Missing Value",
  OR(C1163&lt;18,C1163&gt;120),"Review – Out of Range (Age)",
  J1163&lt;0,"Review – Out of Range (Risk Score)",
  TRUE,"OK"
)</f>
        <v>OK</v>
      </c>
    </row>
    <row r="1164" spans="1:12" ht="16.8" x14ac:dyDescent="0.3">
      <c r="A1164" s="11" t="s">
        <v>2379</v>
      </c>
      <c r="B1164" s="11" t="s">
        <v>2380</v>
      </c>
      <c r="C1164" s="11">
        <v>46</v>
      </c>
      <c r="D1164" s="11" t="s">
        <v>49</v>
      </c>
      <c r="E1164" s="11" t="s">
        <v>58</v>
      </c>
      <c r="F1164" s="11" t="s">
        <v>59</v>
      </c>
      <c r="G1164" s="11" t="s">
        <v>60</v>
      </c>
      <c r="H1164" s="11" t="s">
        <v>46</v>
      </c>
      <c r="I1164" s="11" t="s">
        <v>46</v>
      </c>
      <c r="J1164" s="11">
        <v>0.52</v>
      </c>
      <c r="K1164" s="12">
        <v>44483</v>
      </c>
      <c r="L1164" s="13" t="str" cm="1">
        <f t="array" ref="L1164">_xlfn.IFS(
  OR(ISBLANK(A1164),ISBLANK(C1164),ISBLANK(J1164)),"Missing Value",
  OR(C1164&lt;18,C1164&gt;120),"Review – Out of Range (Age)",
  J1164&lt;0,"Review – Out of Range (Risk Score)",
  TRUE,"OK"
)</f>
        <v>OK</v>
      </c>
    </row>
    <row r="1165" spans="1:12" ht="16.8" x14ac:dyDescent="0.3">
      <c r="A1165" s="14" t="s">
        <v>2381</v>
      </c>
      <c r="B1165" s="14" t="s">
        <v>2382</v>
      </c>
      <c r="C1165" s="14">
        <v>30</v>
      </c>
      <c r="D1165" s="14" t="s">
        <v>41</v>
      </c>
      <c r="E1165" s="14" t="s">
        <v>58</v>
      </c>
      <c r="F1165" s="14" t="s">
        <v>51</v>
      </c>
      <c r="G1165" s="14" t="s">
        <v>109</v>
      </c>
      <c r="H1165" s="14" t="s">
        <v>45</v>
      </c>
      <c r="I1165" s="14" t="s">
        <v>45</v>
      </c>
      <c r="J1165" s="14">
        <v>0.81</v>
      </c>
      <c r="K1165" s="15">
        <v>44171</v>
      </c>
      <c r="L1165" s="13" t="str" cm="1">
        <f t="array" ref="L1165">_xlfn.IFS(
  OR(ISBLANK(A1165),ISBLANK(C1165),ISBLANK(J1165)),"Missing Value",
  OR(C1165&lt;18,C1165&gt;120),"Review – Out of Range (Age)",
  J1165&lt;0,"Review – Out of Range (Risk Score)",
  TRUE,"OK"
)</f>
        <v>OK</v>
      </c>
    </row>
    <row r="1166" spans="1:12" ht="16.8" x14ac:dyDescent="0.3">
      <c r="A1166" s="11" t="s">
        <v>2383</v>
      </c>
      <c r="B1166" s="11" t="s">
        <v>2384</v>
      </c>
      <c r="C1166" s="11">
        <v>58</v>
      </c>
      <c r="D1166" s="11" t="s">
        <v>49</v>
      </c>
      <c r="E1166" s="11" t="s">
        <v>58</v>
      </c>
      <c r="F1166" s="11" t="s">
        <v>65</v>
      </c>
      <c r="G1166" s="11" t="s">
        <v>94</v>
      </c>
      <c r="H1166" s="11" t="s">
        <v>46</v>
      </c>
      <c r="I1166" s="11" t="s">
        <v>46</v>
      </c>
      <c r="J1166" s="11">
        <v>0.35</v>
      </c>
      <c r="K1166" s="12">
        <v>44343</v>
      </c>
      <c r="L1166" s="13" t="str" cm="1">
        <f t="array" ref="L1166">_xlfn.IFS(
  OR(ISBLANK(A1166),ISBLANK(C1166),ISBLANK(J1166)),"Missing Value",
  OR(C1166&lt;18,C1166&gt;120),"Review – Out of Range (Age)",
  J1166&lt;0,"Review – Out of Range (Risk Score)",
  TRUE,"OK"
)</f>
        <v>OK</v>
      </c>
    </row>
    <row r="1167" spans="1:12" ht="16.8" x14ac:dyDescent="0.3">
      <c r="A1167" s="14" t="s">
        <v>2385</v>
      </c>
      <c r="B1167" s="14" t="s">
        <v>2386</v>
      </c>
      <c r="C1167" s="14">
        <v>42</v>
      </c>
      <c r="D1167" s="14" t="s">
        <v>41</v>
      </c>
      <c r="E1167" s="14" t="s">
        <v>58</v>
      </c>
      <c r="F1167" s="14" t="s">
        <v>59</v>
      </c>
      <c r="G1167" s="14" t="s">
        <v>94</v>
      </c>
      <c r="H1167" s="14" t="s">
        <v>45</v>
      </c>
      <c r="I1167" s="14" t="s">
        <v>45</v>
      </c>
      <c r="J1167" s="14">
        <v>0.75</v>
      </c>
      <c r="K1167" s="15">
        <v>44168</v>
      </c>
      <c r="L1167" s="13" t="str" cm="1">
        <f t="array" ref="L1167">_xlfn.IFS(
  OR(ISBLANK(A1167),ISBLANK(C1167),ISBLANK(J1167)),"Missing Value",
  OR(C1167&lt;18,C1167&gt;120),"Review – Out of Range (Age)",
  J1167&lt;0,"Review – Out of Range (Risk Score)",
  TRUE,"OK"
)</f>
        <v>OK</v>
      </c>
    </row>
    <row r="1168" spans="1:12" ht="16.8" x14ac:dyDescent="0.3">
      <c r="A1168" s="11" t="s">
        <v>2387</v>
      </c>
      <c r="B1168" s="11" t="s">
        <v>2388</v>
      </c>
      <c r="C1168" s="11">
        <v>24</v>
      </c>
      <c r="D1168" s="11" t="s">
        <v>41</v>
      </c>
      <c r="E1168" s="11" t="s">
        <v>42</v>
      </c>
      <c r="F1168" s="11" t="s">
        <v>65</v>
      </c>
      <c r="G1168" s="11" t="s">
        <v>109</v>
      </c>
      <c r="H1168" s="11" t="s">
        <v>45</v>
      </c>
      <c r="I1168" s="11" t="s">
        <v>46</v>
      </c>
      <c r="J1168" s="11">
        <v>0.53</v>
      </c>
      <c r="K1168" s="12">
        <v>43623</v>
      </c>
      <c r="L1168" s="13" t="str" cm="1">
        <f t="array" ref="L1168">_xlfn.IFS(
  OR(ISBLANK(A1168),ISBLANK(C1168),ISBLANK(J1168)),"Missing Value",
  OR(C1168&lt;18,C1168&gt;120),"Review – Out of Range (Age)",
  J1168&lt;0,"Review – Out of Range (Risk Score)",
  TRUE,"OK"
)</f>
        <v>OK</v>
      </c>
    </row>
    <row r="1169" spans="1:12" ht="16.8" x14ac:dyDescent="0.3">
      <c r="A1169" s="14" t="s">
        <v>2389</v>
      </c>
      <c r="B1169" s="14" t="s">
        <v>2390</v>
      </c>
      <c r="C1169" s="14">
        <v>42</v>
      </c>
      <c r="D1169" s="14" t="s">
        <v>49</v>
      </c>
      <c r="E1169" s="14" t="s">
        <v>58</v>
      </c>
      <c r="F1169" s="14" t="s">
        <v>59</v>
      </c>
      <c r="G1169" s="14" t="s">
        <v>52</v>
      </c>
      <c r="H1169" s="14" t="s">
        <v>46</v>
      </c>
      <c r="I1169" s="14" t="s">
        <v>45</v>
      </c>
      <c r="J1169" s="14">
        <v>0.94</v>
      </c>
      <c r="K1169" s="15">
        <v>43164</v>
      </c>
      <c r="L1169" s="13" t="str" cm="1">
        <f t="array" ref="L1169">_xlfn.IFS(
  OR(ISBLANK(A1169),ISBLANK(C1169),ISBLANK(J1169)),"Missing Value",
  OR(C1169&lt;18,C1169&gt;120),"Review – Out of Range (Age)",
  J1169&lt;0,"Review – Out of Range (Risk Score)",
  TRUE,"OK"
)</f>
        <v>OK</v>
      </c>
    </row>
    <row r="1170" spans="1:12" ht="16.8" x14ac:dyDescent="0.3">
      <c r="A1170" s="11" t="s">
        <v>2391</v>
      </c>
      <c r="B1170" s="11" t="s">
        <v>2392</v>
      </c>
      <c r="C1170" s="11">
        <v>64</v>
      </c>
      <c r="D1170" s="11" t="s">
        <v>41</v>
      </c>
      <c r="E1170" s="11" t="s">
        <v>42</v>
      </c>
      <c r="F1170" s="11" t="s">
        <v>51</v>
      </c>
      <c r="G1170" s="11" t="s">
        <v>52</v>
      </c>
      <c r="H1170" s="11" t="s">
        <v>45</v>
      </c>
      <c r="I1170" s="11" t="s">
        <v>46</v>
      </c>
      <c r="J1170" s="11">
        <v>0.66</v>
      </c>
      <c r="K1170" s="12">
        <v>43426</v>
      </c>
      <c r="L1170" s="13" t="str" cm="1">
        <f t="array" ref="L1170">_xlfn.IFS(
  OR(ISBLANK(A1170),ISBLANK(C1170),ISBLANK(J1170)),"Missing Value",
  OR(C1170&lt;18,C1170&gt;120),"Review – Out of Range (Age)",
  J1170&lt;0,"Review – Out of Range (Risk Score)",
  TRUE,"OK"
)</f>
        <v>OK</v>
      </c>
    </row>
    <row r="1171" spans="1:12" ht="16.8" x14ac:dyDescent="0.3">
      <c r="A1171" s="14" t="s">
        <v>2393</v>
      </c>
      <c r="B1171" s="14" t="s">
        <v>2394</v>
      </c>
      <c r="C1171" s="14">
        <v>19</v>
      </c>
      <c r="D1171" s="14" t="s">
        <v>41</v>
      </c>
      <c r="E1171" s="14" t="s">
        <v>50</v>
      </c>
      <c r="F1171" s="14" t="s">
        <v>59</v>
      </c>
      <c r="G1171" s="14" t="s">
        <v>52</v>
      </c>
      <c r="H1171" s="14" t="s">
        <v>45</v>
      </c>
      <c r="I1171" s="14" t="s">
        <v>45</v>
      </c>
      <c r="J1171" s="14">
        <v>0.36</v>
      </c>
      <c r="K1171" s="15">
        <v>43134</v>
      </c>
      <c r="L1171" s="13" t="str" cm="1">
        <f t="array" ref="L1171">_xlfn.IFS(
  OR(ISBLANK(A1171),ISBLANK(C1171),ISBLANK(J1171)),"Missing Value",
  OR(C1171&lt;18,C1171&gt;120),"Review – Out of Range (Age)",
  J1171&lt;0,"Review – Out of Range (Risk Score)",
  TRUE,"OK"
)</f>
        <v>OK</v>
      </c>
    </row>
    <row r="1172" spans="1:12" ht="16.8" x14ac:dyDescent="0.3">
      <c r="A1172" s="11" t="s">
        <v>2395</v>
      </c>
      <c r="B1172" s="11" t="s">
        <v>2396</v>
      </c>
      <c r="C1172" s="11">
        <v>50</v>
      </c>
      <c r="D1172" s="11" t="s">
        <v>41</v>
      </c>
      <c r="E1172" s="11" t="s">
        <v>42</v>
      </c>
      <c r="F1172" s="11" t="s">
        <v>43</v>
      </c>
      <c r="G1172" s="11" t="s">
        <v>44</v>
      </c>
      <c r="H1172" s="11" t="s">
        <v>46</v>
      </c>
      <c r="I1172" s="11" t="s">
        <v>46</v>
      </c>
      <c r="J1172" s="11">
        <v>0.47</v>
      </c>
      <c r="K1172" s="12">
        <v>44913</v>
      </c>
      <c r="L1172" s="13" t="str" cm="1">
        <f t="array" ref="L1172">_xlfn.IFS(
  OR(ISBLANK(A1172),ISBLANK(C1172),ISBLANK(J1172)),"Missing Value",
  OR(C1172&lt;18,C1172&gt;120),"Review – Out of Range (Age)",
  J1172&lt;0,"Review – Out of Range (Risk Score)",
  TRUE,"OK"
)</f>
        <v>OK</v>
      </c>
    </row>
    <row r="1173" spans="1:12" ht="16.8" x14ac:dyDescent="0.3">
      <c r="A1173" s="14" t="s">
        <v>2397</v>
      </c>
      <c r="B1173" s="14" t="s">
        <v>2398</v>
      </c>
      <c r="C1173" s="14">
        <v>23</v>
      </c>
      <c r="D1173" s="14" t="s">
        <v>49</v>
      </c>
      <c r="E1173" s="14" t="s">
        <v>50</v>
      </c>
      <c r="F1173" s="14" t="s">
        <v>51</v>
      </c>
      <c r="G1173" s="14" t="s">
        <v>52</v>
      </c>
      <c r="H1173" s="14" t="s">
        <v>45</v>
      </c>
      <c r="I1173" s="14" t="s">
        <v>45</v>
      </c>
      <c r="J1173" s="14">
        <v>0.71</v>
      </c>
      <c r="K1173" s="15">
        <v>43898</v>
      </c>
      <c r="L1173" s="13" t="str" cm="1">
        <f t="array" ref="L1173">_xlfn.IFS(
  OR(ISBLANK(A1173),ISBLANK(C1173),ISBLANK(J1173)),"Missing Value",
  OR(C1173&lt;18,C1173&gt;120),"Review – Out of Range (Age)",
  J1173&lt;0,"Review – Out of Range (Risk Score)",
  TRUE,"OK"
)</f>
        <v>OK</v>
      </c>
    </row>
    <row r="1174" spans="1:12" ht="16.8" x14ac:dyDescent="0.3">
      <c r="A1174" s="11" t="s">
        <v>2399</v>
      </c>
      <c r="B1174" s="11" t="s">
        <v>2400</v>
      </c>
      <c r="C1174" s="11">
        <v>34</v>
      </c>
      <c r="D1174" s="11" t="s">
        <v>41</v>
      </c>
      <c r="E1174" s="11" t="s">
        <v>50</v>
      </c>
      <c r="F1174" s="11" t="s">
        <v>51</v>
      </c>
      <c r="G1174" s="11" t="s">
        <v>94</v>
      </c>
      <c r="H1174" s="11" t="s">
        <v>45</v>
      </c>
      <c r="I1174" s="11" t="s">
        <v>45</v>
      </c>
      <c r="J1174" s="11">
        <v>0.38</v>
      </c>
      <c r="K1174" s="12">
        <v>44212</v>
      </c>
      <c r="L1174" s="13" t="str" cm="1">
        <f t="array" ref="L1174">_xlfn.IFS(
  OR(ISBLANK(A1174),ISBLANK(C1174),ISBLANK(J1174)),"Missing Value",
  OR(C1174&lt;18,C1174&gt;120),"Review – Out of Range (Age)",
  J1174&lt;0,"Review – Out of Range (Risk Score)",
  TRUE,"OK"
)</f>
        <v>OK</v>
      </c>
    </row>
    <row r="1175" spans="1:12" ht="16.8" x14ac:dyDescent="0.3">
      <c r="A1175" s="14" t="s">
        <v>2401</v>
      </c>
      <c r="B1175" s="14" t="s">
        <v>2402</v>
      </c>
      <c r="C1175" s="14">
        <v>44</v>
      </c>
      <c r="D1175" s="14" t="s">
        <v>49</v>
      </c>
      <c r="E1175" s="14" t="s">
        <v>50</v>
      </c>
      <c r="F1175" s="14" t="s">
        <v>65</v>
      </c>
      <c r="G1175" s="14" t="s">
        <v>55</v>
      </c>
      <c r="H1175" s="14" t="s">
        <v>46</v>
      </c>
      <c r="I1175" s="14" t="s">
        <v>46</v>
      </c>
      <c r="J1175" s="14">
        <v>0.43</v>
      </c>
      <c r="K1175" s="15">
        <v>43218</v>
      </c>
      <c r="L1175" s="13" t="str" cm="1">
        <f t="array" ref="L1175">_xlfn.IFS(
  OR(ISBLANK(A1175),ISBLANK(C1175),ISBLANK(J1175)),"Missing Value",
  OR(C1175&lt;18,C1175&gt;120),"Review – Out of Range (Age)",
  J1175&lt;0,"Review – Out of Range (Risk Score)",
  TRUE,"OK"
)</f>
        <v>OK</v>
      </c>
    </row>
    <row r="1176" spans="1:12" ht="16.8" x14ac:dyDescent="0.3">
      <c r="A1176" s="11" t="s">
        <v>2403</v>
      </c>
      <c r="B1176" s="11" t="s">
        <v>2404</v>
      </c>
      <c r="C1176" s="11">
        <v>20</v>
      </c>
      <c r="D1176" s="11" t="s">
        <v>41</v>
      </c>
      <c r="E1176" s="11" t="s">
        <v>42</v>
      </c>
      <c r="F1176" s="11" t="s">
        <v>51</v>
      </c>
      <c r="G1176" s="11" t="s">
        <v>44</v>
      </c>
      <c r="H1176" s="11" t="s">
        <v>45</v>
      </c>
      <c r="I1176" s="11" t="s">
        <v>46</v>
      </c>
      <c r="J1176" s="11">
        <v>0.67</v>
      </c>
      <c r="K1176" s="12">
        <v>44694</v>
      </c>
      <c r="L1176" s="13" t="str" cm="1">
        <f t="array" ref="L1176">_xlfn.IFS(
  OR(ISBLANK(A1176),ISBLANK(C1176),ISBLANK(J1176)),"Missing Value",
  OR(C1176&lt;18,C1176&gt;120),"Review – Out of Range (Age)",
  J1176&lt;0,"Review – Out of Range (Risk Score)",
  TRUE,"OK"
)</f>
        <v>OK</v>
      </c>
    </row>
    <row r="1177" spans="1:12" ht="16.8" x14ac:dyDescent="0.3">
      <c r="A1177" s="14" t="s">
        <v>2405</v>
      </c>
      <c r="B1177" s="14" t="s">
        <v>2406</v>
      </c>
      <c r="C1177" s="14">
        <v>52</v>
      </c>
      <c r="D1177" s="14" t="s">
        <v>49</v>
      </c>
      <c r="E1177" s="14" t="s">
        <v>58</v>
      </c>
      <c r="F1177" s="14" t="s">
        <v>65</v>
      </c>
      <c r="G1177" s="14" t="s">
        <v>60</v>
      </c>
      <c r="H1177" s="14" t="s">
        <v>45</v>
      </c>
      <c r="I1177" s="14" t="s">
        <v>45</v>
      </c>
      <c r="J1177" s="14">
        <v>0.6</v>
      </c>
      <c r="K1177" s="15">
        <v>44955</v>
      </c>
      <c r="L1177" s="13" t="str" cm="1">
        <f t="array" ref="L1177">_xlfn.IFS(
  OR(ISBLANK(A1177),ISBLANK(C1177),ISBLANK(J1177)),"Missing Value",
  OR(C1177&lt;18,C1177&gt;120),"Review – Out of Range (Age)",
  J1177&lt;0,"Review – Out of Range (Risk Score)",
  TRUE,"OK"
)</f>
        <v>OK</v>
      </c>
    </row>
    <row r="1178" spans="1:12" ht="16.8" x14ac:dyDescent="0.3">
      <c r="A1178" s="11" t="s">
        <v>2407</v>
      </c>
      <c r="B1178" s="11" t="s">
        <v>2408</v>
      </c>
      <c r="C1178" s="11">
        <v>35</v>
      </c>
      <c r="D1178" s="11" t="s">
        <v>49</v>
      </c>
      <c r="E1178" s="11" t="s">
        <v>42</v>
      </c>
      <c r="F1178" s="11" t="s">
        <v>43</v>
      </c>
      <c r="G1178" s="11" t="s">
        <v>55</v>
      </c>
      <c r="H1178" s="11" t="s">
        <v>46</v>
      </c>
      <c r="I1178" s="11" t="s">
        <v>46</v>
      </c>
      <c r="J1178" s="11">
        <v>0.34</v>
      </c>
      <c r="K1178" s="12">
        <v>44596</v>
      </c>
      <c r="L1178" s="13" t="str" cm="1">
        <f t="array" ref="L1178">_xlfn.IFS(
  OR(ISBLANK(A1178),ISBLANK(C1178),ISBLANK(J1178)),"Missing Value",
  OR(C1178&lt;18,C1178&gt;120),"Review – Out of Range (Age)",
  J1178&lt;0,"Review – Out of Range (Risk Score)",
  TRUE,"OK"
)</f>
        <v>OK</v>
      </c>
    </row>
    <row r="1179" spans="1:12" ht="16.8" x14ac:dyDescent="0.3">
      <c r="A1179" s="14" t="s">
        <v>2409</v>
      </c>
      <c r="B1179" s="14" t="s">
        <v>2410</v>
      </c>
      <c r="C1179" s="14">
        <v>58</v>
      </c>
      <c r="D1179" s="14" t="s">
        <v>41</v>
      </c>
      <c r="E1179" s="14" t="s">
        <v>42</v>
      </c>
      <c r="F1179" s="14" t="s">
        <v>65</v>
      </c>
      <c r="G1179" s="14" t="s">
        <v>60</v>
      </c>
      <c r="H1179" s="14" t="s">
        <v>45</v>
      </c>
      <c r="I1179" s="14" t="s">
        <v>46</v>
      </c>
      <c r="J1179" s="14">
        <v>0.27</v>
      </c>
      <c r="K1179" s="15">
        <v>44728</v>
      </c>
      <c r="L1179" s="13" t="str" cm="1">
        <f t="array" ref="L1179">_xlfn.IFS(
  OR(ISBLANK(A1179),ISBLANK(C1179),ISBLANK(J1179)),"Missing Value",
  OR(C1179&lt;18,C1179&gt;120),"Review – Out of Range (Age)",
  J1179&lt;0,"Review – Out of Range (Risk Score)",
  TRUE,"OK"
)</f>
        <v>OK</v>
      </c>
    </row>
    <row r="1180" spans="1:12" ht="16.8" x14ac:dyDescent="0.3">
      <c r="A1180" s="11" t="s">
        <v>2411</v>
      </c>
      <c r="B1180" s="11" t="s">
        <v>2412</v>
      </c>
      <c r="C1180" s="11">
        <v>57</v>
      </c>
      <c r="D1180" s="11" t="s">
        <v>49</v>
      </c>
      <c r="E1180" s="11" t="s">
        <v>50</v>
      </c>
      <c r="F1180" s="11" t="s">
        <v>59</v>
      </c>
      <c r="G1180" s="11" t="s">
        <v>94</v>
      </c>
      <c r="H1180" s="11" t="s">
        <v>46</v>
      </c>
      <c r="I1180" s="11" t="s">
        <v>46</v>
      </c>
      <c r="J1180" s="11">
        <v>0.33</v>
      </c>
      <c r="K1180" s="12">
        <v>43881</v>
      </c>
      <c r="L1180" s="13" t="str" cm="1">
        <f t="array" ref="L1180">_xlfn.IFS(
  OR(ISBLANK(A1180),ISBLANK(C1180),ISBLANK(J1180)),"Missing Value",
  OR(C1180&lt;18,C1180&gt;120),"Review – Out of Range (Age)",
  J1180&lt;0,"Review – Out of Range (Risk Score)",
  TRUE,"OK"
)</f>
        <v>OK</v>
      </c>
    </row>
    <row r="1181" spans="1:12" ht="16.8" x14ac:dyDescent="0.3">
      <c r="A1181" s="14" t="s">
        <v>2413</v>
      </c>
      <c r="B1181" s="14" t="s">
        <v>2414</v>
      </c>
      <c r="C1181" s="14">
        <v>64</v>
      </c>
      <c r="D1181" s="14" t="s">
        <v>41</v>
      </c>
      <c r="E1181" s="14" t="s">
        <v>58</v>
      </c>
      <c r="F1181" s="14" t="s">
        <v>51</v>
      </c>
      <c r="G1181" s="14" t="s">
        <v>55</v>
      </c>
      <c r="H1181" s="14" t="s">
        <v>46</v>
      </c>
      <c r="I1181" s="14" t="s">
        <v>45</v>
      </c>
      <c r="J1181" s="14">
        <v>0.35</v>
      </c>
      <c r="K1181" s="15">
        <v>43797</v>
      </c>
      <c r="L1181" s="13" t="str" cm="1">
        <f t="array" ref="L1181">_xlfn.IFS(
  OR(ISBLANK(A1181),ISBLANK(C1181),ISBLANK(J1181)),"Missing Value",
  OR(C1181&lt;18,C1181&gt;120),"Review – Out of Range (Age)",
  J1181&lt;0,"Review – Out of Range (Risk Score)",
  TRUE,"OK"
)</f>
        <v>OK</v>
      </c>
    </row>
    <row r="1182" spans="1:12" ht="16.8" x14ac:dyDescent="0.3">
      <c r="A1182" s="11" t="s">
        <v>2415</v>
      </c>
      <c r="B1182" s="11" t="s">
        <v>2416</v>
      </c>
      <c r="C1182" s="11">
        <v>45</v>
      </c>
      <c r="D1182" s="11" t="s">
        <v>41</v>
      </c>
      <c r="E1182" s="11" t="s">
        <v>42</v>
      </c>
      <c r="F1182" s="11" t="s">
        <v>43</v>
      </c>
      <c r="G1182" s="11" t="s">
        <v>44</v>
      </c>
      <c r="H1182" s="11" t="s">
        <v>45</v>
      </c>
      <c r="I1182" s="11" t="s">
        <v>46</v>
      </c>
      <c r="J1182" s="11">
        <v>0.28000000000000003</v>
      </c>
      <c r="K1182" s="12">
        <v>43563</v>
      </c>
      <c r="L1182" s="13" t="str" cm="1">
        <f t="array" ref="L1182">_xlfn.IFS(
  OR(ISBLANK(A1182),ISBLANK(C1182),ISBLANK(J1182)),"Missing Value",
  OR(C1182&lt;18,C1182&gt;120),"Review – Out of Range (Age)",
  J1182&lt;0,"Review – Out of Range (Risk Score)",
  TRUE,"OK"
)</f>
        <v>OK</v>
      </c>
    </row>
    <row r="1183" spans="1:12" ht="16.8" x14ac:dyDescent="0.3">
      <c r="A1183" s="14" t="s">
        <v>2417</v>
      </c>
      <c r="B1183" s="14" t="s">
        <v>2418</v>
      </c>
      <c r="C1183" s="14">
        <v>20</v>
      </c>
      <c r="D1183" s="14" t="s">
        <v>41</v>
      </c>
      <c r="E1183" s="14" t="s">
        <v>50</v>
      </c>
      <c r="F1183" s="14" t="s">
        <v>59</v>
      </c>
      <c r="G1183" s="14" t="s">
        <v>44</v>
      </c>
      <c r="H1183" s="14" t="s">
        <v>46</v>
      </c>
      <c r="I1183" s="14" t="s">
        <v>46</v>
      </c>
      <c r="J1183" s="14">
        <v>0.36</v>
      </c>
      <c r="K1183" s="15">
        <v>44363</v>
      </c>
      <c r="L1183" s="13" t="str" cm="1">
        <f t="array" ref="L1183">_xlfn.IFS(
  OR(ISBLANK(A1183),ISBLANK(C1183),ISBLANK(J1183)),"Missing Value",
  OR(C1183&lt;18,C1183&gt;120),"Review – Out of Range (Age)",
  J1183&lt;0,"Review – Out of Range (Risk Score)",
  TRUE,"OK"
)</f>
        <v>OK</v>
      </c>
    </row>
    <row r="1184" spans="1:12" ht="16.8" x14ac:dyDescent="0.3">
      <c r="A1184" s="11" t="s">
        <v>2419</v>
      </c>
      <c r="B1184" s="11" t="s">
        <v>2420</v>
      </c>
      <c r="C1184" s="11">
        <v>46</v>
      </c>
      <c r="D1184" s="11" t="s">
        <v>41</v>
      </c>
      <c r="E1184" s="11" t="s">
        <v>50</v>
      </c>
      <c r="F1184" s="11" t="s">
        <v>43</v>
      </c>
      <c r="G1184" s="11" t="s">
        <v>60</v>
      </c>
      <c r="H1184" s="11" t="s">
        <v>45</v>
      </c>
      <c r="I1184" s="11" t="s">
        <v>46</v>
      </c>
      <c r="J1184" s="11">
        <v>0.6</v>
      </c>
      <c r="K1184" s="12">
        <v>44355</v>
      </c>
      <c r="L1184" s="13" t="str" cm="1">
        <f t="array" ref="L1184">_xlfn.IFS(
  OR(ISBLANK(A1184),ISBLANK(C1184),ISBLANK(J1184)),"Missing Value",
  OR(C1184&lt;18,C1184&gt;120),"Review – Out of Range (Age)",
  J1184&lt;0,"Review – Out of Range (Risk Score)",
  TRUE,"OK"
)</f>
        <v>OK</v>
      </c>
    </row>
    <row r="1185" spans="1:12" ht="16.8" x14ac:dyDescent="0.3">
      <c r="A1185" s="14" t="s">
        <v>2421</v>
      </c>
      <c r="B1185" s="14" t="s">
        <v>2422</v>
      </c>
      <c r="C1185" s="14">
        <v>26</v>
      </c>
      <c r="D1185" s="14" t="s">
        <v>41</v>
      </c>
      <c r="E1185" s="14" t="s">
        <v>50</v>
      </c>
      <c r="F1185" s="14" t="s">
        <v>43</v>
      </c>
      <c r="G1185" s="14" t="s">
        <v>60</v>
      </c>
      <c r="H1185" s="14" t="s">
        <v>45</v>
      </c>
      <c r="I1185" s="14" t="s">
        <v>45</v>
      </c>
      <c r="J1185" s="14">
        <v>0.32</v>
      </c>
      <c r="K1185" s="15">
        <v>44427</v>
      </c>
      <c r="L1185" s="13" t="str" cm="1">
        <f t="array" ref="L1185">_xlfn.IFS(
  OR(ISBLANK(A1185),ISBLANK(C1185),ISBLANK(J1185)),"Missing Value",
  OR(C1185&lt;18,C1185&gt;120),"Review – Out of Range (Age)",
  J1185&lt;0,"Review – Out of Range (Risk Score)",
  TRUE,"OK"
)</f>
        <v>OK</v>
      </c>
    </row>
    <row r="1186" spans="1:12" ht="16.8" x14ac:dyDescent="0.3">
      <c r="A1186" s="11" t="s">
        <v>2423</v>
      </c>
      <c r="B1186" s="11" t="s">
        <v>2424</v>
      </c>
      <c r="C1186" s="11">
        <v>27</v>
      </c>
      <c r="D1186" s="11" t="s">
        <v>49</v>
      </c>
      <c r="E1186" s="11" t="s">
        <v>50</v>
      </c>
      <c r="F1186" s="11" t="s">
        <v>51</v>
      </c>
      <c r="G1186" s="11" t="s">
        <v>55</v>
      </c>
      <c r="H1186" s="11" t="s">
        <v>46</v>
      </c>
      <c r="I1186" s="11" t="s">
        <v>46</v>
      </c>
      <c r="J1186" s="11">
        <v>0.1</v>
      </c>
      <c r="K1186" s="12">
        <v>44083</v>
      </c>
      <c r="L1186" s="13" t="str" cm="1">
        <f t="array" ref="L1186">_xlfn.IFS(
  OR(ISBLANK(A1186),ISBLANK(C1186),ISBLANK(J1186)),"Missing Value",
  OR(C1186&lt;18,C1186&gt;120),"Review – Out of Range (Age)",
  J1186&lt;0,"Review – Out of Range (Risk Score)",
  TRUE,"OK"
)</f>
        <v>OK</v>
      </c>
    </row>
    <row r="1187" spans="1:12" ht="16.8" x14ac:dyDescent="0.3">
      <c r="A1187" s="14" t="s">
        <v>2425</v>
      </c>
      <c r="B1187" s="14" t="s">
        <v>2426</v>
      </c>
      <c r="C1187" s="14">
        <v>20</v>
      </c>
      <c r="D1187" s="14" t="s">
        <v>49</v>
      </c>
      <c r="E1187" s="14" t="s">
        <v>50</v>
      </c>
      <c r="F1187" s="14" t="s">
        <v>59</v>
      </c>
      <c r="G1187" s="14" t="s">
        <v>94</v>
      </c>
      <c r="H1187" s="14" t="s">
        <v>46</v>
      </c>
      <c r="I1187" s="14" t="s">
        <v>45</v>
      </c>
      <c r="J1187" s="14">
        <v>0.3</v>
      </c>
      <c r="K1187" s="15">
        <v>43435</v>
      </c>
      <c r="L1187" s="13" t="str" cm="1">
        <f t="array" ref="L1187">_xlfn.IFS(
  OR(ISBLANK(A1187),ISBLANK(C1187),ISBLANK(J1187)),"Missing Value",
  OR(C1187&lt;18,C1187&gt;120),"Review – Out of Range (Age)",
  J1187&lt;0,"Review – Out of Range (Risk Score)",
  TRUE,"OK"
)</f>
        <v>OK</v>
      </c>
    </row>
    <row r="1188" spans="1:12" ht="16.8" x14ac:dyDescent="0.3">
      <c r="A1188" s="11" t="s">
        <v>2427</v>
      </c>
      <c r="B1188" s="11" t="s">
        <v>2428</v>
      </c>
      <c r="C1188" s="11">
        <v>25</v>
      </c>
      <c r="D1188" s="11" t="s">
        <v>41</v>
      </c>
      <c r="E1188" s="11" t="s">
        <v>58</v>
      </c>
      <c r="F1188" s="11" t="s">
        <v>65</v>
      </c>
      <c r="G1188" s="11" t="s">
        <v>109</v>
      </c>
      <c r="H1188" s="11" t="s">
        <v>45</v>
      </c>
      <c r="I1188" s="11" t="s">
        <v>45</v>
      </c>
      <c r="J1188" s="11">
        <v>0.4</v>
      </c>
      <c r="K1188" s="12">
        <v>43952</v>
      </c>
      <c r="L1188" s="13" t="str" cm="1">
        <f t="array" ref="L1188">_xlfn.IFS(
  OR(ISBLANK(A1188),ISBLANK(C1188),ISBLANK(J1188)),"Missing Value",
  OR(C1188&lt;18,C1188&gt;120),"Review – Out of Range (Age)",
  J1188&lt;0,"Review – Out of Range (Risk Score)",
  TRUE,"OK"
)</f>
        <v>OK</v>
      </c>
    </row>
    <row r="1189" spans="1:12" ht="16.8" x14ac:dyDescent="0.3">
      <c r="A1189" s="14" t="s">
        <v>2429</v>
      </c>
      <c r="B1189" s="14" t="s">
        <v>2430</v>
      </c>
      <c r="C1189" s="14">
        <v>58</v>
      </c>
      <c r="D1189" s="14" t="s">
        <v>41</v>
      </c>
      <c r="E1189" s="14" t="s">
        <v>50</v>
      </c>
      <c r="F1189" s="14" t="s">
        <v>59</v>
      </c>
      <c r="G1189" s="14" t="s">
        <v>109</v>
      </c>
      <c r="H1189" s="14" t="s">
        <v>45</v>
      </c>
      <c r="I1189" s="14" t="s">
        <v>46</v>
      </c>
      <c r="J1189" s="14">
        <v>0.52</v>
      </c>
      <c r="K1189" s="15">
        <v>44214</v>
      </c>
      <c r="L1189" s="13" t="str" cm="1">
        <f t="array" ref="L1189">_xlfn.IFS(
  OR(ISBLANK(A1189),ISBLANK(C1189),ISBLANK(J1189)),"Missing Value",
  OR(C1189&lt;18,C1189&gt;120),"Review – Out of Range (Age)",
  J1189&lt;0,"Review – Out of Range (Risk Score)",
  TRUE,"OK"
)</f>
        <v>OK</v>
      </c>
    </row>
    <row r="1190" spans="1:12" ht="16.8" x14ac:dyDescent="0.3">
      <c r="A1190" s="11" t="s">
        <v>2431</v>
      </c>
      <c r="B1190" s="11" t="s">
        <v>2432</v>
      </c>
      <c r="C1190" s="11">
        <v>28</v>
      </c>
      <c r="D1190" s="11" t="s">
        <v>41</v>
      </c>
      <c r="E1190" s="11" t="s">
        <v>50</v>
      </c>
      <c r="F1190" s="11" t="s">
        <v>51</v>
      </c>
      <c r="G1190" s="11" t="s">
        <v>60</v>
      </c>
      <c r="H1190" s="11" t="s">
        <v>45</v>
      </c>
      <c r="I1190" s="11" t="s">
        <v>46</v>
      </c>
      <c r="J1190" s="11">
        <v>0.28000000000000003</v>
      </c>
      <c r="K1190" s="12">
        <v>44226</v>
      </c>
      <c r="L1190" s="13" t="str" cm="1">
        <f t="array" ref="L1190">_xlfn.IFS(
  OR(ISBLANK(A1190),ISBLANK(C1190),ISBLANK(J1190)),"Missing Value",
  OR(C1190&lt;18,C1190&gt;120),"Review – Out of Range (Age)",
  J1190&lt;0,"Review – Out of Range (Risk Score)",
  TRUE,"OK"
)</f>
        <v>OK</v>
      </c>
    </row>
    <row r="1191" spans="1:12" ht="16.8" x14ac:dyDescent="0.3">
      <c r="A1191" s="14" t="s">
        <v>2433</v>
      </c>
      <c r="B1191" s="14" t="s">
        <v>2434</v>
      </c>
      <c r="C1191" s="14">
        <v>67</v>
      </c>
      <c r="D1191" s="14" t="s">
        <v>49</v>
      </c>
      <c r="E1191" s="14" t="s">
        <v>58</v>
      </c>
      <c r="F1191" s="14" t="s">
        <v>51</v>
      </c>
      <c r="G1191" s="14" t="s">
        <v>55</v>
      </c>
      <c r="H1191" s="14" t="s">
        <v>46</v>
      </c>
      <c r="I1191" s="14" t="s">
        <v>45</v>
      </c>
      <c r="J1191" s="14">
        <v>0.77</v>
      </c>
      <c r="K1191" s="15">
        <v>43763</v>
      </c>
      <c r="L1191" s="13" t="str" cm="1">
        <f t="array" ref="L1191">_xlfn.IFS(
  OR(ISBLANK(A1191),ISBLANK(C1191),ISBLANK(J1191)),"Missing Value",
  OR(C1191&lt;18,C1191&gt;120),"Review – Out of Range (Age)",
  J1191&lt;0,"Review – Out of Range (Risk Score)",
  TRUE,"OK"
)</f>
        <v>OK</v>
      </c>
    </row>
    <row r="1192" spans="1:12" ht="16.8" x14ac:dyDescent="0.3">
      <c r="A1192" s="11" t="s">
        <v>2435</v>
      </c>
      <c r="B1192" s="11" t="s">
        <v>2436</v>
      </c>
      <c r="C1192" s="11">
        <v>41</v>
      </c>
      <c r="D1192" s="11" t="s">
        <v>41</v>
      </c>
      <c r="E1192" s="11" t="s">
        <v>58</v>
      </c>
      <c r="F1192" s="11" t="s">
        <v>59</v>
      </c>
      <c r="G1192" s="11" t="s">
        <v>55</v>
      </c>
      <c r="H1192" s="11" t="s">
        <v>46</v>
      </c>
      <c r="I1192" s="11" t="s">
        <v>46</v>
      </c>
      <c r="J1192" s="11">
        <v>0.36</v>
      </c>
      <c r="K1192" s="12">
        <v>44557</v>
      </c>
      <c r="L1192" s="13" t="str" cm="1">
        <f t="array" ref="L1192">_xlfn.IFS(
  OR(ISBLANK(A1192),ISBLANK(C1192),ISBLANK(J1192)),"Missing Value",
  OR(C1192&lt;18,C1192&gt;120),"Review – Out of Range (Age)",
  J1192&lt;0,"Review – Out of Range (Risk Score)",
  TRUE,"OK"
)</f>
        <v>OK</v>
      </c>
    </row>
    <row r="1193" spans="1:12" ht="16.8" x14ac:dyDescent="0.3">
      <c r="A1193" s="14" t="s">
        <v>2437</v>
      </c>
      <c r="B1193" s="14" t="s">
        <v>2438</v>
      </c>
      <c r="C1193" s="14">
        <v>66</v>
      </c>
      <c r="D1193" s="14" t="s">
        <v>49</v>
      </c>
      <c r="E1193" s="14" t="s">
        <v>42</v>
      </c>
      <c r="F1193" s="14" t="s">
        <v>51</v>
      </c>
      <c r="G1193" s="14" t="s">
        <v>109</v>
      </c>
      <c r="H1193" s="14" t="s">
        <v>45</v>
      </c>
      <c r="I1193" s="14" t="s">
        <v>45</v>
      </c>
      <c r="J1193" s="14">
        <v>0.24</v>
      </c>
      <c r="K1193" s="15">
        <v>43962</v>
      </c>
      <c r="L1193" s="13" t="str" cm="1">
        <f t="array" ref="L1193">_xlfn.IFS(
  OR(ISBLANK(A1193),ISBLANK(C1193),ISBLANK(J1193)),"Missing Value",
  OR(C1193&lt;18,C1193&gt;120),"Review – Out of Range (Age)",
  J1193&lt;0,"Review – Out of Range (Risk Score)",
  TRUE,"OK"
)</f>
        <v>OK</v>
      </c>
    </row>
    <row r="1194" spans="1:12" ht="16.8" x14ac:dyDescent="0.3">
      <c r="A1194" s="11" t="s">
        <v>2439</v>
      </c>
      <c r="B1194" s="11" t="s">
        <v>2440</v>
      </c>
      <c r="C1194" s="11">
        <v>22</v>
      </c>
      <c r="D1194" s="11" t="s">
        <v>49</v>
      </c>
      <c r="E1194" s="11" t="s">
        <v>58</v>
      </c>
      <c r="F1194" s="11" t="s">
        <v>65</v>
      </c>
      <c r="G1194" s="11" t="s">
        <v>94</v>
      </c>
      <c r="H1194" s="11" t="s">
        <v>46</v>
      </c>
      <c r="I1194" s="11" t="s">
        <v>46</v>
      </c>
      <c r="J1194" s="11">
        <v>0.27</v>
      </c>
      <c r="K1194" s="12">
        <v>44453</v>
      </c>
      <c r="L1194" s="13" t="str" cm="1">
        <f t="array" ref="L1194">_xlfn.IFS(
  OR(ISBLANK(A1194),ISBLANK(C1194),ISBLANK(J1194)),"Missing Value",
  OR(C1194&lt;18,C1194&gt;120),"Review – Out of Range (Age)",
  J1194&lt;0,"Review – Out of Range (Risk Score)",
  TRUE,"OK"
)</f>
        <v>OK</v>
      </c>
    </row>
    <row r="1195" spans="1:12" ht="16.8" x14ac:dyDescent="0.3">
      <c r="A1195" s="14" t="s">
        <v>2441</v>
      </c>
      <c r="B1195" s="14" t="s">
        <v>2442</v>
      </c>
      <c r="C1195" s="14">
        <v>57</v>
      </c>
      <c r="D1195" s="14" t="s">
        <v>41</v>
      </c>
      <c r="E1195" s="14" t="s">
        <v>42</v>
      </c>
      <c r="F1195" s="14" t="s">
        <v>43</v>
      </c>
      <c r="G1195" s="14" t="s">
        <v>60</v>
      </c>
      <c r="H1195" s="14" t="s">
        <v>45</v>
      </c>
      <c r="I1195" s="14" t="s">
        <v>46</v>
      </c>
      <c r="J1195" s="14">
        <v>0.72</v>
      </c>
      <c r="K1195" s="15">
        <v>44302</v>
      </c>
      <c r="L1195" s="13" t="str" cm="1">
        <f t="array" ref="L1195">_xlfn.IFS(
  OR(ISBLANK(A1195),ISBLANK(C1195),ISBLANK(J1195)),"Missing Value",
  OR(C1195&lt;18,C1195&gt;120),"Review – Out of Range (Age)",
  J1195&lt;0,"Review – Out of Range (Risk Score)",
  TRUE,"OK"
)</f>
        <v>OK</v>
      </c>
    </row>
    <row r="1196" spans="1:12" ht="16.8" x14ac:dyDescent="0.3">
      <c r="A1196" s="11" t="s">
        <v>2443</v>
      </c>
      <c r="B1196" s="11" t="s">
        <v>2444</v>
      </c>
      <c r="C1196" s="11">
        <v>65</v>
      </c>
      <c r="D1196" s="11" t="s">
        <v>49</v>
      </c>
      <c r="E1196" s="11" t="s">
        <v>58</v>
      </c>
      <c r="F1196" s="11" t="s">
        <v>51</v>
      </c>
      <c r="G1196" s="11" t="s">
        <v>55</v>
      </c>
      <c r="H1196" s="11" t="s">
        <v>46</v>
      </c>
      <c r="I1196" s="11" t="s">
        <v>45</v>
      </c>
      <c r="J1196" s="11">
        <v>0.46</v>
      </c>
      <c r="K1196" s="12">
        <v>43576</v>
      </c>
      <c r="L1196" s="13" t="str" cm="1">
        <f t="array" ref="L1196">_xlfn.IFS(
  OR(ISBLANK(A1196),ISBLANK(C1196),ISBLANK(J1196)),"Missing Value",
  OR(C1196&lt;18,C1196&gt;120),"Review – Out of Range (Age)",
  J1196&lt;0,"Review – Out of Range (Risk Score)",
  TRUE,"OK"
)</f>
        <v>OK</v>
      </c>
    </row>
    <row r="1197" spans="1:12" ht="16.8" x14ac:dyDescent="0.3">
      <c r="A1197" s="14" t="s">
        <v>2445</v>
      </c>
      <c r="B1197" s="14" t="s">
        <v>2446</v>
      </c>
      <c r="C1197" s="14">
        <v>24</v>
      </c>
      <c r="D1197" s="14" t="s">
        <v>41</v>
      </c>
      <c r="E1197" s="14" t="s">
        <v>58</v>
      </c>
      <c r="F1197" s="14" t="s">
        <v>43</v>
      </c>
      <c r="G1197" s="14" t="s">
        <v>60</v>
      </c>
      <c r="H1197" s="14" t="s">
        <v>45</v>
      </c>
      <c r="I1197" s="14" t="s">
        <v>45</v>
      </c>
      <c r="J1197" s="14">
        <v>0.38</v>
      </c>
      <c r="K1197" s="15">
        <v>44841</v>
      </c>
      <c r="L1197" s="13" t="str" cm="1">
        <f t="array" ref="L1197">_xlfn.IFS(
  OR(ISBLANK(A1197),ISBLANK(C1197),ISBLANK(J1197)),"Missing Value",
  OR(C1197&lt;18,C1197&gt;120),"Review – Out of Range (Age)",
  J1197&lt;0,"Review – Out of Range (Risk Score)",
  TRUE,"OK"
)</f>
        <v>OK</v>
      </c>
    </row>
    <row r="1198" spans="1:12" ht="16.8" x14ac:dyDescent="0.3">
      <c r="A1198" s="11" t="s">
        <v>2447</v>
      </c>
      <c r="B1198" s="11" t="s">
        <v>2448</v>
      </c>
      <c r="C1198" s="11">
        <v>41</v>
      </c>
      <c r="D1198" s="11" t="s">
        <v>41</v>
      </c>
      <c r="E1198" s="11" t="s">
        <v>50</v>
      </c>
      <c r="F1198" s="11" t="s">
        <v>65</v>
      </c>
      <c r="G1198" s="11" t="s">
        <v>44</v>
      </c>
      <c r="H1198" s="11" t="s">
        <v>45</v>
      </c>
      <c r="I1198" s="11" t="s">
        <v>46</v>
      </c>
      <c r="J1198" s="11">
        <v>0.5</v>
      </c>
      <c r="K1198" s="12">
        <v>44277</v>
      </c>
      <c r="L1198" s="13" t="str" cm="1">
        <f t="array" ref="L1198">_xlfn.IFS(
  OR(ISBLANK(A1198),ISBLANK(C1198),ISBLANK(J1198)),"Missing Value",
  OR(C1198&lt;18,C1198&gt;120),"Review – Out of Range (Age)",
  J1198&lt;0,"Review – Out of Range (Risk Score)",
  TRUE,"OK"
)</f>
        <v>OK</v>
      </c>
    </row>
    <row r="1199" spans="1:12" ht="16.8" x14ac:dyDescent="0.3">
      <c r="A1199" s="14" t="s">
        <v>2449</v>
      </c>
      <c r="B1199" s="14" t="s">
        <v>2450</v>
      </c>
      <c r="C1199" s="14">
        <v>28</v>
      </c>
      <c r="D1199" s="14" t="s">
        <v>49</v>
      </c>
      <c r="E1199" s="14" t="s">
        <v>58</v>
      </c>
      <c r="F1199" s="14" t="s">
        <v>65</v>
      </c>
      <c r="G1199" s="14" t="s">
        <v>44</v>
      </c>
      <c r="H1199" s="14" t="s">
        <v>45</v>
      </c>
      <c r="I1199" s="14" t="s">
        <v>46</v>
      </c>
      <c r="J1199" s="14">
        <v>0.72</v>
      </c>
      <c r="K1199" s="15">
        <v>43323</v>
      </c>
      <c r="L1199" s="13" t="str" cm="1">
        <f t="array" ref="L1199">_xlfn.IFS(
  OR(ISBLANK(A1199),ISBLANK(C1199),ISBLANK(J1199)),"Missing Value",
  OR(C1199&lt;18,C1199&gt;120),"Review – Out of Range (Age)",
  J1199&lt;0,"Review – Out of Range (Risk Score)",
  TRUE,"OK"
)</f>
        <v>OK</v>
      </c>
    </row>
    <row r="1200" spans="1:12" ht="16.8" x14ac:dyDescent="0.3">
      <c r="A1200" s="11" t="s">
        <v>2451</v>
      </c>
      <c r="B1200" s="11" t="s">
        <v>2452</v>
      </c>
      <c r="C1200" s="11">
        <v>41</v>
      </c>
      <c r="D1200" s="11" t="s">
        <v>41</v>
      </c>
      <c r="E1200" s="11" t="s">
        <v>58</v>
      </c>
      <c r="F1200" s="11" t="s">
        <v>43</v>
      </c>
      <c r="G1200" s="11" t="s">
        <v>60</v>
      </c>
      <c r="H1200" s="11" t="s">
        <v>46</v>
      </c>
      <c r="I1200" s="11" t="s">
        <v>46</v>
      </c>
      <c r="J1200" s="11">
        <v>0.75</v>
      </c>
      <c r="K1200" s="12">
        <v>43333</v>
      </c>
      <c r="L1200" s="13" t="str" cm="1">
        <f t="array" ref="L1200">_xlfn.IFS(
  OR(ISBLANK(A1200),ISBLANK(C1200),ISBLANK(J1200)),"Missing Value",
  OR(C1200&lt;18,C1200&gt;120),"Review – Out of Range (Age)",
  J1200&lt;0,"Review – Out of Range (Risk Score)",
  TRUE,"OK"
)</f>
        <v>OK</v>
      </c>
    </row>
    <row r="1201" spans="1:12" ht="16.8" x14ac:dyDescent="0.3">
      <c r="A1201" s="14" t="s">
        <v>2453</v>
      </c>
      <c r="B1201" s="14" t="s">
        <v>2454</v>
      </c>
      <c r="C1201" s="14">
        <v>65</v>
      </c>
      <c r="D1201" s="14" t="s">
        <v>41</v>
      </c>
      <c r="E1201" s="14" t="s">
        <v>50</v>
      </c>
      <c r="F1201" s="14" t="s">
        <v>43</v>
      </c>
      <c r="G1201" s="14" t="s">
        <v>60</v>
      </c>
      <c r="H1201" s="14" t="s">
        <v>45</v>
      </c>
      <c r="I1201" s="14" t="s">
        <v>45</v>
      </c>
      <c r="J1201" s="14">
        <v>0.43</v>
      </c>
      <c r="K1201" s="15">
        <v>44360</v>
      </c>
      <c r="L1201" s="13" t="str" cm="1">
        <f t="array" ref="L1201">_xlfn.IFS(
  OR(ISBLANK(A1201),ISBLANK(C1201),ISBLANK(J1201)),"Missing Value",
  OR(C1201&lt;18,C1201&gt;120),"Review – Out of Range (Age)",
  J1201&lt;0,"Review – Out of Range (Risk Score)",
  TRUE,"OK"
)</f>
        <v>OK</v>
      </c>
    </row>
    <row r="1202" spans="1:12" ht="16.8" x14ac:dyDescent="0.3">
      <c r="A1202" s="11" t="s">
        <v>2455</v>
      </c>
      <c r="B1202" s="11" t="s">
        <v>2456</v>
      </c>
      <c r="C1202" s="11">
        <v>34</v>
      </c>
      <c r="D1202" s="11" t="s">
        <v>41</v>
      </c>
      <c r="E1202" s="11" t="s">
        <v>50</v>
      </c>
      <c r="F1202" s="11" t="s">
        <v>51</v>
      </c>
      <c r="G1202" s="11" t="s">
        <v>52</v>
      </c>
      <c r="H1202" s="11" t="s">
        <v>46</v>
      </c>
      <c r="I1202" s="11" t="s">
        <v>46</v>
      </c>
      <c r="J1202" s="11">
        <v>0.05</v>
      </c>
      <c r="K1202" s="12">
        <v>43731</v>
      </c>
      <c r="L1202" s="13" t="str" cm="1">
        <f t="array" ref="L1202">_xlfn.IFS(
  OR(ISBLANK(A1202),ISBLANK(C1202),ISBLANK(J1202)),"Missing Value",
  OR(C1202&lt;18,C1202&gt;120),"Review – Out of Range (Age)",
  J1202&lt;0,"Review – Out of Range (Risk Score)",
  TRUE,"OK"
)</f>
        <v>OK</v>
      </c>
    </row>
    <row r="1203" spans="1:12" ht="16.8" x14ac:dyDescent="0.3">
      <c r="A1203" s="14" t="s">
        <v>2457</v>
      </c>
      <c r="B1203" s="14" t="s">
        <v>2458</v>
      </c>
      <c r="C1203" s="14">
        <v>31</v>
      </c>
      <c r="D1203" s="14" t="s">
        <v>41</v>
      </c>
      <c r="E1203" s="14" t="s">
        <v>42</v>
      </c>
      <c r="F1203" s="14" t="s">
        <v>43</v>
      </c>
      <c r="G1203" s="14" t="s">
        <v>109</v>
      </c>
      <c r="H1203" s="14" t="s">
        <v>46</v>
      </c>
      <c r="I1203" s="14" t="s">
        <v>45</v>
      </c>
      <c r="J1203" s="14">
        <v>0.43</v>
      </c>
      <c r="K1203" s="15">
        <v>44649</v>
      </c>
      <c r="L1203" s="13" t="str" cm="1">
        <f t="array" ref="L1203">_xlfn.IFS(
  OR(ISBLANK(A1203),ISBLANK(C1203),ISBLANK(J1203)),"Missing Value",
  OR(C1203&lt;18,C1203&gt;120),"Review – Out of Range (Age)",
  J1203&lt;0,"Review – Out of Range (Risk Score)",
  TRUE,"OK"
)</f>
        <v>OK</v>
      </c>
    </row>
    <row r="1204" spans="1:12" ht="16.8" x14ac:dyDescent="0.3">
      <c r="A1204" s="11" t="s">
        <v>2459</v>
      </c>
      <c r="B1204" s="11" t="s">
        <v>2460</v>
      </c>
      <c r="C1204" s="11">
        <v>40</v>
      </c>
      <c r="D1204" s="11" t="s">
        <v>49</v>
      </c>
      <c r="E1204" s="11" t="s">
        <v>58</v>
      </c>
      <c r="F1204" s="11" t="s">
        <v>65</v>
      </c>
      <c r="G1204" s="11" t="s">
        <v>94</v>
      </c>
      <c r="H1204" s="11" t="s">
        <v>45</v>
      </c>
      <c r="I1204" s="11" t="s">
        <v>45</v>
      </c>
      <c r="J1204" s="11">
        <v>0.48</v>
      </c>
      <c r="K1204" s="12">
        <v>43669</v>
      </c>
      <c r="L1204" s="13" t="str" cm="1">
        <f t="array" ref="L1204">_xlfn.IFS(
  OR(ISBLANK(A1204),ISBLANK(C1204),ISBLANK(J1204)),"Missing Value",
  OR(C1204&lt;18,C1204&gt;120),"Review – Out of Range (Age)",
  J1204&lt;0,"Review – Out of Range (Risk Score)",
  TRUE,"OK"
)</f>
        <v>OK</v>
      </c>
    </row>
    <row r="1205" spans="1:12" ht="16.8" x14ac:dyDescent="0.3">
      <c r="A1205" s="14" t="s">
        <v>2461</v>
      </c>
      <c r="B1205" s="14" t="s">
        <v>2462</v>
      </c>
      <c r="C1205" s="14">
        <v>21</v>
      </c>
      <c r="D1205" s="14" t="s">
        <v>49</v>
      </c>
      <c r="E1205" s="14" t="s">
        <v>50</v>
      </c>
      <c r="F1205" s="14" t="s">
        <v>43</v>
      </c>
      <c r="G1205" s="14" t="s">
        <v>109</v>
      </c>
      <c r="H1205" s="14" t="s">
        <v>45</v>
      </c>
      <c r="I1205" s="14" t="s">
        <v>45</v>
      </c>
      <c r="J1205" s="14">
        <v>0.71</v>
      </c>
      <c r="K1205" s="15">
        <v>44575</v>
      </c>
      <c r="L1205" s="13" t="str" cm="1">
        <f t="array" ref="L1205">_xlfn.IFS(
  OR(ISBLANK(A1205),ISBLANK(C1205),ISBLANK(J1205)),"Missing Value",
  OR(C1205&lt;18,C1205&gt;120),"Review – Out of Range (Age)",
  J1205&lt;0,"Review – Out of Range (Risk Score)",
  TRUE,"OK"
)</f>
        <v>OK</v>
      </c>
    </row>
    <row r="1206" spans="1:12" ht="16.8" x14ac:dyDescent="0.3">
      <c r="A1206" s="11" t="s">
        <v>2463</v>
      </c>
      <c r="B1206" s="11" t="s">
        <v>2464</v>
      </c>
      <c r="C1206" s="11">
        <v>56</v>
      </c>
      <c r="D1206" s="11" t="s">
        <v>41</v>
      </c>
      <c r="E1206" s="11" t="s">
        <v>50</v>
      </c>
      <c r="F1206" s="11" t="s">
        <v>43</v>
      </c>
      <c r="G1206" s="11" t="s">
        <v>52</v>
      </c>
      <c r="H1206" s="11" t="s">
        <v>45</v>
      </c>
      <c r="I1206" s="11" t="s">
        <v>46</v>
      </c>
      <c r="J1206" s="11">
        <v>0.45</v>
      </c>
      <c r="K1206" s="12">
        <v>44019</v>
      </c>
      <c r="L1206" s="13" t="str" cm="1">
        <f t="array" ref="L1206">_xlfn.IFS(
  OR(ISBLANK(A1206),ISBLANK(C1206),ISBLANK(J1206)),"Missing Value",
  OR(C1206&lt;18,C1206&gt;120),"Review – Out of Range (Age)",
  J1206&lt;0,"Review – Out of Range (Risk Score)",
  TRUE,"OK"
)</f>
        <v>OK</v>
      </c>
    </row>
    <row r="1207" spans="1:12" ht="16.8" x14ac:dyDescent="0.3">
      <c r="A1207" s="14" t="s">
        <v>2465</v>
      </c>
      <c r="B1207" s="14" t="s">
        <v>2466</v>
      </c>
      <c r="C1207" s="14">
        <v>26</v>
      </c>
      <c r="D1207" s="14" t="s">
        <v>41</v>
      </c>
      <c r="E1207" s="14" t="s">
        <v>42</v>
      </c>
      <c r="F1207" s="14" t="s">
        <v>51</v>
      </c>
      <c r="G1207" s="14" t="s">
        <v>60</v>
      </c>
      <c r="H1207" s="14" t="s">
        <v>45</v>
      </c>
      <c r="I1207" s="14" t="s">
        <v>45</v>
      </c>
      <c r="J1207" s="14">
        <v>0.37</v>
      </c>
      <c r="K1207" s="15">
        <v>44170</v>
      </c>
      <c r="L1207" s="13" t="str" cm="1">
        <f t="array" ref="L1207">_xlfn.IFS(
  OR(ISBLANK(A1207),ISBLANK(C1207),ISBLANK(J1207)),"Missing Value",
  OR(C1207&lt;18,C1207&gt;120),"Review – Out of Range (Age)",
  J1207&lt;0,"Review – Out of Range (Risk Score)",
  TRUE,"OK"
)</f>
        <v>OK</v>
      </c>
    </row>
    <row r="1208" spans="1:12" ht="16.8" x14ac:dyDescent="0.3">
      <c r="A1208" s="11" t="s">
        <v>2467</v>
      </c>
      <c r="B1208" s="11" t="s">
        <v>2468</v>
      </c>
      <c r="C1208" s="11">
        <v>54</v>
      </c>
      <c r="D1208" s="11" t="s">
        <v>49</v>
      </c>
      <c r="E1208" s="11" t="s">
        <v>50</v>
      </c>
      <c r="F1208" s="11" t="s">
        <v>65</v>
      </c>
      <c r="G1208" s="11" t="s">
        <v>60</v>
      </c>
      <c r="H1208" s="11" t="s">
        <v>45</v>
      </c>
      <c r="I1208" s="11" t="s">
        <v>45</v>
      </c>
      <c r="J1208" s="11">
        <v>0.32</v>
      </c>
      <c r="K1208" s="12">
        <v>44279</v>
      </c>
      <c r="L1208" s="13" t="str" cm="1">
        <f t="array" ref="L1208">_xlfn.IFS(
  OR(ISBLANK(A1208),ISBLANK(C1208),ISBLANK(J1208)),"Missing Value",
  OR(C1208&lt;18,C1208&gt;120),"Review – Out of Range (Age)",
  J1208&lt;0,"Review – Out of Range (Risk Score)",
  TRUE,"OK"
)</f>
        <v>OK</v>
      </c>
    </row>
    <row r="1209" spans="1:12" ht="16.8" x14ac:dyDescent="0.3">
      <c r="A1209" s="14" t="s">
        <v>2469</v>
      </c>
      <c r="B1209" s="14" t="s">
        <v>2470</v>
      </c>
      <c r="C1209" s="14">
        <v>27</v>
      </c>
      <c r="D1209" s="14" t="s">
        <v>49</v>
      </c>
      <c r="E1209" s="14" t="s">
        <v>42</v>
      </c>
      <c r="F1209" s="14" t="s">
        <v>65</v>
      </c>
      <c r="G1209" s="14" t="s">
        <v>55</v>
      </c>
      <c r="H1209" s="14" t="s">
        <v>45</v>
      </c>
      <c r="I1209" s="14" t="s">
        <v>45</v>
      </c>
      <c r="J1209" s="14">
        <v>0.46</v>
      </c>
      <c r="K1209" s="15">
        <v>43245</v>
      </c>
      <c r="L1209" s="13" t="str" cm="1">
        <f t="array" ref="L1209">_xlfn.IFS(
  OR(ISBLANK(A1209),ISBLANK(C1209),ISBLANK(J1209)),"Missing Value",
  OR(C1209&lt;18,C1209&gt;120),"Review – Out of Range (Age)",
  J1209&lt;0,"Review – Out of Range (Risk Score)",
  TRUE,"OK"
)</f>
        <v>OK</v>
      </c>
    </row>
    <row r="1210" spans="1:12" ht="16.8" x14ac:dyDescent="0.3">
      <c r="A1210" s="11" t="s">
        <v>2471</v>
      </c>
      <c r="B1210" s="11" t="s">
        <v>2472</v>
      </c>
      <c r="C1210" s="11">
        <v>22</v>
      </c>
      <c r="D1210" s="11" t="s">
        <v>41</v>
      </c>
      <c r="E1210" s="11" t="s">
        <v>50</v>
      </c>
      <c r="F1210" s="11" t="s">
        <v>59</v>
      </c>
      <c r="G1210" s="11" t="s">
        <v>60</v>
      </c>
      <c r="H1210" s="11" t="s">
        <v>46</v>
      </c>
      <c r="I1210" s="11" t="s">
        <v>45</v>
      </c>
      <c r="J1210" s="11">
        <v>0.62</v>
      </c>
      <c r="K1210" s="12">
        <v>43414</v>
      </c>
      <c r="L1210" s="13" t="str" cm="1">
        <f t="array" ref="L1210">_xlfn.IFS(
  OR(ISBLANK(A1210),ISBLANK(C1210),ISBLANK(J1210)),"Missing Value",
  OR(C1210&lt;18,C1210&gt;120),"Review – Out of Range (Age)",
  J1210&lt;0,"Review – Out of Range (Risk Score)",
  TRUE,"OK"
)</f>
        <v>OK</v>
      </c>
    </row>
    <row r="1211" spans="1:12" ht="16.8" x14ac:dyDescent="0.3">
      <c r="A1211" s="14" t="s">
        <v>2473</v>
      </c>
      <c r="B1211" s="14" t="s">
        <v>2474</v>
      </c>
      <c r="C1211" s="14">
        <v>65</v>
      </c>
      <c r="D1211" s="14" t="s">
        <v>49</v>
      </c>
      <c r="E1211" s="14" t="s">
        <v>58</v>
      </c>
      <c r="F1211" s="14" t="s">
        <v>51</v>
      </c>
      <c r="G1211" s="14" t="s">
        <v>55</v>
      </c>
      <c r="H1211" s="14" t="s">
        <v>46</v>
      </c>
      <c r="I1211" s="14" t="s">
        <v>46</v>
      </c>
      <c r="J1211" s="14">
        <v>0.33</v>
      </c>
      <c r="K1211" s="15">
        <v>44646</v>
      </c>
      <c r="L1211" s="13" t="str" cm="1">
        <f t="array" ref="L1211">_xlfn.IFS(
  OR(ISBLANK(A1211),ISBLANK(C1211),ISBLANK(J1211)),"Missing Value",
  OR(C1211&lt;18,C1211&gt;120),"Review – Out of Range (Age)",
  J1211&lt;0,"Review – Out of Range (Risk Score)",
  TRUE,"OK"
)</f>
        <v>OK</v>
      </c>
    </row>
    <row r="1212" spans="1:12" ht="16.8" x14ac:dyDescent="0.3">
      <c r="A1212" s="11" t="s">
        <v>2475</v>
      </c>
      <c r="B1212" s="11" t="s">
        <v>2476</v>
      </c>
      <c r="C1212" s="11">
        <v>31</v>
      </c>
      <c r="D1212" s="11" t="s">
        <v>49</v>
      </c>
      <c r="E1212" s="11" t="s">
        <v>50</v>
      </c>
      <c r="F1212" s="11" t="s">
        <v>43</v>
      </c>
      <c r="G1212" s="11" t="s">
        <v>52</v>
      </c>
      <c r="H1212" s="11" t="s">
        <v>46</v>
      </c>
      <c r="I1212" s="11" t="s">
        <v>45</v>
      </c>
      <c r="J1212" s="11">
        <v>0.42</v>
      </c>
      <c r="K1212" s="12">
        <v>43312</v>
      </c>
      <c r="L1212" s="13" t="str" cm="1">
        <f t="array" ref="L1212">_xlfn.IFS(
  OR(ISBLANK(A1212),ISBLANK(C1212),ISBLANK(J1212)),"Missing Value",
  OR(C1212&lt;18,C1212&gt;120),"Review – Out of Range (Age)",
  J1212&lt;0,"Review – Out of Range (Risk Score)",
  TRUE,"OK"
)</f>
        <v>OK</v>
      </c>
    </row>
    <row r="1213" spans="1:12" ht="16.8" x14ac:dyDescent="0.3">
      <c r="A1213" s="14" t="s">
        <v>2477</v>
      </c>
      <c r="B1213" s="14" t="s">
        <v>2478</v>
      </c>
      <c r="C1213" s="14">
        <v>28</v>
      </c>
      <c r="D1213" s="14" t="s">
        <v>41</v>
      </c>
      <c r="E1213" s="14" t="s">
        <v>58</v>
      </c>
      <c r="F1213" s="14" t="s">
        <v>59</v>
      </c>
      <c r="G1213" s="14" t="s">
        <v>94</v>
      </c>
      <c r="H1213" s="14" t="s">
        <v>45</v>
      </c>
      <c r="I1213" s="14" t="s">
        <v>45</v>
      </c>
      <c r="J1213" s="14">
        <v>0.42</v>
      </c>
      <c r="K1213" s="15">
        <v>45027</v>
      </c>
      <c r="L1213" s="13" t="str" cm="1">
        <f t="array" ref="L1213">_xlfn.IFS(
  OR(ISBLANK(A1213),ISBLANK(C1213),ISBLANK(J1213)),"Missing Value",
  OR(C1213&lt;18,C1213&gt;120),"Review – Out of Range (Age)",
  J1213&lt;0,"Review – Out of Range (Risk Score)",
  TRUE,"OK"
)</f>
        <v>OK</v>
      </c>
    </row>
    <row r="1214" spans="1:12" ht="16.8" x14ac:dyDescent="0.3">
      <c r="A1214" s="11" t="s">
        <v>2479</v>
      </c>
      <c r="B1214" s="11" t="s">
        <v>2480</v>
      </c>
      <c r="C1214" s="11">
        <v>66</v>
      </c>
      <c r="D1214" s="11" t="s">
        <v>41</v>
      </c>
      <c r="E1214" s="11" t="s">
        <v>50</v>
      </c>
      <c r="F1214" s="11" t="s">
        <v>43</v>
      </c>
      <c r="G1214" s="11" t="s">
        <v>55</v>
      </c>
      <c r="H1214" s="11" t="s">
        <v>45</v>
      </c>
      <c r="I1214" s="11" t="s">
        <v>46</v>
      </c>
      <c r="J1214" s="11">
        <v>0.51</v>
      </c>
      <c r="K1214" s="12">
        <v>45257</v>
      </c>
      <c r="L1214" s="13" t="str" cm="1">
        <f t="array" ref="L1214">_xlfn.IFS(
  OR(ISBLANK(A1214),ISBLANK(C1214),ISBLANK(J1214)),"Missing Value",
  OR(C1214&lt;18,C1214&gt;120),"Review – Out of Range (Age)",
  J1214&lt;0,"Review – Out of Range (Risk Score)",
  TRUE,"OK"
)</f>
        <v>OK</v>
      </c>
    </row>
    <row r="1215" spans="1:12" ht="16.8" x14ac:dyDescent="0.3">
      <c r="A1215" s="14" t="s">
        <v>2481</v>
      </c>
      <c r="B1215" s="14" t="s">
        <v>2482</v>
      </c>
      <c r="C1215" s="14">
        <v>53</v>
      </c>
      <c r="D1215" s="14" t="s">
        <v>41</v>
      </c>
      <c r="E1215" s="14" t="s">
        <v>42</v>
      </c>
      <c r="F1215" s="14" t="s">
        <v>43</v>
      </c>
      <c r="G1215" s="14" t="s">
        <v>94</v>
      </c>
      <c r="H1215" s="14" t="s">
        <v>45</v>
      </c>
      <c r="I1215" s="14" t="s">
        <v>46</v>
      </c>
      <c r="J1215" s="14">
        <v>0.46</v>
      </c>
      <c r="K1215" s="15">
        <v>43376</v>
      </c>
      <c r="L1215" s="13" t="str" cm="1">
        <f t="array" ref="L1215">_xlfn.IFS(
  OR(ISBLANK(A1215),ISBLANK(C1215),ISBLANK(J1215)),"Missing Value",
  OR(C1215&lt;18,C1215&gt;120),"Review – Out of Range (Age)",
  J1215&lt;0,"Review – Out of Range (Risk Score)",
  TRUE,"OK"
)</f>
        <v>OK</v>
      </c>
    </row>
    <row r="1216" spans="1:12" ht="16.8" x14ac:dyDescent="0.3">
      <c r="A1216" s="11" t="s">
        <v>2483</v>
      </c>
      <c r="B1216" s="11" t="s">
        <v>2484</v>
      </c>
      <c r="C1216" s="11">
        <v>50</v>
      </c>
      <c r="D1216" s="11" t="s">
        <v>49</v>
      </c>
      <c r="E1216" s="11" t="s">
        <v>50</v>
      </c>
      <c r="F1216" s="11" t="s">
        <v>51</v>
      </c>
      <c r="G1216" s="11" t="s">
        <v>94</v>
      </c>
      <c r="H1216" s="11" t="s">
        <v>46</v>
      </c>
      <c r="I1216" s="11" t="s">
        <v>45</v>
      </c>
      <c r="J1216" s="11">
        <v>0.79</v>
      </c>
      <c r="K1216" s="12">
        <v>43894</v>
      </c>
      <c r="L1216" s="13" t="str" cm="1">
        <f t="array" ref="L1216">_xlfn.IFS(
  OR(ISBLANK(A1216),ISBLANK(C1216),ISBLANK(J1216)),"Missing Value",
  OR(C1216&lt;18,C1216&gt;120),"Review – Out of Range (Age)",
  J1216&lt;0,"Review – Out of Range (Risk Score)",
  TRUE,"OK"
)</f>
        <v>OK</v>
      </c>
    </row>
    <row r="1217" spans="1:12" ht="16.8" x14ac:dyDescent="0.3">
      <c r="A1217" s="14" t="s">
        <v>2485</v>
      </c>
      <c r="B1217" s="14" t="s">
        <v>2486</v>
      </c>
      <c r="C1217" s="14">
        <v>21</v>
      </c>
      <c r="D1217" s="14" t="s">
        <v>41</v>
      </c>
      <c r="E1217" s="14" t="s">
        <v>42</v>
      </c>
      <c r="F1217" s="14" t="s">
        <v>43</v>
      </c>
      <c r="G1217" s="14" t="s">
        <v>55</v>
      </c>
      <c r="H1217" s="14" t="s">
        <v>45</v>
      </c>
      <c r="I1217" s="14" t="s">
        <v>45</v>
      </c>
      <c r="J1217" s="14">
        <v>0.08</v>
      </c>
      <c r="K1217" s="15">
        <v>45108</v>
      </c>
      <c r="L1217" s="13" t="str" cm="1">
        <f t="array" ref="L1217">_xlfn.IFS(
  OR(ISBLANK(A1217),ISBLANK(C1217),ISBLANK(J1217)),"Missing Value",
  OR(C1217&lt;18,C1217&gt;120),"Review – Out of Range (Age)",
  J1217&lt;0,"Review – Out of Range (Risk Score)",
  TRUE,"OK"
)</f>
        <v>OK</v>
      </c>
    </row>
    <row r="1218" spans="1:12" ht="16.8" x14ac:dyDescent="0.3">
      <c r="A1218" s="11" t="s">
        <v>2487</v>
      </c>
      <c r="B1218" s="11" t="s">
        <v>2488</v>
      </c>
      <c r="C1218" s="11">
        <v>44</v>
      </c>
      <c r="D1218" s="11" t="s">
        <v>49</v>
      </c>
      <c r="E1218" s="11" t="s">
        <v>58</v>
      </c>
      <c r="F1218" s="11" t="s">
        <v>65</v>
      </c>
      <c r="G1218" s="11" t="s">
        <v>52</v>
      </c>
      <c r="H1218" s="11" t="s">
        <v>46</v>
      </c>
      <c r="I1218" s="11" t="s">
        <v>46</v>
      </c>
      <c r="J1218" s="11">
        <v>0.85</v>
      </c>
      <c r="K1218" s="12">
        <v>44803</v>
      </c>
      <c r="L1218" s="13" t="str" cm="1">
        <f t="array" ref="L1218">_xlfn.IFS(
  OR(ISBLANK(A1218),ISBLANK(C1218),ISBLANK(J1218)),"Missing Value",
  OR(C1218&lt;18,C1218&gt;120),"Review – Out of Range (Age)",
  J1218&lt;0,"Review – Out of Range (Risk Score)",
  TRUE,"OK"
)</f>
        <v>OK</v>
      </c>
    </row>
    <row r="1219" spans="1:12" ht="16.8" x14ac:dyDescent="0.3">
      <c r="A1219" s="14" t="s">
        <v>2489</v>
      </c>
      <c r="B1219" s="14" t="s">
        <v>2490</v>
      </c>
      <c r="C1219" s="14">
        <v>41</v>
      </c>
      <c r="D1219" s="14" t="s">
        <v>41</v>
      </c>
      <c r="E1219" s="14" t="s">
        <v>42</v>
      </c>
      <c r="F1219" s="14" t="s">
        <v>51</v>
      </c>
      <c r="G1219" s="14" t="s">
        <v>44</v>
      </c>
      <c r="H1219" s="14" t="s">
        <v>46</v>
      </c>
      <c r="I1219" s="14" t="s">
        <v>45</v>
      </c>
      <c r="J1219" s="14">
        <v>0.5</v>
      </c>
      <c r="K1219" s="15">
        <v>43959</v>
      </c>
      <c r="L1219" s="13" t="str" cm="1">
        <f t="array" ref="L1219">_xlfn.IFS(
  OR(ISBLANK(A1219),ISBLANK(C1219),ISBLANK(J1219)),"Missing Value",
  OR(C1219&lt;18,C1219&gt;120),"Review – Out of Range (Age)",
  J1219&lt;0,"Review – Out of Range (Risk Score)",
  TRUE,"OK"
)</f>
        <v>OK</v>
      </c>
    </row>
    <row r="1220" spans="1:12" ht="16.8" x14ac:dyDescent="0.3">
      <c r="A1220" s="11" t="s">
        <v>2491</v>
      </c>
      <c r="B1220" s="11" t="s">
        <v>2492</v>
      </c>
      <c r="C1220" s="11">
        <v>65</v>
      </c>
      <c r="D1220" s="11" t="s">
        <v>41</v>
      </c>
      <c r="E1220" s="11" t="s">
        <v>50</v>
      </c>
      <c r="F1220" s="11" t="s">
        <v>65</v>
      </c>
      <c r="G1220" s="11" t="s">
        <v>52</v>
      </c>
      <c r="H1220" s="11" t="s">
        <v>46</v>
      </c>
      <c r="I1220" s="11" t="s">
        <v>46</v>
      </c>
      <c r="J1220" s="11">
        <v>0.77</v>
      </c>
      <c r="K1220" s="12">
        <v>43823</v>
      </c>
      <c r="L1220" s="13" t="str" cm="1">
        <f t="array" ref="L1220">_xlfn.IFS(
  OR(ISBLANK(A1220),ISBLANK(C1220),ISBLANK(J1220)),"Missing Value",
  OR(C1220&lt;18,C1220&gt;120),"Review – Out of Range (Age)",
  J1220&lt;0,"Review – Out of Range (Risk Score)",
  TRUE,"OK"
)</f>
        <v>OK</v>
      </c>
    </row>
    <row r="1221" spans="1:12" ht="16.8" x14ac:dyDescent="0.3">
      <c r="A1221" s="14" t="s">
        <v>2493</v>
      </c>
      <c r="B1221" s="14" t="s">
        <v>2494</v>
      </c>
      <c r="C1221" s="14">
        <v>32</v>
      </c>
      <c r="D1221" s="14" t="s">
        <v>49</v>
      </c>
      <c r="E1221" s="14" t="s">
        <v>50</v>
      </c>
      <c r="F1221" s="14" t="s">
        <v>51</v>
      </c>
      <c r="G1221" s="14" t="s">
        <v>94</v>
      </c>
      <c r="H1221" s="14" t="s">
        <v>46</v>
      </c>
      <c r="I1221" s="14" t="s">
        <v>45</v>
      </c>
      <c r="J1221" s="14">
        <v>0.62</v>
      </c>
      <c r="K1221" s="15">
        <v>44524</v>
      </c>
      <c r="L1221" s="13" t="str" cm="1">
        <f t="array" ref="L1221">_xlfn.IFS(
  OR(ISBLANK(A1221),ISBLANK(C1221),ISBLANK(J1221)),"Missing Value",
  OR(C1221&lt;18,C1221&gt;120),"Review – Out of Range (Age)",
  J1221&lt;0,"Review – Out of Range (Risk Score)",
  TRUE,"OK"
)</f>
        <v>OK</v>
      </c>
    </row>
    <row r="1222" spans="1:12" ht="16.8" x14ac:dyDescent="0.3">
      <c r="A1222" s="11" t="s">
        <v>2495</v>
      </c>
      <c r="B1222" s="11" t="s">
        <v>2496</v>
      </c>
      <c r="C1222" s="11">
        <v>33</v>
      </c>
      <c r="D1222" s="11" t="s">
        <v>49</v>
      </c>
      <c r="E1222" s="11" t="s">
        <v>58</v>
      </c>
      <c r="F1222" s="11" t="s">
        <v>51</v>
      </c>
      <c r="G1222" s="11" t="s">
        <v>55</v>
      </c>
      <c r="H1222" s="11" t="s">
        <v>45</v>
      </c>
      <c r="I1222" s="11" t="s">
        <v>46</v>
      </c>
      <c r="J1222" s="11">
        <v>0.78</v>
      </c>
      <c r="K1222" s="12">
        <v>45006</v>
      </c>
      <c r="L1222" s="13" t="str" cm="1">
        <f t="array" ref="L1222">_xlfn.IFS(
  OR(ISBLANK(A1222),ISBLANK(C1222),ISBLANK(J1222)),"Missing Value",
  OR(C1222&lt;18,C1222&gt;120),"Review – Out of Range (Age)",
  J1222&lt;0,"Review – Out of Range (Risk Score)",
  TRUE,"OK"
)</f>
        <v>OK</v>
      </c>
    </row>
    <row r="1223" spans="1:12" ht="16.8" x14ac:dyDescent="0.3">
      <c r="A1223" s="14" t="s">
        <v>2497</v>
      </c>
      <c r="B1223" s="14" t="s">
        <v>2498</v>
      </c>
      <c r="C1223" s="14">
        <v>52</v>
      </c>
      <c r="D1223" s="14" t="s">
        <v>41</v>
      </c>
      <c r="E1223" s="14" t="s">
        <v>42</v>
      </c>
      <c r="F1223" s="14" t="s">
        <v>43</v>
      </c>
      <c r="G1223" s="14" t="s">
        <v>55</v>
      </c>
      <c r="H1223" s="14" t="s">
        <v>45</v>
      </c>
      <c r="I1223" s="14" t="s">
        <v>45</v>
      </c>
      <c r="J1223" s="14">
        <v>0.42</v>
      </c>
      <c r="K1223" s="15">
        <v>44052</v>
      </c>
      <c r="L1223" s="13" t="str" cm="1">
        <f t="array" ref="L1223">_xlfn.IFS(
  OR(ISBLANK(A1223),ISBLANK(C1223),ISBLANK(J1223)),"Missing Value",
  OR(C1223&lt;18,C1223&gt;120),"Review – Out of Range (Age)",
  J1223&lt;0,"Review – Out of Range (Risk Score)",
  TRUE,"OK"
)</f>
        <v>OK</v>
      </c>
    </row>
    <row r="1224" spans="1:12" ht="16.8" x14ac:dyDescent="0.3">
      <c r="A1224" s="11" t="s">
        <v>2499</v>
      </c>
      <c r="B1224" s="11" t="s">
        <v>2500</v>
      </c>
      <c r="C1224" s="11">
        <v>66</v>
      </c>
      <c r="D1224" s="11" t="s">
        <v>49</v>
      </c>
      <c r="E1224" s="11" t="s">
        <v>42</v>
      </c>
      <c r="F1224" s="11" t="s">
        <v>43</v>
      </c>
      <c r="G1224" s="11" t="s">
        <v>94</v>
      </c>
      <c r="H1224" s="11" t="s">
        <v>46</v>
      </c>
      <c r="I1224" s="11" t="s">
        <v>45</v>
      </c>
      <c r="J1224" s="11">
        <v>0.56999999999999995</v>
      </c>
      <c r="K1224" s="12">
        <v>43255</v>
      </c>
      <c r="L1224" s="13" t="str" cm="1">
        <f t="array" ref="L1224">_xlfn.IFS(
  OR(ISBLANK(A1224),ISBLANK(C1224),ISBLANK(J1224)),"Missing Value",
  OR(C1224&lt;18,C1224&gt;120),"Review – Out of Range (Age)",
  J1224&lt;0,"Review – Out of Range (Risk Score)",
  TRUE,"OK"
)</f>
        <v>OK</v>
      </c>
    </row>
    <row r="1225" spans="1:12" ht="16.8" x14ac:dyDescent="0.3">
      <c r="A1225" s="14" t="s">
        <v>2501</v>
      </c>
      <c r="B1225" s="14" t="s">
        <v>2502</v>
      </c>
      <c r="C1225" s="14">
        <v>37</v>
      </c>
      <c r="D1225" s="14" t="s">
        <v>41</v>
      </c>
      <c r="E1225" s="14" t="s">
        <v>58</v>
      </c>
      <c r="F1225" s="14" t="s">
        <v>59</v>
      </c>
      <c r="G1225" s="14" t="s">
        <v>55</v>
      </c>
      <c r="H1225" s="14" t="s">
        <v>45</v>
      </c>
      <c r="I1225" s="14" t="s">
        <v>46</v>
      </c>
      <c r="J1225" s="14">
        <v>0.68</v>
      </c>
      <c r="K1225" s="15">
        <v>44202</v>
      </c>
      <c r="L1225" s="13" t="str" cm="1">
        <f t="array" ref="L1225">_xlfn.IFS(
  OR(ISBLANK(A1225),ISBLANK(C1225),ISBLANK(J1225)),"Missing Value",
  OR(C1225&lt;18,C1225&gt;120),"Review – Out of Range (Age)",
  J1225&lt;0,"Review – Out of Range (Risk Score)",
  TRUE,"OK"
)</f>
        <v>OK</v>
      </c>
    </row>
    <row r="1226" spans="1:12" ht="16.8" x14ac:dyDescent="0.3">
      <c r="A1226" s="11" t="s">
        <v>2503</v>
      </c>
      <c r="B1226" s="11" t="s">
        <v>2504</v>
      </c>
      <c r="C1226" s="11">
        <v>40</v>
      </c>
      <c r="D1226" s="11" t="s">
        <v>41</v>
      </c>
      <c r="E1226" s="11" t="s">
        <v>58</v>
      </c>
      <c r="F1226" s="11" t="s">
        <v>51</v>
      </c>
      <c r="G1226" s="11" t="s">
        <v>44</v>
      </c>
      <c r="H1226" s="11" t="s">
        <v>46</v>
      </c>
      <c r="I1226" s="11" t="s">
        <v>46</v>
      </c>
      <c r="J1226" s="11">
        <v>0.55000000000000004</v>
      </c>
      <c r="K1226" s="12">
        <v>44662</v>
      </c>
      <c r="L1226" s="13" t="str" cm="1">
        <f t="array" ref="L1226">_xlfn.IFS(
  OR(ISBLANK(A1226),ISBLANK(C1226),ISBLANK(J1226)),"Missing Value",
  OR(C1226&lt;18,C1226&gt;120),"Review – Out of Range (Age)",
  J1226&lt;0,"Review – Out of Range (Risk Score)",
  TRUE,"OK"
)</f>
        <v>OK</v>
      </c>
    </row>
    <row r="1227" spans="1:12" ht="16.8" x14ac:dyDescent="0.3">
      <c r="A1227" s="14" t="s">
        <v>2505</v>
      </c>
      <c r="B1227" s="14" t="s">
        <v>2506</v>
      </c>
      <c r="C1227" s="14">
        <v>22</v>
      </c>
      <c r="D1227" s="14" t="s">
        <v>49</v>
      </c>
      <c r="E1227" s="14" t="s">
        <v>42</v>
      </c>
      <c r="F1227" s="14" t="s">
        <v>59</v>
      </c>
      <c r="G1227" s="14" t="s">
        <v>52</v>
      </c>
      <c r="H1227" s="14" t="s">
        <v>46</v>
      </c>
      <c r="I1227" s="14" t="s">
        <v>45</v>
      </c>
      <c r="J1227" s="14">
        <v>0.6</v>
      </c>
      <c r="K1227" s="15">
        <v>44576</v>
      </c>
      <c r="L1227" s="13" t="str" cm="1">
        <f t="array" ref="L1227">_xlfn.IFS(
  OR(ISBLANK(A1227),ISBLANK(C1227),ISBLANK(J1227)),"Missing Value",
  OR(C1227&lt;18,C1227&gt;120),"Review – Out of Range (Age)",
  J1227&lt;0,"Review – Out of Range (Risk Score)",
  TRUE,"OK"
)</f>
        <v>OK</v>
      </c>
    </row>
    <row r="1228" spans="1:12" ht="16.8" x14ac:dyDescent="0.3">
      <c r="A1228" s="11" t="s">
        <v>2507</v>
      </c>
      <c r="B1228" s="11" t="s">
        <v>2508</v>
      </c>
      <c r="C1228" s="11">
        <v>33</v>
      </c>
      <c r="D1228" s="11" t="s">
        <v>41</v>
      </c>
      <c r="E1228" s="11" t="s">
        <v>42</v>
      </c>
      <c r="F1228" s="11" t="s">
        <v>43</v>
      </c>
      <c r="G1228" s="11" t="s">
        <v>55</v>
      </c>
      <c r="H1228" s="11" t="s">
        <v>46</v>
      </c>
      <c r="I1228" s="11" t="s">
        <v>46</v>
      </c>
      <c r="J1228" s="11">
        <v>0.44</v>
      </c>
      <c r="K1228" s="12">
        <v>43170</v>
      </c>
      <c r="L1228" s="13" t="str" cm="1">
        <f t="array" ref="L1228">_xlfn.IFS(
  OR(ISBLANK(A1228),ISBLANK(C1228),ISBLANK(J1228)),"Missing Value",
  OR(C1228&lt;18,C1228&gt;120),"Review – Out of Range (Age)",
  J1228&lt;0,"Review – Out of Range (Risk Score)",
  TRUE,"OK"
)</f>
        <v>OK</v>
      </c>
    </row>
    <row r="1229" spans="1:12" ht="16.8" x14ac:dyDescent="0.3">
      <c r="A1229" s="14" t="s">
        <v>2509</v>
      </c>
      <c r="B1229" s="14" t="s">
        <v>2510</v>
      </c>
      <c r="C1229" s="14">
        <v>48</v>
      </c>
      <c r="D1229" s="14" t="s">
        <v>41</v>
      </c>
      <c r="E1229" s="14" t="s">
        <v>58</v>
      </c>
      <c r="F1229" s="14" t="s">
        <v>65</v>
      </c>
      <c r="G1229" s="14" t="s">
        <v>94</v>
      </c>
      <c r="H1229" s="14" t="s">
        <v>46</v>
      </c>
      <c r="I1229" s="14" t="s">
        <v>45</v>
      </c>
      <c r="J1229" s="14">
        <v>0.65</v>
      </c>
      <c r="K1229" s="15">
        <v>44591</v>
      </c>
      <c r="L1229" s="13" t="str" cm="1">
        <f t="array" ref="L1229">_xlfn.IFS(
  OR(ISBLANK(A1229),ISBLANK(C1229),ISBLANK(J1229)),"Missing Value",
  OR(C1229&lt;18,C1229&gt;120),"Review – Out of Range (Age)",
  J1229&lt;0,"Review – Out of Range (Risk Score)",
  TRUE,"OK"
)</f>
        <v>OK</v>
      </c>
    </row>
    <row r="1230" spans="1:12" ht="16.8" x14ac:dyDescent="0.3">
      <c r="A1230" s="11" t="s">
        <v>2511</v>
      </c>
      <c r="B1230" s="11" t="s">
        <v>2512</v>
      </c>
      <c r="C1230" s="11">
        <v>18</v>
      </c>
      <c r="D1230" s="11" t="s">
        <v>41</v>
      </c>
      <c r="E1230" s="11" t="s">
        <v>42</v>
      </c>
      <c r="F1230" s="11" t="s">
        <v>65</v>
      </c>
      <c r="G1230" s="11" t="s">
        <v>55</v>
      </c>
      <c r="H1230" s="11" t="s">
        <v>45</v>
      </c>
      <c r="I1230" s="11" t="s">
        <v>46</v>
      </c>
      <c r="J1230" s="11">
        <v>0.48</v>
      </c>
      <c r="K1230" s="12">
        <v>44633</v>
      </c>
      <c r="L1230" s="13" t="str" cm="1">
        <f t="array" ref="L1230">_xlfn.IFS(
  OR(ISBLANK(A1230),ISBLANK(C1230),ISBLANK(J1230)),"Missing Value",
  OR(C1230&lt;18,C1230&gt;120),"Review – Out of Range (Age)",
  J1230&lt;0,"Review – Out of Range (Risk Score)",
  TRUE,"OK"
)</f>
        <v>OK</v>
      </c>
    </row>
    <row r="1231" spans="1:12" ht="16.8" x14ac:dyDescent="0.3">
      <c r="A1231" s="14" t="s">
        <v>2513</v>
      </c>
      <c r="B1231" s="14" t="s">
        <v>2514</v>
      </c>
      <c r="C1231" s="14">
        <v>30</v>
      </c>
      <c r="D1231" s="14" t="s">
        <v>49</v>
      </c>
      <c r="E1231" s="14" t="s">
        <v>50</v>
      </c>
      <c r="F1231" s="14" t="s">
        <v>59</v>
      </c>
      <c r="G1231" s="14" t="s">
        <v>60</v>
      </c>
      <c r="H1231" s="14" t="s">
        <v>45</v>
      </c>
      <c r="I1231" s="14" t="s">
        <v>45</v>
      </c>
      <c r="J1231" s="14">
        <v>0.68</v>
      </c>
      <c r="K1231" s="15">
        <v>44566</v>
      </c>
      <c r="L1231" s="13" t="str" cm="1">
        <f t="array" ref="L1231">_xlfn.IFS(
  OR(ISBLANK(A1231),ISBLANK(C1231),ISBLANK(J1231)),"Missing Value",
  OR(C1231&lt;18,C1231&gt;120),"Review – Out of Range (Age)",
  J1231&lt;0,"Review – Out of Range (Risk Score)",
  TRUE,"OK"
)</f>
        <v>OK</v>
      </c>
    </row>
    <row r="1232" spans="1:12" ht="16.8" x14ac:dyDescent="0.3">
      <c r="A1232" s="11" t="s">
        <v>2515</v>
      </c>
      <c r="B1232" s="11" t="s">
        <v>2516</v>
      </c>
      <c r="C1232" s="11">
        <v>50</v>
      </c>
      <c r="D1232" s="11" t="s">
        <v>49</v>
      </c>
      <c r="E1232" s="11" t="s">
        <v>42</v>
      </c>
      <c r="F1232" s="11" t="s">
        <v>65</v>
      </c>
      <c r="G1232" s="11" t="s">
        <v>109</v>
      </c>
      <c r="H1232" s="11" t="s">
        <v>46</v>
      </c>
      <c r="I1232" s="11" t="s">
        <v>46</v>
      </c>
      <c r="J1232" s="11">
        <v>0.75</v>
      </c>
      <c r="K1232" s="12">
        <v>44168</v>
      </c>
      <c r="L1232" s="13" t="str" cm="1">
        <f t="array" ref="L1232">_xlfn.IFS(
  OR(ISBLANK(A1232),ISBLANK(C1232),ISBLANK(J1232)),"Missing Value",
  OR(C1232&lt;18,C1232&gt;120),"Review – Out of Range (Age)",
  J1232&lt;0,"Review – Out of Range (Risk Score)",
  TRUE,"OK"
)</f>
        <v>OK</v>
      </c>
    </row>
    <row r="1233" spans="1:12" ht="16.8" x14ac:dyDescent="0.3">
      <c r="A1233" s="14" t="s">
        <v>2517</v>
      </c>
      <c r="B1233" s="14" t="s">
        <v>2518</v>
      </c>
      <c r="C1233" s="14">
        <v>23</v>
      </c>
      <c r="D1233" s="14" t="s">
        <v>41</v>
      </c>
      <c r="E1233" s="14" t="s">
        <v>50</v>
      </c>
      <c r="F1233" s="14" t="s">
        <v>43</v>
      </c>
      <c r="G1233" s="14" t="s">
        <v>52</v>
      </c>
      <c r="H1233" s="14" t="s">
        <v>45</v>
      </c>
      <c r="I1233" s="14" t="s">
        <v>46</v>
      </c>
      <c r="J1233" s="14">
        <v>0.52</v>
      </c>
      <c r="K1233" s="15">
        <v>43280</v>
      </c>
      <c r="L1233" s="13" t="str" cm="1">
        <f t="array" ref="L1233">_xlfn.IFS(
  OR(ISBLANK(A1233),ISBLANK(C1233),ISBLANK(J1233)),"Missing Value",
  OR(C1233&lt;18,C1233&gt;120),"Review – Out of Range (Age)",
  J1233&lt;0,"Review – Out of Range (Risk Score)",
  TRUE,"OK"
)</f>
        <v>OK</v>
      </c>
    </row>
    <row r="1234" spans="1:12" ht="16.8" x14ac:dyDescent="0.3">
      <c r="A1234" s="11" t="s">
        <v>2519</v>
      </c>
      <c r="B1234" s="11" t="s">
        <v>2520</v>
      </c>
      <c r="C1234" s="11">
        <v>37</v>
      </c>
      <c r="D1234" s="11" t="s">
        <v>49</v>
      </c>
      <c r="E1234" s="11" t="s">
        <v>50</v>
      </c>
      <c r="F1234" s="11" t="s">
        <v>65</v>
      </c>
      <c r="G1234" s="11" t="s">
        <v>44</v>
      </c>
      <c r="H1234" s="11" t="s">
        <v>46</v>
      </c>
      <c r="I1234" s="11" t="s">
        <v>46</v>
      </c>
      <c r="J1234" s="11">
        <v>0.81</v>
      </c>
      <c r="K1234" s="12">
        <v>45249</v>
      </c>
      <c r="L1234" s="13" t="str" cm="1">
        <f t="array" ref="L1234">_xlfn.IFS(
  OR(ISBLANK(A1234),ISBLANK(C1234),ISBLANK(J1234)),"Missing Value",
  OR(C1234&lt;18,C1234&gt;120),"Review – Out of Range (Age)",
  J1234&lt;0,"Review – Out of Range (Risk Score)",
  TRUE,"OK"
)</f>
        <v>OK</v>
      </c>
    </row>
    <row r="1235" spans="1:12" ht="16.8" x14ac:dyDescent="0.3">
      <c r="A1235" s="14" t="s">
        <v>2521</v>
      </c>
      <c r="B1235" s="14" t="s">
        <v>2522</v>
      </c>
      <c r="C1235" s="14">
        <v>67</v>
      </c>
      <c r="D1235" s="14" t="s">
        <v>41</v>
      </c>
      <c r="E1235" s="14" t="s">
        <v>58</v>
      </c>
      <c r="F1235" s="14" t="s">
        <v>65</v>
      </c>
      <c r="G1235" s="14" t="s">
        <v>44</v>
      </c>
      <c r="H1235" s="14" t="s">
        <v>45</v>
      </c>
      <c r="I1235" s="14" t="s">
        <v>46</v>
      </c>
      <c r="J1235" s="14">
        <v>0.2</v>
      </c>
      <c r="K1235" s="15">
        <v>43521</v>
      </c>
      <c r="L1235" s="13" t="str" cm="1">
        <f t="array" ref="L1235">_xlfn.IFS(
  OR(ISBLANK(A1235),ISBLANK(C1235),ISBLANK(J1235)),"Missing Value",
  OR(C1235&lt;18,C1235&gt;120),"Review – Out of Range (Age)",
  J1235&lt;0,"Review – Out of Range (Risk Score)",
  TRUE,"OK"
)</f>
        <v>OK</v>
      </c>
    </row>
    <row r="1236" spans="1:12" ht="16.8" x14ac:dyDescent="0.3">
      <c r="A1236" s="11" t="s">
        <v>2523</v>
      </c>
      <c r="B1236" s="11" t="s">
        <v>2524</v>
      </c>
      <c r="C1236" s="11">
        <v>56</v>
      </c>
      <c r="D1236" s="11" t="s">
        <v>49</v>
      </c>
      <c r="E1236" s="11" t="s">
        <v>50</v>
      </c>
      <c r="F1236" s="11" t="s">
        <v>51</v>
      </c>
      <c r="G1236" s="11" t="s">
        <v>94</v>
      </c>
      <c r="H1236" s="11" t="s">
        <v>45</v>
      </c>
      <c r="I1236" s="11" t="s">
        <v>45</v>
      </c>
      <c r="J1236" s="11">
        <v>0.23</v>
      </c>
      <c r="K1236" s="12">
        <v>45291</v>
      </c>
      <c r="L1236" s="13" t="str" cm="1">
        <f t="array" ref="L1236">_xlfn.IFS(
  OR(ISBLANK(A1236),ISBLANK(C1236),ISBLANK(J1236)),"Missing Value",
  OR(C1236&lt;18,C1236&gt;120),"Review – Out of Range (Age)",
  J1236&lt;0,"Review – Out of Range (Risk Score)",
  TRUE,"OK"
)</f>
        <v>OK</v>
      </c>
    </row>
    <row r="1237" spans="1:12" ht="16.8" x14ac:dyDescent="0.3">
      <c r="A1237" s="14" t="s">
        <v>2525</v>
      </c>
      <c r="B1237" s="14" t="s">
        <v>2526</v>
      </c>
      <c r="C1237" s="14">
        <v>58</v>
      </c>
      <c r="D1237" s="14" t="s">
        <v>41</v>
      </c>
      <c r="E1237" s="14" t="s">
        <v>58</v>
      </c>
      <c r="F1237" s="14" t="s">
        <v>59</v>
      </c>
      <c r="G1237" s="14" t="s">
        <v>55</v>
      </c>
      <c r="H1237" s="14" t="s">
        <v>45</v>
      </c>
      <c r="I1237" s="14" t="s">
        <v>46</v>
      </c>
      <c r="J1237" s="14">
        <v>0.83</v>
      </c>
      <c r="K1237" s="15">
        <v>43175</v>
      </c>
      <c r="L1237" s="13" t="str" cm="1">
        <f t="array" ref="L1237">_xlfn.IFS(
  OR(ISBLANK(A1237),ISBLANK(C1237),ISBLANK(J1237)),"Missing Value",
  OR(C1237&lt;18,C1237&gt;120),"Review – Out of Range (Age)",
  J1237&lt;0,"Review – Out of Range (Risk Score)",
  TRUE,"OK"
)</f>
        <v>OK</v>
      </c>
    </row>
    <row r="1238" spans="1:12" ht="16.8" x14ac:dyDescent="0.3">
      <c r="A1238" s="11" t="s">
        <v>2527</v>
      </c>
      <c r="B1238" s="11" t="s">
        <v>2528</v>
      </c>
      <c r="C1238" s="11">
        <v>33</v>
      </c>
      <c r="D1238" s="11" t="s">
        <v>41</v>
      </c>
      <c r="E1238" s="11" t="s">
        <v>58</v>
      </c>
      <c r="F1238" s="11" t="s">
        <v>59</v>
      </c>
      <c r="G1238" s="11" t="s">
        <v>94</v>
      </c>
      <c r="H1238" s="11" t="s">
        <v>46</v>
      </c>
      <c r="I1238" s="11" t="s">
        <v>46</v>
      </c>
      <c r="J1238" s="11">
        <v>0.23</v>
      </c>
      <c r="K1238" s="12">
        <v>43253</v>
      </c>
      <c r="L1238" s="13" t="str" cm="1">
        <f t="array" ref="L1238">_xlfn.IFS(
  OR(ISBLANK(A1238),ISBLANK(C1238),ISBLANK(J1238)),"Missing Value",
  OR(C1238&lt;18,C1238&gt;120),"Review – Out of Range (Age)",
  J1238&lt;0,"Review – Out of Range (Risk Score)",
  TRUE,"OK"
)</f>
        <v>OK</v>
      </c>
    </row>
    <row r="1239" spans="1:12" ht="16.8" x14ac:dyDescent="0.3">
      <c r="A1239" s="14" t="s">
        <v>2529</v>
      </c>
      <c r="B1239" s="14" t="s">
        <v>2530</v>
      </c>
      <c r="C1239" s="14">
        <v>38</v>
      </c>
      <c r="D1239" s="14" t="s">
        <v>49</v>
      </c>
      <c r="E1239" s="14" t="s">
        <v>50</v>
      </c>
      <c r="F1239" s="14" t="s">
        <v>43</v>
      </c>
      <c r="G1239" s="14" t="s">
        <v>55</v>
      </c>
      <c r="H1239" s="14" t="s">
        <v>46</v>
      </c>
      <c r="I1239" s="14" t="s">
        <v>45</v>
      </c>
      <c r="J1239" s="14">
        <v>0.31</v>
      </c>
      <c r="K1239" s="15">
        <v>44092</v>
      </c>
      <c r="L1239" s="13" t="str" cm="1">
        <f t="array" ref="L1239">_xlfn.IFS(
  OR(ISBLANK(A1239),ISBLANK(C1239),ISBLANK(J1239)),"Missing Value",
  OR(C1239&lt;18,C1239&gt;120),"Review – Out of Range (Age)",
  J1239&lt;0,"Review – Out of Range (Risk Score)",
  TRUE,"OK"
)</f>
        <v>OK</v>
      </c>
    </row>
    <row r="1240" spans="1:12" ht="16.8" x14ac:dyDescent="0.3">
      <c r="A1240" s="11" t="s">
        <v>2531</v>
      </c>
      <c r="B1240" s="11" t="s">
        <v>2532</v>
      </c>
      <c r="C1240" s="11">
        <v>26</v>
      </c>
      <c r="D1240" s="11" t="s">
        <v>49</v>
      </c>
      <c r="E1240" s="11" t="s">
        <v>50</v>
      </c>
      <c r="F1240" s="11" t="s">
        <v>51</v>
      </c>
      <c r="G1240" s="11" t="s">
        <v>94</v>
      </c>
      <c r="H1240" s="11" t="s">
        <v>46</v>
      </c>
      <c r="I1240" s="11" t="s">
        <v>45</v>
      </c>
      <c r="J1240" s="11">
        <v>0.94</v>
      </c>
      <c r="K1240" s="12">
        <v>43703</v>
      </c>
      <c r="L1240" s="13" t="str" cm="1">
        <f t="array" ref="L1240">_xlfn.IFS(
  OR(ISBLANK(A1240),ISBLANK(C1240),ISBLANK(J1240)),"Missing Value",
  OR(C1240&lt;18,C1240&gt;120),"Review – Out of Range (Age)",
  J1240&lt;0,"Review – Out of Range (Risk Score)",
  TRUE,"OK"
)</f>
        <v>OK</v>
      </c>
    </row>
    <row r="1241" spans="1:12" ht="16.8" x14ac:dyDescent="0.3">
      <c r="A1241" s="14" t="s">
        <v>2533</v>
      </c>
      <c r="B1241" s="14" t="s">
        <v>2534</v>
      </c>
      <c r="C1241" s="14">
        <v>22</v>
      </c>
      <c r="D1241" s="14" t="s">
        <v>41</v>
      </c>
      <c r="E1241" s="14" t="s">
        <v>42</v>
      </c>
      <c r="F1241" s="14" t="s">
        <v>43</v>
      </c>
      <c r="G1241" s="14" t="s">
        <v>55</v>
      </c>
      <c r="H1241" s="14" t="s">
        <v>46</v>
      </c>
      <c r="I1241" s="14" t="s">
        <v>46</v>
      </c>
      <c r="J1241" s="14">
        <v>0.55000000000000004</v>
      </c>
      <c r="K1241" s="15">
        <v>43986</v>
      </c>
      <c r="L1241" s="13" t="str" cm="1">
        <f t="array" ref="L1241">_xlfn.IFS(
  OR(ISBLANK(A1241),ISBLANK(C1241),ISBLANK(J1241)),"Missing Value",
  OR(C1241&lt;18,C1241&gt;120),"Review – Out of Range (Age)",
  J1241&lt;0,"Review – Out of Range (Risk Score)",
  TRUE,"OK"
)</f>
        <v>OK</v>
      </c>
    </row>
    <row r="1242" spans="1:12" ht="16.8" x14ac:dyDescent="0.3">
      <c r="A1242" s="11" t="s">
        <v>2535</v>
      </c>
      <c r="B1242" s="11" t="s">
        <v>2536</v>
      </c>
      <c r="C1242" s="11">
        <v>31</v>
      </c>
      <c r="D1242" s="11" t="s">
        <v>41</v>
      </c>
      <c r="E1242" s="11" t="s">
        <v>50</v>
      </c>
      <c r="F1242" s="11" t="s">
        <v>43</v>
      </c>
      <c r="G1242" s="11" t="s">
        <v>94</v>
      </c>
      <c r="H1242" s="11" t="s">
        <v>46</v>
      </c>
      <c r="I1242" s="11" t="s">
        <v>45</v>
      </c>
      <c r="J1242" s="11">
        <v>0.4</v>
      </c>
      <c r="K1242" s="12">
        <v>43109</v>
      </c>
      <c r="L1242" s="13" t="str" cm="1">
        <f t="array" ref="L1242">_xlfn.IFS(
  OR(ISBLANK(A1242),ISBLANK(C1242),ISBLANK(J1242)),"Missing Value",
  OR(C1242&lt;18,C1242&gt;120),"Review – Out of Range (Age)",
  J1242&lt;0,"Review – Out of Range (Risk Score)",
  TRUE,"OK"
)</f>
        <v>OK</v>
      </c>
    </row>
    <row r="1243" spans="1:12" ht="16.8" x14ac:dyDescent="0.3">
      <c r="A1243" s="14" t="s">
        <v>2537</v>
      </c>
      <c r="B1243" s="14" t="s">
        <v>2538</v>
      </c>
      <c r="C1243" s="14">
        <v>38</v>
      </c>
      <c r="D1243" s="14" t="s">
        <v>41</v>
      </c>
      <c r="E1243" s="14" t="s">
        <v>50</v>
      </c>
      <c r="F1243" s="14" t="s">
        <v>65</v>
      </c>
      <c r="G1243" s="14" t="s">
        <v>52</v>
      </c>
      <c r="H1243" s="14" t="s">
        <v>45</v>
      </c>
      <c r="I1243" s="14" t="s">
        <v>46</v>
      </c>
      <c r="J1243" s="14">
        <v>0</v>
      </c>
      <c r="K1243" s="15">
        <v>43697</v>
      </c>
      <c r="L1243" s="13" t="str" cm="1">
        <f t="array" ref="L1243">_xlfn.IFS(
  OR(ISBLANK(A1243),ISBLANK(C1243),ISBLANK(J1243)),"Missing Value",
  OR(C1243&lt;18,C1243&gt;120),"Review – Out of Range (Age)",
  J1243&lt;0,"Review – Out of Range (Risk Score)",
  TRUE,"OK"
)</f>
        <v>OK</v>
      </c>
    </row>
    <row r="1244" spans="1:12" ht="16.8" x14ac:dyDescent="0.3">
      <c r="A1244" s="11" t="s">
        <v>2539</v>
      </c>
      <c r="B1244" s="11" t="s">
        <v>2540</v>
      </c>
      <c r="C1244" s="11">
        <v>60</v>
      </c>
      <c r="D1244" s="11" t="s">
        <v>49</v>
      </c>
      <c r="E1244" s="11" t="s">
        <v>50</v>
      </c>
      <c r="F1244" s="11" t="s">
        <v>59</v>
      </c>
      <c r="G1244" s="11" t="s">
        <v>60</v>
      </c>
      <c r="H1244" s="11" t="s">
        <v>45</v>
      </c>
      <c r="I1244" s="11" t="s">
        <v>46</v>
      </c>
      <c r="J1244" s="11">
        <v>0.28000000000000003</v>
      </c>
      <c r="K1244" s="12">
        <v>43192</v>
      </c>
      <c r="L1244" s="13" t="str" cm="1">
        <f t="array" ref="L1244">_xlfn.IFS(
  OR(ISBLANK(A1244),ISBLANK(C1244),ISBLANK(J1244)),"Missing Value",
  OR(C1244&lt;18,C1244&gt;120),"Review – Out of Range (Age)",
  J1244&lt;0,"Review – Out of Range (Risk Score)",
  TRUE,"OK"
)</f>
        <v>OK</v>
      </c>
    </row>
    <row r="1245" spans="1:12" ht="16.8" x14ac:dyDescent="0.3">
      <c r="A1245" s="14" t="s">
        <v>2541</v>
      </c>
      <c r="B1245" s="14" t="s">
        <v>2542</v>
      </c>
      <c r="C1245" s="14">
        <v>59</v>
      </c>
      <c r="D1245" s="14" t="s">
        <v>41</v>
      </c>
      <c r="E1245" s="14" t="s">
        <v>42</v>
      </c>
      <c r="F1245" s="14" t="s">
        <v>59</v>
      </c>
      <c r="G1245" s="14" t="s">
        <v>94</v>
      </c>
      <c r="H1245" s="14" t="s">
        <v>46</v>
      </c>
      <c r="I1245" s="14" t="s">
        <v>46</v>
      </c>
      <c r="J1245" s="14">
        <v>0.61</v>
      </c>
      <c r="K1245" s="15">
        <v>43212</v>
      </c>
      <c r="L1245" s="13" t="str" cm="1">
        <f t="array" ref="L1245">_xlfn.IFS(
  OR(ISBLANK(A1245),ISBLANK(C1245),ISBLANK(J1245)),"Missing Value",
  OR(C1245&lt;18,C1245&gt;120),"Review – Out of Range (Age)",
  J1245&lt;0,"Review – Out of Range (Risk Score)",
  TRUE,"OK"
)</f>
        <v>OK</v>
      </c>
    </row>
    <row r="1246" spans="1:12" ht="16.8" x14ac:dyDescent="0.3">
      <c r="A1246" s="11" t="s">
        <v>2543</v>
      </c>
      <c r="B1246" s="11" t="s">
        <v>2544</v>
      </c>
      <c r="C1246" s="11">
        <v>68</v>
      </c>
      <c r="D1246" s="11" t="s">
        <v>41</v>
      </c>
      <c r="E1246" s="11" t="s">
        <v>42</v>
      </c>
      <c r="F1246" s="11" t="s">
        <v>59</v>
      </c>
      <c r="G1246" s="11" t="s">
        <v>44</v>
      </c>
      <c r="H1246" s="11" t="s">
        <v>46</v>
      </c>
      <c r="I1246" s="11" t="s">
        <v>46</v>
      </c>
      <c r="J1246" s="11">
        <v>0.56000000000000005</v>
      </c>
      <c r="K1246" s="12">
        <v>44185</v>
      </c>
      <c r="L1246" s="13" t="str" cm="1">
        <f t="array" ref="L1246">_xlfn.IFS(
  OR(ISBLANK(A1246),ISBLANK(C1246),ISBLANK(J1246)),"Missing Value",
  OR(C1246&lt;18,C1246&gt;120),"Review – Out of Range (Age)",
  J1246&lt;0,"Review – Out of Range (Risk Score)",
  TRUE,"OK"
)</f>
        <v>OK</v>
      </c>
    </row>
    <row r="1247" spans="1:12" ht="16.8" x14ac:dyDescent="0.3">
      <c r="A1247" s="14" t="s">
        <v>2545</v>
      </c>
      <c r="B1247" s="14" t="s">
        <v>2546</v>
      </c>
      <c r="C1247" s="14">
        <v>61</v>
      </c>
      <c r="D1247" s="14" t="s">
        <v>49</v>
      </c>
      <c r="E1247" s="14" t="s">
        <v>42</v>
      </c>
      <c r="F1247" s="14" t="s">
        <v>59</v>
      </c>
      <c r="G1247" s="14" t="s">
        <v>109</v>
      </c>
      <c r="H1247" s="14" t="s">
        <v>45</v>
      </c>
      <c r="I1247" s="14" t="s">
        <v>45</v>
      </c>
      <c r="J1247" s="14">
        <v>0.4</v>
      </c>
      <c r="K1247" s="15">
        <v>43578</v>
      </c>
      <c r="L1247" s="13" t="str" cm="1">
        <f t="array" ref="L1247">_xlfn.IFS(
  OR(ISBLANK(A1247),ISBLANK(C1247),ISBLANK(J1247)),"Missing Value",
  OR(C1247&lt;18,C1247&gt;120),"Review – Out of Range (Age)",
  J1247&lt;0,"Review – Out of Range (Risk Score)",
  TRUE,"OK"
)</f>
        <v>OK</v>
      </c>
    </row>
    <row r="1248" spans="1:12" ht="16.8" x14ac:dyDescent="0.3">
      <c r="A1248" s="11" t="s">
        <v>2547</v>
      </c>
      <c r="B1248" s="11" t="s">
        <v>2548</v>
      </c>
      <c r="C1248" s="11">
        <v>43</v>
      </c>
      <c r="D1248" s="11" t="s">
        <v>49</v>
      </c>
      <c r="E1248" s="11" t="s">
        <v>58</v>
      </c>
      <c r="F1248" s="11" t="s">
        <v>59</v>
      </c>
      <c r="G1248" s="11" t="s">
        <v>109</v>
      </c>
      <c r="H1248" s="11" t="s">
        <v>45</v>
      </c>
      <c r="I1248" s="11" t="s">
        <v>45</v>
      </c>
      <c r="J1248" s="11">
        <v>0.35</v>
      </c>
      <c r="K1248" s="12">
        <v>44771</v>
      </c>
      <c r="L1248" s="13" t="str" cm="1">
        <f t="array" ref="L1248">_xlfn.IFS(
  OR(ISBLANK(A1248),ISBLANK(C1248),ISBLANK(J1248)),"Missing Value",
  OR(C1248&lt;18,C1248&gt;120),"Review – Out of Range (Age)",
  J1248&lt;0,"Review – Out of Range (Risk Score)",
  TRUE,"OK"
)</f>
        <v>OK</v>
      </c>
    </row>
    <row r="1249" spans="1:12" ht="16.8" x14ac:dyDescent="0.3">
      <c r="A1249" s="14" t="s">
        <v>2549</v>
      </c>
      <c r="B1249" s="14" t="s">
        <v>2550</v>
      </c>
      <c r="C1249" s="14">
        <v>57</v>
      </c>
      <c r="D1249" s="14" t="s">
        <v>49</v>
      </c>
      <c r="E1249" s="14" t="s">
        <v>58</v>
      </c>
      <c r="F1249" s="14" t="s">
        <v>65</v>
      </c>
      <c r="G1249" s="14" t="s">
        <v>55</v>
      </c>
      <c r="H1249" s="14" t="s">
        <v>45</v>
      </c>
      <c r="I1249" s="14" t="s">
        <v>45</v>
      </c>
      <c r="J1249" s="14">
        <v>0.77</v>
      </c>
      <c r="K1249" s="15">
        <v>44587</v>
      </c>
      <c r="L1249" s="13" t="str" cm="1">
        <f t="array" ref="L1249">_xlfn.IFS(
  OR(ISBLANK(A1249),ISBLANK(C1249),ISBLANK(J1249)),"Missing Value",
  OR(C1249&lt;18,C1249&gt;120),"Review – Out of Range (Age)",
  J1249&lt;0,"Review – Out of Range (Risk Score)",
  TRUE,"OK"
)</f>
        <v>OK</v>
      </c>
    </row>
    <row r="1250" spans="1:12" ht="16.8" x14ac:dyDescent="0.3">
      <c r="A1250" s="11" t="s">
        <v>2551</v>
      </c>
      <c r="B1250" s="11" t="s">
        <v>2552</v>
      </c>
      <c r="C1250" s="11">
        <v>20</v>
      </c>
      <c r="D1250" s="11" t="s">
        <v>41</v>
      </c>
      <c r="E1250" s="11" t="s">
        <v>58</v>
      </c>
      <c r="F1250" s="11" t="s">
        <v>51</v>
      </c>
      <c r="G1250" s="11" t="s">
        <v>52</v>
      </c>
      <c r="H1250" s="11" t="s">
        <v>46</v>
      </c>
      <c r="I1250" s="11" t="s">
        <v>46</v>
      </c>
      <c r="J1250" s="11">
        <v>0.65</v>
      </c>
      <c r="K1250" s="12">
        <v>43102</v>
      </c>
      <c r="L1250" s="13" t="str" cm="1">
        <f t="array" ref="L1250">_xlfn.IFS(
  OR(ISBLANK(A1250),ISBLANK(C1250),ISBLANK(J1250)),"Missing Value",
  OR(C1250&lt;18,C1250&gt;120),"Review – Out of Range (Age)",
  J1250&lt;0,"Review – Out of Range (Risk Score)",
  TRUE,"OK"
)</f>
        <v>OK</v>
      </c>
    </row>
    <row r="1251" spans="1:12" ht="16.8" x14ac:dyDescent="0.3">
      <c r="A1251" s="14" t="s">
        <v>2553</v>
      </c>
      <c r="B1251" s="14" t="s">
        <v>2554</v>
      </c>
      <c r="C1251" s="14">
        <v>20</v>
      </c>
      <c r="D1251" s="14" t="s">
        <v>49</v>
      </c>
      <c r="E1251" s="14" t="s">
        <v>42</v>
      </c>
      <c r="F1251" s="14" t="s">
        <v>51</v>
      </c>
      <c r="G1251" s="14" t="s">
        <v>44</v>
      </c>
      <c r="H1251" s="14" t="s">
        <v>46</v>
      </c>
      <c r="I1251" s="14" t="s">
        <v>46</v>
      </c>
      <c r="J1251" s="14">
        <v>0.27</v>
      </c>
      <c r="K1251" s="15">
        <v>44644</v>
      </c>
      <c r="L1251" s="13" t="str" cm="1">
        <f t="array" ref="L1251">_xlfn.IFS(
  OR(ISBLANK(A1251),ISBLANK(C1251),ISBLANK(J1251)),"Missing Value",
  OR(C1251&lt;18,C1251&gt;120),"Review – Out of Range (Age)",
  J1251&lt;0,"Review – Out of Range (Risk Score)",
  TRUE,"OK"
)</f>
        <v>OK</v>
      </c>
    </row>
    <row r="1252" spans="1:12" ht="16.8" x14ac:dyDescent="0.3">
      <c r="A1252" s="11" t="s">
        <v>2555</v>
      </c>
      <c r="B1252" s="11" t="s">
        <v>2556</v>
      </c>
      <c r="C1252" s="11">
        <v>52</v>
      </c>
      <c r="D1252" s="11" t="s">
        <v>41</v>
      </c>
      <c r="E1252" s="11" t="s">
        <v>42</v>
      </c>
      <c r="F1252" s="11" t="s">
        <v>43</v>
      </c>
      <c r="G1252" s="11" t="s">
        <v>60</v>
      </c>
      <c r="H1252" s="11" t="s">
        <v>46</v>
      </c>
      <c r="I1252" s="11" t="s">
        <v>45</v>
      </c>
      <c r="J1252" s="11">
        <v>0.52</v>
      </c>
      <c r="K1252" s="12">
        <v>44833</v>
      </c>
      <c r="L1252" s="13" t="str" cm="1">
        <f t="array" ref="L1252">_xlfn.IFS(
  OR(ISBLANK(A1252),ISBLANK(C1252),ISBLANK(J1252)),"Missing Value",
  OR(C1252&lt;18,C1252&gt;120),"Review – Out of Range (Age)",
  J1252&lt;0,"Review – Out of Range (Risk Score)",
  TRUE,"OK"
)</f>
        <v>OK</v>
      </c>
    </row>
    <row r="1253" spans="1:12" ht="16.8" x14ac:dyDescent="0.3">
      <c r="A1253" s="14" t="s">
        <v>2557</v>
      </c>
      <c r="B1253" s="14" t="s">
        <v>2558</v>
      </c>
      <c r="C1253" s="14">
        <v>61</v>
      </c>
      <c r="D1253" s="14" t="s">
        <v>49</v>
      </c>
      <c r="E1253" s="14" t="s">
        <v>42</v>
      </c>
      <c r="F1253" s="14" t="s">
        <v>59</v>
      </c>
      <c r="G1253" s="14" t="s">
        <v>52</v>
      </c>
      <c r="H1253" s="14" t="s">
        <v>45</v>
      </c>
      <c r="I1253" s="14" t="s">
        <v>45</v>
      </c>
      <c r="J1253" s="14">
        <v>0.41</v>
      </c>
      <c r="K1253" s="15">
        <v>44946</v>
      </c>
      <c r="L1253" s="13" t="str" cm="1">
        <f t="array" ref="L1253">_xlfn.IFS(
  OR(ISBLANK(A1253),ISBLANK(C1253),ISBLANK(J1253)),"Missing Value",
  OR(C1253&lt;18,C1253&gt;120),"Review – Out of Range (Age)",
  J1253&lt;0,"Review – Out of Range (Risk Score)",
  TRUE,"OK"
)</f>
        <v>OK</v>
      </c>
    </row>
    <row r="1254" spans="1:12" ht="16.8" x14ac:dyDescent="0.3">
      <c r="A1254" s="11" t="s">
        <v>2559</v>
      </c>
      <c r="B1254" s="11" t="s">
        <v>2560</v>
      </c>
      <c r="C1254" s="11">
        <v>66</v>
      </c>
      <c r="D1254" s="11" t="s">
        <v>41</v>
      </c>
      <c r="E1254" s="11" t="s">
        <v>42</v>
      </c>
      <c r="F1254" s="11" t="s">
        <v>65</v>
      </c>
      <c r="G1254" s="11" t="s">
        <v>44</v>
      </c>
      <c r="H1254" s="11" t="s">
        <v>46</v>
      </c>
      <c r="I1254" s="11" t="s">
        <v>46</v>
      </c>
      <c r="J1254" s="11">
        <v>0.5</v>
      </c>
      <c r="K1254" s="12">
        <v>43779</v>
      </c>
      <c r="L1254" s="13" t="str" cm="1">
        <f t="array" ref="L1254">_xlfn.IFS(
  OR(ISBLANK(A1254),ISBLANK(C1254),ISBLANK(J1254)),"Missing Value",
  OR(C1254&lt;18,C1254&gt;120),"Review – Out of Range (Age)",
  J1254&lt;0,"Review – Out of Range (Risk Score)",
  TRUE,"OK"
)</f>
        <v>OK</v>
      </c>
    </row>
    <row r="1255" spans="1:12" ht="16.8" x14ac:dyDescent="0.3">
      <c r="A1255" s="14" t="s">
        <v>2561</v>
      </c>
      <c r="B1255" s="14" t="s">
        <v>2562</v>
      </c>
      <c r="C1255" s="14">
        <v>18</v>
      </c>
      <c r="D1255" s="14" t="s">
        <v>49</v>
      </c>
      <c r="E1255" s="14" t="s">
        <v>58</v>
      </c>
      <c r="F1255" s="14" t="s">
        <v>51</v>
      </c>
      <c r="G1255" s="14" t="s">
        <v>60</v>
      </c>
      <c r="H1255" s="14" t="s">
        <v>45</v>
      </c>
      <c r="I1255" s="14" t="s">
        <v>45</v>
      </c>
      <c r="J1255" s="14">
        <v>0.25</v>
      </c>
      <c r="K1255" s="15">
        <v>43758</v>
      </c>
      <c r="L1255" s="13" t="str" cm="1">
        <f t="array" ref="L1255">_xlfn.IFS(
  OR(ISBLANK(A1255),ISBLANK(C1255),ISBLANK(J1255)),"Missing Value",
  OR(C1255&lt;18,C1255&gt;120),"Review – Out of Range (Age)",
  J1255&lt;0,"Review – Out of Range (Risk Score)",
  TRUE,"OK"
)</f>
        <v>OK</v>
      </c>
    </row>
    <row r="1256" spans="1:12" ht="16.8" x14ac:dyDescent="0.3">
      <c r="A1256" s="11" t="s">
        <v>2563</v>
      </c>
      <c r="B1256" s="11" t="s">
        <v>2564</v>
      </c>
      <c r="C1256" s="11">
        <v>53</v>
      </c>
      <c r="D1256" s="11" t="s">
        <v>41</v>
      </c>
      <c r="E1256" s="11" t="s">
        <v>50</v>
      </c>
      <c r="F1256" s="11" t="s">
        <v>59</v>
      </c>
      <c r="G1256" s="11" t="s">
        <v>52</v>
      </c>
      <c r="H1256" s="11" t="s">
        <v>45</v>
      </c>
      <c r="I1256" s="11" t="s">
        <v>45</v>
      </c>
      <c r="J1256" s="11">
        <v>0.51</v>
      </c>
      <c r="K1256" s="12">
        <v>44914</v>
      </c>
      <c r="L1256" s="13" t="str" cm="1">
        <f t="array" ref="L1256">_xlfn.IFS(
  OR(ISBLANK(A1256),ISBLANK(C1256),ISBLANK(J1256)),"Missing Value",
  OR(C1256&lt;18,C1256&gt;120),"Review – Out of Range (Age)",
  J1256&lt;0,"Review – Out of Range (Risk Score)",
  TRUE,"OK"
)</f>
        <v>OK</v>
      </c>
    </row>
    <row r="1257" spans="1:12" ht="16.8" x14ac:dyDescent="0.3">
      <c r="A1257" s="14" t="s">
        <v>2565</v>
      </c>
      <c r="B1257" s="14" t="s">
        <v>2566</v>
      </c>
      <c r="C1257" s="14">
        <v>60</v>
      </c>
      <c r="D1257" s="14" t="s">
        <v>41</v>
      </c>
      <c r="E1257" s="14" t="s">
        <v>50</v>
      </c>
      <c r="F1257" s="14" t="s">
        <v>59</v>
      </c>
      <c r="G1257" s="14" t="s">
        <v>109</v>
      </c>
      <c r="H1257" s="14" t="s">
        <v>46</v>
      </c>
      <c r="I1257" s="14" t="s">
        <v>45</v>
      </c>
      <c r="J1257" s="14">
        <v>0.34</v>
      </c>
      <c r="K1257" s="15">
        <v>43242</v>
      </c>
      <c r="L1257" s="13" t="str" cm="1">
        <f t="array" ref="L1257">_xlfn.IFS(
  OR(ISBLANK(A1257),ISBLANK(C1257),ISBLANK(J1257)),"Missing Value",
  OR(C1257&lt;18,C1257&gt;120),"Review – Out of Range (Age)",
  J1257&lt;0,"Review – Out of Range (Risk Score)",
  TRUE,"OK"
)</f>
        <v>OK</v>
      </c>
    </row>
    <row r="1258" spans="1:12" ht="16.8" x14ac:dyDescent="0.3">
      <c r="A1258" s="11" t="s">
        <v>2567</v>
      </c>
      <c r="B1258" s="11" t="s">
        <v>2568</v>
      </c>
      <c r="C1258" s="11">
        <v>18</v>
      </c>
      <c r="D1258" s="11" t="s">
        <v>49</v>
      </c>
      <c r="E1258" s="11" t="s">
        <v>42</v>
      </c>
      <c r="F1258" s="11" t="s">
        <v>65</v>
      </c>
      <c r="G1258" s="11" t="s">
        <v>60</v>
      </c>
      <c r="H1258" s="11" t="s">
        <v>45</v>
      </c>
      <c r="I1258" s="11" t="s">
        <v>46</v>
      </c>
      <c r="J1258" s="11">
        <v>0.44</v>
      </c>
      <c r="K1258" s="12">
        <v>43949</v>
      </c>
      <c r="L1258" s="13" t="str" cm="1">
        <f t="array" ref="L1258">_xlfn.IFS(
  OR(ISBLANK(A1258),ISBLANK(C1258),ISBLANK(J1258)),"Missing Value",
  OR(C1258&lt;18,C1258&gt;120),"Review – Out of Range (Age)",
  J1258&lt;0,"Review – Out of Range (Risk Score)",
  TRUE,"OK"
)</f>
        <v>OK</v>
      </c>
    </row>
    <row r="1259" spans="1:12" ht="16.8" x14ac:dyDescent="0.3">
      <c r="A1259" s="14" t="s">
        <v>2569</v>
      </c>
      <c r="B1259" s="14" t="s">
        <v>2570</v>
      </c>
      <c r="C1259" s="14">
        <v>52</v>
      </c>
      <c r="D1259" s="14" t="s">
        <v>41</v>
      </c>
      <c r="E1259" s="14" t="s">
        <v>42</v>
      </c>
      <c r="F1259" s="14" t="s">
        <v>65</v>
      </c>
      <c r="G1259" s="14" t="s">
        <v>52</v>
      </c>
      <c r="H1259" s="14" t="s">
        <v>45</v>
      </c>
      <c r="I1259" s="14" t="s">
        <v>45</v>
      </c>
      <c r="J1259" s="14">
        <v>0.47</v>
      </c>
      <c r="K1259" s="15">
        <v>44516</v>
      </c>
      <c r="L1259" s="13" t="str" cm="1">
        <f t="array" ref="L1259">_xlfn.IFS(
  OR(ISBLANK(A1259),ISBLANK(C1259),ISBLANK(J1259)),"Missing Value",
  OR(C1259&lt;18,C1259&gt;120),"Review – Out of Range (Age)",
  J1259&lt;0,"Review – Out of Range (Risk Score)",
  TRUE,"OK"
)</f>
        <v>OK</v>
      </c>
    </row>
    <row r="1260" spans="1:12" ht="16.8" x14ac:dyDescent="0.3">
      <c r="A1260" s="11" t="s">
        <v>2571</v>
      </c>
      <c r="B1260" s="11" t="s">
        <v>2572</v>
      </c>
      <c r="C1260" s="11">
        <v>18</v>
      </c>
      <c r="D1260" s="11" t="s">
        <v>41</v>
      </c>
      <c r="E1260" s="11" t="s">
        <v>50</v>
      </c>
      <c r="F1260" s="11" t="s">
        <v>59</v>
      </c>
      <c r="G1260" s="11" t="s">
        <v>55</v>
      </c>
      <c r="H1260" s="11" t="s">
        <v>46</v>
      </c>
      <c r="I1260" s="11" t="s">
        <v>45</v>
      </c>
      <c r="J1260" s="11">
        <v>0.59</v>
      </c>
      <c r="K1260" s="12">
        <v>43119</v>
      </c>
      <c r="L1260" s="13" t="str" cm="1">
        <f t="array" ref="L1260">_xlfn.IFS(
  OR(ISBLANK(A1260),ISBLANK(C1260),ISBLANK(J1260)),"Missing Value",
  OR(C1260&lt;18,C1260&gt;120),"Review – Out of Range (Age)",
  J1260&lt;0,"Review – Out of Range (Risk Score)",
  TRUE,"OK"
)</f>
        <v>OK</v>
      </c>
    </row>
    <row r="1261" spans="1:12" ht="16.8" x14ac:dyDescent="0.3">
      <c r="A1261" s="14" t="s">
        <v>2573</v>
      </c>
      <c r="B1261" s="14" t="s">
        <v>2574</v>
      </c>
      <c r="C1261" s="14">
        <v>24</v>
      </c>
      <c r="D1261" s="14" t="s">
        <v>49</v>
      </c>
      <c r="E1261" s="14" t="s">
        <v>42</v>
      </c>
      <c r="F1261" s="14" t="s">
        <v>43</v>
      </c>
      <c r="G1261" s="14" t="s">
        <v>109</v>
      </c>
      <c r="H1261" s="14" t="s">
        <v>45</v>
      </c>
      <c r="I1261" s="14" t="s">
        <v>45</v>
      </c>
      <c r="J1261" s="14">
        <v>0.52</v>
      </c>
      <c r="K1261" s="15">
        <v>44714</v>
      </c>
      <c r="L1261" s="13" t="str" cm="1">
        <f t="array" ref="L1261">_xlfn.IFS(
  OR(ISBLANK(A1261),ISBLANK(C1261),ISBLANK(J1261)),"Missing Value",
  OR(C1261&lt;18,C1261&gt;120),"Review – Out of Range (Age)",
  J1261&lt;0,"Review – Out of Range (Risk Score)",
  TRUE,"OK"
)</f>
        <v>OK</v>
      </c>
    </row>
    <row r="1262" spans="1:12" ht="16.8" x14ac:dyDescent="0.3">
      <c r="A1262" s="11" t="s">
        <v>2575</v>
      </c>
      <c r="B1262" s="11" t="s">
        <v>2576</v>
      </c>
      <c r="C1262" s="11">
        <v>40</v>
      </c>
      <c r="D1262" s="11" t="s">
        <v>49</v>
      </c>
      <c r="E1262" s="11" t="s">
        <v>58</v>
      </c>
      <c r="F1262" s="11" t="s">
        <v>43</v>
      </c>
      <c r="G1262" s="11" t="s">
        <v>94</v>
      </c>
      <c r="H1262" s="11" t="s">
        <v>45</v>
      </c>
      <c r="I1262" s="11" t="s">
        <v>46</v>
      </c>
      <c r="J1262" s="11">
        <v>0.55000000000000004</v>
      </c>
      <c r="K1262" s="12">
        <v>43502</v>
      </c>
      <c r="L1262" s="13" t="str" cm="1">
        <f t="array" ref="L1262">_xlfn.IFS(
  OR(ISBLANK(A1262),ISBLANK(C1262),ISBLANK(J1262)),"Missing Value",
  OR(C1262&lt;18,C1262&gt;120),"Review – Out of Range (Age)",
  J1262&lt;0,"Review – Out of Range (Risk Score)",
  TRUE,"OK"
)</f>
        <v>OK</v>
      </c>
    </row>
    <row r="1263" spans="1:12" ht="16.8" x14ac:dyDescent="0.3">
      <c r="A1263" s="14" t="s">
        <v>2577</v>
      </c>
      <c r="B1263" s="14" t="s">
        <v>2578</v>
      </c>
      <c r="C1263" s="14">
        <v>54</v>
      </c>
      <c r="D1263" s="14" t="s">
        <v>49</v>
      </c>
      <c r="E1263" s="14" t="s">
        <v>50</v>
      </c>
      <c r="F1263" s="14" t="s">
        <v>59</v>
      </c>
      <c r="G1263" s="14" t="s">
        <v>94</v>
      </c>
      <c r="H1263" s="14" t="s">
        <v>45</v>
      </c>
      <c r="I1263" s="14" t="s">
        <v>45</v>
      </c>
      <c r="J1263" s="14">
        <v>0.49</v>
      </c>
      <c r="K1263" s="15">
        <v>44588</v>
      </c>
      <c r="L1263" s="13" t="str" cm="1">
        <f t="array" ref="L1263">_xlfn.IFS(
  OR(ISBLANK(A1263),ISBLANK(C1263),ISBLANK(J1263)),"Missing Value",
  OR(C1263&lt;18,C1263&gt;120),"Review – Out of Range (Age)",
  J1263&lt;0,"Review – Out of Range (Risk Score)",
  TRUE,"OK"
)</f>
        <v>OK</v>
      </c>
    </row>
    <row r="1264" spans="1:12" ht="16.8" x14ac:dyDescent="0.3">
      <c r="A1264" s="11" t="s">
        <v>2579</v>
      </c>
      <c r="B1264" s="11" t="s">
        <v>2580</v>
      </c>
      <c r="C1264" s="11">
        <v>53</v>
      </c>
      <c r="D1264" s="11" t="s">
        <v>41</v>
      </c>
      <c r="E1264" s="11" t="s">
        <v>42</v>
      </c>
      <c r="F1264" s="11" t="s">
        <v>51</v>
      </c>
      <c r="G1264" s="11" t="s">
        <v>52</v>
      </c>
      <c r="H1264" s="11" t="s">
        <v>45</v>
      </c>
      <c r="I1264" s="11" t="s">
        <v>45</v>
      </c>
      <c r="J1264" s="11">
        <v>0</v>
      </c>
      <c r="K1264" s="12">
        <v>43829</v>
      </c>
      <c r="L1264" s="13" t="str" cm="1">
        <f t="array" ref="L1264">_xlfn.IFS(
  OR(ISBLANK(A1264),ISBLANK(C1264),ISBLANK(J1264)),"Missing Value",
  OR(C1264&lt;18,C1264&gt;120),"Review – Out of Range (Age)",
  J1264&lt;0,"Review – Out of Range (Risk Score)",
  TRUE,"OK"
)</f>
        <v>OK</v>
      </c>
    </row>
    <row r="1265" spans="1:12" ht="16.8" x14ac:dyDescent="0.3">
      <c r="A1265" s="14" t="s">
        <v>2581</v>
      </c>
      <c r="B1265" s="14" t="s">
        <v>2582</v>
      </c>
      <c r="C1265" s="14">
        <v>45</v>
      </c>
      <c r="D1265" s="14" t="s">
        <v>49</v>
      </c>
      <c r="E1265" s="14" t="s">
        <v>42</v>
      </c>
      <c r="F1265" s="14" t="s">
        <v>59</v>
      </c>
      <c r="G1265" s="14" t="s">
        <v>44</v>
      </c>
      <c r="H1265" s="14" t="s">
        <v>45</v>
      </c>
      <c r="I1265" s="14" t="s">
        <v>45</v>
      </c>
      <c r="J1265" s="14">
        <v>0.59</v>
      </c>
      <c r="K1265" s="15">
        <v>44824</v>
      </c>
      <c r="L1265" s="13" t="str" cm="1">
        <f t="array" ref="L1265">_xlfn.IFS(
  OR(ISBLANK(A1265),ISBLANK(C1265),ISBLANK(J1265)),"Missing Value",
  OR(C1265&lt;18,C1265&gt;120),"Review – Out of Range (Age)",
  J1265&lt;0,"Review – Out of Range (Risk Score)",
  TRUE,"OK"
)</f>
        <v>OK</v>
      </c>
    </row>
    <row r="1266" spans="1:12" ht="16.8" x14ac:dyDescent="0.3">
      <c r="A1266" s="11" t="s">
        <v>2583</v>
      </c>
      <c r="B1266" s="11" t="s">
        <v>2584</v>
      </c>
      <c r="C1266" s="11">
        <v>43</v>
      </c>
      <c r="D1266" s="11" t="s">
        <v>41</v>
      </c>
      <c r="E1266" s="11" t="s">
        <v>50</v>
      </c>
      <c r="F1266" s="11" t="s">
        <v>65</v>
      </c>
      <c r="G1266" s="11" t="s">
        <v>55</v>
      </c>
      <c r="H1266" s="11" t="s">
        <v>45</v>
      </c>
      <c r="I1266" s="11" t="s">
        <v>45</v>
      </c>
      <c r="J1266" s="11">
        <v>0.56999999999999995</v>
      </c>
      <c r="K1266" s="12">
        <v>44338</v>
      </c>
      <c r="L1266" s="13" t="str" cm="1">
        <f t="array" ref="L1266">_xlfn.IFS(
  OR(ISBLANK(A1266),ISBLANK(C1266),ISBLANK(J1266)),"Missing Value",
  OR(C1266&lt;18,C1266&gt;120),"Review – Out of Range (Age)",
  J1266&lt;0,"Review – Out of Range (Risk Score)",
  TRUE,"OK"
)</f>
        <v>OK</v>
      </c>
    </row>
    <row r="1267" spans="1:12" ht="16.8" x14ac:dyDescent="0.3">
      <c r="A1267" s="14" t="s">
        <v>2585</v>
      </c>
      <c r="B1267" s="14" t="s">
        <v>2586</v>
      </c>
      <c r="C1267" s="14">
        <v>21</v>
      </c>
      <c r="D1267" s="14" t="s">
        <v>49</v>
      </c>
      <c r="E1267" s="14" t="s">
        <v>42</v>
      </c>
      <c r="F1267" s="14" t="s">
        <v>59</v>
      </c>
      <c r="G1267" s="14" t="s">
        <v>60</v>
      </c>
      <c r="H1267" s="14" t="s">
        <v>45</v>
      </c>
      <c r="I1267" s="14" t="s">
        <v>45</v>
      </c>
      <c r="J1267" s="14">
        <v>0.71</v>
      </c>
      <c r="K1267" s="15">
        <v>43799</v>
      </c>
      <c r="L1267" s="13" t="str" cm="1">
        <f t="array" ref="L1267">_xlfn.IFS(
  OR(ISBLANK(A1267),ISBLANK(C1267),ISBLANK(J1267)),"Missing Value",
  OR(C1267&lt;18,C1267&gt;120),"Review – Out of Range (Age)",
  J1267&lt;0,"Review – Out of Range (Risk Score)",
  TRUE,"OK"
)</f>
        <v>OK</v>
      </c>
    </row>
    <row r="1268" spans="1:12" ht="16.8" x14ac:dyDescent="0.3">
      <c r="A1268" s="11" t="s">
        <v>2587</v>
      </c>
      <c r="B1268" s="11" t="s">
        <v>2588</v>
      </c>
      <c r="C1268" s="11">
        <v>46</v>
      </c>
      <c r="D1268" s="11" t="s">
        <v>49</v>
      </c>
      <c r="E1268" s="11" t="s">
        <v>58</v>
      </c>
      <c r="F1268" s="11" t="s">
        <v>59</v>
      </c>
      <c r="G1268" s="11" t="s">
        <v>60</v>
      </c>
      <c r="H1268" s="11" t="s">
        <v>45</v>
      </c>
      <c r="I1268" s="11" t="s">
        <v>46</v>
      </c>
      <c r="J1268" s="11">
        <v>0.33</v>
      </c>
      <c r="K1268" s="12">
        <v>44309</v>
      </c>
      <c r="L1268" s="13" t="str" cm="1">
        <f t="array" ref="L1268">_xlfn.IFS(
  OR(ISBLANK(A1268),ISBLANK(C1268),ISBLANK(J1268)),"Missing Value",
  OR(C1268&lt;18,C1268&gt;120),"Review – Out of Range (Age)",
  J1268&lt;0,"Review – Out of Range (Risk Score)",
  TRUE,"OK"
)</f>
        <v>OK</v>
      </c>
    </row>
    <row r="1269" spans="1:12" ht="16.8" x14ac:dyDescent="0.3">
      <c r="A1269" s="14" t="s">
        <v>2589</v>
      </c>
      <c r="B1269" s="14" t="s">
        <v>2590</v>
      </c>
      <c r="C1269" s="14">
        <v>60</v>
      </c>
      <c r="D1269" s="14" t="s">
        <v>41</v>
      </c>
      <c r="E1269" s="14" t="s">
        <v>58</v>
      </c>
      <c r="F1269" s="14" t="s">
        <v>51</v>
      </c>
      <c r="G1269" s="14" t="s">
        <v>94</v>
      </c>
      <c r="H1269" s="14" t="s">
        <v>46</v>
      </c>
      <c r="I1269" s="14" t="s">
        <v>45</v>
      </c>
      <c r="J1269" s="14">
        <v>0.52</v>
      </c>
      <c r="K1269" s="15">
        <v>43392</v>
      </c>
      <c r="L1269" s="13" t="str" cm="1">
        <f t="array" ref="L1269">_xlfn.IFS(
  OR(ISBLANK(A1269),ISBLANK(C1269),ISBLANK(J1269)),"Missing Value",
  OR(C1269&lt;18,C1269&gt;120),"Review – Out of Range (Age)",
  J1269&lt;0,"Review – Out of Range (Risk Score)",
  TRUE,"OK"
)</f>
        <v>OK</v>
      </c>
    </row>
    <row r="1270" spans="1:12" ht="16.8" x14ac:dyDescent="0.3">
      <c r="A1270" s="11" t="s">
        <v>2591</v>
      </c>
      <c r="B1270" s="11" t="s">
        <v>2592</v>
      </c>
      <c r="C1270" s="11">
        <v>40</v>
      </c>
      <c r="D1270" s="11" t="s">
        <v>49</v>
      </c>
      <c r="E1270" s="11" t="s">
        <v>42</v>
      </c>
      <c r="F1270" s="11" t="s">
        <v>65</v>
      </c>
      <c r="G1270" s="11" t="s">
        <v>60</v>
      </c>
      <c r="H1270" s="11" t="s">
        <v>46</v>
      </c>
      <c r="I1270" s="11" t="s">
        <v>46</v>
      </c>
      <c r="J1270" s="11">
        <v>0.69</v>
      </c>
      <c r="K1270" s="12">
        <v>43367</v>
      </c>
      <c r="L1270" s="13" t="str" cm="1">
        <f t="array" ref="L1270">_xlfn.IFS(
  OR(ISBLANK(A1270),ISBLANK(C1270),ISBLANK(J1270)),"Missing Value",
  OR(C1270&lt;18,C1270&gt;120),"Review – Out of Range (Age)",
  J1270&lt;0,"Review – Out of Range (Risk Score)",
  TRUE,"OK"
)</f>
        <v>OK</v>
      </c>
    </row>
    <row r="1271" spans="1:12" ht="16.8" x14ac:dyDescent="0.3">
      <c r="A1271" s="14" t="s">
        <v>2593</v>
      </c>
      <c r="B1271" s="14" t="s">
        <v>2594</v>
      </c>
      <c r="C1271" s="14">
        <v>33</v>
      </c>
      <c r="D1271" s="14" t="s">
        <v>49</v>
      </c>
      <c r="E1271" s="14" t="s">
        <v>50</v>
      </c>
      <c r="F1271" s="14" t="s">
        <v>43</v>
      </c>
      <c r="G1271" s="14" t="s">
        <v>109</v>
      </c>
      <c r="H1271" s="14" t="s">
        <v>46</v>
      </c>
      <c r="I1271" s="14" t="s">
        <v>46</v>
      </c>
      <c r="J1271" s="14">
        <v>0.72</v>
      </c>
      <c r="K1271" s="15">
        <v>44596</v>
      </c>
      <c r="L1271" s="13" t="str" cm="1">
        <f t="array" ref="L1271">_xlfn.IFS(
  OR(ISBLANK(A1271),ISBLANK(C1271),ISBLANK(J1271)),"Missing Value",
  OR(C1271&lt;18,C1271&gt;120),"Review – Out of Range (Age)",
  J1271&lt;0,"Review – Out of Range (Risk Score)",
  TRUE,"OK"
)</f>
        <v>OK</v>
      </c>
    </row>
    <row r="1272" spans="1:12" ht="16.8" x14ac:dyDescent="0.3">
      <c r="A1272" s="11" t="s">
        <v>2595</v>
      </c>
      <c r="B1272" s="11" t="s">
        <v>2596</v>
      </c>
      <c r="C1272" s="11">
        <v>60</v>
      </c>
      <c r="D1272" s="11" t="s">
        <v>41</v>
      </c>
      <c r="E1272" s="11" t="s">
        <v>50</v>
      </c>
      <c r="F1272" s="11" t="s">
        <v>51</v>
      </c>
      <c r="G1272" s="11" t="s">
        <v>94</v>
      </c>
      <c r="H1272" s="11" t="s">
        <v>46</v>
      </c>
      <c r="I1272" s="11" t="s">
        <v>46</v>
      </c>
      <c r="J1272" s="11">
        <v>0.33</v>
      </c>
      <c r="K1272" s="12">
        <v>44589</v>
      </c>
      <c r="L1272" s="13" t="str" cm="1">
        <f t="array" ref="L1272">_xlfn.IFS(
  OR(ISBLANK(A1272),ISBLANK(C1272),ISBLANK(J1272)),"Missing Value",
  OR(C1272&lt;18,C1272&gt;120),"Review – Out of Range (Age)",
  J1272&lt;0,"Review – Out of Range (Risk Score)",
  TRUE,"OK"
)</f>
        <v>OK</v>
      </c>
    </row>
    <row r="1273" spans="1:12" ht="16.8" x14ac:dyDescent="0.3">
      <c r="A1273" s="14" t="s">
        <v>2597</v>
      </c>
      <c r="B1273" s="14" t="s">
        <v>2598</v>
      </c>
      <c r="C1273" s="14">
        <v>39</v>
      </c>
      <c r="D1273" s="14" t="s">
        <v>41</v>
      </c>
      <c r="E1273" s="14" t="s">
        <v>50</v>
      </c>
      <c r="F1273" s="14" t="s">
        <v>43</v>
      </c>
      <c r="G1273" s="14" t="s">
        <v>52</v>
      </c>
      <c r="H1273" s="14" t="s">
        <v>45</v>
      </c>
      <c r="I1273" s="14" t="s">
        <v>45</v>
      </c>
      <c r="J1273" s="14">
        <v>0.53</v>
      </c>
      <c r="K1273" s="15">
        <v>44895</v>
      </c>
      <c r="L1273" s="13" t="str" cm="1">
        <f t="array" ref="L1273">_xlfn.IFS(
  OR(ISBLANK(A1273),ISBLANK(C1273),ISBLANK(J1273)),"Missing Value",
  OR(C1273&lt;18,C1273&gt;120),"Review – Out of Range (Age)",
  J1273&lt;0,"Review – Out of Range (Risk Score)",
  TRUE,"OK"
)</f>
        <v>OK</v>
      </c>
    </row>
    <row r="1274" spans="1:12" ht="16.8" x14ac:dyDescent="0.3">
      <c r="A1274" s="11" t="s">
        <v>2599</v>
      </c>
      <c r="B1274" s="11" t="s">
        <v>2600</v>
      </c>
      <c r="C1274" s="11">
        <v>54</v>
      </c>
      <c r="D1274" s="11" t="s">
        <v>49</v>
      </c>
      <c r="E1274" s="11" t="s">
        <v>42</v>
      </c>
      <c r="F1274" s="11" t="s">
        <v>43</v>
      </c>
      <c r="G1274" s="11" t="s">
        <v>44</v>
      </c>
      <c r="H1274" s="11" t="s">
        <v>45</v>
      </c>
      <c r="I1274" s="11" t="s">
        <v>45</v>
      </c>
      <c r="J1274" s="11">
        <v>0.77</v>
      </c>
      <c r="K1274" s="12">
        <v>44255</v>
      </c>
      <c r="L1274" s="13" t="str" cm="1">
        <f t="array" ref="L1274">_xlfn.IFS(
  OR(ISBLANK(A1274),ISBLANK(C1274),ISBLANK(J1274)),"Missing Value",
  OR(C1274&lt;18,C1274&gt;120),"Review – Out of Range (Age)",
  J1274&lt;0,"Review – Out of Range (Risk Score)",
  TRUE,"OK"
)</f>
        <v>OK</v>
      </c>
    </row>
    <row r="1275" spans="1:12" ht="16.8" x14ac:dyDescent="0.3">
      <c r="A1275" s="14" t="s">
        <v>2601</v>
      </c>
      <c r="B1275" s="14" t="s">
        <v>2602</v>
      </c>
      <c r="C1275" s="14">
        <v>60</v>
      </c>
      <c r="D1275" s="14" t="s">
        <v>41</v>
      </c>
      <c r="E1275" s="14" t="s">
        <v>50</v>
      </c>
      <c r="F1275" s="14" t="s">
        <v>43</v>
      </c>
      <c r="G1275" s="14" t="s">
        <v>94</v>
      </c>
      <c r="H1275" s="14" t="s">
        <v>46</v>
      </c>
      <c r="I1275" s="14" t="s">
        <v>46</v>
      </c>
      <c r="J1275" s="14">
        <v>0.74</v>
      </c>
      <c r="K1275" s="15">
        <v>45012</v>
      </c>
      <c r="L1275" s="13" t="str" cm="1">
        <f t="array" ref="L1275">_xlfn.IFS(
  OR(ISBLANK(A1275),ISBLANK(C1275),ISBLANK(J1275)),"Missing Value",
  OR(C1275&lt;18,C1275&gt;120),"Review – Out of Range (Age)",
  J1275&lt;0,"Review – Out of Range (Risk Score)",
  TRUE,"OK"
)</f>
        <v>OK</v>
      </c>
    </row>
    <row r="1276" spans="1:12" ht="16.8" x14ac:dyDescent="0.3">
      <c r="A1276" s="11" t="s">
        <v>2603</v>
      </c>
      <c r="B1276" s="11" t="s">
        <v>2604</v>
      </c>
      <c r="C1276" s="11">
        <v>22</v>
      </c>
      <c r="D1276" s="11" t="s">
        <v>49</v>
      </c>
      <c r="E1276" s="11" t="s">
        <v>42</v>
      </c>
      <c r="F1276" s="11" t="s">
        <v>51</v>
      </c>
      <c r="G1276" s="11" t="s">
        <v>55</v>
      </c>
      <c r="H1276" s="11" t="s">
        <v>45</v>
      </c>
      <c r="I1276" s="11" t="s">
        <v>45</v>
      </c>
      <c r="J1276" s="11">
        <v>0.15</v>
      </c>
      <c r="K1276" s="12">
        <v>43181</v>
      </c>
      <c r="L1276" s="13" t="str" cm="1">
        <f t="array" ref="L1276">_xlfn.IFS(
  OR(ISBLANK(A1276),ISBLANK(C1276),ISBLANK(J1276)),"Missing Value",
  OR(C1276&lt;18,C1276&gt;120),"Review – Out of Range (Age)",
  J1276&lt;0,"Review – Out of Range (Risk Score)",
  TRUE,"OK"
)</f>
        <v>OK</v>
      </c>
    </row>
    <row r="1277" spans="1:12" ht="16.8" x14ac:dyDescent="0.3">
      <c r="A1277" s="14" t="s">
        <v>2605</v>
      </c>
      <c r="B1277" s="14" t="s">
        <v>2606</v>
      </c>
      <c r="C1277" s="14">
        <v>51</v>
      </c>
      <c r="D1277" s="14" t="s">
        <v>41</v>
      </c>
      <c r="E1277" s="14" t="s">
        <v>58</v>
      </c>
      <c r="F1277" s="14" t="s">
        <v>65</v>
      </c>
      <c r="G1277" s="14" t="s">
        <v>109</v>
      </c>
      <c r="H1277" s="14" t="s">
        <v>46</v>
      </c>
      <c r="I1277" s="14" t="s">
        <v>46</v>
      </c>
      <c r="J1277" s="14">
        <v>0.62</v>
      </c>
      <c r="K1277" s="15">
        <v>43353</v>
      </c>
      <c r="L1277" s="13" t="str" cm="1">
        <f t="array" ref="L1277">_xlfn.IFS(
  OR(ISBLANK(A1277),ISBLANK(C1277),ISBLANK(J1277)),"Missing Value",
  OR(C1277&lt;18,C1277&gt;120),"Review – Out of Range (Age)",
  J1277&lt;0,"Review – Out of Range (Risk Score)",
  TRUE,"OK"
)</f>
        <v>OK</v>
      </c>
    </row>
    <row r="1278" spans="1:12" ht="16.8" x14ac:dyDescent="0.3">
      <c r="A1278" s="11" t="s">
        <v>2607</v>
      </c>
      <c r="B1278" s="11" t="s">
        <v>2608</v>
      </c>
      <c r="C1278" s="11">
        <v>52</v>
      </c>
      <c r="D1278" s="11" t="s">
        <v>49</v>
      </c>
      <c r="E1278" s="11" t="s">
        <v>42</v>
      </c>
      <c r="F1278" s="11" t="s">
        <v>59</v>
      </c>
      <c r="G1278" s="11" t="s">
        <v>94</v>
      </c>
      <c r="H1278" s="11" t="s">
        <v>46</v>
      </c>
      <c r="I1278" s="11" t="s">
        <v>45</v>
      </c>
      <c r="J1278" s="11">
        <v>0.65</v>
      </c>
      <c r="K1278" s="12">
        <v>43809</v>
      </c>
      <c r="L1278" s="13" t="str" cm="1">
        <f t="array" ref="L1278">_xlfn.IFS(
  OR(ISBLANK(A1278),ISBLANK(C1278),ISBLANK(J1278)),"Missing Value",
  OR(C1278&lt;18,C1278&gt;120),"Review – Out of Range (Age)",
  J1278&lt;0,"Review – Out of Range (Risk Score)",
  TRUE,"OK"
)</f>
        <v>OK</v>
      </c>
    </row>
    <row r="1279" spans="1:12" ht="16.8" x14ac:dyDescent="0.3">
      <c r="A1279" s="14" t="s">
        <v>2609</v>
      </c>
      <c r="B1279" s="14" t="s">
        <v>2610</v>
      </c>
      <c r="C1279" s="14">
        <v>57</v>
      </c>
      <c r="D1279" s="14" t="s">
        <v>41</v>
      </c>
      <c r="E1279" s="14" t="s">
        <v>58</v>
      </c>
      <c r="F1279" s="14" t="s">
        <v>59</v>
      </c>
      <c r="G1279" s="14" t="s">
        <v>55</v>
      </c>
      <c r="H1279" s="14" t="s">
        <v>45</v>
      </c>
      <c r="I1279" s="14" t="s">
        <v>45</v>
      </c>
      <c r="J1279" s="14">
        <v>0.57999999999999996</v>
      </c>
      <c r="K1279" s="15">
        <v>43332</v>
      </c>
      <c r="L1279" s="13" t="str" cm="1">
        <f t="array" ref="L1279">_xlfn.IFS(
  OR(ISBLANK(A1279),ISBLANK(C1279),ISBLANK(J1279)),"Missing Value",
  OR(C1279&lt;18,C1279&gt;120),"Review – Out of Range (Age)",
  J1279&lt;0,"Review – Out of Range (Risk Score)",
  TRUE,"OK"
)</f>
        <v>OK</v>
      </c>
    </row>
    <row r="1280" spans="1:12" ht="16.8" x14ac:dyDescent="0.3">
      <c r="A1280" s="11" t="s">
        <v>2611</v>
      </c>
      <c r="B1280" s="11" t="s">
        <v>2612</v>
      </c>
      <c r="C1280" s="11">
        <v>31</v>
      </c>
      <c r="D1280" s="11" t="s">
        <v>49</v>
      </c>
      <c r="E1280" s="11" t="s">
        <v>42</v>
      </c>
      <c r="F1280" s="11" t="s">
        <v>59</v>
      </c>
      <c r="G1280" s="11" t="s">
        <v>55</v>
      </c>
      <c r="H1280" s="11" t="s">
        <v>46</v>
      </c>
      <c r="I1280" s="11" t="s">
        <v>45</v>
      </c>
      <c r="J1280" s="11">
        <v>0.5</v>
      </c>
      <c r="K1280" s="12">
        <v>43265</v>
      </c>
      <c r="L1280" s="13" t="str" cm="1">
        <f t="array" ref="L1280">_xlfn.IFS(
  OR(ISBLANK(A1280),ISBLANK(C1280),ISBLANK(J1280)),"Missing Value",
  OR(C1280&lt;18,C1280&gt;120),"Review – Out of Range (Age)",
  J1280&lt;0,"Review – Out of Range (Risk Score)",
  TRUE,"OK"
)</f>
        <v>OK</v>
      </c>
    </row>
    <row r="1281" spans="1:12" ht="16.8" x14ac:dyDescent="0.3">
      <c r="A1281" s="14" t="s">
        <v>2613</v>
      </c>
      <c r="B1281" s="14" t="s">
        <v>2614</v>
      </c>
      <c r="C1281" s="14">
        <v>62</v>
      </c>
      <c r="D1281" s="14" t="s">
        <v>49</v>
      </c>
      <c r="E1281" s="14" t="s">
        <v>50</v>
      </c>
      <c r="F1281" s="14" t="s">
        <v>59</v>
      </c>
      <c r="G1281" s="14" t="s">
        <v>55</v>
      </c>
      <c r="H1281" s="14" t="s">
        <v>46</v>
      </c>
      <c r="I1281" s="14" t="s">
        <v>45</v>
      </c>
      <c r="J1281" s="14">
        <v>0.71</v>
      </c>
      <c r="K1281" s="15">
        <v>44618</v>
      </c>
      <c r="L1281" s="13" t="str" cm="1">
        <f t="array" ref="L1281">_xlfn.IFS(
  OR(ISBLANK(A1281),ISBLANK(C1281),ISBLANK(J1281)),"Missing Value",
  OR(C1281&lt;18,C1281&gt;120),"Review – Out of Range (Age)",
  J1281&lt;0,"Review – Out of Range (Risk Score)",
  TRUE,"OK"
)</f>
        <v>OK</v>
      </c>
    </row>
    <row r="1282" spans="1:12" ht="16.8" x14ac:dyDescent="0.3">
      <c r="A1282" s="11" t="s">
        <v>2615</v>
      </c>
      <c r="B1282" s="11" t="s">
        <v>2616</v>
      </c>
      <c r="C1282" s="11">
        <v>19</v>
      </c>
      <c r="D1282" s="11" t="s">
        <v>41</v>
      </c>
      <c r="E1282" s="11" t="s">
        <v>42</v>
      </c>
      <c r="F1282" s="11" t="s">
        <v>51</v>
      </c>
      <c r="G1282" s="11" t="s">
        <v>52</v>
      </c>
      <c r="H1282" s="11" t="s">
        <v>45</v>
      </c>
      <c r="I1282" s="11" t="s">
        <v>45</v>
      </c>
      <c r="J1282" s="11">
        <v>0.65</v>
      </c>
      <c r="K1282" s="12">
        <v>43260</v>
      </c>
      <c r="L1282" s="13" t="str" cm="1">
        <f t="array" ref="L1282">_xlfn.IFS(
  OR(ISBLANK(A1282),ISBLANK(C1282),ISBLANK(J1282)),"Missing Value",
  OR(C1282&lt;18,C1282&gt;120),"Review – Out of Range (Age)",
  J1282&lt;0,"Review – Out of Range (Risk Score)",
  TRUE,"OK"
)</f>
        <v>OK</v>
      </c>
    </row>
    <row r="1283" spans="1:12" ht="16.8" x14ac:dyDescent="0.3">
      <c r="A1283" s="14" t="s">
        <v>2617</v>
      </c>
      <c r="B1283" s="14" t="s">
        <v>2618</v>
      </c>
      <c r="C1283" s="14">
        <v>19</v>
      </c>
      <c r="D1283" s="14" t="s">
        <v>49</v>
      </c>
      <c r="E1283" s="14" t="s">
        <v>42</v>
      </c>
      <c r="F1283" s="14" t="s">
        <v>65</v>
      </c>
      <c r="G1283" s="14" t="s">
        <v>109</v>
      </c>
      <c r="H1283" s="14" t="s">
        <v>46</v>
      </c>
      <c r="I1283" s="14" t="s">
        <v>45</v>
      </c>
      <c r="J1283" s="14">
        <v>0.36</v>
      </c>
      <c r="K1283" s="15">
        <v>43395</v>
      </c>
      <c r="L1283" s="13" t="str" cm="1">
        <f t="array" ref="L1283">_xlfn.IFS(
  OR(ISBLANK(A1283),ISBLANK(C1283),ISBLANK(J1283)),"Missing Value",
  OR(C1283&lt;18,C1283&gt;120),"Review – Out of Range (Age)",
  J1283&lt;0,"Review – Out of Range (Risk Score)",
  TRUE,"OK"
)</f>
        <v>OK</v>
      </c>
    </row>
    <row r="1284" spans="1:12" ht="16.8" x14ac:dyDescent="0.3">
      <c r="A1284" s="11" t="s">
        <v>2619</v>
      </c>
      <c r="B1284" s="11" t="s">
        <v>2620</v>
      </c>
      <c r="C1284" s="11">
        <v>33</v>
      </c>
      <c r="D1284" s="11" t="s">
        <v>49</v>
      </c>
      <c r="E1284" s="11" t="s">
        <v>58</v>
      </c>
      <c r="F1284" s="11" t="s">
        <v>51</v>
      </c>
      <c r="G1284" s="11" t="s">
        <v>109</v>
      </c>
      <c r="H1284" s="11" t="s">
        <v>45</v>
      </c>
      <c r="I1284" s="11" t="s">
        <v>46</v>
      </c>
      <c r="J1284" s="11">
        <v>0.56000000000000005</v>
      </c>
      <c r="K1284" s="12">
        <v>44189</v>
      </c>
      <c r="L1284" s="13" t="str" cm="1">
        <f t="array" ref="L1284">_xlfn.IFS(
  OR(ISBLANK(A1284),ISBLANK(C1284),ISBLANK(J1284)),"Missing Value",
  OR(C1284&lt;18,C1284&gt;120),"Review – Out of Range (Age)",
  J1284&lt;0,"Review – Out of Range (Risk Score)",
  TRUE,"OK"
)</f>
        <v>OK</v>
      </c>
    </row>
    <row r="1285" spans="1:12" ht="16.8" x14ac:dyDescent="0.3">
      <c r="A1285" s="14" t="s">
        <v>2621</v>
      </c>
      <c r="B1285" s="14" t="s">
        <v>2622</v>
      </c>
      <c r="C1285" s="14">
        <v>19</v>
      </c>
      <c r="D1285" s="14" t="s">
        <v>41</v>
      </c>
      <c r="E1285" s="14" t="s">
        <v>58</v>
      </c>
      <c r="F1285" s="14" t="s">
        <v>43</v>
      </c>
      <c r="G1285" s="14" t="s">
        <v>55</v>
      </c>
      <c r="H1285" s="14" t="s">
        <v>46</v>
      </c>
      <c r="I1285" s="14" t="s">
        <v>46</v>
      </c>
      <c r="J1285" s="14">
        <v>0.51</v>
      </c>
      <c r="K1285" s="15">
        <v>44504</v>
      </c>
      <c r="L1285" s="13" t="str" cm="1">
        <f t="array" ref="L1285">_xlfn.IFS(
  OR(ISBLANK(A1285),ISBLANK(C1285),ISBLANK(J1285)),"Missing Value",
  OR(C1285&lt;18,C1285&gt;120),"Review – Out of Range (Age)",
  J1285&lt;0,"Review – Out of Range (Risk Score)",
  TRUE,"OK"
)</f>
        <v>OK</v>
      </c>
    </row>
    <row r="1286" spans="1:12" ht="16.8" x14ac:dyDescent="0.3">
      <c r="A1286" s="11" t="s">
        <v>2623</v>
      </c>
      <c r="B1286" s="11" t="s">
        <v>2624</v>
      </c>
      <c r="C1286" s="11">
        <v>56</v>
      </c>
      <c r="D1286" s="11" t="s">
        <v>41</v>
      </c>
      <c r="E1286" s="11" t="s">
        <v>50</v>
      </c>
      <c r="F1286" s="11" t="s">
        <v>43</v>
      </c>
      <c r="G1286" s="11" t="s">
        <v>55</v>
      </c>
      <c r="H1286" s="11" t="s">
        <v>46</v>
      </c>
      <c r="I1286" s="11" t="s">
        <v>45</v>
      </c>
      <c r="J1286" s="11">
        <v>0.52</v>
      </c>
      <c r="K1286" s="12">
        <v>43601</v>
      </c>
      <c r="L1286" s="13" t="str" cm="1">
        <f t="array" ref="L1286">_xlfn.IFS(
  OR(ISBLANK(A1286),ISBLANK(C1286),ISBLANK(J1286)),"Missing Value",
  OR(C1286&lt;18,C1286&gt;120),"Review – Out of Range (Age)",
  J1286&lt;0,"Review – Out of Range (Risk Score)",
  TRUE,"OK"
)</f>
        <v>OK</v>
      </c>
    </row>
    <row r="1287" spans="1:12" ht="16.8" x14ac:dyDescent="0.3">
      <c r="A1287" s="14" t="s">
        <v>2625</v>
      </c>
      <c r="B1287" s="14" t="s">
        <v>2626</v>
      </c>
      <c r="C1287" s="14">
        <v>28</v>
      </c>
      <c r="D1287" s="14" t="s">
        <v>41</v>
      </c>
      <c r="E1287" s="14" t="s">
        <v>42</v>
      </c>
      <c r="F1287" s="14" t="s">
        <v>43</v>
      </c>
      <c r="G1287" s="14" t="s">
        <v>60</v>
      </c>
      <c r="H1287" s="14" t="s">
        <v>45</v>
      </c>
      <c r="I1287" s="14" t="s">
        <v>46</v>
      </c>
      <c r="J1287" s="14">
        <v>0.41</v>
      </c>
      <c r="K1287" s="15">
        <v>44149</v>
      </c>
      <c r="L1287" s="13" t="str" cm="1">
        <f t="array" ref="L1287">_xlfn.IFS(
  OR(ISBLANK(A1287),ISBLANK(C1287),ISBLANK(J1287)),"Missing Value",
  OR(C1287&lt;18,C1287&gt;120),"Review – Out of Range (Age)",
  J1287&lt;0,"Review – Out of Range (Risk Score)",
  TRUE,"OK"
)</f>
        <v>OK</v>
      </c>
    </row>
    <row r="1288" spans="1:12" ht="16.8" x14ac:dyDescent="0.3">
      <c r="A1288" s="11" t="s">
        <v>2627</v>
      </c>
      <c r="B1288" s="11" t="s">
        <v>2628</v>
      </c>
      <c r="C1288" s="11">
        <v>50</v>
      </c>
      <c r="D1288" s="11" t="s">
        <v>41</v>
      </c>
      <c r="E1288" s="11" t="s">
        <v>58</v>
      </c>
      <c r="F1288" s="11" t="s">
        <v>51</v>
      </c>
      <c r="G1288" s="11" t="s">
        <v>109</v>
      </c>
      <c r="H1288" s="11" t="s">
        <v>45</v>
      </c>
      <c r="I1288" s="11" t="s">
        <v>45</v>
      </c>
      <c r="J1288" s="11">
        <v>0.28000000000000003</v>
      </c>
      <c r="K1288" s="12">
        <v>43825</v>
      </c>
      <c r="L1288" s="13" t="str" cm="1">
        <f t="array" ref="L1288">_xlfn.IFS(
  OR(ISBLANK(A1288),ISBLANK(C1288),ISBLANK(J1288)),"Missing Value",
  OR(C1288&lt;18,C1288&gt;120),"Review – Out of Range (Age)",
  J1288&lt;0,"Review – Out of Range (Risk Score)",
  TRUE,"OK"
)</f>
        <v>OK</v>
      </c>
    </row>
    <row r="1289" spans="1:12" ht="16.8" x14ac:dyDescent="0.3">
      <c r="A1289" s="14" t="s">
        <v>2629</v>
      </c>
      <c r="B1289" s="14" t="s">
        <v>2630</v>
      </c>
      <c r="C1289" s="14">
        <v>29</v>
      </c>
      <c r="D1289" s="14" t="s">
        <v>49</v>
      </c>
      <c r="E1289" s="14" t="s">
        <v>42</v>
      </c>
      <c r="F1289" s="14" t="s">
        <v>43</v>
      </c>
      <c r="G1289" s="14" t="s">
        <v>94</v>
      </c>
      <c r="H1289" s="14" t="s">
        <v>46</v>
      </c>
      <c r="I1289" s="14" t="s">
        <v>45</v>
      </c>
      <c r="J1289" s="14">
        <v>0.66</v>
      </c>
      <c r="K1289" s="15">
        <v>43626</v>
      </c>
      <c r="L1289" s="13" t="str" cm="1">
        <f t="array" ref="L1289">_xlfn.IFS(
  OR(ISBLANK(A1289),ISBLANK(C1289),ISBLANK(J1289)),"Missing Value",
  OR(C1289&lt;18,C1289&gt;120),"Review – Out of Range (Age)",
  J1289&lt;0,"Review – Out of Range (Risk Score)",
  TRUE,"OK"
)</f>
        <v>OK</v>
      </c>
    </row>
    <row r="1290" spans="1:12" ht="16.8" x14ac:dyDescent="0.3">
      <c r="A1290" s="11" t="s">
        <v>2631</v>
      </c>
      <c r="B1290" s="11" t="s">
        <v>2632</v>
      </c>
      <c r="C1290" s="11">
        <v>58</v>
      </c>
      <c r="D1290" s="11" t="s">
        <v>49</v>
      </c>
      <c r="E1290" s="11" t="s">
        <v>42</v>
      </c>
      <c r="F1290" s="11" t="s">
        <v>59</v>
      </c>
      <c r="G1290" s="11" t="s">
        <v>44</v>
      </c>
      <c r="H1290" s="11" t="s">
        <v>46</v>
      </c>
      <c r="I1290" s="11" t="s">
        <v>46</v>
      </c>
      <c r="J1290" s="11">
        <v>0.56999999999999995</v>
      </c>
      <c r="K1290" s="12">
        <v>43162</v>
      </c>
      <c r="L1290" s="13" t="str" cm="1">
        <f t="array" ref="L1290">_xlfn.IFS(
  OR(ISBLANK(A1290),ISBLANK(C1290),ISBLANK(J1290)),"Missing Value",
  OR(C1290&lt;18,C1290&gt;120),"Review – Out of Range (Age)",
  J1290&lt;0,"Review – Out of Range (Risk Score)",
  TRUE,"OK"
)</f>
        <v>OK</v>
      </c>
    </row>
    <row r="1291" spans="1:12" ht="16.8" x14ac:dyDescent="0.3">
      <c r="A1291" s="14" t="s">
        <v>2633</v>
      </c>
      <c r="B1291" s="14" t="s">
        <v>2634</v>
      </c>
      <c r="C1291" s="14">
        <v>33</v>
      </c>
      <c r="D1291" s="14" t="s">
        <v>41</v>
      </c>
      <c r="E1291" s="14" t="s">
        <v>42</v>
      </c>
      <c r="F1291" s="14" t="s">
        <v>51</v>
      </c>
      <c r="G1291" s="14" t="s">
        <v>94</v>
      </c>
      <c r="H1291" s="14" t="s">
        <v>45</v>
      </c>
      <c r="I1291" s="14" t="s">
        <v>46</v>
      </c>
      <c r="J1291" s="14">
        <v>0.68</v>
      </c>
      <c r="K1291" s="15">
        <v>43206</v>
      </c>
      <c r="L1291" s="13" t="str" cm="1">
        <f t="array" ref="L1291">_xlfn.IFS(
  OR(ISBLANK(A1291),ISBLANK(C1291),ISBLANK(J1291)),"Missing Value",
  OR(C1291&lt;18,C1291&gt;120),"Review – Out of Range (Age)",
  J1291&lt;0,"Review – Out of Range (Risk Score)",
  TRUE,"OK"
)</f>
        <v>OK</v>
      </c>
    </row>
    <row r="1292" spans="1:12" ht="16.8" x14ac:dyDescent="0.3">
      <c r="A1292" s="11" t="s">
        <v>2635</v>
      </c>
      <c r="B1292" s="11" t="s">
        <v>2636</v>
      </c>
      <c r="C1292" s="11">
        <v>69</v>
      </c>
      <c r="D1292" s="11" t="s">
        <v>41</v>
      </c>
      <c r="E1292" s="11" t="s">
        <v>42</v>
      </c>
      <c r="F1292" s="11" t="s">
        <v>43</v>
      </c>
      <c r="G1292" s="11" t="s">
        <v>94</v>
      </c>
      <c r="H1292" s="11" t="s">
        <v>46</v>
      </c>
      <c r="I1292" s="11" t="s">
        <v>46</v>
      </c>
      <c r="J1292" s="11">
        <v>0.63</v>
      </c>
      <c r="K1292" s="12">
        <v>43857</v>
      </c>
      <c r="L1292" s="13" t="str" cm="1">
        <f t="array" ref="L1292">_xlfn.IFS(
  OR(ISBLANK(A1292),ISBLANK(C1292),ISBLANK(J1292)),"Missing Value",
  OR(C1292&lt;18,C1292&gt;120),"Review – Out of Range (Age)",
  J1292&lt;0,"Review – Out of Range (Risk Score)",
  TRUE,"OK"
)</f>
        <v>OK</v>
      </c>
    </row>
    <row r="1293" spans="1:12" ht="16.8" x14ac:dyDescent="0.3">
      <c r="A1293" s="14" t="s">
        <v>2637</v>
      </c>
      <c r="B1293" s="14" t="s">
        <v>2638</v>
      </c>
      <c r="C1293" s="14">
        <v>24</v>
      </c>
      <c r="D1293" s="14" t="s">
        <v>49</v>
      </c>
      <c r="E1293" s="14" t="s">
        <v>50</v>
      </c>
      <c r="F1293" s="14" t="s">
        <v>59</v>
      </c>
      <c r="G1293" s="14" t="s">
        <v>52</v>
      </c>
      <c r="H1293" s="14" t="s">
        <v>45</v>
      </c>
      <c r="I1293" s="14" t="s">
        <v>46</v>
      </c>
      <c r="J1293" s="14">
        <v>0.6</v>
      </c>
      <c r="K1293" s="15">
        <v>43709</v>
      </c>
      <c r="L1293" s="13" t="str" cm="1">
        <f t="array" ref="L1293">_xlfn.IFS(
  OR(ISBLANK(A1293),ISBLANK(C1293),ISBLANK(J1293)),"Missing Value",
  OR(C1293&lt;18,C1293&gt;120),"Review – Out of Range (Age)",
  J1293&lt;0,"Review – Out of Range (Risk Score)",
  TRUE,"OK"
)</f>
        <v>OK</v>
      </c>
    </row>
    <row r="1294" spans="1:12" ht="16.8" x14ac:dyDescent="0.3">
      <c r="A1294" s="11" t="s">
        <v>2639</v>
      </c>
      <c r="B1294" s="11" t="s">
        <v>2640</v>
      </c>
      <c r="C1294" s="11">
        <v>34</v>
      </c>
      <c r="D1294" s="11" t="s">
        <v>49</v>
      </c>
      <c r="E1294" s="11" t="s">
        <v>58</v>
      </c>
      <c r="F1294" s="11" t="s">
        <v>65</v>
      </c>
      <c r="G1294" s="11" t="s">
        <v>94</v>
      </c>
      <c r="H1294" s="11" t="s">
        <v>46</v>
      </c>
      <c r="I1294" s="11" t="s">
        <v>45</v>
      </c>
      <c r="J1294" s="11">
        <v>0.19</v>
      </c>
      <c r="K1294" s="12">
        <v>44095</v>
      </c>
      <c r="L1294" s="13" t="str" cm="1">
        <f t="array" ref="L1294">_xlfn.IFS(
  OR(ISBLANK(A1294),ISBLANK(C1294),ISBLANK(J1294)),"Missing Value",
  OR(C1294&lt;18,C1294&gt;120),"Review – Out of Range (Age)",
  J1294&lt;0,"Review – Out of Range (Risk Score)",
  TRUE,"OK"
)</f>
        <v>OK</v>
      </c>
    </row>
    <row r="1295" spans="1:12" ht="16.8" x14ac:dyDescent="0.3">
      <c r="A1295" s="14" t="s">
        <v>2641</v>
      </c>
      <c r="B1295" s="14" t="s">
        <v>2642</v>
      </c>
      <c r="C1295" s="14">
        <v>23</v>
      </c>
      <c r="D1295" s="14" t="s">
        <v>41</v>
      </c>
      <c r="E1295" s="14" t="s">
        <v>58</v>
      </c>
      <c r="F1295" s="14" t="s">
        <v>51</v>
      </c>
      <c r="G1295" s="14" t="s">
        <v>60</v>
      </c>
      <c r="H1295" s="14" t="s">
        <v>46</v>
      </c>
      <c r="I1295" s="14" t="s">
        <v>45</v>
      </c>
      <c r="J1295" s="14">
        <v>0.89</v>
      </c>
      <c r="K1295" s="15">
        <v>43708</v>
      </c>
      <c r="L1295" s="13" t="str" cm="1">
        <f t="array" ref="L1295">_xlfn.IFS(
  OR(ISBLANK(A1295),ISBLANK(C1295),ISBLANK(J1295)),"Missing Value",
  OR(C1295&lt;18,C1295&gt;120),"Review – Out of Range (Age)",
  J1295&lt;0,"Review – Out of Range (Risk Score)",
  TRUE,"OK"
)</f>
        <v>OK</v>
      </c>
    </row>
    <row r="1296" spans="1:12" ht="16.8" x14ac:dyDescent="0.3">
      <c r="A1296" s="11" t="s">
        <v>2643</v>
      </c>
      <c r="B1296" s="11" t="s">
        <v>2644</v>
      </c>
      <c r="C1296" s="11">
        <v>36</v>
      </c>
      <c r="D1296" s="11" t="s">
        <v>49</v>
      </c>
      <c r="E1296" s="11" t="s">
        <v>50</v>
      </c>
      <c r="F1296" s="11" t="s">
        <v>59</v>
      </c>
      <c r="G1296" s="11" t="s">
        <v>94</v>
      </c>
      <c r="H1296" s="11" t="s">
        <v>45</v>
      </c>
      <c r="I1296" s="11" t="s">
        <v>45</v>
      </c>
      <c r="J1296" s="11">
        <v>0.59</v>
      </c>
      <c r="K1296" s="12">
        <v>44980</v>
      </c>
      <c r="L1296" s="13" t="str" cm="1">
        <f t="array" ref="L1296">_xlfn.IFS(
  OR(ISBLANK(A1296),ISBLANK(C1296),ISBLANK(J1296)),"Missing Value",
  OR(C1296&lt;18,C1296&gt;120),"Review – Out of Range (Age)",
  J1296&lt;0,"Review – Out of Range (Risk Score)",
  TRUE,"OK"
)</f>
        <v>OK</v>
      </c>
    </row>
    <row r="1297" spans="1:12" ht="16.8" x14ac:dyDescent="0.3">
      <c r="A1297" s="14" t="s">
        <v>2645</v>
      </c>
      <c r="B1297" s="14" t="s">
        <v>2646</v>
      </c>
      <c r="C1297" s="14">
        <v>21</v>
      </c>
      <c r="D1297" s="14" t="s">
        <v>41</v>
      </c>
      <c r="E1297" s="14" t="s">
        <v>42</v>
      </c>
      <c r="F1297" s="14" t="s">
        <v>43</v>
      </c>
      <c r="G1297" s="14" t="s">
        <v>55</v>
      </c>
      <c r="H1297" s="14" t="s">
        <v>46</v>
      </c>
      <c r="I1297" s="14" t="s">
        <v>45</v>
      </c>
      <c r="J1297" s="14">
        <v>0.59</v>
      </c>
      <c r="K1297" s="15">
        <v>43321</v>
      </c>
      <c r="L1297" s="13" t="str" cm="1">
        <f t="array" ref="L1297">_xlfn.IFS(
  OR(ISBLANK(A1297),ISBLANK(C1297),ISBLANK(J1297)),"Missing Value",
  OR(C1297&lt;18,C1297&gt;120),"Review – Out of Range (Age)",
  J1297&lt;0,"Review – Out of Range (Risk Score)",
  TRUE,"OK"
)</f>
        <v>OK</v>
      </c>
    </row>
    <row r="1298" spans="1:12" ht="16.8" x14ac:dyDescent="0.3">
      <c r="A1298" s="11" t="s">
        <v>2647</v>
      </c>
      <c r="B1298" s="11" t="s">
        <v>2648</v>
      </c>
      <c r="C1298" s="11">
        <v>43</v>
      </c>
      <c r="D1298" s="11" t="s">
        <v>41</v>
      </c>
      <c r="E1298" s="11" t="s">
        <v>50</v>
      </c>
      <c r="F1298" s="11" t="s">
        <v>65</v>
      </c>
      <c r="G1298" s="11" t="s">
        <v>55</v>
      </c>
      <c r="H1298" s="11" t="s">
        <v>46</v>
      </c>
      <c r="I1298" s="11" t="s">
        <v>46</v>
      </c>
      <c r="J1298" s="11">
        <v>0.54</v>
      </c>
      <c r="K1298" s="12">
        <v>43498</v>
      </c>
      <c r="L1298" s="13" t="str" cm="1">
        <f t="array" ref="L1298">_xlfn.IFS(
  OR(ISBLANK(A1298),ISBLANK(C1298),ISBLANK(J1298)),"Missing Value",
  OR(C1298&lt;18,C1298&gt;120),"Review – Out of Range (Age)",
  J1298&lt;0,"Review – Out of Range (Risk Score)",
  TRUE,"OK"
)</f>
        <v>OK</v>
      </c>
    </row>
    <row r="1299" spans="1:12" ht="16.8" x14ac:dyDescent="0.3">
      <c r="A1299" s="14" t="s">
        <v>2649</v>
      </c>
      <c r="B1299" s="14" t="s">
        <v>2650</v>
      </c>
      <c r="C1299" s="14">
        <v>36</v>
      </c>
      <c r="D1299" s="14" t="s">
        <v>49</v>
      </c>
      <c r="E1299" s="14" t="s">
        <v>58</v>
      </c>
      <c r="F1299" s="14" t="s">
        <v>59</v>
      </c>
      <c r="G1299" s="14" t="s">
        <v>55</v>
      </c>
      <c r="H1299" s="14" t="s">
        <v>46</v>
      </c>
      <c r="I1299" s="14" t="s">
        <v>46</v>
      </c>
      <c r="J1299" s="14">
        <v>0.47</v>
      </c>
      <c r="K1299" s="15">
        <v>44871</v>
      </c>
      <c r="L1299" s="13" t="str" cm="1">
        <f t="array" ref="L1299">_xlfn.IFS(
  OR(ISBLANK(A1299),ISBLANK(C1299),ISBLANK(J1299)),"Missing Value",
  OR(C1299&lt;18,C1299&gt;120),"Review – Out of Range (Age)",
  J1299&lt;0,"Review – Out of Range (Risk Score)",
  TRUE,"OK"
)</f>
        <v>OK</v>
      </c>
    </row>
    <row r="1300" spans="1:12" ht="16.8" x14ac:dyDescent="0.3">
      <c r="A1300" s="11" t="s">
        <v>2651</v>
      </c>
      <c r="B1300" s="11" t="s">
        <v>2652</v>
      </c>
      <c r="C1300" s="11">
        <v>49</v>
      </c>
      <c r="D1300" s="11" t="s">
        <v>49</v>
      </c>
      <c r="E1300" s="11" t="s">
        <v>42</v>
      </c>
      <c r="F1300" s="11" t="s">
        <v>43</v>
      </c>
      <c r="G1300" s="11" t="s">
        <v>94</v>
      </c>
      <c r="H1300" s="11" t="s">
        <v>46</v>
      </c>
      <c r="I1300" s="11" t="s">
        <v>46</v>
      </c>
      <c r="J1300" s="11">
        <v>0.38</v>
      </c>
      <c r="K1300" s="12">
        <v>43438</v>
      </c>
      <c r="L1300" s="13" t="str" cm="1">
        <f t="array" ref="L1300">_xlfn.IFS(
  OR(ISBLANK(A1300),ISBLANK(C1300),ISBLANK(J1300)),"Missing Value",
  OR(C1300&lt;18,C1300&gt;120),"Review – Out of Range (Age)",
  J1300&lt;0,"Review – Out of Range (Risk Score)",
  TRUE,"OK"
)</f>
        <v>OK</v>
      </c>
    </row>
    <row r="1301" spans="1:12" ht="16.8" x14ac:dyDescent="0.3">
      <c r="A1301" s="14" t="s">
        <v>2653</v>
      </c>
      <c r="B1301" s="14" t="s">
        <v>2654</v>
      </c>
      <c r="C1301" s="14">
        <v>49</v>
      </c>
      <c r="D1301" s="14" t="s">
        <v>49</v>
      </c>
      <c r="E1301" s="14" t="s">
        <v>42</v>
      </c>
      <c r="F1301" s="14" t="s">
        <v>43</v>
      </c>
      <c r="G1301" s="14" t="s">
        <v>109</v>
      </c>
      <c r="H1301" s="14" t="s">
        <v>45</v>
      </c>
      <c r="I1301" s="14" t="s">
        <v>46</v>
      </c>
      <c r="J1301" s="14">
        <v>0.35</v>
      </c>
      <c r="K1301" s="15">
        <v>43459</v>
      </c>
      <c r="L1301" s="13" t="str" cm="1">
        <f t="array" ref="L1301">_xlfn.IFS(
  OR(ISBLANK(A1301),ISBLANK(C1301),ISBLANK(J1301)),"Missing Value",
  OR(C1301&lt;18,C1301&gt;120),"Review – Out of Range (Age)",
  J1301&lt;0,"Review – Out of Range (Risk Score)",
  TRUE,"OK"
)</f>
        <v>OK</v>
      </c>
    </row>
    <row r="1302" spans="1:12" ht="16.8" x14ac:dyDescent="0.3">
      <c r="A1302" s="11" t="s">
        <v>2655</v>
      </c>
      <c r="B1302" s="11" t="s">
        <v>2656</v>
      </c>
      <c r="C1302" s="11">
        <v>56</v>
      </c>
      <c r="D1302" s="11" t="s">
        <v>41</v>
      </c>
      <c r="E1302" s="11" t="s">
        <v>50</v>
      </c>
      <c r="F1302" s="11" t="s">
        <v>65</v>
      </c>
      <c r="G1302" s="11" t="s">
        <v>55</v>
      </c>
      <c r="H1302" s="11" t="s">
        <v>46</v>
      </c>
      <c r="I1302" s="11" t="s">
        <v>46</v>
      </c>
      <c r="J1302" s="11">
        <v>0.55000000000000004</v>
      </c>
      <c r="K1302" s="12">
        <v>43840</v>
      </c>
      <c r="L1302" s="13" t="str" cm="1">
        <f t="array" ref="L1302">_xlfn.IFS(
  OR(ISBLANK(A1302),ISBLANK(C1302),ISBLANK(J1302)),"Missing Value",
  OR(C1302&lt;18,C1302&gt;120),"Review – Out of Range (Age)",
  J1302&lt;0,"Review – Out of Range (Risk Score)",
  TRUE,"OK"
)</f>
        <v>OK</v>
      </c>
    </row>
    <row r="1303" spans="1:12" ht="16.8" x14ac:dyDescent="0.3">
      <c r="A1303" s="14" t="s">
        <v>2657</v>
      </c>
      <c r="B1303" s="14" t="s">
        <v>2658</v>
      </c>
      <c r="C1303" s="14">
        <v>32</v>
      </c>
      <c r="D1303" s="14" t="s">
        <v>49</v>
      </c>
      <c r="E1303" s="14" t="s">
        <v>58</v>
      </c>
      <c r="F1303" s="14" t="s">
        <v>51</v>
      </c>
      <c r="G1303" s="14" t="s">
        <v>109</v>
      </c>
      <c r="H1303" s="14" t="s">
        <v>46</v>
      </c>
      <c r="I1303" s="14" t="s">
        <v>46</v>
      </c>
      <c r="J1303" s="14">
        <v>0.6</v>
      </c>
      <c r="K1303" s="15">
        <v>44492</v>
      </c>
      <c r="L1303" s="13" t="str" cm="1">
        <f t="array" ref="L1303">_xlfn.IFS(
  OR(ISBLANK(A1303),ISBLANK(C1303),ISBLANK(J1303)),"Missing Value",
  OR(C1303&lt;18,C1303&gt;120),"Review – Out of Range (Age)",
  J1303&lt;0,"Review – Out of Range (Risk Score)",
  TRUE,"OK"
)</f>
        <v>OK</v>
      </c>
    </row>
    <row r="1304" spans="1:12" ht="16.8" x14ac:dyDescent="0.3">
      <c r="A1304" s="11" t="s">
        <v>2659</v>
      </c>
      <c r="B1304" s="11" t="s">
        <v>2660</v>
      </c>
      <c r="C1304" s="11">
        <v>38</v>
      </c>
      <c r="D1304" s="11" t="s">
        <v>41</v>
      </c>
      <c r="E1304" s="11" t="s">
        <v>58</v>
      </c>
      <c r="F1304" s="11" t="s">
        <v>51</v>
      </c>
      <c r="G1304" s="11" t="s">
        <v>94</v>
      </c>
      <c r="H1304" s="11" t="s">
        <v>46</v>
      </c>
      <c r="I1304" s="11" t="s">
        <v>45</v>
      </c>
      <c r="J1304" s="11">
        <v>0.39</v>
      </c>
      <c r="K1304" s="12">
        <v>44619</v>
      </c>
      <c r="L1304" s="13" t="str" cm="1">
        <f t="array" ref="L1304">_xlfn.IFS(
  OR(ISBLANK(A1304),ISBLANK(C1304),ISBLANK(J1304)),"Missing Value",
  OR(C1304&lt;18,C1304&gt;120),"Review – Out of Range (Age)",
  J1304&lt;0,"Review – Out of Range (Risk Score)",
  TRUE,"OK"
)</f>
        <v>OK</v>
      </c>
    </row>
    <row r="1305" spans="1:12" ht="16.8" x14ac:dyDescent="0.3">
      <c r="A1305" s="14" t="s">
        <v>2661</v>
      </c>
      <c r="B1305" s="14" t="s">
        <v>2662</v>
      </c>
      <c r="C1305" s="14">
        <v>29</v>
      </c>
      <c r="D1305" s="14" t="s">
        <v>49</v>
      </c>
      <c r="E1305" s="14" t="s">
        <v>58</v>
      </c>
      <c r="F1305" s="14" t="s">
        <v>65</v>
      </c>
      <c r="G1305" s="14" t="s">
        <v>55</v>
      </c>
      <c r="H1305" s="14" t="s">
        <v>45</v>
      </c>
      <c r="I1305" s="14" t="s">
        <v>46</v>
      </c>
      <c r="J1305" s="14">
        <v>0.62</v>
      </c>
      <c r="K1305" s="15">
        <v>43620</v>
      </c>
      <c r="L1305" s="13" t="str" cm="1">
        <f t="array" ref="L1305">_xlfn.IFS(
  OR(ISBLANK(A1305),ISBLANK(C1305),ISBLANK(J1305)),"Missing Value",
  OR(C1305&lt;18,C1305&gt;120),"Review – Out of Range (Age)",
  J1305&lt;0,"Review – Out of Range (Risk Score)",
  TRUE,"OK"
)</f>
        <v>OK</v>
      </c>
    </row>
    <row r="1306" spans="1:12" ht="16.8" x14ac:dyDescent="0.3">
      <c r="A1306" s="11" t="s">
        <v>2663</v>
      </c>
      <c r="B1306" s="11" t="s">
        <v>2664</v>
      </c>
      <c r="C1306" s="11">
        <v>31</v>
      </c>
      <c r="D1306" s="11" t="s">
        <v>41</v>
      </c>
      <c r="E1306" s="11" t="s">
        <v>50</v>
      </c>
      <c r="F1306" s="11" t="s">
        <v>51</v>
      </c>
      <c r="G1306" s="11" t="s">
        <v>94</v>
      </c>
      <c r="H1306" s="11" t="s">
        <v>46</v>
      </c>
      <c r="I1306" s="11" t="s">
        <v>45</v>
      </c>
      <c r="J1306" s="11">
        <v>0.62</v>
      </c>
      <c r="K1306" s="12">
        <v>43963</v>
      </c>
      <c r="L1306" s="13" t="str" cm="1">
        <f t="array" ref="L1306">_xlfn.IFS(
  OR(ISBLANK(A1306),ISBLANK(C1306),ISBLANK(J1306)),"Missing Value",
  OR(C1306&lt;18,C1306&gt;120),"Review – Out of Range (Age)",
  J1306&lt;0,"Review – Out of Range (Risk Score)",
  TRUE,"OK"
)</f>
        <v>OK</v>
      </c>
    </row>
    <row r="1307" spans="1:12" ht="16.8" x14ac:dyDescent="0.3">
      <c r="A1307" s="14" t="s">
        <v>2665</v>
      </c>
      <c r="B1307" s="14" t="s">
        <v>2666</v>
      </c>
      <c r="C1307" s="14">
        <v>59</v>
      </c>
      <c r="D1307" s="14" t="s">
        <v>49</v>
      </c>
      <c r="E1307" s="14" t="s">
        <v>58</v>
      </c>
      <c r="F1307" s="14" t="s">
        <v>65</v>
      </c>
      <c r="G1307" s="14" t="s">
        <v>109</v>
      </c>
      <c r="H1307" s="14" t="s">
        <v>46</v>
      </c>
      <c r="I1307" s="14" t="s">
        <v>46</v>
      </c>
      <c r="J1307" s="14">
        <v>0.53</v>
      </c>
      <c r="K1307" s="15">
        <v>43649</v>
      </c>
      <c r="L1307" s="13" t="str" cm="1">
        <f t="array" ref="L1307">_xlfn.IFS(
  OR(ISBLANK(A1307),ISBLANK(C1307),ISBLANK(J1307)),"Missing Value",
  OR(C1307&lt;18,C1307&gt;120),"Review – Out of Range (Age)",
  J1307&lt;0,"Review – Out of Range (Risk Score)",
  TRUE,"OK"
)</f>
        <v>OK</v>
      </c>
    </row>
    <row r="1308" spans="1:12" ht="16.8" x14ac:dyDescent="0.3">
      <c r="A1308" s="11" t="s">
        <v>2667</v>
      </c>
      <c r="B1308" s="11" t="s">
        <v>2668</v>
      </c>
      <c r="C1308" s="11">
        <v>32</v>
      </c>
      <c r="D1308" s="11" t="s">
        <v>49</v>
      </c>
      <c r="E1308" s="11" t="s">
        <v>58</v>
      </c>
      <c r="F1308" s="11" t="s">
        <v>65</v>
      </c>
      <c r="G1308" s="11" t="s">
        <v>52</v>
      </c>
      <c r="H1308" s="11" t="s">
        <v>46</v>
      </c>
      <c r="I1308" s="11" t="s">
        <v>46</v>
      </c>
      <c r="J1308" s="11">
        <v>0.51</v>
      </c>
      <c r="K1308" s="12">
        <v>44244</v>
      </c>
      <c r="L1308" s="13" t="str" cm="1">
        <f t="array" ref="L1308">_xlfn.IFS(
  OR(ISBLANK(A1308),ISBLANK(C1308),ISBLANK(J1308)),"Missing Value",
  OR(C1308&lt;18,C1308&gt;120),"Review – Out of Range (Age)",
  J1308&lt;0,"Review – Out of Range (Risk Score)",
  TRUE,"OK"
)</f>
        <v>OK</v>
      </c>
    </row>
    <row r="1309" spans="1:12" ht="16.8" x14ac:dyDescent="0.3">
      <c r="A1309" s="14" t="s">
        <v>2669</v>
      </c>
      <c r="B1309" s="14" t="s">
        <v>2670</v>
      </c>
      <c r="C1309" s="14">
        <v>26</v>
      </c>
      <c r="D1309" s="14" t="s">
        <v>41</v>
      </c>
      <c r="E1309" s="14" t="s">
        <v>58</v>
      </c>
      <c r="F1309" s="14" t="s">
        <v>65</v>
      </c>
      <c r="G1309" s="14" t="s">
        <v>94</v>
      </c>
      <c r="H1309" s="14" t="s">
        <v>46</v>
      </c>
      <c r="I1309" s="14" t="s">
        <v>46</v>
      </c>
      <c r="J1309" s="14">
        <v>0.17</v>
      </c>
      <c r="K1309" s="15">
        <v>44462</v>
      </c>
      <c r="L1309" s="13" t="str" cm="1">
        <f t="array" ref="L1309">_xlfn.IFS(
  OR(ISBLANK(A1309),ISBLANK(C1309),ISBLANK(J1309)),"Missing Value",
  OR(C1309&lt;18,C1309&gt;120),"Review – Out of Range (Age)",
  J1309&lt;0,"Review – Out of Range (Risk Score)",
  TRUE,"OK"
)</f>
        <v>OK</v>
      </c>
    </row>
    <row r="1310" spans="1:12" ht="16.8" x14ac:dyDescent="0.3">
      <c r="A1310" s="11" t="s">
        <v>2671</v>
      </c>
      <c r="B1310" s="11" t="s">
        <v>2672</v>
      </c>
      <c r="C1310" s="11">
        <v>46</v>
      </c>
      <c r="D1310" s="11" t="s">
        <v>49</v>
      </c>
      <c r="E1310" s="11" t="s">
        <v>58</v>
      </c>
      <c r="F1310" s="11" t="s">
        <v>59</v>
      </c>
      <c r="G1310" s="11" t="s">
        <v>60</v>
      </c>
      <c r="H1310" s="11" t="s">
        <v>45</v>
      </c>
      <c r="I1310" s="11" t="s">
        <v>46</v>
      </c>
      <c r="J1310" s="11">
        <v>0.85</v>
      </c>
      <c r="K1310" s="12">
        <v>44115</v>
      </c>
      <c r="L1310" s="13" t="str" cm="1">
        <f t="array" ref="L1310">_xlfn.IFS(
  OR(ISBLANK(A1310),ISBLANK(C1310),ISBLANK(J1310)),"Missing Value",
  OR(C1310&lt;18,C1310&gt;120),"Review – Out of Range (Age)",
  J1310&lt;0,"Review – Out of Range (Risk Score)",
  TRUE,"OK"
)</f>
        <v>OK</v>
      </c>
    </row>
    <row r="1311" spans="1:12" ht="16.8" x14ac:dyDescent="0.3">
      <c r="A1311" s="14" t="s">
        <v>2673</v>
      </c>
      <c r="B1311" s="14" t="s">
        <v>2674</v>
      </c>
      <c r="C1311" s="14">
        <v>65</v>
      </c>
      <c r="D1311" s="14" t="s">
        <v>49</v>
      </c>
      <c r="E1311" s="14" t="s">
        <v>42</v>
      </c>
      <c r="F1311" s="14" t="s">
        <v>59</v>
      </c>
      <c r="G1311" s="14" t="s">
        <v>109</v>
      </c>
      <c r="H1311" s="14" t="s">
        <v>46</v>
      </c>
      <c r="I1311" s="14" t="s">
        <v>46</v>
      </c>
      <c r="J1311" s="14">
        <v>0.64</v>
      </c>
      <c r="K1311" s="15">
        <v>44839</v>
      </c>
      <c r="L1311" s="13" t="str" cm="1">
        <f t="array" ref="L1311">_xlfn.IFS(
  OR(ISBLANK(A1311),ISBLANK(C1311),ISBLANK(J1311)),"Missing Value",
  OR(C1311&lt;18,C1311&gt;120),"Review – Out of Range (Age)",
  J1311&lt;0,"Review – Out of Range (Risk Score)",
  TRUE,"OK"
)</f>
        <v>OK</v>
      </c>
    </row>
    <row r="1312" spans="1:12" ht="16.8" x14ac:dyDescent="0.3">
      <c r="A1312" s="11" t="s">
        <v>2675</v>
      </c>
      <c r="B1312" s="11" t="s">
        <v>2676</v>
      </c>
      <c r="C1312" s="11">
        <v>53</v>
      </c>
      <c r="D1312" s="11" t="s">
        <v>49</v>
      </c>
      <c r="E1312" s="11" t="s">
        <v>42</v>
      </c>
      <c r="F1312" s="11" t="s">
        <v>65</v>
      </c>
      <c r="G1312" s="11" t="s">
        <v>55</v>
      </c>
      <c r="H1312" s="11" t="s">
        <v>45</v>
      </c>
      <c r="I1312" s="11" t="s">
        <v>46</v>
      </c>
      <c r="J1312" s="11">
        <v>0.77</v>
      </c>
      <c r="K1312" s="12">
        <v>44160</v>
      </c>
      <c r="L1312" s="13" t="str" cm="1">
        <f t="array" ref="L1312">_xlfn.IFS(
  OR(ISBLANK(A1312),ISBLANK(C1312),ISBLANK(J1312)),"Missing Value",
  OR(C1312&lt;18,C1312&gt;120),"Review – Out of Range (Age)",
  J1312&lt;0,"Review – Out of Range (Risk Score)",
  TRUE,"OK"
)</f>
        <v>OK</v>
      </c>
    </row>
    <row r="1313" spans="1:12" ht="16.8" x14ac:dyDescent="0.3">
      <c r="A1313" s="14" t="s">
        <v>2677</v>
      </c>
      <c r="B1313" s="14" t="s">
        <v>2678</v>
      </c>
      <c r="C1313" s="14">
        <v>26</v>
      </c>
      <c r="D1313" s="14" t="s">
        <v>49</v>
      </c>
      <c r="E1313" s="14" t="s">
        <v>58</v>
      </c>
      <c r="F1313" s="14" t="s">
        <v>59</v>
      </c>
      <c r="G1313" s="14" t="s">
        <v>109</v>
      </c>
      <c r="H1313" s="14" t="s">
        <v>46</v>
      </c>
      <c r="I1313" s="14" t="s">
        <v>45</v>
      </c>
      <c r="J1313" s="14">
        <v>0.45</v>
      </c>
      <c r="K1313" s="15">
        <v>43105</v>
      </c>
      <c r="L1313" s="13" t="str" cm="1">
        <f t="array" ref="L1313">_xlfn.IFS(
  OR(ISBLANK(A1313),ISBLANK(C1313),ISBLANK(J1313)),"Missing Value",
  OR(C1313&lt;18,C1313&gt;120),"Review – Out of Range (Age)",
  J1313&lt;0,"Review – Out of Range (Risk Score)",
  TRUE,"OK"
)</f>
        <v>OK</v>
      </c>
    </row>
    <row r="1314" spans="1:12" ht="16.8" x14ac:dyDescent="0.3">
      <c r="A1314" s="11" t="s">
        <v>2679</v>
      </c>
      <c r="B1314" s="11" t="s">
        <v>2680</v>
      </c>
      <c r="C1314" s="11">
        <v>51</v>
      </c>
      <c r="D1314" s="11" t="s">
        <v>41</v>
      </c>
      <c r="E1314" s="11" t="s">
        <v>42</v>
      </c>
      <c r="F1314" s="11" t="s">
        <v>51</v>
      </c>
      <c r="G1314" s="11" t="s">
        <v>44</v>
      </c>
      <c r="H1314" s="11" t="s">
        <v>46</v>
      </c>
      <c r="I1314" s="11" t="s">
        <v>46</v>
      </c>
      <c r="J1314" s="11">
        <v>0.31</v>
      </c>
      <c r="K1314" s="12">
        <v>43950</v>
      </c>
      <c r="L1314" s="13" t="str" cm="1">
        <f t="array" ref="L1314">_xlfn.IFS(
  OR(ISBLANK(A1314),ISBLANK(C1314),ISBLANK(J1314)),"Missing Value",
  OR(C1314&lt;18,C1314&gt;120),"Review – Out of Range (Age)",
  J1314&lt;0,"Review – Out of Range (Risk Score)",
  TRUE,"OK"
)</f>
        <v>OK</v>
      </c>
    </row>
    <row r="1315" spans="1:12" ht="16.8" x14ac:dyDescent="0.3">
      <c r="A1315" s="14" t="s">
        <v>2681</v>
      </c>
      <c r="B1315" s="14" t="s">
        <v>2682</v>
      </c>
      <c r="C1315" s="14">
        <v>37</v>
      </c>
      <c r="D1315" s="14" t="s">
        <v>49</v>
      </c>
      <c r="E1315" s="14" t="s">
        <v>50</v>
      </c>
      <c r="F1315" s="14" t="s">
        <v>51</v>
      </c>
      <c r="G1315" s="14" t="s">
        <v>55</v>
      </c>
      <c r="H1315" s="14" t="s">
        <v>46</v>
      </c>
      <c r="I1315" s="14" t="s">
        <v>46</v>
      </c>
      <c r="J1315" s="14">
        <v>0.47</v>
      </c>
      <c r="K1315" s="15">
        <v>44121</v>
      </c>
      <c r="L1315" s="13" t="str" cm="1">
        <f t="array" ref="L1315">_xlfn.IFS(
  OR(ISBLANK(A1315),ISBLANK(C1315),ISBLANK(J1315)),"Missing Value",
  OR(C1315&lt;18,C1315&gt;120),"Review – Out of Range (Age)",
  J1315&lt;0,"Review – Out of Range (Risk Score)",
  TRUE,"OK"
)</f>
        <v>OK</v>
      </c>
    </row>
    <row r="1316" spans="1:12" ht="16.8" x14ac:dyDescent="0.3">
      <c r="A1316" s="11" t="s">
        <v>2683</v>
      </c>
      <c r="B1316" s="11" t="s">
        <v>2684</v>
      </c>
      <c r="C1316" s="11">
        <v>54</v>
      </c>
      <c r="D1316" s="11" t="s">
        <v>41</v>
      </c>
      <c r="E1316" s="11" t="s">
        <v>42</v>
      </c>
      <c r="F1316" s="11" t="s">
        <v>59</v>
      </c>
      <c r="G1316" s="11" t="s">
        <v>60</v>
      </c>
      <c r="H1316" s="11" t="s">
        <v>45</v>
      </c>
      <c r="I1316" s="11" t="s">
        <v>46</v>
      </c>
      <c r="J1316" s="11">
        <v>0.31</v>
      </c>
      <c r="K1316" s="12">
        <v>44759</v>
      </c>
      <c r="L1316" s="13" t="str" cm="1">
        <f t="array" ref="L1316">_xlfn.IFS(
  OR(ISBLANK(A1316),ISBLANK(C1316),ISBLANK(J1316)),"Missing Value",
  OR(C1316&lt;18,C1316&gt;120),"Review – Out of Range (Age)",
  J1316&lt;0,"Review – Out of Range (Risk Score)",
  TRUE,"OK"
)</f>
        <v>OK</v>
      </c>
    </row>
    <row r="1317" spans="1:12" ht="16.8" x14ac:dyDescent="0.3">
      <c r="A1317" s="14" t="s">
        <v>2685</v>
      </c>
      <c r="B1317" s="14" t="s">
        <v>2686</v>
      </c>
      <c r="C1317" s="14">
        <v>63</v>
      </c>
      <c r="D1317" s="14" t="s">
        <v>49</v>
      </c>
      <c r="E1317" s="14" t="s">
        <v>58</v>
      </c>
      <c r="F1317" s="14" t="s">
        <v>65</v>
      </c>
      <c r="G1317" s="14" t="s">
        <v>52</v>
      </c>
      <c r="H1317" s="14" t="s">
        <v>46</v>
      </c>
      <c r="I1317" s="14" t="s">
        <v>45</v>
      </c>
      <c r="J1317" s="14">
        <v>0.3</v>
      </c>
      <c r="K1317" s="15">
        <v>44015</v>
      </c>
      <c r="L1317" s="13" t="str" cm="1">
        <f t="array" ref="L1317">_xlfn.IFS(
  OR(ISBLANK(A1317),ISBLANK(C1317),ISBLANK(J1317)),"Missing Value",
  OR(C1317&lt;18,C1317&gt;120),"Review – Out of Range (Age)",
  J1317&lt;0,"Review – Out of Range (Risk Score)",
  TRUE,"OK"
)</f>
        <v>OK</v>
      </c>
    </row>
    <row r="1318" spans="1:12" ht="16.8" x14ac:dyDescent="0.3">
      <c r="A1318" s="11" t="s">
        <v>2687</v>
      </c>
      <c r="B1318" s="11" t="s">
        <v>2688</v>
      </c>
      <c r="C1318" s="11">
        <v>33</v>
      </c>
      <c r="D1318" s="11" t="s">
        <v>41</v>
      </c>
      <c r="E1318" s="11" t="s">
        <v>50</v>
      </c>
      <c r="F1318" s="11" t="s">
        <v>59</v>
      </c>
      <c r="G1318" s="11" t="s">
        <v>44</v>
      </c>
      <c r="H1318" s="11" t="s">
        <v>45</v>
      </c>
      <c r="I1318" s="11" t="s">
        <v>46</v>
      </c>
      <c r="J1318" s="11">
        <v>0.7</v>
      </c>
      <c r="K1318" s="12">
        <v>44868</v>
      </c>
      <c r="L1318" s="13" t="str" cm="1">
        <f t="array" ref="L1318">_xlfn.IFS(
  OR(ISBLANK(A1318),ISBLANK(C1318),ISBLANK(J1318)),"Missing Value",
  OR(C1318&lt;18,C1318&gt;120),"Review – Out of Range (Age)",
  J1318&lt;0,"Review – Out of Range (Risk Score)",
  TRUE,"OK"
)</f>
        <v>OK</v>
      </c>
    </row>
    <row r="1319" spans="1:12" ht="16.8" x14ac:dyDescent="0.3">
      <c r="A1319" s="14" t="s">
        <v>2689</v>
      </c>
      <c r="B1319" s="14" t="s">
        <v>2690</v>
      </c>
      <c r="C1319" s="14">
        <v>22</v>
      </c>
      <c r="D1319" s="14" t="s">
        <v>41</v>
      </c>
      <c r="E1319" s="14" t="s">
        <v>50</v>
      </c>
      <c r="F1319" s="14" t="s">
        <v>59</v>
      </c>
      <c r="G1319" s="14" t="s">
        <v>109</v>
      </c>
      <c r="H1319" s="14" t="s">
        <v>45</v>
      </c>
      <c r="I1319" s="14" t="s">
        <v>45</v>
      </c>
      <c r="J1319" s="14">
        <v>0.49</v>
      </c>
      <c r="K1319" s="15">
        <v>44557</v>
      </c>
      <c r="L1319" s="13" t="str" cm="1">
        <f t="array" ref="L1319">_xlfn.IFS(
  OR(ISBLANK(A1319),ISBLANK(C1319),ISBLANK(J1319)),"Missing Value",
  OR(C1319&lt;18,C1319&gt;120),"Review – Out of Range (Age)",
  J1319&lt;0,"Review – Out of Range (Risk Score)",
  TRUE,"OK"
)</f>
        <v>OK</v>
      </c>
    </row>
    <row r="1320" spans="1:12" ht="16.8" x14ac:dyDescent="0.3">
      <c r="A1320" s="11" t="s">
        <v>2691</v>
      </c>
      <c r="B1320" s="11" t="s">
        <v>2692</v>
      </c>
      <c r="C1320" s="11">
        <v>28</v>
      </c>
      <c r="D1320" s="11" t="s">
        <v>49</v>
      </c>
      <c r="E1320" s="11" t="s">
        <v>58</v>
      </c>
      <c r="F1320" s="11" t="s">
        <v>59</v>
      </c>
      <c r="G1320" s="11" t="s">
        <v>60</v>
      </c>
      <c r="H1320" s="11" t="s">
        <v>45</v>
      </c>
      <c r="I1320" s="11" t="s">
        <v>45</v>
      </c>
      <c r="J1320" s="11">
        <v>0.83</v>
      </c>
      <c r="K1320" s="12">
        <v>44543</v>
      </c>
      <c r="L1320" s="13" t="str" cm="1">
        <f t="array" ref="L1320">_xlfn.IFS(
  OR(ISBLANK(A1320),ISBLANK(C1320),ISBLANK(J1320)),"Missing Value",
  OR(C1320&lt;18,C1320&gt;120),"Review – Out of Range (Age)",
  J1320&lt;0,"Review – Out of Range (Risk Score)",
  TRUE,"OK"
)</f>
        <v>OK</v>
      </c>
    </row>
    <row r="1321" spans="1:12" ht="16.8" x14ac:dyDescent="0.3">
      <c r="A1321" s="14" t="s">
        <v>2693</v>
      </c>
      <c r="B1321" s="14" t="s">
        <v>2694</v>
      </c>
      <c r="C1321" s="14">
        <v>21</v>
      </c>
      <c r="D1321" s="14" t="s">
        <v>41</v>
      </c>
      <c r="E1321" s="14" t="s">
        <v>50</v>
      </c>
      <c r="F1321" s="14" t="s">
        <v>51</v>
      </c>
      <c r="G1321" s="14" t="s">
        <v>109</v>
      </c>
      <c r="H1321" s="14" t="s">
        <v>46</v>
      </c>
      <c r="I1321" s="14" t="s">
        <v>46</v>
      </c>
      <c r="J1321" s="14">
        <v>0.47</v>
      </c>
      <c r="K1321" s="15">
        <v>44056</v>
      </c>
      <c r="L1321" s="13" t="str" cm="1">
        <f t="array" ref="L1321">_xlfn.IFS(
  OR(ISBLANK(A1321),ISBLANK(C1321),ISBLANK(J1321)),"Missing Value",
  OR(C1321&lt;18,C1321&gt;120),"Review – Out of Range (Age)",
  J1321&lt;0,"Review – Out of Range (Risk Score)",
  TRUE,"OK"
)</f>
        <v>OK</v>
      </c>
    </row>
    <row r="1322" spans="1:12" ht="16.8" x14ac:dyDescent="0.3">
      <c r="A1322" s="11" t="s">
        <v>2695</v>
      </c>
      <c r="B1322" s="11" t="s">
        <v>2696</v>
      </c>
      <c r="C1322" s="11">
        <v>19</v>
      </c>
      <c r="D1322" s="11" t="s">
        <v>49</v>
      </c>
      <c r="E1322" s="11" t="s">
        <v>50</v>
      </c>
      <c r="F1322" s="11" t="s">
        <v>43</v>
      </c>
      <c r="G1322" s="11" t="s">
        <v>44</v>
      </c>
      <c r="H1322" s="11" t="s">
        <v>46</v>
      </c>
      <c r="I1322" s="11" t="s">
        <v>45</v>
      </c>
      <c r="J1322" s="11">
        <v>0.5</v>
      </c>
      <c r="K1322" s="12">
        <v>44344</v>
      </c>
      <c r="L1322" s="13" t="str" cm="1">
        <f t="array" ref="L1322">_xlfn.IFS(
  OR(ISBLANK(A1322),ISBLANK(C1322),ISBLANK(J1322)),"Missing Value",
  OR(C1322&lt;18,C1322&gt;120),"Review – Out of Range (Age)",
  J1322&lt;0,"Review – Out of Range (Risk Score)",
  TRUE,"OK"
)</f>
        <v>OK</v>
      </c>
    </row>
    <row r="1323" spans="1:12" ht="16.8" x14ac:dyDescent="0.3">
      <c r="A1323" s="14" t="s">
        <v>2697</v>
      </c>
      <c r="B1323" s="14" t="s">
        <v>2698</v>
      </c>
      <c r="C1323" s="14">
        <v>54</v>
      </c>
      <c r="D1323" s="14" t="s">
        <v>41</v>
      </c>
      <c r="E1323" s="14" t="s">
        <v>50</v>
      </c>
      <c r="F1323" s="14" t="s">
        <v>43</v>
      </c>
      <c r="G1323" s="14" t="s">
        <v>109</v>
      </c>
      <c r="H1323" s="14" t="s">
        <v>45</v>
      </c>
      <c r="I1323" s="14" t="s">
        <v>45</v>
      </c>
      <c r="J1323" s="14">
        <v>0.19</v>
      </c>
      <c r="K1323" s="15">
        <v>44708</v>
      </c>
      <c r="L1323" s="13" t="str" cm="1">
        <f t="array" ref="L1323">_xlfn.IFS(
  OR(ISBLANK(A1323),ISBLANK(C1323),ISBLANK(J1323)),"Missing Value",
  OR(C1323&lt;18,C1323&gt;120),"Review – Out of Range (Age)",
  J1323&lt;0,"Review – Out of Range (Risk Score)",
  TRUE,"OK"
)</f>
        <v>OK</v>
      </c>
    </row>
    <row r="1324" spans="1:12" ht="16.8" x14ac:dyDescent="0.3">
      <c r="A1324" s="11" t="s">
        <v>2699</v>
      </c>
      <c r="B1324" s="11" t="s">
        <v>2700</v>
      </c>
      <c r="C1324" s="11">
        <v>31</v>
      </c>
      <c r="D1324" s="11" t="s">
        <v>41</v>
      </c>
      <c r="E1324" s="11" t="s">
        <v>42</v>
      </c>
      <c r="F1324" s="11" t="s">
        <v>65</v>
      </c>
      <c r="G1324" s="11" t="s">
        <v>109</v>
      </c>
      <c r="H1324" s="11" t="s">
        <v>46</v>
      </c>
      <c r="I1324" s="11" t="s">
        <v>45</v>
      </c>
      <c r="J1324" s="11">
        <v>0.43</v>
      </c>
      <c r="K1324" s="12">
        <v>44501</v>
      </c>
      <c r="L1324" s="13" t="str" cm="1">
        <f t="array" ref="L1324">_xlfn.IFS(
  OR(ISBLANK(A1324),ISBLANK(C1324),ISBLANK(J1324)),"Missing Value",
  OR(C1324&lt;18,C1324&gt;120),"Review – Out of Range (Age)",
  J1324&lt;0,"Review – Out of Range (Risk Score)",
  TRUE,"OK"
)</f>
        <v>OK</v>
      </c>
    </row>
    <row r="1325" spans="1:12" ht="16.8" x14ac:dyDescent="0.3">
      <c r="A1325" s="14" t="s">
        <v>2701</v>
      </c>
      <c r="B1325" s="14" t="s">
        <v>2702</v>
      </c>
      <c r="C1325" s="14">
        <v>33</v>
      </c>
      <c r="D1325" s="14" t="s">
        <v>41</v>
      </c>
      <c r="E1325" s="14" t="s">
        <v>42</v>
      </c>
      <c r="F1325" s="14" t="s">
        <v>65</v>
      </c>
      <c r="G1325" s="14" t="s">
        <v>44</v>
      </c>
      <c r="H1325" s="14" t="s">
        <v>46</v>
      </c>
      <c r="I1325" s="14" t="s">
        <v>45</v>
      </c>
      <c r="J1325" s="14">
        <v>0.33</v>
      </c>
      <c r="K1325" s="15">
        <v>43385</v>
      </c>
      <c r="L1325" s="13" t="str" cm="1">
        <f t="array" ref="L1325">_xlfn.IFS(
  OR(ISBLANK(A1325),ISBLANK(C1325),ISBLANK(J1325)),"Missing Value",
  OR(C1325&lt;18,C1325&gt;120),"Review – Out of Range (Age)",
  J1325&lt;0,"Review – Out of Range (Risk Score)",
  TRUE,"OK"
)</f>
        <v>OK</v>
      </c>
    </row>
    <row r="1326" spans="1:12" ht="16.8" x14ac:dyDescent="0.3">
      <c r="A1326" s="11" t="s">
        <v>2703</v>
      </c>
      <c r="B1326" s="11" t="s">
        <v>2704</v>
      </c>
      <c r="C1326" s="11">
        <v>34</v>
      </c>
      <c r="D1326" s="11" t="s">
        <v>41</v>
      </c>
      <c r="E1326" s="11" t="s">
        <v>42</v>
      </c>
      <c r="F1326" s="11" t="s">
        <v>43</v>
      </c>
      <c r="G1326" s="11" t="s">
        <v>44</v>
      </c>
      <c r="H1326" s="11" t="s">
        <v>45</v>
      </c>
      <c r="I1326" s="11" t="s">
        <v>46</v>
      </c>
      <c r="J1326" s="11">
        <v>0.8</v>
      </c>
      <c r="K1326" s="12">
        <v>45243</v>
      </c>
      <c r="L1326" s="13" t="str" cm="1">
        <f t="array" ref="L1326">_xlfn.IFS(
  OR(ISBLANK(A1326),ISBLANK(C1326),ISBLANK(J1326)),"Missing Value",
  OR(C1326&lt;18,C1326&gt;120),"Review – Out of Range (Age)",
  J1326&lt;0,"Review – Out of Range (Risk Score)",
  TRUE,"OK"
)</f>
        <v>OK</v>
      </c>
    </row>
    <row r="1327" spans="1:12" ht="16.8" x14ac:dyDescent="0.3">
      <c r="A1327" s="14" t="s">
        <v>2705</v>
      </c>
      <c r="B1327" s="14" t="s">
        <v>2706</v>
      </c>
      <c r="C1327" s="14">
        <v>23</v>
      </c>
      <c r="D1327" s="14" t="s">
        <v>49</v>
      </c>
      <c r="E1327" s="14" t="s">
        <v>42</v>
      </c>
      <c r="F1327" s="14" t="s">
        <v>51</v>
      </c>
      <c r="G1327" s="14" t="s">
        <v>55</v>
      </c>
      <c r="H1327" s="14" t="s">
        <v>45</v>
      </c>
      <c r="I1327" s="14" t="s">
        <v>45</v>
      </c>
      <c r="J1327" s="14">
        <v>0.39</v>
      </c>
      <c r="K1327" s="15">
        <v>44400</v>
      </c>
      <c r="L1327" s="13" t="str" cm="1">
        <f t="array" ref="L1327">_xlfn.IFS(
  OR(ISBLANK(A1327),ISBLANK(C1327),ISBLANK(J1327)),"Missing Value",
  OR(C1327&lt;18,C1327&gt;120),"Review – Out of Range (Age)",
  J1327&lt;0,"Review – Out of Range (Risk Score)",
  TRUE,"OK"
)</f>
        <v>OK</v>
      </c>
    </row>
    <row r="1328" spans="1:12" ht="16.8" x14ac:dyDescent="0.3">
      <c r="A1328" s="11" t="s">
        <v>2707</v>
      </c>
      <c r="B1328" s="11" t="s">
        <v>2708</v>
      </c>
      <c r="C1328" s="11">
        <v>60</v>
      </c>
      <c r="D1328" s="11" t="s">
        <v>49</v>
      </c>
      <c r="E1328" s="11" t="s">
        <v>50</v>
      </c>
      <c r="F1328" s="11" t="s">
        <v>59</v>
      </c>
      <c r="G1328" s="11" t="s">
        <v>94</v>
      </c>
      <c r="H1328" s="11" t="s">
        <v>45</v>
      </c>
      <c r="I1328" s="11" t="s">
        <v>46</v>
      </c>
      <c r="J1328" s="11">
        <v>0.63</v>
      </c>
      <c r="K1328" s="12">
        <v>44614</v>
      </c>
      <c r="L1328" s="13" t="str" cm="1">
        <f t="array" ref="L1328">_xlfn.IFS(
  OR(ISBLANK(A1328),ISBLANK(C1328),ISBLANK(J1328)),"Missing Value",
  OR(C1328&lt;18,C1328&gt;120),"Review – Out of Range (Age)",
  J1328&lt;0,"Review – Out of Range (Risk Score)",
  TRUE,"OK"
)</f>
        <v>OK</v>
      </c>
    </row>
    <row r="1329" spans="1:12" ht="16.8" x14ac:dyDescent="0.3">
      <c r="A1329" s="14" t="s">
        <v>2709</v>
      </c>
      <c r="B1329" s="14" t="s">
        <v>2710</v>
      </c>
      <c r="C1329" s="14">
        <v>62</v>
      </c>
      <c r="D1329" s="14" t="s">
        <v>49</v>
      </c>
      <c r="E1329" s="14" t="s">
        <v>58</v>
      </c>
      <c r="F1329" s="14" t="s">
        <v>59</v>
      </c>
      <c r="G1329" s="14" t="s">
        <v>109</v>
      </c>
      <c r="H1329" s="14" t="s">
        <v>46</v>
      </c>
      <c r="I1329" s="14" t="s">
        <v>45</v>
      </c>
      <c r="J1329" s="14">
        <v>0.56000000000000005</v>
      </c>
      <c r="K1329" s="15">
        <v>44127</v>
      </c>
      <c r="L1329" s="13" t="str" cm="1">
        <f t="array" ref="L1329">_xlfn.IFS(
  OR(ISBLANK(A1329),ISBLANK(C1329),ISBLANK(J1329)),"Missing Value",
  OR(C1329&lt;18,C1329&gt;120),"Review – Out of Range (Age)",
  J1329&lt;0,"Review – Out of Range (Risk Score)",
  TRUE,"OK"
)</f>
        <v>OK</v>
      </c>
    </row>
    <row r="1330" spans="1:12" ht="16.8" x14ac:dyDescent="0.3">
      <c r="A1330" s="11" t="s">
        <v>2711</v>
      </c>
      <c r="B1330" s="11" t="s">
        <v>2712</v>
      </c>
      <c r="C1330" s="11">
        <v>20</v>
      </c>
      <c r="D1330" s="11" t="s">
        <v>41</v>
      </c>
      <c r="E1330" s="11" t="s">
        <v>50</v>
      </c>
      <c r="F1330" s="11" t="s">
        <v>65</v>
      </c>
      <c r="G1330" s="11" t="s">
        <v>94</v>
      </c>
      <c r="H1330" s="11" t="s">
        <v>45</v>
      </c>
      <c r="I1330" s="11" t="s">
        <v>45</v>
      </c>
      <c r="J1330" s="11">
        <v>0.52</v>
      </c>
      <c r="K1330" s="12">
        <v>43173</v>
      </c>
      <c r="L1330" s="13" t="str" cm="1">
        <f t="array" ref="L1330">_xlfn.IFS(
  OR(ISBLANK(A1330),ISBLANK(C1330),ISBLANK(J1330)),"Missing Value",
  OR(C1330&lt;18,C1330&gt;120),"Review – Out of Range (Age)",
  J1330&lt;0,"Review – Out of Range (Risk Score)",
  TRUE,"OK"
)</f>
        <v>OK</v>
      </c>
    </row>
    <row r="1331" spans="1:12" ht="16.8" x14ac:dyDescent="0.3">
      <c r="A1331" s="14" t="s">
        <v>2713</v>
      </c>
      <c r="B1331" s="14" t="s">
        <v>2714</v>
      </c>
      <c r="C1331" s="14">
        <v>60</v>
      </c>
      <c r="D1331" s="14" t="s">
        <v>41</v>
      </c>
      <c r="E1331" s="14" t="s">
        <v>50</v>
      </c>
      <c r="F1331" s="14" t="s">
        <v>43</v>
      </c>
      <c r="G1331" s="14" t="s">
        <v>60</v>
      </c>
      <c r="H1331" s="14" t="s">
        <v>46</v>
      </c>
      <c r="I1331" s="14" t="s">
        <v>45</v>
      </c>
      <c r="J1331" s="14">
        <v>0.23</v>
      </c>
      <c r="K1331" s="15">
        <v>44645</v>
      </c>
      <c r="L1331" s="13" t="str" cm="1">
        <f t="array" ref="L1331">_xlfn.IFS(
  OR(ISBLANK(A1331),ISBLANK(C1331),ISBLANK(J1331)),"Missing Value",
  OR(C1331&lt;18,C1331&gt;120),"Review – Out of Range (Age)",
  J1331&lt;0,"Review – Out of Range (Risk Score)",
  TRUE,"OK"
)</f>
        <v>OK</v>
      </c>
    </row>
    <row r="1332" spans="1:12" ht="16.8" x14ac:dyDescent="0.3">
      <c r="A1332" s="11" t="s">
        <v>2715</v>
      </c>
      <c r="B1332" s="11" t="s">
        <v>2716</v>
      </c>
      <c r="C1332" s="11">
        <v>31</v>
      </c>
      <c r="D1332" s="11" t="s">
        <v>49</v>
      </c>
      <c r="E1332" s="11" t="s">
        <v>50</v>
      </c>
      <c r="F1332" s="11" t="s">
        <v>51</v>
      </c>
      <c r="G1332" s="11" t="s">
        <v>109</v>
      </c>
      <c r="H1332" s="11" t="s">
        <v>46</v>
      </c>
      <c r="I1332" s="11" t="s">
        <v>45</v>
      </c>
      <c r="J1332" s="11">
        <v>0.74</v>
      </c>
      <c r="K1332" s="12">
        <v>44306</v>
      </c>
      <c r="L1332" s="13" t="str" cm="1">
        <f t="array" ref="L1332">_xlfn.IFS(
  OR(ISBLANK(A1332),ISBLANK(C1332),ISBLANK(J1332)),"Missing Value",
  OR(C1332&lt;18,C1332&gt;120),"Review – Out of Range (Age)",
  J1332&lt;0,"Review – Out of Range (Risk Score)",
  TRUE,"OK"
)</f>
        <v>OK</v>
      </c>
    </row>
    <row r="1333" spans="1:12" ht="16.8" x14ac:dyDescent="0.3">
      <c r="A1333" s="14" t="s">
        <v>2717</v>
      </c>
      <c r="B1333" s="14" t="s">
        <v>2718</v>
      </c>
      <c r="C1333" s="14">
        <v>63</v>
      </c>
      <c r="D1333" s="14" t="s">
        <v>49</v>
      </c>
      <c r="E1333" s="14" t="s">
        <v>42</v>
      </c>
      <c r="F1333" s="14" t="s">
        <v>59</v>
      </c>
      <c r="G1333" s="14" t="s">
        <v>109</v>
      </c>
      <c r="H1333" s="14" t="s">
        <v>45</v>
      </c>
      <c r="I1333" s="14" t="s">
        <v>45</v>
      </c>
      <c r="J1333" s="14">
        <v>0.45</v>
      </c>
      <c r="K1333" s="15">
        <v>44023</v>
      </c>
      <c r="L1333" s="13" t="str" cm="1">
        <f t="array" ref="L1333">_xlfn.IFS(
  OR(ISBLANK(A1333),ISBLANK(C1333),ISBLANK(J1333)),"Missing Value",
  OR(C1333&lt;18,C1333&gt;120),"Review – Out of Range (Age)",
  J1333&lt;0,"Review – Out of Range (Risk Score)",
  TRUE,"OK"
)</f>
        <v>OK</v>
      </c>
    </row>
    <row r="1334" spans="1:12" ht="16.8" x14ac:dyDescent="0.3">
      <c r="A1334" s="11" t="s">
        <v>2719</v>
      </c>
      <c r="B1334" s="11" t="s">
        <v>2720</v>
      </c>
      <c r="C1334" s="11">
        <v>36</v>
      </c>
      <c r="D1334" s="11" t="s">
        <v>49</v>
      </c>
      <c r="E1334" s="11" t="s">
        <v>42</v>
      </c>
      <c r="F1334" s="11" t="s">
        <v>43</v>
      </c>
      <c r="G1334" s="11" t="s">
        <v>109</v>
      </c>
      <c r="H1334" s="11" t="s">
        <v>46</v>
      </c>
      <c r="I1334" s="11" t="s">
        <v>46</v>
      </c>
      <c r="J1334" s="11">
        <v>0.16</v>
      </c>
      <c r="K1334" s="12">
        <v>44294</v>
      </c>
      <c r="L1334" s="13" t="str" cm="1">
        <f t="array" ref="L1334">_xlfn.IFS(
  OR(ISBLANK(A1334),ISBLANK(C1334),ISBLANK(J1334)),"Missing Value",
  OR(C1334&lt;18,C1334&gt;120),"Review – Out of Range (Age)",
  J1334&lt;0,"Review – Out of Range (Risk Score)",
  TRUE,"OK"
)</f>
        <v>OK</v>
      </c>
    </row>
    <row r="1335" spans="1:12" ht="16.8" x14ac:dyDescent="0.3">
      <c r="A1335" s="14" t="s">
        <v>2721</v>
      </c>
      <c r="B1335" s="14" t="s">
        <v>2722</v>
      </c>
      <c r="C1335" s="14">
        <v>30</v>
      </c>
      <c r="D1335" s="14" t="s">
        <v>41</v>
      </c>
      <c r="E1335" s="14" t="s">
        <v>42</v>
      </c>
      <c r="F1335" s="14" t="s">
        <v>43</v>
      </c>
      <c r="G1335" s="14" t="s">
        <v>109</v>
      </c>
      <c r="H1335" s="14" t="s">
        <v>46</v>
      </c>
      <c r="I1335" s="14" t="s">
        <v>45</v>
      </c>
      <c r="J1335" s="14">
        <v>0.14000000000000001</v>
      </c>
      <c r="K1335" s="15">
        <v>45113</v>
      </c>
      <c r="L1335" s="13" t="str" cm="1">
        <f t="array" ref="L1335">_xlfn.IFS(
  OR(ISBLANK(A1335),ISBLANK(C1335),ISBLANK(J1335)),"Missing Value",
  OR(C1335&lt;18,C1335&gt;120),"Review – Out of Range (Age)",
  J1335&lt;0,"Review – Out of Range (Risk Score)",
  TRUE,"OK"
)</f>
        <v>OK</v>
      </c>
    </row>
    <row r="1336" spans="1:12" ht="16.8" x14ac:dyDescent="0.3">
      <c r="A1336" s="11" t="s">
        <v>2723</v>
      </c>
      <c r="B1336" s="11" t="s">
        <v>2724</v>
      </c>
      <c r="C1336" s="11">
        <v>29</v>
      </c>
      <c r="D1336" s="11" t="s">
        <v>41</v>
      </c>
      <c r="E1336" s="11" t="s">
        <v>42</v>
      </c>
      <c r="F1336" s="11" t="s">
        <v>59</v>
      </c>
      <c r="G1336" s="11" t="s">
        <v>109</v>
      </c>
      <c r="H1336" s="11" t="s">
        <v>45</v>
      </c>
      <c r="I1336" s="11" t="s">
        <v>46</v>
      </c>
      <c r="J1336" s="11">
        <v>0.45</v>
      </c>
      <c r="K1336" s="12">
        <v>43328</v>
      </c>
      <c r="L1336" s="13" t="str" cm="1">
        <f t="array" ref="L1336">_xlfn.IFS(
  OR(ISBLANK(A1336),ISBLANK(C1336),ISBLANK(J1336)),"Missing Value",
  OR(C1336&lt;18,C1336&gt;120),"Review – Out of Range (Age)",
  J1336&lt;0,"Review – Out of Range (Risk Score)",
  TRUE,"OK"
)</f>
        <v>OK</v>
      </c>
    </row>
    <row r="1337" spans="1:12" ht="16.8" x14ac:dyDescent="0.3">
      <c r="A1337" s="14" t="s">
        <v>2725</v>
      </c>
      <c r="B1337" s="14" t="s">
        <v>2726</v>
      </c>
      <c r="C1337" s="14">
        <v>56</v>
      </c>
      <c r="D1337" s="14" t="s">
        <v>49</v>
      </c>
      <c r="E1337" s="14" t="s">
        <v>50</v>
      </c>
      <c r="F1337" s="14" t="s">
        <v>43</v>
      </c>
      <c r="G1337" s="14" t="s">
        <v>44</v>
      </c>
      <c r="H1337" s="14" t="s">
        <v>45</v>
      </c>
      <c r="I1337" s="14" t="s">
        <v>45</v>
      </c>
      <c r="J1337" s="14">
        <v>0.67</v>
      </c>
      <c r="K1337" s="15">
        <v>44469</v>
      </c>
      <c r="L1337" s="13" t="str" cm="1">
        <f t="array" ref="L1337">_xlfn.IFS(
  OR(ISBLANK(A1337),ISBLANK(C1337),ISBLANK(J1337)),"Missing Value",
  OR(C1337&lt;18,C1337&gt;120),"Review – Out of Range (Age)",
  J1337&lt;0,"Review – Out of Range (Risk Score)",
  TRUE,"OK"
)</f>
        <v>OK</v>
      </c>
    </row>
    <row r="1338" spans="1:12" ht="16.8" x14ac:dyDescent="0.3">
      <c r="A1338" s="11" t="s">
        <v>2727</v>
      </c>
      <c r="B1338" s="11" t="s">
        <v>2728</v>
      </c>
      <c r="C1338" s="11">
        <v>47</v>
      </c>
      <c r="D1338" s="11" t="s">
        <v>41</v>
      </c>
      <c r="E1338" s="11" t="s">
        <v>42</v>
      </c>
      <c r="F1338" s="11" t="s">
        <v>65</v>
      </c>
      <c r="G1338" s="11" t="s">
        <v>60</v>
      </c>
      <c r="H1338" s="11" t="s">
        <v>45</v>
      </c>
      <c r="I1338" s="11" t="s">
        <v>45</v>
      </c>
      <c r="J1338" s="11">
        <v>0.67</v>
      </c>
      <c r="K1338" s="12">
        <v>44672</v>
      </c>
      <c r="L1338" s="13" t="str" cm="1">
        <f t="array" ref="L1338">_xlfn.IFS(
  OR(ISBLANK(A1338),ISBLANK(C1338),ISBLANK(J1338)),"Missing Value",
  OR(C1338&lt;18,C1338&gt;120),"Review – Out of Range (Age)",
  J1338&lt;0,"Review – Out of Range (Risk Score)",
  TRUE,"OK"
)</f>
        <v>OK</v>
      </c>
    </row>
    <row r="1339" spans="1:12" ht="16.8" x14ac:dyDescent="0.3">
      <c r="A1339" s="14" t="s">
        <v>2729</v>
      </c>
      <c r="B1339" s="14" t="s">
        <v>2730</v>
      </c>
      <c r="C1339" s="14">
        <v>60</v>
      </c>
      <c r="D1339" s="14" t="s">
        <v>49</v>
      </c>
      <c r="E1339" s="14" t="s">
        <v>42</v>
      </c>
      <c r="F1339" s="14" t="s">
        <v>65</v>
      </c>
      <c r="G1339" s="14" t="s">
        <v>60</v>
      </c>
      <c r="H1339" s="14" t="s">
        <v>45</v>
      </c>
      <c r="I1339" s="14" t="s">
        <v>45</v>
      </c>
      <c r="J1339" s="14">
        <v>0.25</v>
      </c>
      <c r="K1339" s="15">
        <v>44251</v>
      </c>
      <c r="L1339" s="13" t="str" cm="1">
        <f t="array" ref="L1339">_xlfn.IFS(
  OR(ISBLANK(A1339),ISBLANK(C1339),ISBLANK(J1339)),"Missing Value",
  OR(C1339&lt;18,C1339&gt;120),"Review – Out of Range (Age)",
  J1339&lt;0,"Review – Out of Range (Risk Score)",
  TRUE,"OK"
)</f>
        <v>OK</v>
      </c>
    </row>
    <row r="1340" spans="1:12" ht="16.8" x14ac:dyDescent="0.3">
      <c r="A1340" s="11" t="s">
        <v>2731</v>
      </c>
      <c r="B1340" s="11" t="s">
        <v>2732</v>
      </c>
      <c r="C1340" s="11">
        <v>34</v>
      </c>
      <c r="D1340" s="11" t="s">
        <v>41</v>
      </c>
      <c r="E1340" s="11" t="s">
        <v>58</v>
      </c>
      <c r="F1340" s="11" t="s">
        <v>51</v>
      </c>
      <c r="G1340" s="11" t="s">
        <v>44</v>
      </c>
      <c r="H1340" s="11" t="s">
        <v>46</v>
      </c>
      <c r="I1340" s="11" t="s">
        <v>46</v>
      </c>
      <c r="J1340" s="11">
        <v>0.66</v>
      </c>
      <c r="K1340" s="12">
        <v>44395</v>
      </c>
      <c r="L1340" s="13" t="str" cm="1">
        <f t="array" ref="L1340">_xlfn.IFS(
  OR(ISBLANK(A1340),ISBLANK(C1340),ISBLANK(J1340)),"Missing Value",
  OR(C1340&lt;18,C1340&gt;120),"Review – Out of Range (Age)",
  J1340&lt;0,"Review – Out of Range (Risk Score)",
  TRUE,"OK"
)</f>
        <v>OK</v>
      </c>
    </row>
    <row r="1341" spans="1:12" ht="16.8" x14ac:dyDescent="0.3">
      <c r="A1341" s="14" t="s">
        <v>2733</v>
      </c>
      <c r="B1341" s="14" t="s">
        <v>2734</v>
      </c>
      <c r="C1341" s="14">
        <v>51</v>
      </c>
      <c r="D1341" s="14" t="s">
        <v>49</v>
      </c>
      <c r="E1341" s="14" t="s">
        <v>58</v>
      </c>
      <c r="F1341" s="14" t="s">
        <v>51</v>
      </c>
      <c r="G1341" s="14" t="s">
        <v>94</v>
      </c>
      <c r="H1341" s="14" t="s">
        <v>45</v>
      </c>
      <c r="I1341" s="14" t="s">
        <v>46</v>
      </c>
      <c r="J1341" s="14">
        <v>0.3</v>
      </c>
      <c r="K1341" s="15">
        <v>44184</v>
      </c>
      <c r="L1341" s="13" t="str" cm="1">
        <f t="array" ref="L1341">_xlfn.IFS(
  OR(ISBLANK(A1341),ISBLANK(C1341),ISBLANK(J1341)),"Missing Value",
  OR(C1341&lt;18,C1341&gt;120),"Review – Out of Range (Age)",
  J1341&lt;0,"Review – Out of Range (Risk Score)",
  TRUE,"OK"
)</f>
        <v>OK</v>
      </c>
    </row>
    <row r="1342" spans="1:12" ht="16.8" x14ac:dyDescent="0.3">
      <c r="A1342" s="11" t="s">
        <v>2735</v>
      </c>
      <c r="B1342" s="11" t="s">
        <v>2736</v>
      </c>
      <c r="C1342" s="11">
        <v>50</v>
      </c>
      <c r="D1342" s="11" t="s">
        <v>41</v>
      </c>
      <c r="E1342" s="11" t="s">
        <v>58</v>
      </c>
      <c r="F1342" s="11" t="s">
        <v>65</v>
      </c>
      <c r="G1342" s="11" t="s">
        <v>55</v>
      </c>
      <c r="H1342" s="11" t="s">
        <v>45</v>
      </c>
      <c r="I1342" s="11" t="s">
        <v>45</v>
      </c>
      <c r="J1342" s="11">
        <v>0.43</v>
      </c>
      <c r="K1342" s="12">
        <v>43206</v>
      </c>
      <c r="L1342" s="13" t="str" cm="1">
        <f t="array" ref="L1342">_xlfn.IFS(
  OR(ISBLANK(A1342),ISBLANK(C1342),ISBLANK(J1342)),"Missing Value",
  OR(C1342&lt;18,C1342&gt;120),"Review – Out of Range (Age)",
  J1342&lt;0,"Review – Out of Range (Risk Score)",
  TRUE,"OK"
)</f>
        <v>OK</v>
      </c>
    </row>
    <row r="1343" spans="1:12" ht="16.8" x14ac:dyDescent="0.3">
      <c r="A1343" s="14" t="s">
        <v>2737</v>
      </c>
      <c r="B1343" s="14" t="s">
        <v>2738</v>
      </c>
      <c r="C1343" s="14">
        <v>57</v>
      </c>
      <c r="D1343" s="14" t="s">
        <v>41</v>
      </c>
      <c r="E1343" s="14" t="s">
        <v>42</v>
      </c>
      <c r="F1343" s="14" t="s">
        <v>59</v>
      </c>
      <c r="G1343" s="14" t="s">
        <v>52</v>
      </c>
      <c r="H1343" s="14" t="s">
        <v>45</v>
      </c>
      <c r="I1343" s="14" t="s">
        <v>46</v>
      </c>
      <c r="J1343" s="14">
        <v>0.62</v>
      </c>
      <c r="K1343" s="15">
        <v>44452</v>
      </c>
      <c r="L1343" s="13" t="str" cm="1">
        <f t="array" ref="L1343">_xlfn.IFS(
  OR(ISBLANK(A1343),ISBLANK(C1343),ISBLANK(J1343)),"Missing Value",
  OR(C1343&lt;18,C1343&gt;120),"Review – Out of Range (Age)",
  J1343&lt;0,"Review – Out of Range (Risk Score)",
  TRUE,"OK"
)</f>
        <v>OK</v>
      </c>
    </row>
    <row r="1344" spans="1:12" ht="16.8" x14ac:dyDescent="0.3">
      <c r="A1344" s="11" t="s">
        <v>2739</v>
      </c>
      <c r="B1344" s="11" t="s">
        <v>2740</v>
      </c>
      <c r="C1344" s="11">
        <v>46</v>
      </c>
      <c r="D1344" s="11" t="s">
        <v>49</v>
      </c>
      <c r="E1344" s="11" t="s">
        <v>42</v>
      </c>
      <c r="F1344" s="11" t="s">
        <v>43</v>
      </c>
      <c r="G1344" s="11" t="s">
        <v>109</v>
      </c>
      <c r="H1344" s="11" t="s">
        <v>46</v>
      </c>
      <c r="I1344" s="11" t="s">
        <v>45</v>
      </c>
      <c r="J1344" s="11">
        <v>0.49</v>
      </c>
      <c r="K1344" s="12">
        <v>45057</v>
      </c>
      <c r="L1344" s="13" t="str" cm="1">
        <f t="array" ref="L1344">_xlfn.IFS(
  OR(ISBLANK(A1344),ISBLANK(C1344),ISBLANK(J1344)),"Missing Value",
  OR(C1344&lt;18,C1344&gt;120),"Review – Out of Range (Age)",
  J1344&lt;0,"Review – Out of Range (Risk Score)",
  TRUE,"OK"
)</f>
        <v>OK</v>
      </c>
    </row>
    <row r="1345" spans="1:12" ht="16.8" x14ac:dyDescent="0.3">
      <c r="A1345" s="14" t="s">
        <v>2741</v>
      </c>
      <c r="B1345" s="14" t="s">
        <v>2742</v>
      </c>
      <c r="C1345" s="14">
        <v>51</v>
      </c>
      <c r="D1345" s="14" t="s">
        <v>49</v>
      </c>
      <c r="E1345" s="14" t="s">
        <v>58</v>
      </c>
      <c r="F1345" s="14" t="s">
        <v>65</v>
      </c>
      <c r="G1345" s="14" t="s">
        <v>52</v>
      </c>
      <c r="H1345" s="14" t="s">
        <v>46</v>
      </c>
      <c r="I1345" s="14" t="s">
        <v>46</v>
      </c>
      <c r="J1345" s="14">
        <v>0.26</v>
      </c>
      <c r="K1345" s="15">
        <v>44020</v>
      </c>
      <c r="L1345" s="13" t="str" cm="1">
        <f t="array" ref="L1345">_xlfn.IFS(
  OR(ISBLANK(A1345),ISBLANK(C1345),ISBLANK(J1345)),"Missing Value",
  OR(C1345&lt;18,C1345&gt;120),"Review – Out of Range (Age)",
  J1345&lt;0,"Review – Out of Range (Risk Score)",
  TRUE,"OK"
)</f>
        <v>OK</v>
      </c>
    </row>
    <row r="1346" spans="1:12" ht="16.8" x14ac:dyDescent="0.3">
      <c r="A1346" s="11" t="s">
        <v>2743</v>
      </c>
      <c r="B1346" s="11" t="s">
        <v>2744</v>
      </c>
      <c r="C1346" s="11">
        <v>63</v>
      </c>
      <c r="D1346" s="11" t="s">
        <v>49</v>
      </c>
      <c r="E1346" s="11" t="s">
        <v>58</v>
      </c>
      <c r="F1346" s="11" t="s">
        <v>59</v>
      </c>
      <c r="G1346" s="11" t="s">
        <v>109</v>
      </c>
      <c r="H1346" s="11" t="s">
        <v>46</v>
      </c>
      <c r="I1346" s="11" t="s">
        <v>45</v>
      </c>
      <c r="J1346" s="11">
        <v>0.54</v>
      </c>
      <c r="K1346" s="12">
        <v>45061</v>
      </c>
      <c r="L1346" s="13" t="str" cm="1">
        <f t="array" ref="L1346">_xlfn.IFS(
  OR(ISBLANK(A1346),ISBLANK(C1346),ISBLANK(J1346)),"Missing Value",
  OR(C1346&lt;18,C1346&gt;120),"Review – Out of Range (Age)",
  J1346&lt;0,"Review – Out of Range (Risk Score)",
  TRUE,"OK"
)</f>
        <v>OK</v>
      </c>
    </row>
    <row r="1347" spans="1:12" ht="16.8" x14ac:dyDescent="0.3">
      <c r="A1347" s="14" t="s">
        <v>2745</v>
      </c>
      <c r="B1347" s="14" t="s">
        <v>2746</v>
      </c>
      <c r="C1347" s="14">
        <v>62</v>
      </c>
      <c r="D1347" s="14" t="s">
        <v>49</v>
      </c>
      <c r="E1347" s="14" t="s">
        <v>58</v>
      </c>
      <c r="F1347" s="14" t="s">
        <v>59</v>
      </c>
      <c r="G1347" s="14" t="s">
        <v>44</v>
      </c>
      <c r="H1347" s="14" t="s">
        <v>45</v>
      </c>
      <c r="I1347" s="14" t="s">
        <v>45</v>
      </c>
      <c r="J1347" s="14">
        <v>0.3</v>
      </c>
      <c r="K1347" s="15">
        <v>44497</v>
      </c>
      <c r="L1347" s="13" t="str" cm="1">
        <f t="array" ref="L1347">_xlfn.IFS(
  OR(ISBLANK(A1347),ISBLANK(C1347),ISBLANK(J1347)),"Missing Value",
  OR(C1347&lt;18,C1347&gt;120),"Review – Out of Range (Age)",
  J1347&lt;0,"Review – Out of Range (Risk Score)",
  TRUE,"OK"
)</f>
        <v>OK</v>
      </c>
    </row>
    <row r="1348" spans="1:12" ht="16.8" x14ac:dyDescent="0.3">
      <c r="A1348" s="11" t="s">
        <v>2747</v>
      </c>
      <c r="B1348" s="11" t="s">
        <v>2748</v>
      </c>
      <c r="C1348" s="11">
        <v>61</v>
      </c>
      <c r="D1348" s="11" t="s">
        <v>49</v>
      </c>
      <c r="E1348" s="11" t="s">
        <v>42</v>
      </c>
      <c r="F1348" s="11" t="s">
        <v>59</v>
      </c>
      <c r="G1348" s="11" t="s">
        <v>52</v>
      </c>
      <c r="H1348" s="11" t="s">
        <v>46</v>
      </c>
      <c r="I1348" s="11" t="s">
        <v>45</v>
      </c>
      <c r="J1348" s="11">
        <v>0.57999999999999996</v>
      </c>
      <c r="K1348" s="12">
        <v>44580</v>
      </c>
      <c r="L1348" s="13" t="str" cm="1">
        <f t="array" ref="L1348">_xlfn.IFS(
  OR(ISBLANK(A1348),ISBLANK(C1348),ISBLANK(J1348)),"Missing Value",
  OR(C1348&lt;18,C1348&gt;120),"Review – Out of Range (Age)",
  J1348&lt;0,"Review – Out of Range (Risk Score)",
  TRUE,"OK"
)</f>
        <v>OK</v>
      </c>
    </row>
    <row r="1349" spans="1:12" ht="16.8" x14ac:dyDescent="0.3">
      <c r="A1349" s="14" t="s">
        <v>2749</v>
      </c>
      <c r="B1349" s="14" t="s">
        <v>2750</v>
      </c>
      <c r="C1349" s="14">
        <v>18</v>
      </c>
      <c r="D1349" s="14" t="s">
        <v>49</v>
      </c>
      <c r="E1349" s="14" t="s">
        <v>58</v>
      </c>
      <c r="F1349" s="14" t="s">
        <v>59</v>
      </c>
      <c r="G1349" s="14" t="s">
        <v>44</v>
      </c>
      <c r="H1349" s="14" t="s">
        <v>45</v>
      </c>
      <c r="I1349" s="14" t="s">
        <v>46</v>
      </c>
      <c r="J1349" s="14">
        <v>0.15</v>
      </c>
      <c r="K1349" s="15">
        <v>43843</v>
      </c>
      <c r="L1349" s="13" t="str" cm="1">
        <f t="array" ref="L1349">_xlfn.IFS(
  OR(ISBLANK(A1349),ISBLANK(C1349),ISBLANK(J1349)),"Missing Value",
  OR(C1349&lt;18,C1349&gt;120),"Review – Out of Range (Age)",
  J1349&lt;0,"Review – Out of Range (Risk Score)",
  TRUE,"OK"
)</f>
        <v>OK</v>
      </c>
    </row>
    <row r="1350" spans="1:12" ht="16.8" x14ac:dyDescent="0.3">
      <c r="A1350" s="11" t="s">
        <v>2751</v>
      </c>
      <c r="B1350" s="11" t="s">
        <v>2752</v>
      </c>
      <c r="C1350" s="11">
        <v>56</v>
      </c>
      <c r="D1350" s="11" t="s">
        <v>41</v>
      </c>
      <c r="E1350" s="11" t="s">
        <v>50</v>
      </c>
      <c r="F1350" s="11" t="s">
        <v>65</v>
      </c>
      <c r="G1350" s="11" t="s">
        <v>44</v>
      </c>
      <c r="H1350" s="11" t="s">
        <v>46</v>
      </c>
      <c r="I1350" s="11" t="s">
        <v>45</v>
      </c>
      <c r="J1350" s="11">
        <v>0.56999999999999995</v>
      </c>
      <c r="K1350" s="12">
        <v>44153</v>
      </c>
      <c r="L1350" s="13" t="str" cm="1">
        <f t="array" ref="L1350">_xlfn.IFS(
  OR(ISBLANK(A1350),ISBLANK(C1350),ISBLANK(J1350)),"Missing Value",
  OR(C1350&lt;18,C1350&gt;120),"Review – Out of Range (Age)",
  J1350&lt;0,"Review – Out of Range (Risk Score)",
  TRUE,"OK"
)</f>
        <v>OK</v>
      </c>
    </row>
    <row r="1351" spans="1:12" ht="16.8" x14ac:dyDescent="0.3">
      <c r="A1351" s="14" t="s">
        <v>2753</v>
      </c>
      <c r="B1351" s="14" t="s">
        <v>2754</v>
      </c>
      <c r="C1351" s="14">
        <v>39</v>
      </c>
      <c r="D1351" s="14" t="s">
        <v>49</v>
      </c>
      <c r="E1351" s="14" t="s">
        <v>58</v>
      </c>
      <c r="F1351" s="14" t="s">
        <v>59</v>
      </c>
      <c r="G1351" s="14" t="s">
        <v>44</v>
      </c>
      <c r="H1351" s="14" t="s">
        <v>46</v>
      </c>
      <c r="I1351" s="14" t="s">
        <v>45</v>
      </c>
      <c r="J1351" s="14">
        <v>0.28000000000000003</v>
      </c>
      <c r="K1351" s="15">
        <v>44084</v>
      </c>
      <c r="L1351" s="13" t="str" cm="1">
        <f t="array" ref="L1351">_xlfn.IFS(
  OR(ISBLANK(A1351),ISBLANK(C1351),ISBLANK(J1351)),"Missing Value",
  OR(C1351&lt;18,C1351&gt;120),"Review – Out of Range (Age)",
  J1351&lt;0,"Review – Out of Range (Risk Score)",
  TRUE,"OK"
)</f>
        <v>OK</v>
      </c>
    </row>
    <row r="1352" spans="1:12" ht="16.8" x14ac:dyDescent="0.3">
      <c r="A1352" s="11" t="s">
        <v>2755</v>
      </c>
      <c r="B1352" s="11" t="s">
        <v>2756</v>
      </c>
      <c r="C1352" s="11">
        <v>44</v>
      </c>
      <c r="D1352" s="11" t="s">
        <v>41</v>
      </c>
      <c r="E1352" s="11" t="s">
        <v>58</v>
      </c>
      <c r="F1352" s="11" t="s">
        <v>65</v>
      </c>
      <c r="G1352" s="11" t="s">
        <v>60</v>
      </c>
      <c r="H1352" s="11" t="s">
        <v>46</v>
      </c>
      <c r="I1352" s="11" t="s">
        <v>46</v>
      </c>
      <c r="J1352" s="11">
        <v>7.0000000000000007E-2</v>
      </c>
      <c r="K1352" s="12">
        <v>45010</v>
      </c>
      <c r="L1352" s="13" t="str" cm="1">
        <f t="array" ref="L1352">_xlfn.IFS(
  OR(ISBLANK(A1352),ISBLANK(C1352),ISBLANK(J1352)),"Missing Value",
  OR(C1352&lt;18,C1352&gt;120),"Review – Out of Range (Age)",
  J1352&lt;0,"Review – Out of Range (Risk Score)",
  TRUE,"OK"
)</f>
        <v>OK</v>
      </c>
    </row>
    <row r="1353" spans="1:12" ht="16.8" x14ac:dyDescent="0.3">
      <c r="A1353" s="14" t="s">
        <v>2757</v>
      </c>
      <c r="B1353" s="14" t="s">
        <v>2758</v>
      </c>
      <c r="C1353" s="14">
        <v>51</v>
      </c>
      <c r="D1353" s="14" t="s">
        <v>41</v>
      </c>
      <c r="E1353" s="14" t="s">
        <v>50</v>
      </c>
      <c r="F1353" s="14" t="s">
        <v>65</v>
      </c>
      <c r="G1353" s="14" t="s">
        <v>52</v>
      </c>
      <c r="H1353" s="14" t="s">
        <v>45</v>
      </c>
      <c r="I1353" s="14" t="s">
        <v>46</v>
      </c>
      <c r="J1353" s="14">
        <v>0.24</v>
      </c>
      <c r="K1353" s="15">
        <v>44249</v>
      </c>
      <c r="L1353" s="13" t="str" cm="1">
        <f t="array" ref="L1353">_xlfn.IFS(
  OR(ISBLANK(A1353),ISBLANK(C1353),ISBLANK(J1353)),"Missing Value",
  OR(C1353&lt;18,C1353&gt;120),"Review – Out of Range (Age)",
  J1353&lt;0,"Review – Out of Range (Risk Score)",
  TRUE,"OK"
)</f>
        <v>OK</v>
      </c>
    </row>
    <row r="1354" spans="1:12" ht="16.8" x14ac:dyDescent="0.3">
      <c r="A1354" s="11" t="s">
        <v>2759</v>
      </c>
      <c r="B1354" s="11" t="s">
        <v>2760</v>
      </c>
      <c r="C1354" s="11">
        <v>32</v>
      </c>
      <c r="D1354" s="11" t="s">
        <v>41</v>
      </c>
      <c r="E1354" s="11" t="s">
        <v>42</v>
      </c>
      <c r="F1354" s="11" t="s">
        <v>65</v>
      </c>
      <c r="G1354" s="11" t="s">
        <v>109</v>
      </c>
      <c r="H1354" s="11" t="s">
        <v>46</v>
      </c>
      <c r="I1354" s="11" t="s">
        <v>45</v>
      </c>
      <c r="J1354" s="11">
        <v>0.5</v>
      </c>
      <c r="K1354" s="12">
        <v>44838</v>
      </c>
      <c r="L1354" s="13" t="str" cm="1">
        <f t="array" ref="L1354">_xlfn.IFS(
  OR(ISBLANK(A1354),ISBLANK(C1354),ISBLANK(J1354)),"Missing Value",
  OR(C1354&lt;18,C1354&gt;120),"Review – Out of Range (Age)",
  J1354&lt;0,"Review – Out of Range (Risk Score)",
  TRUE,"OK"
)</f>
        <v>OK</v>
      </c>
    </row>
    <row r="1355" spans="1:12" ht="16.8" x14ac:dyDescent="0.3">
      <c r="A1355" s="14" t="s">
        <v>2761</v>
      </c>
      <c r="B1355" s="14" t="s">
        <v>2762</v>
      </c>
      <c r="C1355" s="14">
        <v>38</v>
      </c>
      <c r="D1355" s="14" t="s">
        <v>49</v>
      </c>
      <c r="E1355" s="14" t="s">
        <v>42</v>
      </c>
      <c r="F1355" s="14" t="s">
        <v>51</v>
      </c>
      <c r="G1355" s="14" t="s">
        <v>52</v>
      </c>
      <c r="H1355" s="14" t="s">
        <v>45</v>
      </c>
      <c r="I1355" s="14" t="s">
        <v>45</v>
      </c>
      <c r="J1355" s="14">
        <v>0.57999999999999996</v>
      </c>
      <c r="K1355" s="15">
        <v>43893</v>
      </c>
      <c r="L1355" s="13" t="str" cm="1">
        <f t="array" ref="L1355">_xlfn.IFS(
  OR(ISBLANK(A1355),ISBLANK(C1355),ISBLANK(J1355)),"Missing Value",
  OR(C1355&lt;18,C1355&gt;120),"Review – Out of Range (Age)",
  J1355&lt;0,"Review – Out of Range (Risk Score)",
  TRUE,"OK"
)</f>
        <v>OK</v>
      </c>
    </row>
    <row r="1356" spans="1:12" ht="16.8" x14ac:dyDescent="0.3">
      <c r="A1356" s="11" t="s">
        <v>2763</v>
      </c>
      <c r="B1356" s="11" t="s">
        <v>2764</v>
      </c>
      <c r="C1356" s="11">
        <v>41</v>
      </c>
      <c r="D1356" s="11" t="s">
        <v>41</v>
      </c>
      <c r="E1356" s="11" t="s">
        <v>42</v>
      </c>
      <c r="F1356" s="11" t="s">
        <v>43</v>
      </c>
      <c r="G1356" s="11" t="s">
        <v>60</v>
      </c>
      <c r="H1356" s="11" t="s">
        <v>45</v>
      </c>
      <c r="I1356" s="11" t="s">
        <v>45</v>
      </c>
      <c r="J1356" s="11">
        <v>0.55000000000000004</v>
      </c>
      <c r="K1356" s="12">
        <v>43452</v>
      </c>
      <c r="L1356" s="13" t="str" cm="1">
        <f t="array" ref="L1356">_xlfn.IFS(
  OR(ISBLANK(A1356),ISBLANK(C1356),ISBLANK(J1356)),"Missing Value",
  OR(C1356&lt;18,C1356&gt;120),"Review – Out of Range (Age)",
  J1356&lt;0,"Review – Out of Range (Risk Score)",
  TRUE,"OK"
)</f>
        <v>OK</v>
      </c>
    </row>
    <row r="1357" spans="1:12" ht="16.8" x14ac:dyDescent="0.3">
      <c r="A1357" s="14" t="s">
        <v>2765</v>
      </c>
      <c r="B1357" s="14" t="s">
        <v>2766</v>
      </c>
      <c r="C1357" s="14">
        <v>28</v>
      </c>
      <c r="D1357" s="14" t="s">
        <v>41</v>
      </c>
      <c r="E1357" s="14" t="s">
        <v>50</v>
      </c>
      <c r="F1357" s="14" t="s">
        <v>43</v>
      </c>
      <c r="G1357" s="14" t="s">
        <v>60</v>
      </c>
      <c r="H1357" s="14" t="s">
        <v>46</v>
      </c>
      <c r="I1357" s="14" t="s">
        <v>45</v>
      </c>
      <c r="J1357" s="14">
        <v>0.52</v>
      </c>
      <c r="K1357" s="15">
        <v>43183</v>
      </c>
      <c r="L1357" s="13" t="str" cm="1">
        <f t="array" ref="L1357">_xlfn.IFS(
  OR(ISBLANK(A1357),ISBLANK(C1357),ISBLANK(J1357)),"Missing Value",
  OR(C1357&lt;18,C1357&gt;120),"Review – Out of Range (Age)",
  J1357&lt;0,"Review – Out of Range (Risk Score)",
  TRUE,"OK"
)</f>
        <v>OK</v>
      </c>
    </row>
    <row r="1358" spans="1:12" ht="16.8" x14ac:dyDescent="0.3">
      <c r="A1358" s="11" t="s">
        <v>2767</v>
      </c>
      <c r="B1358" s="11" t="s">
        <v>2768</v>
      </c>
      <c r="C1358" s="11">
        <v>68</v>
      </c>
      <c r="D1358" s="11" t="s">
        <v>41</v>
      </c>
      <c r="E1358" s="11" t="s">
        <v>42</v>
      </c>
      <c r="F1358" s="11" t="s">
        <v>51</v>
      </c>
      <c r="G1358" s="11" t="s">
        <v>44</v>
      </c>
      <c r="H1358" s="11" t="s">
        <v>45</v>
      </c>
      <c r="I1358" s="11" t="s">
        <v>45</v>
      </c>
      <c r="J1358" s="11">
        <v>0.52</v>
      </c>
      <c r="K1358" s="12">
        <v>43593</v>
      </c>
      <c r="L1358" s="13" t="str" cm="1">
        <f t="array" ref="L1358">_xlfn.IFS(
  OR(ISBLANK(A1358),ISBLANK(C1358),ISBLANK(J1358)),"Missing Value",
  OR(C1358&lt;18,C1358&gt;120),"Review – Out of Range (Age)",
  J1358&lt;0,"Review – Out of Range (Risk Score)",
  TRUE,"OK"
)</f>
        <v>OK</v>
      </c>
    </row>
    <row r="1359" spans="1:12" ht="16.8" x14ac:dyDescent="0.3">
      <c r="A1359" s="14" t="s">
        <v>2769</v>
      </c>
      <c r="B1359" s="14" t="s">
        <v>2770</v>
      </c>
      <c r="C1359" s="14">
        <v>62</v>
      </c>
      <c r="D1359" s="14" t="s">
        <v>49</v>
      </c>
      <c r="E1359" s="14" t="s">
        <v>42</v>
      </c>
      <c r="F1359" s="14" t="s">
        <v>65</v>
      </c>
      <c r="G1359" s="14" t="s">
        <v>109</v>
      </c>
      <c r="H1359" s="14" t="s">
        <v>45</v>
      </c>
      <c r="I1359" s="14" t="s">
        <v>45</v>
      </c>
      <c r="J1359" s="14">
        <v>0.12</v>
      </c>
      <c r="K1359" s="15">
        <v>43678</v>
      </c>
      <c r="L1359" s="13" t="str" cm="1">
        <f t="array" ref="L1359">_xlfn.IFS(
  OR(ISBLANK(A1359),ISBLANK(C1359),ISBLANK(J1359)),"Missing Value",
  OR(C1359&lt;18,C1359&gt;120),"Review – Out of Range (Age)",
  J1359&lt;0,"Review – Out of Range (Risk Score)",
  TRUE,"OK"
)</f>
        <v>OK</v>
      </c>
    </row>
    <row r="1360" spans="1:12" ht="16.8" x14ac:dyDescent="0.3">
      <c r="A1360" s="11" t="s">
        <v>2771</v>
      </c>
      <c r="B1360" s="11" t="s">
        <v>2772</v>
      </c>
      <c r="C1360" s="11">
        <v>59</v>
      </c>
      <c r="D1360" s="11" t="s">
        <v>49</v>
      </c>
      <c r="E1360" s="11" t="s">
        <v>58</v>
      </c>
      <c r="F1360" s="11" t="s">
        <v>65</v>
      </c>
      <c r="G1360" s="11" t="s">
        <v>94</v>
      </c>
      <c r="H1360" s="11" t="s">
        <v>46</v>
      </c>
      <c r="I1360" s="11" t="s">
        <v>46</v>
      </c>
      <c r="J1360" s="11">
        <v>0.49</v>
      </c>
      <c r="K1360" s="12">
        <v>44393</v>
      </c>
      <c r="L1360" s="13" t="str" cm="1">
        <f t="array" ref="L1360">_xlfn.IFS(
  OR(ISBLANK(A1360),ISBLANK(C1360),ISBLANK(J1360)),"Missing Value",
  OR(C1360&lt;18,C1360&gt;120),"Review – Out of Range (Age)",
  J1360&lt;0,"Review – Out of Range (Risk Score)",
  TRUE,"OK"
)</f>
        <v>OK</v>
      </c>
    </row>
    <row r="1361" spans="1:12" ht="16.8" x14ac:dyDescent="0.3">
      <c r="A1361" s="14" t="s">
        <v>2773</v>
      </c>
      <c r="B1361" s="14" t="s">
        <v>2774</v>
      </c>
      <c r="C1361" s="14">
        <v>54</v>
      </c>
      <c r="D1361" s="14" t="s">
        <v>41</v>
      </c>
      <c r="E1361" s="14" t="s">
        <v>50</v>
      </c>
      <c r="F1361" s="14" t="s">
        <v>51</v>
      </c>
      <c r="G1361" s="14" t="s">
        <v>55</v>
      </c>
      <c r="H1361" s="14" t="s">
        <v>46</v>
      </c>
      <c r="I1361" s="14" t="s">
        <v>45</v>
      </c>
      <c r="J1361" s="14">
        <v>0.49</v>
      </c>
      <c r="K1361" s="15">
        <v>43388</v>
      </c>
      <c r="L1361" s="13" t="str" cm="1">
        <f t="array" ref="L1361">_xlfn.IFS(
  OR(ISBLANK(A1361),ISBLANK(C1361),ISBLANK(J1361)),"Missing Value",
  OR(C1361&lt;18,C1361&gt;120),"Review – Out of Range (Age)",
  J1361&lt;0,"Review – Out of Range (Risk Score)",
  TRUE,"OK"
)</f>
        <v>OK</v>
      </c>
    </row>
    <row r="1362" spans="1:12" ht="16.8" x14ac:dyDescent="0.3">
      <c r="A1362" s="11" t="s">
        <v>2775</v>
      </c>
      <c r="B1362" s="11" t="s">
        <v>2776</v>
      </c>
      <c r="C1362" s="11">
        <v>19</v>
      </c>
      <c r="D1362" s="11" t="s">
        <v>41</v>
      </c>
      <c r="E1362" s="11" t="s">
        <v>58</v>
      </c>
      <c r="F1362" s="11" t="s">
        <v>59</v>
      </c>
      <c r="G1362" s="11" t="s">
        <v>52</v>
      </c>
      <c r="H1362" s="11" t="s">
        <v>45</v>
      </c>
      <c r="I1362" s="11" t="s">
        <v>45</v>
      </c>
      <c r="J1362" s="11">
        <v>0.73</v>
      </c>
      <c r="K1362" s="12">
        <v>43627</v>
      </c>
      <c r="L1362" s="13" t="str" cm="1">
        <f t="array" ref="L1362">_xlfn.IFS(
  OR(ISBLANK(A1362),ISBLANK(C1362),ISBLANK(J1362)),"Missing Value",
  OR(C1362&lt;18,C1362&gt;120),"Review – Out of Range (Age)",
  J1362&lt;0,"Review – Out of Range (Risk Score)",
  TRUE,"OK"
)</f>
        <v>OK</v>
      </c>
    </row>
    <row r="1363" spans="1:12" ht="16.8" x14ac:dyDescent="0.3">
      <c r="A1363" s="14" t="s">
        <v>2777</v>
      </c>
      <c r="B1363" s="14" t="s">
        <v>2778</v>
      </c>
      <c r="C1363" s="14">
        <v>23</v>
      </c>
      <c r="D1363" s="14" t="s">
        <v>41</v>
      </c>
      <c r="E1363" s="14" t="s">
        <v>42</v>
      </c>
      <c r="F1363" s="14" t="s">
        <v>51</v>
      </c>
      <c r="G1363" s="14" t="s">
        <v>109</v>
      </c>
      <c r="H1363" s="14" t="s">
        <v>46</v>
      </c>
      <c r="I1363" s="14" t="s">
        <v>45</v>
      </c>
      <c r="J1363" s="14">
        <v>0.83</v>
      </c>
      <c r="K1363" s="15">
        <v>43446</v>
      </c>
      <c r="L1363" s="13" t="str" cm="1">
        <f t="array" ref="L1363">_xlfn.IFS(
  OR(ISBLANK(A1363),ISBLANK(C1363),ISBLANK(J1363)),"Missing Value",
  OR(C1363&lt;18,C1363&gt;120),"Review – Out of Range (Age)",
  J1363&lt;0,"Review – Out of Range (Risk Score)",
  TRUE,"OK"
)</f>
        <v>OK</v>
      </c>
    </row>
    <row r="1364" spans="1:12" ht="16.8" x14ac:dyDescent="0.3">
      <c r="A1364" s="11" t="s">
        <v>2779</v>
      </c>
      <c r="B1364" s="11" t="s">
        <v>2780</v>
      </c>
      <c r="C1364" s="11">
        <v>24</v>
      </c>
      <c r="D1364" s="11" t="s">
        <v>49</v>
      </c>
      <c r="E1364" s="11" t="s">
        <v>50</v>
      </c>
      <c r="F1364" s="11" t="s">
        <v>43</v>
      </c>
      <c r="G1364" s="11" t="s">
        <v>94</v>
      </c>
      <c r="H1364" s="11" t="s">
        <v>46</v>
      </c>
      <c r="I1364" s="11" t="s">
        <v>46</v>
      </c>
      <c r="J1364" s="11">
        <v>0.59</v>
      </c>
      <c r="K1364" s="12">
        <v>43959</v>
      </c>
      <c r="L1364" s="13" t="str" cm="1">
        <f t="array" ref="L1364">_xlfn.IFS(
  OR(ISBLANK(A1364),ISBLANK(C1364),ISBLANK(J1364)),"Missing Value",
  OR(C1364&lt;18,C1364&gt;120),"Review – Out of Range (Age)",
  J1364&lt;0,"Review – Out of Range (Risk Score)",
  TRUE,"OK"
)</f>
        <v>OK</v>
      </c>
    </row>
    <row r="1365" spans="1:12" ht="16.8" x14ac:dyDescent="0.3">
      <c r="A1365" s="14" t="s">
        <v>2781</v>
      </c>
      <c r="B1365" s="14" t="s">
        <v>2782</v>
      </c>
      <c r="C1365" s="14">
        <v>33</v>
      </c>
      <c r="D1365" s="14" t="s">
        <v>41</v>
      </c>
      <c r="E1365" s="14" t="s">
        <v>58</v>
      </c>
      <c r="F1365" s="14" t="s">
        <v>65</v>
      </c>
      <c r="G1365" s="14" t="s">
        <v>52</v>
      </c>
      <c r="H1365" s="14" t="s">
        <v>46</v>
      </c>
      <c r="I1365" s="14" t="s">
        <v>46</v>
      </c>
      <c r="J1365" s="14">
        <v>0.44</v>
      </c>
      <c r="K1365" s="15">
        <v>43892</v>
      </c>
      <c r="L1365" s="13" t="str" cm="1">
        <f t="array" ref="L1365">_xlfn.IFS(
  OR(ISBLANK(A1365),ISBLANK(C1365),ISBLANK(J1365)),"Missing Value",
  OR(C1365&lt;18,C1365&gt;120),"Review – Out of Range (Age)",
  J1365&lt;0,"Review – Out of Range (Risk Score)",
  TRUE,"OK"
)</f>
        <v>OK</v>
      </c>
    </row>
    <row r="1366" spans="1:12" ht="16.8" x14ac:dyDescent="0.3">
      <c r="A1366" s="11" t="s">
        <v>2783</v>
      </c>
      <c r="B1366" s="11" t="s">
        <v>2784</v>
      </c>
      <c r="C1366" s="11">
        <v>63</v>
      </c>
      <c r="D1366" s="11" t="s">
        <v>49</v>
      </c>
      <c r="E1366" s="11" t="s">
        <v>58</v>
      </c>
      <c r="F1366" s="11" t="s">
        <v>59</v>
      </c>
      <c r="G1366" s="11" t="s">
        <v>52</v>
      </c>
      <c r="H1366" s="11" t="s">
        <v>45</v>
      </c>
      <c r="I1366" s="11" t="s">
        <v>46</v>
      </c>
      <c r="J1366" s="11">
        <v>0.49</v>
      </c>
      <c r="K1366" s="12">
        <v>44014</v>
      </c>
      <c r="L1366" s="13" t="str" cm="1">
        <f t="array" ref="L1366">_xlfn.IFS(
  OR(ISBLANK(A1366),ISBLANK(C1366),ISBLANK(J1366)),"Missing Value",
  OR(C1366&lt;18,C1366&gt;120),"Review – Out of Range (Age)",
  J1366&lt;0,"Review – Out of Range (Risk Score)",
  TRUE,"OK"
)</f>
        <v>OK</v>
      </c>
    </row>
    <row r="1367" spans="1:12" ht="16.8" x14ac:dyDescent="0.3">
      <c r="A1367" s="14" t="s">
        <v>2785</v>
      </c>
      <c r="B1367" s="14" t="s">
        <v>2786</v>
      </c>
      <c r="C1367" s="14">
        <v>46</v>
      </c>
      <c r="D1367" s="14" t="s">
        <v>49</v>
      </c>
      <c r="E1367" s="14" t="s">
        <v>42</v>
      </c>
      <c r="F1367" s="14" t="s">
        <v>59</v>
      </c>
      <c r="G1367" s="14" t="s">
        <v>94</v>
      </c>
      <c r="H1367" s="14" t="s">
        <v>46</v>
      </c>
      <c r="I1367" s="14" t="s">
        <v>46</v>
      </c>
      <c r="J1367" s="14">
        <v>0.6</v>
      </c>
      <c r="K1367" s="15">
        <v>43236</v>
      </c>
      <c r="L1367" s="13" t="str" cm="1">
        <f t="array" ref="L1367">_xlfn.IFS(
  OR(ISBLANK(A1367),ISBLANK(C1367),ISBLANK(J1367)),"Missing Value",
  OR(C1367&lt;18,C1367&gt;120),"Review – Out of Range (Age)",
  J1367&lt;0,"Review – Out of Range (Risk Score)",
  TRUE,"OK"
)</f>
        <v>OK</v>
      </c>
    </row>
    <row r="1368" spans="1:12" ht="16.8" x14ac:dyDescent="0.3">
      <c r="A1368" s="11" t="s">
        <v>2787</v>
      </c>
      <c r="B1368" s="11" t="s">
        <v>2788</v>
      </c>
      <c r="C1368" s="11">
        <v>57</v>
      </c>
      <c r="D1368" s="11" t="s">
        <v>41</v>
      </c>
      <c r="E1368" s="11" t="s">
        <v>58</v>
      </c>
      <c r="F1368" s="11" t="s">
        <v>65</v>
      </c>
      <c r="G1368" s="11" t="s">
        <v>109</v>
      </c>
      <c r="H1368" s="11" t="s">
        <v>45</v>
      </c>
      <c r="I1368" s="11" t="s">
        <v>45</v>
      </c>
      <c r="J1368" s="11">
        <v>0.42</v>
      </c>
      <c r="K1368" s="12">
        <v>43274</v>
      </c>
      <c r="L1368" s="13" t="str" cm="1">
        <f t="array" ref="L1368">_xlfn.IFS(
  OR(ISBLANK(A1368),ISBLANK(C1368),ISBLANK(J1368)),"Missing Value",
  OR(C1368&lt;18,C1368&gt;120),"Review – Out of Range (Age)",
  J1368&lt;0,"Review – Out of Range (Risk Score)",
  TRUE,"OK"
)</f>
        <v>OK</v>
      </c>
    </row>
    <row r="1369" spans="1:12" ht="16.8" x14ac:dyDescent="0.3">
      <c r="A1369" s="14" t="s">
        <v>2789</v>
      </c>
      <c r="B1369" s="14" t="s">
        <v>2790</v>
      </c>
      <c r="C1369" s="14">
        <v>46</v>
      </c>
      <c r="D1369" s="14" t="s">
        <v>49</v>
      </c>
      <c r="E1369" s="14" t="s">
        <v>50</v>
      </c>
      <c r="F1369" s="14" t="s">
        <v>59</v>
      </c>
      <c r="G1369" s="14" t="s">
        <v>44</v>
      </c>
      <c r="H1369" s="14" t="s">
        <v>45</v>
      </c>
      <c r="I1369" s="14" t="s">
        <v>46</v>
      </c>
      <c r="J1369" s="14">
        <v>0.33</v>
      </c>
      <c r="K1369" s="15">
        <v>44818</v>
      </c>
      <c r="L1369" s="13" t="str" cm="1">
        <f t="array" ref="L1369">_xlfn.IFS(
  OR(ISBLANK(A1369),ISBLANK(C1369),ISBLANK(J1369)),"Missing Value",
  OR(C1369&lt;18,C1369&gt;120),"Review – Out of Range (Age)",
  J1369&lt;0,"Review – Out of Range (Risk Score)",
  TRUE,"OK"
)</f>
        <v>OK</v>
      </c>
    </row>
    <row r="1370" spans="1:12" ht="16.8" x14ac:dyDescent="0.3">
      <c r="A1370" s="11" t="s">
        <v>2791</v>
      </c>
      <c r="B1370" s="11" t="s">
        <v>2792</v>
      </c>
      <c r="C1370" s="11">
        <v>56</v>
      </c>
      <c r="D1370" s="11" t="s">
        <v>41</v>
      </c>
      <c r="E1370" s="11" t="s">
        <v>58</v>
      </c>
      <c r="F1370" s="11" t="s">
        <v>51</v>
      </c>
      <c r="G1370" s="11" t="s">
        <v>52</v>
      </c>
      <c r="H1370" s="11" t="s">
        <v>46</v>
      </c>
      <c r="I1370" s="11" t="s">
        <v>45</v>
      </c>
      <c r="J1370" s="11">
        <v>0.18</v>
      </c>
      <c r="K1370" s="12">
        <v>43702</v>
      </c>
      <c r="L1370" s="13" t="str" cm="1">
        <f t="array" ref="L1370">_xlfn.IFS(
  OR(ISBLANK(A1370),ISBLANK(C1370),ISBLANK(J1370)),"Missing Value",
  OR(C1370&lt;18,C1370&gt;120),"Review – Out of Range (Age)",
  J1370&lt;0,"Review – Out of Range (Risk Score)",
  TRUE,"OK"
)</f>
        <v>OK</v>
      </c>
    </row>
    <row r="1371" spans="1:12" ht="16.8" x14ac:dyDescent="0.3">
      <c r="A1371" s="14" t="s">
        <v>2793</v>
      </c>
      <c r="B1371" s="14" t="s">
        <v>2794</v>
      </c>
      <c r="C1371" s="14">
        <v>54</v>
      </c>
      <c r="D1371" s="14" t="s">
        <v>41</v>
      </c>
      <c r="E1371" s="14" t="s">
        <v>50</v>
      </c>
      <c r="F1371" s="14" t="s">
        <v>59</v>
      </c>
      <c r="G1371" s="14" t="s">
        <v>109</v>
      </c>
      <c r="H1371" s="14" t="s">
        <v>45</v>
      </c>
      <c r="I1371" s="14" t="s">
        <v>46</v>
      </c>
      <c r="J1371" s="14">
        <v>0.56000000000000005</v>
      </c>
      <c r="K1371" s="15">
        <v>43587</v>
      </c>
      <c r="L1371" s="13" t="str" cm="1">
        <f t="array" ref="L1371">_xlfn.IFS(
  OR(ISBLANK(A1371),ISBLANK(C1371),ISBLANK(J1371)),"Missing Value",
  OR(C1371&lt;18,C1371&gt;120),"Review – Out of Range (Age)",
  J1371&lt;0,"Review – Out of Range (Risk Score)",
  TRUE,"OK"
)</f>
        <v>OK</v>
      </c>
    </row>
    <row r="1372" spans="1:12" ht="16.8" x14ac:dyDescent="0.3">
      <c r="A1372" s="11" t="s">
        <v>2795</v>
      </c>
      <c r="B1372" s="11" t="s">
        <v>2796</v>
      </c>
      <c r="C1372" s="11">
        <v>34</v>
      </c>
      <c r="D1372" s="11" t="s">
        <v>41</v>
      </c>
      <c r="E1372" s="11" t="s">
        <v>42</v>
      </c>
      <c r="F1372" s="11" t="s">
        <v>51</v>
      </c>
      <c r="G1372" s="11" t="s">
        <v>60</v>
      </c>
      <c r="H1372" s="11" t="s">
        <v>46</v>
      </c>
      <c r="I1372" s="11" t="s">
        <v>46</v>
      </c>
      <c r="J1372" s="11">
        <v>0.53</v>
      </c>
      <c r="K1372" s="12">
        <v>43268</v>
      </c>
      <c r="L1372" s="13" t="str" cm="1">
        <f t="array" ref="L1372">_xlfn.IFS(
  OR(ISBLANK(A1372),ISBLANK(C1372),ISBLANK(J1372)),"Missing Value",
  OR(C1372&lt;18,C1372&gt;120),"Review – Out of Range (Age)",
  J1372&lt;0,"Review – Out of Range (Risk Score)",
  TRUE,"OK"
)</f>
        <v>OK</v>
      </c>
    </row>
    <row r="1373" spans="1:12" ht="16.8" x14ac:dyDescent="0.3">
      <c r="A1373" s="14" t="s">
        <v>2797</v>
      </c>
      <c r="B1373" s="14" t="s">
        <v>2798</v>
      </c>
      <c r="C1373" s="14">
        <v>32</v>
      </c>
      <c r="D1373" s="14" t="s">
        <v>41</v>
      </c>
      <c r="E1373" s="14" t="s">
        <v>58</v>
      </c>
      <c r="F1373" s="14" t="s">
        <v>51</v>
      </c>
      <c r="G1373" s="14" t="s">
        <v>94</v>
      </c>
      <c r="H1373" s="14" t="s">
        <v>45</v>
      </c>
      <c r="I1373" s="14" t="s">
        <v>45</v>
      </c>
      <c r="J1373" s="14">
        <v>0.05</v>
      </c>
      <c r="K1373" s="15">
        <v>44321</v>
      </c>
      <c r="L1373" s="13" t="str" cm="1">
        <f t="array" ref="L1373">_xlfn.IFS(
  OR(ISBLANK(A1373),ISBLANK(C1373),ISBLANK(J1373)),"Missing Value",
  OR(C1373&lt;18,C1373&gt;120),"Review – Out of Range (Age)",
  J1373&lt;0,"Review – Out of Range (Risk Score)",
  TRUE,"OK"
)</f>
        <v>OK</v>
      </c>
    </row>
    <row r="1374" spans="1:12" ht="16.8" x14ac:dyDescent="0.3">
      <c r="A1374" s="11" t="s">
        <v>2799</v>
      </c>
      <c r="B1374" s="11" t="s">
        <v>2800</v>
      </c>
      <c r="C1374" s="11">
        <v>26</v>
      </c>
      <c r="D1374" s="11" t="s">
        <v>41</v>
      </c>
      <c r="E1374" s="11" t="s">
        <v>42</v>
      </c>
      <c r="F1374" s="11" t="s">
        <v>51</v>
      </c>
      <c r="G1374" s="11" t="s">
        <v>52</v>
      </c>
      <c r="H1374" s="11" t="s">
        <v>46</v>
      </c>
      <c r="I1374" s="11" t="s">
        <v>46</v>
      </c>
      <c r="J1374" s="11">
        <v>0.04</v>
      </c>
      <c r="K1374" s="12">
        <v>44439</v>
      </c>
      <c r="L1374" s="13" t="str" cm="1">
        <f t="array" ref="L1374">_xlfn.IFS(
  OR(ISBLANK(A1374),ISBLANK(C1374),ISBLANK(J1374)),"Missing Value",
  OR(C1374&lt;18,C1374&gt;120),"Review – Out of Range (Age)",
  J1374&lt;0,"Review – Out of Range (Risk Score)",
  TRUE,"OK"
)</f>
        <v>OK</v>
      </c>
    </row>
    <row r="1375" spans="1:12" ht="16.8" x14ac:dyDescent="0.3">
      <c r="A1375" s="14" t="s">
        <v>2801</v>
      </c>
      <c r="B1375" s="14" t="s">
        <v>2802</v>
      </c>
      <c r="C1375" s="14">
        <v>33</v>
      </c>
      <c r="D1375" s="14" t="s">
        <v>49</v>
      </c>
      <c r="E1375" s="14" t="s">
        <v>58</v>
      </c>
      <c r="F1375" s="14" t="s">
        <v>51</v>
      </c>
      <c r="G1375" s="14" t="s">
        <v>55</v>
      </c>
      <c r="H1375" s="14" t="s">
        <v>46</v>
      </c>
      <c r="I1375" s="14" t="s">
        <v>46</v>
      </c>
      <c r="J1375" s="14">
        <v>0.44</v>
      </c>
      <c r="K1375" s="15">
        <v>44224</v>
      </c>
      <c r="L1375" s="13" t="str" cm="1">
        <f t="array" ref="L1375">_xlfn.IFS(
  OR(ISBLANK(A1375),ISBLANK(C1375),ISBLANK(J1375)),"Missing Value",
  OR(C1375&lt;18,C1375&gt;120),"Review – Out of Range (Age)",
  J1375&lt;0,"Review – Out of Range (Risk Score)",
  TRUE,"OK"
)</f>
        <v>OK</v>
      </c>
    </row>
    <row r="1376" spans="1:12" ht="16.8" x14ac:dyDescent="0.3">
      <c r="A1376" s="11" t="s">
        <v>2803</v>
      </c>
      <c r="B1376" s="11" t="s">
        <v>2804</v>
      </c>
      <c r="C1376" s="11">
        <v>57</v>
      </c>
      <c r="D1376" s="11" t="s">
        <v>41</v>
      </c>
      <c r="E1376" s="11" t="s">
        <v>42</v>
      </c>
      <c r="F1376" s="11" t="s">
        <v>51</v>
      </c>
      <c r="G1376" s="11" t="s">
        <v>94</v>
      </c>
      <c r="H1376" s="11" t="s">
        <v>46</v>
      </c>
      <c r="I1376" s="11" t="s">
        <v>46</v>
      </c>
      <c r="J1376" s="11">
        <v>0.38</v>
      </c>
      <c r="K1376" s="12">
        <v>44510</v>
      </c>
      <c r="L1376" s="13" t="str" cm="1">
        <f t="array" ref="L1376">_xlfn.IFS(
  OR(ISBLANK(A1376),ISBLANK(C1376),ISBLANK(J1376)),"Missing Value",
  OR(C1376&lt;18,C1376&gt;120),"Review – Out of Range (Age)",
  J1376&lt;0,"Review – Out of Range (Risk Score)",
  TRUE,"OK"
)</f>
        <v>OK</v>
      </c>
    </row>
    <row r="1377" spans="1:12" ht="16.8" x14ac:dyDescent="0.3">
      <c r="A1377" s="14" t="s">
        <v>2805</v>
      </c>
      <c r="B1377" s="14" t="s">
        <v>2806</v>
      </c>
      <c r="C1377" s="14">
        <v>42</v>
      </c>
      <c r="D1377" s="14" t="s">
        <v>41</v>
      </c>
      <c r="E1377" s="14" t="s">
        <v>50</v>
      </c>
      <c r="F1377" s="14" t="s">
        <v>43</v>
      </c>
      <c r="G1377" s="14" t="s">
        <v>109</v>
      </c>
      <c r="H1377" s="14" t="s">
        <v>46</v>
      </c>
      <c r="I1377" s="14" t="s">
        <v>46</v>
      </c>
      <c r="J1377" s="14">
        <v>0.22</v>
      </c>
      <c r="K1377" s="15">
        <v>44063</v>
      </c>
      <c r="L1377" s="13" t="str" cm="1">
        <f t="array" ref="L1377">_xlfn.IFS(
  OR(ISBLANK(A1377),ISBLANK(C1377),ISBLANK(J1377)),"Missing Value",
  OR(C1377&lt;18,C1377&gt;120),"Review – Out of Range (Age)",
  J1377&lt;0,"Review – Out of Range (Risk Score)",
  TRUE,"OK"
)</f>
        <v>OK</v>
      </c>
    </row>
    <row r="1378" spans="1:12" ht="16.8" x14ac:dyDescent="0.3">
      <c r="A1378" s="11" t="s">
        <v>2807</v>
      </c>
      <c r="B1378" s="11" t="s">
        <v>2808</v>
      </c>
      <c r="C1378" s="11">
        <v>23</v>
      </c>
      <c r="D1378" s="11" t="s">
        <v>49</v>
      </c>
      <c r="E1378" s="11" t="s">
        <v>58</v>
      </c>
      <c r="F1378" s="11" t="s">
        <v>51</v>
      </c>
      <c r="G1378" s="11" t="s">
        <v>44</v>
      </c>
      <c r="H1378" s="11" t="s">
        <v>45</v>
      </c>
      <c r="I1378" s="11" t="s">
        <v>45</v>
      </c>
      <c r="J1378" s="11">
        <v>0.56000000000000005</v>
      </c>
      <c r="K1378" s="12">
        <v>43628</v>
      </c>
      <c r="L1378" s="13" t="str" cm="1">
        <f t="array" ref="L1378">_xlfn.IFS(
  OR(ISBLANK(A1378),ISBLANK(C1378),ISBLANK(J1378)),"Missing Value",
  OR(C1378&lt;18,C1378&gt;120),"Review – Out of Range (Age)",
  J1378&lt;0,"Review – Out of Range (Risk Score)",
  TRUE,"OK"
)</f>
        <v>OK</v>
      </c>
    </row>
    <row r="1379" spans="1:12" ht="16.8" x14ac:dyDescent="0.3">
      <c r="A1379" s="14" t="s">
        <v>2809</v>
      </c>
      <c r="B1379" s="14" t="s">
        <v>2810</v>
      </c>
      <c r="C1379" s="14">
        <v>65</v>
      </c>
      <c r="D1379" s="14" t="s">
        <v>41</v>
      </c>
      <c r="E1379" s="14" t="s">
        <v>58</v>
      </c>
      <c r="F1379" s="14" t="s">
        <v>65</v>
      </c>
      <c r="G1379" s="14" t="s">
        <v>109</v>
      </c>
      <c r="H1379" s="14" t="s">
        <v>46</v>
      </c>
      <c r="I1379" s="14" t="s">
        <v>45</v>
      </c>
      <c r="J1379" s="14">
        <v>0.49</v>
      </c>
      <c r="K1379" s="15">
        <v>43203</v>
      </c>
      <c r="L1379" s="13" t="str" cm="1">
        <f t="array" ref="L1379">_xlfn.IFS(
  OR(ISBLANK(A1379),ISBLANK(C1379),ISBLANK(J1379)),"Missing Value",
  OR(C1379&lt;18,C1379&gt;120),"Review – Out of Range (Age)",
  J1379&lt;0,"Review – Out of Range (Risk Score)",
  TRUE,"OK"
)</f>
        <v>OK</v>
      </c>
    </row>
    <row r="1380" spans="1:12" ht="16.8" x14ac:dyDescent="0.3">
      <c r="A1380" s="11" t="s">
        <v>2811</v>
      </c>
      <c r="B1380" s="11" t="s">
        <v>2812</v>
      </c>
      <c r="C1380" s="11">
        <v>47</v>
      </c>
      <c r="D1380" s="11" t="s">
        <v>41</v>
      </c>
      <c r="E1380" s="11" t="s">
        <v>42</v>
      </c>
      <c r="F1380" s="11" t="s">
        <v>43</v>
      </c>
      <c r="G1380" s="11" t="s">
        <v>109</v>
      </c>
      <c r="H1380" s="11" t="s">
        <v>46</v>
      </c>
      <c r="I1380" s="11" t="s">
        <v>46</v>
      </c>
      <c r="J1380" s="11">
        <v>0.43</v>
      </c>
      <c r="K1380" s="12">
        <v>43437</v>
      </c>
      <c r="L1380" s="13" t="str" cm="1">
        <f t="array" ref="L1380">_xlfn.IFS(
  OR(ISBLANK(A1380),ISBLANK(C1380),ISBLANK(J1380)),"Missing Value",
  OR(C1380&lt;18,C1380&gt;120),"Review – Out of Range (Age)",
  J1380&lt;0,"Review – Out of Range (Risk Score)",
  TRUE,"OK"
)</f>
        <v>OK</v>
      </c>
    </row>
    <row r="1381" spans="1:12" ht="16.8" x14ac:dyDescent="0.3">
      <c r="A1381" s="14" t="s">
        <v>2813</v>
      </c>
      <c r="B1381" s="14" t="s">
        <v>2814</v>
      </c>
      <c r="C1381" s="14">
        <v>67</v>
      </c>
      <c r="D1381" s="14" t="s">
        <v>49</v>
      </c>
      <c r="E1381" s="14" t="s">
        <v>42</v>
      </c>
      <c r="F1381" s="14" t="s">
        <v>65</v>
      </c>
      <c r="G1381" s="14" t="s">
        <v>60</v>
      </c>
      <c r="H1381" s="14" t="s">
        <v>46</v>
      </c>
      <c r="I1381" s="14" t="s">
        <v>45</v>
      </c>
      <c r="J1381" s="14">
        <v>0.3</v>
      </c>
      <c r="K1381" s="15">
        <v>44003</v>
      </c>
      <c r="L1381" s="13" t="str" cm="1">
        <f t="array" ref="L1381">_xlfn.IFS(
  OR(ISBLANK(A1381),ISBLANK(C1381),ISBLANK(J1381)),"Missing Value",
  OR(C1381&lt;18,C1381&gt;120),"Review – Out of Range (Age)",
  J1381&lt;0,"Review – Out of Range (Risk Score)",
  TRUE,"OK"
)</f>
        <v>OK</v>
      </c>
    </row>
    <row r="1382" spans="1:12" ht="16.8" x14ac:dyDescent="0.3">
      <c r="A1382" s="11" t="s">
        <v>2815</v>
      </c>
      <c r="B1382" s="11" t="s">
        <v>2816</v>
      </c>
      <c r="C1382" s="11">
        <v>52</v>
      </c>
      <c r="D1382" s="11" t="s">
        <v>49</v>
      </c>
      <c r="E1382" s="11" t="s">
        <v>50</v>
      </c>
      <c r="F1382" s="11" t="s">
        <v>43</v>
      </c>
      <c r="G1382" s="11" t="s">
        <v>55</v>
      </c>
      <c r="H1382" s="11" t="s">
        <v>45</v>
      </c>
      <c r="I1382" s="11" t="s">
        <v>45</v>
      </c>
      <c r="J1382" s="11">
        <v>0.54</v>
      </c>
      <c r="K1382" s="12">
        <v>44232</v>
      </c>
      <c r="L1382" s="13" t="str" cm="1">
        <f t="array" ref="L1382">_xlfn.IFS(
  OR(ISBLANK(A1382),ISBLANK(C1382),ISBLANK(J1382)),"Missing Value",
  OR(C1382&lt;18,C1382&gt;120),"Review – Out of Range (Age)",
  J1382&lt;0,"Review – Out of Range (Risk Score)",
  TRUE,"OK"
)</f>
        <v>OK</v>
      </c>
    </row>
    <row r="1383" spans="1:12" ht="16.8" x14ac:dyDescent="0.3">
      <c r="A1383" s="14" t="s">
        <v>2817</v>
      </c>
      <c r="B1383" s="14" t="s">
        <v>2818</v>
      </c>
      <c r="C1383" s="14">
        <v>65</v>
      </c>
      <c r="D1383" s="14" t="s">
        <v>49</v>
      </c>
      <c r="E1383" s="14" t="s">
        <v>58</v>
      </c>
      <c r="F1383" s="14" t="s">
        <v>65</v>
      </c>
      <c r="G1383" s="14" t="s">
        <v>55</v>
      </c>
      <c r="H1383" s="14" t="s">
        <v>45</v>
      </c>
      <c r="I1383" s="14" t="s">
        <v>46</v>
      </c>
      <c r="J1383" s="14">
        <v>0.09</v>
      </c>
      <c r="K1383" s="15">
        <v>43768</v>
      </c>
      <c r="L1383" s="13" t="str" cm="1">
        <f t="array" ref="L1383">_xlfn.IFS(
  OR(ISBLANK(A1383),ISBLANK(C1383),ISBLANK(J1383)),"Missing Value",
  OR(C1383&lt;18,C1383&gt;120),"Review – Out of Range (Age)",
  J1383&lt;0,"Review – Out of Range (Risk Score)",
  TRUE,"OK"
)</f>
        <v>OK</v>
      </c>
    </row>
    <row r="1384" spans="1:12" ht="16.8" x14ac:dyDescent="0.3">
      <c r="A1384" s="11" t="s">
        <v>2819</v>
      </c>
      <c r="B1384" s="11" t="s">
        <v>2820</v>
      </c>
      <c r="C1384" s="11">
        <v>64</v>
      </c>
      <c r="D1384" s="11" t="s">
        <v>41</v>
      </c>
      <c r="E1384" s="11" t="s">
        <v>50</v>
      </c>
      <c r="F1384" s="11" t="s">
        <v>59</v>
      </c>
      <c r="G1384" s="11" t="s">
        <v>52</v>
      </c>
      <c r="H1384" s="11" t="s">
        <v>46</v>
      </c>
      <c r="I1384" s="11" t="s">
        <v>46</v>
      </c>
      <c r="J1384" s="11">
        <v>0.7</v>
      </c>
      <c r="K1384" s="12">
        <v>43107</v>
      </c>
      <c r="L1384" s="13" t="str" cm="1">
        <f t="array" ref="L1384">_xlfn.IFS(
  OR(ISBLANK(A1384),ISBLANK(C1384),ISBLANK(J1384)),"Missing Value",
  OR(C1384&lt;18,C1384&gt;120),"Review – Out of Range (Age)",
  J1384&lt;0,"Review – Out of Range (Risk Score)",
  TRUE,"OK"
)</f>
        <v>OK</v>
      </c>
    </row>
    <row r="1385" spans="1:12" ht="16.8" x14ac:dyDescent="0.3">
      <c r="A1385" s="14" t="s">
        <v>2821</v>
      </c>
      <c r="B1385" s="14" t="s">
        <v>2822</v>
      </c>
      <c r="C1385" s="14">
        <v>62</v>
      </c>
      <c r="D1385" s="14" t="s">
        <v>49</v>
      </c>
      <c r="E1385" s="14" t="s">
        <v>50</v>
      </c>
      <c r="F1385" s="14" t="s">
        <v>51</v>
      </c>
      <c r="G1385" s="14" t="s">
        <v>109</v>
      </c>
      <c r="H1385" s="14" t="s">
        <v>45</v>
      </c>
      <c r="I1385" s="14" t="s">
        <v>46</v>
      </c>
      <c r="J1385" s="14">
        <v>0.53</v>
      </c>
      <c r="K1385" s="15">
        <v>43397</v>
      </c>
      <c r="L1385" s="13" t="str" cm="1">
        <f t="array" ref="L1385">_xlfn.IFS(
  OR(ISBLANK(A1385),ISBLANK(C1385),ISBLANK(J1385)),"Missing Value",
  OR(C1385&lt;18,C1385&gt;120),"Review – Out of Range (Age)",
  J1385&lt;0,"Review – Out of Range (Risk Score)",
  TRUE,"OK"
)</f>
        <v>OK</v>
      </c>
    </row>
    <row r="1386" spans="1:12" ht="16.8" x14ac:dyDescent="0.3">
      <c r="A1386" s="11" t="s">
        <v>2823</v>
      </c>
      <c r="B1386" s="11" t="s">
        <v>2824</v>
      </c>
      <c r="C1386" s="11">
        <v>23</v>
      </c>
      <c r="D1386" s="11" t="s">
        <v>49</v>
      </c>
      <c r="E1386" s="11" t="s">
        <v>50</v>
      </c>
      <c r="F1386" s="11" t="s">
        <v>43</v>
      </c>
      <c r="G1386" s="11" t="s">
        <v>109</v>
      </c>
      <c r="H1386" s="11" t="s">
        <v>46</v>
      </c>
      <c r="I1386" s="11" t="s">
        <v>45</v>
      </c>
      <c r="J1386" s="11">
        <v>0.93</v>
      </c>
      <c r="K1386" s="12">
        <v>43875</v>
      </c>
      <c r="L1386" s="13" t="str" cm="1">
        <f t="array" ref="L1386">_xlfn.IFS(
  OR(ISBLANK(A1386),ISBLANK(C1386),ISBLANK(J1386)),"Missing Value",
  OR(C1386&lt;18,C1386&gt;120),"Review – Out of Range (Age)",
  J1386&lt;0,"Review – Out of Range (Risk Score)",
  TRUE,"OK"
)</f>
        <v>OK</v>
      </c>
    </row>
    <row r="1387" spans="1:12" ht="16.8" x14ac:dyDescent="0.3">
      <c r="A1387" s="14" t="s">
        <v>2825</v>
      </c>
      <c r="B1387" s="14" t="s">
        <v>2826</v>
      </c>
      <c r="C1387" s="14">
        <v>54</v>
      </c>
      <c r="D1387" s="14" t="s">
        <v>49</v>
      </c>
      <c r="E1387" s="14" t="s">
        <v>42</v>
      </c>
      <c r="F1387" s="14" t="s">
        <v>51</v>
      </c>
      <c r="G1387" s="14" t="s">
        <v>55</v>
      </c>
      <c r="H1387" s="14" t="s">
        <v>46</v>
      </c>
      <c r="I1387" s="14" t="s">
        <v>45</v>
      </c>
      <c r="J1387" s="14">
        <v>0.23</v>
      </c>
      <c r="K1387" s="15">
        <v>44429</v>
      </c>
      <c r="L1387" s="13" t="str" cm="1">
        <f t="array" ref="L1387">_xlfn.IFS(
  OR(ISBLANK(A1387),ISBLANK(C1387),ISBLANK(J1387)),"Missing Value",
  OR(C1387&lt;18,C1387&gt;120),"Review – Out of Range (Age)",
  J1387&lt;0,"Review – Out of Range (Risk Score)",
  TRUE,"OK"
)</f>
        <v>OK</v>
      </c>
    </row>
    <row r="1388" spans="1:12" ht="16.8" x14ac:dyDescent="0.3">
      <c r="A1388" s="11" t="s">
        <v>2827</v>
      </c>
      <c r="B1388" s="11" t="s">
        <v>2828</v>
      </c>
      <c r="C1388" s="11">
        <v>21</v>
      </c>
      <c r="D1388" s="11" t="s">
        <v>41</v>
      </c>
      <c r="E1388" s="11" t="s">
        <v>42</v>
      </c>
      <c r="F1388" s="11" t="s">
        <v>43</v>
      </c>
      <c r="G1388" s="11" t="s">
        <v>44</v>
      </c>
      <c r="H1388" s="11" t="s">
        <v>46</v>
      </c>
      <c r="I1388" s="11" t="s">
        <v>46</v>
      </c>
      <c r="J1388" s="11">
        <v>0.54</v>
      </c>
      <c r="K1388" s="12">
        <v>43729</v>
      </c>
      <c r="L1388" s="13" t="str" cm="1">
        <f t="array" ref="L1388">_xlfn.IFS(
  OR(ISBLANK(A1388),ISBLANK(C1388),ISBLANK(J1388)),"Missing Value",
  OR(C1388&lt;18,C1388&gt;120),"Review – Out of Range (Age)",
  J1388&lt;0,"Review – Out of Range (Risk Score)",
  TRUE,"OK"
)</f>
        <v>OK</v>
      </c>
    </row>
    <row r="1389" spans="1:12" ht="16.8" x14ac:dyDescent="0.3">
      <c r="A1389" s="14" t="s">
        <v>2829</v>
      </c>
      <c r="B1389" s="14" t="s">
        <v>2830</v>
      </c>
      <c r="C1389" s="14">
        <v>19</v>
      </c>
      <c r="D1389" s="14" t="s">
        <v>41</v>
      </c>
      <c r="E1389" s="14" t="s">
        <v>58</v>
      </c>
      <c r="F1389" s="14" t="s">
        <v>43</v>
      </c>
      <c r="G1389" s="14" t="s">
        <v>109</v>
      </c>
      <c r="H1389" s="14" t="s">
        <v>45</v>
      </c>
      <c r="I1389" s="14" t="s">
        <v>45</v>
      </c>
      <c r="J1389" s="14">
        <v>0.18</v>
      </c>
      <c r="K1389" s="15">
        <v>43941</v>
      </c>
      <c r="L1389" s="13" t="str" cm="1">
        <f t="array" ref="L1389">_xlfn.IFS(
  OR(ISBLANK(A1389),ISBLANK(C1389),ISBLANK(J1389)),"Missing Value",
  OR(C1389&lt;18,C1389&gt;120),"Review – Out of Range (Age)",
  J1389&lt;0,"Review – Out of Range (Risk Score)",
  TRUE,"OK"
)</f>
        <v>OK</v>
      </c>
    </row>
    <row r="1390" spans="1:12" ht="16.8" x14ac:dyDescent="0.3">
      <c r="A1390" s="11" t="s">
        <v>2831</v>
      </c>
      <c r="B1390" s="11" t="s">
        <v>2832</v>
      </c>
      <c r="C1390" s="11">
        <v>55</v>
      </c>
      <c r="D1390" s="11" t="s">
        <v>41</v>
      </c>
      <c r="E1390" s="11" t="s">
        <v>58</v>
      </c>
      <c r="F1390" s="11" t="s">
        <v>65</v>
      </c>
      <c r="G1390" s="11" t="s">
        <v>109</v>
      </c>
      <c r="H1390" s="11" t="s">
        <v>45</v>
      </c>
      <c r="I1390" s="11" t="s">
        <v>46</v>
      </c>
      <c r="J1390" s="11">
        <v>0.44</v>
      </c>
      <c r="K1390" s="12">
        <v>43874</v>
      </c>
      <c r="L1390" s="13" t="str" cm="1">
        <f t="array" ref="L1390">_xlfn.IFS(
  OR(ISBLANK(A1390),ISBLANK(C1390),ISBLANK(J1390)),"Missing Value",
  OR(C1390&lt;18,C1390&gt;120),"Review – Out of Range (Age)",
  J1390&lt;0,"Review – Out of Range (Risk Score)",
  TRUE,"OK"
)</f>
        <v>OK</v>
      </c>
    </row>
    <row r="1391" spans="1:12" ht="16.8" x14ac:dyDescent="0.3">
      <c r="A1391" s="14" t="s">
        <v>2833</v>
      </c>
      <c r="B1391" s="14" t="s">
        <v>2834</v>
      </c>
      <c r="C1391" s="14">
        <v>53</v>
      </c>
      <c r="D1391" s="14" t="s">
        <v>49</v>
      </c>
      <c r="E1391" s="14" t="s">
        <v>42</v>
      </c>
      <c r="F1391" s="14" t="s">
        <v>65</v>
      </c>
      <c r="G1391" s="14" t="s">
        <v>94</v>
      </c>
      <c r="H1391" s="14" t="s">
        <v>46</v>
      </c>
      <c r="I1391" s="14" t="s">
        <v>45</v>
      </c>
      <c r="J1391" s="14">
        <v>0.54</v>
      </c>
      <c r="K1391" s="15">
        <v>43159</v>
      </c>
      <c r="L1391" s="13" t="str" cm="1">
        <f t="array" ref="L1391">_xlfn.IFS(
  OR(ISBLANK(A1391),ISBLANK(C1391),ISBLANK(J1391)),"Missing Value",
  OR(C1391&lt;18,C1391&gt;120),"Review – Out of Range (Age)",
  J1391&lt;0,"Review – Out of Range (Risk Score)",
  TRUE,"OK"
)</f>
        <v>OK</v>
      </c>
    </row>
    <row r="1392" spans="1:12" ht="16.8" x14ac:dyDescent="0.3">
      <c r="A1392" s="11" t="s">
        <v>2835</v>
      </c>
      <c r="B1392" s="11" t="s">
        <v>2836</v>
      </c>
      <c r="C1392" s="11">
        <v>54</v>
      </c>
      <c r="D1392" s="11" t="s">
        <v>49</v>
      </c>
      <c r="E1392" s="11" t="s">
        <v>42</v>
      </c>
      <c r="F1392" s="11" t="s">
        <v>51</v>
      </c>
      <c r="G1392" s="11" t="s">
        <v>109</v>
      </c>
      <c r="H1392" s="11" t="s">
        <v>46</v>
      </c>
      <c r="I1392" s="11" t="s">
        <v>46</v>
      </c>
      <c r="J1392" s="11">
        <v>0.8</v>
      </c>
      <c r="K1392" s="12">
        <v>44683</v>
      </c>
      <c r="L1392" s="13" t="str" cm="1">
        <f t="array" ref="L1392">_xlfn.IFS(
  OR(ISBLANK(A1392),ISBLANK(C1392),ISBLANK(J1392)),"Missing Value",
  OR(C1392&lt;18,C1392&gt;120),"Review – Out of Range (Age)",
  J1392&lt;0,"Review – Out of Range (Risk Score)",
  TRUE,"OK"
)</f>
        <v>OK</v>
      </c>
    </row>
    <row r="1393" spans="1:12" ht="16.8" x14ac:dyDescent="0.3">
      <c r="A1393" s="14" t="s">
        <v>2837</v>
      </c>
      <c r="B1393" s="14" t="s">
        <v>2838</v>
      </c>
      <c r="C1393" s="14">
        <v>42</v>
      </c>
      <c r="D1393" s="14" t="s">
        <v>41</v>
      </c>
      <c r="E1393" s="14" t="s">
        <v>42</v>
      </c>
      <c r="F1393" s="14" t="s">
        <v>65</v>
      </c>
      <c r="G1393" s="14" t="s">
        <v>94</v>
      </c>
      <c r="H1393" s="14" t="s">
        <v>45</v>
      </c>
      <c r="I1393" s="14" t="s">
        <v>46</v>
      </c>
      <c r="J1393" s="14">
        <v>0.35</v>
      </c>
      <c r="K1393" s="15">
        <v>44404</v>
      </c>
      <c r="L1393" s="13" t="str" cm="1">
        <f t="array" ref="L1393">_xlfn.IFS(
  OR(ISBLANK(A1393),ISBLANK(C1393),ISBLANK(J1393)),"Missing Value",
  OR(C1393&lt;18,C1393&gt;120),"Review – Out of Range (Age)",
  J1393&lt;0,"Review – Out of Range (Risk Score)",
  TRUE,"OK"
)</f>
        <v>OK</v>
      </c>
    </row>
    <row r="1394" spans="1:12" ht="16.8" x14ac:dyDescent="0.3">
      <c r="A1394" s="11" t="s">
        <v>2839</v>
      </c>
      <c r="B1394" s="11" t="s">
        <v>2840</v>
      </c>
      <c r="C1394" s="11">
        <v>68</v>
      </c>
      <c r="D1394" s="11" t="s">
        <v>49</v>
      </c>
      <c r="E1394" s="11" t="s">
        <v>42</v>
      </c>
      <c r="F1394" s="11" t="s">
        <v>43</v>
      </c>
      <c r="G1394" s="11" t="s">
        <v>60</v>
      </c>
      <c r="H1394" s="11" t="s">
        <v>45</v>
      </c>
      <c r="I1394" s="11" t="s">
        <v>45</v>
      </c>
      <c r="J1394" s="11">
        <v>0.55000000000000004</v>
      </c>
      <c r="K1394" s="12">
        <v>44867</v>
      </c>
      <c r="L1394" s="13" t="str" cm="1">
        <f t="array" ref="L1394">_xlfn.IFS(
  OR(ISBLANK(A1394),ISBLANK(C1394),ISBLANK(J1394)),"Missing Value",
  OR(C1394&lt;18,C1394&gt;120),"Review – Out of Range (Age)",
  J1394&lt;0,"Review – Out of Range (Risk Score)",
  TRUE,"OK"
)</f>
        <v>OK</v>
      </c>
    </row>
    <row r="1395" spans="1:12" ht="16.8" x14ac:dyDescent="0.3">
      <c r="A1395" s="14" t="s">
        <v>2841</v>
      </c>
      <c r="B1395" s="14" t="s">
        <v>2842</v>
      </c>
      <c r="C1395" s="14">
        <v>52</v>
      </c>
      <c r="D1395" s="14" t="s">
        <v>41</v>
      </c>
      <c r="E1395" s="14" t="s">
        <v>58</v>
      </c>
      <c r="F1395" s="14" t="s">
        <v>65</v>
      </c>
      <c r="G1395" s="14" t="s">
        <v>55</v>
      </c>
      <c r="H1395" s="14" t="s">
        <v>46</v>
      </c>
      <c r="I1395" s="14" t="s">
        <v>45</v>
      </c>
      <c r="J1395" s="14">
        <v>0.98</v>
      </c>
      <c r="K1395" s="15">
        <v>43351</v>
      </c>
      <c r="L1395" s="13" t="str" cm="1">
        <f t="array" ref="L1395">_xlfn.IFS(
  OR(ISBLANK(A1395),ISBLANK(C1395),ISBLANK(J1395)),"Missing Value",
  OR(C1395&lt;18,C1395&gt;120),"Review – Out of Range (Age)",
  J1395&lt;0,"Review – Out of Range (Risk Score)",
  TRUE,"OK"
)</f>
        <v>OK</v>
      </c>
    </row>
    <row r="1396" spans="1:12" ht="16.8" x14ac:dyDescent="0.3">
      <c r="A1396" s="11" t="s">
        <v>2843</v>
      </c>
      <c r="B1396" s="11" t="s">
        <v>2844</v>
      </c>
      <c r="C1396" s="11">
        <v>39</v>
      </c>
      <c r="D1396" s="11" t="s">
        <v>41</v>
      </c>
      <c r="E1396" s="11" t="s">
        <v>42</v>
      </c>
      <c r="F1396" s="11" t="s">
        <v>59</v>
      </c>
      <c r="G1396" s="11" t="s">
        <v>94</v>
      </c>
      <c r="H1396" s="11" t="s">
        <v>46</v>
      </c>
      <c r="I1396" s="11" t="s">
        <v>46</v>
      </c>
      <c r="J1396" s="11">
        <v>0.56999999999999995</v>
      </c>
      <c r="K1396" s="12">
        <v>44466</v>
      </c>
      <c r="L1396" s="13" t="str" cm="1">
        <f t="array" ref="L1396">_xlfn.IFS(
  OR(ISBLANK(A1396),ISBLANK(C1396),ISBLANK(J1396)),"Missing Value",
  OR(C1396&lt;18,C1396&gt;120),"Review – Out of Range (Age)",
  J1396&lt;0,"Review – Out of Range (Risk Score)",
  TRUE,"OK"
)</f>
        <v>OK</v>
      </c>
    </row>
    <row r="1397" spans="1:12" ht="16.8" x14ac:dyDescent="0.3">
      <c r="A1397" s="14" t="s">
        <v>2845</v>
      </c>
      <c r="B1397" s="14" t="s">
        <v>2846</v>
      </c>
      <c r="C1397" s="14">
        <v>57</v>
      </c>
      <c r="D1397" s="14" t="s">
        <v>41</v>
      </c>
      <c r="E1397" s="14" t="s">
        <v>50</v>
      </c>
      <c r="F1397" s="14" t="s">
        <v>65</v>
      </c>
      <c r="G1397" s="14" t="s">
        <v>55</v>
      </c>
      <c r="H1397" s="14" t="s">
        <v>45</v>
      </c>
      <c r="I1397" s="14" t="s">
        <v>45</v>
      </c>
      <c r="J1397" s="14">
        <v>0.26</v>
      </c>
      <c r="K1397" s="15">
        <v>43549</v>
      </c>
      <c r="L1397" s="13" t="str" cm="1">
        <f t="array" ref="L1397">_xlfn.IFS(
  OR(ISBLANK(A1397),ISBLANK(C1397),ISBLANK(J1397)),"Missing Value",
  OR(C1397&lt;18,C1397&gt;120),"Review – Out of Range (Age)",
  J1397&lt;0,"Review – Out of Range (Risk Score)",
  TRUE,"OK"
)</f>
        <v>OK</v>
      </c>
    </row>
    <row r="1398" spans="1:12" ht="16.8" x14ac:dyDescent="0.3">
      <c r="A1398" s="11" t="s">
        <v>2847</v>
      </c>
      <c r="B1398" s="11" t="s">
        <v>2848</v>
      </c>
      <c r="C1398" s="11">
        <v>56</v>
      </c>
      <c r="D1398" s="11" t="s">
        <v>41</v>
      </c>
      <c r="E1398" s="11" t="s">
        <v>42</v>
      </c>
      <c r="F1398" s="11" t="s">
        <v>65</v>
      </c>
      <c r="G1398" s="11" t="s">
        <v>109</v>
      </c>
      <c r="H1398" s="11" t="s">
        <v>46</v>
      </c>
      <c r="I1398" s="11" t="s">
        <v>46</v>
      </c>
      <c r="J1398" s="11">
        <v>0.78</v>
      </c>
      <c r="K1398" s="12">
        <v>44127</v>
      </c>
      <c r="L1398" s="13" t="str" cm="1">
        <f t="array" ref="L1398">_xlfn.IFS(
  OR(ISBLANK(A1398),ISBLANK(C1398),ISBLANK(J1398)),"Missing Value",
  OR(C1398&lt;18,C1398&gt;120),"Review – Out of Range (Age)",
  J1398&lt;0,"Review – Out of Range (Risk Score)",
  TRUE,"OK"
)</f>
        <v>OK</v>
      </c>
    </row>
    <row r="1399" spans="1:12" ht="16.8" x14ac:dyDescent="0.3">
      <c r="A1399" s="14" t="s">
        <v>2849</v>
      </c>
      <c r="B1399" s="14" t="s">
        <v>2850</v>
      </c>
      <c r="C1399" s="14">
        <v>53</v>
      </c>
      <c r="D1399" s="14" t="s">
        <v>41</v>
      </c>
      <c r="E1399" s="14" t="s">
        <v>50</v>
      </c>
      <c r="F1399" s="14" t="s">
        <v>51</v>
      </c>
      <c r="G1399" s="14" t="s">
        <v>55</v>
      </c>
      <c r="H1399" s="14" t="s">
        <v>46</v>
      </c>
      <c r="I1399" s="14" t="s">
        <v>46</v>
      </c>
      <c r="J1399" s="14">
        <v>0.42</v>
      </c>
      <c r="K1399" s="15">
        <v>43775</v>
      </c>
      <c r="L1399" s="13" t="str" cm="1">
        <f t="array" ref="L1399">_xlfn.IFS(
  OR(ISBLANK(A1399),ISBLANK(C1399),ISBLANK(J1399)),"Missing Value",
  OR(C1399&lt;18,C1399&gt;120),"Review – Out of Range (Age)",
  J1399&lt;0,"Review – Out of Range (Risk Score)",
  TRUE,"OK"
)</f>
        <v>OK</v>
      </c>
    </row>
    <row r="1400" spans="1:12" ht="16.8" x14ac:dyDescent="0.3">
      <c r="A1400" s="11" t="s">
        <v>2851</v>
      </c>
      <c r="B1400" s="11" t="s">
        <v>2852</v>
      </c>
      <c r="C1400" s="11">
        <v>54</v>
      </c>
      <c r="D1400" s="11" t="s">
        <v>41</v>
      </c>
      <c r="E1400" s="11" t="s">
        <v>42</v>
      </c>
      <c r="F1400" s="11" t="s">
        <v>51</v>
      </c>
      <c r="G1400" s="11" t="s">
        <v>55</v>
      </c>
      <c r="H1400" s="11" t="s">
        <v>45</v>
      </c>
      <c r="I1400" s="11" t="s">
        <v>45</v>
      </c>
      <c r="J1400" s="11">
        <v>0.36</v>
      </c>
      <c r="K1400" s="12">
        <v>44663</v>
      </c>
      <c r="L1400" s="13" t="str" cm="1">
        <f t="array" ref="L1400">_xlfn.IFS(
  OR(ISBLANK(A1400),ISBLANK(C1400),ISBLANK(J1400)),"Missing Value",
  OR(C1400&lt;18,C1400&gt;120),"Review – Out of Range (Age)",
  J1400&lt;0,"Review – Out of Range (Risk Score)",
  TRUE,"OK"
)</f>
        <v>OK</v>
      </c>
    </row>
    <row r="1401" spans="1:12" ht="16.8" x14ac:dyDescent="0.3">
      <c r="A1401" s="14" t="s">
        <v>2853</v>
      </c>
      <c r="B1401" s="14" t="s">
        <v>2854</v>
      </c>
      <c r="C1401" s="14">
        <v>40</v>
      </c>
      <c r="D1401" s="14" t="s">
        <v>49</v>
      </c>
      <c r="E1401" s="14" t="s">
        <v>58</v>
      </c>
      <c r="F1401" s="14" t="s">
        <v>43</v>
      </c>
      <c r="G1401" s="14" t="s">
        <v>94</v>
      </c>
      <c r="H1401" s="14" t="s">
        <v>45</v>
      </c>
      <c r="I1401" s="14" t="s">
        <v>46</v>
      </c>
      <c r="J1401" s="14">
        <v>0.52</v>
      </c>
      <c r="K1401" s="15">
        <v>43865</v>
      </c>
      <c r="L1401" s="13" t="str" cm="1">
        <f t="array" ref="L1401">_xlfn.IFS(
  OR(ISBLANK(A1401),ISBLANK(C1401),ISBLANK(J1401)),"Missing Value",
  OR(C1401&lt;18,C1401&gt;120),"Review – Out of Range (Age)",
  J1401&lt;0,"Review – Out of Range (Risk Score)",
  TRUE,"OK"
)</f>
        <v>OK</v>
      </c>
    </row>
    <row r="1402" spans="1:12" ht="16.8" x14ac:dyDescent="0.3">
      <c r="A1402" s="11" t="s">
        <v>2855</v>
      </c>
      <c r="B1402" s="11" t="s">
        <v>2856</v>
      </c>
      <c r="C1402" s="11">
        <v>25</v>
      </c>
      <c r="D1402" s="11" t="s">
        <v>41</v>
      </c>
      <c r="E1402" s="11" t="s">
        <v>50</v>
      </c>
      <c r="F1402" s="11" t="s">
        <v>59</v>
      </c>
      <c r="G1402" s="11" t="s">
        <v>44</v>
      </c>
      <c r="H1402" s="11" t="s">
        <v>45</v>
      </c>
      <c r="I1402" s="11" t="s">
        <v>46</v>
      </c>
      <c r="J1402" s="11">
        <v>0.35</v>
      </c>
      <c r="K1402" s="12">
        <v>44302</v>
      </c>
      <c r="L1402" s="13" t="str" cm="1">
        <f t="array" ref="L1402">_xlfn.IFS(
  OR(ISBLANK(A1402),ISBLANK(C1402),ISBLANK(J1402)),"Missing Value",
  OR(C1402&lt;18,C1402&gt;120),"Review – Out of Range (Age)",
  J1402&lt;0,"Review – Out of Range (Risk Score)",
  TRUE,"OK"
)</f>
        <v>OK</v>
      </c>
    </row>
    <row r="1403" spans="1:12" ht="16.8" x14ac:dyDescent="0.3">
      <c r="A1403" s="14" t="s">
        <v>2857</v>
      </c>
      <c r="B1403" s="14" t="s">
        <v>2858</v>
      </c>
      <c r="C1403" s="14">
        <v>50</v>
      </c>
      <c r="D1403" s="14" t="s">
        <v>49</v>
      </c>
      <c r="E1403" s="14" t="s">
        <v>42</v>
      </c>
      <c r="F1403" s="14" t="s">
        <v>43</v>
      </c>
      <c r="G1403" s="14" t="s">
        <v>52</v>
      </c>
      <c r="H1403" s="14" t="s">
        <v>46</v>
      </c>
      <c r="I1403" s="14" t="s">
        <v>45</v>
      </c>
      <c r="J1403" s="14">
        <v>0.37</v>
      </c>
      <c r="K1403" s="15">
        <v>43676</v>
      </c>
      <c r="L1403" s="13" t="str" cm="1">
        <f t="array" ref="L1403">_xlfn.IFS(
  OR(ISBLANK(A1403),ISBLANK(C1403),ISBLANK(J1403)),"Missing Value",
  OR(C1403&lt;18,C1403&gt;120),"Review – Out of Range (Age)",
  J1403&lt;0,"Review – Out of Range (Risk Score)",
  TRUE,"OK"
)</f>
        <v>OK</v>
      </c>
    </row>
    <row r="1404" spans="1:12" ht="16.8" x14ac:dyDescent="0.3">
      <c r="A1404" s="11" t="s">
        <v>2859</v>
      </c>
      <c r="B1404" s="11" t="s">
        <v>2860</v>
      </c>
      <c r="C1404" s="11">
        <v>30</v>
      </c>
      <c r="D1404" s="11" t="s">
        <v>41</v>
      </c>
      <c r="E1404" s="11" t="s">
        <v>42</v>
      </c>
      <c r="F1404" s="11" t="s">
        <v>43</v>
      </c>
      <c r="G1404" s="11" t="s">
        <v>60</v>
      </c>
      <c r="H1404" s="11" t="s">
        <v>46</v>
      </c>
      <c r="I1404" s="11" t="s">
        <v>45</v>
      </c>
      <c r="J1404" s="11">
        <v>0.57999999999999996</v>
      </c>
      <c r="K1404" s="12">
        <v>43680</v>
      </c>
      <c r="L1404" s="13" t="str" cm="1">
        <f t="array" ref="L1404">_xlfn.IFS(
  OR(ISBLANK(A1404),ISBLANK(C1404),ISBLANK(J1404)),"Missing Value",
  OR(C1404&lt;18,C1404&gt;120),"Review – Out of Range (Age)",
  J1404&lt;0,"Review – Out of Range (Risk Score)",
  TRUE,"OK"
)</f>
        <v>OK</v>
      </c>
    </row>
    <row r="1405" spans="1:12" ht="16.8" x14ac:dyDescent="0.3">
      <c r="A1405" s="14" t="s">
        <v>2861</v>
      </c>
      <c r="B1405" s="14" t="s">
        <v>2862</v>
      </c>
      <c r="C1405" s="14">
        <v>60</v>
      </c>
      <c r="D1405" s="14" t="s">
        <v>49</v>
      </c>
      <c r="E1405" s="14" t="s">
        <v>50</v>
      </c>
      <c r="F1405" s="14" t="s">
        <v>43</v>
      </c>
      <c r="G1405" s="14" t="s">
        <v>94</v>
      </c>
      <c r="H1405" s="14" t="s">
        <v>46</v>
      </c>
      <c r="I1405" s="14" t="s">
        <v>46</v>
      </c>
      <c r="J1405" s="14">
        <v>0.65</v>
      </c>
      <c r="K1405" s="15">
        <v>43764</v>
      </c>
      <c r="L1405" s="13" t="str" cm="1">
        <f t="array" ref="L1405">_xlfn.IFS(
  OR(ISBLANK(A1405),ISBLANK(C1405),ISBLANK(J1405)),"Missing Value",
  OR(C1405&lt;18,C1405&gt;120),"Review – Out of Range (Age)",
  J1405&lt;0,"Review – Out of Range (Risk Score)",
  TRUE,"OK"
)</f>
        <v>OK</v>
      </c>
    </row>
    <row r="1406" spans="1:12" ht="16.8" x14ac:dyDescent="0.3">
      <c r="A1406" s="11" t="s">
        <v>2863</v>
      </c>
      <c r="B1406" s="11" t="s">
        <v>2864</v>
      </c>
      <c r="C1406" s="11">
        <v>28</v>
      </c>
      <c r="D1406" s="11" t="s">
        <v>41</v>
      </c>
      <c r="E1406" s="11" t="s">
        <v>42</v>
      </c>
      <c r="F1406" s="11" t="s">
        <v>51</v>
      </c>
      <c r="G1406" s="11" t="s">
        <v>94</v>
      </c>
      <c r="H1406" s="11" t="s">
        <v>45</v>
      </c>
      <c r="I1406" s="11" t="s">
        <v>46</v>
      </c>
      <c r="J1406" s="11">
        <v>0.52</v>
      </c>
      <c r="K1406" s="12">
        <v>44673</v>
      </c>
      <c r="L1406" s="13" t="str" cm="1">
        <f t="array" ref="L1406">_xlfn.IFS(
  OR(ISBLANK(A1406),ISBLANK(C1406),ISBLANK(J1406)),"Missing Value",
  OR(C1406&lt;18,C1406&gt;120),"Review – Out of Range (Age)",
  J1406&lt;0,"Review – Out of Range (Risk Score)",
  TRUE,"OK"
)</f>
        <v>OK</v>
      </c>
    </row>
    <row r="1407" spans="1:12" ht="16.8" x14ac:dyDescent="0.3">
      <c r="A1407" s="14" t="s">
        <v>2865</v>
      </c>
      <c r="B1407" s="14" t="s">
        <v>2866</v>
      </c>
      <c r="C1407" s="14">
        <v>39</v>
      </c>
      <c r="D1407" s="14" t="s">
        <v>49</v>
      </c>
      <c r="E1407" s="14" t="s">
        <v>42</v>
      </c>
      <c r="F1407" s="14" t="s">
        <v>59</v>
      </c>
      <c r="G1407" s="14" t="s">
        <v>94</v>
      </c>
      <c r="H1407" s="14" t="s">
        <v>45</v>
      </c>
      <c r="I1407" s="14" t="s">
        <v>46</v>
      </c>
      <c r="J1407" s="14">
        <v>0.8</v>
      </c>
      <c r="K1407" s="15">
        <v>43235</v>
      </c>
      <c r="L1407" s="13" t="str" cm="1">
        <f t="array" ref="L1407">_xlfn.IFS(
  OR(ISBLANK(A1407),ISBLANK(C1407),ISBLANK(J1407)),"Missing Value",
  OR(C1407&lt;18,C1407&gt;120),"Review – Out of Range (Age)",
  J1407&lt;0,"Review – Out of Range (Risk Score)",
  TRUE,"OK"
)</f>
        <v>OK</v>
      </c>
    </row>
    <row r="1408" spans="1:12" ht="16.8" x14ac:dyDescent="0.3">
      <c r="A1408" s="11" t="s">
        <v>2867</v>
      </c>
      <c r="B1408" s="11" t="s">
        <v>2868</v>
      </c>
      <c r="C1408" s="11">
        <v>40</v>
      </c>
      <c r="D1408" s="11" t="s">
        <v>49</v>
      </c>
      <c r="E1408" s="11" t="s">
        <v>50</v>
      </c>
      <c r="F1408" s="11" t="s">
        <v>65</v>
      </c>
      <c r="G1408" s="11" t="s">
        <v>44</v>
      </c>
      <c r="H1408" s="11" t="s">
        <v>46</v>
      </c>
      <c r="I1408" s="11" t="s">
        <v>46</v>
      </c>
      <c r="J1408" s="11">
        <v>0.73</v>
      </c>
      <c r="K1408" s="12">
        <v>43538</v>
      </c>
      <c r="L1408" s="13" t="str" cm="1">
        <f t="array" ref="L1408">_xlfn.IFS(
  OR(ISBLANK(A1408),ISBLANK(C1408),ISBLANK(J1408)),"Missing Value",
  OR(C1408&lt;18,C1408&gt;120),"Review – Out of Range (Age)",
  J1408&lt;0,"Review – Out of Range (Risk Score)",
  TRUE,"OK"
)</f>
        <v>OK</v>
      </c>
    </row>
    <row r="1409" spans="1:12" ht="16.8" x14ac:dyDescent="0.3">
      <c r="A1409" s="14" t="s">
        <v>2869</v>
      </c>
      <c r="B1409" s="14" t="s">
        <v>2870</v>
      </c>
      <c r="C1409" s="14">
        <v>26</v>
      </c>
      <c r="D1409" s="14" t="s">
        <v>49</v>
      </c>
      <c r="E1409" s="14" t="s">
        <v>58</v>
      </c>
      <c r="F1409" s="14" t="s">
        <v>43</v>
      </c>
      <c r="G1409" s="14" t="s">
        <v>60</v>
      </c>
      <c r="H1409" s="14" t="s">
        <v>45</v>
      </c>
      <c r="I1409" s="14" t="s">
        <v>46</v>
      </c>
      <c r="J1409" s="14">
        <v>0.27</v>
      </c>
      <c r="K1409" s="15">
        <v>43349</v>
      </c>
      <c r="L1409" s="13" t="str" cm="1">
        <f t="array" ref="L1409">_xlfn.IFS(
  OR(ISBLANK(A1409),ISBLANK(C1409),ISBLANK(J1409)),"Missing Value",
  OR(C1409&lt;18,C1409&gt;120),"Review – Out of Range (Age)",
  J1409&lt;0,"Review – Out of Range (Risk Score)",
  TRUE,"OK"
)</f>
        <v>OK</v>
      </c>
    </row>
    <row r="1410" spans="1:12" ht="16.8" x14ac:dyDescent="0.3">
      <c r="A1410" s="11" t="s">
        <v>2871</v>
      </c>
      <c r="B1410" s="11" t="s">
        <v>2872</v>
      </c>
      <c r="C1410" s="11">
        <v>66</v>
      </c>
      <c r="D1410" s="11" t="s">
        <v>41</v>
      </c>
      <c r="E1410" s="11" t="s">
        <v>42</v>
      </c>
      <c r="F1410" s="11" t="s">
        <v>59</v>
      </c>
      <c r="G1410" s="11" t="s">
        <v>52</v>
      </c>
      <c r="H1410" s="11" t="s">
        <v>46</v>
      </c>
      <c r="I1410" s="11" t="s">
        <v>46</v>
      </c>
      <c r="J1410" s="11">
        <v>0.76</v>
      </c>
      <c r="K1410" s="12">
        <v>43165</v>
      </c>
      <c r="L1410" s="13" t="str" cm="1">
        <f t="array" ref="L1410">_xlfn.IFS(
  OR(ISBLANK(A1410),ISBLANK(C1410),ISBLANK(J1410)),"Missing Value",
  OR(C1410&lt;18,C1410&gt;120),"Review – Out of Range (Age)",
  J1410&lt;0,"Review – Out of Range (Risk Score)",
  TRUE,"OK"
)</f>
        <v>OK</v>
      </c>
    </row>
    <row r="1411" spans="1:12" ht="16.8" x14ac:dyDescent="0.3">
      <c r="A1411" s="14" t="s">
        <v>2873</v>
      </c>
      <c r="B1411" s="14" t="s">
        <v>2874</v>
      </c>
      <c r="C1411" s="14">
        <v>49</v>
      </c>
      <c r="D1411" s="14" t="s">
        <v>41</v>
      </c>
      <c r="E1411" s="14" t="s">
        <v>42</v>
      </c>
      <c r="F1411" s="14" t="s">
        <v>51</v>
      </c>
      <c r="G1411" s="14" t="s">
        <v>60</v>
      </c>
      <c r="H1411" s="14" t="s">
        <v>46</v>
      </c>
      <c r="I1411" s="14" t="s">
        <v>45</v>
      </c>
      <c r="J1411" s="14">
        <v>0.54</v>
      </c>
      <c r="K1411" s="15">
        <v>44838</v>
      </c>
      <c r="L1411" s="13" t="str" cm="1">
        <f t="array" ref="L1411">_xlfn.IFS(
  OR(ISBLANK(A1411),ISBLANK(C1411),ISBLANK(J1411)),"Missing Value",
  OR(C1411&lt;18,C1411&gt;120),"Review – Out of Range (Age)",
  J1411&lt;0,"Review – Out of Range (Risk Score)",
  TRUE,"OK"
)</f>
        <v>OK</v>
      </c>
    </row>
    <row r="1412" spans="1:12" ht="16.8" x14ac:dyDescent="0.3">
      <c r="A1412" s="11" t="s">
        <v>2875</v>
      </c>
      <c r="B1412" s="11" t="s">
        <v>2876</v>
      </c>
      <c r="C1412" s="11">
        <v>40</v>
      </c>
      <c r="D1412" s="11" t="s">
        <v>49</v>
      </c>
      <c r="E1412" s="11" t="s">
        <v>50</v>
      </c>
      <c r="F1412" s="11" t="s">
        <v>51</v>
      </c>
      <c r="G1412" s="11" t="s">
        <v>52</v>
      </c>
      <c r="H1412" s="11" t="s">
        <v>45</v>
      </c>
      <c r="I1412" s="11" t="s">
        <v>46</v>
      </c>
      <c r="J1412" s="11">
        <v>0.63</v>
      </c>
      <c r="K1412" s="12">
        <v>43646</v>
      </c>
      <c r="L1412" s="13" t="str" cm="1">
        <f t="array" ref="L1412">_xlfn.IFS(
  OR(ISBLANK(A1412),ISBLANK(C1412),ISBLANK(J1412)),"Missing Value",
  OR(C1412&lt;18,C1412&gt;120),"Review – Out of Range (Age)",
  J1412&lt;0,"Review – Out of Range (Risk Score)",
  TRUE,"OK"
)</f>
        <v>OK</v>
      </c>
    </row>
    <row r="1413" spans="1:12" ht="16.8" x14ac:dyDescent="0.3">
      <c r="A1413" s="14" t="s">
        <v>2877</v>
      </c>
      <c r="B1413" s="14" t="s">
        <v>2878</v>
      </c>
      <c r="C1413" s="14">
        <v>46</v>
      </c>
      <c r="D1413" s="14" t="s">
        <v>49</v>
      </c>
      <c r="E1413" s="14" t="s">
        <v>58</v>
      </c>
      <c r="F1413" s="14" t="s">
        <v>51</v>
      </c>
      <c r="G1413" s="14" t="s">
        <v>94</v>
      </c>
      <c r="H1413" s="14" t="s">
        <v>46</v>
      </c>
      <c r="I1413" s="14" t="s">
        <v>45</v>
      </c>
      <c r="J1413" s="14">
        <v>0.66</v>
      </c>
      <c r="K1413" s="15">
        <v>43318</v>
      </c>
      <c r="L1413" s="13" t="str" cm="1">
        <f t="array" ref="L1413">_xlfn.IFS(
  OR(ISBLANK(A1413),ISBLANK(C1413),ISBLANK(J1413)),"Missing Value",
  OR(C1413&lt;18,C1413&gt;120),"Review – Out of Range (Age)",
  J1413&lt;0,"Review – Out of Range (Risk Score)",
  TRUE,"OK"
)</f>
        <v>OK</v>
      </c>
    </row>
    <row r="1414" spans="1:12" ht="16.8" x14ac:dyDescent="0.3">
      <c r="A1414" s="11" t="s">
        <v>2879</v>
      </c>
      <c r="B1414" s="11" t="s">
        <v>2880</v>
      </c>
      <c r="C1414" s="11">
        <v>44</v>
      </c>
      <c r="D1414" s="11" t="s">
        <v>49</v>
      </c>
      <c r="E1414" s="11" t="s">
        <v>50</v>
      </c>
      <c r="F1414" s="11" t="s">
        <v>43</v>
      </c>
      <c r="G1414" s="11" t="s">
        <v>44</v>
      </c>
      <c r="H1414" s="11" t="s">
        <v>45</v>
      </c>
      <c r="I1414" s="11" t="s">
        <v>45</v>
      </c>
      <c r="J1414" s="11">
        <v>0.57999999999999996</v>
      </c>
      <c r="K1414" s="12">
        <v>43853</v>
      </c>
      <c r="L1414" s="13" t="str" cm="1">
        <f t="array" ref="L1414">_xlfn.IFS(
  OR(ISBLANK(A1414),ISBLANK(C1414),ISBLANK(J1414)),"Missing Value",
  OR(C1414&lt;18,C1414&gt;120),"Review – Out of Range (Age)",
  J1414&lt;0,"Review – Out of Range (Risk Score)",
  TRUE,"OK"
)</f>
        <v>OK</v>
      </c>
    </row>
    <row r="1415" spans="1:12" ht="16.8" x14ac:dyDescent="0.3">
      <c r="A1415" s="14" t="s">
        <v>2881</v>
      </c>
      <c r="B1415" s="14" t="s">
        <v>2882</v>
      </c>
      <c r="C1415" s="14">
        <v>69</v>
      </c>
      <c r="D1415" s="14" t="s">
        <v>41</v>
      </c>
      <c r="E1415" s="14" t="s">
        <v>58</v>
      </c>
      <c r="F1415" s="14" t="s">
        <v>51</v>
      </c>
      <c r="G1415" s="14" t="s">
        <v>44</v>
      </c>
      <c r="H1415" s="14" t="s">
        <v>45</v>
      </c>
      <c r="I1415" s="14" t="s">
        <v>45</v>
      </c>
      <c r="J1415" s="14">
        <v>0.5</v>
      </c>
      <c r="K1415" s="15">
        <v>44658</v>
      </c>
      <c r="L1415" s="13" t="str" cm="1">
        <f t="array" ref="L1415">_xlfn.IFS(
  OR(ISBLANK(A1415),ISBLANK(C1415),ISBLANK(J1415)),"Missing Value",
  OR(C1415&lt;18,C1415&gt;120),"Review – Out of Range (Age)",
  J1415&lt;0,"Review – Out of Range (Risk Score)",
  TRUE,"OK"
)</f>
        <v>OK</v>
      </c>
    </row>
    <row r="1416" spans="1:12" ht="16.8" x14ac:dyDescent="0.3">
      <c r="A1416" s="11" t="s">
        <v>2883</v>
      </c>
      <c r="B1416" s="11" t="s">
        <v>2884</v>
      </c>
      <c r="C1416" s="11">
        <v>67</v>
      </c>
      <c r="D1416" s="11" t="s">
        <v>49</v>
      </c>
      <c r="E1416" s="11" t="s">
        <v>42</v>
      </c>
      <c r="F1416" s="11" t="s">
        <v>43</v>
      </c>
      <c r="G1416" s="11" t="s">
        <v>94</v>
      </c>
      <c r="H1416" s="11" t="s">
        <v>45</v>
      </c>
      <c r="I1416" s="11" t="s">
        <v>46</v>
      </c>
      <c r="J1416" s="11">
        <v>0.44</v>
      </c>
      <c r="K1416" s="12">
        <v>43992</v>
      </c>
      <c r="L1416" s="13" t="str" cm="1">
        <f t="array" ref="L1416">_xlfn.IFS(
  OR(ISBLANK(A1416),ISBLANK(C1416),ISBLANK(J1416)),"Missing Value",
  OR(C1416&lt;18,C1416&gt;120),"Review – Out of Range (Age)",
  J1416&lt;0,"Review – Out of Range (Risk Score)",
  TRUE,"OK"
)</f>
        <v>OK</v>
      </c>
    </row>
    <row r="1417" spans="1:12" ht="16.8" x14ac:dyDescent="0.3">
      <c r="A1417" s="14" t="s">
        <v>2885</v>
      </c>
      <c r="B1417" s="14" t="s">
        <v>2886</v>
      </c>
      <c r="C1417" s="14">
        <v>32</v>
      </c>
      <c r="D1417" s="14" t="s">
        <v>49</v>
      </c>
      <c r="E1417" s="14" t="s">
        <v>50</v>
      </c>
      <c r="F1417" s="14" t="s">
        <v>51</v>
      </c>
      <c r="G1417" s="14" t="s">
        <v>55</v>
      </c>
      <c r="H1417" s="14" t="s">
        <v>45</v>
      </c>
      <c r="I1417" s="14" t="s">
        <v>46</v>
      </c>
      <c r="J1417" s="14">
        <v>0.65</v>
      </c>
      <c r="K1417" s="15">
        <v>43535</v>
      </c>
      <c r="L1417" s="13" t="str" cm="1">
        <f t="array" ref="L1417">_xlfn.IFS(
  OR(ISBLANK(A1417),ISBLANK(C1417),ISBLANK(J1417)),"Missing Value",
  OR(C1417&lt;18,C1417&gt;120),"Review – Out of Range (Age)",
  J1417&lt;0,"Review – Out of Range (Risk Score)",
  TRUE,"OK"
)</f>
        <v>OK</v>
      </c>
    </row>
    <row r="1418" spans="1:12" ht="16.8" x14ac:dyDescent="0.3">
      <c r="A1418" s="11" t="s">
        <v>2887</v>
      </c>
      <c r="B1418" s="11" t="s">
        <v>2888</v>
      </c>
      <c r="C1418" s="11">
        <v>67</v>
      </c>
      <c r="D1418" s="11" t="s">
        <v>41</v>
      </c>
      <c r="E1418" s="11" t="s">
        <v>42</v>
      </c>
      <c r="F1418" s="11" t="s">
        <v>51</v>
      </c>
      <c r="G1418" s="11" t="s">
        <v>60</v>
      </c>
      <c r="H1418" s="11" t="s">
        <v>45</v>
      </c>
      <c r="I1418" s="11" t="s">
        <v>46</v>
      </c>
      <c r="J1418" s="11">
        <v>0.55000000000000004</v>
      </c>
      <c r="K1418" s="12">
        <v>44255</v>
      </c>
      <c r="L1418" s="13" t="str" cm="1">
        <f t="array" ref="L1418">_xlfn.IFS(
  OR(ISBLANK(A1418),ISBLANK(C1418),ISBLANK(J1418)),"Missing Value",
  OR(C1418&lt;18,C1418&gt;120),"Review – Out of Range (Age)",
  J1418&lt;0,"Review – Out of Range (Risk Score)",
  TRUE,"OK"
)</f>
        <v>OK</v>
      </c>
    </row>
    <row r="1419" spans="1:12" ht="16.8" x14ac:dyDescent="0.3">
      <c r="A1419" s="14" t="s">
        <v>2889</v>
      </c>
      <c r="B1419" s="14" t="s">
        <v>2890</v>
      </c>
      <c r="C1419" s="14">
        <v>50</v>
      </c>
      <c r="D1419" s="14" t="s">
        <v>41</v>
      </c>
      <c r="E1419" s="14" t="s">
        <v>42</v>
      </c>
      <c r="F1419" s="14" t="s">
        <v>65</v>
      </c>
      <c r="G1419" s="14" t="s">
        <v>109</v>
      </c>
      <c r="H1419" s="14" t="s">
        <v>46</v>
      </c>
      <c r="I1419" s="14" t="s">
        <v>46</v>
      </c>
      <c r="J1419" s="14">
        <v>0.14000000000000001</v>
      </c>
      <c r="K1419" s="15">
        <v>43667</v>
      </c>
      <c r="L1419" s="13" t="str" cm="1">
        <f t="array" ref="L1419">_xlfn.IFS(
  OR(ISBLANK(A1419),ISBLANK(C1419),ISBLANK(J1419)),"Missing Value",
  OR(C1419&lt;18,C1419&gt;120),"Review – Out of Range (Age)",
  J1419&lt;0,"Review – Out of Range (Risk Score)",
  TRUE,"OK"
)</f>
        <v>OK</v>
      </c>
    </row>
    <row r="1420" spans="1:12" ht="16.8" x14ac:dyDescent="0.3">
      <c r="A1420" s="11" t="s">
        <v>2891</v>
      </c>
      <c r="B1420" s="11" t="s">
        <v>2892</v>
      </c>
      <c r="C1420" s="11">
        <v>48</v>
      </c>
      <c r="D1420" s="11" t="s">
        <v>41</v>
      </c>
      <c r="E1420" s="11" t="s">
        <v>50</v>
      </c>
      <c r="F1420" s="11" t="s">
        <v>51</v>
      </c>
      <c r="G1420" s="11" t="s">
        <v>52</v>
      </c>
      <c r="H1420" s="11" t="s">
        <v>46</v>
      </c>
      <c r="I1420" s="11" t="s">
        <v>46</v>
      </c>
      <c r="J1420" s="11">
        <v>0.65</v>
      </c>
      <c r="K1420" s="12">
        <v>43558</v>
      </c>
      <c r="L1420" s="13" t="str" cm="1">
        <f t="array" ref="L1420">_xlfn.IFS(
  OR(ISBLANK(A1420),ISBLANK(C1420),ISBLANK(J1420)),"Missing Value",
  OR(C1420&lt;18,C1420&gt;120),"Review – Out of Range (Age)",
  J1420&lt;0,"Review – Out of Range (Risk Score)",
  TRUE,"OK"
)</f>
        <v>OK</v>
      </c>
    </row>
    <row r="1421" spans="1:12" ht="16.8" x14ac:dyDescent="0.3">
      <c r="A1421" s="14" t="s">
        <v>2893</v>
      </c>
      <c r="B1421" s="14" t="s">
        <v>2894</v>
      </c>
      <c r="C1421" s="14">
        <v>66</v>
      </c>
      <c r="D1421" s="14" t="s">
        <v>49</v>
      </c>
      <c r="E1421" s="14" t="s">
        <v>42</v>
      </c>
      <c r="F1421" s="14" t="s">
        <v>43</v>
      </c>
      <c r="G1421" s="14" t="s">
        <v>44</v>
      </c>
      <c r="H1421" s="14" t="s">
        <v>45</v>
      </c>
      <c r="I1421" s="14" t="s">
        <v>45</v>
      </c>
      <c r="J1421" s="14">
        <v>0.75</v>
      </c>
      <c r="K1421" s="15">
        <v>44360</v>
      </c>
      <c r="L1421" s="13" t="str" cm="1">
        <f t="array" ref="L1421">_xlfn.IFS(
  OR(ISBLANK(A1421),ISBLANK(C1421),ISBLANK(J1421)),"Missing Value",
  OR(C1421&lt;18,C1421&gt;120),"Review – Out of Range (Age)",
  J1421&lt;0,"Review – Out of Range (Risk Score)",
  TRUE,"OK"
)</f>
        <v>OK</v>
      </c>
    </row>
    <row r="1422" spans="1:12" ht="16.8" x14ac:dyDescent="0.3">
      <c r="A1422" s="11" t="s">
        <v>2895</v>
      </c>
      <c r="B1422" s="11" t="s">
        <v>2896</v>
      </c>
      <c r="C1422" s="11">
        <v>56</v>
      </c>
      <c r="D1422" s="11" t="s">
        <v>49</v>
      </c>
      <c r="E1422" s="11" t="s">
        <v>50</v>
      </c>
      <c r="F1422" s="11" t="s">
        <v>43</v>
      </c>
      <c r="G1422" s="11" t="s">
        <v>55</v>
      </c>
      <c r="H1422" s="11" t="s">
        <v>45</v>
      </c>
      <c r="I1422" s="11" t="s">
        <v>46</v>
      </c>
      <c r="J1422" s="11">
        <v>0.4</v>
      </c>
      <c r="K1422" s="12">
        <v>43559</v>
      </c>
      <c r="L1422" s="13" t="str" cm="1">
        <f t="array" ref="L1422">_xlfn.IFS(
  OR(ISBLANK(A1422),ISBLANK(C1422),ISBLANK(J1422)),"Missing Value",
  OR(C1422&lt;18,C1422&gt;120),"Review – Out of Range (Age)",
  J1422&lt;0,"Review – Out of Range (Risk Score)",
  TRUE,"OK"
)</f>
        <v>OK</v>
      </c>
    </row>
    <row r="1423" spans="1:12" ht="16.8" x14ac:dyDescent="0.3">
      <c r="A1423" s="14" t="s">
        <v>2897</v>
      </c>
      <c r="B1423" s="14" t="s">
        <v>2898</v>
      </c>
      <c r="C1423" s="14">
        <v>56</v>
      </c>
      <c r="D1423" s="14" t="s">
        <v>49</v>
      </c>
      <c r="E1423" s="14" t="s">
        <v>42</v>
      </c>
      <c r="F1423" s="14" t="s">
        <v>51</v>
      </c>
      <c r="G1423" s="14" t="s">
        <v>55</v>
      </c>
      <c r="H1423" s="14" t="s">
        <v>45</v>
      </c>
      <c r="I1423" s="14" t="s">
        <v>45</v>
      </c>
      <c r="J1423" s="14">
        <v>0.2</v>
      </c>
      <c r="K1423" s="15">
        <v>44959</v>
      </c>
      <c r="L1423" s="13" t="str" cm="1">
        <f t="array" ref="L1423">_xlfn.IFS(
  OR(ISBLANK(A1423),ISBLANK(C1423),ISBLANK(J1423)),"Missing Value",
  OR(C1423&lt;18,C1423&gt;120),"Review – Out of Range (Age)",
  J1423&lt;0,"Review – Out of Range (Risk Score)",
  TRUE,"OK"
)</f>
        <v>OK</v>
      </c>
    </row>
    <row r="1424" spans="1:12" ht="16.8" x14ac:dyDescent="0.3">
      <c r="A1424" s="11" t="s">
        <v>2899</v>
      </c>
      <c r="B1424" s="11" t="s">
        <v>2900</v>
      </c>
      <c r="C1424" s="11">
        <v>19</v>
      </c>
      <c r="D1424" s="11" t="s">
        <v>41</v>
      </c>
      <c r="E1424" s="11" t="s">
        <v>42</v>
      </c>
      <c r="F1424" s="11" t="s">
        <v>51</v>
      </c>
      <c r="G1424" s="11" t="s">
        <v>60</v>
      </c>
      <c r="H1424" s="11" t="s">
        <v>45</v>
      </c>
      <c r="I1424" s="11" t="s">
        <v>46</v>
      </c>
      <c r="J1424" s="11">
        <v>0.45</v>
      </c>
      <c r="K1424" s="12">
        <v>44419</v>
      </c>
      <c r="L1424" s="13" t="str" cm="1">
        <f t="array" ref="L1424">_xlfn.IFS(
  OR(ISBLANK(A1424),ISBLANK(C1424),ISBLANK(J1424)),"Missing Value",
  OR(C1424&lt;18,C1424&gt;120),"Review – Out of Range (Age)",
  J1424&lt;0,"Review – Out of Range (Risk Score)",
  TRUE,"OK"
)</f>
        <v>OK</v>
      </c>
    </row>
    <row r="1425" spans="1:12" ht="16.8" x14ac:dyDescent="0.3">
      <c r="A1425" s="14" t="s">
        <v>2901</v>
      </c>
      <c r="B1425" s="14" t="s">
        <v>2902</v>
      </c>
      <c r="C1425" s="14">
        <v>62</v>
      </c>
      <c r="D1425" s="14" t="s">
        <v>41</v>
      </c>
      <c r="E1425" s="14" t="s">
        <v>42</v>
      </c>
      <c r="F1425" s="14" t="s">
        <v>43</v>
      </c>
      <c r="G1425" s="14" t="s">
        <v>60</v>
      </c>
      <c r="H1425" s="14" t="s">
        <v>45</v>
      </c>
      <c r="I1425" s="14" t="s">
        <v>45</v>
      </c>
      <c r="J1425" s="14">
        <v>0.5</v>
      </c>
      <c r="K1425" s="15">
        <v>45187</v>
      </c>
      <c r="L1425" s="13" t="str" cm="1">
        <f t="array" ref="L1425">_xlfn.IFS(
  OR(ISBLANK(A1425),ISBLANK(C1425),ISBLANK(J1425)),"Missing Value",
  OR(C1425&lt;18,C1425&gt;120),"Review – Out of Range (Age)",
  J1425&lt;0,"Review – Out of Range (Risk Score)",
  TRUE,"OK"
)</f>
        <v>OK</v>
      </c>
    </row>
    <row r="1426" spans="1:12" ht="16.8" x14ac:dyDescent="0.3">
      <c r="A1426" s="11" t="s">
        <v>2903</v>
      </c>
      <c r="B1426" s="11" t="s">
        <v>2904</v>
      </c>
      <c r="C1426" s="11">
        <v>65</v>
      </c>
      <c r="D1426" s="11" t="s">
        <v>49</v>
      </c>
      <c r="E1426" s="11" t="s">
        <v>50</v>
      </c>
      <c r="F1426" s="11" t="s">
        <v>43</v>
      </c>
      <c r="G1426" s="11" t="s">
        <v>94</v>
      </c>
      <c r="H1426" s="11" t="s">
        <v>46</v>
      </c>
      <c r="I1426" s="11" t="s">
        <v>45</v>
      </c>
      <c r="J1426" s="11">
        <v>0.5</v>
      </c>
      <c r="K1426" s="12">
        <v>43384</v>
      </c>
      <c r="L1426" s="13" t="str" cm="1">
        <f t="array" ref="L1426">_xlfn.IFS(
  OR(ISBLANK(A1426),ISBLANK(C1426),ISBLANK(J1426)),"Missing Value",
  OR(C1426&lt;18,C1426&gt;120),"Review – Out of Range (Age)",
  J1426&lt;0,"Review – Out of Range (Risk Score)",
  TRUE,"OK"
)</f>
        <v>OK</v>
      </c>
    </row>
    <row r="1427" spans="1:12" ht="16.8" x14ac:dyDescent="0.3">
      <c r="A1427" s="14" t="s">
        <v>2905</v>
      </c>
      <c r="B1427" s="14" t="s">
        <v>2906</v>
      </c>
      <c r="C1427" s="14">
        <v>23</v>
      </c>
      <c r="D1427" s="14" t="s">
        <v>49</v>
      </c>
      <c r="E1427" s="14" t="s">
        <v>58</v>
      </c>
      <c r="F1427" s="14" t="s">
        <v>43</v>
      </c>
      <c r="G1427" s="14" t="s">
        <v>52</v>
      </c>
      <c r="H1427" s="14" t="s">
        <v>46</v>
      </c>
      <c r="I1427" s="14" t="s">
        <v>46</v>
      </c>
      <c r="J1427" s="14">
        <v>0.48</v>
      </c>
      <c r="K1427" s="15">
        <v>44563</v>
      </c>
      <c r="L1427" s="13" t="str" cm="1">
        <f t="array" ref="L1427">_xlfn.IFS(
  OR(ISBLANK(A1427),ISBLANK(C1427),ISBLANK(J1427)),"Missing Value",
  OR(C1427&lt;18,C1427&gt;120),"Review – Out of Range (Age)",
  J1427&lt;0,"Review – Out of Range (Risk Score)",
  TRUE,"OK"
)</f>
        <v>OK</v>
      </c>
    </row>
    <row r="1428" spans="1:12" ht="16.8" x14ac:dyDescent="0.3">
      <c r="A1428" s="11" t="s">
        <v>2907</v>
      </c>
      <c r="B1428" s="11" t="s">
        <v>2908</v>
      </c>
      <c r="C1428" s="11">
        <v>53</v>
      </c>
      <c r="D1428" s="11" t="s">
        <v>49</v>
      </c>
      <c r="E1428" s="11" t="s">
        <v>50</v>
      </c>
      <c r="F1428" s="11" t="s">
        <v>51</v>
      </c>
      <c r="G1428" s="11" t="s">
        <v>55</v>
      </c>
      <c r="H1428" s="11" t="s">
        <v>45</v>
      </c>
      <c r="I1428" s="11" t="s">
        <v>45</v>
      </c>
      <c r="J1428" s="11">
        <v>0.35</v>
      </c>
      <c r="K1428" s="12">
        <v>44357</v>
      </c>
      <c r="L1428" s="13" t="str" cm="1">
        <f t="array" ref="L1428">_xlfn.IFS(
  OR(ISBLANK(A1428),ISBLANK(C1428),ISBLANK(J1428)),"Missing Value",
  OR(C1428&lt;18,C1428&gt;120),"Review – Out of Range (Age)",
  J1428&lt;0,"Review – Out of Range (Risk Score)",
  TRUE,"OK"
)</f>
        <v>OK</v>
      </c>
    </row>
    <row r="1429" spans="1:12" ht="16.8" x14ac:dyDescent="0.3">
      <c r="A1429" s="14" t="s">
        <v>2909</v>
      </c>
      <c r="B1429" s="14" t="s">
        <v>2910</v>
      </c>
      <c r="C1429" s="14">
        <v>21</v>
      </c>
      <c r="D1429" s="14" t="s">
        <v>49</v>
      </c>
      <c r="E1429" s="14" t="s">
        <v>42</v>
      </c>
      <c r="F1429" s="14" t="s">
        <v>51</v>
      </c>
      <c r="G1429" s="14" t="s">
        <v>60</v>
      </c>
      <c r="H1429" s="14" t="s">
        <v>45</v>
      </c>
      <c r="I1429" s="14" t="s">
        <v>45</v>
      </c>
      <c r="J1429" s="14">
        <v>0.44</v>
      </c>
      <c r="K1429" s="15">
        <v>45185</v>
      </c>
      <c r="L1429" s="13" t="str" cm="1">
        <f t="array" ref="L1429">_xlfn.IFS(
  OR(ISBLANK(A1429),ISBLANK(C1429),ISBLANK(J1429)),"Missing Value",
  OR(C1429&lt;18,C1429&gt;120),"Review – Out of Range (Age)",
  J1429&lt;0,"Review – Out of Range (Risk Score)",
  TRUE,"OK"
)</f>
        <v>OK</v>
      </c>
    </row>
    <row r="1430" spans="1:12" ht="16.8" x14ac:dyDescent="0.3">
      <c r="A1430" s="11" t="s">
        <v>2911</v>
      </c>
      <c r="B1430" s="11" t="s">
        <v>2912</v>
      </c>
      <c r="C1430" s="11">
        <v>25</v>
      </c>
      <c r="D1430" s="11" t="s">
        <v>49</v>
      </c>
      <c r="E1430" s="11" t="s">
        <v>42</v>
      </c>
      <c r="F1430" s="11" t="s">
        <v>65</v>
      </c>
      <c r="G1430" s="11" t="s">
        <v>52</v>
      </c>
      <c r="H1430" s="11" t="s">
        <v>46</v>
      </c>
      <c r="I1430" s="11" t="s">
        <v>45</v>
      </c>
      <c r="J1430" s="11">
        <v>0.66</v>
      </c>
      <c r="K1430" s="12">
        <v>43940</v>
      </c>
      <c r="L1430" s="13" t="str" cm="1">
        <f t="array" ref="L1430">_xlfn.IFS(
  OR(ISBLANK(A1430),ISBLANK(C1430),ISBLANK(J1430)),"Missing Value",
  OR(C1430&lt;18,C1430&gt;120),"Review – Out of Range (Age)",
  J1430&lt;0,"Review – Out of Range (Risk Score)",
  TRUE,"OK"
)</f>
        <v>OK</v>
      </c>
    </row>
    <row r="1431" spans="1:12" ht="16.8" x14ac:dyDescent="0.3">
      <c r="A1431" s="14" t="s">
        <v>2913</v>
      </c>
      <c r="B1431" s="14" t="s">
        <v>2914</v>
      </c>
      <c r="C1431" s="14">
        <v>37</v>
      </c>
      <c r="D1431" s="14" t="s">
        <v>49</v>
      </c>
      <c r="E1431" s="14" t="s">
        <v>58</v>
      </c>
      <c r="F1431" s="14" t="s">
        <v>43</v>
      </c>
      <c r="G1431" s="14" t="s">
        <v>55</v>
      </c>
      <c r="H1431" s="14" t="s">
        <v>45</v>
      </c>
      <c r="I1431" s="14" t="s">
        <v>45</v>
      </c>
      <c r="J1431" s="14">
        <v>0.7</v>
      </c>
      <c r="K1431" s="15">
        <v>44728</v>
      </c>
      <c r="L1431" s="13" t="str" cm="1">
        <f t="array" ref="L1431">_xlfn.IFS(
  OR(ISBLANK(A1431),ISBLANK(C1431),ISBLANK(J1431)),"Missing Value",
  OR(C1431&lt;18,C1431&gt;120),"Review – Out of Range (Age)",
  J1431&lt;0,"Review – Out of Range (Risk Score)",
  TRUE,"OK"
)</f>
        <v>OK</v>
      </c>
    </row>
    <row r="1432" spans="1:12" ht="16.8" x14ac:dyDescent="0.3">
      <c r="A1432" s="11" t="s">
        <v>2915</v>
      </c>
      <c r="B1432" s="11" t="s">
        <v>2916</v>
      </c>
      <c r="C1432" s="11">
        <v>67</v>
      </c>
      <c r="D1432" s="11" t="s">
        <v>41</v>
      </c>
      <c r="E1432" s="11" t="s">
        <v>50</v>
      </c>
      <c r="F1432" s="11" t="s">
        <v>43</v>
      </c>
      <c r="G1432" s="11" t="s">
        <v>94</v>
      </c>
      <c r="H1432" s="11" t="s">
        <v>45</v>
      </c>
      <c r="I1432" s="11" t="s">
        <v>46</v>
      </c>
      <c r="J1432" s="11">
        <v>0.6</v>
      </c>
      <c r="K1432" s="12">
        <v>44312</v>
      </c>
      <c r="L1432" s="13" t="str" cm="1">
        <f t="array" ref="L1432">_xlfn.IFS(
  OR(ISBLANK(A1432),ISBLANK(C1432),ISBLANK(J1432)),"Missing Value",
  OR(C1432&lt;18,C1432&gt;120),"Review – Out of Range (Age)",
  J1432&lt;0,"Review – Out of Range (Risk Score)",
  TRUE,"OK"
)</f>
        <v>OK</v>
      </c>
    </row>
    <row r="1433" spans="1:12" ht="16.8" x14ac:dyDescent="0.3">
      <c r="A1433" s="14" t="s">
        <v>2917</v>
      </c>
      <c r="B1433" s="14" t="s">
        <v>2918</v>
      </c>
      <c r="C1433" s="14">
        <v>59</v>
      </c>
      <c r="D1433" s="14" t="s">
        <v>49</v>
      </c>
      <c r="E1433" s="14" t="s">
        <v>58</v>
      </c>
      <c r="F1433" s="14" t="s">
        <v>59</v>
      </c>
      <c r="G1433" s="14" t="s">
        <v>44</v>
      </c>
      <c r="H1433" s="14" t="s">
        <v>46</v>
      </c>
      <c r="I1433" s="14" t="s">
        <v>46</v>
      </c>
      <c r="J1433" s="14">
        <v>0.4</v>
      </c>
      <c r="K1433" s="15">
        <v>43520</v>
      </c>
      <c r="L1433" s="13" t="str" cm="1">
        <f t="array" ref="L1433">_xlfn.IFS(
  OR(ISBLANK(A1433),ISBLANK(C1433),ISBLANK(J1433)),"Missing Value",
  OR(C1433&lt;18,C1433&gt;120),"Review – Out of Range (Age)",
  J1433&lt;0,"Review – Out of Range (Risk Score)",
  TRUE,"OK"
)</f>
        <v>OK</v>
      </c>
    </row>
    <row r="1434" spans="1:12" ht="16.8" x14ac:dyDescent="0.3">
      <c r="A1434" s="11" t="s">
        <v>2919</v>
      </c>
      <c r="B1434" s="11" t="s">
        <v>2920</v>
      </c>
      <c r="C1434" s="11">
        <v>53</v>
      </c>
      <c r="D1434" s="11" t="s">
        <v>41</v>
      </c>
      <c r="E1434" s="11" t="s">
        <v>58</v>
      </c>
      <c r="F1434" s="11" t="s">
        <v>43</v>
      </c>
      <c r="G1434" s="11" t="s">
        <v>44</v>
      </c>
      <c r="H1434" s="11" t="s">
        <v>45</v>
      </c>
      <c r="I1434" s="11" t="s">
        <v>45</v>
      </c>
      <c r="J1434" s="11">
        <v>0.46</v>
      </c>
      <c r="K1434" s="12">
        <v>43596</v>
      </c>
      <c r="L1434" s="13" t="str" cm="1">
        <f t="array" ref="L1434">_xlfn.IFS(
  OR(ISBLANK(A1434),ISBLANK(C1434),ISBLANK(J1434)),"Missing Value",
  OR(C1434&lt;18,C1434&gt;120),"Review – Out of Range (Age)",
  J1434&lt;0,"Review – Out of Range (Risk Score)",
  TRUE,"OK"
)</f>
        <v>OK</v>
      </c>
    </row>
    <row r="1435" spans="1:12" ht="16.8" x14ac:dyDescent="0.3">
      <c r="A1435" s="14" t="s">
        <v>2921</v>
      </c>
      <c r="B1435" s="14" t="s">
        <v>2922</v>
      </c>
      <c r="C1435" s="14">
        <v>56</v>
      </c>
      <c r="D1435" s="14" t="s">
        <v>41</v>
      </c>
      <c r="E1435" s="14" t="s">
        <v>58</v>
      </c>
      <c r="F1435" s="14" t="s">
        <v>65</v>
      </c>
      <c r="G1435" s="14" t="s">
        <v>94</v>
      </c>
      <c r="H1435" s="14" t="s">
        <v>45</v>
      </c>
      <c r="I1435" s="14" t="s">
        <v>45</v>
      </c>
      <c r="J1435" s="14">
        <v>0.33</v>
      </c>
      <c r="K1435" s="15">
        <v>44895</v>
      </c>
      <c r="L1435" s="13" t="str" cm="1">
        <f t="array" ref="L1435">_xlfn.IFS(
  OR(ISBLANK(A1435),ISBLANK(C1435),ISBLANK(J1435)),"Missing Value",
  OR(C1435&lt;18,C1435&gt;120),"Review – Out of Range (Age)",
  J1435&lt;0,"Review – Out of Range (Risk Score)",
  TRUE,"OK"
)</f>
        <v>OK</v>
      </c>
    </row>
    <row r="1436" spans="1:12" ht="16.8" x14ac:dyDescent="0.3">
      <c r="A1436" s="11" t="s">
        <v>2923</v>
      </c>
      <c r="B1436" s="11" t="s">
        <v>2924</v>
      </c>
      <c r="C1436" s="11">
        <v>32</v>
      </c>
      <c r="D1436" s="11" t="s">
        <v>49</v>
      </c>
      <c r="E1436" s="11" t="s">
        <v>50</v>
      </c>
      <c r="F1436" s="11" t="s">
        <v>51</v>
      </c>
      <c r="G1436" s="11" t="s">
        <v>52</v>
      </c>
      <c r="H1436" s="11" t="s">
        <v>45</v>
      </c>
      <c r="I1436" s="11" t="s">
        <v>45</v>
      </c>
      <c r="J1436" s="11">
        <v>0.54</v>
      </c>
      <c r="K1436" s="12">
        <v>43963</v>
      </c>
      <c r="L1436" s="13" t="str" cm="1">
        <f t="array" ref="L1436">_xlfn.IFS(
  OR(ISBLANK(A1436),ISBLANK(C1436),ISBLANK(J1436)),"Missing Value",
  OR(C1436&lt;18,C1436&gt;120),"Review – Out of Range (Age)",
  J1436&lt;0,"Review – Out of Range (Risk Score)",
  TRUE,"OK"
)</f>
        <v>OK</v>
      </c>
    </row>
    <row r="1437" spans="1:12" ht="16.8" x14ac:dyDescent="0.3">
      <c r="A1437" s="14" t="s">
        <v>2925</v>
      </c>
      <c r="B1437" s="14" t="s">
        <v>2926</v>
      </c>
      <c r="C1437" s="14">
        <v>68</v>
      </c>
      <c r="D1437" s="14" t="s">
        <v>41</v>
      </c>
      <c r="E1437" s="14" t="s">
        <v>50</v>
      </c>
      <c r="F1437" s="14" t="s">
        <v>65</v>
      </c>
      <c r="G1437" s="14" t="s">
        <v>44</v>
      </c>
      <c r="H1437" s="14" t="s">
        <v>45</v>
      </c>
      <c r="I1437" s="14" t="s">
        <v>46</v>
      </c>
      <c r="J1437" s="14">
        <v>0.76</v>
      </c>
      <c r="K1437" s="15">
        <v>44159</v>
      </c>
      <c r="L1437" s="13" t="str" cm="1">
        <f t="array" ref="L1437">_xlfn.IFS(
  OR(ISBLANK(A1437),ISBLANK(C1437),ISBLANK(J1437)),"Missing Value",
  OR(C1437&lt;18,C1437&gt;120),"Review – Out of Range (Age)",
  J1437&lt;0,"Review – Out of Range (Risk Score)",
  TRUE,"OK"
)</f>
        <v>OK</v>
      </c>
    </row>
    <row r="1438" spans="1:12" ht="16.8" x14ac:dyDescent="0.3">
      <c r="A1438" s="11" t="s">
        <v>2927</v>
      </c>
      <c r="B1438" s="11" t="s">
        <v>2928</v>
      </c>
      <c r="C1438" s="11">
        <v>33</v>
      </c>
      <c r="D1438" s="11" t="s">
        <v>41</v>
      </c>
      <c r="E1438" s="11" t="s">
        <v>58</v>
      </c>
      <c r="F1438" s="11" t="s">
        <v>65</v>
      </c>
      <c r="G1438" s="11" t="s">
        <v>52</v>
      </c>
      <c r="H1438" s="11" t="s">
        <v>46</v>
      </c>
      <c r="I1438" s="11" t="s">
        <v>45</v>
      </c>
      <c r="J1438" s="11">
        <v>0.36</v>
      </c>
      <c r="K1438" s="12">
        <v>43529</v>
      </c>
      <c r="L1438" s="13" t="str" cm="1">
        <f t="array" ref="L1438">_xlfn.IFS(
  OR(ISBLANK(A1438),ISBLANK(C1438),ISBLANK(J1438)),"Missing Value",
  OR(C1438&lt;18,C1438&gt;120),"Review – Out of Range (Age)",
  J1438&lt;0,"Review – Out of Range (Risk Score)",
  TRUE,"OK"
)</f>
        <v>OK</v>
      </c>
    </row>
    <row r="1439" spans="1:12" ht="16.8" x14ac:dyDescent="0.3">
      <c r="A1439" s="14" t="s">
        <v>2929</v>
      </c>
      <c r="B1439" s="14" t="s">
        <v>2930</v>
      </c>
      <c r="C1439" s="14">
        <v>19</v>
      </c>
      <c r="D1439" s="14" t="s">
        <v>49</v>
      </c>
      <c r="E1439" s="14" t="s">
        <v>58</v>
      </c>
      <c r="F1439" s="14" t="s">
        <v>65</v>
      </c>
      <c r="G1439" s="14" t="s">
        <v>94</v>
      </c>
      <c r="H1439" s="14" t="s">
        <v>45</v>
      </c>
      <c r="I1439" s="14" t="s">
        <v>45</v>
      </c>
      <c r="J1439" s="14">
        <v>0.53</v>
      </c>
      <c r="K1439" s="15">
        <v>44414</v>
      </c>
      <c r="L1439" s="13" t="str" cm="1">
        <f t="array" ref="L1439">_xlfn.IFS(
  OR(ISBLANK(A1439),ISBLANK(C1439),ISBLANK(J1439)),"Missing Value",
  OR(C1439&lt;18,C1439&gt;120),"Review – Out of Range (Age)",
  J1439&lt;0,"Review – Out of Range (Risk Score)",
  TRUE,"OK"
)</f>
        <v>OK</v>
      </c>
    </row>
    <row r="1440" spans="1:12" ht="16.8" x14ac:dyDescent="0.3">
      <c r="A1440" s="11" t="s">
        <v>2931</v>
      </c>
      <c r="B1440" s="11" t="s">
        <v>2932</v>
      </c>
      <c r="C1440" s="11">
        <v>34</v>
      </c>
      <c r="D1440" s="11" t="s">
        <v>49</v>
      </c>
      <c r="E1440" s="11" t="s">
        <v>58</v>
      </c>
      <c r="F1440" s="11" t="s">
        <v>59</v>
      </c>
      <c r="G1440" s="11" t="s">
        <v>109</v>
      </c>
      <c r="H1440" s="11" t="s">
        <v>46</v>
      </c>
      <c r="I1440" s="11" t="s">
        <v>46</v>
      </c>
      <c r="J1440" s="11">
        <v>0.48</v>
      </c>
      <c r="K1440" s="12">
        <v>43197</v>
      </c>
      <c r="L1440" s="13" t="str" cm="1">
        <f t="array" ref="L1440">_xlfn.IFS(
  OR(ISBLANK(A1440),ISBLANK(C1440),ISBLANK(J1440)),"Missing Value",
  OR(C1440&lt;18,C1440&gt;120),"Review – Out of Range (Age)",
  J1440&lt;0,"Review – Out of Range (Risk Score)",
  TRUE,"OK"
)</f>
        <v>OK</v>
      </c>
    </row>
    <row r="1441" spans="1:12" ht="16.8" x14ac:dyDescent="0.3">
      <c r="A1441" s="14" t="s">
        <v>2933</v>
      </c>
      <c r="B1441" s="14" t="s">
        <v>2934</v>
      </c>
      <c r="C1441" s="14">
        <v>22</v>
      </c>
      <c r="D1441" s="14" t="s">
        <v>49</v>
      </c>
      <c r="E1441" s="14" t="s">
        <v>50</v>
      </c>
      <c r="F1441" s="14" t="s">
        <v>43</v>
      </c>
      <c r="G1441" s="14" t="s">
        <v>55</v>
      </c>
      <c r="H1441" s="14" t="s">
        <v>45</v>
      </c>
      <c r="I1441" s="14" t="s">
        <v>46</v>
      </c>
      <c r="J1441" s="14">
        <v>0.48</v>
      </c>
      <c r="K1441" s="15">
        <v>44641</v>
      </c>
      <c r="L1441" s="13" t="str" cm="1">
        <f t="array" ref="L1441">_xlfn.IFS(
  OR(ISBLANK(A1441),ISBLANK(C1441),ISBLANK(J1441)),"Missing Value",
  OR(C1441&lt;18,C1441&gt;120),"Review – Out of Range (Age)",
  J1441&lt;0,"Review – Out of Range (Risk Score)",
  TRUE,"OK"
)</f>
        <v>OK</v>
      </c>
    </row>
    <row r="1442" spans="1:12" ht="16.8" x14ac:dyDescent="0.3">
      <c r="A1442" s="11" t="s">
        <v>2935</v>
      </c>
      <c r="B1442" s="11" t="s">
        <v>2936</v>
      </c>
      <c r="C1442" s="11">
        <v>22</v>
      </c>
      <c r="D1442" s="11" t="s">
        <v>49</v>
      </c>
      <c r="E1442" s="11" t="s">
        <v>58</v>
      </c>
      <c r="F1442" s="11" t="s">
        <v>51</v>
      </c>
      <c r="G1442" s="11" t="s">
        <v>109</v>
      </c>
      <c r="H1442" s="11" t="s">
        <v>45</v>
      </c>
      <c r="I1442" s="11" t="s">
        <v>45</v>
      </c>
      <c r="J1442" s="11">
        <v>0.13</v>
      </c>
      <c r="K1442" s="12">
        <v>44050</v>
      </c>
      <c r="L1442" s="13" t="str" cm="1">
        <f t="array" ref="L1442">_xlfn.IFS(
  OR(ISBLANK(A1442),ISBLANK(C1442),ISBLANK(J1442)),"Missing Value",
  OR(C1442&lt;18,C1442&gt;120),"Review – Out of Range (Age)",
  J1442&lt;0,"Review – Out of Range (Risk Score)",
  TRUE,"OK"
)</f>
        <v>OK</v>
      </c>
    </row>
    <row r="1443" spans="1:12" ht="16.8" x14ac:dyDescent="0.3">
      <c r="A1443" s="14" t="s">
        <v>2937</v>
      </c>
      <c r="B1443" s="14" t="s">
        <v>2938</v>
      </c>
      <c r="C1443" s="14">
        <v>48</v>
      </c>
      <c r="D1443" s="14" t="s">
        <v>49</v>
      </c>
      <c r="E1443" s="14" t="s">
        <v>42</v>
      </c>
      <c r="F1443" s="14" t="s">
        <v>65</v>
      </c>
      <c r="G1443" s="14" t="s">
        <v>55</v>
      </c>
      <c r="H1443" s="14" t="s">
        <v>46</v>
      </c>
      <c r="I1443" s="14" t="s">
        <v>46</v>
      </c>
      <c r="J1443" s="14">
        <v>0.28999999999999998</v>
      </c>
      <c r="K1443" s="15">
        <v>43759</v>
      </c>
      <c r="L1443" s="13" t="str" cm="1">
        <f t="array" ref="L1443">_xlfn.IFS(
  OR(ISBLANK(A1443),ISBLANK(C1443),ISBLANK(J1443)),"Missing Value",
  OR(C1443&lt;18,C1443&gt;120),"Review – Out of Range (Age)",
  J1443&lt;0,"Review – Out of Range (Risk Score)",
  TRUE,"OK"
)</f>
        <v>OK</v>
      </c>
    </row>
    <row r="1444" spans="1:12" ht="16.8" x14ac:dyDescent="0.3">
      <c r="A1444" s="11" t="s">
        <v>2939</v>
      </c>
      <c r="B1444" s="11" t="s">
        <v>2940</v>
      </c>
      <c r="C1444" s="11">
        <v>48</v>
      </c>
      <c r="D1444" s="11" t="s">
        <v>41</v>
      </c>
      <c r="E1444" s="11" t="s">
        <v>50</v>
      </c>
      <c r="F1444" s="11" t="s">
        <v>65</v>
      </c>
      <c r="G1444" s="11" t="s">
        <v>44</v>
      </c>
      <c r="H1444" s="11" t="s">
        <v>46</v>
      </c>
      <c r="I1444" s="11" t="s">
        <v>46</v>
      </c>
      <c r="J1444" s="11">
        <v>0.69</v>
      </c>
      <c r="K1444" s="12">
        <v>43343</v>
      </c>
      <c r="L1444" s="13" t="str" cm="1">
        <f t="array" ref="L1444">_xlfn.IFS(
  OR(ISBLANK(A1444),ISBLANK(C1444),ISBLANK(J1444)),"Missing Value",
  OR(C1444&lt;18,C1444&gt;120),"Review – Out of Range (Age)",
  J1444&lt;0,"Review – Out of Range (Risk Score)",
  TRUE,"OK"
)</f>
        <v>OK</v>
      </c>
    </row>
    <row r="1445" spans="1:12" ht="16.8" x14ac:dyDescent="0.3">
      <c r="A1445" s="14" t="s">
        <v>2941</v>
      </c>
      <c r="B1445" s="14" t="s">
        <v>2942</v>
      </c>
      <c r="C1445" s="14">
        <v>27</v>
      </c>
      <c r="D1445" s="14" t="s">
        <v>49</v>
      </c>
      <c r="E1445" s="14" t="s">
        <v>50</v>
      </c>
      <c r="F1445" s="14" t="s">
        <v>51</v>
      </c>
      <c r="G1445" s="14" t="s">
        <v>44</v>
      </c>
      <c r="H1445" s="14" t="s">
        <v>45</v>
      </c>
      <c r="I1445" s="14" t="s">
        <v>46</v>
      </c>
      <c r="J1445" s="14">
        <v>0.69</v>
      </c>
      <c r="K1445" s="15">
        <v>44726</v>
      </c>
      <c r="L1445" s="13" t="str" cm="1">
        <f t="array" ref="L1445">_xlfn.IFS(
  OR(ISBLANK(A1445),ISBLANK(C1445),ISBLANK(J1445)),"Missing Value",
  OR(C1445&lt;18,C1445&gt;120),"Review – Out of Range (Age)",
  J1445&lt;0,"Review – Out of Range (Risk Score)",
  TRUE,"OK"
)</f>
        <v>OK</v>
      </c>
    </row>
    <row r="1446" spans="1:12" ht="16.8" x14ac:dyDescent="0.3">
      <c r="A1446" s="11" t="s">
        <v>2943</v>
      </c>
      <c r="B1446" s="11" t="s">
        <v>2944</v>
      </c>
      <c r="C1446" s="11">
        <v>31</v>
      </c>
      <c r="D1446" s="11" t="s">
        <v>49</v>
      </c>
      <c r="E1446" s="11" t="s">
        <v>50</v>
      </c>
      <c r="F1446" s="11" t="s">
        <v>51</v>
      </c>
      <c r="G1446" s="11" t="s">
        <v>94</v>
      </c>
      <c r="H1446" s="11" t="s">
        <v>45</v>
      </c>
      <c r="I1446" s="11" t="s">
        <v>45</v>
      </c>
      <c r="J1446" s="11">
        <v>0.32</v>
      </c>
      <c r="K1446" s="12">
        <v>44217</v>
      </c>
      <c r="L1446" s="13" t="str" cm="1">
        <f t="array" ref="L1446">_xlfn.IFS(
  OR(ISBLANK(A1446),ISBLANK(C1446),ISBLANK(J1446)),"Missing Value",
  OR(C1446&lt;18,C1446&gt;120),"Review – Out of Range (Age)",
  J1446&lt;0,"Review – Out of Range (Risk Score)",
  TRUE,"OK"
)</f>
        <v>OK</v>
      </c>
    </row>
    <row r="1447" spans="1:12" ht="16.8" x14ac:dyDescent="0.3">
      <c r="A1447" s="14" t="s">
        <v>2945</v>
      </c>
      <c r="B1447" s="14" t="s">
        <v>2946</v>
      </c>
      <c r="C1447" s="14">
        <v>23</v>
      </c>
      <c r="D1447" s="14" t="s">
        <v>49</v>
      </c>
      <c r="E1447" s="14" t="s">
        <v>42</v>
      </c>
      <c r="F1447" s="14" t="s">
        <v>59</v>
      </c>
      <c r="G1447" s="14" t="s">
        <v>44</v>
      </c>
      <c r="H1447" s="14" t="s">
        <v>45</v>
      </c>
      <c r="I1447" s="14" t="s">
        <v>45</v>
      </c>
      <c r="J1447" s="14">
        <v>0.46</v>
      </c>
      <c r="K1447" s="15">
        <v>43396</v>
      </c>
      <c r="L1447" s="13" t="str" cm="1">
        <f t="array" ref="L1447">_xlfn.IFS(
  OR(ISBLANK(A1447),ISBLANK(C1447),ISBLANK(J1447)),"Missing Value",
  OR(C1447&lt;18,C1447&gt;120),"Review – Out of Range (Age)",
  J1447&lt;0,"Review – Out of Range (Risk Score)",
  TRUE,"OK"
)</f>
        <v>OK</v>
      </c>
    </row>
    <row r="1448" spans="1:12" ht="16.8" x14ac:dyDescent="0.3">
      <c r="A1448" s="11" t="s">
        <v>2947</v>
      </c>
      <c r="B1448" s="11" t="s">
        <v>2948</v>
      </c>
      <c r="C1448" s="11">
        <v>55</v>
      </c>
      <c r="D1448" s="11" t="s">
        <v>41</v>
      </c>
      <c r="E1448" s="11" t="s">
        <v>50</v>
      </c>
      <c r="F1448" s="11" t="s">
        <v>51</v>
      </c>
      <c r="G1448" s="11" t="s">
        <v>55</v>
      </c>
      <c r="H1448" s="11" t="s">
        <v>46</v>
      </c>
      <c r="I1448" s="11" t="s">
        <v>46</v>
      </c>
      <c r="J1448" s="11">
        <v>0.6</v>
      </c>
      <c r="K1448" s="12">
        <v>44638</v>
      </c>
      <c r="L1448" s="13" t="str" cm="1">
        <f t="array" ref="L1448">_xlfn.IFS(
  OR(ISBLANK(A1448),ISBLANK(C1448),ISBLANK(J1448)),"Missing Value",
  OR(C1448&lt;18,C1448&gt;120),"Review – Out of Range (Age)",
  J1448&lt;0,"Review – Out of Range (Risk Score)",
  TRUE,"OK"
)</f>
        <v>OK</v>
      </c>
    </row>
    <row r="1449" spans="1:12" ht="16.8" x14ac:dyDescent="0.3">
      <c r="A1449" s="14" t="s">
        <v>2949</v>
      </c>
      <c r="B1449" s="14" t="s">
        <v>2950</v>
      </c>
      <c r="C1449" s="14">
        <v>47</v>
      </c>
      <c r="D1449" s="14" t="s">
        <v>49</v>
      </c>
      <c r="E1449" s="14" t="s">
        <v>58</v>
      </c>
      <c r="F1449" s="14" t="s">
        <v>51</v>
      </c>
      <c r="G1449" s="14" t="s">
        <v>52</v>
      </c>
      <c r="H1449" s="14" t="s">
        <v>46</v>
      </c>
      <c r="I1449" s="14" t="s">
        <v>45</v>
      </c>
      <c r="J1449" s="14">
        <v>0.67</v>
      </c>
      <c r="K1449" s="15">
        <v>43689</v>
      </c>
      <c r="L1449" s="13" t="str" cm="1">
        <f t="array" ref="L1449">_xlfn.IFS(
  OR(ISBLANK(A1449),ISBLANK(C1449),ISBLANK(J1449)),"Missing Value",
  OR(C1449&lt;18,C1449&gt;120),"Review – Out of Range (Age)",
  J1449&lt;0,"Review – Out of Range (Risk Score)",
  TRUE,"OK"
)</f>
        <v>OK</v>
      </c>
    </row>
    <row r="1450" spans="1:12" ht="16.8" x14ac:dyDescent="0.3">
      <c r="A1450" s="11" t="s">
        <v>2951</v>
      </c>
      <c r="B1450" s="11" t="s">
        <v>2952</v>
      </c>
      <c r="C1450" s="11">
        <v>38</v>
      </c>
      <c r="D1450" s="11" t="s">
        <v>41</v>
      </c>
      <c r="E1450" s="11" t="s">
        <v>42</v>
      </c>
      <c r="F1450" s="11" t="s">
        <v>51</v>
      </c>
      <c r="G1450" s="11" t="s">
        <v>52</v>
      </c>
      <c r="H1450" s="11" t="s">
        <v>46</v>
      </c>
      <c r="I1450" s="11" t="s">
        <v>45</v>
      </c>
      <c r="J1450" s="11">
        <v>0.61</v>
      </c>
      <c r="K1450" s="12">
        <v>44391</v>
      </c>
      <c r="L1450" s="13" t="str" cm="1">
        <f t="array" ref="L1450">_xlfn.IFS(
  OR(ISBLANK(A1450),ISBLANK(C1450),ISBLANK(J1450)),"Missing Value",
  OR(C1450&lt;18,C1450&gt;120),"Review – Out of Range (Age)",
  J1450&lt;0,"Review – Out of Range (Risk Score)",
  TRUE,"OK"
)</f>
        <v>OK</v>
      </c>
    </row>
    <row r="1451" spans="1:12" ht="16.8" x14ac:dyDescent="0.3">
      <c r="A1451" s="14" t="s">
        <v>2953</v>
      </c>
      <c r="B1451" s="14" t="s">
        <v>2954</v>
      </c>
      <c r="C1451" s="14">
        <v>20</v>
      </c>
      <c r="D1451" s="14" t="s">
        <v>41</v>
      </c>
      <c r="E1451" s="14" t="s">
        <v>50</v>
      </c>
      <c r="F1451" s="14" t="s">
        <v>43</v>
      </c>
      <c r="G1451" s="14" t="s">
        <v>44</v>
      </c>
      <c r="H1451" s="14" t="s">
        <v>46</v>
      </c>
      <c r="I1451" s="14" t="s">
        <v>45</v>
      </c>
      <c r="J1451" s="14">
        <v>0.56000000000000005</v>
      </c>
      <c r="K1451" s="15">
        <v>43213</v>
      </c>
      <c r="L1451" s="13" t="str" cm="1">
        <f t="array" ref="L1451">_xlfn.IFS(
  OR(ISBLANK(A1451),ISBLANK(C1451),ISBLANK(J1451)),"Missing Value",
  OR(C1451&lt;18,C1451&gt;120),"Review – Out of Range (Age)",
  J1451&lt;0,"Review – Out of Range (Risk Score)",
  TRUE,"OK"
)</f>
        <v>OK</v>
      </c>
    </row>
    <row r="1452" spans="1:12" ht="16.8" x14ac:dyDescent="0.3">
      <c r="A1452" s="11" t="s">
        <v>2955</v>
      </c>
      <c r="B1452" s="11" t="s">
        <v>2956</v>
      </c>
      <c r="C1452" s="11">
        <v>58</v>
      </c>
      <c r="D1452" s="11" t="s">
        <v>49</v>
      </c>
      <c r="E1452" s="11" t="s">
        <v>50</v>
      </c>
      <c r="F1452" s="11" t="s">
        <v>43</v>
      </c>
      <c r="G1452" s="11" t="s">
        <v>52</v>
      </c>
      <c r="H1452" s="11" t="s">
        <v>46</v>
      </c>
      <c r="I1452" s="11" t="s">
        <v>46</v>
      </c>
      <c r="J1452" s="11">
        <v>0.41</v>
      </c>
      <c r="K1452" s="12">
        <v>44209</v>
      </c>
      <c r="L1452" s="13" t="str" cm="1">
        <f t="array" ref="L1452">_xlfn.IFS(
  OR(ISBLANK(A1452),ISBLANK(C1452),ISBLANK(J1452)),"Missing Value",
  OR(C1452&lt;18,C1452&gt;120),"Review – Out of Range (Age)",
  J1452&lt;0,"Review – Out of Range (Risk Score)",
  TRUE,"OK"
)</f>
        <v>OK</v>
      </c>
    </row>
    <row r="1453" spans="1:12" ht="16.8" x14ac:dyDescent="0.3">
      <c r="A1453" s="14" t="s">
        <v>2957</v>
      </c>
      <c r="B1453" s="14" t="s">
        <v>2958</v>
      </c>
      <c r="C1453" s="14">
        <v>32</v>
      </c>
      <c r="D1453" s="14" t="s">
        <v>41</v>
      </c>
      <c r="E1453" s="14" t="s">
        <v>58</v>
      </c>
      <c r="F1453" s="14" t="s">
        <v>59</v>
      </c>
      <c r="G1453" s="14" t="s">
        <v>60</v>
      </c>
      <c r="H1453" s="14" t="s">
        <v>46</v>
      </c>
      <c r="I1453" s="14" t="s">
        <v>45</v>
      </c>
      <c r="J1453" s="14">
        <v>0.92</v>
      </c>
      <c r="K1453" s="15">
        <v>43292</v>
      </c>
      <c r="L1453" s="13" t="str" cm="1">
        <f t="array" ref="L1453">_xlfn.IFS(
  OR(ISBLANK(A1453),ISBLANK(C1453),ISBLANK(J1453)),"Missing Value",
  OR(C1453&lt;18,C1453&gt;120),"Review – Out of Range (Age)",
  J1453&lt;0,"Review – Out of Range (Risk Score)",
  TRUE,"OK"
)</f>
        <v>OK</v>
      </c>
    </row>
    <row r="1454" spans="1:12" ht="16.8" x14ac:dyDescent="0.3">
      <c r="A1454" s="11" t="s">
        <v>2959</v>
      </c>
      <c r="B1454" s="11" t="s">
        <v>2960</v>
      </c>
      <c r="C1454" s="11">
        <v>25</v>
      </c>
      <c r="D1454" s="11" t="s">
        <v>41</v>
      </c>
      <c r="E1454" s="11" t="s">
        <v>50</v>
      </c>
      <c r="F1454" s="11" t="s">
        <v>43</v>
      </c>
      <c r="G1454" s="11" t="s">
        <v>44</v>
      </c>
      <c r="H1454" s="11" t="s">
        <v>45</v>
      </c>
      <c r="I1454" s="11" t="s">
        <v>46</v>
      </c>
      <c r="J1454" s="11">
        <v>0.49</v>
      </c>
      <c r="K1454" s="12">
        <v>44729</v>
      </c>
      <c r="L1454" s="13" t="str" cm="1">
        <f t="array" ref="L1454">_xlfn.IFS(
  OR(ISBLANK(A1454),ISBLANK(C1454),ISBLANK(J1454)),"Missing Value",
  OR(C1454&lt;18,C1454&gt;120),"Review – Out of Range (Age)",
  J1454&lt;0,"Review – Out of Range (Risk Score)",
  TRUE,"OK"
)</f>
        <v>OK</v>
      </c>
    </row>
    <row r="1455" spans="1:12" ht="16.8" x14ac:dyDescent="0.3">
      <c r="A1455" s="14" t="s">
        <v>2961</v>
      </c>
      <c r="B1455" s="14" t="s">
        <v>2962</v>
      </c>
      <c r="C1455" s="14">
        <v>18</v>
      </c>
      <c r="D1455" s="14" t="s">
        <v>41</v>
      </c>
      <c r="E1455" s="14" t="s">
        <v>42</v>
      </c>
      <c r="F1455" s="14" t="s">
        <v>43</v>
      </c>
      <c r="G1455" s="14" t="s">
        <v>44</v>
      </c>
      <c r="H1455" s="14" t="s">
        <v>45</v>
      </c>
      <c r="I1455" s="14" t="s">
        <v>45</v>
      </c>
      <c r="J1455" s="14">
        <v>0.3</v>
      </c>
      <c r="K1455" s="15">
        <v>43975</v>
      </c>
      <c r="L1455" s="13" t="str" cm="1">
        <f t="array" ref="L1455">_xlfn.IFS(
  OR(ISBLANK(A1455),ISBLANK(C1455),ISBLANK(J1455)),"Missing Value",
  OR(C1455&lt;18,C1455&gt;120),"Review – Out of Range (Age)",
  J1455&lt;0,"Review – Out of Range (Risk Score)",
  TRUE,"OK"
)</f>
        <v>OK</v>
      </c>
    </row>
    <row r="1456" spans="1:12" ht="16.8" x14ac:dyDescent="0.3">
      <c r="A1456" s="11" t="s">
        <v>2963</v>
      </c>
      <c r="B1456" s="11" t="s">
        <v>2964</v>
      </c>
      <c r="C1456" s="11">
        <v>30</v>
      </c>
      <c r="D1456" s="11" t="s">
        <v>41</v>
      </c>
      <c r="E1456" s="11" t="s">
        <v>42</v>
      </c>
      <c r="F1456" s="11" t="s">
        <v>51</v>
      </c>
      <c r="G1456" s="11" t="s">
        <v>55</v>
      </c>
      <c r="H1456" s="11" t="s">
        <v>46</v>
      </c>
      <c r="I1456" s="11" t="s">
        <v>46</v>
      </c>
      <c r="J1456" s="11">
        <v>0.44</v>
      </c>
      <c r="K1456" s="12">
        <v>44534</v>
      </c>
      <c r="L1456" s="13" t="str" cm="1">
        <f t="array" ref="L1456">_xlfn.IFS(
  OR(ISBLANK(A1456),ISBLANK(C1456),ISBLANK(J1456)),"Missing Value",
  OR(C1456&lt;18,C1456&gt;120),"Review – Out of Range (Age)",
  J1456&lt;0,"Review – Out of Range (Risk Score)",
  TRUE,"OK"
)</f>
        <v>OK</v>
      </c>
    </row>
    <row r="1457" spans="1:12" ht="16.8" x14ac:dyDescent="0.3">
      <c r="A1457" s="14" t="s">
        <v>2965</v>
      </c>
      <c r="B1457" s="14" t="s">
        <v>2966</v>
      </c>
      <c r="C1457" s="14">
        <v>37</v>
      </c>
      <c r="D1457" s="14" t="s">
        <v>41</v>
      </c>
      <c r="E1457" s="14" t="s">
        <v>50</v>
      </c>
      <c r="F1457" s="14" t="s">
        <v>59</v>
      </c>
      <c r="G1457" s="14" t="s">
        <v>60</v>
      </c>
      <c r="H1457" s="14" t="s">
        <v>46</v>
      </c>
      <c r="I1457" s="14" t="s">
        <v>45</v>
      </c>
      <c r="J1457" s="14">
        <v>0.79</v>
      </c>
      <c r="K1457" s="15">
        <v>43774</v>
      </c>
      <c r="L1457" s="13" t="str" cm="1">
        <f t="array" ref="L1457">_xlfn.IFS(
  OR(ISBLANK(A1457),ISBLANK(C1457),ISBLANK(J1457)),"Missing Value",
  OR(C1457&lt;18,C1457&gt;120),"Review – Out of Range (Age)",
  J1457&lt;0,"Review – Out of Range (Risk Score)",
  TRUE,"OK"
)</f>
        <v>OK</v>
      </c>
    </row>
    <row r="1458" spans="1:12" ht="16.8" x14ac:dyDescent="0.3">
      <c r="A1458" s="11" t="s">
        <v>2967</v>
      </c>
      <c r="B1458" s="11" t="s">
        <v>2968</v>
      </c>
      <c r="C1458" s="11">
        <v>38</v>
      </c>
      <c r="D1458" s="11" t="s">
        <v>41</v>
      </c>
      <c r="E1458" s="11" t="s">
        <v>42</v>
      </c>
      <c r="F1458" s="11" t="s">
        <v>43</v>
      </c>
      <c r="G1458" s="11" t="s">
        <v>44</v>
      </c>
      <c r="H1458" s="11" t="s">
        <v>45</v>
      </c>
      <c r="I1458" s="11" t="s">
        <v>46</v>
      </c>
      <c r="J1458" s="11">
        <v>0.63</v>
      </c>
      <c r="K1458" s="12">
        <v>44205</v>
      </c>
      <c r="L1458" s="13" t="str" cm="1">
        <f t="array" ref="L1458">_xlfn.IFS(
  OR(ISBLANK(A1458),ISBLANK(C1458),ISBLANK(J1458)),"Missing Value",
  OR(C1458&lt;18,C1458&gt;120),"Review – Out of Range (Age)",
  J1458&lt;0,"Review – Out of Range (Risk Score)",
  TRUE,"OK"
)</f>
        <v>OK</v>
      </c>
    </row>
    <row r="1459" spans="1:12" ht="16.8" x14ac:dyDescent="0.3">
      <c r="A1459" s="14" t="s">
        <v>2969</v>
      </c>
      <c r="B1459" s="14" t="s">
        <v>2970</v>
      </c>
      <c r="C1459" s="14">
        <v>57</v>
      </c>
      <c r="D1459" s="14" t="s">
        <v>49</v>
      </c>
      <c r="E1459" s="14" t="s">
        <v>50</v>
      </c>
      <c r="F1459" s="14" t="s">
        <v>51</v>
      </c>
      <c r="G1459" s="14" t="s">
        <v>44</v>
      </c>
      <c r="H1459" s="14" t="s">
        <v>46</v>
      </c>
      <c r="I1459" s="14" t="s">
        <v>46</v>
      </c>
      <c r="J1459" s="14">
        <v>0.73</v>
      </c>
      <c r="K1459" s="15">
        <v>44182</v>
      </c>
      <c r="L1459" s="13" t="str" cm="1">
        <f t="array" ref="L1459">_xlfn.IFS(
  OR(ISBLANK(A1459),ISBLANK(C1459),ISBLANK(J1459)),"Missing Value",
  OR(C1459&lt;18,C1459&gt;120),"Review – Out of Range (Age)",
  J1459&lt;0,"Review – Out of Range (Risk Score)",
  TRUE,"OK"
)</f>
        <v>OK</v>
      </c>
    </row>
    <row r="1460" spans="1:12" ht="16.8" x14ac:dyDescent="0.3">
      <c r="A1460" s="11" t="s">
        <v>2971</v>
      </c>
      <c r="B1460" s="11" t="s">
        <v>2972</v>
      </c>
      <c r="C1460" s="11">
        <v>22</v>
      </c>
      <c r="D1460" s="11" t="s">
        <v>49</v>
      </c>
      <c r="E1460" s="11" t="s">
        <v>42</v>
      </c>
      <c r="F1460" s="11" t="s">
        <v>59</v>
      </c>
      <c r="G1460" s="11" t="s">
        <v>44</v>
      </c>
      <c r="H1460" s="11" t="s">
        <v>46</v>
      </c>
      <c r="I1460" s="11" t="s">
        <v>45</v>
      </c>
      <c r="J1460" s="11">
        <v>0.36</v>
      </c>
      <c r="K1460" s="12">
        <v>44601</v>
      </c>
      <c r="L1460" s="13" t="str" cm="1">
        <f t="array" ref="L1460">_xlfn.IFS(
  OR(ISBLANK(A1460),ISBLANK(C1460),ISBLANK(J1460)),"Missing Value",
  OR(C1460&lt;18,C1460&gt;120),"Review – Out of Range (Age)",
  J1460&lt;0,"Review – Out of Range (Risk Score)",
  TRUE,"OK"
)</f>
        <v>OK</v>
      </c>
    </row>
    <row r="1461" spans="1:12" ht="16.8" x14ac:dyDescent="0.3">
      <c r="A1461" s="14" t="s">
        <v>2973</v>
      </c>
      <c r="B1461" s="14" t="s">
        <v>2974</v>
      </c>
      <c r="C1461" s="14">
        <v>63</v>
      </c>
      <c r="D1461" s="14" t="s">
        <v>49</v>
      </c>
      <c r="E1461" s="14" t="s">
        <v>50</v>
      </c>
      <c r="F1461" s="14" t="s">
        <v>65</v>
      </c>
      <c r="G1461" s="14" t="s">
        <v>60</v>
      </c>
      <c r="H1461" s="14" t="s">
        <v>45</v>
      </c>
      <c r="I1461" s="14" t="s">
        <v>46</v>
      </c>
      <c r="J1461" s="14">
        <v>0.31</v>
      </c>
      <c r="K1461" s="15">
        <v>43905</v>
      </c>
      <c r="L1461" s="13" t="str" cm="1">
        <f t="array" ref="L1461">_xlfn.IFS(
  OR(ISBLANK(A1461),ISBLANK(C1461),ISBLANK(J1461)),"Missing Value",
  OR(C1461&lt;18,C1461&gt;120),"Review – Out of Range (Age)",
  J1461&lt;0,"Review – Out of Range (Risk Score)",
  TRUE,"OK"
)</f>
        <v>OK</v>
      </c>
    </row>
    <row r="1462" spans="1:12" ht="16.8" x14ac:dyDescent="0.3">
      <c r="A1462" s="11" t="s">
        <v>2975</v>
      </c>
      <c r="B1462" s="11" t="s">
        <v>2976</v>
      </c>
      <c r="C1462" s="11">
        <v>31</v>
      </c>
      <c r="D1462" s="11" t="s">
        <v>49</v>
      </c>
      <c r="E1462" s="11" t="s">
        <v>42</v>
      </c>
      <c r="F1462" s="11" t="s">
        <v>59</v>
      </c>
      <c r="G1462" s="11" t="s">
        <v>55</v>
      </c>
      <c r="H1462" s="11" t="s">
        <v>45</v>
      </c>
      <c r="I1462" s="11" t="s">
        <v>45</v>
      </c>
      <c r="J1462" s="11">
        <v>0.63</v>
      </c>
      <c r="K1462" s="12">
        <v>43418</v>
      </c>
      <c r="L1462" s="13" t="str" cm="1">
        <f t="array" ref="L1462">_xlfn.IFS(
  OR(ISBLANK(A1462),ISBLANK(C1462),ISBLANK(J1462)),"Missing Value",
  OR(C1462&lt;18,C1462&gt;120),"Review – Out of Range (Age)",
  J1462&lt;0,"Review – Out of Range (Risk Score)",
  TRUE,"OK"
)</f>
        <v>OK</v>
      </c>
    </row>
    <row r="1463" spans="1:12" ht="16.8" x14ac:dyDescent="0.3">
      <c r="A1463" s="14" t="s">
        <v>2977</v>
      </c>
      <c r="B1463" s="14" t="s">
        <v>2978</v>
      </c>
      <c r="C1463" s="14">
        <v>48</v>
      </c>
      <c r="D1463" s="14" t="s">
        <v>49</v>
      </c>
      <c r="E1463" s="14" t="s">
        <v>50</v>
      </c>
      <c r="F1463" s="14" t="s">
        <v>51</v>
      </c>
      <c r="G1463" s="14" t="s">
        <v>52</v>
      </c>
      <c r="H1463" s="14" t="s">
        <v>45</v>
      </c>
      <c r="I1463" s="14" t="s">
        <v>45</v>
      </c>
      <c r="J1463" s="14">
        <v>0.41</v>
      </c>
      <c r="K1463" s="15">
        <v>43399</v>
      </c>
      <c r="L1463" s="13" t="str" cm="1">
        <f t="array" ref="L1463">_xlfn.IFS(
  OR(ISBLANK(A1463),ISBLANK(C1463),ISBLANK(J1463)),"Missing Value",
  OR(C1463&lt;18,C1463&gt;120),"Review – Out of Range (Age)",
  J1463&lt;0,"Review – Out of Range (Risk Score)",
  TRUE,"OK"
)</f>
        <v>OK</v>
      </c>
    </row>
    <row r="1464" spans="1:12" ht="16.8" x14ac:dyDescent="0.3">
      <c r="A1464" s="11" t="s">
        <v>2979</v>
      </c>
      <c r="B1464" s="11" t="s">
        <v>2980</v>
      </c>
      <c r="C1464" s="11">
        <v>31</v>
      </c>
      <c r="D1464" s="11" t="s">
        <v>41</v>
      </c>
      <c r="E1464" s="11" t="s">
        <v>42</v>
      </c>
      <c r="F1464" s="11" t="s">
        <v>43</v>
      </c>
      <c r="G1464" s="11" t="s">
        <v>94</v>
      </c>
      <c r="H1464" s="11" t="s">
        <v>45</v>
      </c>
      <c r="I1464" s="11" t="s">
        <v>45</v>
      </c>
      <c r="J1464" s="11">
        <v>0.73</v>
      </c>
      <c r="K1464" s="12">
        <v>44304</v>
      </c>
      <c r="L1464" s="13" t="str" cm="1">
        <f t="array" ref="L1464">_xlfn.IFS(
  OR(ISBLANK(A1464),ISBLANK(C1464),ISBLANK(J1464)),"Missing Value",
  OR(C1464&lt;18,C1464&gt;120),"Review – Out of Range (Age)",
  J1464&lt;0,"Review – Out of Range (Risk Score)",
  TRUE,"OK"
)</f>
        <v>OK</v>
      </c>
    </row>
    <row r="1465" spans="1:12" ht="16.8" x14ac:dyDescent="0.3">
      <c r="A1465" s="14" t="s">
        <v>2981</v>
      </c>
      <c r="B1465" s="14" t="s">
        <v>2982</v>
      </c>
      <c r="C1465" s="14">
        <v>40</v>
      </c>
      <c r="D1465" s="14" t="s">
        <v>41</v>
      </c>
      <c r="E1465" s="14" t="s">
        <v>50</v>
      </c>
      <c r="F1465" s="14" t="s">
        <v>51</v>
      </c>
      <c r="G1465" s="14" t="s">
        <v>52</v>
      </c>
      <c r="H1465" s="14" t="s">
        <v>46</v>
      </c>
      <c r="I1465" s="14" t="s">
        <v>45</v>
      </c>
      <c r="J1465" s="14">
        <v>0.54</v>
      </c>
      <c r="K1465" s="15">
        <v>45005</v>
      </c>
      <c r="L1465" s="13" t="str" cm="1">
        <f t="array" ref="L1465">_xlfn.IFS(
  OR(ISBLANK(A1465),ISBLANK(C1465),ISBLANK(J1465)),"Missing Value",
  OR(C1465&lt;18,C1465&gt;120),"Review – Out of Range (Age)",
  J1465&lt;0,"Review – Out of Range (Risk Score)",
  TRUE,"OK"
)</f>
        <v>OK</v>
      </c>
    </row>
    <row r="1466" spans="1:12" ht="16.8" x14ac:dyDescent="0.3">
      <c r="A1466" s="11" t="s">
        <v>2983</v>
      </c>
      <c r="B1466" s="11" t="s">
        <v>2984</v>
      </c>
      <c r="C1466" s="11">
        <v>32</v>
      </c>
      <c r="D1466" s="11" t="s">
        <v>41</v>
      </c>
      <c r="E1466" s="11" t="s">
        <v>58</v>
      </c>
      <c r="F1466" s="11" t="s">
        <v>43</v>
      </c>
      <c r="G1466" s="11" t="s">
        <v>60</v>
      </c>
      <c r="H1466" s="11" t="s">
        <v>46</v>
      </c>
      <c r="I1466" s="11" t="s">
        <v>45</v>
      </c>
      <c r="J1466" s="11">
        <v>0.61</v>
      </c>
      <c r="K1466" s="12">
        <v>43866</v>
      </c>
      <c r="L1466" s="13" t="str" cm="1">
        <f t="array" ref="L1466">_xlfn.IFS(
  OR(ISBLANK(A1466),ISBLANK(C1466),ISBLANK(J1466)),"Missing Value",
  OR(C1466&lt;18,C1466&gt;120),"Review – Out of Range (Age)",
  J1466&lt;0,"Review – Out of Range (Risk Score)",
  TRUE,"OK"
)</f>
        <v>OK</v>
      </c>
    </row>
    <row r="1467" spans="1:12" ht="16.8" x14ac:dyDescent="0.3">
      <c r="A1467" s="14" t="s">
        <v>2985</v>
      </c>
      <c r="B1467" s="14" t="s">
        <v>2986</v>
      </c>
      <c r="C1467" s="14">
        <v>45</v>
      </c>
      <c r="D1467" s="14" t="s">
        <v>49</v>
      </c>
      <c r="E1467" s="14" t="s">
        <v>58</v>
      </c>
      <c r="F1467" s="14" t="s">
        <v>65</v>
      </c>
      <c r="G1467" s="14" t="s">
        <v>52</v>
      </c>
      <c r="H1467" s="14" t="s">
        <v>45</v>
      </c>
      <c r="I1467" s="14" t="s">
        <v>46</v>
      </c>
      <c r="J1467" s="14">
        <v>0.48</v>
      </c>
      <c r="K1467" s="15">
        <v>44305</v>
      </c>
      <c r="L1467" s="13" t="str" cm="1">
        <f t="array" ref="L1467">_xlfn.IFS(
  OR(ISBLANK(A1467),ISBLANK(C1467),ISBLANK(J1467)),"Missing Value",
  OR(C1467&lt;18,C1467&gt;120),"Review – Out of Range (Age)",
  J1467&lt;0,"Review – Out of Range (Risk Score)",
  TRUE,"OK"
)</f>
        <v>OK</v>
      </c>
    </row>
    <row r="1468" spans="1:12" ht="16.8" x14ac:dyDescent="0.3">
      <c r="A1468" s="11" t="s">
        <v>2987</v>
      </c>
      <c r="B1468" s="11" t="s">
        <v>2988</v>
      </c>
      <c r="C1468" s="11">
        <v>38</v>
      </c>
      <c r="D1468" s="11" t="s">
        <v>49</v>
      </c>
      <c r="E1468" s="11" t="s">
        <v>42</v>
      </c>
      <c r="F1468" s="11" t="s">
        <v>51</v>
      </c>
      <c r="G1468" s="11" t="s">
        <v>109</v>
      </c>
      <c r="H1468" s="11" t="s">
        <v>46</v>
      </c>
      <c r="I1468" s="11" t="s">
        <v>45</v>
      </c>
      <c r="J1468" s="11">
        <v>0.78</v>
      </c>
      <c r="K1468" s="12">
        <v>44412</v>
      </c>
      <c r="L1468" s="13" t="str" cm="1">
        <f t="array" ref="L1468">_xlfn.IFS(
  OR(ISBLANK(A1468),ISBLANK(C1468),ISBLANK(J1468)),"Missing Value",
  OR(C1468&lt;18,C1468&gt;120),"Review – Out of Range (Age)",
  J1468&lt;0,"Review – Out of Range (Risk Score)",
  TRUE,"OK"
)</f>
        <v>OK</v>
      </c>
    </row>
    <row r="1469" spans="1:12" ht="16.8" x14ac:dyDescent="0.3">
      <c r="A1469" s="14" t="s">
        <v>2989</v>
      </c>
      <c r="B1469" s="14" t="s">
        <v>2990</v>
      </c>
      <c r="C1469" s="14">
        <v>41</v>
      </c>
      <c r="D1469" s="14" t="s">
        <v>41</v>
      </c>
      <c r="E1469" s="14" t="s">
        <v>42</v>
      </c>
      <c r="F1469" s="14" t="s">
        <v>51</v>
      </c>
      <c r="G1469" s="14" t="s">
        <v>44</v>
      </c>
      <c r="H1469" s="14" t="s">
        <v>45</v>
      </c>
      <c r="I1469" s="14" t="s">
        <v>46</v>
      </c>
      <c r="J1469" s="14">
        <v>0.41</v>
      </c>
      <c r="K1469" s="15">
        <v>43837</v>
      </c>
      <c r="L1469" s="13" t="str" cm="1">
        <f t="array" ref="L1469">_xlfn.IFS(
  OR(ISBLANK(A1469),ISBLANK(C1469),ISBLANK(J1469)),"Missing Value",
  OR(C1469&lt;18,C1469&gt;120),"Review – Out of Range (Age)",
  J1469&lt;0,"Review – Out of Range (Risk Score)",
  TRUE,"OK"
)</f>
        <v>OK</v>
      </c>
    </row>
    <row r="1470" spans="1:12" ht="16.8" x14ac:dyDescent="0.3">
      <c r="A1470" s="11" t="s">
        <v>2991</v>
      </c>
      <c r="B1470" s="11" t="s">
        <v>2992</v>
      </c>
      <c r="C1470" s="11">
        <v>31</v>
      </c>
      <c r="D1470" s="11" t="s">
        <v>49</v>
      </c>
      <c r="E1470" s="11" t="s">
        <v>50</v>
      </c>
      <c r="F1470" s="11" t="s">
        <v>65</v>
      </c>
      <c r="G1470" s="11" t="s">
        <v>60</v>
      </c>
      <c r="H1470" s="11" t="s">
        <v>46</v>
      </c>
      <c r="I1470" s="11" t="s">
        <v>46</v>
      </c>
      <c r="J1470" s="11">
        <v>0.37</v>
      </c>
      <c r="K1470" s="12">
        <v>43682</v>
      </c>
      <c r="L1470" s="13" t="str" cm="1">
        <f t="array" ref="L1470">_xlfn.IFS(
  OR(ISBLANK(A1470),ISBLANK(C1470),ISBLANK(J1470)),"Missing Value",
  OR(C1470&lt;18,C1470&gt;120),"Review – Out of Range (Age)",
  J1470&lt;0,"Review – Out of Range (Risk Score)",
  TRUE,"OK"
)</f>
        <v>OK</v>
      </c>
    </row>
    <row r="1471" spans="1:12" ht="16.8" x14ac:dyDescent="0.3">
      <c r="A1471" s="14" t="s">
        <v>2993</v>
      </c>
      <c r="B1471" s="14" t="s">
        <v>2994</v>
      </c>
      <c r="C1471" s="14">
        <v>48</v>
      </c>
      <c r="D1471" s="14" t="s">
        <v>49</v>
      </c>
      <c r="E1471" s="14" t="s">
        <v>42</v>
      </c>
      <c r="F1471" s="14" t="s">
        <v>65</v>
      </c>
      <c r="G1471" s="14" t="s">
        <v>55</v>
      </c>
      <c r="H1471" s="14" t="s">
        <v>45</v>
      </c>
      <c r="I1471" s="14" t="s">
        <v>45</v>
      </c>
      <c r="J1471" s="14">
        <v>0.68</v>
      </c>
      <c r="K1471" s="15">
        <v>45060</v>
      </c>
      <c r="L1471" s="13" t="str" cm="1">
        <f t="array" ref="L1471">_xlfn.IFS(
  OR(ISBLANK(A1471),ISBLANK(C1471),ISBLANK(J1471)),"Missing Value",
  OR(C1471&lt;18,C1471&gt;120),"Review – Out of Range (Age)",
  J1471&lt;0,"Review – Out of Range (Risk Score)",
  TRUE,"OK"
)</f>
        <v>OK</v>
      </c>
    </row>
    <row r="1472" spans="1:12" ht="16.8" x14ac:dyDescent="0.3">
      <c r="A1472" s="11" t="s">
        <v>2995</v>
      </c>
      <c r="B1472" s="11" t="s">
        <v>2996</v>
      </c>
      <c r="C1472" s="11">
        <v>48</v>
      </c>
      <c r="D1472" s="11" t="s">
        <v>49</v>
      </c>
      <c r="E1472" s="11" t="s">
        <v>42</v>
      </c>
      <c r="F1472" s="11" t="s">
        <v>43</v>
      </c>
      <c r="G1472" s="11" t="s">
        <v>44</v>
      </c>
      <c r="H1472" s="11" t="s">
        <v>45</v>
      </c>
      <c r="I1472" s="11" t="s">
        <v>45</v>
      </c>
      <c r="J1472" s="11">
        <v>0.56000000000000005</v>
      </c>
      <c r="K1472" s="12">
        <v>43763</v>
      </c>
      <c r="L1472" s="13" t="str" cm="1">
        <f t="array" ref="L1472">_xlfn.IFS(
  OR(ISBLANK(A1472),ISBLANK(C1472),ISBLANK(J1472)),"Missing Value",
  OR(C1472&lt;18,C1472&gt;120),"Review – Out of Range (Age)",
  J1472&lt;0,"Review – Out of Range (Risk Score)",
  TRUE,"OK"
)</f>
        <v>OK</v>
      </c>
    </row>
    <row r="1473" spans="1:12" ht="16.8" x14ac:dyDescent="0.3">
      <c r="A1473" s="14" t="s">
        <v>2997</v>
      </c>
      <c r="B1473" s="14" t="s">
        <v>2998</v>
      </c>
      <c r="C1473" s="14">
        <v>54</v>
      </c>
      <c r="D1473" s="14" t="s">
        <v>41</v>
      </c>
      <c r="E1473" s="14" t="s">
        <v>50</v>
      </c>
      <c r="F1473" s="14" t="s">
        <v>59</v>
      </c>
      <c r="G1473" s="14" t="s">
        <v>44</v>
      </c>
      <c r="H1473" s="14" t="s">
        <v>46</v>
      </c>
      <c r="I1473" s="14" t="s">
        <v>45</v>
      </c>
      <c r="J1473" s="14">
        <v>0.44</v>
      </c>
      <c r="K1473" s="15">
        <v>43561</v>
      </c>
      <c r="L1473" s="13" t="str" cm="1">
        <f t="array" ref="L1473">_xlfn.IFS(
  OR(ISBLANK(A1473),ISBLANK(C1473),ISBLANK(J1473)),"Missing Value",
  OR(C1473&lt;18,C1473&gt;120),"Review – Out of Range (Age)",
  J1473&lt;0,"Review – Out of Range (Risk Score)",
  TRUE,"OK"
)</f>
        <v>OK</v>
      </c>
    </row>
    <row r="1474" spans="1:12" ht="16.8" x14ac:dyDescent="0.3">
      <c r="A1474" s="11" t="s">
        <v>2999</v>
      </c>
      <c r="B1474" s="11" t="s">
        <v>3000</v>
      </c>
      <c r="C1474" s="11">
        <v>19</v>
      </c>
      <c r="D1474" s="11" t="s">
        <v>49</v>
      </c>
      <c r="E1474" s="11" t="s">
        <v>50</v>
      </c>
      <c r="F1474" s="11" t="s">
        <v>59</v>
      </c>
      <c r="G1474" s="11" t="s">
        <v>44</v>
      </c>
      <c r="H1474" s="11" t="s">
        <v>45</v>
      </c>
      <c r="I1474" s="11" t="s">
        <v>45</v>
      </c>
      <c r="J1474" s="11">
        <v>0.67</v>
      </c>
      <c r="K1474" s="12">
        <v>44667</v>
      </c>
      <c r="L1474" s="13" t="str" cm="1">
        <f t="array" ref="L1474">_xlfn.IFS(
  OR(ISBLANK(A1474),ISBLANK(C1474),ISBLANK(J1474)),"Missing Value",
  OR(C1474&lt;18,C1474&gt;120),"Review – Out of Range (Age)",
  J1474&lt;0,"Review – Out of Range (Risk Score)",
  TRUE,"OK"
)</f>
        <v>OK</v>
      </c>
    </row>
    <row r="1475" spans="1:12" ht="16.8" x14ac:dyDescent="0.3">
      <c r="A1475" s="14" t="s">
        <v>3001</v>
      </c>
      <c r="B1475" s="14" t="s">
        <v>3002</v>
      </c>
      <c r="C1475" s="14">
        <v>32</v>
      </c>
      <c r="D1475" s="14" t="s">
        <v>41</v>
      </c>
      <c r="E1475" s="14" t="s">
        <v>50</v>
      </c>
      <c r="F1475" s="14" t="s">
        <v>51</v>
      </c>
      <c r="G1475" s="14" t="s">
        <v>44</v>
      </c>
      <c r="H1475" s="14" t="s">
        <v>45</v>
      </c>
      <c r="I1475" s="14" t="s">
        <v>45</v>
      </c>
      <c r="J1475" s="14">
        <v>0.7</v>
      </c>
      <c r="K1475" s="15">
        <v>44476</v>
      </c>
      <c r="L1475" s="13" t="str" cm="1">
        <f t="array" ref="L1475">_xlfn.IFS(
  OR(ISBLANK(A1475),ISBLANK(C1475),ISBLANK(J1475)),"Missing Value",
  OR(C1475&lt;18,C1475&gt;120),"Review – Out of Range (Age)",
  J1475&lt;0,"Review – Out of Range (Risk Score)",
  TRUE,"OK"
)</f>
        <v>OK</v>
      </c>
    </row>
    <row r="1476" spans="1:12" ht="16.8" x14ac:dyDescent="0.3">
      <c r="A1476" s="11" t="s">
        <v>3003</v>
      </c>
      <c r="B1476" s="11" t="s">
        <v>3004</v>
      </c>
      <c r="C1476" s="11">
        <v>37</v>
      </c>
      <c r="D1476" s="11" t="s">
        <v>41</v>
      </c>
      <c r="E1476" s="11" t="s">
        <v>42</v>
      </c>
      <c r="F1476" s="11" t="s">
        <v>51</v>
      </c>
      <c r="G1476" s="11" t="s">
        <v>55</v>
      </c>
      <c r="H1476" s="11" t="s">
        <v>46</v>
      </c>
      <c r="I1476" s="11" t="s">
        <v>46</v>
      </c>
      <c r="J1476" s="11">
        <v>0.89</v>
      </c>
      <c r="K1476" s="12">
        <v>45085</v>
      </c>
      <c r="L1476" s="13" t="str" cm="1">
        <f t="array" ref="L1476">_xlfn.IFS(
  OR(ISBLANK(A1476),ISBLANK(C1476),ISBLANK(J1476)),"Missing Value",
  OR(C1476&lt;18,C1476&gt;120),"Review – Out of Range (Age)",
  J1476&lt;0,"Review – Out of Range (Risk Score)",
  TRUE,"OK"
)</f>
        <v>OK</v>
      </c>
    </row>
    <row r="1477" spans="1:12" ht="16.8" x14ac:dyDescent="0.3">
      <c r="A1477" s="14" t="s">
        <v>3005</v>
      </c>
      <c r="B1477" s="14" t="s">
        <v>3006</v>
      </c>
      <c r="C1477" s="14">
        <v>26</v>
      </c>
      <c r="D1477" s="14" t="s">
        <v>49</v>
      </c>
      <c r="E1477" s="14" t="s">
        <v>42</v>
      </c>
      <c r="F1477" s="14" t="s">
        <v>59</v>
      </c>
      <c r="G1477" s="14" t="s">
        <v>94</v>
      </c>
      <c r="H1477" s="14" t="s">
        <v>45</v>
      </c>
      <c r="I1477" s="14" t="s">
        <v>46</v>
      </c>
      <c r="J1477" s="14">
        <v>0.99</v>
      </c>
      <c r="K1477" s="15">
        <v>44251</v>
      </c>
      <c r="L1477" s="13" t="str" cm="1">
        <f t="array" ref="L1477">_xlfn.IFS(
  OR(ISBLANK(A1477),ISBLANK(C1477),ISBLANK(J1477)),"Missing Value",
  OR(C1477&lt;18,C1477&gt;120),"Review – Out of Range (Age)",
  J1477&lt;0,"Review – Out of Range (Risk Score)",
  TRUE,"OK"
)</f>
        <v>OK</v>
      </c>
    </row>
    <row r="1478" spans="1:12" ht="16.8" x14ac:dyDescent="0.3">
      <c r="A1478" s="11" t="s">
        <v>3007</v>
      </c>
      <c r="B1478" s="11" t="s">
        <v>3008</v>
      </c>
      <c r="C1478" s="11">
        <v>24</v>
      </c>
      <c r="D1478" s="11" t="s">
        <v>49</v>
      </c>
      <c r="E1478" s="11" t="s">
        <v>42</v>
      </c>
      <c r="F1478" s="11" t="s">
        <v>59</v>
      </c>
      <c r="G1478" s="11" t="s">
        <v>109</v>
      </c>
      <c r="H1478" s="11" t="s">
        <v>46</v>
      </c>
      <c r="I1478" s="11" t="s">
        <v>46</v>
      </c>
      <c r="J1478" s="11">
        <v>0.59</v>
      </c>
      <c r="K1478" s="12">
        <v>44010</v>
      </c>
      <c r="L1478" s="13" t="str" cm="1">
        <f t="array" ref="L1478">_xlfn.IFS(
  OR(ISBLANK(A1478),ISBLANK(C1478),ISBLANK(J1478)),"Missing Value",
  OR(C1478&lt;18,C1478&gt;120),"Review – Out of Range (Age)",
  J1478&lt;0,"Review – Out of Range (Risk Score)",
  TRUE,"OK"
)</f>
        <v>OK</v>
      </c>
    </row>
    <row r="1479" spans="1:12" ht="16.8" x14ac:dyDescent="0.3">
      <c r="A1479" s="14" t="s">
        <v>3009</v>
      </c>
      <c r="B1479" s="14" t="s">
        <v>3010</v>
      </c>
      <c r="C1479" s="14">
        <v>45</v>
      </c>
      <c r="D1479" s="14" t="s">
        <v>49</v>
      </c>
      <c r="E1479" s="14" t="s">
        <v>42</v>
      </c>
      <c r="F1479" s="14" t="s">
        <v>65</v>
      </c>
      <c r="G1479" s="14" t="s">
        <v>60</v>
      </c>
      <c r="H1479" s="14" t="s">
        <v>46</v>
      </c>
      <c r="I1479" s="14" t="s">
        <v>46</v>
      </c>
      <c r="J1479" s="14">
        <v>0.71</v>
      </c>
      <c r="K1479" s="15">
        <v>45035</v>
      </c>
      <c r="L1479" s="13" t="str" cm="1">
        <f t="array" ref="L1479">_xlfn.IFS(
  OR(ISBLANK(A1479),ISBLANK(C1479),ISBLANK(J1479)),"Missing Value",
  OR(C1479&lt;18,C1479&gt;120),"Review – Out of Range (Age)",
  J1479&lt;0,"Review – Out of Range (Risk Score)",
  TRUE,"OK"
)</f>
        <v>OK</v>
      </c>
    </row>
    <row r="1480" spans="1:12" ht="16.8" x14ac:dyDescent="0.3">
      <c r="A1480" s="11" t="s">
        <v>3011</v>
      </c>
      <c r="B1480" s="11" t="s">
        <v>3012</v>
      </c>
      <c r="C1480" s="11">
        <v>19</v>
      </c>
      <c r="D1480" s="11" t="s">
        <v>49</v>
      </c>
      <c r="E1480" s="11" t="s">
        <v>58</v>
      </c>
      <c r="F1480" s="11" t="s">
        <v>59</v>
      </c>
      <c r="G1480" s="11" t="s">
        <v>44</v>
      </c>
      <c r="H1480" s="11" t="s">
        <v>46</v>
      </c>
      <c r="I1480" s="11" t="s">
        <v>46</v>
      </c>
      <c r="J1480" s="11">
        <v>0.28999999999999998</v>
      </c>
      <c r="K1480" s="12">
        <v>43690</v>
      </c>
      <c r="L1480" s="13" t="str" cm="1">
        <f t="array" ref="L1480">_xlfn.IFS(
  OR(ISBLANK(A1480),ISBLANK(C1480),ISBLANK(J1480)),"Missing Value",
  OR(C1480&lt;18,C1480&gt;120),"Review – Out of Range (Age)",
  J1480&lt;0,"Review – Out of Range (Risk Score)",
  TRUE,"OK"
)</f>
        <v>OK</v>
      </c>
    </row>
    <row r="1481" spans="1:12" ht="16.8" x14ac:dyDescent="0.3">
      <c r="A1481" s="14" t="s">
        <v>3013</v>
      </c>
      <c r="B1481" s="14" t="s">
        <v>3014</v>
      </c>
      <c r="C1481" s="14">
        <v>63</v>
      </c>
      <c r="D1481" s="14" t="s">
        <v>49</v>
      </c>
      <c r="E1481" s="14" t="s">
        <v>58</v>
      </c>
      <c r="F1481" s="14" t="s">
        <v>59</v>
      </c>
      <c r="G1481" s="14" t="s">
        <v>109</v>
      </c>
      <c r="H1481" s="14" t="s">
        <v>46</v>
      </c>
      <c r="I1481" s="14" t="s">
        <v>46</v>
      </c>
      <c r="J1481" s="14">
        <v>0.76</v>
      </c>
      <c r="K1481" s="15">
        <v>44719</v>
      </c>
      <c r="L1481" s="13" t="str" cm="1">
        <f t="array" ref="L1481">_xlfn.IFS(
  OR(ISBLANK(A1481),ISBLANK(C1481),ISBLANK(J1481)),"Missing Value",
  OR(C1481&lt;18,C1481&gt;120),"Review – Out of Range (Age)",
  J1481&lt;0,"Review – Out of Range (Risk Score)",
  TRUE,"OK"
)</f>
        <v>OK</v>
      </c>
    </row>
    <row r="1482" spans="1:12" ht="16.8" x14ac:dyDescent="0.3">
      <c r="A1482" s="11" t="s">
        <v>3015</v>
      </c>
      <c r="B1482" s="11" t="s">
        <v>3016</v>
      </c>
      <c r="C1482" s="11">
        <v>21</v>
      </c>
      <c r="D1482" s="11" t="s">
        <v>41</v>
      </c>
      <c r="E1482" s="11" t="s">
        <v>50</v>
      </c>
      <c r="F1482" s="11" t="s">
        <v>65</v>
      </c>
      <c r="G1482" s="11" t="s">
        <v>109</v>
      </c>
      <c r="H1482" s="11" t="s">
        <v>46</v>
      </c>
      <c r="I1482" s="11" t="s">
        <v>45</v>
      </c>
      <c r="J1482" s="11">
        <v>0.11</v>
      </c>
      <c r="K1482" s="12">
        <v>43409</v>
      </c>
      <c r="L1482" s="13" t="str" cm="1">
        <f t="array" ref="L1482">_xlfn.IFS(
  OR(ISBLANK(A1482),ISBLANK(C1482),ISBLANK(J1482)),"Missing Value",
  OR(C1482&lt;18,C1482&gt;120),"Review – Out of Range (Age)",
  J1482&lt;0,"Review – Out of Range (Risk Score)",
  TRUE,"OK"
)</f>
        <v>OK</v>
      </c>
    </row>
    <row r="1483" spans="1:12" ht="16.8" x14ac:dyDescent="0.3">
      <c r="A1483" s="14" t="s">
        <v>3017</v>
      </c>
      <c r="B1483" s="14" t="s">
        <v>880</v>
      </c>
      <c r="C1483" s="14">
        <v>25</v>
      </c>
      <c r="D1483" s="14" t="s">
        <v>41</v>
      </c>
      <c r="E1483" s="14" t="s">
        <v>50</v>
      </c>
      <c r="F1483" s="14" t="s">
        <v>51</v>
      </c>
      <c r="G1483" s="14" t="s">
        <v>109</v>
      </c>
      <c r="H1483" s="14" t="s">
        <v>46</v>
      </c>
      <c r="I1483" s="14" t="s">
        <v>45</v>
      </c>
      <c r="J1483" s="14">
        <v>0.42</v>
      </c>
      <c r="K1483" s="15">
        <v>43180</v>
      </c>
      <c r="L1483" s="13" t="str" cm="1">
        <f t="array" ref="L1483">_xlfn.IFS(
  OR(ISBLANK(A1483),ISBLANK(C1483),ISBLANK(J1483)),"Missing Value",
  OR(C1483&lt;18,C1483&gt;120),"Review – Out of Range (Age)",
  J1483&lt;0,"Review – Out of Range (Risk Score)",
  TRUE,"OK"
)</f>
        <v>OK</v>
      </c>
    </row>
    <row r="1484" spans="1:12" ht="16.8" x14ac:dyDescent="0.3">
      <c r="A1484" s="11" t="s">
        <v>3018</v>
      </c>
      <c r="B1484" s="11" t="s">
        <v>3019</v>
      </c>
      <c r="C1484" s="11">
        <v>40</v>
      </c>
      <c r="D1484" s="11" t="s">
        <v>41</v>
      </c>
      <c r="E1484" s="11" t="s">
        <v>42</v>
      </c>
      <c r="F1484" s="11" t="s">
        <v>43</v>
      </c>
      <c r="G1484" s="11" t="s">
        <v>94</v>
      </c>
      <c r="H1484" s="11" t="s">
        <v>46</v>
      </c>
      <c r="I1484" s="11" t="s">
        <v>45</v>
      </c>
      <c r="J1484" s="11">
        <v>0.34</v>
      </c>
      <c r="K1484" s="12">
        <v>43701</v>
      </c>
      <c r="L1484" s="13" t="str" cm="1">
        <f t="array" ref="L1484">_xlfn.IFS(
  OR(ISBLANK(A1484),ISBLANK(C1484),ISBLANK(J1484)),"Missing Value",
  OR(C1484&lt;18,C1484&gt;120),"Review – Out of Range (Age)",
  J1484&lt;0,"Review – Out of Range (Risk Score)",
  TRUE,"OK"
)</f>
        <v>OK</v>
      </c>
    </row>
    <row r="1485" spans="1:12" ht="16.8" x14ac:dyDescent="0.3">
      <c r="A1485" s="14" t="s">
        <v>3020</v>
      </c>
      <c r="B1485" s="14" t="s">
        <v>3021</v>
      </c>
      <c r="C1485" s="14">
        <v>53</v>
      </c>
      <c r="D1485" s="14" t="s">
        <v>49</v>
      </c>
      <c r="E1485" s="14" t="s">
        <v>42</v>
      </c>
      <c r="F1485" s="14" t="s">
        <v>43</v>
      </c>
      <c r="G1485" s="14" t="s">
        <v>44</v>
      </c>
      <c r="H1485" s="14" t="s">
        <v>46</v>
      </c>
      <c r="I1485" s="14" t="s">
        <v>46</v>
      </c>
      <c r="J1485" s="14">
        <v>0.86</v>
      </c>
      <c r="K1485" s="15">
        <v>45084</v>
      </c>
      <c r="L1485" s="13" t="str" cm="1">
        <f t="array" ref="L1485">_xlfn.IFS(
  OR(ISBLANK(A1485),ISBLANK(C1485),ISBLANK(J1485)),"Missing Value",
  OR(C1485&lt;18,C1485&gt;120),"Review – Out of Range (Age)",
  J1485&lt;0,"Review – Out of Range (Risk Score)",
  TRUE,"OK"
)</f>
        <v>OK</v>
      </c>
    </row>
    <row r="1486" spans="1:12" ht="16.8" x14ac:dyDescent="0.3">
      <c r="A1486" s="11" t="s">
        <v>3022</v>
      </c>
      <c r="B1486" s="11" t="s">
        <v>3023</v>
      </c>
      <c r="C1486" s="11">
        <v>44</v>
      </c>
      <c r="D1486" s="11" t="s">
        <v>41</v>
      </c>
      <c r="E1486" s="11" t="s">
        <v>42</v>
      </c>
      <c r="F1486" s="11" t="s">
        <v>59</v>
      </c>
      <c r="G1486" s="11" t="s">
        <v>55</v>
      </c>
      <c r="H1486" s="11" t="s">
        <v>45</v>
      </c>
      <c r="I1486" s="11" t="s">
        <v>45</v>
      </c>
      <c r="J1486" s="11">
        <v>0.75</v>
      </c>
      <c r="K1486" s="12">
        <v>44076</v>
      </c>
      <c r="L1486" s="13" t="str" cm="1">
        <f t="array" ref="L1486">_xlfn.IFS(
  OR(ISBLANK(A1486),ISBLANK(C1486),ISBLANK(J1486)),"Missing Value",
  OR(C1486&lt;18,C1486&gt;120),"Review – Out of Range (Age)",
  J1486&lt;0,"Review – Out of Range (Risk Score)",
  TRUE,"OK"
)</f>
        <v>OK</v>
      </c>
    </row>
    <row r="1487" spans="1:12" ht="16.8" x14ac:dyDescent="0.3">
      <c r="A1487" s="14" t="s">
        <v>3024</v>
      </c>
      <c r="B1487" s="14" t="s">
        <v>3025</v>
      </c>
      <c r="C1487" s="14">
        <v>30</v>
      </c>
      <c r="D1487" s="14" t="s">
        <v>41</v>
      </c>
      <c r="E1487" s="14" t="s">
        <v>58</v>
      </c>
      <c r="F1487" s="14" t="s">
        <v>51</v>
      </c>
      <c r="G1487" s="14" t="s">
        <v>55</v>
      </c>
      <c r="H1487" s="14" t="s">
        <v>45</v>
      </c>
      <c r="I1487" s="14" t="s">
        <v>46</v>
      </c>
      <c r="J1487" s="14">
        <v>0.49</v>
      </c>
      <c r="K1487" s="15">
        <v>43862</v>
      </c>
      <c r="L1487" s="13" t="str" cm="1">
        <f t="array" ref="L1487">_xlfn.IFS(
  OR(ISBLANK(A1487),ISBLANK(C1487),ISBLANK(J1487)),"Missing Value",
  OR(C1487&lt;18,C1487&gt;120),"Review – Out of Range (Age)",
  J1487&lt;0,"Review – Out of Range (Risk Score)",
  TRUE,"OK"
)</f>
        <v>OK</v>
      </c>
    </row>
    <row r="1488" spans="1:12" ht="16.8" x14ac:dyDescent="0.3">
      <c r="A1488" s="11" t="s">
        <v>3026</v>
      </c>
      <c r="B1488" s="11" t="s">
        <v>3027</v>
      </c>
      <c r="C1488" s="11">
        <v>67</v>
      </c>
      <c r="D1488" s="11" t="s">
        <v>41</v>
      </c>
      <c r="E1488" s="11" t="s">
        <v>58</v>
      </c>
      <c r="F1488" s="11" t="s">
        <v>51</v>
      </c>
      <c r="G1488" s="11" t="s">
        <v>109</v>
      </c>
      <c r="H1488" s="11" t="s">
        <v>45</v>
      </c>
      <c r="I1488" s="11" t="s">
        <v>46</v>
      </c>
      <c r="J1488" s="11">
        <v>0.2</v>
      </c>
      <c r="K1488" s="12">
        <v>44314</v>
      </c>
      <c r="L1488" s="13" t="str" cm="1">
        <f t="array" ref="L1488">_xlfn.IFS(
  OR(ISBLANK(A1488),ISBLANK(C1488),ISBLANK(J1488)),"Missing Value",
  OR(C1488&lt;18,C1488&gt;120),"Review – Out of Range (Age)",
  J1488&lt;0,"Review – Out of Range (Risk Score)",
  TRUE,"OK"
)</f>
        <v>OK</v>
      </c>
    </row>
    <row r="1489" spans="1:12" ht="16.8" x14ac:dyDescent="0.3">
      <c r="A1489" s="14" t="s">
        <v>3028</v>
      </c>
      <c r="B1489" s="14" t="s">
        <v>3029</v>
      </c>
      <c r="C1489" s="14">
        <v>49</v>
      </c>
      <c r="D1489" s="14" t="s">
        <v>49</v>
      </c>
      <c r="E1489" s="14" t="s">
        <v>42</v>
      </c>
      <c r="F1489" s="14" t="s">
        <v>59</v>
      </c>
      <c r="G1489" s="14" t="s">
        <v>60</v>
      </c>
      <c r="H1489" s="14" t="s">
        <v>45</v>
      </c>
      <c r="I1489" s="14" t="s">
        <v>45</v>
      </c>
      <c r="J1489" s="14">
        <v>0.69</v>
      </c>
      <c r="K1489" s="15">
        <v>43120</v>
      </c>
      <c r="L1489" s="13" t="str" cm="1">
        <f t="array" ref="L1489">_xlfn.IFS(
  OR(ISBLANK(A1489),ISBLANK(C1489),ISBLANK(J1489)),"Missing Value",
  OR(C1489&lt;18,C1489&gt;120),"Review – Out of Range (Age)",
  J1489&lt;0,"Review – Out of Range (Risk Score)",
  TRUE,"OK"
)</f>
        <v>OK</v>
      </c>
    </row>
    <row r="1490" spans="1:12" ht="16.8" x14ac:dyDescent="0.3">
      <c r="A1490" s="11" t="s">
        <v>3030</v>
      </c>
      <c r="B1490" s="11" t="s">
        <v>3031</v>
      </c>
      <c r="C1490" s="11">
        <v>53</v>
      </c>
      <c r="D1490" s="11" t="s">
        <v>49</v>
      </c>
      <c r="E1490" s="11" t="s">
        <v>58</v>
      </c>
      <c r="F1490" s="11" t="s">
        <v>65</v>
      </c>
      <c r="G1490" s="11" t="s">
        <v>60</v>
      </c>
      <c r="H1490" s="11" t="s">
        <v>45</v>
      </c>
      <c r="I1490" s="11" t="s">
        <v>45</v>
      </c>
      <c r="J1490" s="11">
        <v>0.54</v>
      </c>
      <c r="K1490" s="12">
        <v>44349</v>
      </c>
      <c r="L1490" s="13" t="str" cm="1">
        <f t="array" ref="L1490">_xlfn.IFS(
  OR(ISBLANK(A1490),ISBLANK(C1490),ISBLANK(J1490)),"Missing Value",
  OR(C1490&lt;18,C1490&gt;120),"Review – Out of Range (Age)",
  J1490&lt;0,"Review – Out of Range (Risk Score)",
  TRUE,"OK"
)</f>
        <v>OK</v>
      </c>
    </row>
    <row r="1491" spans="1:12" ht="16.8" x14ac:dyDescent="0.3">
      <c r="A1491" s="14" t="s">
        <v>3032</v>
      </c>
      <c r="B1491" s="14" t="s">
        <v>3033</v>
      </c>
      <c r="C1491" s="14">
        <v>67</v>
      </c>
      <c r="D1491" s="14" t="s">
        <v>49</v>
      </c>
      <c r="E1491" s="14" t="s">
        <v>42</v>
      </c>
      <c r="F1491" s="14" t="s">
        <v>51</v>
      </c>
      <c r="G1491" s="14" t="s">
        <v>109</v>
      </c>
      <c r="H1491" s="14" t="s">
        <v>46</v>
      </c>
      <c r="I1491" s="14" t="s">
        <v>46</v>
      </c>
      <c r="J1491" s="14">
        <v>0.42</v>
      </c>
      <c r="K1491" s="15">
        <v>43652</v>
      </c>
      <c r="L1491" s="13" t="str" cm="1">
        <f t="array" ref="L1491">_xlfn.IFS(
  OR(ISBLANK(A1491),ISBLANK(C1491),ISBLANK(J1491)),"Missing Value",
  OR(C1491&lt;18,C1491&gt;120),"Review – Out of Range (Age)",
  J1491&lt;0,"Review – Out of Range (Risk Score)",
  TRUE,"OK"
)</f>
        <v>OK</v>
      </c>
    </row>
    <row r="1492" spans="1:12" ht="16.8" x14ac:dyDescent="0.3">
      <c r="A1492" s="11" t="s">
        <v>3034</v>
      </c>
      <c r="B1492" s="11" t="s">
        <v>3035</v>
      </c>
      <c r="C1492" s="11">
        <v>52</v>
      </c>
      <c r="D1492" s="11" t="s">
        <v>41</v>
      </c>
      <c r="E1492" s="11" t="s">
        <v>58</v>
      </c>
      <c r="F1492" s="11" t="s">
        <v>59</v>
      </c>
      <c r="G1492" s="11" t="s">
        <v>60</v>
      </c>
      <c r="H1492" s="11" t="s">
        <v>46</v>
      </c>
      <c r="I1492" s="11" t="s">
        <v>46</v>
      </c>
      <c r="J1492" s="11">
        <v>0.75</v>
      </c>
      <c r="K1492" s="12">
        <v>44178</v>
      </c>
      <c r="L1492" s="13" t="str" cm="1">
        <f t="array" ref="L1492">_xlfn.IFS(
  OR(ISBLANK(A1492),ISBLANK(C1492),ISBLANK(J1492)),"Missing Value",
  OR(C1492&lt;18,C1492&gt;120),"Review – Out of Range (Age)",
  J1492&lt;0,"Review – Out of Range (Risk Score)",
  TRUE,"OK"
)</f>
        <v>OK</v>
      </c>
    </row>
    <row r="1493" spans="1:12" ht="16.8" x14ac:dyDescent="0.3">
      <c r="A1493" s="14" t="s">
        <v>3036</v>
      </c>
      <c r="B1493" s="14" t="s">
        <v>3037</v>
      </c>
      <c r="C1493" s="14">
        <v>53</v>
      </c>
      <c r="D1493" s="14" t="s">
        <v>49</v>
      </c>
      <c r="E1493" s="14" t="s">
        <v>58</v>
      </c>
      <c r="F1493" s="14" t="s">
        <v>65</v>
      </c>
      <c r="G1493" s="14" t="s">
        <v>55</v>
      </c>
      <c r="H1493" s="14" t="s">
        <v>45</v>
      </c>
      <c r="I1493" s="14" t="s">
        <v>46</v>
      </c>
      <c r="J1493" s="14">
        <v>0.53</v>
      </c>
      <c r="K1493" s="15">
        <v>44873</v>
      </c>
      <c r="L1493" s="13" t="str" cm="1">
        <f t="array" ref="L1493">_xlfn.IFS(
  OR(ISBLANK(A1493),ISBLANK(C1493),ISBLANK(J1493)),"Missing Value",
  OR(C1493&lt;18,C1493&gt;120),"Review – Out of Range (Age)",
  J1493&lt;0,"Review – Out of Range (Risk Score)",
  TRUE,"OK"
)</f>
        <v>OK</v>
      </c>
    </row>
    <row r="1494" spans="1:12" ht="16.8" x14ac:dyDescent="0.3">
      <c r="A1494" s="11" t="s">
        <v>3038</v>
      </c>
      <c r="B1494" s="11" t="s">
        <v>3039</v>
      </c>
      <c r="C1494" s="11">
        <v>32</v>
      </c>
      <c r="D1494" s="11" t="s">
        <v>41</v>
      </c>
      <c r="E1494" s="11" t="s">
        <v>50</v>
      </c>
      <c r="F1494" s="11" t="s">
        <v>43</v>
      </c>
      <c r="G1494" s="11" t="s">
        <v>44</v>
      </c>
      <c r="H1494" s="11" t="s">
        <v>45</v>
      </c>
      <c r="I1494" s="11" t="s">
        <v>45</v>
      </c>
      <c r="J1494" s="11">
        <v>0.69</v>
      </c>
      <c r="K1494" s="12">
        <v>43352</v>
      </c>
      <c r="L1494" s="13" t="str" cm="1">
        <f t="array" ref="L1494">_xlfn.IFS(
  OR(ISBLANK(A1494),ISBLANK(C1494),ISBLANK(J1494)),"Missing Value",
  OR(C1494&lt;18,C1494&gt;120),"Review – Out of Range (Age)",
  J1494&lt;0,"Review – Out of Range (Risk Score)",
  TRUE,"OK"
)</f>
        <v>OK</v>
      </c>
    </row>
    <row r="1495" spans="1:12" ht="16.8" x14ac:dyDescent="0.3">
      <c r="A1495" s="14" t="s">
        <v>3040</v>
      </c>
      <c r="B1495" s="14" t="s">
        <v>3041</v>
      </c>
      <c r="C1495" s="14">
        <v>18</v>
      </c>
      <c r="D1495" s="14" t="s">
        <v>41</v>
      </c>
      <c r="E1495" s="14" t="s">
        <v>42</v>
      </c>
      <c r="F1495" s="14" t="s">
        <v>59</v>
      </c>
      <c r="G1495" s="14" t="s">
        <v>44</v>
      </c>
      <c r="H1495" s="14" t="s">
        <v>45</v>
      </c>
      <c r="I1495" s="14" t="s">
        <v>45</v>
      </c>
      <c r="J1495" s="14">
        <v>0.31</v>
      </c>
      <c r="K1495" s="15">
        <v>44524</v>
      </c>
      <c r="L1495" s="13" t="str" cm="1">
        <f t="array" ref="L1495">_xlfn.IFS(
  OR(ISBLANK(A1495),ISBLANK(C1495),ISBLANK(J1495)),"Missing Value",
  OR(C1495&lt;18,C1495&gt;120),"Review – Out of Range (Age)",
  J1495&lt;0,"Review – Out of Range (Risk Score)",
  TRUE,"OK"
)</f>
        <v>OK</v>
      </c>
    </row>
    <row r="1496" spans="1:12" ht="16.8" x14ac:dyDescent="0.3">
      <c r="A1496" s="11" t="s">
        <v>3042</v>
      </c>
      <c r="B1496" s="11" t="s">
        <v>3043</v>
      </c>
      <c r="C1496" s="11">
        <v>65</v>
      </c>
      <c r="D1496" s="11" t="s">
        <v>41</v>
      </c>
      <c r="E1496" s="11" t="s">
        <v>58</v>
      </c>
      <c r="F1496" s="11" t="s">
        <v>59</v>
      </c>
      <c r="G1496" s="11" t="s">
        <v>44</v>
      </c>
      <c r="H1496" s="11" t="s">
        <v>46</v>
      </c>
      <c r="I1496" s="11" t="s">
        <v>45</v>
      </c>
      <c r="J1496" s="11">
        <v>0.72</v>
      </c>
      <c r="K1496" s="12">
        <v>43908</v>
      </c>
      <c r="L1496" s="13" t="str" cm="1">
        <f t="array" ref="L1496">_xlfn.IFS(
  OR(ISBLANK(A1496),ISBLANK(C1496),ISBLANK(J1496)),"Missing Value",
  OR(C1496&lt;18,C1496&gt;120),"Review – Out of Range (Age)",
  J1496&lt;0,"Review – Out of Range (Risk Score)",
  TRUE,"OK"
)</f>
        <v>OK</v>
      </c>
    </row>
    <row r="1497" spans="1:12" ht="16.8" x14ac:dyDescent="0.3">
      <c r="A1497" s="14" t="s">
        <v>3044</v>
      </c>
      <c r="B1497" s="14" t="s">
        <v>3045</v>
      </c>
      <c r="C1497" s="14">
        <v>21</v>
      </c>
      <c r="D1497" s="14" t="s">
        <v>49</v>
      </c>
      <c r="E1497" s="14" t="s">
        <v>42</v>
      </c>
      <c r="F1497" s="14" t="s">
        <v>65</v>
      </c>
      <c r="G1497" s="14" t="s">
        <v>109</v>
      </c>
      <c r="H1497" s="14" t="s">
        <v>46</v>
      </c>
      <c r="I1497" s="14" t="s">
        <v>45</v>
      </c>
      <c r="J1497" s="14">
        <v>0.49</v>
      </c>
      <c r="K1497" s="15">
        <v>43737</v>
      </c>
      <c r="L1497" s="13" t="str" cm="1">
        <f t="array" ref="L1497">_xlfn.IFS(
  OR(ISBLANK(A1497),ISBLANK(C1497),ISBLANK(J1497)),"Missing Value",
  OR(C1497&lt;18,C1497&gt;120),"Review – Out of Range (Age)",
  J1497&lt;0,"Review – Out of Range (Risk Score)",
  TRUE,"OK"
)</f>
        <v>OK</v>
      </c>
    </row>
    <row r="1498" spans="1:12" ht="16.8" x14ac:dyDescent="0.3">
      <c r="A1498" s="11" t="s">
        <v>3046</v>
      </c>
      <c r="B1498" s="11" t="s">
        <v>3047</v>
      </c>
      <c r="C1498" s="11">
        <v>33</v>
      </c>
      <c r="D1498" s="11" t="s">
        <v>49</v>
      </c>
      <c r="E1498" s="11" t="s">
        <v>42</v>
      </c>
      <c r="F1498" s="11" t="s">
        <v>59</v>
      </c>
      <c r="G1498" s="11" t="s">
        <v>60</v>
      </c>
      <c r="H1498" s="11" t="s">
        <v>46</v>
      </c>
      <c r="I1498" s="11" t="s">
        <v>46</v>
      </c>
      <c r="J1498" s="11">
        <v>0.46</v>
      </c>
      <c r="K1498" s="12">
        <v>44336</v>
      </c>
      <c r="L1498" s="13" t="str" cm="1">
        <f t="array" ref="L1498">_xlfn.IFS(
  OR(ISBLANK(A1498),ISBLANK(C1498),ISBLANK(J1498)),"Missing Value",
  OR(C1498&lt;18,C1498&gt;120),"Review – Out of Range (Age)",
  J1498&lt;0,"Review – Out of Range (Risk Score)",
  TRUE,"OK"
)</f>
        <v>OK</v>
      </c>
    </row>
    <row r="1499" spans="1:12" ht="16.8" x14ac:dyDescent="0.3">
      <c r="A1499" s="14" t="s">
        <v>3048</v>
      </c>
      <c r="B1499" s="14" t="s">
        <v>3049</v>
      </c>
      <c r="C1499" s="14">
        <v>47</v>
      </c>
      <c r="D1499" s="14" t="s">
        <v>41</v>
      </c>
      <c r="E1499" s="14" t="s">
        <v>50</v>
      </c>
      <c r="F1499" s="14" t="s">
        <v>65</v>
      </c>
      <c r="G1499" s="14" t="s">
        <v>55</v>
      </c>
      <c r="H1499" s="14" t="s">
        <v>46</v>
      </c>
      <c r="I1499" s="14" t="s">
        <v>46</v>
      </c>
      <c r="J1499" s="14">
        <v>0.32</v>
      </c>
      <c r="K1499" s="15">
        <v>43790</v>
      </c>
      <c r="L1499" s="13" t="str" cm="1">
        <f t="array" ref="L1499">_xlfn.IFS(
  OR(ISBLANK(A1499),ISBLANK(C1499),ISBLANK(J1499)),"Missing Value",
  OR(C1499&lt;18,C1499&gt;120),"Review – Out of Range (Age)",
  J1499&lt;0,"Review – Out of Range (Risk Score)",
  TRUE,"OK"
)</f>
        <v>OK</v>
      </c>
    </row>
    <row r="1500" spans="1:12" ht="16.8" x14ac:dyDescent="0.3">
      <c r="A1500" s="11" t="s">
        <v>3050</v>
      </c>
      <c r="B1500" s="11" t="s">
        <v>3051</v>
      </c>
      <c r="C1500" s="11">
        <v>45</v>
      </c>
      <c r="D1500" s="11" t="s">
        <v>41</v>
      </c>
      <c r="E1500" s="11" t="s">
        <v>42</v>
      </c>
      <c r="F1500" s="11" t="s">
        <v>43</v>
      </c>
      <c r="G1500" s="11" t="s">
        <v>55</v>
      </c>
      <c r="H1500" s="11" t="s">
        <v>46</v>
      </c>
      <c r="I1500" s="11" t="s">
        <v>45</v>
      </c>
      <c r="J1500" s="11">
        <v>0.28999999999999998</v>
      </c>
      <c r="K1500" s="12">
        <v>44044</v>
      </c>
      <c r="L1500" s="13" t="str" cm="1">
        <f t="array" ref="L1500">_xlfn.IFS(
  OR(ISBLANK(A1500),ISBLANK(C1500),ISBLANK(J1500)),"Missing Value",
  OR(C1500&lt;18,C1500&gt;120),"Review – Out of Range (Age)",
  J1500&lt;0,"Review – Out of Range (Risk Score)",
  TRUE,"OK"
)</f>
        <v>OK</v>
      </c>
    </row>
    <row r="1501" spans="1:12" ht="16.8" x14ac:dyDescent="0.3">
      <c r="A1501" s="14" t="s">
        <v>3052</v>
      </c>
      <c r="B1501" s="14" t="s">
        <v>3053</v>
      </c>
      <c r="C1501" s="14">
        <v>52</v>
      </c>
      <c r="D1501" s="14" t="s">
        <v>41</v>
      </c>
      <c r="E1501" s="14" t="s">
        <v>58</v>
      </c>
      <c r="F1501" s="14" t="s">
        <v>65</v>
      </c>
      <c r="G1501" s="14" t="s">
        <v>44</v>
      </c>
      <c r="H1501" s="14" t="s">
        <v>46</v>
      </c>
      <c r="I1501" s="14" t="s">
        <v>45</v>
      </c>
      <c r="J1501" s="14">
        <v>0.69</v>
      </c>
      <c r="K1501" s="15">
        <v>44167</v>
      </c>
      <c r="L1501" s="13" t="str" cm="1">
        <f t="array" ref="L1501">_xlfn.IFS(
  OR(ISBLANK(A1501),ISBLANK(C1501),ISBLANK(J1501)),"Missing Value",
  OR(C1501&lt;18,C1501&gt;120),"Review – Out of Range (Age)",
  J1501&lt;0,"Review – Out of Range (Risk Score)",
  TRUE,"OK"
)</f>
        <v>OK</v>
      </c>
    </row>
    <row r="1502" spans="1:12" ht="16.8" x14ac:dyDescent="0.3">
      <c r="A1502" s="11" t="s">
        <v>3054</v>
      </c>
      <c r="B1502" s="11" t="s">
        <v>3055</v>
      </c>
      <c r="C1502" s="11">
        <v>24</v>
      </c>
      <c r="D1502" s="11" t="s">
        <v>41</v>
      </c>
      <c r="E1502" s="11" t="s">
        <v>50</v>
      </c>
      <c r="F1502" s="11" t="s">
        <v>65</v>
      </c>
      <c r="G1502" s="11" t="s">
        <v>52</v>
      </c>
      <c r="H1502" s="11" t="s">
        <v>46</v>
      </c>
      <c r="I1502" s="11" t="s">
        <v>46</v>
      </c>
      <c r="J1502" s="11">
        <v>0.57999999999999996</v>
      </c>
      <c r="K1502" s="12">
        <v>45199</v>
      </c>
      <c r="L1502" s="13" t="str" cm="1">
        <f t="array" ref="L1502">_xlfn.IFS(
  OR(ISBLANK(A1502),ISBLANK(C1502),ISBLANK(J1502)),"Missing Value",
  OR(C1502&lt;18,C1502&gt;120),"Review – Out of Range (Age)",
  J1502&lt;0,"Review – Out of Range (Risk Score)",
  TRUE,"OK"
)</f>
        <v>OK</v>
      </c>
    </row>
    <row r="1503" spans="1:12" ht="16.8" x14ac:dyDescent="0.3">
      <c r="A1503" s="14" t="s">
        <v>3056</v>
      </c>
      <c r="B1503" s="14" t="s">
        <v>3057</v>
      </c>
      <c r="C1503" s="14">
        <v>38</v>
      </c>
      <c r="D1503" s="14" t="s">
        <v>41</v>
      </c>
      <c r="E1503" s="14" t="s">
        <v>58</v>
      </c>
      <c r="F1503" s="14" t="s">
        <v>59</v>
      </c>
      <c r="G1503" s="14" t="s">
        <v>52</v>
      </c>
      <c r="H1503" s="14" t="s">
        <v>45</v>
      </c>
      <c r="I1503" s="14" t="s">
        <v>46</v>
      </c>
      <c r="J1503" s="14">
        <v>0.09</v>
      </c>
      <c r="K1503" s="15">
        <v>43538</v>
      </c>
      <c r="L1503" s="13" t="str" cm="1">
        <f t="array" ref="L1503">_xlfn.IFS(
  OR(ISBLANK(A1503),ISBLANK(C1503),ISBLANK(J1503)),"Missing Value",
  OR(C1503&lt;18,C1503&gt;120),"Review – Out of Range (Age)",
  J1503&lt;0,"Review – Out of Range (Risk Score)",
  TRUE,"OK"
)</f>
        <v>OK</v>
      </c>
    </row>
    <row r="1504" spans="1:12" ht="16.8" x14ac:dyDescent="0.3">
      <c r="A1504" s="11" t="s">
        <v>3058</v>
      </c>
      <c r="B1504" s="11" t="s">
        <v>3059</v>
      </c>
      <c r="C1504" s="11">
        <v>66</v>
      </c>
      <c r="D1504" s="11" t="s">
        <v>49</v>
      </c>
      <c r="E1504" s="11" t="s">
        <v>58</v>
      </c>
      <c r="F1504" s="11" t="s">
        <v>59</v>
      </c>
      <c r="G1504" s="11" t="s">
        <v>94</v>
      </c>
      <c r="H1504" s="11" t="s">
        <v>45</v>
      </c>
      <c r="I1504" s="11" t="s">
        <v>45</v>
      </c>
      <c r="J1504" s="11">
        <v>0.47</v>
      </c>
      <c r="K1504" s="12">
        <v>43509</v>
      </c>
      <c r="L1504" s="13" t="str" cm="1">
        <f t="array" ref="L1504">_xlfn.IFS(
  OR(ISBLANK(A1504),ISBLANK(C1504),ISBLANK(J1504)),"Missing Value",
  OR(C1504&lt;18,C1504&gt;120),"Review – Out of Range (Age)",
  J1504&lt;0,"Review – Out of Range (Risk Score)",
  TRUE,"OK"
)</f>
        <v>OK</v>
      </c>
    </row>
    <row r="1505" spans="1:12" ht="16.8" x14ac:dyDescent="0.3">
      <c r="A1505" s="14" t="s">
        <v>3060</v>
      </c>
      <c r="B1505" s="14" t="s">
        <v>3061</v>
      </c>
      <c r="C1505" s="14">
        <v>62</v>
      </c>
      <c r="D1505" s="14" t="s">
        <v>41</v>
      </c>
      <c r="E1505" s="14" t="s">
        <v>42</v>
      </c>
      <c r="F1505" s="14" t="s">
        <v>43</v>
      </c>
      <c r="G1505" s="14" t="s">
        <v>55</v>
      </c>
      <c r="H1505" s="14" t="s">
        <v>46</v>
      </c>
      <c r="I1505" s="14" t="s">
        <v>45</v>
      </c>
      <c r="J1505" s="14">
        <v>0.55000000000000004</v>
      </c>
      <c r="K1505" s="15">
        <v>45009</v>
      </c>
      <c r="L1505" s="13" t="str" cm="1">
        <f t="array" ref="L1505">_xlfn.IFS(
  OR(ISBLANK(A1505),ISBLANK(C1505),ISBLANK(J1505)),"Missing Value",
  OR(C1505&lt;18,C1505&gt;120),"Review – Out of Range (Age)",
  J1505&lt;0,"Review – Out of Range (Risk Score)",
  TRUE,"OK"
)</f>
        <v>OK</v>
      </c>
    </row>
    <row r="1506" spans="1:12" ht="16.8" x14ac:dyDescent="0.3">
      <c r="A1506" s="11" t="s">
        <v>3062</v>
      </c>
      <c r="B1506" s="11" t="s">
        <v>3063</v>
      </c>
      <c r="C1506" s="11">
        <v>56</v>
      </c>
      <c r="D1506" s="11" t="s">
        <v>41</v>
      </c>
      <c r="E1506" s="11" t="s">
        <v>58</v>
      </c>
      <c r="F1506" s="11" t="s">
        <v>43</v>
      </c>
      <c r="G1506" s="11" t="s">
        <v>55</v>
      </c>
      <c r="H1506" s="11" t="s">
        <v>46</v>
      </c>
      <c r="I1506" s="11" t="s">
        <v>45</v>
      </c>
      <c r="J1506" s="11">
        <v>0.23</v>
      </c>
      <c r="K1506" s="12">
        <v>44164</v>
      </c>
      <c r="L1506" s="13" t="str" cm="1">
        <f t="array" ref="L1506">_xlfn.IFS(
  OR(ISBLANK(A1506),ISBLANK(C1506),ISBLANK(J1506)),"Missing Value",
  OR(C1506&lt;18,C1506&gt;120),"Review – Out of Range (Age)",
  J1506&lt;0,"Review – Out of Range (Risk Score)",
  TRUE,"OK"
)</f>
        <v>OK</v>
      </c>
    </row>
    <row r="1507" spans="1:12" ht="16.8" x14ac:dyDescent="0.3">
      <c r="A1507" s="14" t="s">
        <v>3064</v>
      </c>
      <c r="B1507" s="14" t="s">
        <v>3065</v>
      </c>
      <c r="C1507" s="14">
        <v>25</v>
      </c>
      <c r="D1507" s="14" t="s">
        <v>49</v>
      </c>
      <c r="E1507" s="14" t="s">
        <v>42</v>
      </c>
      <c r="F1507" s="14" t="s">
        <v>43</v>
      </c>
      <c r="G1507" s="14" t="s">
        <v>109</v>
      </c>
      <c r="H1507" s="14" t="s">
        <v>45</v>
      </c>
      <c r="I1507" s="14" t="s">
        <v>46</v>
      </c>
      <c r="J1507" s="14">
        <v>0.46</v>
      </c>
      <c r="K1507" s="15">
        <v>43420</v>
      </c>
      <c r="L1507" s="13" t="str" cm="1">
        <f t="array" ref="L1507">_xlfn.IFS(
  OR(ISBLANK(A1507),ISBLANK(C1507),ISBLANK(J1507)),"Missing Value",
  OR(C1507&lt;18,C1507&gt;120),"Review – Out of Range (Age)",
  J1507&lt;0,"Review – Out of Range (Risk Score)",
  TRUE,"OK"
)</f>
        <v>OK</v>
      </c>
    </row>
    <row r="1508" spans="1:12" ht="16.8" x14ac:dyDescent="0.3">
      <c r="A1508" s="11" t="s">
        <v>3066</v>
      </c>
      <c r="B1508" s="11" t="s">
        <v>3067</v>
      </c>
      <c r="C1508" s="11">
        <v>67</v>
      </c>
      <c r="D1508" s="11" t="s">
        <v>41</v>
      </c>
      <c r="E1508" s="11" t="s">
        <v>42</v>
      </c>
      <c r="F1508" s="11" t="s">
        <v>43</v>
      </c>
      <c r="G1508" s="11" t="s">
        <v>109</v>
      </c>
      <c r="H1508" s="11" t="s">
        <v>45</v>
      </c>
      <c r="I1508" s="11" t="s">
        <v>46</v>
      </c>
      <c r="J1508" s="11">
        <v>0.34</v>
      </c>
      <c r="K1508" s="12">
        <v>44689</v>
      </c>
      <c r="L1508" s="13" t="str" cm="1">
        <f t="array" ref="L1508">_xlfn.IFS(
  OR(ISBLANK(A1508),ISBLANK(C1508),ISBLANK(J1508)),"Missing Value",
  OR(C1508&lt;18,C1508&gt;120),"Review – Out of Range (Age)",
  J1508&lt;0,"Review – Out of Range (Risk Score)",
  TRUE,"OK"
)</f>
        <v>OK</v>
      </c>
    </row>
    <row r="1509" spans="1:12" ht="16.8" x14ac:dyDescent="0.3">
      <c r="A1509" s="14" t="s">
        <v>3068</v>
      </c>
      <c r="B1509" s="14" t="s">
        <v>3069</v>
      </c>
      <c r="C1509" s="14">
        <v>49</v>
      </c>
      <c r="D1509" s="14" t="s">
        <v>49</v>
      </c>
      <c r="E1509" s="14" t="s">
        <v>42</v>
      </c>
      <c r="F1509" s="14" t="s">
        <v>43</v>
      </c>
      <c r="G1509" s="14" t="s">
        <v>44</v>
      </c>
      <c r="H1509" s="14" t="s">
        <v>46</v>
      </c>
      <c r="I1509" s="14" t="s">
        <v>46</v>
      </c>
      <c r="J1509" s="14">
        <v>0.6</v>
      </c>
      <c r="K1509" s="15">
        <v>44218</v>
      </c>
      <c r="L1509" s="13" t="str" cm="1">
        <f t="array" ref="L1509">_xlfn.IFS(
  OR(ISBLANK(A1509),ISBLANK(C1509),ISBLANK(J1509)),"Missing Value",
  OR(C1509&lt;18,C1509&gt;120),"Review – Out of Range (Age)",
  J1509&lt;0,"Review – Out of Range (Risk Score)",
  TRUE,"OK"
)</f>
        <v>OK</v>
      </c>
    </row>
    <row r="1510" spans="1:12" ht="16.8" x14ac:dyDescent="0.3">
      <c r="A1510" s="11" t="s">
        <v>3070</v>
      </c>
      <c r="B1510" s="11" t="s">
        <v>3071</v>
      </c>
      <c r="C1510" s="11">
        <v>66</v>
      </c>
      <c r="D1510" s="11" t="s">
        <v>41</v>
      </c>
      <c r="E1510" s="11" t="s">
        <v>50</v>
      </c>
      <c r="F1510" s="11" t="s">
        <v>43</v>
      </c>
      <c r="G1510" s="11" t="s">
        <v>60</v>
      </c>
      <c r="H1510" s="11" t="s">
        <v>46</v>
      </c>
      <c r="I1510" s="11" t="s">
        <v>46</v>
      </c>
      <c r="J1510" s="11">
        <v>0.39</v>
      </c>
      <c r="K1510" s="12">
        <v>43534</v>
      </c>
      <c r="L1510" s="13" t="str" cm="1">
        <f t="array" ref="L1510">_xlfn.IFS(
  OR(ISBLANK(A1510),ISBLANK(C1510),ISBLANK(J1510)),"Missing Value",
  OR(C1510&lt;18,C1510&gt;120),"Review – Out of Range (Age)",
  J1510&lt;0,"Review – Out of Range (Risk Score)",
  TRUE,"OK"
)</f>
        <v>OK</v>
      </c>
    </row>
    <row r="1511" spans="1:12" ht="16.8" x14ac:dyDescent="0.3">
      <c r="A1511" s="14" t="s">
        <v>3072</v>
      </c>
      <c r="B1511" s="14" t="s">
        <v>3073</v>
      </c>
      <c r="C1511" s="14">
        <v>23</v>
      </c>
      <c r="D1511" s="14" t="s">
        <v>49</v>
      </c>
      <c r="E1511" s="14" t="s">
        <v>58</v>
      </c>
      <c r="F1511" s="14" t="s">
        <v>43</v>
      </c>
      <c r="G1511" s="14" t="s">
        <v>52</v>
      </c>
      <c r="H1511" s="14" t="s">
        <v>45</v>
      </c>
      <c r="I1511" s="14" t="s">
        <v>45</v>
      </c>
      <c r="J1511" s="14">
        <v>0.56000000000000005</v>
      </c>
      <c r="K1511" s="15">
        <v>45113</v>
      </c>
      <c r="L1511" s="13" t="str" cm="1">
        <f t="array" ref="L1511">_xlfn.IFS(
  OR(ISBLANK(A1511),ISBLANK(C1511),ISBLANK(J1511)),"Missing Value",
  OR(C1511&lt;18,C1511&gt;120),"Review – Out of Range (Age)",
  J1511&lt;0,"Review – Out of Range (Risk Score)",
  TRUE,"OK"
)</f>
        <v>OK</v>
      </c>
    </row>
    <row r="1512" spans="1:12" ht="16.8" x14ac:dyDescent="0.3">
      <c r="A1512" s="11" t="s">
        <v>3074</v>
      </c>
      <c r="B1512" s="11" t="s">
        <v>3075</v>
      </c>
      <c r="C1512" s="11">
        <v>56</v>
      </c>
      <c r="D1512" s="11" t="s">
        <v>49</v>
      </c>
      <c r="E1512" s="11" t="s">
        <v>42</v>
      </c>
      <c r="F1512" s="11" t="s">
        <v>51</v>
      </c>
      <c r="G1512" s="11" t="s">
        <v>109</v>
      </c>
      <c r="H1512" s="11" t="s">
        <v>46</v>
      </c>
      <c r="I1512" s="11" t="s">
        <v>45</v>
      </c>
      <c r="J1512" s="11">
        <v>0.7</v>
      </c>
      <c r="K1512" s="12">
        <v>44512</v>
      </c>
      <c r="L1512" s="13" t="str" cm="1">
        <f t="array" ref="L1512">_xlfn.IFS(
  OR(ISBLANK(A1512),ISBLANK(C1512),ISBLANK(J1512)),"Missing Value",
  OR(C1512&lt;18,C1512&gt;120),"Review – Out of Range (Age)",
  J1512&lt;0,"Review – Out of Range (Risk Score)",
  TRUE,"OK"
)</f>
        <v>OK</v>
      </c>
    </row>
    <row r="1513" spans="1:12" ht="16.8" x14ac:dyDescent="0.3">
      <c r="A1513" s="14" t="s">
        <v>3076</v>
      </c>
      <c r="B1513" s="14" t="s">
        <v>3077</v>
      </c>
      <c r="C1513" s="14">
        <v>45</v>
      </c>
      <c r="D1513" s="14" t="s">
        <v>41</v>
      </c>
      <c r="E1513" s="14" t="s">
        <v>42</v>
      </c>
      <c r="F1513" s="14" t="s">
        <v>43</v>
      </c>
      <c r="G1513" s="14" t="s">
        <v>52</v>
      </c>
      <c r="H1513" s="14" t="s">
        <v>45</v>
      </c>
      <c r="I1513" s="14" t="s">
        <v>46</v>
      </c>
      <c r="J1513" s="14">
        <v>0.82</v>
      </c>
      <c r="K1513" s="15">
        <v>44167</v>
      </c>
      <c r="L1513" s="13" t="str" cm="1">
        <f t="array" ref="L1513">_xlfn.IFS(
  OR(ISBLANK(A1513),ISBLANK(C1513),ISBLANK(J1513)),"Missing Value",
  OR(C1513&lt;18,C1513&gt;120),"Review – Out of Range (Age)",
  J1513&lt;0,"Review – Out of Range (Risk Score)",
  TRUE,"OK"
)</f>
        <v>OK</v>
      </c>
    </row>
    <row r="1514" spans="1:12" ht="16.8" x14ac:dyDescent="0.3">
      <c r="A1514" s="11" t="s">
        <v>3078</v>
      </c>
      <c r="B1514" s="11" t="s">
        <v>3079</v>
      </c>
      <c r="C1514" s="11">
        <v>67</v>
      </c>
      <c r="D1514" s="11" t="s">
        <v>49</v>
      </c>
      <c r="E1514" s="11" t="s">
        <v>42</v>
      </c>
      <c r="F1514" s="11" t="s">
        <v>43</v>
      </c>
      <c r="G1514" s="11" t="s">
        <v>55</v>
      </c>
      <c r="H1514" s="11" t="s">
        <v>45</v>
      </c>
      <c r="I1514" s="11" t="s">
        <v>46</v>
      </c>
      <c r="J1514" s="11">
        <v>0.39</v>
      </c>
      <c r="K1514" s="12">
        <v>44214</v>
      </c>
      <c r="L1514" s="13" t="str" cm="1">
        <f t="array" ref="L1514">_xlfn.IFS(
  OR(ISBLANK(A1514),ISBLANK(C1514),ISBLANK(J1514)),"Missing Value",
  OR(C1514&lt;18,C1514&gt;120),"Review – Out of Range (Age)",
  J1514&lt;0,"Review – Out of Range (Risk Score)",
  TRUE,"OK"
)</f>
        <v>OK</v>
      </c>
    </row>
    <row r="1515" spans="1:12" ht="16.8" x14ac:dyDescent="0.3">
      <c r="A1515" s="14" t="s">
        <v>3080</v>
      </c>
      <c r="B1515" s="14" t="s">
        <v>3081</v>
      </c>
      <c r="C1515" s="14">
        <v>21</v>
      </c>
      <c r="D1515" s="14" t="s">
        <v>49</v>
      </c>
      <c r="E1515" s="14" t="s">
        <v>58</v>
      </c>
      <c r="F1515" s="14" t="s">
        <v>43</v>
      </c>
      <c r="G1515" s="14" t="s">
        <v>44</v>
      </c>
      <c r="H1515" s="14" t="s">
        <v>46</v>
      </c>
      <c r="I1515" s="14" t="s">
        <v>45</v>
      </c>
      <c r="J1515" s="14">
        <v>0.02</v>
      </c>
      <c r="K1515" s="15">
        <v>43465</v>
      </c>
      <c r="L1515" s="13" t="str" cm="1">
        <f t="array" ref="L1515">_xlfn.IFS(
  OR(ISBLANK(A1515),ISBLANK(C1515),ISBLANK(J1515)),"Missing Value",
  OR(C1515&lt;18,C1515&gt;120),"Review – Out of Range (Age)",
  J1515&lt;0,"Review – Out of Range (Risk Score)",
  TRUE,"OK"
)</f>
        <v>OK</v>
      </c>
    </row>
    <row r="1516" spans="1:12" ht="16.8" x14ac:dyDescent="0.3">
      <c r="A1516" s="11" t="s">
        <v>3082</v>
      </c>
      <c r="B1516" s="11" t="s">
        <v>3083</v>
      </c>
      <c r="C1516" s="11">
        <v>18</v>
      </c>
      <c r="D1516" s="11" t="s">
        <v>41</v>
      </c>
      <c r="E1516" s="11" t="s">
        <v>58</v>
      </c>
      <c r="F1516" s="11" t="s">
        <v>51</v>
      </c>
      <c r="G1516" s="11" t="s">
        <v>60</v>
      </c>
      <c r="H1516" s="11" t="s">
        <v>45</v>
      </c>
      <c r="I1516" s="11" t="s">
        <v>45</v>
      </c>
      <c r="J1516" s="11">
        <v>0.68</v>
      </c>
      <c r="K1516" s="12">
        <v>43758</v>
      </c>
      <c r="L1516" s="13" t="str" cm="1">
        <f t="array" ref="L1516">_xlfn.IFS(
  OR(ISBLANK(A1516),ISBLANK(C1516),ISBLANK(J1516)),"Missing Value",
  OR(C1516&lt;18,C1516&gt;120),"Review – Out of Range (Age)",
  J1516&lt;0,"Review – Out of Range (Risk Score)",
  TRUE,"OK"
)</f>
        <v>OK</v>
      </c>
    </row>
    <row r="1517" spans="1:12" ht="16.8" x14ac:dyDescent="0.3">
      <c r="A1517" s="14" t="s">
        <v>3084</v>
      </c>
      <c r="B1517" s="14" t="s">
        <v>3085</v>
      </c>
      <c r="C1517" s="14">
        <v>39</v>
      </c>
      <c r="D1517" s="14" t="s">
        <v>41</v>
      </c>
      <c r="E1517" s="14" t="s">
        <v>58</v>
      </c>
      <c r="F1517" s="14" t="s">
        <v>65</v>
      </c>
      <c r="G1517" s="14" t="s">
        <v>60</v>
      </c>
      <c r="H1517" s="14" t="s">
        <v>45</v>
      </c>
      <c r="I1517" s="14" t="s">
        <v>45</v>
      </c>
      <c r="J1517" s="14">
        <v>0.61</v>
      </c>
      <c r="K1517" s="15">
        <v>43904</v>
      </c>
      <c r="L1517" s="13" t="str" cm="1">
        <f t="array" ref="L1517">_xlfn.IFS(
  OR(ISBLANK(A1517),ISBLANK(C1517),ISBLANK(J1517)),"Missing Value",
  OR(C1517&lt;18,C1517&gt;120),"Review – Out of Range (Age)",
  J1517&lt;0,"Review – Out of Range (Risk Score)",
  TRUE,"OK"
)</f>
        <v>OK</v>
      </c>
    </row>
    <row r="1518" spans="1:12" ht="16.8" x14ac:dyDescent="0.3">
      <c r="A1518" s="11" t="s">
        <v>3086</v>
      </c>
      <c r="B1518" s="11" t="s">
        <v>3087</v>
      </c>
      <c r="C1518" s="11">
        <v>68</v>
      </c>
      <c r="D1518" s="11" t="s">
        <v>49</v>
      </c>
      <c r="E1518" s="11" t="s">
        <v>58</v>
      </c>
      <c r="F1518" s="11" t="s">
        <v>59</v>
      </c>
      <c r="G1518" s="11" t="s">
        <v>109</v>
      </c>
      <c r="H1518" s="11" t="s">
        <v>45</v>
      </c>
      <c r="I1518" s="11" t="s">
        <v>46</v>
      </c>
      <c r="J1518" s="11">
        <v>0.56999999999999995</v>
      </c>
      <c r="K1518" s="12">
        <v>43415</v>
      </c>
      <c r="L1518" s="13" t="str" cm="1">
        <f t="array" ref="L1518">_xlfn.IFS(
  OR(ISBLANK(A1518),ISBLANK(C1518),ISBLANK(J1518)),"Missing Value",
  OR(C1518&lt;18,C1518&gt;120),"Review – Out of Range (Age)",
  J1518&lt;0,"Review – Out of Range (Risk Score)",
  TRUE,"OK"
)</f>
        <v>OK</v>
      </c>
    </row>
    <row r="1519" spans="1:12" ht="16.8" x14ac:dyDescent="0.3">
      <c r="A1519" s="14" t="s">
        <v>3088</v>
      </c>
      <c r="B1519" s="14" t="s">
        <v>3089</v>
      </c>
      <c r="C1519" s="14">
        <v>48</v>
      </c>
      <c r="D1519" s="14" t="s">
        <v>49</v>
      </c>
      <c r="E1519" s="14" t="s">
        <v>42</v>
      </c>
      <c r="F1519" s="14" t="s">
        <v>65</v>
      </c>
      <c r="G1519" s="14" t="s">
        <v>52</v>
      </c>
      <c r="H1519" s="14" t="s">
        <v>46</v>
      </c>
      <c r="I1519" s="14" t="s">
        <v>45</v>
      </c>
      <c r="J1519" s="14">
        <v>0.56000000000000005</v>
      </c>
      <c r="K1519" s="15">
        <v>45236</v>
      </c>
      <c r="L1519" s="13" t="str" cm="1">
        <f t="array" ref="L1519">_xlfn.IFS(
  OR(ISBLANK(A1519),ISBLANK(C1519),ISBLANK(J1519)),"Missing Value",
  OR(C1519&lt;18,C1519&gt;120),"Review – Out of Range (Age)",
  J1519&lt;0,"Review – Out of Range (Risk Score)",
  TRUE,"OK"
)</f>
        <v>OK</v>
      </c>
    </row>
    <row r="1520" spans="1:12" ht="16.8" x14ac:dyDescent="0.3">
      <c r="A1520" s="11" t="s">
        <v>3090</v>
      </c>
      <c r="B1520" s="11" t="s">
        <v>3091</v>
      </c>
      <c r="C1520" s="11">
        <v>37</v>
      </c>
      <c r="D1520" s="11" t="s">
        <v>49</v>
      </c>
      <c r="E1520" s="11" t="s">
        <v>50</v>
      </c>
      <c r="F1520" s="11" t="s">
        <v>59</v>
      </c>
      <c r="G1520" s="11" t="s">
        <v>109</v>
      </c>
      <c r="H1520" s="11" t="s">
        <v>45</v>
      </c>
      <c r="I1520" s="11" t="s">
        <v>45</v>
      </c>
      <c r="J1520" s="11">
        <v>0.26</v>
      </c>
      <c r="K1520" s="12">
        <v>44065</v>
      </c>
      <c r="L1520" s="13" t="str" cm="1">
        <f t="array" ref="L1520">_xlfn.IFS(
  OR(ISBLANK(A1520),ISBLANK(C1520),ISBLANK(J1520)),"Missing Value",
  OR(C1520&lt;18,C1520&gt;120),"Review – Out of Range (Age)",
  J1520&lt;0,"Review – Out of Range (Risk Score)",
  TRUE,"OK"
)</f>
        <v>OK</v>
      </c>
    </row>
    <row r="1521" spans="1:12" ht="16.8" x14ac:dyDescent="0.3">
      <c r="A1521" s="14" t="s">
        <v>3092</v>
      </c>
      <c r="B1521" s="14" t="s">
        <v>3093</v>
      </c>
      <c r="C1521" s="14">
        <v>42</v>
      </c>
      <c r="D1521" s="14" t="s">
        <v>41</v>
      </c>
      <c r="E1521" s="14" t="s">
        <v>50</v>
      </c>
      <c r="F1521" s="14" t="s">
        <v>43</v>
      </c>
      <c r="G1521" s="14" t="s">
        <v>94</v>
      </c>
      <c r="H1521" s="14" t="s">
        <v>46</v>
      </c>
      <c r="I1521" s="14" t="s">
        <v>45</v>
      </c>
      <c r="J1521" s="14">
        <v>0.24</v>
      </c>
      <c r="K1521" s="15">
        <v>44433</v>
      </c>
      <c r="L1521" s="13" t="str" cm="1">
        <f t="array" ref="L1521">_xlfn.IFS(
  OR(ISBLANK(A1521),ISBLANK(C1521),ISBLANK(J1521)),"Missing Value",
  OR(C1521&lt;18,C1521&gt;120),"Review – Out of Range (Age)",
  J1521&lt;0,"Review – Out of Range (Risk Score)",
  TRUE,"OK"
)</f>
        <v>OK</v>
      </c>
    </row>
    <row r="1522" spans="1:12" ht="16.8" x14ac:dyDescent="0.3">
      <c r="A1522" s="11" t="s">
        <v>3094</v>
      </c>
      <c r="B1522" s="11" t="s">
        <v>3095</v>
      </c>
      <c r="C1522" s="11">
        <v>54</v>
      </c>
      <c r="D1522" s="11" t="s">
        <v>49</v>
      </c>
      <c r="E1522" s="11" t="s">
        <v>42</v>
      </c>
      <c r="F1522" s="11" t="s">
        <v>43</v>
      </c>
      <c r="G1522" s="11" t="s">
        <v>109</v>
      </c>
      <c r="H1522" s="11" t="s">
        <v>46</v>
      </c>
      <c r="I1522" s="11" t="s">
        <v>45</v>
      </c>
      <c r="J1522" s="11">
        <v>0.55000000000000004</v>
      </c>
      <c r="K1522" s="12">
        <v>43999</v>
      </c>
      <c r="L1522" s="13" t="str" cm="1">
        <f t="array" ref="L1522">_xlfn.IFS(
  OR(ISBLANK(A1522),ISBLANK(C1522),ISBLANK(J1522)),"Missing Value",
  OR(C1522&lt;18,C1522&gt;120),"Review – Out of Range (Age)",
  J1522&lt;0,"Review – Out of Range (Risk Score)",
  TRUE,"OK"
)</f>
        <v>OK</v>
      </c>
    </row>
    <row r="1523" spans="1:12" ht="16.8" x14ac:dyDescent="0.3">
      <c r="A1523" s="14" t="s">
        <v>3096</v>
      </c>
      <c r="B1523" s="14" t="s">
        <v>3097</v>
      </c>
      <c r="C1523" s="14">
        <v>48</v>
      </c>
      <c r="D1523" s="14" t="s">
        <v>41</v>
      </c>
      <c r="E1523" s="14" t="s">
        <v>58</v>
      </c>
      <c r="F1523" s="14" t="s">
        <v>59</v>
      </c>
      <c r="G1523" s="14" t="s">
        <v>109</v>
      </c>
      <c r="H1523" s="14" t="s">
        <v>45</v>
      </c>
      <c r="I1523" s="14" t="s">
        <v>45</v>
      </c>
      <c r="J1523" s="14">
        <v>0.34</v>
      </c>
      <c r="K1523" s="15">
        <v>44172</v>
      </c>
      <c r="L1523" s="13" t="str" cm="1">
        <f t="array" ref="L1523">_xlfn.IFS(
  OR(ISBLANK(A1523),ISBLANK(C1523),ISBLANK(J1523)),"Missing Value",
  OR(C1523&lt;18,C1523&gt;120),"Review – Out of Range (Age)",
  J1523&lt;0,"Review – Out of Range (Risk Score)",
  TRUE,"OK"
)</f>
        <v>OK</v>
      </c>
    </row>
    <row r="1524" spans="1:12" ht="16.8" x14ac:dyDescent="0.3">
      <c r="A1524" s="11" t="s">
        <v>3098</v>
      </c>
      <c r="B1524" s="11" t="s">
        <v>3099</v>
      </c>
      <c r="C1524" s="11">
        <v>40</v>
      </c>
      <c r="D1524" s="11" t="s">
        <v>41</v>
      </c>
      <c r="E1524" s="11" t="s">
        <v>58</v>
      </c>
      <c r="F1524" s="11" t="s">
        <v>51</v>
      </c>
      <c r="G1524" s="11" t="s">
        <v>52</v>
      </c>
      <c r="H1524" s="11" t="s">
        <v>46</v>
      </c>
      <c r="I1524" s="11" t="s">
        <v>45</v>
      </c>
      <c r="J1524" s="11">
        <v>0.56000000000000005</v>
      </c>
      <c r="K1524" s="12">
        <v>45006</v>
      </c>
      <c r="L1524" s="13" t="str" cm="1">
        <f t="array" ref="L1524">_xlfn.IFS(
  OR(ISBLANK(A1524),ISBLANK(C1524),ISBLANK(J1524)),"Missing Value",
  OR(C1524&lt;18,C1524&gt;120),"Review – Out of Range (Age)",
  J1524&lt;0,"Review – Out of Range (Risk Score)",
  TRUE,"OK"
)</f>
        <v>OK</v>
      </c>
    </row>
    <row r="1525" spans="1:12" ht="16.8" x14ac:dyDescent="0.3">
      <c r="A1525" s="14" t="s">
        <v>3100</v>
      </c>
      <c r="B1525" s="14" t="s">
        <v>3101</v>
      </c>
      <c r="C1525" s="14">
        <v>69</v>
      </c>
      <c r="D1525" s="14" t="s">
        <v>41</v>
      </c>
      <c r="E1525" s="14" t="s">
        <v>42</v>
      </c>
      <c r="F1525" s="14" t="s">
        <v>65</v>
      </c>
      <c r="G1525" s="14" t="s">
        <v>52</v>
      </c>
      <c r="H1525" s="14" t="s">
        <v>45</v>
      </c>
      <c r="I1525" s="14" t="s">
        <v>45</v>
      </c>
      <c r="J1525" s="14">
        <v>0.86</v>
      </c>
      <c r="K1525" s="15">
        <v>44658</v>
      </c>
      <c r="L1525" s="13" t="str" cm="1">
        <f t="array" ref="L1525">_xlfn.IFS(
  OR(ISBLANK(A1525),ISBLANK(C1525),ISBLANK(J1525)),"Missing Value",
  OR(C1525&lt;18,C1525&gt;120),"Review – Out of Range (Age)",
  J1525&lt;0,"Review – Out of Range (Risk Score)",
  TRUE,"OK"
)</f>
        <v>OK</v>
      </c>
    </row>
    <row r="1526" spans="1:12" ht="16.8" x14ac:dyDescent="0.3">
      <c r="A1526" s="11" t="s">
        <v>3102</v>
      </c>
      <c r="B1526" s="11" t="s">
        <v>3103</v>
      </c>
      <c r="C1526" s="11">
        <v>18</v>
      </c>
      <c r="D1526" s="11" t="s">
        <v>41</v>
      </c>
      <c r="E1526" s="11" t="s">
        <v>50</v>
      </c>
      <c r="F1526" s="11" t="s">
        <v>51</v>
      </c>
      <c r="G1526" s="11" t="s">
        <v>109</v>
      </c>
      <c r="H1526" s="11" t="s">
        <v>46</v>
      </c>
      <c r="I1526" s="11" t="s">
        <v>45</v>
      </c>
      <c r="J1526" s="11">
        <v>0.62</v>
      </c>
      <c r="K1526" s="12">
        <v>44549</v>
      </c>
      <c r="L1526" s="13" t="str" cm="1">
        <f t="array" ref="L1526">_xlfn.IFS(
  OR(ISBLANK(A1526),ISBLANK(C1526),ISBLANK(J1526)),"Missing Value",
  OR(C1526&lt;18,C1526&gt;120),"Review – Out of Range (Age)",
  J1526&lt;0,"Review – Out of Range (Risk Score)",
  TRUE,"OK"
)</f>
        <v>OK</v>
      </c>
    </row>
    <row r="1527" spans="1:12" ht="16.8" x14ac:dyDescent="0.3">
      <c r="A1527" s="14" t="s">
        <v>3104</v>
      </c>
      <c r="B1527" s="14" t="s">
        <v>3105</v>
      </c>
      <c r="C1527" s="14">
        <v>21</v>
      </c>
      <c r="D1527" s="14" t="s">
        <v>41</v>
      </c>
      <c r="E1527" s="14" t="s">
        <v>50</v>
      </c>
      <c r="F1527" s="14" t="s">
        <v>65</v>
      </c>
      <c r="G1527" s="14" t="s">
        <v>55</v>
      </c>
      <c r="H1527" s="14" t="s">
        <v>45</v>
      </c>
      <c r="I1527" s="14" t="s">
        <v>46</v>
      </c>
      <c r="J1527" s="14">
        <v>0.43</v>
      </c>
      <c r="K1527" s="15">
        <v>44036</v>
      </c>
      <c r="L1527" s="13" t="str" cm="1">
        <f t="array" ref="L1527">_xlfn.IFS(
  OR(ISBLANK(A1527),ISBLANK(C1527),ISBLANK(J1527)),"Missing Value",
  OR(C1527&lt;18,C1527&gt;120),"Review – Out of Range (Age)",
  J1527&lt;0,"Review – Out of Range (Risk Score)",
  TRUE,"OK"
)</f>
        <v>OK</v>
      </c>
    </row>
    <row r="1528" spans="1:12" ht="16.8" x14ac:dyDescent="0.3">
      <c r="A1528" s="11" t="s">
        <v>3106</v>
      </c>
      <c r="B1528" s="11" t="s">
        <v>3107</v>
      </c>
      <c r="C1528" s="11">
        <v>26</v>
      </c>
      <c r="D1528" s="11" t="s">
        <v>49</v>
      </c>
      <c r="E1528" s="11" t="s">
        <v>58</v>
      </c>
      <c r="F1528" s="11" t="s">
        <v>51</v>
      </c>
      <c r="G1528" s="11" t="s">
        <v>52</v>
      </c>
      <c r="H1528" s="11" t="s">
        <v>46</v>
      </c>
      <c r="I1528" s="11" t="s">
        <v>45</v>
      </c>
      <c r="J1528" s="11">
        <v>0.28000000000000003</v>
      </c>
      <c r="K1528" s="12">
        <v>43585</v>
      </c>
      <c r="L1528" s="13" t="str" cm="1">
        <f t="array" ref="L1528">_xlfn.IFS(
  OR(ISBLANK(A1528),ISBLANK(C1528),ISBLANK(J1528)),"Missing Value",
  OR(C1528&lt;18,C1528&gt;120),"Review – Out of Range (Age)",
  J1528&lt;0,"Review – Out of Range (Risk Score)",
  TRUE,"OK"
)</f>
        <v>OK</v>
      </c>
    </row>
    <row r="1529" spans="1:12" ht="16.8" x14ac:dyDescent="0.3">
      <c r="A1529" s="14" t="s">
        <v>3108</v>
      </c>
      <c r="B1529" s="14" t="s">
        <v>3109</v>
      </c>
      <c r="C1529" s="14">
        <v>58</v>
      </c>
      <c r="D1529" s="14" t="s">
        <v>41</v>
      </c>
      <c r="E1529" s="14" t="s">
        <v>58</v>
      </c>
      <c r="F1529" s="14" t="s">
        <v>51</v>
      </c>
      <c r="G1529" s="14" t="s">
        <v>109</v>
      </c>
      <c r="H1529" s="14" t="s">
        <v>46</v>
      </c>
      <c r="I1529" s="14" t="s">
        <v>46</v>
      </c>
      <c r="J1529" s="14">
        <v>0.39</v>
      </c>
      <c r="K1529" s="15">
        <v>43670</v>
      </c>
      <c r="L1529" s="13" t="str" cm="1">
        <f t="array" ref="L1529">_xlfn.IFS(
  OR(ISBLANK(A1529),ISBLANK(C1529),ISBLANK(J1529)),"Missing Value",
  OR(C1529&lt;18,C1529&gt;120),"Review – Out of Range (Age)",
  J1529&lt;0,"Review – Out of Range (Risk Score)",
  TRUE,"OK"
)</f>
        <v>OK</v>
      </c>
    </row>
    <row r="1530" spans="1:12" ht="16.8" x14ac:dyDescent="0.3">
      <c r="A1530" s="11" t="s">
        <v>3110</v>
      </c>
      <c r="B1530" s="11" t="s">
        <v>3111</v>
      </c>
      <c r="C1530" s="11">
        <v>36</v>
      </c>
      <c r="D1530" s="11" t="s">
        <v>41</v>
      </c>
      <c r="E1530" s="11" t="s">
        <v>50</v>
      </c>
      <c r="F1530" s="11" t="s">
        <v>59</v>
      </c>
      <c r="G1530" s="11" t="s">
        <v>52</v>
      </c>
      <c r="H1530" s="11" t="s">
        <v>46</v>
      </c>
      <c r="I1530" s="11" t="s">
        <v>46</v>
      </c>
      <c r="J1530" s="11">
        <v>1</v>
      </c>
      <c r="K1530" s="12">
        <v>43217</v>
      </c>
      <c r="L1530" s="13" t="str" cm="1">
        <f t="array" ref="L1530">_xlfn.IFS(
  OR(ISBLANK(A1530),ISBLANK(C1530),ISBLANK(J1530)),"Missing Value",
  OR(C1530&lt;18,C1530&gt;120),"Review – Out of Range (Age)",
  J1530&lt;0,"Review – Out of Range (Risk Score)",
  TRUE,"OK"
)</f>
        <v>OK</v>
      </c>
    </row>
    <row r="1531" spans="1:12" ht="16.8" x14ac:dyDescent="0.3">
      <c r="A1531" s="14" t="s">
        <v>3112</v>
      </c>
      <c r="B1531" s="14" t="s">
        <v>3113</v>
      </c>
      <c r="C1531" s="14">
        <v>26</v>
      </c>
      <c r="D1531" s="14" t="s">
        <v>41</v>
      </c>
      <c r="E1531" s="14" t="s">
        <v>42</v>
      </c>
      <c r="F1531" s="14" t="s">
        <v>65</v>
      </c>
      <c r="G1531" s="14" t="s">
        <v>55</v>
      </c>
      <c r="H1531" s="14" t="s">
        <v>46</v>
      </c>
      <c r="I1531" s="14" t="s">
        <v>46</v>
      </c>
      <c r="J1531" s="14">
        <v>0.48</v>
      </c>
      <c r="K1531" s="15">
        <v>44345</v>
      </c>
      <c r="L1531" s="13" t="str" cm="1">
        <f t="array" ref="L1531">_xlfn.IFS(
  OR(ISBLANK(A1531),ISBLANK(C1531),ISBLANK(J1531)),"Missing Value",
  OR(C1531&lt;18,C1531&gt;120),"Review – Out of Range (Age)",
  J1531&lt;0,"Review – Out of Range (Risk Score)",
  TRUE,"OK"
)</f>
        <v>OK</v>
      </c>
    </row>
    <row r="1532" spans="1:12" ht="16.8" x14ac:dyDescent="0.3">
      <c r="A1532" s="11" t="s">
        <v>3114</v>
      </c>
      <c r="B1532" s="11" t="s">
        <v>3115</v>
      </c>
      <c r="C1532" s="11">
        <v>51</v>
      </c>
      <c r="D1532" s="11" t="s">
        <v>49</v>
      </c>
      <c r="E1532" s="11" t="s">
        <v>42</v>
      </c>
      <c r="F1532" s="11" t="s">
        <v>59</v>
      </c>
      <c r="G1532" s="11" t="s">
        <v>44</v>
      </c>
      <c r="H1532" s="11" t="s">
        <v>46</v>
      </c>
      <c r="I1532" s="11" t="s">
        <v>46</v>
      </c>
      <c r="J1532" s="11">
        <v>0.21</v>
      </c>
      <c r="K1532" s="12">
        <v>44135</v>
      </c>
      <c r="L1532" s="13" t="str" cm="1">
        <f t="array" ref="L1532">_xlfn.IFS(
  OR(ISBLANK(A1532),ISBLANK(C1532),ISBLANK(J1532)),"Missing Value",
  OR(C1532&lt;18,C1532&gt;120),"Review – Out of Range (Age)",
  J1532&lt;0,"Review – Out of Range (Risk Score)",
  TRUE,"OK"
)</f>
        <v>OK</v>
      </c>
    </row>
    <row r="1533" spans="1:12" ht="16.8" x14ac:dyDescent="0.3">
      <c r="A1533" s="14" t="s">
        <v>3116</v>
      </c>
      <c r="B1533" s="14" t="s">
        <v>3117</v>
      </c>
      <c r="C1533" s="14">
        <v>57</v>
      </c>
      <c r="D1533" s="14" t="s">
        <v>49</v>
      </c>
      <c r="E1533" s="14" t="s">
        <v>58</v>
      </c>
      <c r="F1533" s="14" t="s">
        <v>43</v>
      </c>
      <c r="G1533" s="14" t="s">
        <v>94</v>
      </c>
      <c r="H1533" s="14" t="s">
        <v>45</v>
      </c>
      <c r="I1533" s="14" t="s">
        <v>45</v>
      </c>
      <c r="J1533" s="14">
        <v>0.68</v>
      </c>
      <c r="K1533" s="15">
        <v>44644</v>
      </c>
      <c r="L1533" s="13" t="str" cm="1">
        <f t="array" ref="L1533">_xlfn.IFS(
  OR(ISBLANK(A1533),ISBLANK(C1533),ISBLANK(J1533)),"Missing Value",
  OR(C1533&lt;18,C1533&gt;120),"Review – Out of Range (Age)",
  J1533&lt;0,"Review – Out of Range (Risk Score)",
  TRUE,"OK"
)</f>
        <v>OK</v>
      </c>
    </row>
    <row r="1534" spans="1:12" ht="16.8" x14ac:dyDescent="0.3">
      <c r="A1534" s="11" t="s">
        <v>3118</v>
      </c>
      <c r="B1534" s="11" t="s">
        <v>3119</v>
      </c>
      <c r="C1534" s="11">
        <v>59</v>
      </c>
      <c r="D1534" s="11" t="s">
        <v>49</v>
      </c>
      <c r="E1534" s="11" t="s">
        <v>58</v>
      </c>
      <c r="F1534" s="11" t="s">
        <v>59</v>
      </c>
      <c r="G1534" s="11" t="s">
        <v>44</v>
      </c>
      <c r="H1534" s="11" t="s">
        <v>46</v>
      </c>
      <c r="I1534" s="11" t="s">
        <v>46</v>
      </c>
      <c r="J1534" s="11">
        <v>0.66</v>
      </c>
      <c r="K1534" s="12">
        <v>43964</v>
      </c>
      <c r="L1534" s="13" t="str" cm="1">
        <f t="array" ref="L1534">_xlfn.IFS(
  OR(ISBLANK(A1534),ISBLANK(C1534),ISBLANK(J1534)),"Missing Value",
  OR(C1534&lt;18,C1534&gt;120),"Review – Out of Range (Age)",
  J1534&lt;0,"Review – Out of Range (Risk Score)",
  TRUE,"OK"
)</f>
        <v>OK</v>
      </c>
    </row>
    <row r="1535" spans="1:12" ht="16.8" x14ac:dyDescent="0.3">
      <c r="A1535" s="14" t="s">
        <v>3120</v>
      </c>
      <c r="B1535" s="14" t="s">
        <v>3121</v>
      </c>
      <c r="C1535" s="14">
        <v>37</v>
      </c>
      <c r="D1535" s="14" t="s">
        <v>41</v>
      </c>
      <c r="E1535" s="14" t="s">
        <v>42</v>
      </c>
      <c r="F1535" s="14" t="s">
        <v>65</v>
      </c>
      <c r="G1535" s="14" t="s">
        <v>109</v>
      </c>
      <c r="H1535" s="14" t="s">
        <v>46</v>
      </c>
      <c r="I1535" s="14" t="s">
        <v>46</v>
      </c>
      <c r="J1535" s="14">
        <v>0.49</v>
      </c>
      <c r="K1535" s="15">
        <v>43665</v>
      </c>
      <c r="L1535" s="13" t="str" cm="1">
        <f t="array" ref="L1535">_xlfn.IFS(
  OR(ISBLANK(A1535),ISBLANK(C1535),ISBLANK(J1535)),"Missing Value",
  OR(C1535&lt;18,C1535&gt;120),"Review – Out of Range (Age)",
  J1535&lt;0,"Review – Out of Range (Risk Score)",
  TRUE,"OK"
)</f>
        <v>OK</v>
      </c>
    </row>
    <row r="1536" spans="1:12" ht="16.8" x14ac:dyDescent="0.3">
      <c r="A1536" s="11" t="s">
        <v>3122</v>
      </c>
      <c r="B1536" s="11" t="s">
        <v>3123</v>
      </c>
      <c r="C1536" s="11">
        <v>56</v>
      </c>
      <c r="D1536" s="11" t="s">
        <v>49</v>
      </c>
      <c r="E1536" s="11" t="s">
        <v>42</v>
      </c>
      <c r="F1536" s="11" t="s">
        <v>59</v>
      </c>
      <c r="G1536" s="11" t="s">
        <v>55</v>
      </c>
      <c r="H1536" s="11" t="s">
        <v>46</v>
      </c>
      <c r="I1536" s="11" t="s">
        <v>45</v>
      </c>
      <c r="J1536" s="11">
        <v>0.41</v>
      </c>
      <c r="K1536" s="12">
        <v>43301</v>
      </c>
      <c r="L1536" s="13" t="str" cm="1">
        <f t="array" ref="L1536">_xlfn.IFS(
  OR(ISBLANK(A1536),ISBLANK(C1536),ISBLANK(J1536)),"Missing Value",
  OR(C1536&lt;18,C1536&gt;120),"Review – Out of Range (Age)",
  J1536&lt;0,"Review – Out of Range (Risk Score)",
  TRUE,"OK"
)</f>
        <v>OK</v>
      </c>
    </row>
    <row r="1537" spans="1:12" ht="16.8" x14ac:dyDescent="0.3">
      <c r="A1537" s="14" t="s">
        <v>3124</v>
      </c>
      <c r="B1537" s="14" t="s">
        <v>3125</v>
      </c>
      <c r="C1537" s="14">
        <v>64</v>
      </c>
      <c r="D1537" s="14" t="s">
        <v>49</v>
      </c>
      <c r="E1537" s="14" t="s">
        <v>50</v>
      </c>
      <c r="F1537" s="14" t="s">
        <v>65</v>
      </c>
      <c r="G1537" s="14" t="s">
        <v>94</v>
      </c>
      <c r="H1537" s="14" t="s">
        <v>45</v>
      </c>
      <c r="I1537" s="14" t="s">
        <v>46</v>
      </c>
      <c r="J1537" s="14">
        <v>0.48</v>
      </c>
      <c r="K1537" s="15">
        <v>43925</v>
      </c>
      <c r="L1537" s="13" t="str" cm="1">
        <f t="array" ref="L1537">_xlfn.IFS(
  OR(ISBLANK(A1537),ISBLANK(C1537),ISBLANK(J1537)),"Missing Value",
  OR(C1537&lt;18,C1537&gt;120),"Review – Out of Range (Age)",
  J1537&lt;0,"Review – Out of Range (Risk Score)",
  TRUE,"OK"
)</f>
        <v>OK</v>
      </c>
    </row>
    <row r="1538" spans="1:12" ht="16.8" x14ac:dyDescent="0.3">
      <c r="A1538" s="11" t="s">
        <v>3126</v>
      </c>
      <c r="B1538" s="11" t="s">
        <v>3127</v>
      </c>
      <c r="C1538" s="11">
        <v>64</v>
      </c>
      <c r="D1538" s="11" t="s">
        <v>41</v>
      </c>
      <c r="E1538" s="11" t="s">
        <v>50</v>
      </c>
      <c r="F1538" s="11" t="s">
        <v>59</v>
      </c>
      <c r="G1538" s="11" t="s">
        <v>55</v>
      </c>
      <c r="H1538" s="11" t="s">
        <v>46</v>
      </c>
      <c r="I1538" s="11" t="s">
        <v>46</v>
      </c>
      <c r="J1538" s="11">
        <v>0.3</v>
      </c>
      <c r="K1538" s="12">
        <v>44669</v>
      </c>
      <c r="L1538" s="13" t="str" cm="1">
        <f t="array" ref="L1538">_xlfn.IFS(
  OR(ISBLANK(A1538),ISBLANK(C1538),ISBLANK(J1538)),"Missing Value",
  OR(C1538&lt;18,C1538&gt;120),"Review – Out of Range (Age)",
  J1538&lt;0,"Review – Out of Range (Risk Score)",
  TRUE,"OK"
)</f>
        <v>OK</v>
      </c>
    </row>
    <row r="1539" spans="1:12" ht="16.8" x14ac:dyDescent="0.3">
      <c r="A1539" s="14" t="s">
        <v>3128</v>
      </c>
      <c r="B1539" s="14" t="s">
        <v>3129</v>
      </c>
      <c r="C1539" s="14">
        <v>24</v>
      </c>
      <c r="D1539" s="14" t="s">
        <v>41</v>
      </c>
      <c r="E1539" s="14" t="s">
        <v>58</v>
      </c>
      <c r="F1539" s="14" t="s">
        <v>59</v>
      </c>
      <c r="G1539" s="14" t="s">
        <v>109</v>
      </c>
      <c r="H1539" s="14" t="s">
        <v>46</v>
      </c>
      <c r="I1539" s="14" t="s">
        <v>46</v>
      </c>
      <c r="J1539" s="14">
        <v>0.44</v>
      </c>
      <c r="K1539" s="15">
        <v>43375</v>
      </c>
      <c r="L1539" s="13" t="str" cm="1">
        <f t="array" ref="L1539">_xlfn.IFS(
  OR(ISBLANK(A1539),ISBLANK(C1539),ISBLANK(J1539)),"Missing Value",
  OR(C1539&lt;18,C1539&gt;120),"Review – Out of Range (Age)",
  J1539&lt;0,"Review – Out of Range (Risk Score)",
  TRUE,"OK"
)</f>
        <v>OK</v>
      </c>
    </row>
    <row r="1540" spans="1:12" ht="16.8" x14ac:dyDescent="0.3">
      <c r="A1540" s="11" t="s">
        <v>3130</v>
      </c>
      <c r="B1540" s="11" t="s">
        <v>3131</v>
      </c>
      <c r="C1540" s="11">
        <v>21</v>
      </c>
      <c r="D1540" s="11" t="s">
        <v>49</v>
      </c>
      <c r="E1540" s="11" t="s">
        <v>58</v>
      </c>
      <c r="F1540" s="11" t="s">
        <v>51</v>
      </c>
      <c r="G1540" s="11" t="s">
        <v>94</v>
      </c>
      <c r="H1540" s="11" t="s">
        <v>46</v>
      </c>
      <c r="I1540" s="11" t="s">
        <v>46</v>
      </c>
      <c r="J1540" s="11">
        <v>0.41</v>
      </c>
      <c r="K1540" s="12">
        <v>43349</v>
      </c>
      <c r="L1540" s="13" t="str" cm="1">
        <f t="array" ref="L1540">_xlfn.IFS(
  OR(ISBLANK(A1540),ISBLANK(C1540),ISBLANK(J1540)),"Missing Value",
  OR(C1540&lt;18,C1540&gt;120),"Review – Out of Range (Age)",
  J1540&lt;0,"Review – Out of Range (Risk Score)",
  TRUE,"OK"
)</f>
        <v>OK</v>
      </c>
    </row>
    <row r="1541" spans="1:12" ht="16.8" x14ac:dyDescent="0.3">
      <c r="A1541" s="14" t="s">
        <v>3132</v>
      </c>
      <c r="B1541" s="14" t="s">
        <v>3133</v>
      </c>
      <c r="C1541" s="14">
        <v>30</v>
      </c>
      <c r="D1541" s="14" t="s">
        <v>49</v>
      </c>
      <c r="E1541" s="14" t="s">
        <v>50</v>
      </c>
      <c r="F1541" s="14" t="s">
        <v>51</v>
      </c>
      <c r="G1541" s="14" t="s">
        <v>55</v>
      </c>
      <c r="H1541" s="14" t="s">
        <v>46</v>
      </c>
      <c r="I1541" s="14" t="s">
        <v>45</v>
      </c>
      <c r="J1541" s="14">
        <v>0.39</v>
      </c>
      <c r="K1541" s="15">
        <v>44296</v>
      </c>
      <c r="L1541" s="13" t="str" cm="1">
        <f t="array" ref="L1541">_xlfn.IFS(
  OR(ISBLANK(A1541),ISBLANK(C1541),ISBLANK(J1541)),"Missing Value",
  OR(C1541&lt;18,C1541&gt;120),"Review – Out of Range (Age)",
  J1541&lt;0,"Review – Out of Range (Risk Score)",
  TRUE,"OK"
)</f>
        <v>OK</v>
      </c>
    </row>
    <row r="1542" spans="1:12" ht="16.8" x14ac:dyDescent="0.3">
      <c r="A1542" s="11" t="s">
        <v>3134</v>
      </c>
      <c r="B1542" s="11" t="s">
        <v>3135</v>
      </c>
      <c r="C1542" s="11">
        <v>66</v>
      </c>
      <c r="D1542" s="11" t="s">
        <v>49</v>
      </c>
      <c r="E1542" s="11" t="s">
        <v>50</v>
      </c>
      <c r="F1542" s="11" t="s">
        <v>59</v>
      </c>
      <c r="G1542" s="11" t="s">
        <v>109</v>
      </c>
      <c r="H1542" s="11" t="s">
        <v>45</v>
      </c>
      <c r="I1542" s="11" t="s">
        <v>46</v>
      </c>
      <c r="J1542" s="11">
        <v>0</v>
      </c>
      <c r="K1542" s="12">
        <v>44707</v>
      </c>
      <c r="L1542" s="13" t="str" cm="1">
        <f t="array" ref="L1542">_xlfn.IFS(
  OR(ISBLANK(A1542),ISBLANK(C1542),ISBLANK(J1542)),"Missing Value",
  OR(C1542&lt;18,C1542&gt;120),"Review – Out of Range (Age)",
  J1542&lt;0,"Review – Out of Range (Risk Score)",
  TRUE,"OK"
)</f>
        <v>OK</v>
      </c>
    </row>
    <row r="1543" spans="1:12" ht="16.8" x14ac:dyDescent="0.3">
      <c r="A1543" s="14" t="s">
        <v>3136</v>
      </c>
      <c r="B1543" s="14" t="s">
        <v>3137</v>
      </c>
      <c r="C1543" s="14">
        <v>21</v>
      </c>
      <c r="D1543" s="14" t="s">
        <v>49</v>
      </c>
      <c r="E1543" s="14" t="s">
        <v>50</v>
      </c>
      <c r="F1543" s="14" t="s">
        <v>59</v>
      </c>
      <c r="G1543" s="14" t="s">
        <v>55</v>
      </c>
      <c r="H1543" s="14" t="s">
        <v>46</v>
      </c>
      <c r="I1543" s="14" t="s">
        <v>46</v>
      </c>
      <c r="J1543" s="14">
        <v>0.33</v>
      </c>
      <c r="K1543" s="15">
        <v>45046</v>
      </c>
      <c r="L1543" s="13" t="str" cm="1">
        <f t="array" ref="L1543">_xlfn.IFS(
  OR(ISBLANK(A1543),ISBLANK(C1543),ISBLANK(J1543)),"Missing Value",
  OR(C1543&lt;18,C1543&gt;120),"Review – Out of Range (Age)",
  J1543&lt;0,"Review – Out of Range (Risk Score)",
  TRUE,"OK"
)</f>
        <v>OK</v>
      </c>
    </row>
    <row r="1544" spans="1:12" ht="16.8" x14ac:dyDescent="0.3">
      <c r="A1544" s="11" t="s">
        <v>3138</v>
      </c>
      <c r="B1544" s="11" t="s">
        <v>3139</v>
      </c>
      <c r="C1544" s="11">
        <v>40</v>
      </c>
      <c r="D1544" s="11" t="s">
        <v>49</v>
      </c>
      <c r="E1544" s="11" t="s">
        <v>50</v>
      </c>
      <c r="F1544" s="11" t="s">
        <v>51</v>
      </c>
      <c r="G1544" s="11" t="s">
        <v>52</v>
      </c>
      <c r="H1544" s="11" t="s">
        <v>45</v>
      </c>
      <c r="I1544" s="11" t="s">
        <v>46</v>
      </c>
      <c r="J1544" s="11">
        <v>0.78</v>
      </c>
      <c r="K1544" s="12">
        <v>43282</v>
      </c>
      <c r="L1544" s="13" t="str" cm="1">
        <f t="array" ref="L1544">_xlfn.IFS(
  OR(ISBLANK(A1544),ISBLANK(C1544),ISBLANK(J1544)),"Missing Value",
  OR(C1544&lt;18,C1544&gt;120),"Review – Out of Range (Age)",
  J1544&lt;0,"Review – Out of Range (Risk Score)",
  TRUE,"OK"
)</f>
        <v>OK</v>
      </c>
    </row>
    <row r="1545" spans="1:12" ht="16.8" x14ac:dyDescent="0.3">
      <c r="A1545" s="14" t="s">
        <v>3140</v>
      </c>
      <c r="B1545" s="14" t="s">
        <v>3141</v>
      </c>
      <c r="C1545" s="14">
        <v>51</v>
      </c>
      <c r="D1545" s="14" t="s">
        <v>49</v>
      </c>
      <c r="E1545" s="14" t="s">
        <v>50</v>
      </c>
      <c r="F1545" s="14" t="s">
        <v>59</v>
      </c>
      <c r="G1545" s="14" t="s">
        <v>109</v>
      </c>
      <c r="H1545" s="14" t="s">
        <v>45</v>
      </c>
      <c r="I1545" s="14" t="s">
        <v>46</v>
      </c>
      <c r="J1545" s="14">
        <v>0.41</v>
      </c>
      <c r="K1545" s="15">
        <v>43468</v>
      </c>
      <c r="L1545" s="13" t="str" cm="1">
        <f t="array" ref="L1545">_xlfn.IFS(
  OR(ISBLANK(A1545),ISBLANK(C1545),ISBLANK(J1545)),"Missing Value",
  OR(C1545&lt;18,C1545&gt;120),"Review – Out of Range (Age)",
  J1545&lt;0,"Review – Out of Range (Risk Score)",
  TRUE,"OK"
)</f>
        <v>OK</v>
      </c>
    </row>
    <row r="1546" spans="1:12" ht="16.8" x14ac:dyDescent="0.3">
      <c r="A1546" s="11" t="s">
        <v>3142</v>
      </c>
      <c r="B1546" s="11" t="s">
        <v>3143</v>
      </c>
      <c r="C1546" s="11">
        <v>52</v>
      </c>
      <c r="D1546" s="11" t="s">
        <v>41</v>
      </c>
      <c r="E1546" s="11" t="s">
        <v>58</v>
      </c>
      <c r="F1546" s="11" t="s">
        <v>43</v>
      </c>
      <c r="G1546" s="11" t="s">
        <v>60</v>
      </c>
      <c r="H1546" s="11" t="s">
        <v>46</v>
      </c>
      <c r="I1546" s="11" t="s">
        <v>46</v>
      </c>
      <c r="J1546" s="11">
        <v>0.55000000000000004</v>
      </c>
      <c r="K1546" s="12">
        <v>45229</v>
      </c>
      <c r="L1546" s="13" t="str" cm="1">
        <f t="array" ref="L1546">_xlfn.IFS(
  OR(ISBLANK(A1546),ISBLANK(C1546),ISBLANK(J1546)),"Missing Value",
  OR(C1546&lt;18,C1546&gt;120),"Review – Out of Range (Age)",
  J1546&lt;0,"Review – Out of Range (Risk Score)",
  TRUE,"OK"
)</f>
        <v>OK</v>
      </c>
    </row>
    <row r="1547" spans="1:12" ht="16.8" x14ac:dyDescent="0.3">
      <c r="A1547" s="14" t="s">
        <v>3144</v>
      </c>
      <c r="B1547" s="14" t="s">
        <v>3145</v>
      </c>
      <c r="C1547" s="14">
        <v>62</v>
      </c>
      <c r="D1547" s="14" t="s">
        <v>41</v>
      </c>
      <c r="E1547" s="14" t="s">
        <v>58</v>
      </c>
      <c r="F1547" s="14" t="s">
        <v>43</v>
      </c>
      <c r="G1547" s="14" t="s">
        <v>52</v>
      </c>
      <c r="H1547" s="14" t="s">
        <v>46</v>
      </c>
      <c r="I1547" s="14" t="s">
        <v>45</v>
      </c>
      <c r="J1547" s="14">
        <v>0.39</v>
      </c>
      <c r="K1547" s="15">
        <v>43315</v>
      </c>
      <c r="L1547" s="13" t="str" cm="1">
        <f t="array" ref="L1547">_xlfn.IFS(
  OR(ISBLANK(A1547),ISBLANK(C1547),ISBLANK(J1547)),"Missing Value",
  OR(C1547&lt;18,C1547&gt;120),"Review – Out of Range (Age)",
  J1547&lt;0,"Review – Out of Range (Risk Score)",
  TRUE,"OK"
)</f>
        <v>OK</v>
      </c>
    </row>
    <row r="1548" spans="1:12" ht="16.8" x14ac:dyDescent="0.3">
      <c r="A1548" s="11" t="s">
        <v>3146</v>
      </c>
      <c r="B1548" s="11" t="s">
        <v>3147</v>
      </c>
      <c r="C1548" s="11">
        <v>40</v>
      </c>
      <c r="D1548" s="11" t="s">
        <v>41</v>
      </c>
      <c r="E1548" s="11" t="s">
        <v>42</v>
      </c>
      <c r="F1548" s="11" t="s">
        <v>51</v>
      </c>
      <c r="G1548" s="11" t="s">
        <v>94</v>
      </c>
      <c r="H1548" s="11" t="s">
        <v>46</v>
      </c>
      <c r="I1548" s="11" t="s">
        <v>45</v>
      </c>
      <c r="J1548" s="11">
        <v>0.6</v>
      </c>
      <c r="K1548" s="12">
        <v>44371</v>
      </c>
      <c r="L1548" s="13" t="str" cm="1">
        <f t="array" ref="L1548">_xlfn.IFS(
  OR(ISBLANK(A1548),ISBLANK(C1548),ISBLANK(J1548)),"Missing Value",
  OR(C1548&lt;18,C1548&gt;120),"Review – Out of Range (Age)",
  J1548&lt;0,"Review – Out of Range (Risk Score)",
  TRUE,"OK"
)</f>
        <v>OK</v>
      </c>
    </row>
    <row r="1549" spans="1:12" ht="16.8" x14ac:dyDescent="0.3">
      <c r="A1549" s="14" t="s">
        <v>3148</v>
      </c>
      <c r="B1549" s="14" t="s">
        <v>3149</v>
      </c>
      <c r="C1549" s="14">
        <v>58</v>
      </c>
      <c r="D1549" s="14" t="s">
        <v>41</v>
      </c>
      <c r="E1549" s="14" t="s">
        <v>42</v>
      </c>
      <c r="F1549" s="14" t="s">
        <v>51</v>
      </c>
      <c r="G1549" s="14" t="s">
        <v>94</v>
      </c>
      <c r="H1549" s="14" t="s">
        <v>45</v>
      </c>
      <c r="I1549" s="14" t="s">
        <v>45</v>
      </c>
      <c r="J1549" s="14">
        <v>0.62</v>
      </c>
      <c r="K1549" s="15">
        <v>44445</v>
      </c>
      <c r="L1549" s="13" t="str" cm="1">
        <f t="array" ref="L1549">_xlfn.IFS(
  OR(ISBLANK(A1549),ISBLANK(C1549),ISBLANK(J1549)),"Missing Value",
  OR(C1549&lt;18,C1549&gt;120),"Review – Out of Range (Age)",
  J1549&lt;0,"Review – Out of Range (Risk Score)",
  TRUE,"OK"
)</f>
        <v>OK</v>
      </c>
    </row>
    <row r="1550" spans="1:12" ht="16.8" x14ac:dyDescent="0.3">
      <c r="A1550" s="11" t="s">
        <v>3150</v>
      </c>
      <c r="B1550" s="11" t="s">
        <v>3151</v>
      </c>
      <c r="C1550" s="11">
        <v>56</v>
      </c>
      <c r="D1550" s="11" t="s">
        <v>41</v>
      </c>
      <c r="E1550" s="11" t="s">
        <v>42</v>
      </c>
      <c r="F1550" s="11" t="s">
        <v>65</v>
      </c>
      <c r="G1550" s="11" t="s">
        <v>52</v>
      </c>
      <c r="H1550" s="11" t="s">
        <v>46</v>
      </c>
      <c r="I1550" s="11" t="s">
        <v>46</v>
      </c>
      <c r="J1550" s="11">
        <v>0.56999999999999995</v>
      </c>
      <c r="K1550" s="12">
        <v>43207</v>
      </c>
      <c r="L1550" s="13" t="str" cm="1">
        <f t="array" ref="L1550">_xlfn.IFS(
  OR(ISBLANK(A1550),ISBLANK(C1550),ISBLANK(J1550)),"Missing Value",
  OR(C1550&lt;18,C1550&gt;120),"Review – Out of Range (Age)",
  J1550&lt;0,"Review – Out of Range (Risk Score)",
  TRUE,"OK"
)</f>
        <v>OK</v>
      </c>
    </row>
    <row r="1551" spans="1:12" ht="16.8" x14ac:dyDescent="0.3">
      <c r="A1551" s="14" t="s">
        <v>3152</v>
      </c>
      <c r="B1551" s="14" t="s">
        <v>3153</v>
      </c>
      <c r="C1551" s="14">
        <v>52</v>
      </c>
      <c r="D1551" s="14" t="s">
        <v>41</v>
      </c>
      <c r="E1551" s="14" t="s">
        <v>42</v>
      </c>
      <c r="F1551" s="14" t="s">
        <v>51</v>
      </c>
      <c r="G1551" s="14" t="s">
        <v>94</v>
      </c>
      <c r="H1551" s="14" t="s">
        <v>45</v>
      </c>
      <c r="I1551" s="14" t="s">
        <v>46</v>
      </c>
      <c r="J1551" s="14">
        <v>1</v>
      </c>
      <c r="K1551" s="15">
        <v>43314</v>
      </c>
      <c r="L1551" s="13" t="str" cm="1">
        <f t="array" ref="L1551">_xlfn.IFS(
  OR(ISBLANK(A1551),ISBLANK(C1551),ISBLANK(J1551)),"Missing Value",
  OR(C1551&lt;18,C1551&gt;120),"Review – Out of Range (Age)",
  J1551&lt;0,"Review – Out of Range (Risk Score)",
  TRUE,"OK"
)</f>
        <v>OK</v>
      </c>
    </row>
    <row r="1552" spans="1:12" ht="16.8" x14ac:dyDescent="0.3">
      <c r="A1552" s="11" t="s">
        <v>3154</v>
      </c>
      <c r="B1552" s="11" t="s">
        <v>3155</v>
      </c>
      <c r="C1552" s="11">
        <v>63</v>
      </c>
      <c r="D1552" s="11" t="s">
        <v>41</v>
      </c>
      <c r="E1552" s="11" t="s">
        <v>50</v>
      </c>
      <c r="F1552" s="11" t="s">
        <v>43</v>
      </c>
      <c r="G1552" s="11" t="s">
        <v>60</v>
      </c>
      <c r="H1552" s="11" t="s">
        <v>46</v>
      </c>
      <c r="I1552" s="11" t="s">
        <v>46</v>
      </c>
      <c r="J1552" s="11">
        <v>0.65</v>
      </c>
      <c r="K1552" s="12">
        <v>43716</v>
      </c>
      <c r="L1552" s="13" t="str" cm="1">
        <f t="array" ref="L1552">_xlfn.IFS(
  OR(ISBLANK(A1552),ISBLANK(C1552),ISBLANK(J1552)),"Missing Value",
  OR(C1552&lt;18,C1552&gt;120),"Review – Out of Range (Age)",
  J1552&lt;0,"Review – Out of Range (Risk Score)",
  TRUE,"OK"
)</f>
        <v>OK</v>
      </c>
    </row>
    <row r="1553" spans="1:12" ht="16.8" x14ac:dyDescent="0.3">
      <c r="A1553" s="14" t="s">
        <v>3156</v>
      </c>
      <c r="B1553" s="14" t="s">
        <v>3157</v>
      </c>
      <c r="C1553" s="14">
        <v>19</v>
      </c>
      <c r="D1553" s="14" t="s">
        <v>49</v>
      </c>
      <c r="E1553" s="14" t="s">
        <v>42</v>
      </c>
      <c r="F1553" s="14" t="s">
        <v>65</v>
      </c>
      <c r="G1553" s="14" t="s">
        <v>44</v>
      </c>
      <c r="H1553" s="14" t="s">
        <v>45</v>
      </c>
      <c r="I1553" s="14" t="s">
        <v>45</v>
      </c>
      <c r="J1553" s="14">
        <v>0.73</v>
      </c>
      <c r="K1553" s="15">
        <v>43569</v>
      </c>
      <c r="L1553" s="13" t="str" cm="1">
        <f t="array" ref="L1553">_xlfn.IFS(
  OR(ISBLANK(A1553),ISBLANK(C1553),ISBLANK(J1553)),"Missing Value",
  OR(C1553&lt;18,C1553&gt;120),"Review – Out of Range (Age)",
  J1553&lt;0,"Review – Out of Range (Risk Score)",
  TRUE,"OK"
)</f>
        <v>OK</v>
      </c>
    </row>
    <row r="1554" spans="1:12" ht="16.8" x14ac:dyDescent="0.3">
      <c r="A1554" s="11" t="s">
        <v>3158</v>
      </c>
      <c r="B1554" s="11" t="s">
        <v>3159</v>
      </c>
      <c r="C1554" s="11">
        <v>66</v>
      </c>
      <c r="D1554" s="11" t="s">
        <v>49</v>
      </c>
      <c r="E1554" s="11" t="s">
        <v>50</v>
      </c>
      <c r="F1554" s="11" t="s">
        <v>59</v>
      </c>
      <c r="G1554" s="11" t="s">
        <v>60</v>
      </c>
      <c r="H1554" s="11" t="s">
        <v>46</v>
      </c>
      <c r="I1554" s="11" t="s">
        <v>46</v>
      </c>
      <c r="J1554" s="11">
        <v>0.59</v>
      </c>
      <c r="K1554" s="12">
        <v>43749</v>
      </c>
      <c r="L1554" s="13" t="str" cm="1">
        <f t="array" ref="L1554">_xlfn.IFS(
  OR(ISBLANK(A1554),ISBLANK(C1554),ISBLANK(J1554)),"Missing Value",
  OR(C1554&lt;18,C1554&gt;120),"Review – Out of Range (Age)",
  J1554&lt;0,"Review – Out of Range (Risk Score)",
  TRUE,"OK"
)</f>
        <v>OK</v>
      </c>
    </row>
    <row r="1555" spans="1:12" ht="16.8" x14ac:dyDescent="0.3">
      <c r="A1555" s="14" t="s">
        <v>3160</v>
      </c>
      <c r="B1555" s="14" t="s">
        <v>3161</v>
      </c>
      <c r="C1555" s="14">
        <v>52</v>
      </c>
      <c r="D1555" s="14" t="s">
        <v>41</v>
      </c>
      <c r="E1555" s="14" t="s">
        <v>42</v>
      </c>
      <c r="F1555" s="14" t="s">
        <v>59</v>
      </c>
      <c r="G1555" s="14" t="s">
        <v>44</v>
      </c>
      <c r="H1555" s="14" t="s">
        <v>45</v>
      </c>
      <c r="I1555" s="14" t="s">
        <v>45</v>
      </c>
      <c r="J1555" s="14">
        <v>0.55000000000000004</v>
      </c>
      <c r="K1555" s="15">
        <v>43757</v>
      </c>
      <c r="L1555" s="13" t="str" cm="1">
        <f t="array" ref="L1555">_xlfn.IFS(
  OR(ISBLANK(A1555),ISBLANK(C1555),ISBLANK(J1555)),"Missing Value",
  OR(C1555&lt;18,C1555&gt;120),"Review – Out of Range (Age)",
  J1555&lt;0,"Review – Out of Range (Risk Score)",
  TRUE,"OK"
)</f>
        <v>OK</v>
      </c>
    </row>
    <row r="1556" spans="1:12" ht="16.8" x14ac:dyDescent="0.3">
      <c r="A1556" s="11" t="s">
        <v>3162</v>
      </c>
      <c r="B1556" s="11" t="s">
        <v>3163</v>
      </c>
      <c r="C1556" s="11">
        <v>66</v>
      </c>
      <c r="D1556" s="11" t="s">
        <v>49</v>
      </c>
      <c r="E1556" s="11" t="s">
        <v>58</v>
      </c>
      <c r="F1556" s="11" t="s">
        <v>65</v>
      </c>
      <c r="G1556" s="11" t="s">
        <v>55</v>
      </c>
      <c r="H1556" s="11" t="s">
        <v>46</v>
      </c>
      <c r="I1556" s="11" t="s">
        <v>45</v>
      </c>
      <c r="J1556" s="11">
        <v>0.55000000000000004</v>
      </c>
      <c r="K1556" s="12">
        <v>43122</v>
      </c>
      <c r="L1556" s="13" t="str" cm="1">
        <f t="array" ref="L1556">_xlfn.IFS(
  OR(ISBLANK(A1556),ISBLANK(C1556),ISBLANK(J1556)),"Missing Value",
  OR(C1556&lt;18,C1556&gt;120),"Review – Out of Range (Age)",
  J1556&lt;0,"Review – Out of Range (Risk Score)",
  TRUE,"OK"
)</f>
        <v>OK</v>
      </c>
    </row>
    <row r="1557" spans="1:12" ht="16.8" x14ac:dyDescent="0.3">
      <c r="A1557" s="14" t="s">
        <v>3164</v>
      </c>
      <c r="B1557" s="14" t="s">
        <v>3165</v>
      </c>
      <c r="C1557" s="14">
        <v>47</v>
      </c>
      <c r="D1557" s="14" t="s">
        <v>49</v>
      </c>
      <c r="E1557" s="14" t="s">
        <v>50</v>
      </c>
      <c r="F1557" s="14" t="s">
        <v>59</v>
      </c>
      <c r="G1557" s="14" t="s">
        <v>52</v>
      </c>
      <c r="H1557" s="14" t="s">
        <v>45</v>
      </c>
      <c r="I1557" s="14" t="s">
        <v>45</v>
      </c>
      <c r="J1557" s="14">
        <v>0.7</v>
      </c>
      <c r="K1557" s="15">
        <v>43112</v>
      </c>
      <c r="L1557" s="13" t="str" cm="1">
        <f t="array" ref="L1557">_xlfn.IFS(
  OR(ISBLANK(A1557),ISBLANK(C1557),ISBLANK(J1557)),"Missing Value",
  OR(C1557&lt;18,C1557&gt;120),"Review – Out of Range (Age)",
  J1557&lt;0,"Review – Out of Range (Risk Score)",
  TRUE,"OK"
)</f>
        <v>OK</v>
      </c>
    </row>
    <row r="1558" spans="1:12" ht="16.8" x14ac:dyDescent="0.3">
      <c r="A1558" s="11" t="s">
        <v>3166</v>
      </c>
      <c r="B1558" s="11" t="s">
        <v>3167</v>
      </c>
      <c r="C1558" s="11">
        <v>42</v>
      </c>
      <c r="D1558" s="11" t="s">
        <v>49</v>
      </c>
      <c r="E1558" s="11" t="s">
        <v>42</v>
      </c>
      <c r="F1558" s="11" t="s">
        <v>43</v>
      </c>
      <c r="G1558" s="11" t="s">
        <v>52</v>
      </c>
      <c r="H1558" s="11" t="s">
        <v>45</v>
      </c>
      <c r="I1558" s="11" t="s">
        <v>45</v>
      </c>
      <c r="J1558" s="11">
        <v>0.41</v>
      </c>
      <c r="K1558" s="12">
        <v>44563</v>
      </c>
      <c r="L1558" s="13" t="str" cm="1">
        <f t="array" ref="L1558">_xlfn.IFS(
  OR(ISBLANK(A1558),ISBLANK(C1558),ISBLANK(J1558)),"Missing Value",
  OR(C1558&lt;18,C1558&gt;120),"Review – Out of Range (Age)",
  J1558&lt;0,"Review – Out of Range (Risk Score)",
  TRUE,"OK"
)</f>
        <v>OK</v>
      </c>
    </row>
    <row r="1559" spans="1:12" ht="16.8" x14ac:dyDescent="0.3">
      <c r="A1559" s="14" t="s">
        <v>3168</v>
      </c>
      <c r="B1559" s="14" t="s">
        <v>3169</v>
      </c>
      <c r="C1559" s="14">
        <v>55</v>
      </c>
      <c r="D1559" s="14" t="s">
        <v>41</v>
      </c>
      <c r="E1559" s="14" t="s">
        <v>50</v>
      </c>
      <c r="F1559" s="14" t="s">
        <v>51</v>
      </c>
      <c r="G1559" s="14" t="s">
        <v>52</v>
      </c>
      <c r="H1559" s="14" t="s">
        <v>45</v>
      </c>
      <c r="I1559" s="14" t="s">
        <v>45</v>
      </c>
      <c r="J1559" s="14">
        <v>0.4</v>
      </c>
      <c r="K1559" s="15">
        <v>43128</v>
      </c>
      <c r="L1559" s="13" t="str" cm="1">
        <f t="array" ref="L1559">_xlfn.IFS(
  OR(ISBLANK(A1559),ISBLANK(C1559),ISBLANK(J1559)),"Missing Value",
  OR(C1559&lt;18,C1559&gt;120),"Review – Out of Range (Age)",
  J1559&lt;0,"Review – Out of Range (Risk Score)",
  TRUE,"OK"
)</f>
        <v>OK</v>
      </c>
    </row>
    <row r="1560" spans="1:12" ht="16.8" x14ac:dyDescent="0.3">
      <c r="A1560" s="11" t="s">
        <v>3170</v>
      </c>
      <c r="B1560" s="11" t="s">
        <v>3171</v>
      </c>
      <c r="C1560" s="11">
        <v>43</v>
      </c>
      <c r="D1560" s="11" t="s">
        <v>49</v>
      </c>
      <c r="E1560" s="11" t="s">
        <v>42</v>
      </c>
      <c r="F1560" s="11" t="s">
        <v>59</v>
      </c>
      <c r="G1560" s="11" t="s">
        <v>109</v>
      </c>
      <c r="H1560" s="11" t="s">
        <v>45</v>
      </c>
      <c r="I1560" s="11" t="s">
        <v>46</v>
      </c>
      <c r="J1560" s="11">
        <v>0.62</v>
      </c>
      <c r="K1560" s="12">
        <v>44312</v>
      </c>
      <c r="L1560" s="13" t="str" cm="1">
        <f t="array" ref="L1560">_xlfn.IFS(
  OR(ISBLANK(A1560),ISBLANK(C1560),ISBLANK(J1560)),"Missing Value",
  OR(C1560&lt;18,C1560&gt;120),"Review – Out of Range (Age)",
  J1560&lt;0,"Review – Out of Range (Risk Score)",
  TRUE,"OK"
)</f>
        <v>OK</v>
      </c>
    </row>
    <row r="1561" spans="1:12" ht="16.8" x14ac:dyDescent="0.3">
      <c r="A1561" s="14" t="s">
        <v>3172</v>
      </c>
      <c r="B1561" s="14" t="s">
        <v>3173</v>
      </c>
      <c r="C1561" s="14">
        <v>55</v>
      </c>
      <c r="D1561" s="14" t="s">
        <v>41</v>
      </c>
      <c r="E1561" s="14" t="s">
        <v>58</v>
      </c>
      <c r="F1561" s="14" t="s">
        <v>59</v>
      </c>
      <c r="G1561" s="14" t="s">
        <v>44</v>
      </c>
      <c r="H1561" s="14" t="s">
        <v>45</v>
      </c>
      <c r="I1561" s="14" t="s">
        <v>46</v>
      </c>
      <c r="J1561" s="14">
        <v>0.43</v>
      </c>
      <c r="K1561" s="15">
        <v>43767</v>
      </c>
      <c r="L1561" s="13" t="str" cm="1">
        <f t="array" ref="L1561">_xlfn.IFS(
  OR(ISBLANK(A1561),ISBLANK(C1561),ISBLANK(J1561)),"Missing Value",
  OR(C1561&lt;18,C1561&gt;120),"Review – Out of Range (Age)",
  J1561&lt;0,"Review – Out of Range (Risk Score)",
  TRUE,"OK"
)</f>
        <v>OK</v>
      </c>
    </row>
    <row r="1562" spans="1:12" ht="16.8" x14ac:dyDescent="0.3">
      <c r="A1562" s="11" t="s">
        <v>3174</v>
      </c>
      <c r="B1562" s="11" t="s">
        <v>3175</v>
      </c>
      <c r="C1562" s="11">
        <v>44</v>
      </c>
      <c r="D1562" s="11" t="s">
        <v>41</v>
      </c>
      <c r="E1562" s="11" t="s">
        <v>50</v>
      </c>
      <c r="F1562" s="11" t="s">
        <v>59</v>
      </c>
      <c r="G1562" s="11" t="s">
        <v>60</v>
      </c>
      <c r="H1562" s="11" t="s">
        <v>45</v>
      </c>
      <c r="I1562" s="11" t="s">
        <v>46</v>
      </c>
      <c r="J1562" s="11">
        <v>1</v>
      </c>
      <c r="K1562" s="12">
        <v>43551</v>
      </c>
      <c r="L1562" s="13" t="str" cm="1">
        <f t="array" ref="L1562">_xlfn.IFS(
  OR(ISBLANK(A1562),ISBLANK(C1562),ISBLANK(J1562)),"Missing Value",
  OR(C1562&lt;18,C1562&gt;120),"Review – Out of Range (Age)",
  J1562&lt;0,"Review – Out of Range (Risk Score)",
  TRUE,"OK"
)</f>
        <v>OK</v>
      </c>
    </row>
    <row r="1563" spans="1:12" ht="16.8" x14ac:dyDescent="0.3">
      <c r="A1563" s="14" t="s">
        <v>3176</v>
      </c>
      <c r="B1563" s="14" t="s">
        <v>3177</v>
      </c>
      <c r="C1563" s="14">
        <v>32</v>
      </c>
      <c r="D1563" s="14" t="s">
        <v>41</v>
      </c>
      <c r="E1563" s="14" t="s">
        <v>58</v>
      </c>
      <c r="F1563" s="14" t="s">
        <v>43</v>
      </c>
      <c r="G1563" s="14" t="s">
        <v>60</v>
      </c>
      <c r="H1563" s="14" t="s">
        <v>45</v>
      </c>
      <c r="I1563" s="14" t="s">
        <v>46</v>
      </c>
      <c r="J1563" s="14">
        <v>0.63</v>
      </c>
      <c r="K1563" s="15">
        <v>44303</v>
      </c>
      <c r="L1563" s="13" t="str" cm="1">
        <f t="array" ref="L1563">_xlfn.IFS(
  OR(ISBLANK(A1563),ISBLANK(C1563),ISBLANK(J1563)),"Missing Value",
  OR(C1563&lt;18,C1563&gt;120),"Review – Out of Range (Age)",
  J1563&lt;0,"Review – Out of Range (Risk Score)",
  TRUE,"OK"
)</f>
        <v>OK</v>
      </c>
    </row>
    <row r="1564" spans="1:12" ht="16.8" x14ac:dyDescent="0.3">
      <c r="A1564" s="11" t="s">
        <v>3178</v>
      </c>
      <c r="B1564" s="11" t="s">
        <v>3179</v>
      </c>
      <c r="C1564" s="11">
        <v>45</v>
      </c>
      <c r="D1564" s="11" t="s">
        <v>41</v>
      </c>
      <c r="E1564" s="11" t="s">
        <v>50</v>
      </c>
      <c r="F1564" s="11" t="s">
        <v>65</v>
      </c>
      <c r="G1564" s="11" t="s">
        <v>52</v>
      </c>
      <c r="H1564" s="11" t="s">
        <v>45</v>
      </c>
      <c r="I1564" s="11" t="s">
        <v>46</v>
      </c>
      <c r="J1564" s="11">
        <v>0.93</v>
      </c>
      <c r="K1564" s="12">
        <v>44383</v>
      </c>
      <c r="L1564" s="13" t="str" cm="1">
        <f t="array" ref="L1564">_xlfn.IFS(
  OR(ISBLANK(A1564),ISBLANK(C1564),ISBLANK(J1564)),"Missing Value",
  OR(C1564&lt;18,C1564&gt;120),"Review – Out of Range (Age)",
  J1564&lt;0,"Review – Out of Range (Risk Score)",
  TRUE,"OK"
)</f>
        <v>OK</v>
      </c>
    </row>
    <row r="1565" spans="1:12" ht="16.8" x14ac:dyDescent="0.3">
      <c r="A1565" s="14" t="s">
        <v>3180</v>
      </c>
      <c r="B1565" s="14" t="s">
        <v>3181</v>
      </c>
      <c r="C1565" s="14">
        <v>42</v>
      </c>
      <c r="D1565" s="14" t="s">
        <v>41</v>
      </c>
      <c r="E1565" s="14" t="s">
        <v>50</v>
      </c>
      <c r="F1565" s="14" t="s">
        <v>59</v>
      </c>
      <c r="G1565" s="14" t="s">
        <v>52</v>
      </c>
      <c r="H1565" s="14" t="s">
        <v>45</v>
      </c>
      <c r="I1565" s="14" t="s">
        <v>46</v>
      </c>
      <c r="J1565" s="14">
        <v>0.56000000000000005</v>
      </c>
      <c r="K1565" s="15">
        <v>44875</v>
      </c>
      <c r="L1565" s="13" t="str" cm="1">
        <f t="array" ref="L1565">_xlfn.IFS(
  OR(ISBLANK(A1565),ISBLANK(C1565),ISBLANK(J1565)),"Missing Value",
  OR(C1565&lt;18,C1565&gt;120),"Review – Out of Range (Age)",
  J1565&lt;0,"Review – Out of Range (Risk Score)",
  TRUE,"OK"
)</f>
        <v>OK</v>
      </c>
    </row>
    <row r="1566" spans="1:12" ht="16.8" x14ac:dyDescent="0.3">
      <c r="A1566" s="11" t="s">
        <v>3182</v>
      </c>
      <c r="B1566" s="11" t="s">
        <v>3183</v>
      </c>
      <c r="C1566" s="11">
        <v>40</v>
      </c>
      <c r="D1566" s="11" t="s">
        <v>49</v>
      </c>
      <c r="E1566" s="11" t="s">
        <v>42</v>
      </c>
      <c r="F1566" s="11" t="s">
        <v>65</v>
      </c>
      <c r="G1566" s="11" t="s">
        <v>94</v>
      </c>
      <c r="H1566" s="11" t="s">
        <v>45</v>
      </c>
      <c r="I1566" s="11" t="s">
        <v>46</v>
      </c>
      <c r="J1566" s="11">
        <v>0.56999999999999995</v>
      </c>
      <c r="K1566" s="12">
        <v>43647</v>
      </c>
      <c r="L1566" s="13" t="str" cm="1">
        <f t="array" ref="L1566">_xlfn.IFS(
  OR(ISBLANK(A1566),ISBLANK(C1566),ISBLANK(J1566)),"Missing Value",
  OR(C1566&lt;18,C1566&gt;120),"Review – Out of Range (Age)",
  J1566&lt;0,"Review – Out of Range (Risk Score)",
  TRUE,"OK"
)</f>
        <v>OK</v>
      </c>
    </row>
    <row r="1567" spans="1:12" ht="16.8" x14ac:dyDescent="0.3">
      <c r="A1567" s="14" t="s">
        <v>3184</v>
      </c>
      <c r="B1567" s="14" t="s">
        <v>3185</v>
      </c>
      <c r="C1567" s="14">
        <v>23</v>
      </c>
      <c r="D1567" s="14" t="s">
        <v>49</v>
      </c>
      <c r="E1567" s="14" t="s">
        <v>50</v>
      </c>
      <c r="F1567" s="14" t="s">
        <v>65</v>
      </c>
      <c r="G1567" s="14" t="s">
        <v>55</v>
      </c>
      <c r="H1567" s="14" t="s">
        <v>46</v>
      </c>
      <c r="I1567" s="14" t="s">
        <v>46</v>
      </c>
      <c r="J1567" s="14">
        <v>0.1</v>
      </c>
      <c r="K1567" s="15">
        <v>43281</v>
      </c>
      <c r="L1567" s="13" t="str" cm="1">
        <f t="array" ref="L1567">_xlfn.IFS(
  OR(ISBLANK(A1567),ISBLANK(C1567),ISBLANK(J1567)),"Missing Value",
  OR(C1567&lt;18,C1567&gt;120),"Review – Out of Range (Age)",
  J1567&lt;0,"Review – Out of Range (Risk Score)",
  TRUE,"OK"
)</f>
        <v>OK</v>
      </c>
    </row>
    <row r="1568" spans="1:12" ht="16.8" x14ac:dyDescent="0.3">
      <c r="A1568" s="11" t="s">
        <v>3186</v>
      </c>
      <c r="B1568" s="11" t="s">
        <v>3187</v>
      </c>
      <c r="C1568" s="11">
        <v>18</v>
      </c>
      <c r="D1568" s="11" t="s">
        <v>41</v>
      </c>
      <c r="E1568" s="11" t="s">
        <v>50</v>
      </c>
      <c r="F1568" s="11" t="s">
        <v>51</v>
      </c>
      <c r="G1568" s="11" t="s">
        <v>44</v>
      </c>
      <c r="H1568" s="11" t="s">
        <v>45</v>
      </c>
      <c r="I1568" s="11" t="s">
        <v>45</v>
      </c>
      <c r="J1568" s="11">
        <v>0.23</v>
      </c>
      <c r="K1568" s="12">
        <v>44122</v>
      </c>
      <c r="L1568" s="13" t="str" cm="1">
        <f t="array" ref="L1568">_xlfn.IFS(
  OR(ISBLANK(A1568),ISBLANK(C1568),ISBLANK(J1568)),"Missing Value",
  OR(C1568&lt;18,C1568&gt;120),"Review – Out of Range (Age)",
  J1568&lt;0,"Review – Out of Range (Risk Score)",
  TRUE,"OK"
)</f>
        <v>OK</v>
      </c>
    </row>
    <row r="1569" spans="1:12" ht="16.8" x14ac:dyDescent="0.3">
      <c r="A1569" s="14" t="s">
        <v>3188</v>
      </c>
      <c r="B1569" s="14" t="s">
        <v>3189</v>
      </c>
      <c r="C1569" s="14">
        <v>41</v>
      </c>
      <c r="D1569" s="14" t="s">
        <v>41</v>
      </c>
      <c r="E1569" s="14" t="s">
        <v>42</v>
      </c>
      <c r="F1569" s="14" t="s">
        <v>51</v>
      </c>
      <c r="G1569" s="14" t="s">
        <v>52</v>
      </c>
      <c r="H1569" s="14" t="s">
        <v>45</v>
      </c>
      <c r="I1569" s="14" t="s">
        <v>46</v>
      </c>
      <c r="J1569" s="14">
        <v>0.33</v>
      </c>
      <c r="K1569" s="15">
        <v>43960</v>
      </c>
      <c r="L1569" s="13" t="str" cm="1">
        <f t="array" ref="L1569">_xlfn.IFS(
  OR(ISBLANK(A1569),ISBLANK(C1569),ISBLANK(J1569)),"Missing Value",
  OR(C1569&lt;18,C1569&gt;120),"Review – Out of Range (Age)",
  J1569&lt;0,"Review – Out of Range (Risk Score)",
  TRUE,"OK"
)</f>
        <v>OK</v>
      </c>
    </row>
    <row r="1570" spans="1:12" ht="16.8" x14ac:dyDescent="0.3">
      <c r="A1570" s="11" t="s">
        <v>3190</v>
      </c>
      <c r="B1570" s="11" t="s">
        <v>3191</v>
      </c>
      <c r="C1570" s="11">
        <v>22</v>
      </c>
      <c r="D1570" s="11" t="s">
        <v>49</v>
      </c>
      <c r="E1570" s="11" t="s">
        <v>42</v>
      </c>
      <c r="F1570" s="11" t="s">
        <v>51</v>
      </c>
      <c r="G1570" s="11" t="s">
        <v>55</v>
      </c>
      <c r="H1570" s="11" t="s">
        <v>45</v>
      </c>
      <c r="I1570" s="11" t="s">
        <v>46</v>
      </c>
      <c r="J1570" s="11">
        <v>0.37</v>
      </c>
      <c r="K1570" s="12">
        <v>44255</v>
      </c>
      <c r="L1570" s="13" t="str" cm="1">
        <f t="array" ref="L1570">_xlfn.IFS(
  OR(ISBLANK(A1570),ISBLANK(C1570),ISBLANK(J1570)),"Missing Value",
  OR(C1570&lt;18,C1570&gt;120),"Review – Out of Range (Age)",
  J1570&lt;0,"Review – Out of Range (Risk Score)",
  TRUE,"OK"
)</f>
        <v>OK</v>
      </c>
    </row>
    <row r="1571" spans="1:12" ht="16.8" x14ac:dyDescent="0.3">
      <c r="A1571" s="14" t="s">
        <v>3192</v>
      </c>
      <c r="B1571" s="14" t="s">
        <v>3193</v>
      </c>
      <c r="C1571" s="14">
        <v>48</v>
      </c>
      <c r="D1571" s="14" t="s">
        <v>49</v>
      </c>
      <c r="E1571" s="14" t="s">
        <v>50</v>
      </c>
      <c r="F1571" s="14" t="s">
        <v>43</v>
      </c>
      <c r="G1571" s="14" t="s">
        <v>94</v>
      </c>
      <c r="H1571" s="14" t="s">
        <v>46</v>
      </c>
      <c r="I1571" s="14" t="s">
        <v>45</v>
      </c>
      <c r="J1571" s="14">
        <v>0.05</v>
      </c>
      <c r="K1571" s="15">
        <v>44203</v>
      </c>
      <c r="L1571" s="13" t="str" cm="1">
        <f t="array" ref="L1571">_xlfn.IFS(
  OR(ISBLANK(A1571),ISBLANK(C1571),ISBLANK(J1571)),"Missing Value",
  OR(C1571&lt;18,C1571&gt;120),"Review – Out of Range (Age)",
  J1571&lt;0,"Review – Out of Range (Risk Score)",
  TRUE,"OK"
)</f>
        <v>OK</v>
      </c>
    </row>
    <row r="1572" spans="1:12" ht="16.8" x14ac:dyDescent="0.3">
      <c r="A1572" s="11" t="s">
        <v>3194</v>
      </c>
      <c r="B1572" s="11" t="s">
        <v>3195</v>
      </c>
      <c r="C1572" s="11">
        <v>20</v>
      </c>
      <c r="D1572" s="11" t="s">
        <v>41</v>
      </c>
      <c r="E1572" s="11" t="s">
        <v>58</v>
      </c>
      <c r="F1572" s="11" t="s">
        <v>65</v>
      </c>
      <c r="G1572" s="11" t="s">
        <v>52</v>
      </c>
      <c r="H1572" s="11" t="s">
        <v>45</v>
      </c>
      <c r="I1572" s="11" t="s">
        <v>46</v>
      </c>
      <c r="J1572" s="11">
        <v>0.68</v>
      </c>
      <c r="K1572" s="12">
        <v>43465</v>
      </c>
      <c r="L1572" s="13" t="str" cm="1">
        <f t="array" ref="L1572">_xlfn.IFS(
  OR(ISBLANK(A1572),ISBLANK(C1572),ISBLANK(J1572)),"Missing Value",
  OR(C1572&lt;18,C1572&gt;120),"Review – Out of Range (Age)",
  J1572&lt;0,"Review – Out of Range (Risk Score)",
  TRUE,"OK"
)</f>
        <v>OK</v>
      </c>
    </row>
    <row r="1573" spans="1:12" ht="16.8" x14ac:dyDescent="0.3">
      <c r="A1573" s="14" t="s">
        <v>3196</v>
      </c>
      <c r="B1573" s="14" t="s">
        <v>3197</v>
      </c>
      <c r="C1573" s="14">
        <v>19</v>
      </c>
      <c r="D1573" s="14" t="s">
        <v>41</v>
      </c>
      <c r="E1573" s="14" t="s">
        <v>50</v>
      </c>
      <c r="F1573" s="14" t="s">
        <v>65</v>
      </c>
      <c r="G1573" s="14" t="s">
        <v>60</v>
      </c>
      <c r="H1573" s="14" t="s">
        <v>46</v>
      </c>
      <c r="I1573" s="14" t="s">
        <v>45</v>
      </c>
      <c r="J1573" s="14">
        <v>0.39</v>
      </c>
      <c r="K1573" s="15">
        <v>43468</v>
      </c>
      <c r="L1573" s="13" t="str" cm="1">
        <f t="array" ref="L1573">_xlfn.IFS(
  OR(ISBLANK(A1573),ISBLANK(C1573),ISBLANK(J1573)),"Missing Value",
  OR(C1573&lt;18,C1573&gt;120),"Review – Out of Range (Age)",
  J1573&lt;0,"Review – Out of Range (Risk Score)",
  TRUE,"OK"
)</f>
        <v>OK</v>
      </c>
    </row>
    <row r="1574" spans="1:12" ht="16.8" x14ac:dyDescent="0.3">
      <c r="A1574" s="11" t="s">
        <v>3198</v>
      </c>
      <c r="B1574" s="11" t="s">
        <v>3199</v>
      </c>
      <c r="C1574" s="11">
        <v>41</v>
      </c>
      <c r="D1574" s="11" t="s">
        <v>41</v>
      </c>
      <c r="E1574" s="11" t="s">
        <v>50</v>
      </c>
      <c r="F1574" s="11" t="s">
        <v>43</v>
      </c>
      <c r="G1574" s="11" t="s">
        <v>52</v>
      </c>
      <c r="H1574" s="11" t="s">
        <v>45</v>
      </c>
      <c r="I1574" s="11" t="s">
        <v>46</v>
      </c>
      <c r="J1574" s="11">
        <v>0.44</v>
      </c>
      <c r="K1574" s="12">
        <v>45006</v>
      </c>
      <c r="L1574" s="13" t="str" cm="1">
        <f t="array" ref="L1574">_xlfn.IFS(
  OR(ISBLANK(A1574),ISBLANK(C1574),ISBLANK(J1574)),"Missing Value",
  OR(C1574&lt;18,C1574&gt;120),"Review – Out of Range (Age)",
  J1574&lt;0,"Review – Out of Range (Risk Score)",
  TRUE,"OK"
)</f>
        <v>OK</v>
      </c>
    </row>
    <row r="1575" spans="1:12" ht="16.8" x14ac:dyDescent="0.3">
      <c r="A1575" s="14" t="s">
        <v>3200</v>
      </c>
      <c r="B1575" s="14" t="s">
        <v>3201</v>
      </c>
      <c r="C1575" s="14">
        <v>69</v>
      </c>
      <c r="D1575" s="14" t="s">
        <v>49</v>
      </c>
      <c r="E1575" s="14" t="s">
        <v>42</v>
      </c>
      <c r="F1575" s="14" t="s">
        <v>65</v>
      </c>
      <c r="G1575" s="14" t="s">
        <v>52</v>
      </c>
      <c r="H1575" s="14" t="s">
        <v>46</v>
      </c>
      <c r="I1575" s="14" t="s">
        <v>45</v>
      </c>
      <c r="J1575" s="14">
        <v>0.27</v>
      </c>
      <c r="K1575" s="15">
        <v>44374</v>
      </c>
      <c r="L1575" s="13" t="str" cm="1">
        <f t="array" ref="L1575">_xlfn.IFS(
  OR(ISBLANK(A1575),ISBLANK(C1575),ISBLANK(J1575)),"Missing Value",
  OR(C1575&lt;18,C1575&gt;120),"Review – Out of Range (Age)",
  J1575&lt;0,"Review – Out of Range (Risk Score)",
  TRUE,"OK"
)</f>
        <v>OK</v>
      </c>
    </row>
    <row r="1576" spans="1:12" ht="16.8" x14ac:dyDescent="0.3">
      <c r="A1576" s="11" t="s">
        <v>3202</v>
      </c>
      <c r="B1576" s="11" t="s">
        <v>3203</v>
      </c>
      <c r="C1576" s="11">
        <v>40</v>
      </c>
      <c r="D1576" s="11" t="s">
        <v>41</v>
      </c>
      <c r="E1576" s="11" t="s">
        <v>58</v>
      </c>
      <c r="F1576" s="11" t="s">
        <v>51</v>
      </c>
      <c r="G1576" s="11" t="s">
        <v>109</v>
      </c>
      <c r="H1576" s="11" t="s">
        <v>46</v>
      </c>
      <c r="I1576" s="11" t="s">
        <v>46</v>
      </c>
      <c r="J1576" s="11">
        <v>0.24</v>
      </c>
      <c r="K1576" s="12">
        <v>44976</v>
      </c>
      <c r="L1576" s="13" t="str" cm="1">
        <f t="array" ref="L1576">_xlfn.IFS(
  OR(ISBLANK(A1576),ISBLANK(C1576),ISBLANK(J1576)),"Missing Value",
  OR(C1576&lt;18,C1576&gt;120),"Review – Out of Range (Age)",
  J1576&lt;0,"Review – Out of Range (Risk Score)",
  TRUE,"OK"
)</f>
        <v>OK</v>
      </c>
    </row>
    <row r="1577" spans="1:12" ht="16.8" x14ac:dyDescent="0.3">
      <c r="A1577" s="14" t="s">
        <v>3204</v>
      </c>
      <c r="B1577" s="14" t="s">
        <v>3205</v>
      </c>
      <c r="C1577" s="14">
        <v>26</v>
      </c>
      <c r="D1577" s="14" t="s">
        <v>49</v>
      </c>
      <c r="E1577" s="14" t="s">
        <v>58</v>
      </c>
      <c r="F1577" s="14" t="s">
        <v>43</v>
      </c>
      <c r="G1577" s="14" t="s">
        <v>55</v>
      </c>
      <c r="H1577" s="14" t="s">
        <v>45</v>
      </c>
      <c r="I1577" s="14" t="s">
        <v>45</v>
      </c>
      <c r="J1577" s="14">
        <v>0.35</v>
      </c>
      <c r="K1577" s="15">
        <v>43222</v>
      </c>
      <c r="L1577" s="13" t="str" cm="1">
        <f t="array" ref="L1577">_xlfn.IFS(
  OR(ISBLANK(A1577),ISBLANK(C1577),ISBLANK(J1577)),"Missing Value",
  OR(C1577&lt;18,C1577&gt;120),"Review – Out of Range (Age)",
  J1577&lt;0,"Review – Out of Range (Risk Score)",
  TRUE,"OK"
)</f>
        <v>OK</v>
      </c>
    </row>
    <row r="1578" spans="1:12" ht="16.8" x14ac:dyDescent="0.3">
      <c r="A1578" s="11" t="s">
        <v>3206</v>
      </c>
      <c r="B1578" s="11" t="s">
        <v>3207</v>
      </c>
      <c r="C1578" s="11">
        <v>67</v>
      </c>
      <c r="D1578" s="11" t="s">
        <v>49</v>
      </c>
      <c r="E1578" s="11" t="s">
        <v>42</v>
      </c>
      <c r="F1578" s="11" t="s">
        <v>43</v>
      </c>
      <c r="G1578" s="11" t="s">
        <v>109</v>
      </c>
      <c r="H1578" s="11" t="s">
        <v>45</v>
      </c>
      <c r="I1578" s="11" t="s">
        <v>46</v>
      </c>
      <c r="J1578" s="11">
        <v>0.43</v>
      </c>
      <c r="K1578" s="12">
        <v>43966</v>
      </c>
      <c r="L1578" s="13" t="str" cm="1">
        <f t="array" ref="L1578">_xlfn.IFS(
  OR(ISBLANK(A1578),ISBLANK(C1578),ISBLANK(J1578)),"Missing Value",
  OR(C1578&lt;18,C1578&gt;120),"Review – Out of Range (Age)",
  J1578&lt;0,"Review – Out of Range (Risk Score)",
  TRUE,"OK"
)</f>
        <v>OK</v>
      </c>
    </row>
    <row r="1579" spans="1:12" ht="16.8" x14ac:dyDescent="0.3">
      <c r="A1579" s="14" t="s">
        <v>3208</v>
      </c>
      <c r="B1579" s="14" t="s">
        <v>3209</v>
      </c>
      <c r="C1579" s="14">
        <v>26</v>
      </c>
      <c r="D1579" s="14" t="s">
        <v>49</v>
      </c>
      <c r="E1579" s="14" t="s">
        <v>42</v>
      </c>
      <c r="F1579" s="14" t="s">
        <v>59</v>
      </c>
      <c r="G1579" s="14" t="s">
        <v>109</v>
      </c>
      <c r="H1579" s="14" t="s">
        <v>45</v>
      </c>
      <c r="I1579" s="14" t="s">
        <v>46</v>
      </c>
      <c r="J1579" s="14">
        <v>0.47</v>
      </c>
      <c r="K1579" s="15">
        <v>44656</v>
      </c>
      <c r="L1579" s="13" t="str" cm="1">
        <f t="array" ref="L1579">_xlfn.IFS(
  OR(ISBLANK(A1579),ISBLANK(C1579),ISBLANK(J1579)),"Missing Value",
  OR(C1579&lt;18,C1579&gt;120),"Review – Out of Range (Age)",
  J1579&lt;0,"Review – Out of Range (Risk Score)",
  TRUE,"OK"
)</f>
        <v>OK</v>
      </c>
    </row>
    <row r="1580" spans="1:12" ht="16.8" x14ac:dyDescent="0.3">
      <c r="A1580" s="11" t="s">
        <v>3210</v>
      </c>
      <c r="B1580" s="11" t="s">
        <v>3211</v>
      </c>
      <c r="C1580" s="11">
        <v>51</v>
      </c>
      <c r="D1580" s="11" t="s">
        <v>41</v>
      </c>
      <c r="E1580" s="11" t="s">
        <v>50</v>
      </c>
      <c r="F1580" s="11" t="s">
        <v>43</v>
      </c>
      <c r="G1580" s="11" t="s">
        <v>109</v>
      </c>
      <c r="H1580" s="11" t="s">
        <v>46</v>
      </c>
      <c r="I1580" s="11" t="s">
        <v>46</v>
      </c>
      <c r="J1580" s="11">
        <v>0.05</v>
      </c>
      <c r="K1580" s="12">
        <v>44804</v>
      </c>
      <c r="L1580" s="13" t="str" cm="1">
        <f t="array" ref="L1580">_xlfn.IFS(
  OR(ISBLANK(A1580),ISBLANK(C1580),ISBLANK(J1580)),"Missing Value",
  OR(C1580&lt;18,C1580&gt;120),"Review – Out of Range (Age)",
  J1580&lt;0,"Review – Out of Range (Risk Score)",
  TRUE,"OK"
)</f>
        <v>OK</v>
      </c>
    </row>
    <row r="1581" spans="1:12" ht="16.8" x14ac:dyDescent="0.3">
      <c r="A1581" s="14" t="s">
        <v>3212</v>
      </c>
      <c r="B1581" s="14" t="s">
        <v>3213</v>
      </c>
      <c r="C1581" s="14">
        <v>53</v>
      </c>
      <c r="D1581" s="14" t="s">
        <v>49</v>
      </c>
      <c r="E1581" s="14" t="s">
        <v>42</v>
      </c>
      <c r="F1581" s="14" t="s">
        <v>59</v>
      </c>
      <c r="G1581" s="14" t="s">
        <v>44</v>
      </c>
      <c r="H1581" s="14" t="s">
        <v>45</v>
      </c>
      <c r="I1581" s="14" t="s">
        <v>45</v>
      </c>
      <c r="J1581" s="14">
        <v>0.56999999999999995</v>
      </c>
      <c r="K1581" s="15">
        <v>43449</v>
      </c>
      <c r="L1581" s="13" t="str" cm="1">
        <f t="array" ref="L1581">_xlfn.IFS(
  OR(ISBLANK(A1581),ISBLANK(C1581),ISBLANK(J1581)),"Missing Value",
  OR(C1581&lt;18,C1581&gt;120),"Review – Out of Range (Age)",
  J1581&lt;0,"Review – Out of Range (Risk Score)",
  TRUE,"OK"
)</f>
        <v>OK</v>
      </c>
    </row>
    <row r="1582" spans="1:12" ht="16.8" x14ac:dyDescent="0.3">
      <c r="A1582" s="11" t="s">
        <v>3214</v>
      </c>
      <c r="B1582" s="11" t="s">
        <v>3215</v>
      </c>
      <c r="C1582" s="11">
        <v>36</v>
      </c>
      <c r="D1582" s="11" t="s">
        <v>41</v>
      </c>
      <c r="E1582" s="11" t="s">
        <v>50</v>
      </c>
      <c r="F1582" s="11" t="s">
        <v>43</v>
      </c>
      <c r="G1582" s="11" t="s">
        <v>94</v>
      </c>
      <c r="H1582" s="11" t="s">
        <v>45</v>
      </c>
      <c r="I1582" s="11" t="s">
        <v>46</v>
      </c>
      <c r="J1582" s="11">
        <v>0.57999999999999996</v>
      </c>
      <c r="K1582" s="12">
        <v>43563</v>
      </c>
      <c r="L1582" s="13" t="str" cm="1">
        <f t="array" ref="L1582">_xlfn.IFS(
  OR(ISBLANK(A1582),ISBLANK(C1582),ISBLANK(J1582)),"Missing Value",
  OR(C1582&lt;18,C1582&gt;120),"Review – Out of Range (Age)",
  J1582&lt;0,"Review – Out of Range (Risk Score)",
  TRUE,"OK"
)</f>
        <v>OK</v>
      </c>
    </row>
    <row r="1583" spans="1:12" ht="16.8" x14ac:dyDescent="0.3">
      <c r="A1583" s="14" t="s">
        <v>3216</v>
      </c>
      <c r="B1583" s="14" t="s">
        <v>3217</v>
      </c>
      <c r="C1583" s="14">
        <v>30</v>
      </c>
      <c r="D1583" s="14" t="s">
        <v>49</v>
      </c>
      <c r="E1583" s="14" t="s">
        <v>50</v>
      </c>
      <c r="F1583" s="14" t="s">
        <v>59</v>
      </c>
      <c r="G1583" s="14" t="s">
        <v>60</v>
      </c>
      <c r="H1583" s="14" t="s">
        <v>46</v>
      </c>
      <c r="I1583" s="14" t="s">
        <v>46</v>
      </c>
      <c r="J1583" s="14">
        <v>0.52</v>
      </c>
      <c r="K1583" s="15">
        <v>44190</v>
      </c>
      <c r="L1583" s="13" t="str" cm="1">
        <f t="array" ref="L1583">_xlfn.IFS(
  OR(ISBLANK(A1583),ISBLANK(C1583),ISBLANK(J1583)),"Missing Value",
  OR(C1583&lt;18,C1583&gt;120),"Review – Out of Range (Age)",
  J1583&lt;0,"Review – Out of Range (Risk Score)",
  TRUE,"OK"
)</f>
        <v>OK</v>
      </c>
    </row>
    <row r="1584" spans="1:12" ht="16.8" x14ac:dyDescent="0.3">
      <c r="A1584" s="11" t="s">
        <v>3218</v>
      </c>
      <c r="B1584" s="11" t="s">
        <v>3219</v>
      </c>
      <c r="C1584" s="11">
        <v>63</v>
      </c>
      <c r="D1584" s="11" t="s">
        <v>41</v>
      </c>
      <c r="E1584" s="11" t="s">
        <v>42</v>
      </c>
      <c r="F1584" s="11" t="s">
        <v>65</v>
      </c>
      <c r="G1584" s="11" t="s">
        <v>55</v>
      </c>
      <c r="H1584" s="11" t="s">
        <v>45</v>
      </c>
      <c r="I1584" s="11" t="s">
        <v>46</v>
      </c>
      <c r="J1584" s="11">
        <v>0.55000000000000004</v>
      </c>
      <c r="K1584" s="12">
        <v>45006</v>
      </c>
      <c r="L1584" s="13" t="str" cm="1">
        <f t="array" ref="L1584">_xlfn.IFS(
  OR(ISBLANK(A1584),ISBLANK(C1584),ISBLANK(J1584)),"Missing Value",
  OR(C1584&lt;18,C1584&gt;120),"Review – Out of Range (Age)",
  J1584&lt;0,"Review – Out of Range (Risk Score)",
  TRUE,"OK"
)</f>
        <v>OK</v>
      </c>
    </row>
    <row r="1585" spans="1:12" ht="16.8" x14ac:dyDescent="0.3">
      <c r="A1585" s="14" t="s">
        <v>3220</v>
      </c>
      <c r="B1585" s="14" t="s">
        <v>3221</v>
      </c>
      <c r="C1585" s="14">
        <v>62</v>
      </c>
      <c r="D1585" s="14" t="s">
        <v>41</v>
      </c>
      <c r="E1585" s="14" t="s">
        <v>42</v>
      </c>
      <c r="F1585" s="14" t="s">
        <v>43</v>
      </c>
      <c r="G1585" s="14" t="s">
        <v>109</v>
      </c>
      <c r="H1585" s="14" t="s">
        <v>45</v>
      </c>
      <c r="I1585" s="14" t="s">
        <v>45</v>
      </c>
      <c r="J1585" s="14">
        <v>0.24</v>
      </c>
      <c r="K1585" s="15">
        <v>44083</v>
      </c>
      <c r="L1585" s="13" t="str" cm="1">
        <f t="array" ref="L1585">_xlfn.IFS(
  OR(ISBLANK(A1585),ISBLANK(C1585),ISBLANK(J1585)),"Missing Value",
  OR(C1585&lt;18,C1585&gt;120),"Review – Out of Range (Age)",
  J1585&lt;0,"Review – Out of Range (Risk Score)",
  TRUE,"OK"
)</f>
        <v>OK</v>
      </c>
    </row>
    <row r="1586" spans="1:12" ht="16.8" x14ac:dyDescent="0.3">
      <c r="A1586" s="11" t="s">
        <v>3222</v>
      </c>
      <c r="B1586" s="11" t="s">
        <v>3223</v>
      </c>
      <c r="C1586" s="11">
        <v>58</v>
      </c>
      <c r="D1586" s="11" t="s">
        <v>41</v>
      </c>
      <c r="E1586" s="11" t="s">
        <v>50</v>
      </c>
      <c r="F1586" s="11" t="s">
        <v>43</v>
      </c>
      <c r="G1586" s="11" t="s">
        <v>109</v>
      </c>
      <c r="H1586" s="11" t="s">
        <v>46</v>
      </c>
      <c r="I1586" s="11" t="s">
        <v>46</v>
      </c>
      <c r="J1586" s="11">
        <v>0.36</v>
      </c>
      <c r="K1586" s="12">
        <v>43887</v>
      </c>
      <c r="L1586" s="13" t="str" cm="1">
        <f t="array" ref="L1586">_xlfn.IFS(
  OR(ISBLANK(A1586),ISBLANK(C1586),ISBLANK(J1586)),"Missing Value",
  OR(C1586&lt;18,C1586&gt;120),"Review – Out of Range (Age)",
  J1586&lt;0,"Review – Out of Range (Risk Score)",
  TRUE,"OK"
)</f>
        <v>OK</v>
      </c>
    </row>
    <row r="1587" spans="1:12" ht="16.8" x14ac:dyDescent="0.3">
      <c r="A1587" s="14" t="s">
        <v>3224</v>
      </c>
      <c r="B1587" s="14" t="s">
        <v>3225</v>
      </c>
      <c r="C1587" s="14">
        <v>33</v>
      </c>
      <c r="D1587" s="14" t="s">
        <v>41</v>
      </c>
      <c r="E1587" s="14" t="s">
        <v>42</v>
      </c>
      <c r="F1587" s="14" t="s">
        <v>51</v>
      </c>
      <c r="G1587" s="14" t="s">
        <v>109</v>
      </c>
      <c r="H1587" s="14" t="s">
        <v>46</v>
      </c>
      <c r="I1587" s="14" t="s">
        <v>46</v>
      </c>
      <c r="J1587" s="14">
        <v>0.66</v>
      </c>
      <c r="K1587" s="15">
        <v>43322</v>
      </c>
      <c r="L1587" s="13" t="str" cm="1">
        <f t="array" ref="L1587">_xlfn.IFS(
  OR(ISBLANK(A1587),ISBLANK(C1587),ISBLANK(J1587)),"Missing Value",
  OR(C1587&lt;18,C1587&gt;120),"Review – Out of Range (Age)",
  J1587&lt;0,"Review – Out of Range (Risk Score)",
  TRUE,"OK"
)</f>
        <v>OK</v>
      </c>
    </row>
    <row r="1588" spans="1:12" ht="16.8" x14ac:dyDescent="0.3">
      <c r="A1588" s="11" t="s">
        <v>3226</v>
      </c>
      <c r="B1588" s="11" t="s">
        <v>3227</v>
      </c>
      <c r="C1588" s="11">
        <v>58</v>
      </c>
      <c r="D1588" s="11" t="s">
        <v>41</v>
      </c>
      <c r="E1588" s="11" t="s">
        <v>42</v>
      </c>
      <c r="F1588" s="11" t="s">
        <v>65</v>
      </c>
      <c r="G1588" s="11" t="s">
        <v>60</v>
      </c>
      <c r="H1588" s="11" t="s">
        <v>45</v>
      </c>
      <c r="I1588" s="11" t="s">
        <v>46</v>
      </c>
      <c r="J1588" s="11">
        <v>0.28000000000000003</v>
      </c>
      <c r="K1588" s="12">
        <v>43161</v>
      </c>
      <c r="L1588" s="13" t="str" cm="1">
        <f t="array" ref="L1588">_xlfn.IFS(
  OR(ISBLANK(A1588),ISBLANK(C1588),ISBLANK(J1588)),"Missing Value",
  OR(C1588&lt;18,C1588&gt;120),"Review – Out of Range (Age)",
  J1588&lt;0,"Review – Out of Range (Risk Score)",
  TRUE,"OK"
)</f>
        <v>OK</v>
      </c>
    </row>
    <row r="1589" spans="1:12" ht="16.8" x14ac:dyDescent="0.3">
      <c r="A1589" s="14" t="s">
        <v>3228</v>
      </c>
      <c r="B1589" s="14" t="s">
        <v>3229</v>
      </c>
      <c r="C1589" s="14">
        <v>44</v>
      </c>
      <c r="D1589" s="14" t="s">
        <v>41</v>
      </c>
      <c r="E1589" s="14" t="s">
        <v>50</v>
      </c>
      <c r="F1589" s="14" t="s">
        <v>65</v>
      </c>
      <c r="G1589" s="14" t="s">
        <v>60</v>
      </c>
      <c r="H1589" s="14" t="s">
        <v>46</v>
      </c>
      <c r="I1589" s="14" t="s">
        <v>45</v>
      </c>
      <c r="J1589" s="14">
        <v>0.4</v>
      </c>
      <c r="K1589" s="15">
        <v>43500</v>
      </c>
      <c r="L1589" s="13" t="str" cm="1">
        <f t="array" ref="L1589">_xlfn.IFS(
  OR(ISBLANK(A1589),ISBLANK(C1589),ISBLANK(J1589)),"Missing Value",
  OR(C1589&lt;18,C1589&gt;120),"Review – Out of Range (Age)",
  J1589&lt;0,"Review – Out of Range (Risk Score)",
  TRUE,"OK"
)</f>
        <v>OK</v>
      </c>
    </row>
    <row r="1590" spans="1:12" ht="16.8" x14ac:dyDescent="0.3">
      <c r="A1590" s="11" t="s">
        <v>3230</v>
      </c>
      <c r="B1590" s="11" t="s">
        <v>3231</v>
      </c>
      <c r="C1590" s="11">
        <v>21</v>
      </c>
      <c r="D1590" s="11" t="s">
        <v>49</v>
      </c>
      <c r="E1590" s="11" t="s">
        <v>42</v>
      </c>
      <c r="F1590" s="11" t="s">
        <v>51</v>
      </c>
      <c r="G1590" s="11" t="s">
        <v>109</v>
      </c>
      <c r="H1590" s="11" t="s">
        <v>46</v>
      </c>
      <c r="I1590" s="11" t="s">
        <v>46</v>
      </c>
      <c r="J1590" s="11">
        <v>0.6</v>
      </c>
      <c r="K1590" s="12">
        <v>44078</v>
      </c>
      <c r="L1590" s="13" t="str" cm="1">
        <f t="array" ref="L1590">_xlfn.IFS(
  OR(ISBLANK(A1590),ISBLANK(C1590),ISBLANK(J1590)),"Missing Value",
  OR(C1590&lt;18,C1590&gt;120),"Review – Out of Range (Age)",
  J1590&lt;0,"Review – Out of Range (Risk Score)",
  TRUE,"OK"
)</f>
        <v>OK</v>
      </c>
    </row>
    <row r="1591" spans="1:12" ht="16.8" x14ac:dyDescent="0.3">
      <c r="A1591" s="14" t="s">
        <v>3232</v>
      </c>
      <c r="B1591" s="14" t="s">
        <v>3233</v>
      </c>
      <c r="C1591" s="14">
        <v>21</v>
      </c>
      <c r="D1591" s="14" t="s">
        <v>49</v>
      </c>
      <c r="E1591" s="14" t="s">
        <v>58</v>
      </c>
      <c r="F1591" s="14" t="s">
        <v>65</v>
      </c>
      <c r="G1591" s="14" t="s">
        <v>60</v>
      </c>
      <c r="H1591" s="14" t="s">
        <v>45</v>
      </c>
      <c r="I1591" s="14" t="s">
        <v>46</v>
      </c>
      <c r="J1591" s="14">
        <v>0.23</v>
      </c>
      <c r="K1591" s="15">
        <v>44019</v>
      </c>
      <c r="L1591" s="13" t="str" cm="1">
        <f t="array" ref="L1591">_xlfn.IFS(
  OR(ISBLANK(A1591),ISBLANK(C1591),ISBLANK(J1591)),"Missing Value",
  OR(C1591&lt;18,C1591&gt;120),"Review – Out of Range (Age)",
  J1591&lt;0,"Review – Out of Range (Risk Score)",
  TRUE,"OK"
)</f>
        <v>OK</v>
      </c>
    </row>
    <row r="1592" spans="1:12" ht="16.8" x14ac:dyDescent="0.3">
      <c r="A1592" s="11" t="s">
        <v>3234</v>
      </c>
      <c r="B1592" s="11" t="s">
        <v>3235</v>
      </c>
      <c r="C1592" s="11">
        <v>45</v>
      </c>
      <c r="D1592" s="11" t="s">
        <v>49</v>
      </c>
      <c r="E1592" s="11" t="s">
        <v>42</v>
      </c>
      <c r="F1592" s="11" t="s">
        <v>51</v>
      </c>
      <c r="G1592" s="11" t="s">
        <v>55</v>
      </c>
      <c r="H1592" s="11" t="s">
        <v>45</v>
      </c>
      <c r="I1592" s="11" t="s">
        <v>45</v>
      </c>
      <c r="J1592" s="11">
        <v>0.14000000000000001</v>
      </c>
      <c r="K1592" s="12">
        <v>43136</v>
      </c>
      <c r="L1592" s="13" t="str" cm="1">
        <f t="array" ref="L1592">_xlfn.IFS(
  OR(ISBLANK(A1592),ISBLANK(C1592),ISBLANK(J1592)),"Missing Value",
  OR(C1592&lt;18,C1592&gt;120),"Review – Out of Range (Age)",
  J1592&lt;0,"Review – Out of Range (Risk Score)",
  TRUE,"OK"
)</f>
        <v>OK</v>
      </c>
    </row>
    <row r="1593" spans="1:12" ht="16.8" x14ac:dyDescent="0.3">
      <c r="A1593" s="14" t="s">
        <v>3236</v>
      </c>
      <c r="B1593" s="14" t="s">
        <v>3237</v>
      </c>
      <c r="C1593" s="14">
        <v>67</v>
      </c>
      <c r="D1593" s="14" t="s">
        <v>41</v>
      </c>
      <c r="E1593" s="14" t="s">
        <v>58</v>
      </c>
      <c r="F1593" s="14" t="s">
        <v>59</v>
      </c>
      <c r="G1593" s="14" t="s">
        <v>55</v>
      </c>
      <c r="H1593" s="14" t="s">
        <v>46</v>
      </c>
      <c r="I1593" s="14" t="s">
        <v>46</v>
      </c>
      <c r="J1593" s="14">
        <v>0.28000000000000003</v>
      </c>
      <c r="K1593" s="15">
        <v>43644</v>
      </c>
      <c r="L1593" s="13" t="str" cm="1">
        <f t="array" ref="L1593">_xlfn.IFS(
  OR(ISBLANK(A1593),ISBLANK(C1593),ISBLANK(J1593)),"Missing Value",
  OR(C1593&lt;18,C1593&gt;120),"Review – Out of Range (Age)",
  J1593&lt;0,"Review – Out of Range (Risk Score)",
  TRUE,"OK"
)</f>
        <v>OK</v>
      </c>
    </row>
    <row r="1594" spans="1:12" ht="16.8" x14ac:dyDescent="0.3">
      <c r="A1594" s="11" t="s">
        <v>3238</v>
      </c>
      <c r="B1594" s="11" t="s">
        <v>3239</v>
      </c>
      <c r="C1594" s="11">
        <v>49</v>
      </c>
      <c r="D1594" s="11" t="s">
        <v>49</v>
      </c>
      <c r="E1594" s="11" t="s">
        <v>50</v>
      </c>
      <c r="F1594" s="11" t="s">
        <v>59</v>
      </c>
      <c r="G1594" s="11" t="s">
        <v>44</v>
      </c>
      <c r="H1594" s="11" t="s">
        <v>46</v>
      </c>
      <c r="I1594" s="11" t="s">
        <v>46</v>
      </c>
      <c r="J1594" s="11">
        <v>0.45</v>
      </c>
      <c r="K1594" s="12">
        <v>43577</v>
      </c>
      <c r="L1594" s="13" t="str" cm="1">
        <f t="array" ref="L1594">_xlfn.IFS(
  OR(ISBLANK(A1594),ISBLANK(C1594),ISBLANK(J1594)),"Missing Value",
  OR(C1594&lt;18,C1594&gt;120),"Review – Out of Range (Age)",
  J1594&lt;0,"Review – Out of Range (Risk Score)",
  TRUE,"OK"
)</f>
        <v>OK</v>
      </c>
    </row>
    <row r="1595" spans="1:12" ht="16.8" x14ac:dyDescent="0.3">
      <c r="A1595" s="14" t="s">
        <v>3240</v>
      </c>
      <c r="B1595" s="14" t="s">
        <v>3241</v>
      </c>
      <c r="C1595" s="14">
        <v>56</v>
      </c>
      <c r="D1595" s="14" t="s">
        <v>41</v>
      </c>
      <c r="E1595" s="14" t="s">
        <v>50</v>
      </c>
      <c r="F1595" s="14" t="s">
        <v>65</v>
      </c>
      <c r="G1595" s="14" t="s">
        <v>55</v>
      </c>
      <c r="H1595" s="14" t="s">
        <v>46</v>
      </c>
      <c r="I1595" s="14" t="s">
        <v>46</v>
      </c>
      <c r="J1595" s="14">
        <v>0.59</v>
      </c>
      <c r="K1595" s="15">
        <v>44083</v>
      </c>
      <c r="L1595" s="13" t="str" cm="1">
        <f t="array" ref="L1595">_xlfn.IFS(
  OR(ISBLANK(A1595),ISBLANK(C1595),ISBLANK(J1595)),"Missing Value",
  OR(C1595&lt;18,C1595&gt;120),"Review – Out of Range (Age)",
  J1595&lt;0,"Review – Out of Range (Risk Score)",
  TRUE,"OK"
)</f>
        <v>OK</v>
      </c>
    </row>
    <row r="1596" spans="1:12" ht="16.8" x14ac:dyDescent="0.3">
      <c r="A1596" s="11" t="s">
        <v>3242</v>
      </c>
      <c r="B1596" s="11" t="s">
        <v>3243</v>
      </c>
      <c r="C1596" s="11">
        <v>64</v>
      </c>
      <c r="D1596" s="11" t="s">
        <v>49</v>
      </c>
      <c r="E1596" s="11" t="s">
        <v>58</v>
      </c>
      <c r="F1596" s="11" t="s">
        <v>43</v>
      </c>
      <c r="G1596" s="11" t="s">
        <v>109</v>
      </c>
      <c r="H1596" s="11" t="s">
        <v>45</v>
      </c>
      <c r="I1596" s="11" t="s">
        <v>46</v>
      </c>
      <c r="J1596" s="11">
        <v>0.76</v>
      </c>
      <c r="K1596" s="12">
        <v>43644</v>
      </c>
      <c r="L1596" s="13" t="str" cm="1">
        <f t="array" ref="L1596">_xlfn.IFS(
  OR(ISBLANK(A1596),ISBLANK(C1596),ISBLANK(J1596)),"Missing Value",
  OR(C1596&lt;18,C1596&gt;120),"Review – Out of Range (Age)",
  J1596&lt;0,"Review – Out of Range (Risk Score)",
  TRUE,"OK"
)</f>
        <v>OK</v>
      </c>
    </row>
    <row r="1597" spans="1:12" ht="16.8" x14ac:dyDescent="0.3">
      <c r="A1597" s="14" t="s">
        <v>3244</v>
      </c>
      <c r="B1597" s="14" t="s">
        <v>3245</v>
      </c>
      <c r="C1597" s="14">
        <v>19</v>
      </c>
      <c r="D1597" s="14" t="s">
        <v>41</v>
      </c>
      <c r="E1597" s="14" t="s">
        <v>50</v>
      </c>
      <c r="F1597" s="14" t="s">
        <v>51</v>
      </c>
      <c r="G1597" s="14" t="s">
        <v>52</v>
      </c>
      <c r="H1597" s="14" t="s">
        <v>45</v>
      </c>
      <c r="I1597" s="14" t="s">
        <v>45</v>
      </c>
      <c r="J1597" s="14">
        <v>0.65</v>
      </c>
      <c r="K1597" s="15">
        <v>44356</v>
      </c>
      <c r="L1597" s="13" t="str" cm="1">
        <f t="array" ref="L1597">_xlfn.IFS(
  OR(ISBLANK(A1597),ISBLANK(C1597),ISBLANK(J1597)),"Missing Value",
  OR(C1597&lt;18,C1597&gt;120),"Review – Out of Range (Age)",
  J1597&lt;0,"Review – Out of Range (Risk Score)",
  TRUE,"OK"
)</f>
        <v>OK</v>
      </c>
    </row>
    <row r="1598" spans="1:12" ht="16.8" x14ac:dyDescent="0.3">
      <c r="A1598" s="11" t="s">
        <v>3246</v>
      </c>
      <c r="B1598" s="11" t="s">
        <v>3247</v>
      </c>
      <c r="C1598" s="11">
        <v>34</v>
      </c>
      <c r="D1598" s="11" t="s">
        <v>41</v>
      </c>
      <c r="E1598" s="11" t="s">
        <v>50</v>
      </c>
      <c r="F1598" s="11" t="s">
        <v>51</v>
      </c>
      <c r="G1598" s="11" t="s">
        <v>44</v>
      </c>
      <c r="H1598" s="11" t="s">
        <v>45</v>
      </c>
      <c r="I1598" s="11" t="s">
        <v>45</v>
      </c>
      <c r="J1598" s="11">
        <v>0.71</v>
      </c>
      <c r="K1598" s="12">
        <v>44046</v>
      </c>
      <c r="L1598" s="13" t="str" cm="1">
        <f t="array" ref="L1598">_xlfn.IFS(
  OR(ISBLANK(A1598),ISBLANK(C1598),ISBLANK(J1598)),"Missing Value",
  OR(C1598&lt;18,C1598&gt;120),"Review – Out of Range (Age)",
  J1598&lt;0,"Review – Out of Range (Risk Score)",
  TRUE,"OK"
)</f>
        <v>OK</v>
      </c>
    </row>
    <row r="1599" spans="1:12" ht="16.8" x14ac:dyDescent="0.3">
      <c r="A1599" s="14" t="s">
        <v>3248</v>
      </c>
      <c r="B1599" s="14" t="s">
        <v>3249</v>
      </c>
      <c r="C1599" s="14">
        <v>20</v>
      </c>
      <c r="D1599" s="14" t="s">
        <v>49</v>
      </c>
      <c r="E1599" s="14" t="s">
        <v>58</v>
      </c>
      <c r="F1599" s="14" t="s">
        <v>59</v>
      </c>
      <c r="G1599" s="14" t="s">
        <v>94</v>
      </c>
      <c r="H1599" s="14" t="s">
        <v>45</v>
      </c>
      <c r="I1599" s="14" t="s">
        <v>46</v>
      </c>
      <c r="J1599" s="14">
        <v>0.32</v>
      </c>
      <c r="K1599" s="15">
        <v>44583</v>
      </c>
      <c r="L1599" s="13" t="str" cm="1">
        <f t="array" ref="L1599">_xlfn.IFS(
  OR(ISBLANK(A1599),ISBLANK(C1599),ISBLANK(J1599)),"Missing Value",
  OR(C1599&lt;18,C1599&gt;120),"Review – Out of Range (Age)",
  J1599&lt;0,"Review – Out of Range (Risk Score)",
  TRUE,"OK"
)</f>
        <v>OK</v>
      </c>
    </row>
    <row r="1600" spans="1:12" ht="16.8" x14ac:dyDescent="0.3">
      <c r="A1600" s="11" t="s">
        <v>3250</v>
      </c>
      <c r="B1600" s="11" t="s">
        <v>3251</v>
      </c>
      <c r="C1600" s="11">
        <v>39</v>
      </c>
      <c r="D1600" s="11" t="s">
        <v>49</v>
      </c>
      <c r="E1600" s="11" t="s">
        <v>42</v>
      </c>
      <c r="F1600" s="11" t="s">
        <v>59</v>
      </c>
      <c r="G1600" s="11" t="s">
        <v>52</v>
      </c>
      <c r="H1600" s="11" t="s">
        <v>46</v>
      </c>
      <c r="I1600" s="11" t="s">
        <v>46</v>
      </c>
      <c r="J1600" s="11">
        <v>0.37</v>
      </c>
      <c r="K1600" s="12">
        <v>44400</v>
      </c>
      <c r="L1600" s="13" t="str" cm="1">
        <f t="array" ref="L1600">_xlfn.IFS(
  OR(ISBLANK(A1600),ISBLANK(C1600),ISBLANK(J1600)),"Missing Value",
  OR(C1600&lt;18,C1600&gt;120),"Review – Out of Range (Age)",
  J1600&lt;0,"Review – Out of Range (Risk Score)",
  TRUE,"OK"
)</f>
        <v>OK</v>
      </c>
    </row>
    <row r="1601" spans="1:12" ht="16.8" x14ac:dyDescent="0.3">
      <c r="A1601" s="14" t="s">
        <v>3252</v>
      </c>
      <c r="B1601" s="14" t="s">
        <v>3253</v>
      </c>
      <c r="C1601" s="14">
        <v>29</v>
      </c>
      <c r="D1601" s="14" t="s">
        <v>41</v>
      </c>
      <c r="E1601" s="14" t="s">
        <v>50</v>
      </c>
      <c r="F1601" s="14" t="s">
        <v>59</v>
      </c>
      <c r="G1601" s="14" t="s">
        <v>109</v>
      </c>
      <c r="H1601" s="14" t="s">
        <v>46</v>
      </c>
      <c r="I1601" s="14" t="s">
        <v>45</v>
      </c>
      <c r="J1601" s="14">
        <v>0.59</v>
      </c>
      <c r="K1601" s="15">
        <v>43502</v>
      </c>
      <c r="L1601" s="13" t="str" cm="1">
        <f t="array" ref="L1601">_xlfn.IFS(
  OR(ISBLANK(A1601),ISBLANK(C1601),ISBLANK(J1601)),"Missing Value",
  OR(C1601&lt;18,C1601&gt;120),"Review – Out of Range (Age)",
  J1601&lt;0,"Review – Out of Range (Risk Score)",
  TRUE,"OK"
)</f>
        <v>OK</v>
      </c>
    </row>
    <row r="1602" spans="1:12" ht="16.8" x14ac:dyDescent="0.3">
      <c r="A1602" s="11" t="s">
        <v>3254</v>
      </c>
      <c r="B1602" s="11" t="s">
        <v>3255</v>
      </c>
      <c r="C1602" s="11">
        <v>65</v>
      </c>
      <c r="D1602" s="11" t="s">
        <v>41</v>
      </c>
      <c r="E1602" s="11" t="s">
        <v>58</v>
      </c>
      <c r="F1602" s="11" t="s">
        <v>43</v>
      </c>
      <c r="G1602" s="11" t="s">
        <v>60</v>
      </c>
      <c r="H1602" s="11" t="s">
        <v>46</v>
      </c>
      <c r="I1602" s="11" t="s">
        <v>46</v>
      </c>
      <c r="J1602" s="11">
        <v>0.19</v>
      </c>
      <c r="K1602" s="12">
        <v>44965</v>
      </c>
      <c r="L1602" s="13" t="str" cm="1">
        <f t="array" ref="L1602">_xlfn.IFS(
  OR(ISBLANK(A1602),ISBLANK(C1602),ISBLANK(J1602)),"Missing Value",
  OR(C1602&lt;18,C1602&gt;120),"Review – Out of Range (Age)",
  J1602&lt;0,"Review – Out of Range (Risk Score)",
  TRUE,"OK"
)</f>
        <v>OK</v>
      </c>
    </row>
    <row r="1603" spans="1:12" ht="16.8" x14ac:dyDescent="0.3">
      <c r="A1603" s="14" t="s">
        <v>3256</v>
      </c>
      <c r="B1603" s="14" t="s">
        <v>3257</v>
      </c>
      <c r="C1603" s="14">
        <v>24</v>
      </c>
      <c r="D1603" s="14" t="s">
        <v>41</v>
      </c>
      <c r="E1603" s="14" t="s">
        <v>42</v>
      </c>
      <c r="F1603" s="14" t="s">
        <v>43</v>
      </c>
      <c r="G1603" s="14" t="s">
        <v>52</v>
      </c>
      <c r="H1603" s="14" t="s">
        <v>46</v>
      </c>
      <c r="I1603" s="14" t="s">
        <v>45</v>
      </c>
      <c r="J1603" s="14">
        <v>0.3</v>
      </c>
      <c r="K1603" s="15">
        <v>44516</v>
      </c>
      <c r="L1603" s="13" t="str" cm="1">
        <f t="array" ref="L1603">_xlfn.IFS(
  OR(ISBLANK(A1603),ISBLANK(C1603),ISBLANK(J1603)),"Missing Value",
  OR(C1603&lt;18,C1603&gt;120),"Review – Out of Range (Age)",
  J1603&lt;0,"Review – Out of Range (Risk Score)",
  TRUE,"OK"
)</f>
        <v>OK</v>
      </c>
    </row>
    <row r="1604" spans="1:12" ht="16.8" x14ac:dyDescent="0.3">
      <c r="A1604" s="11" t="s">
        <v>3258</v>
      </c>
      <c r="B1604" s="11" t="s">
        <v>3259</v>
      </c>
      <c r="C1604" s="11">
        <v>27</v>
      </c>
      <c r="D1604" s="11" t="s">
        <v>41</v>
      </c>
      <c r="E1604" s="11" t="s">
        <v>58</v>
      </c>
      <c r="F1604" s="11" t="s">
        <v>51</v>
      </c>
      <c r="G1604" s="11" t="s">
        <v>94</v>
      </c>
      <c r="H1604" s="11" t="s">
        <v>46</v>
      </c>
      <c r="I1604" s="11" t="s">
        <v>45</v>
      </c>
      <c r="J1604" s="11">
        <v>0.2</v>
      </c>
      <c r="K1604" s="12">
        <v>44068</v>
      </c>
      <c r="L1604" s="13" t="str" cm="1">
        <f t="array" ref="L1604">_xlfn.IFS(
  OR(ISBLANK(A1604),ISBLANK(C1604),ISBLANK(J1604)),"Missing Value",
  OR(C1604&lt;18,C1604&gt;120),"Review – Out of Range (Age)",
  J1604&lt;0,"Review – Out of Range (Risk Score)",
  TRUE,"OK"
)</f>
        <v>OK</v>
      </c>
    </row>
    <row r="1605" spans="1:12" ht="16.8" x14ac:dyDescent="0.3">
      <c r="A1605" s="14" t="s">
        <v>3260</v>
      </c>
      <c r="B1605" s="14" t="s">
        <v>3261</v>
      </c>
      <c r="C1605" s="14">
        <v>65</v>
      </c>
      <c r="D1605" s="14" t="s">
        <v>41</v>
      </c>
      <c r="E1605" s="14" t="s">
        <v>42</v>
      </c>
      <c r="F1605" s="14" t="s">
        <v>51</v>
      </c>
      <c r="G1605" s="14" t="s">
        <v>109</v>
      </c>
      <c r="H1605" s="14" t="s">
        <v>45</v>
      </c>
      <c r="I1605" s="14" t="s">
        <v>46</v>
      </c>
      <c r="J1605" s="14">
        <v>0.87</v>
      </c>
      <c r="K1605" s="15">
        <v>44985</v>
      </c>
      <c r="L1605" s="13" t="str" cm="1">
        <f t="array" ref="L1605">_xlfn.IFS(
  OR(ISBLANK(A1605),ISBLANK(C1605),ISBLANK(J1605)),"Missing Value",
  OR(C1605&lt;18,C1605&gt;120),"Review – Out of Range (Age)",
  J1605&lt;0,"Review – Out of Range (Risk Score)",
  TRUE,"OK"
)</f>
        <v>OK</v>
      </c>
    </row>
    <row r="1606" spans="1:12" ht="16.8" x14ac:dyDescent="0.3">
      <c r="A1606" s="11" t="s">
        <v>3262</v>
      </c>
      <c r="B1606" s="11" t="s">
        <v>3263</v>
      </c>
      <c r="C1606" s="11">
        <v>48</v>
      </c>
      <c r="D1606" s="11" t="s">
        <v>49</v>
      </c>
      <c r="E1606" s="11" t="s">
        <v>58</v>
      </c>
      <c r="F1606" s="11" t="s">
        <v>59</v>
      </c>
      <c r="G1606" s="11" t="s">
        <v>44</v>
      </c>
      <c r="H1606" s="11" t="s">
        <v>46</v>
      </c>
      <c r="I1606" s="11" t="s">
        <v>46</v>
      </c>
      <c r="J1606" s="11">
        <v>0.15</v>
      </c>
      <c r="K1606" s="12">
        <v>43459</v>
      </c>
      <c r="L1606" s="13" t="str" cm="1">
        <f t="array" ref="L1606">_xlfn.IFS(
  OR(ISBLANK(A1606),ISBLANK(C1606),ISBLANK(J1606)),"Missing Value",
  OR(C1606&lt;18,C1606&gt;120),"Review – Out of Range (Age)",
  J1606&lt;0,"Review – Out of Range (Risk Score)",
  TRUE,"OK"
)</f>
        <v>OK</v>
      </c>
    </row>
    <row r="1607" spans="1:12" ht="16.8" x14ac:dyDescent="0.3">
      <c r="A1607" s="14" t="s">
        <v>3264</v>
      </c>
      <c r="B1607" s="14" t="s">
        <v>3265</v>
      </c>
      <c r="C1607" s="14">
        <v>37</v>
      </c>
      <c r="D1607" s="14" t="s">
        <v>41</v>
      </c>
      <c r="E1607" s="14" t="s">
        <v>50</v>
      </c>
      <c r="F1607" s="14" t="s">
        <v>51</v>
      </c>
      <c r="G1607" s="14" t="s">
        <v>55</v>
      </c>
      <c r="H1607" s="14" t="s">
        <v>45</v>
      </c>
      <c r="I1607" s="14" t="s">
        <v>46</v>
      </c>
      <c r="J1607" s="14">
        <v>0.88</v>
      </c>
      <c r="K1607" s="15">
        <v>43592</v>
      </c>
      <c r="L1607" s="13" t="str" cm="1">
        <f t="array" ref="L1607">_xlfn.IFS(
  OR(ISBLANK(A1607),ISBLANK(C1607),ISBLANK(J1607)),"Missing Value",
  OR(C1607&lt;18,C1607&gt;120),"Review – Out of Range (Age)",
  J1607&lt;0,"Review – Out of Range (Risk Score)",
  TRUE,"OK"
)</f>
        <v>OK</v>
      </c>
    </row>
    <row r="1608" spans="1:12" ht="16.8" x14ac:dyDescent="0.3">
      <c r="A1608" s="11" t="s">
        <v>3266</v>
      </c>
      <c r="B1608" s="11" t="s">
        <v>3267</v>
      </c>
      <c r="C1608" s="11">
        <v>33</v>
      </c>
      <c r="D1608" s="11" t="s">
        <v>49</v>
      </c>
      <c r="E1608" s="11" t="s">
        <v>50</v>
      </c>
      <c r="F1608" s="11" t="s">
        <v>59</v>
      </c>
      <c r="G1608" s="11" t="s">
        <v>52</v>
      </c>
      <c r="H1608" s="11" t="s">
        <v>46</v>
      </c>
      <c r="I1608" s="11" t="s">
        <v>46</v>
      </c>
      <c r="J1608" s="11">
        <v>0.49</v>
      </c>
      <c r="K1608" s="12">
        <v>44787</v>
      </c>
      <c r="L1608" s="13" t="str" cm="1">
        <f t="array" ref="L1608">_xlfn.IFS(
  OR(ISBLANK(A1608),ISBLANK(C1608),ISBLANK(J1608)),"Missing Value",
  OR(C1608&lt;18,C1608&gt;120),"Review – Out of Range (Age)",
  J1608&lt;0,"Review – Out of Range (Risk Score)",
  TRUE,"OK"
)</f>
        <v>OK</v>
      </c>
    </row>
    <row r="1609" spans="1:12" ht="16.8" x14ac:dyDescent="0.3">
      <c r="A1609" s="14" t="s">
        <v>3268</v>
      </c>
      <c r="B1609" s="14" t="s">
        <v>3269</v>
      </c>
      <c r="C1609" s="14">
        <v>42</v>
      </c>
      <c r="D1609" s="14" t="s">
        <v>49</v>
      </c>
      <c r="E1609" s="14" t="s">
        <v>42</v>
      </c>
      <c r="F1609" s="14" t="s">
        <v>59</v>
      </c>
      <c r="G1609" s="14" t="s">
        <v>94</v>
      </c>
      <c r="H1609" s="14" t="s">
        <v>45</v>
      </c>
      <c r="I1609" s="14" t="s">
        <v>45</v>
      </c>
      <c r="J1609" s="14">
        <v>0.44</v>
      </c>
      <c r="K1609" s="15">
        <v>43871</v>
      </c>
      <c r="L1609" s="13" t="str" cm="1">
        <f t="array" ref="L1609">_xlfn.IFS(
  OR(ISBLANK(A1609),ISBLANK(C1609),ISBLANK(J1609)),"Missing Value",
  OR(C1609&lt;18,C1609&gt;120),"Review – Out of Range (Age)",
  J1609&lt;0,"Review – Out of Range (Risk Score)",
  TRUE,"OK"
)</f>
        <v>OK</v>
      </c>
    </row>
    <row r="1610" spans="1:12" ht="16.8" x14ac:dyDescent="0.3">
      <c r="A1610" s="11" t="s">
        <v>3270</v>
      </c>
      <c r="B1610" s="11" t="s">
        <v>3271</v>
      </c>
      <c r="C1610" s="11">
        <v>32</v>
      </c>
      <c r="D1610" s="11" t="s">
        <v>49</v>
      </c>
      <c r="E1610" s="11" t="s">
        <v>42</v>
      </c>
      <c r="F1610" s="11" t="s">
        <v>59</v>
      </c>
      <c r="G1610" s="11" t="s">
        <v>52</v>
      </c>
      <c r="H1610" s="11" t="s">
        <v>45</v>
      </c>
      <c r="I1610" s="11" t="s">
        <v>46</v>
      </c>
      <c r="J1610" s="11">
        <v>0.44</v>
      </c>
      <c r="K1610" s="12">
        <v>44922</v>
      </c>
      <c r="L1610" s="13" t="str" cm="1">
        <f t="array" ref="L1610">_xlfn.IFS(
  OR(ISBLANK(A1610),ISBLANK(C1610),ISBLANK(J1610)),"Missing Value",
  OR(C1610&lt;18,C1610&gt;120),"Review – Out of Range (Age)",
  J1610&lt;0,"Review – Out of Range (Risk Score)",
  TRUE,"OK"
)</f>
        <v>OK</v>
      </c>
    </row>
    <row r="1611" spans="1:12" ht="16.8" x14ac:dyDescent="0.3">
      <c r="A1611" s="14" t="s">
        <v>3272</v>
      </c>
      <c r="B1611" s="14" t="s">
        <v>3273</v>
      </c>
      <c r="C1611" s="14">
        <v>22</v>
      </c>
      <c r="D1611" s="14" t="s">
        <v>49</v>
      </c>
      <c r="E1611" s="14" t="s">
        <v>42</v>
      </c>
      <c r="F1611" s="14" t="s">
        <v>65</v>
      </c>
      <c r="G1611" s="14" t="s">
        <v>60</v>
      </c>
      <c r="H1611" s="14" t="s">
        <v>46</v>
      </c>
      <c r="I1611" s="14" t="s">
        <v>46</v>
      </c>
      <c r="J1611" s="14">
        <v>0.62</v>
      </c>
      <c r="K1611" s="15">
        <v>43432</v>
      </c>
      <c r="L1611" s="13" t="str" cm="1">
        <f t="array" ref="L1611">_xlfn.IFS(
  OR(ISBLANK(A1611),ISBLANK(C1611),ISBLANK(J1611)),"Missing Value",
  OR(C1611&lt;18,C1611&gt;120),"Review – Out of Range (Age)",
  J1611&lt;0,"Review – Out of Range (Risk Score)",
  TRUE,"OK"
)</f>
        <v>OK</v>
      </c>
    </row>
    <row r="1612" spans="1:12" ht="16.8" x14ac:dyDescent="0.3">
      <c r="A1612" s="11" t="s">
        <v>3274</v>
      </c>
      <c r="B1612" s="11" t="s">
        <v>3275</v>
      </c>
      <c r="C1612" s="11">
        <v>57</v>
      </c>
      <c r="D1612" s="11" t="s">
        <v>49</v>
      </c>
      <c r="E1612" s="11" t="s">
        <v>50</v>
      </c>
      <c r="F1612" s="11" t="s">
        <v>59</v>
      </c>
      <c r="G1612" s="11" t="s">
        <v>55</v>
      </c>
      <c r="H1612" s="11" t="s">
        <v>45</v>
      </c>
      <c r="I1612" s="11" t="s">
        <v>46</v>
      </c>
      <c r="J1612" s="11">
        <v>0.36</v>
      </c>
      <c r="K1612" s="12">
        <v>44353</v>
      </c>
      <c r="L1612" s="13" t="str" cm="1">
        <f t="array" ref="L1612">_xlfn.IFS(
  OR(ISBLANK(A1612),ISBLANK(C1612),ISBLANK(J1612)),"Missing Value",
  OR(C1612&lt;18,C1612&gt;120),"Review – Out of Range (Age)",
  J1612&lt;0,"Review – Out of Range (Risk Score)",
  TRUE,"OK"
)</f>
        <v>OK</v>
      </c>
    </row>
    <row r="1613" spans="1:12" ht="16.8" x14ac:dyDescent="0.3">
      <c r="A1613" s="14" t="s">
        <v>3276</v>
      </c>
      <c r="B1613" s="14" t="s">
        <v>3277</v>
      </c>
      <c r="C1613" s="14">
        <v>46</v>
      </c>
      <c r="D1613" s="14" t="s">
        <v>49</v>
      </c>
      <c r="E1613" s="14" t="s">
        <v>58</v>
      </c>
      <c r="F1613" s="14" t="s">
        <v>59</v>
      </c>
      <c r="G1613" s="14" t="s">
        <v>109</v>
      </c>
      <c r="H1613" s="14" t="s">
        <v>46</v>
      </c>
      <c r="I1613" s="14" t="s">
        <v>45</v>
      </c>
      <c r="J1613" s="14">
        <v>0.39</v>
      </c>
      <c r="K1613" s="15">
        <v>43587</v>
      </c>
      <c r="L1613" s="13" t="str" cm="1">
        <f t="array" ref="L1613">_xlfn.IFS(
  OR(ISBLANK(A1613),ISBLANK(C1613),ISBLANK(J1613)),"Missing Value",
  OR(C1613&lt;18,C1613&gt;120),"Review – Out of Range (Age)",
  J1613&lt;0,"Review – Out of Range (Risk Score)",
  TRUE,"OK"
)</f>
        <v>OK</v>
      </c>
    </row>
    <row r="1614" spans="1:12" ht="16.8" x14ac:dyDescent="0.3">
      <c r="A1614" s="11" t="s">
        <v>3278</v>
      </c>
      <c r="B1614" s="11" t="s">
        <v>3279</v>
      </c>
      <c r="C1614" s="11">
        <v>47</v>
      </c>
      <c r="D1614" s="11" t="s">
        <v>41</v>
      </c>
      <c r="E1614" s="11" t="s">
        <v>42</v>
      </c>
      <c r="F1614" s="11" t="s">
        <v>59</v>
      </c>
      <c r="G1614" s="11" t="s">
        <v>52</v>
      </c>
      <c r="H1614" s="11" t="s">
        <v>45</v>
      </c>
      <c r="I1614" s="11" t="s">
        <v>45</v>
      </c>
      <c r="J1614" s="11">
        <v>0.84</v>
      </c>
      <c r="K1614" s="12">
        <v>43420</v>
      </c>
      <c r="L1614" s="13" t="str" cm="1">
        <f t="array" ref="L1614">_xlfn.IFS(
  OR(ISBLANK(A1614),ISBLANK(C1614),ISBLANK(J1614)),"Missing Value",
  OR(C1614&lt;18,C1614&gt;120),"Review – Out of Range (Age)",
  J1614&lt;0,"Review – Out of Range (Risk Score)",
  TRUE,"OK"
)</f>
        <v>OK</v>
      </c>
    </row>
    <row r="1615" spans="1:12" ht="16.8" x14ac:dyDescent="0.3">
      <c r="A1615" s="14" t="s">
        <v>3280</v>
      </c>
      <c r="B1615" s="14" t="s">
        <v>3281</v>
      </c>
      <c r="C1615" s="14">
        <v>65</v>
      </c>
      <c r="D1615" s="14" t="s">
        <v>41</v>
      </c>
      <c r="E1615" s="14" t="s">
        <v>42</v>
      </c>
      <c r="F1615" s="14" t="s">
        <v>65</v>
      </c>
      <c r="G1615" s="14" t="s">
        <v>55</v>
      </c>
      <c r="H1615" s="14" t="s">
        <v>46</v>
      </c>
      <c r="I1615" s="14" t="s">
        <v>45</v>
      </c>
      <c r="J1615" s="14">
        <v>0.52</v>
      </c>
      <c r="K1615" s="15">
        <v>43767</v>
      </c>
      <c r="L1615" s="13" t="str" cm="1">
        <f t="array" ref="L1615">_xlfn.IFS(
  OR(ISBLANK(A1615),ISBLANK(C1615),ISBLANK(J1615)),"Missing Value",
  OR(C1615&lt;18,C1615&gt;120),"Review – Out of Range (Age)",
  J1615&lt;0,"Review – Out of Range (Risk Score)",
  TRUE,"OK"
)</f>
        <v>OK</v>
      </c>
    </row>
    <row r="1616" spans="1:12" ht="16.8" x14ac:dyDescent="0.3">
      <c r="A1616" s="11" t="s">
        <v>3282</v>
      </c>
      <c r="B1616" s="11" t="s">
        <v>3283</v>
      </c>
      <c r="C1616" s="11">
        <v>53</v>
      </c>
      <c r="D1616" s="11" t="s">
        <v>49</v>
      </c>
      <c r="E1616" s="11" t="s">
        <v>58</v>
      </c>
      <c r="F1616" s="11" t="s">
        <v>65</v>
      </c>
      <c r="G1616" s="11" t="s">
        <v>60</v>
      </c>
      <c r="H1616" s="11" t="s">
        <v>46</v>
      </c>
      <c r="I1616" s="11" t="s">
        <v>45</v>
      </c>
      <c r="J1616" s="11">
        <v>0.71</v>
      </c>
      <c r="K1616" s="12">
        <v>44673</v>
      </c>
      <c r="L1616" s="13" t="str" cm="1">
        <f t="array" ref="L1616">_xlfn.IFS(
  OR(ISBLANK(A1616),ISBLANK(C1616),ISBLANK(J1616)),"Missing Value",
  OR(C1616&lt;18,C1616&gt;120),"Review – Out of Range (Age)",
  J1616&lt;0,"Review – Out of Range (Risk Score)",
  TRUE,"OK"
)</f>
        <v>OK</v>
      </c>
    </row>
    <row r="1617" spans="1:12" ht="16.8" x14ac:dyDescent="0.3">
      <c r="A1617" s="14" t="s">
        <v>3284</v>
      </c>
      <c r="B1617" s="14" t="s">
        <v>3285</v>
      </c>
      <c r="C1617" s="14">
        <v>57</v>
      </c>
      <c r="D1617" s="14" t="s">
        <v>41</v>
      </c>
      <c r="E1617" s="14" t="s">
        <v>58</v>
      </c>
      <c r="F1617" s="14" t="s">
        <v>59</v>
      </c>
      <c r="G1617" s="14" t="s">
        <v>109</v>
      </c>
      <c r="H1617" s="14" t="s">
        <v>46</v>
      </c>
      <c r="I1617" s="14" t="s">
        <v>46</v>
      </c>
      <c r="J1617" s="14">
        <v>0.55000000000000004</v>
      </c>
      <c r="K1617" s="15">
        <v>43469</v>
      </c>
      <c r="L1617" s="13" t="str" cm="1">
        <f t="array" ref="L1617">_xlfn.IFS(
  OR(ISBLANK(A1617),ISBLANK(C1617),ISBLANK(J1617)),"Missing Value",
  OR(C1617&lt;18,C1617&gt;120),"Review – Out of Range (Age)",
  J1617&lt;0,"Review – Out of Range (Risk Score)",
  TRUE,"OK"
)</f>
        <v>OK</v>
      </c>
    </row>
    <row r="1618" spans="1:12" ht="16.8" x14ac:dyDescent="0.3">
      <c r="A1618" s="11" t="s">
        <v>3286</v>
      </c>
      <c r="B1618" s="11" t="s">
        <v>3287</v>
      </c>
      <c r="C1618" s="11">
        <v>19</v>
      </c>
      <c r="D1618" s="11" t="s">
        <v>41</v>
      </c>
      <c r="E1618" s="11" t="s">
        <v>42</v>
      </c>
      <c r="F1618" s="11" t="s">
        <v>51</v>
      </c>
      <c r="G1618" s="11" t="s">
        <v>55</v>
      </c>
      <c r="H1618" s="11" t="s">
        <v>45</v>
      </c>
      <c r="I1618" s="11" t="s">
        <v>45</v>
      </c>
      <c r="J1618" s="11">
        <v>0.37</v>
      </c>
      <c r="K1618" s="12">
        <v>44316</v>
      </c>
      <c r="L1618" s="13" t="str" cm="1">
        <f t="array" ref="L1618">_xlfn.IFS(
  OR(ISBLANK(A1618),ISBLANK(C1618),ISBLANK(J1618)),"Missing Value",
  OR(C1618&lt;18,C1618&gt;120),"Review – Out of Range (Age)",
  J1618&lt;0,"Review – Out of Range (Risk Score)",
  TRUE,"OK"
)</f>
        <v>OK</v>
      </c>
    </row>
    <row r="1619" spans="1:12" ht="16.8" x14ac:dyDescent="0.3">
      <c r="A1619" s="14" t="s">
        <v>3288</v>
      </c>
      <c r="B1619" s="14" t="s">
        <v>3289</v>
      </c>
      <c r="C1619" s="14">
        <v>28</v>
      </c>
      <c r="D1619" s="14" t="s">
        <v>41</v>
      </c>
      <c r="E1619" s="14" t="s">
        <v>42</v>
      </c>
      <c r="F1619" s="14" t="s">
        <v>43</v>
      </c>
      <c r="G1619" s="14" t="s">
        <v>44</v>
      </c>
      <c r="H1619" s="14" t="s">
        <v>45</v>
      </c>
      <c r="I1619" s="14" t="s">
        <v>46</v>
      </c>
      <c r="J1619" s="14">
        <v>0.09</v>
      </c>
      <c r="K1619" s="15">
        <v>43580</v>
      </c>
      <c r="L1619" s="13" t="str" cm="1">
        <f t="array" ref="L1619">_xlfn.IFS(
  OR(ISBLANK(A1619),ISBLANK(C1619),ISBLANK(J1619)),"Missing Value",
  OR(C1619&lt;18,C1619&gt;120),"Review – Out of Range (Age)",
  J1619&lt;0,"Review – Out of Range (Risk Score)",
  TRUE,"OK"
)</f>
        <v>OK</v>
      </c>
    </row>
    <row r="1620" spans="1:12" ht="16.8" x14ac:dyDescent="0.3">
      <c r="A1620" s="11" t="s">
        <v>3290</v>
      </c>
      <c r="B1620" s="11" t="s">
        <v>3291</v>
      </c>
      <c r="C1620" s="11">
        <v>33</v>
      </c>
      <c r="D1620" s="11" t="s">
        <v>41</v>
      </c>
      <c r="E1620" s="11" t="s">
        <v>42</v>
      </c>
      <c r="F1620" s="11" t="s">
        <v>51</v>
      </c>
      <c r="G1620" s="11" t="s">
        <v>44</v>
      </c>
      <c r="H1620" s="11" t="s">
        <v>46</v>
      </c>
      <c r="I1620" s="11" t="s">
        <v>45</v>
      </c>
      <c r="J1620" s="11">
        <v>0.42</v>
      </c>
      <c r="K1620" s="12">
        <v>45031</v>
      </c>
      <c r="L1620" s="13" t="str" cm="1">
        <f t="array" ref="L1620">_xlfn.IFS(
  OR(ISBLANK(A1620),ISBLANK(C1620),ISBLANK(J1620)),"Missing Value",
  OR(C1620&lt;18,C1620&gt;120),"Review – Out of Range (Age)",
  J1620&lt;0,"Review – Out of Range (Risk Score)",
  TRUE,"OK"
)</f>
        <v>OK</v>
      </c>
    </row>
    <row r="1621" spans="1:12" ht="16.8" x14ac:dyDescent="0.3">
      <c r="A1621" s="14" t="s">
        <v>3292</v>
      </c>
      <c r="B1621" s="14" t="s">
        <v>3293</v>
      </c>
      <c r="C1621" s="14">
        <v>33</v>
      </c>
      <c r="D1621" s="14" t="s">
        <v>49</v>
      </c>
      <c r="E1621" s="14" t="s">
        <v>50</v>
      </c>
      <c r="F1621" s="14" t="s">
        <v>65</v>
      </c>
      <c r="G1621" s="14" t="s">
        <v>44</v>
      </c>
      <c r="H1621" s="14" t="s">
        <v>45</v>
      </c>
      <c r="I1621" s="14" t="s">
        <v>46</v>
      </c>
      <c r="J1621" s="14">
        <v>0.55000000000000004</v>
      </c>
      <c r="K1621" s="15">
        <v>45045</v>
      </c>
      <c r="L1621" s="13" t="str" cm="1">
        <f t="array" ref="L1621">_xlfn.IFS(
  OR(ISBLANK(A1621),ISBLANK(C1621),ISBLANK(J1621)),"Missing Value",
  OR(C1621&lt;18,C1621&gt;120),"Review – Out of Range (Age)",
  J1621&lt;0,"Review – Out of Range (Risk Score)",
  TRUE,"OK"
)</f>
        <v>OK</v>
      </c>
    </row>
    <row r="1622" spans="1:12" ht="16.8" x14ac:dyDescent="0.3">
      <c r="A1622" s="11" t="s">
        <v>3294</v>
      </c>
      <c r="B1622" s="11" t="s">
        <v>3295</v>
      </c>
      <c r="C1622" s="11">
        <v>58</v>
      </c>
      <c r="D1622" s="11" t="s">
        <v>41</v>
      </c>
      <c r="E1622" s="11" t="s">
        <v>50</v>
      </c>
      <c r="F1622" s="11" t="s">
        <v>65</v>
      </c>
      <c r="G1622" s="11" t="s">
        <v>44</v>
      </c>
      <c r="H1622" s="11" t="s">
        <v>46</v>
      </c>
      <c r="I1622" s="11" t="s">
        <v>45</v>
      </c>
      <c r="J1622" s="11">
        <v>0.4</v>
      </c>
      <c r="K1622" s="12">
        <v>44600</v>
      </c>
      <c r="L1622" s="13" t="str" cm="1">
        <f t="array" ref="L1622">_xlfn.IFS(
  OR(ISBLANK(A1622),ISBLANK(C1622),ISBLANK(J1622)),"Missing Value",
  OR(C1622&lt;18,C1622&gt;120),"Review – Out of Range (Age)",
  J1622&lt;0,"Review – Out of Range (Risk Score)",
  TRUE,"OK"
)</f>
        <v>OK</v>
      </c>
    </row>
    <row r="1623" spans="1:12" ht="16.8" x14ac:dyDescent="0.3">
      <c r="A1623" s="14" t="s">
        <v>3296</v>
      </c>
      <c r="B1623" s="14" t="s">
        <v>3297</v>
      </c>
      <c r="C1623" s="14">
        <v>42</v>
      </c>
      <c r="D1623" s="14" t="s">
        <v>41</v>
      </c>
      <c r="E1623" s="14" t="s">
        <v>58</v>
      </c>
      <c r="F1623" s="14" t="s">
        <v>59</v>
      </c>
      <c r="G1623" s="14" t="s">
        <v>55</v>
      </c>
      <c r="H1623" s="14" t="s">
        <v>46</v>
      </c>
      <c r="I1623" s="14" t="s">
        <v>46</v>
      </c>
      <c r="J1623" s="14">
        <v>0.77</v>
      </c>
      <c r="K1623" s="15">
        <v>43813</v>
      </c>
      <c r="L1623" s="13" t="str" cm="1">
        <f t="array" ref="L1623">_xlfn.IFS(
  OR(ISBLANK(A1623),ISBLANK(C1623),ISBLANK(J1623)),"Missing Value",
  OR(C1623&lt;18,C1623&gt;120),"Review – Out of Range (Age)",
  J1623&lt;0,"Review – Out of Range (Risk Score)",
  TRUE,"OK"
)</f>
        <v>OK</v>
      </c>
    </row>
    <row r="1624" spans="1:12" ht="16.8" x14ac:dyDescent="0.3">
      <c r="A1624" s="11" t="s">
        <v>3298</v>
      </c>
      <c r="B1624" s="11" t="s">
        <v>3299</v>
      </c>
      <c r="C1624" s="11">
        <v>67</v>
      </c>
      <c r="D1624" s="11" t="s">
        <v>41</v>
      </c>
      <c r="E1624" s="11" t="s">
        <v>42</v>
      </c>
      <c r="F1624" s="11" t="s">
        <v>59</v>
      </c>
      <c r="G1624" s="11" t="s">
        <v>44</v>
      </c>
      <c r="H1624" s="11" t="s">
        <v>46</v>
      </c>
      <c r="I1624" s="11" t="s">
        <v>46</v>
      </c>
      <c r="J1624" s="11">
        <v>0.43</v>
      </c>
      <c r="K1624" s="12">
        <v>44905</v>
      </c>
      <c r="L1624" s="13" t="str" cm="1">
        <f t="array" ref="L1624">_xlfn.IFS(
  OR(ISBLANK(A1624),ISBLANK(C1624),ISBLANK(J1624)),"Missing Value",
  OR(C1624&lt;18,C1624&gt;120),"Review – Out of Range (Age)",
  J1624&lt;0,"Review – Out of Range (Risk Score)",
  TRUE,"OK"
)</f>
        <v>OK</v>
      </c>
    </row>
    <row r="1625" spans="1:12" ht="16.8" x14ac:dyDescent="0.3">
      <c r="A1625" s="14" t="s">
        <v>3300</v>
      </c>
      <c r="B1625" s="14" t="s">
        <v>3301</v>
      </c>
      <c r="C1625" s="14">
        <v>36</v>
      </c>
      <c r="D1625" s="14" t="s">
        <v>41</v>
      </c>
      <c r="E1625" s="14" t="s">
        <v>58</v>
      </c>
      <c r="F1625" s="14" t="s">
        <v>51</v>
      </c>
      <c r="G1625" s="14" t="s">
        <v>44</v>
      </c>
      <c r="H1625" s="14" t="s">
        <v>45</v>
      </c>
      <c r="I1625" s="14" t="s">
        <v>45</v>
      </c>
      <c r="J1625" s="14">
        <v>0.82</v>
      </c>
      <c r="K1625" s="15">
        <v>43815</v>
      </c>
      <c r="L1625" s="13" t="str" cm="1">
        <f t="array" ref="L1625">_xlfn.IFS(
  OR(ISBLANK(A1625),ISBLANK(C1625),ISBLANK(J1625)),"Missing Value",
  OR(C1625&lt;18,C1625&gt;120),"Review – Out of Range (Age)",
  J1625&lt;0,"Review – Out of Range (Risk Score)",
  TRUE,"OK"
)</f>
        <v>OK</v>
      </c>
    </row>
    <row r="1626" spans="1:12" ht="16.8" x14ac:dyDescent="0.3">
      <c r="A1626" s="11" t="s">
        <v>3302</v>
      </c>
      <c r="B1626" s="11" t="s">
        <v>3303</v>
      </c>
      <c r="C1626" s="11">
        <v>44</v>
      </c>
      <c r="D1626" s="11" t="s">
        <v>49</v>
      </c>
      <c r="E1626" s="11" t="s">
        <v>58</v>
      </c>
      <c r="F1626" s="11" t="s">
        <v>65</v>
      </c>
      <c r="G1626" s="11" t="s">
        <v>44</v>
      </c>
      <c r="H1626" s="11" t="s">
        <v>45</v>
      </c>
      <c r="I1626" s="11" t="s">
        <v>46</v>
      </c>
      <c r="J1626" s="11">
        <v>0.56999999999999995</v>
      </c>
      <c r="K1626" s="12">
        <v>43415</v>
      </c>
      <c r="L1626" s="13" t="str" cm="1">
        <f t="array" ref="L1626">_xlfn.IFS(
  OR(ISBLANK(A1626),ISBLANK(C1626),ISBLANK(J1626)),"Missing Value",
  OR(C1626&lt;18,C1626&gt;120),"Review – Out of Range (Age)",
  J1626&lt;0,"Review – Out of Range (Risk Score)",
  TRUE,"OK"
)</f>
        <v>OK</v>
      </c>
    </row>
    <row r="1627" spans="1:12" ht="16.8" x14ac:dyDescent="0.3">
      <c r="A1627" s="14" t="s">
        <v>3304</v>
      </c>
      <c r="B1627" s="14" t="s">
        <v>3305</v>
      </c>
      <c r="C1627" s="14">
        <v>51</v>
      </c>
      <c r="D1627" s="14" t="s">
        <v>49</v>
      </c>
      <c r="E1627" s="14" t="s">
        <v>50</v>
      </c>
      <c r="F1627" s="14" t="s">
        <v>51</v>
      </c>
      <c r="G1627" s="14" t="s">
        <v>52</v>
      </c>
      <c r="H1627" s="14" t="s">
        <v>45</v>
      </c>
      <c r="I1627" s="14" t="s">
        <v>45</v>
      </c>
      <c r="J1627" s="14">
        <v>0.32</v>
      </c>
      <c r="K1627" s="15">
        <v>43320</v>
      </c>
      <c r="L1627" s="13" t="str" cm="1">
        <f t="array" ref="L1627">_xlfn.IFS(
  OR(ISBLANK(A1627),ISBLANK(C1627),ISBLANK(J1627)),"Missing Value",
  OR(C1627&lt;18,C1627&gt;120),"Review – Out of Range (Age)",
  J1627&lt;0,"Review – Out of Range (Risk Score)",
  TRUE,"OK"
)</f>
        <v>OK</v>
      </c>
    </row>
    <row r="1628" spans="1:12" ht="16.8" x14ac:dyDescent="0.3">
      <c r="A1628" s="11" t="s">
        <v>3306</v>
      </c>
      <c r="B1628" s="11" t="s">
        <v>3307</v>
      </c>
      <c r="C1628" s="11">
        <v>43</v>
      </c>
      <c r="D1628" s="11" t="s">
        <v>41</v>
      </c>
      <c r="E1628" s="11" t="s">
        <v>58</v>
      </c>
      <c r="F1628" s="11" t="s">
        <v>65</v>
      </c>
      <c r="G1628" s="11" t="s">
        <v>60</v>
      </c>
      <c r="H1628" s="11" t="s">
        <v>45</v>
      </c>
      <c r="I1628" s="11" t="s">
        <v>45</v>
      </c>
      <c r="J1628" s="11">
        <v>0.66</v>
      </c>
      <c r="K1628" s="12">
        <v>43750</v>
      </c>
      <c r="L1628" s="13" t="str" cm="1">
        <f t="array" ref="L1628">_xlfn.IFS(
  OR(ISBLANK(A1628),ISBLANK(C1628),ISBLANK(J1628)),"Missing Value",
  OR(C1628&lt;18,C1628&gt;120),"Review – Out of Range (Age)",
  J1628&lt;0,"Review – Out of Range (Risk Score)",
  TRUE,"OK"
)</f>
        <v>OK</v>
      </c>
    </row>
    <row r="1629" spans="1:12" ht="16.8" x14ac:dyDescent="0.3">
      <c r="A1629" s="14" t="s">
        <v>3308</v>
      </c>
      <c r="B1629" s="14" t="s">
        <v>3309</v>
      </c>
      <c r="C1629" s="14">
        <v>60</v>
      </c>
      <c r="D1629" s="14" t="s">
        <v>41</v>
      </c>
      <c r="E1629" s="14" t="s">
        <v>58</v>
      </c>
      <c r="F1629" s="14" t="s">
        <v>65</v>
      </c>
      <c r="G1629" s="14" t="s">
        <v>94</v>
      </c>
      <c r="H1629" s="14" t="s">
        <v>45</v>
      </c>
      <c r="I1629" s="14" t="s">
        <v>46</v>
      </c>
      <c r="J1629" s="14">
        <v>0.57999999999999996</v>
      </c>
      <c r="K1629" s="15">
        <v>44237</v>
      </c>
      <c r="L1629" s="13" t="str" cm="1">
        <f t="array" ref="L1629">_xlfn.IFS(
  OR(ISBLANK(A1629),ISBLANK(C1629),ISBLANK(J1629)),"Missing Value",
  OR(C1629&lt;18,C1629&gt;120),"Review – Out of Range (Age)",
  J1629&lt;0,"Review – Out of Range (Risk Score)",
  TRUE,"OK"
)</f>
        <v>OK</v>
      </c>
    </row>
    <row r="1630" spans="1:12" ht="16.8" x14ac:dyDescent="0.3">
      <c r="A1630" s="11" t="s">
        <v>3310</v>
      </c>
      <c r="B1630" s="11" t="s">
        <v>3311</v>
      </c>
      <c r="C1630" s="11">
        <v>56</v>
      </c>
      <c r="D1630" s="11" t="s">
        <v>49</v>
      </c>
      <c r="E1630" s="11" t="s">
        <v>58</v>
      </c>
      <c r="F1630" s="11" t="s">
        <v>59</v>
      </c>
      <c r="G1630" s="11" t="s">
        <v>60</v>
      </c>
      <c r="H1630" s="11" t="s">
        <v>45</v>
      </c>
      <c r="I1630" s="11" t="s">
        <v>46</v>
      </c>
      <c r="J1630" s="11">
        <v>0.8</v>
      </c>
      <c r="K1630" s="12">
        <v>43278</v>
      </c>
      <c r="L1630" s="13" t="str" cm="1">
        <f t="array" ref="L1630">_xlfn.IFS(
  OR(ISBLANK(A1630),ISBLANK(C1630),ISBLANK(J1630)),"Missing Value",
  OR(C1630&lt;18,C1630&gt;120),"Review – Out of Range (Age)",
  J1630&lt;0,"Review – Out of Range (Risk Score)",
  TRUE,"OK"
)</f>
        <v>OK</v>
      </c>
    </row>
    <row r="1631" spans="1:12" ht="16.8" x14ac:dyDescent="0.3">
      <c r="A1631" s="14" t="s">
        <v>3312</v>
      </c>
      <c r="B1631" s="14" t="s">
        <v>3313</v>
      </c>
      <c r="C1631" s="14">
        <v>58</v>
      </c>
      <c r="D1631" s="14" t="s">
        <v>49</v>
      </c>
      <c r="E1631" s="14" t="s">
        <v>42</v>
      </c>
      <c r="F1631" s="14" t="s">
        <v>51</v>
      </c>
      <c r="G1631" s="14" t="s">
        <v>55</v>
      </c>
      <c r="H1631" s="14" t="s">
        <v>45</v>
      </c>
      <c r="I1631" s="14" t="s">
        <v>46</v>
      </c>
      <c r="J1631" s="14">
        <v>0.67</v>
      </c>
      <c r="K1631" s="15">
        <v>43604</v>
      </c>
      <c r="L1631" s="13" t="str" cm="1">
        <f t="array" ref="L1631">_xlfn.IFS(
  OR(ISBLANK(A1631),ISBLANK(C1631),ISBLANK(J1631)),"Missing Value",
  OR(C1631&lt;18,C1631&gt;120),"Review – Out of Range (Age)",
  J1631&lt;0,"Review – Out of Range (Risk Score)",
  TRUE,"OK"
)</f>
        <v>OK</v>
      </c>
    </row>
    <row r="1632" spans="1:12" ht="16.8" x14ac:dyDescent="0.3">
      <c r="A1632" s="11" t="s">
        <v>3314</v>
      </c>
      <c r="B1632" s="11" t="s">
        <v>3315</v>
      </c>
      <c r="C1632" s="11">
        <v>66</v>
      </c>
      <c r="D1632" s="11" t="s">
        <v>49</v>
      </c>
      <c r="E1632" s="11" t="s">
        <v>58</v>
      </c>
      <c r="F1632" s="11" t="s">
        <v>65</v>
      </c>
      <c r="G1632" s="11" t="s">
        <v>60</v>
      </c>
      <c r="H1632" s="11" t="s">
        <v>45</v>
      </c>
      <c r="I1632" s="11" t="s">
        <v>46</v>
      </c>
      <c r="J1632" s="11">
        <v>0.47</v>
      </c>
      <c r="K1632" s="12">
        <v>43477</v>
      </c>
      <c r="L1632" s="13" t="str" cm="1">
        <f t="array" ref="L1632">_xlfn.IFS(
  OR(ISBLANK(A1632),ISBLANK(C1632),ISBLANK(J1632)),"Missing Value",
  OR(C1632&lt;18,C1632&gt;120),"Review – Out of Range (Age)",
  J1632&lt;0,"Review – Out of Range (Risk Score)",
  TRUE,"OK"
)</f>
        <v>OK</v>
      </c>
    </row>
    <row r="1633" spans="1:12" ht="16.8" x14ac:dyDescent="0.3">
      <c r="A1633" s="14" t="s">
        <v>3316</v>
      </c>
      <c r="B1633" s="14" t="s">
        <v>3317</v>
      </c>
      <c r="C1633" s="14">
        <v>42</v>
      </c>
      <c r="D1633" s="14" t="s">
        <v>41</v>
      </c>
      <c r="E1633" s="14" t="s">
        <v>50</v>
      </c>
      <c r="F1633" s="14" t="s">
        <v>65</v>
      </c>
      <c r="G1633" s="14" t="s">
        <v>52</v>
      </c>
      <c r="H1633" s="14" t="s">
        <v>46</v>
      </c>
      <c r="I1633" s="14" t="s">
        <v>45</v>
      </c>
      <c r="J1633" s="14">
        <v>0.41</v>
      </c>
      <c r="K1633" s="15">
        <v>43120</v>
      </c>
      <c r="L1633" s="13" t="str" cm="1">
        <f t="array" ref="L1633">_xlfn.IFS(
  OR(ISBLANK(A1633),ISBLANK(C1633),ISBLANK(J1633)),"Missing Value",
  OR(C1633&lt;18,C1633&gt;120),"Review – Out of Range (Age)",
  J1633&lt;0,"Review – Out of Range (Risk Score)",
  TRUE,"OK"
)</f>
        <v>OK</v>
      </c>
    </row>
    <row r="1634" spans="1:12" ht="16.8" x14ac:dyDescent="0.3">
      <c r="A1634" s="11" t="s">
        <v>3318</v>
      </c>
      <c r="B1634" s="11" t="s">
        <v>3319</v>
      </c>
      <c r="C1634" s="11">
        <v>38</v>
      </c>
      <c r="D1634" s="11" t="s">
        <v>41</v>
      </c>
      <c r="E1634" s="11" t="s">
        <v>50</v>
      </c>
      <c r="F1634" s="11" t="s">
        <v>43</v>
      </c>
      <c r="G1634" s="11" t="s">
        <v>109</v>
      </c>
      <c r="H1634" s="11" t="s">
        <v>46</v>
      </c>
      <c r="I1634" s="11" t="s">
        <v>46</v>
      </c>
      <c r="J1634" s="11">
        <v>0.46</v>
      </c>
      <c r="K1634" s="12">
        <v>44487</v>
      </c>
      <c r="L1634" s="13" t="str" cm="1">
        <f t="array" ref="L1634">_xlfn.IFS(
  OR(ISBLANK(A1634),ISBLANK(C1634),ISBLANK(J1634)),"Missing Value",
  OR(C1634&lt;18,C1634&gt;120),"Review – Out of Range (Age)",
  J1634&lt;0,"Review – Out of Range (Risk Score)",
  TRUE,"OK"
)</f>
        <v>OK</v>
      </c>
    </row>
    <row r="1635" spans="1:12" ht="16.8" x14ac:dyDescent="0.3">
      <c r="A1635" s="14" t="s">
        <v>3320</v>
      </c>
      <c r="B1635" s="14" t="s">
        <v>3321</v>
      </c>
      <c r="C1635" s="14">
        <v>67</v>
      </c>
      <c r="D1635" s="14" t="s">
        <v>49</v>
      </c>
      <c r="E1635" s="14" t="s">
        <v>58</v>
      </c>
      <c r="F1635" s="14" t="s">
        <v>59</v>
      </c>
      <c r="G1635" s="14" t="s">
        <v>44</v>
      </c>
      <c r="H1635" s="14" t="s">
        <v>45</v>
      </c>
      <c r="I1635" s="14" t="s">
        <v>45</v>
      </c>
      <c r="J1635" s="14">
        <v>0.62</v>
      </c>
      <c r="K1635" s="15">
        <v>44177</v>
      </c>
      <c r="L1635" s="13" t="str" cm="1">
        <f t="array" ref="L1635">_xlfn.IFS(
  OR(ISBLANK(A1635),ISBLANK(C1635),ISBLANK(J1635)),"Missing Value",
  OR(C1635&lt;18,C1635&gt;120),"Review – Out of Range (Age)",
  J1635&lt;0,"Review – Out of Range (Risk Score)",
  TRUE,"OK"
)</f>
        <v>OK</v>
      </c>
    </row>
    <row r="1636" spans="1:12" ht="16.8" x14ac:dyDescent="0.3">
      <c r="A1636" s="11" t="s">
        <v>3322</v>
      </c>
      <c r="B1636" s="11" t="s">
        <v>3323</v>
      </c>
      <c r="C1636" s="11">
        <v>37</v>
      </c>
      <c r="D1636" s="11" t="s">
        <v>49</v>
      </c>
      <c r="E1636" s="11" t="s">
        <v>58</v>
      </c>
      <c r="F1636" s="11" t="s">
        <v>43</v>
      </c>
      <c r="G1636" s="11" t="s">
        <v>109</v>
      </c>
      <c r="H1636" s="11" t="s">
        <v>45</v>
      </c>
      <c r="I1636" s="11" t="s">
        <v>45</v>
      </c>
      <c r="J1636" s="11">
        <v>0.86</v>
      </c>
      <c r="K1636" s="12">
        <v>43645</v>
      </c>
      <c r="L1636" s="13" t="str" cm="1">
        <f t="array" ref="L1636">_xlfn.IFS(
  OR(ISBLANK(A1636),ISBLANK(C1636),ISBLANK(J1636)),"Missing Value",
  OR(C1636&lt;18,C1636&gt;120),"Review – Out of Range (Age)",
  J1636&lt;0,"Review – Out of Range (Risk Score)",
  TRUE,"OK"
)</f>
        <v>OK</v>
      </c>
    </row>
    <row r="1637" spans="1:12" ht="16.8" x14ac:dyDescent="0.3">
      <c r="A1637" s="14" t="s">
        <v>3324</v>
      </c>
      <c r="B1637" s="14" t="s">
        <v>3325</v>
      </c>
      <c r="C1637" s="14">
        <v>34</v>
      </c>
      <c r="D1637" s="14" t="s">
        <v>49</v>
      </c>
      <c r="E1637" s="14" t="s">
        <v>50</v>
      </c>
      <c r="F1637" s="14" t="s">
        <v>65</v>
      </c>
      <c r="G1637" s="14" t="s">
        <v>60</v>
      </c>
      <c r="H1637" s="14" t="s">
        <v>46</v>
      </c>
      <c r="I1637" s="14" t="s">
        <v>45</v>
      </c>
      <c r="J1637" s="14">
        <v>0.65</v>
      </c>
      <c r="K1637" s="15">
        <v>43973</v>
      </c>
      <c r="L1637" s="13" t="str" cm="1">
        <f t="array" ref="L1637">_xlfn.IFS(
  OR(ISBLANK(A1637),ISBLANK(C1637),ISBLANK(J1637)),"Missing Value",
  OR(C1637&lt;18,C1637&gt;120),"Review – Out of Range (Age)",
  J1637&lt;0,"Review – Out of Range (Risk Score)",
  TRUE,"OK"
)</f>
        <v>OK</v>
      </c>
    </row>
    <row r="1638" spans="1:12" ht="16.8" x14ac:dyDescent="0.3">
      <c r="A1638" s="11" t="s">
        <v>3326</v>
      </c>
      <c r="B1638" s="11" t="s">
        <v>3327</v>
      </c>
      <c r="C1638" s="11">
        <v>30</v>
      </c>
      <c r="D1638" s="11" t="s">
        <v>49</v>
      </c>
      <c r="E1638" s="11" t="s">
        <v>50</v>
      </c>
      <c r="F1638" s="11" t="s">
        <v>59</v>
      </c>
      <c r="G1638" s="11" t="s">
        <v>44</v>
      </c>
      <c r="H1638" s="11" t="s">
        <v>45</v>
      </c>
      <c r="I1638" s="11" t="s">
        <v>45</v>
      </c>
      <c r="J1638" s="11">
        <v>0.63</v>
      </c>
      <c r="K1638" s="12">
        <v>45210</v>
      </c>
      <c r="L1638" s="13" t="str" cm="1">
        <f t="array" ref="L1638">_xlfn.IFS(
  OR(ISBLANK(A1638),ISBLANK(C1638),ISBLANK(J1638)),"Missing Value",
  OR(C1638&lt;18,C1638&gt;120),"Review – Out of Range (Age)",
  J1638&lt;0,"Review – Out of Range (Risk Score)",
  TRUE,"OK"
)</f>
        <v>OK</v>
      </c>
    </row>
    <row r="1639" spans="1:12" ht="16.8" x14ac:dyDescent="0.3">
      <c r="A1639" s="14" t="s">
        <v>3328</v>
      </c>
      <c r="B1639" s="14" t="s">
        <v>3329</v>
      </c>
      <c r="C1639" s="14">
        <v>25</v>
      </c>
      <c r="D1639" s="14" t="s">
        <v>49</v>
      </c>
      <c r="E1639" s="14" t="s">
        <v>58</v>
      </c>
      <c r="F1639" s="14" t="s">
        <v>51</v>
      </c>
      <c r="G1639" s="14" t="s">
        <v>55</v>
      </c>
      <c r="H1639" s="14" t="s">
        <v>46</v>
      </c>
      <c r="I1639" s="14" t="s">
        <v>46</v>
      </c>
      <c r="J1639" s="14">
        <v>0.6</v>
      </c>
      <c r="K1639" s="15">
        <v>44261</v>
      </c>
      <c r="L1639" s="13" t="str" cm="1">
        <f t="array" ref="L1639">_xlfn.IFS(
  OR(ISBLANK(A1639),ISBLANK(C1639),ISBLANK(J1639)),"Missing Value",
  OR(C1639&lt;18,C1639&gt;120),"Review – Out of Range (Age)",
  J1639&lt;0,"Review – Out of Range (Risk Score)",
  TRUE,"OK"
)</f>
        <v>OK</v>
      </c>
    </row>
    <row r="1640" spans="1:12" ht="16.8" x14ac:dyDescent="0.3">
      <c r="A1640" s="11" t="s">
        <v>3330</v>
      </c>
      <c r="B1640" s="11" t="s">
        <v>3331</v>
      </c>
      <c r="C1640" s="11">
        <v>58</v>
      </c>
      <c r="D1640" s="11" t="s">
        <v>41</v>
      </c>
      <c r="E1640" s="11" t="s">
        <v>42</v>
      </c>
      <c r="F1640" s="11" t="s">
        <v>43</v>
      </c>
      <c r="G1640" s="11" t="s">
        <v>55</v>
      </c>
      <c r="H1640" s="11" t="s">
        <v>46</v>
      </c>
      <c r="I1640" s="11" t="s">
        <v>46</v>
      </c>
      <c r="J1640" s="11">
        <v>0.55000000000000004</v>
      </c>
      <c r="K1640" s="12">
        <v>43702</v>
      </c>
      <c r="L1640" s="13" t="str" cm="1">
        <f t="array" ref="L1640">_xlfn.IFS(
  OR(ISBLANK(A1640),ISBLANK(C1640),ISBLANK(J1640)),"Missing Value",
  OR(C1640&lt;18,C1640&gt;120),"Review – Out of Range (Age)",
  J1640&lt;0,"Review – Out of Range (Risk Score)",
  TRUE,"OK"
)</f>
        <v>OK</v>
      </c>
    </row>
    <row r="1641" spans="1:12" ht="16.8" x14ac:dyDescent="0.3">
      <c r="A1641" s="14" t="s">
        <v>3332</v>
      </c>
      <c r="B1641" s="14" t="s">
        <v>3333</v>
      </c>
      <c r="C1641" s="14">
        <v>67</v>
      </c>
      <c r="D1641" s="14" t="s">
        <v>49</v>
      </c>
      <c r="E1641" s="14" t="s">
        <v>50</v>
      </c>
      <c r="F1641" s="14" t="s">
        <v>43</v>
      </c>
      <c r="G1641" s="14" t="s">
        <v>60</v>
      </c>
      <c r="H1641" s="14" t="s">
        <v>45</v>
      </c>
      <c r="I1641" s="14" t="s">
        <v>46</v>
      </c>
      <c r="J1641" s="14">
        <v>0.35</v>
      </c>
      <c r="K1641" s="15">
        <v>45091</v>
      </c>
      <c r="L1641" s="13" t="str" cm="1">
        <f t="array" ref="L1641">_xlfn.IFS(
  OR(ISBLANK(A1641),ISBLANK(C1641),ISBLANK(J1641)),"Missing Value",
  OR(C1641&lt;18,C1641&gt;120),"Review – Out of Range (Age)",
  J1641&lt;0,"Review – Out of Range (Risk Score)",
  TRUE,"OK"
)</f>
        <v>OK</v>
      </c>
    </row>
    <row r="1642" spans="1:12" ht="16.8" x14ac:dyDescent="0.3">
      <c r="A1642" s="11" t="s">
        <v>3334</v>
      </c>
      <c r="B1642" s="11" t="s">
        <v>3335</v>
      </c>
      <c r="C1642" s="11">
        <v>56</v>
      </c>
      <c r="D1642" s="11" t="s">
        <v>41</v>
      </c>
      <c r="E1642" s="11" t="s">
        <v>58</v>
      </c>
      <c r="F1642" s="11" t="s">
        <v>51</v>
      </c>
      <c r="G1642" s="11" t="s">
        <v>60</v>
      </c>
      <c r="H1642" s="11" t="s">
        <v>46</v>
      </c>
      <c r="I1642" s="11" t="s">
        <v>46</v>
      </c>
      <c r="J1642" s="11">
        <v>0.33</v>
      </c>
      <c r="K1642" s="12">
        <v>44282</v>
      </c>
      <c r="L1642" s="13" t="str" cm="1">
        <f t="array" ref="L1642">_xlfn.IFS(
  OR(ISBLANK(A1642),ISBLANK(C1642),ISBLANK(J1642)),"Missing Value",
  OR(C1642&lt;18,C1642&gt;120),"Review – Out of Range (Age)",
  J1642&lt;0,"Review – Out of Range (Risk Score)",
  TRUE,"OK"
)</f>
        <v>OK</v>
      </c>
    </row>
    <row r="1643" spans="1:12" ht="16.8" x14ac:dyDescent="0.3">
      <c r="A1643" s="14" t="s">
        <v>3336</v>
      </c>
      <c r="B1643" s="14" t="s">
        <v>3337</v>
      </c>
      <c r="C1643" s="14">
        <v>65</v>
      </c>
      <c r="D1643" s="14" t="s">
        <v>49</v>
      </c>
      <c r="E1643" s="14" t="s">
        <v>58</v>
      </c>
      <c r="F1643" s="14" t="s">
        <v>65</v>
      </c>
      <c r="G1643" s="14" t="s">
        <v>55</v>
      </c>
      <c r="H1643" s="14" t="s">
        <v>45</v>
      </c>
      <c r="I1643" s="14" t="s">
        <v>46</v>
      </c>
      <c r="J1643" s="14">
        <v>0.49</v>
      </c>
      <c r="K1643" s="15">
        <v>44284</v>
      </c>
      <c r="L1643" s="13" t="str" cm="1">
        <f t="array" ref="L1643">_xlfn.IFS(
  OR(ISBLANK(A1643),ISBLANK(C1643),ISBLANK(J1643)),"Missing Value",
  OR(C1643&lt;18,C1643&gt;120),"Review – Out of Range (Age)",
  J1643&lt;0,"Review – Out of Range (Risk Score)",
  TRUE,"OK"
)</f>
        <v>OK</v>
      </c>
    </row>
    <row r="1644" spans="1:12" ht="16.8" x14ac:dyDescent="0.3">
      <c r="A1644" s="11" t="s">
        <v>3338</v>
      </c>
      <c r="B1644" s="11" t="s">
        <v>3339</v>
      </c>
      <c r="C1644" s="11">
        <v>41</v>
      </c>
      <c r="D1644" s="11" t="s">
        <v>41</v>
      </c>
      <c r="E1644" s="11" t="s">
        <v>50</v>
      </c>
      <c r="F1644" s="11" t="s">
        <v>51</v>
      </c>
      <c r="G1644" s="11" t="s">
        <v>60</v>
      </c>
      <c r="H1644" s="11" t="s">
        <v>45</v>
      </c>
      <c r="I1644" s="11" t="s">
        <v>45</v>
      </c>
      <c r="J1644" s="11">
        <v>0.08</v>
      </c>
      <c r="K1644" s="12">
        <v>44444</v>
      </c>
      <c r="L1644" s="13" t="str" cm="1">
        <f t="array" ref="L1644">_xlfn.IFS(
  OR(ISBLANK(A1644),ISBLANK(C1644),ISBLANK(J1644)),"Missing Value",
  OR(C1644&lt;18,C1644&gt;120),"Review – Out of Range (Age)",
  J1644&lt;0,"Review – Out of Range (Risk Score)",
  TRUE,"OK"
)</f>
        <v>OK</v>
      </c>
    </row>
    <row r="1645" spans="1:12" ht="16.8" x14ac:dyDescent="0.3">
      <c r="A1645" s="14" t="s">
        <v>3340</v>
      </c>
      <c r="B1645" s="14" t="s">
        <v>3341</v>
      </c>
      <c r="C1645" s="14">
        <v>31</v>
      </c>
      <c r="D1645" s="14" t="s">
        <v>41</v>
      </c>
      <c r="E1645" s="14" t="s">
        <v>58</v>
      </c>
      <c r="F1645" s="14" t="s">
        <v>59</v>
      </c>
      <c r="G1645" s="14" t="s">
        <v>60</v>
      </c>
      <c r="H1645" s="14" t="s">
        <v>45</v>
      </c>
      <c r="I1645" s="14" t="s">
        <v>46</v>
      </c>
      <c r="J1645" s="14">
        <v>0.55000000000000004</v>
      </c>
      <c r="K1645" s="15">
        <v>43391</v>
      </c>
      <c r="L1645" s="13" t="str" cm="1">
        <f t="array" ref="L1645">_xlfn.IFS(
  OR(ISBLANK(A1645),ISBLANK(C1645),ISBLANK(J1645)),"Missing Value",
  OR(C1645&lt;18,C1645&gt;120),"Review – Out of Range (Age)",
  J1645&lt;0,"Review – Out of Range (Risk Score)",
  TRUE,"OK"
)</f>
        <v>OK</v>
      </c>
    </row>
    <row r="1646" spans="1:12" ht="16.8" x14ac:dyDescent="0.3">
      <c r="A1646" s="11" t="s">
        <v>3342</v>
      </c>
      <c r="B1646" s="11" t="s">
        <v>3343</v>
      </c>
      <c r="C1646" s="11">
        <v>64</v>
      </c>
      <c r="D1646" s="11" t="s">
        <v>41</v>
      </c>
      <c r="E1646" s="11" t="s">
        <v>58</v>
      </c>
      <c r="F1646" s="11" t="s">
        <v>51</v>
      </c>
      <c r="G1646" s="11" t="s">
        <v>60</v>
      </c>
      <c r="H1646" s="11" t="s">
        <v>46</v>
      </c>
      <c r="I1646" s="11" t="s">
        <v>46</v>
      </c>
      <c r="J1646" s="11">
        <v>0.15</v>
      </c>
      <c r="K1646" s="12">
        <v>45085</v>
      </c>
      <c r="L1646" s="13" t="str" cm="1">
        <f t="array" ref="L1646">_xlfn.IFS(
  OR(ISBLANK(A1646),ISBLANK(C1646),ISBLANK(J1646)),"Missing Value",
  OR(C1646&lt;18,C1646&gt;120),"Review – Out of Range (Age)",
  J1646&lt;0,"Review – Out of Range (Risk Score)",
  TRUE,"OK"
)</f>
        <v>OK</v>
      </c>
    </row>
    <row r="1647" spans="1:12" ht="16.8" x14ac:dyDescent="0.3">
      <c r="A1647" s="14" t="s">
        <v>3344</v>
      </c>
      <c r="B1647" s="14" t="s">
        <v>3345</v>
      </c>
      <c r="C1647" s="14">
        <v>22</v>
      </c>
      <c r="D1647" s="14" t="s">
        <v>49</v>
      </c>
      <c r="E1647" s="14" t="s">
        <v>58</v>
      </c>
      <c r="F1647" s="14" t="s">
        <v>65</v>
      </c>
      <c r="G1647" s="14" t="s">
        <v>55</v>
      </c>
      <c r="H1647" s="14" t="s">
        <v>46</v>
      </c>
      <c r="I1647" s="14" t="s">
        <v>45</v>
      </c>
      <c r="J1647" s="14">
        <v>0.66</v>
      </c>
      <c r="K1647" s="15">
        <v>43326</v>
      </c>
      <c r="L1647" s="13" t="str" cm="1">
        <f t="array" ref="L1647">_xlfn.IFS(
  OR(ISBLANK(A1647),ISBLANK(C1647),ISBLANK(J1647)),"Missing Value",
  OR(C1647&lt;18,C1647&gt;120),"Review – Out of Range (Age)",
  J1647&lt;0,"Review – Out of Range (Risk Score)",
  TRUE,"OK"
)</f>
        <v>OK</v>
      </c>
    </row>
    <row r="1648" spans="1:12" ht="16.8" x14ac:dyDescent="0.3">
      <c r="A1648" s="11" t="s">
        <v>3346</v>
      </c>
      <c r="B1648" s="11" t="s">
        <v>3347</v>
      </c>
      <c r="C1648" s="11">
        <v>21</v>
      </c>
      <c r="D1648" s="11" t="s">
        <v>41</v>
      </c>
      <c r="E1648" s="11" t="s">
        <v>50</v>
      </c>
      <c r="F1648" s="11" t="s">
        <v>59</v>
      </c>
      <c r="G1648" s="11" t="s">
        <v>60</v>
      </c>
      <c r="H1648" s="11" t="s">
        <v>45</v>
      </c>
      <c r="I1648" s="11" t="s">
        <v>45</v>
      </c>
      <c r="J1648" s="11">
        <v>1</v>
      </c>
      <c r="K1648" s="12">
        <v>44662</v>
      </c>
      <c r="L1648" s="13" t="str" cm="1">
        <f t="array" ref="L1648">_xlfn.IFS(
  OR(ISBLANK(A1648),ISBLANK(C1648),ISBLANK(J1648)),"Missing Value",
  OR(C1648&lt;18,C1648&gt;120),"Review – Out of Range (Age)",
  J1648&lt;0,"Review – Out of Range (Risk Score)",
  TRUE,"OK"
)</f>
        <v>OK</v>
      </c>
    </row>
    <row r="1649" spans="1:12" ht="16.8" x14ac:dyDescent="0.3">
      <c r="A1649" s="14" t="s">
        <v>3348</v>
      </c>
      <c r="B1649" s="14" t="s">
        <v>3349</v>
      </c>
      <c r="C1649" s="14">
        <v>34</v>
      </c>
      <c r="D1649" s="14" t="s">
        <v>49</v>
      </c>
      <c r="E1649" s="14" t="s">
        <v>42</v>
      </c>
      <c r="F1649" s="14" t="s">
        <v>43</v>
      </c>
      <c r="G1649" s="14" t="s">
        <v>55</v>
      </c>
      <c r="H1649" s="14" t="s">
        <v>46</v>
      </c>
      <c r="I1649" s="14" t="s">
        <v>45</v>
      </c>
      <c r="J1649" s="14">
        <v>0.47</v>
      </c>
      <c r="K1649" s="15">
        <v>43356</v>
      </c>
      <c r="L1649" s="13" t="str" cm="1">
        <f t="array" ref="L1649">_xlfn.IFS(
  OR(ISBLANK(A1649),ISBLANK(C1649),ISBLANK(J1649)),"Missing Value",
  OR(C1649&lt;18,C1649&gt;120),"Review – Out of Range (Age)",
  J1649&lt;0,"Review – Out of Range (Risk Score)",
  TRUE,"OK"
)</f>
        <v>OK</v>
      </c>
    </row>
  </sheetData>
  <autoFilter ref="A1:L1649" xr:uid="{00000000-0009-0000-0000-000002000000}"/>
  <conditionalFormatting sqref="A2:B1649">
    <cfRule type="cellIs" dxfId="36" priority="10" operator="equal">
      <formula>""</formula>
    </cfRule>
  </conditionalFormatting>
  <conditionalFormatting sqref="C2:C1649">
    <cfRule type="expression" dxfId="35" priority="11">
      <formula>OR(C2&lt;18, C2&gt;120)</formula>
    </cfRule>
  </conditionalFormatting>
  <conditionalFormatting sqref="J2:J1649">
    <cfRule type="expression" dxfId="34" priority="12">
      <formula>J2&lt;0</formula>
    </cfRule>
  </conditionalFormatting>
  <conditionalFormatting sqref="L2:L1649">
    <cfRule type="expression" dxfId="33" priority="6">
      <formula>L2="OK"</formula>
    </cfRule>
    <cfRule type="expression" dxfId="32" priority="7">
      <formula>ISNUMBER(SEARCH("Review", L2))</formula>
    </cfRule>
    <cfRule type="expression" dxfId="31" priority="8">
      <formula>ISNUMBER(SEARCH("Missing", L2))</formula>
    </cfRule>
    <cfRule type="expression" dxfId="30" priority="9">
      <formula>ISNUMBER(SEARCH("Retained", L2))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C1"/>
  </sheetPr>
  <dimension ref="A1:J2829"/>
  <sheetViews>
    <sheetView showGridLines="0" workbookViewId="0">
      <pane ySplit="1" topLeftCell="A17" activePane="bottomLeft" state="frozen"/>
      <selection pane="bottomLeft" activeCell="J2" sqref="J2:J2829"/>
    </sheetView>
  </sheetViews>
  <sheetFormatPr defaultRowHeight="14.4" x14ac:dyDescent="0.3"/>
  <cols>
    <col min="1" max="1" width="12" bestFit="1" customWidth="1"/>
    <col min="2" max="2" width="14" bestFit="1" customWidth="1"/>
    <col min="3" max="3" width="15" bestFit="1" customWidth="1"/>
    <col min="4" max="4" width="18" bestFit="1" customWidth="1"/>
    <col min="5" max="5" width="17" bestFit="1" customWidth="1"/>
    <col min="6" max="7" width="22" bestFit="1" customWidth="1"/>
    <col min="8" max="8" width="11" bestFit="1" customWidth="1"/>
    <col min="9" max="9" width="12" bestFit="1" customWidth="1"/>
    <col min="10" max="10" width="20.77734375" customWidth="1"/>
  </cols>
  <sheetData>
    <row r="1" spans="1:10" ht="22.05" customHeight="1" x14ac:dyDescent="0.3">
      <c r="A1" s="10" t="s">
        <v>3350</v>
      </c>
      <c r="B1" s="10" t="s">
        <v>27</v>
      </c>
      <c r="C1" s="10" t="s">
        <v>3351</v>
      </c>
      <c r="D1" s="10" t="s">
        <v>3352</v>
      </c>
      <c r="E1" s="10" t="s">
        <v>3353</v>
      </c>
      <c r="F1" s="10" t="s">
        <v>3354</v>
      </c>
      <c r="G1" s="10" t="s">
        <v>3355</v>
      </c>
      <c r="H1" s="10" t="s">
        <v>3356</v>
      </c>
      <c r="I1" s="10" t="s">
        <v>3357</v>
      </c>
      <c r="J1" s="10" t="s">
        <v>38</v>
      </c>
    </row>
    <row r="2" spans="1:10" ht="16.8" x14ac:dyDescent="0.3">
      <c r="A2" s="11" t="s">
        <v>3358</v>
      </c>
      <c r="B2" s="11" t="s">
        <v>1125</v>
      </c>
      <c r="C2" s="11" t="s">
        <v>3359</v>
      </c>
      <c r="D2" s="11">
        <v>169869.71</v>
      </c>
      <c r="E2" s="11">
        <v>27193.94</v>
      </c>
      <c r="F2" s="12">
        <v>44402</v>
      </c>
      <c r="G2" s="12">
        <v>44859</v>
      </c>
      <c r="H2" s="11" t="s">
        <v>3360</v>
      </c>
      <c r="I2" s="11" t="s">
        <v>3361</v>
      </c>
      <c r="J2" s="13" t="str" cm="1">
        <f t="array" ref="J2">_xlfn.IFS(
  OR(ISBLANK(A2),ISBLANK(B2),ISBLANK(H2),ISBLANK(D2),ISBLANK(E2)),"Missing Value",
  D2&lt;=0,"Review – Out of Range (Coverage)",
  E2&lt;=0,"Review – Out of Range (Premium)",
  TRUE,"OK"
)</f>
        <v>OK</v>
      </c>
    </row>
    <row r="3" spans="1:10" ht="16.8" x14ac:dyDescent="0.3">
      <c r="A3" s="14" t="s">
        <v>3362</v>
      </c>
      <c r="B3" s="14" t="s">
        <v>2403</v>
      </c>
      <c r="C3" s="14" t="s">
        <v>3363</v>
      </c>
      <c r="D3" s="14">
        <v>546514.84</v>
      </c>
      <c r="E3" s="14">
        <v>19603.439999999999</v>
      </c>
      <c r="F3" s="15">
        <v>44823</v>
      </c>
      <c r="G3" s="15">
        <v>45411</v>
      </c>
      <c r="H3" s="14" t="s">
        <v>3364</v>
      </c>
      <c r="I3" s="14" t="s">
        <v>3365</v>
      </c>
      <c r="J3" s="13" t="str" cm="1">
        <f t="array" ref="J3">_xlfn.IFS(
  OR(ISBLANK(A3),ISBLANK(B3),ISBLANK(H3),ISBLANK(D3),ISBLANK(E3)),"Missing Value",
  D3&lt;=0,"Review – Out of Range (Coverage)",
  E3&lt;=0,"Review – Out of Range (Premium)",
  TRUE,"OK"
)</f>
        <v>OK</v>
      </c>
    </row>
    <row r="4" spans="1:10" ht="16.8" x14ac:dyDescent="0.3">
      <c r="A4" s="11" t="s">
        <v>3366</v>
      </c>
      <c r="B4" s="11" t="s">
        <v>695</v>
      </c>
      <c r="C4" s="11" t="s">
        <v>3359</v>
      </c>
      <c r="D4" s="11">
        <v>944249.15</v>
      </c>
      <c r="E4" s="11">
        <v>36274.58</v>
      </c>
      <c r="F4" s="12">
        <v>44903</v>
      </c>
      <c r="G4" s="12">
        <v>45770</v>
      </c>
      <c r="H4" s="11" t="s">
        <v>3367</v>
      </c>
      <c r="I4" s="11" t="s">
        <v>3365</v>
      </c>
      <c r="J4" s="13" t="str" cm="1">
        <f t="array" ref="J4">_xlfn.IFS(
  OR(ISBLANK(A4),ISBLANK(B4),ISBLANK(H4),ISBLANK(D4),ISBLANK(E4)),"Missing Value",
  D4&lt;=0,"Review – Out of Range (Coverage)",
  E4&lt;=0,"Review – Out of Range (Premium)",
  TRUE,"OK"
)</f>
        <v>OK</v>
      </c>
    </row>
    <row r="5" spans="1:10" ht="16.8" x14ac:dyDescent="0.3">
      <c r="A5" s="14" t="s">
        <v>3368</v>
      </c>
      <c r="B5" s="14" t="s">
        <v>498</v>
      </c>
      <c r="C5" s="14" t="s">
        <v>3359</v>
      </c>
      <c r="D5" s="14">
        <v>209475.32</v>
      </c>
      <c r="E5" s="14">
        <v>23091.58</v>
      </c>
      <c r="F5" s="15">
        <v>45391</v>
      </c>
      <c r="G5" s="15">
        <v>45493</v>
      </c>
      <c r="H5" s="14" t="s">
        <v>3369</v>
      </c>
      <c r="I5" s="14" t="s">
        <v>3361</v>
      </c>
      <c r="J5" s="13" t="str" cm="1">
        <f t="array" ref="J5">_xlfn.IFS(
  OR(ISBLANK(A5),ISBLANK(B5),ISBLANK(H5),ISBLANK(D5),ISBLANK(E5)),"Missing Value",
  D5&lt;=0,"Review – Out of Range (Coverage)",
  E5&lt;=0,"Review – Out of Range (Premium)",
  TRUE,"OK"
)</f>
        <v>OK</v>
      </c>
    </row>
    <row r="6" spans="1:10" ht="16.8" x14ac:dyDescent="0.3">
      <c r="A6" s="11" t="s">
        <v>3370</v>
      </c>
      <c r="B6" s="11" t="s">
        <v>3094</v>
      </c>
      <c r="C6" s="11" t="s">
        <v>3371</v>
      </c>
      <c r="D6" s="11">
        <v>887938.35</v>
      </c>
      <c r="E6" s="11">
        <v>10458.219999999999</v>
      </c>
      <c r="F6" s="12">
        <v>44842</v>
      </c>
      <c r="G6" s="12">
        <v>45638</v>
      </c>
      <c r="H6" s="11" t="s">
        <v>3372</v>
      </c>
      <c r="I6" s="11" t="s">
        <v>3373</v>
      </c>
      <c r="J6" s="13" t="str" cm="1">
        <f t="array" ref="J6">_xlfn.IFS(
  OR(ISBLANK(A6),ISBLANK(B6),ISBLANK(H6),ISBLANK(D6),ISBLANK(E6)),"Missing Value",
  D6&lt;=0,"Review – Out of Range (Coverage)",
  E6&lt;=0,"Review – Out of Range (Premium)",
  TRUE,"OK"
)</f>
        <v>OK</v>
      </c>
    </row>
    <row r="7" spans="1:10" ht="16.8" x14ac:dyDescent="0.3">
      <c r="A7" s="14" t="s">
        <v>3374</v>
      </c>
      <c r="B7" s="14" t="s">
        <v>380</v>
      </c>
      <c r="C7" s="14" t="s">
        <v>3363</v>
      </c>
      <c r="D7" s="14">
        <v>979428.37</v>
      </c>
      <c r="E7" s="14">
        <v>4539.3500000000004</v>
      </c>
      <c r="F7" s="15">
        <v>44374</v>
      </c>
      <c r="G7" s="15">
        <v>44416</v>
      </c>
      <c r="H7" s="14" t="s">
        <v>3375</v>
      </c>
      <c r="I7" s="14" t="s">
        <v>3365</v>
      </c>
      <c r="J7" s="13" t="str" cm="1">
        <f t="array" ref="J7">_xlfn.IFS(
  OR(ISBLANK(A7),ISBLANK(B7),ISBLANK(H7),ISBLANK(D7),ISBLANK(E7)),"Missing Value",
  D7&lt;=0,"Review – Out of Range (Coverage)",
  E7&lt;=0,"Review – Out of Range (Premium)",
  TRUE,"OK"
)</f>
        <v>OK</v>
      </c>
    </row>
    <row r="8" spans="1:10" ht="16.8" x14ac:dyDescent="0.3">
      <c r="A8" s="11" t="s">
        <v>3376</v>
      </c>
      <c r="B8" s="11" t="s">
        <v>837</v>
      </c>
      <c r="C8" s="11" t="s">
        <v>3377</v>
      </c>
      <c r="D8" s="11">
        <v>541181.31000000006</v>
      </c>
      <c r="E8" s="11">
        <v>45441.66</v>
      </c>
      <c r="F8" s="12">
        <v>44827</v>
      </c>
      <c r="G8" s="12">
        <v>45331</v>
      </c>
      <c r="H8" s="11" t="s">
        <v>3378</v>
      </c>
      <c r="I8" s="11" t="s">
        <v>3373</v>
      </c>
      <c r="J8" s="13" t="str" cm="1">
        <f t="array" ref="J8">_xlfn.IFS(
  OR(ISBLANK(A8),ISBLANK(B8),ISBLANK(H8),ISBLANK(D8),ISBLANK(E8)),"Missing Value",
  D8&lt;=0,"Review – Out of Range (Coverage)",
  E8&lt;=0,"Review – Out of Range (Premium)",
  TRUE,"OK"
)</f>
        <v>OK</v>
      </c>
    </row>
    <row r="9" spans="1:10" ht="16.8" x14ac:dyDescent="0.3">
      <c r="A9" s="14" t="s">
        <v>3379</v>
      </c>
      <c r="B9" s="14" t="s">
        <v>432</v>
      </c>
      <c r="C9" s="14" t="s">
        <v>3380</v>
      </c>
      <c r="D9" s="14">
        <v>971674.8</v>
      </c>
      <c r="E9" s="14">
        <v>48214.239999999998</v>
      </c>
      <c r="F9" s="15">
        <v>44918</v>
      </c>
      <c r="G9" s="15">
        <v>45524</v>
      </c>
      <c r="H9" s="14" t="s">
        <v>3381</v>
      </c>
      <c r="I9" s="14" t="s">
        <v>3361</v>
      </c>
      <c r="J9" s="13" t="str" cm="1">
        <f t="array" ref="J9">_xlfn.IFS(
  OR(ISBLANK(A9),ISBLANK(B9),ISBLANK(H9),ISBLANK(D9),ISBLANK(E9)),"Missing Value",
  D9&lt;=0,"Review – Out of Range (Coverage)",
  E9&lt;=0,"Review – Out of Range (Premium)",
  TRUE,"OK"
)</f>
        <v>OK</v>
      </c>
    </row>
    <row r="10" spans="1:10" ht="16.8" x14ac:dyDescent="0.3">
      <c r="A10" s="11" t="s">
        <v>3382</v>
      </c>
      <c r="B10" s="11" t="s">
        <v>1853</v>
      </c>
      <c r="C10" s="11" t="s">
        <v>3359</v>
      </c>
      <c r="D10" s="11">
        <v>130539.69</v>
      </c>
      <c r="E10" s="11">
        <v>3511.69</v>
      </c>
      <c r="F10" s="12">
        <v>45268</v>
      </c>
      <c r="G10" s="12">
        <v>45724</v>
      </c>
      <c r="H10" s="11" t="s">
        <v>3383</v>
      </c>
      <c r="I10" s="11" t="s">
        <v>3373</v>
      </c>
      <c r="J10" s="13" t="str" cm="1">
        <f t="array" ref="J10">_xlfn.IFS(
  OR(ISBLANK(A10),ISBLANK(B10),ISBLANK(H10),ISBLANK(D10),ISBLANK(E10)),"Missing Value",
  D10&lt;=0,"Review – Out of Range (Coverage)",
  E10&lt;=0,"Review – Out of Range (Premium)",
  TRUE,"OK"
)</f>
        <v>OK</v>
      </c>
    </row>
    <row r="11" spans="1:10" ht="16.8" x14ac:dyDescent="0.3">
      <c r="A11" s="14" t="s">
        <v>3384</v>
      </c>
      <c r="B11" s="14" t="s">
        <v>553</v>
      </c>
      <c r="C11" s="14" t="s">
        <v>3363</v>
      </c>
      <c r="D11" s="14">
        <v>131152.57999999999</v>
      </c>
      <c r="E11" s="14">
        <v>9900.2999999999993</v>
      </c>
      <c r="F11" s="15">
        <v>44879</v>
      </c>
      <c r="G11" s="15">
        <v>45057</v>
      </c>
      <c r="H11" s="14" t="s">
        <v>3385</v>
      </c>
      <c r="I11" s="14" t="s">
        <v>3361</v>
      </c>
      <c r="J11" s="13" t="str" cm="1">
        <f t="array" ref="J11">_xlfn.IFS(
  OR(ISBLANK(A11),ISBLANK(B11),ISBLANK(H11),ISBLANK(D11),ISBLANK(E11)),"Missing Value",
  D11&lt;=0,"Review – Out of Range (Coverage)",
  E11&lt;=0,"Review – Out of Range (Premium)",
  TRUE,"OK"
)</f>
        <v>OK</v>
      </c>
    </row>
    <row r="12" spans="1:10" ht="16.8" x14ac:dyDescent="0.3">
      <c r="A12" s="11" t="s">
        <v>3386</v>
      </c>
      <c r="B12" s="11" t="s">
        <v>2035</v>
      </c>
      <c r="C12" s="11" t="s">
        <v>3377</v>
      </c>
      <c r="D12" s="11">
        <v>815756.62</v>
      </c>
      <c r="E12" s="11">
        <v>44472.07</v>
      </c>
      <c r="F12" s="12">
        <v>45428</v>
      </c>
      <c r="G12" s="12">
        <v>45767</v>
      </c>
      <c r="H12" s="11" t="s">
        <v>3387</v>
      </c>
      <c r="I12" s="11" t="s">
        <v>3361</v>
      </c>
      <c r="J12" s="13" t="str" cm="1">
        <f t="array" ref="J12">_xlfn.IFS(
  OR(ISBLANK(A12),ISBLANK(B12),ISBLANK(H12),ISBLANK(D12),ISBLANK(E12)),"Missing Value",
  D12&lt;=0,"Review – Out of Range (Coverage)",
  E12&lt;=0,"Review – Out of Range (Premium)",
  TRUE,"OK"
)</f>
        <v>OK</v>
      </c>
    </row>
    <row r="13" spans="1:10" ht="16.8" x14ac:dyDescent="0.3">
      <c r="A13" s="14" t="s">
        <v>3388</v>
      </c>
      <c r="B13" s="14" t="s">
        <v>1519</v>
      </c>
      <c r="C13" s="14" t="s">
        <v>3380</v>
      </c>
      <c r="D13" s="14">
        <v>547913.87</v>
      </c>
      <c r="E13" s="14">
        <v>39658.449999999997</v>
      </c>
      <c r="F13" s="15">
        <v>45069</v>
      </c>
      <c r="G13" s="15">
        <v>45822</v>
      </c>
      <c r="H13" s="14" t="s">
        <v>3389</v>
      </c>
      <c r="I13" s="14" t="s">
        <v>3361</v>
      </c>
      <c r="J13" s="13" t="str" cm="1">
        <f t="array" ref="J13">_xlfn.IFS(
  OR(ISBLANK(A13),ISBLANK(B13),ISBLANK(H13),ISBLANK(D13),ISBLANK(E13)),"Missing Value",
  D13&lt;=0,"Review – Out of Range (Coverage)",
  E13&lt;=0,"Review – Out of Range (Premium)",
  TRUE,"OK"
)</f>
        <v>OK</v>
      </c>
    </row>
    <row r="14" spans="1:10" ht="16.8" x14ac:dyDescent="0.3">
      <c r="A14" s="11" t="s">
        <v>3390</v>
      </c>
      <c r="B14" s="11" t="s">
        <v>665</v>
      </c>
      <c r="C14" s="11" t="s">
        <v>3359</v>
      </c>
      <c r="D14" s="11">
        <v>907020.3</v>
      </c>
      <c r="E14" s="11">
        <v>6462.12</v>
      </c>
      <c r="F14" s="12">
        <v>44742</v>
      </c>
      <c r="G14" s="12">
        <v>44806</v>
      </c>
      <c r="H14" s="11" t="s">
        <v>3391</v>
      </c>
      <c r="I14" s="11" t="s">
        <v>3365</v>
      </c>
      <c r="J14" s="13" t="str" cm="1">
        <f t="array" ref="J14">_xlfn.IFS(
  OR(ISBLANK(A14),ISBLANK(B14),ISBLANK(H14),ISBLANK(D14),ISBLANK(E14)),"Missing Value",
  D14&lt;=0,"Review – Out of Range (Coverage)",
  E14&lt;=0,"Review – Out of Range (Premium)",
  TRUE,"OK"
)</f>
        <v>OK</v>
      </c>
    </row>
    <row r="15" spans="1:10" ht="16.8" x14ac:dyDescent="0.3">
      <c r="A15" s="14" t="s">
        <v>3392</v>
      </c>
      <c r="B15" s="14" t="s">
        <v>1435</v>
      </c>
      <c r="C15" s="14" t="s">
        <v>3377</v>
      </c>
      <c r="D15" s="14">
        <v>586344.32999999996</v>
      </c>
      <c r="E15" s="14">
        <v>45327.69</v>
      </c>
      <c r="F15" s="15">
        <v>44518</v>
      </c>
      <c r="G15" s="15">
        <v>44818</v>
      </c>
      <c r="H15" s="14" t="s">
        <v>3393</v>
      </c>
      <c r="I15" s="14" t="s">
        <v>3365</v>
      </c>
      <c r="J15" s="13" t="str" cm="1">
        <f t="array" ref="J15">_xlfn.IFS(
  OR(ISBLANK(A15),ISBLANK(B15),ISBLANK(H15),ISBLANK(D15),ISBLANK(E15)),"Missing Value",
  D15&lt;=0,"Review – Out of Range (Coverage)",
  E15&lt;=0,"Review – Out of Range (Premium)",
  TRUE,"OK"
)</f>
        <v>OK</v>
      </c>
    </row>
    <row r="16" spans="1:10" ht="16.8" x14ac:dyDescent="0.3">
      <c r="A16" s="11" t="s">
        <v>3394</v>
      </c>
      <c r="B16" s="11" t="s">
        <v>815</v>
      </c>
      <c r="C16" s="11" t="s">
        <v>3380</v>
      </c>
      <c r="D16" s="11">
        <v>275989.03000000003</v>
      </c>
      <c r="E16" s="11">
        <v>37887.11</v>
      </c>
      <c r="F16" s="12">
        <v>44131</v>
      </c>
      <c r="G16" s="12">
        <v>45704</v>
      </c>
      <c r="H16" s="11" t="s">
        <v>3395</v>
      </c>
      <c r="I16" s="11" t="s">
        <v>3365</v>
      </c>
      <c r="J16" s="13" t="str" cm="1">
        <f t="array" ref="J16">_xlfn.IFS(
  OR(ISBLANK(A16),ISBLANK(B16),ISBLANK(H16),ISBLANK(D16),ISBLANK(E16)),"Missing Value",
  D16&lt;=0,"Review – Out of Range (Coverage)",
  E16&lt;=0,"Review – Out of Range (Premium)",
  TRUE,"OK"
)</f>
        <v>OK</v>
      </c>
    </row>
    <row r="17" spans="1:10" ht="16.8" x14ac:dyDescent="0.3">
      <c r="A17" s="14" t="s">
        <v>3396</v>
      </c>
      <c r="B17" s="14" t="s">
        <v>1833</v>
      </c>
      <c r="C17" s="14" t="s">
        <v>3359</v>
      </c>
      <c r="D17" s="14">
        <v>384698.44</v>
      </c>
      <c r="E17" s="14">
        <v>49184.02</v>
      </c>
      <c r="F17" s="15">
        <v>44109</v>
      </c>
      <c r="G17" s="15">
        <v>45412</v>
      </c>
      <c r="H17" s="14" t="s">
        <v>3397</v>
      </c>
      <c r="I17" s="14" t="s">
        <v>3365</v>
      </c>
      <c r="J17" s="13" t="str" cm="1">
        <f t="array" ref="J17">_xlfn.IFS(
  OR(ISBLANK(A17),ISBLANK(B17),ISBLANK(H17),ISBLANK(D17),ISBLANK(E17)),"Missing Value",
  D17&lt;=0,"Review – Out of Range (Coverage)",
  E17&lt;=0,"Review – Out of Range (Premium)",
  TRUE,"OK"
)</f>
        <v>OK</v>
      </c>
    </row>
    <row r="18" spans="1:10" ht="16.8" x14ac:dyDescent="0.3">
      <c r="A18" s="11" t="s">
        <v>3398</v>
      </c>
      <c r="B18" s="11" t="s">
        <v>150</v>
      </c>
      <c r="C18" s="11" t="s">
        <v>3380</v>
      </c>
      <c r="D18" s="11">
        <v>434043.09</v>
      </c>
      <c r="E18" s="11">
        <v>37396.879999999997</v>
      </c>
      <c r="F18" s="12">
        <v>45038</v>
      </c>
      <c r="G18" s="12">
        <v>45516</v>
      </c>
      <c r="H18" s="11" t="s">
        <v>3399</v>
      </c>
      <c r="I18" s="11" t="s">
        <v>3365</v>
      </c>
      <c r="J18" s="13" t="str" cm="1">
        <f t="array" ref="J18">_xlfn.IFS(
  OR(ISBLANK(A18),ISBLANK(B18),ISBLANK(H18),ISBLANK(D18),ISBLANK(E18)),"Missing Value",
  D18&lt;=0,"Review – Out of Range (Coverage)",
  E18&lt;=0,"Review – Out of Range (Premium)",
  TRUE,"OK"
)</f>
        <v>OK</v>
      </c>
    </row>
    <row r="19" spans="1:10" ht="16.8" x14ac:dyDescent="0.3">
      <c r="A19" s="14" t="s">
        <v>3400</v>
      </c>
      <c r="B19" s="14" t="s">
        <v>1267</v>
      </c>
      <c r="C19" s="14" t="s">
        <v>3380</v>
      </c>
      <c r="D19" s="14">
        <v>353023.28</v>
      </c>
      <c r="E19" s="14">
        <v>18602.78</v>
      </c>
      <c r="F19" s="15">
        <v>45481</v>
      </c>
      <c r="G19" s="15">
        <v>45634</v>
      </c>
      <c r="H19" s="14" t="s">
        <v>3401</v>
      </c>
      <c r="I19" s="14" t="s">
        <v>3361</v>
      </c>
      <c r="J19" s="13" t="str" cm="1">
        <f t="array" ref="J19">_xlfn.IFS(
  OR(ISBLANK(A19),ISBLANK(B19),ISBLANK(H19),ISBLANK(D19),ISBLANK(E19)),"Missing Value",
  D19&lt;=0,"Review – Out of Range (Coverage)",
  E19&lt;=0,"Review – Out of Range (Premium)",
  TRUE,"OK"
)</f>
        <v>OK</v>
      </c>
    </row>
    <row r="20" spans="1:10" ht="16.8" x14ac:dyDescent="0.3">
      <c r="A20" s="11" t="s">
        <v>3402</v>
      </c>
      <c r="B20" s="11" t="s">
        <v>2827</v>
      </c>
      <c r="C20" s="11" t="s">
        <v>3371</v>
      </c>
      <c r="D20" s="11">
        <v>719070.45</v>
      </c>
      <c r="E20" s="11">
        <v>14093.71</v>
      </c>
      <c r="F20" s="12">
        <v>44115</v>
      </c>
      <c r="G20" s="12">
        <v>45562</v>
      </c>
      <c r="H20" s="11" t="s">
        <v>3403</v>
      </c>
      <c r="I20" s="11" t="s">
        <v>3365</v>
      </c>
      <c r="J20" s="13" t="str" cm="1">
        <f t="array" ref="J20">_xlfn.IFS(
  OR(ISBLANK(A20),ISBLANK(B20),ISBLANK(H20),ISBLANK(D20),ISBLANK(E20)),"Missing Value",
  D20&lt;=0,"Review – Out of Range (Coverage)",
  E20&lt;=0,"Review – Out of Range (Premium)",
  TRUE,"OK"
)</f>
        <v>OK</v>
      </c>
    </row>
    <row r="21" spans="1:10" ht="16.8" x14ac:dyDescent="0.3">
      <c r="A21" s="14" t="s">
        <v>3404</v>
      </c>
      <c r="B21" s="14" t="s">
        <v>2693</v>
      </c>
      <c r="C21" s="14" t="s">
        <v>3359</v>
      </c>
      <c r="D21" s="14">
        <v>840587.82</v>
      </c>
      <c r="E21" s="14">
        <v>35314.17</v>
      </c>
      <c r="F21" s="15">
        <v>44525</v>
      </c>
      <c r="G21" s="15">
        <v>45125</v>
      </c>
      <c r="H21" s="14" t="s">
        <v>3405</v>
      </c>
      <c r="I21" s="14" t="s">
        <v>3373</v>
      </c>
      <c r="J21" s="13" t="str" cm="1">
        <f t="array" ref="J21">_xlfn.IFS(
  OR(ISBLANK(A21),ISBLANK(B21),ISBLANK(H21),ISBLANK(D21),ISBLANK(E21)),"Missing Value",
  D21&lt;=0,"Review – Out of Range (Coverage)",
  E21&lt;=0,"Review – Out of Range (Premium)",
  TRUE,"OK"
)</f>
        <v>OK</v>
      </c>
    </row>
    <row r="22" spans="1:10" ht="16.8" x14ac:dyDescent="0.3">
      <c r="A22" s="11" t="s">
        <v>3406</v>
      </c>
      <c r="B22" s="11" t="s">
        <v>2893</v>
      </c>
      <c r="C22" s="11" t="s">
        <v>3363</v>
      </c>
      <c r="D22" s="11">
        <v>582715.81000000006</v>
      </c>
      <c r="E22" s="11">
        <v>39794.25</v>
      </c>
      <c r="F22" s="12">
        <v>44932</v>
      </c>
      <c r="G22" s="12">
        <v>45668</v>
      </c>
      <c r="H22" s="11" t="s">
        <v>3407</v>
      </c>
      <c r="I22" s="11" t="s">
        <v>3361</v>
      </c>
      <c r="J22" s="13" t="str" cm="1">
        <f t="array" ref="J22">_xlfn.IFS(
  OR(ISBLANK(A22),ISBLANK(B22),ISBLANK(H22),ISBLANK(D22),ISBLANK(E22)),"Missing Value",
  D22&lt;=0,"Review – Out of Range (Coverage)",
  E22&lt;=0,"Review – Out of Range (Premium)",
  TRUE,"OK"
)</f>
        <v>OK</v>
      </c>
    </row>
    <row r="23" spans="1:10" ht="16.8" x14ac:dyDescent="0.3">
      <c r="A23" s="14" t="s">
        <v>3408</v>
      </c>
      <c r="B23" s="14" t="s">
        <v>1827</v>
      </c>
      <c r="C23" s="14" t="s">
        <v>3380</v>
      </c>
      <c r="D23" s="14">
        <v>163824.38</v>
      </c>
      <c r="E23" s="14">
        <v>33285.65</v>
      </c>
      <c r="F23" s="15">
        <v>45099</v>
      </c>
      <c r="G23" s="15">
        <v>45600</v>
      </c>
      <c r="H23" s="14" t="s">
        <v>3409</v>
      </c>
      <c r="I23" s="14" t="s">
        <v>3373</v>
      </c>
      <c r="J23" s="13" t="str" cm="1">
        <f t="array" ref="J23">_xlfn.IFS(
  OR(ISBLANK(A23),ISBLANK(B23),ISBLANK(H23),ISBLANK(D23),ISBLANK(E23)),"Missing Value",
  D23&lt;=0,"Review – Out of Range (Coverage)",
  E23&lt;=0,"Review – Out of Range (Premium)",
  TRUE,"OK"
)</f>
        <v>OK</v>
      </c>
    </row>
    <row r="24" spans="1:10" ht="16.8" x14ac:dyDescent="0.3">
      <c r="A24" s="11" t="s">
        <v>3410</v>
      </c>
      <c r="B24" s="11" t="s">
        <v>621</v>
      </c>
      <c r="C24" s="11" t="s">
        <v>3359</v>
      </c>
      <c r="D24" s="11">
        <v>807060.02</v>
      </c>
      <c r="E24" s="11">
        <v>36635.08</v>
      </c>
      <c r="F24" s="12">
        <v>45253</v>
      </c>
      <c r="G24" s="12">
        <v>45544</v>
      </c>
      <c r="H24" s="11" t="s">
        <v>3411</v>
      </c>
      <c r="I24" s="11" t="s">
        <v>3365</v>
      </c>
      <c r="J24" s="13" t="str" cm="1">
        <f t="array" ref="J24">_xlfn.IFS(
  OR(ISBLANK(A24),ISBLANK(B24),ISBLANK(H24),ISBLANK(D24),ISBLANK(E24)),"Missing Value",
  D24&lt;=0,"Review – Out of Range (Coverage)",
  E24&lt;=0,"Review – Out of Range (Premium)",
  TRUE,"OK"
)</f>
        <v>OK</v>
      </c>
    </row>
    <row r="25" spans="1:10" ht="16.8" x14ac:dyDescent="0.3">
      <c r="A25" s="14" t="s">
        <v>3412</v>
      </c>
      <c r="B25" s="14" t="s">
        <v>1901</v>
      </c>
      <c r="C25" s="14" t="s">
        <v>3377</v>
      </c>
      <c r="D25" s="14">
        <v>798813.7</v>
      </c>
      <c r="E25" s="14">
        <v>20473.580000000002</v>
      </c>
      <c r="F25" s="15">
        <v>44949</v>
      </c>
      <c r="G25" s="15">
        <v>45001</v>
      </c>
      <c r="H25" s="14" t="s">
        <v>3413</v>
      </c>
      <c r="I25" s="14" t="s">
        <v>3365</v>
      </c>
      <c r="J25" s="13" t="str" cm="1">
        <f t="array" ref="J25">_xlfn.IFS(
  OR(ISBLANK(A25),ISBLANK(B25),ISBLANK(H25),ISBLANK(D25),ISBLANK(E25)),"Missing Value",
  D25&lt;=0,"Review – Out of Range (Coverage)",
  E25&lt;=0,"Review – Out of Range (Premium)",
  TRUE,"OK"
)</f>
        <v>OK</v>
      </c>
    </row>
    <row r="26" spans="1:10" ht="16.8" x14ac:dyDescent="0.3">
      <c r="A26" s="11" t="s">
        <v>3414</v>
      </c>
      <c r="B26" s="11" t="s">
        <v>815</v>
      </c>
      <c r="C26" s="11" t="s">
        <v>3363</v>
      </c>
      <c r="D26" s="11">
        <v>871514.03</v>
      </c>
      <c r="E26" s="11">
        <v>28973.66</v>
      </c>
      <c r="F26" s="12">
        <v>44444</v>
      </c>
      <c r="G26" s="12">
        <v>45656</v>
      </c>
      <c r="H26" s="11" t="s">
        <v>3415</v>
      </c>
      <c r="I26" s="11" t="s">
        <v>3365</v>
      </c>
      <c r="J26" s="13" t="str" cm="1">
        <f t="array" ref="J26">_xlfn.IFS(
  OR(ISBLANK(A26),ISBLANK(B26),ISBLANK(H26),ISBLANK(D26),ISBLANK(E26)),"Missing Value",
  D26&lt;=0,"Review – Out of Range (Coverage)",
  E26&lt;=0,"Review – Out of Range (Premium)",
  TRUE,"OK"
)</f>
        <v>OK</v>
      </c>
    </row>
    <row r="27" spans="1:10" ht="16.8" x14ac:dyDescent="0.3">
      <c r="A27" s="14" t="s">
        <v>3416</v>
      </c>
      <c r="B27" s="14" t="s">
        <v>3214</v>
      </c>
      <c r="C27" s="14" t="s">
        <v>3363</v>
      </c>
      <c r="D27" s="14">
        <v>142307.39000000001</v>
      </c>
      <c r="E27" s="14">
        <v>36977.67</v>
      </c>
      <c r="F27" s="15">
        <v>45191</v>
      </c>
      <c r="G27" s="15">
        <v>45855</v>
      </c>
      <c r="H27" s="14" t="s">
        <v>3417</v>
      </c>
      <c r="I27" s="14" t="s">
        <v>3373</v>
      </c>
      <c r="J27" s="13" t="str" cm="1">
        <f t="array" ref="J27">_xlfn.IFS(
  OR(ISBLANK(A27),ISBLANK(B27),ISBLANK(H27),ISBLANK(D27),ISBLANK(E27)),"Missing Value",
  D27&lt;=0,"Review – Out of Range (Coverage)",
  E27&lt;=0,"Review – Out of Range (Premium)",
  TRUE,"OK"
)</f>
        <v>OK</v>
      </c>
    </row>
    <row r="28" spans="1:10" ht="16.8" x14ac:dyDescent="0.3">
      <c r="A28" s="11" t="s">
        <v>3418</v>
      </c>
      <c r="B28" s="11" t="s">
        <v>685</v>
      </c>
      <c r="C28" s="11" t="s">
        <v>3371</v>
      </c>
      <c r="D28" s="11">
        <v>627889.49</v>
      </c>
      <c r="E28" s="11">
        <v>36865.33</v>
      </c>
      <c r="F28" s="12">
        <v>44557</v>
      </c>
      <c r="G28" s="12">
        <v>45521</v>
      </c>
      <c r="H28" s="11" t="s">
        <v>3419</v>
      </c>
      <c r="I28" s="11" t="s">
        <v>3373</v>
      </c>
      <c r="J28" s="13" t="str" cm="1">
        <f t="array" ref="J28">_xlfn.IFS(
  OR(ISBLANK(A28),ISBLANK(B28),ISBLANK(H28),ISBLANK(D28),ISBLANK(E28)),"Missing Value",
  D28&lt;=0,"Review – Out of Range (Coverage)",
  E28&lt;=0,"Review – Out of Range (Premium)",
  TRUE,"OK"
)</f>
        <v>OK</v>
      </c>
    </row>
    <row r="29" spans="1:10" ht="16.8" x14ac:dyDescent="0.3">
      <c r="A29" s="14" t="s">
        <v>3420</v>
      </c>
      <c r="B29" s="14" t="s">
        <v>78</v>
      </c>
      <c r="C29" s="14" t="s">
        <v>3371</v>
      </c>
      <c r="D29" s="14">
        <v>547848.44999999995</v>
      </c>
      <c r="E29" s="14">
        <v>27414.18</v>
      </c>
      <c r="F29" s="15">
        <v>45451</v>
      </c>
      <c r="G29" s="15">
        <v>45629</v>
      </c>
      <c r="H29" s="14" t="s">
        <v>3421</v>
      </c>
      <c r="I29" s="14" t="s">
        <v>3361</v>
      </c>
      <c r="J29" s="13" t="str" cm="1">
        <f t="array" ref="J29">_xlfn.IFS(
  OR(ISBLANK(A29),ISBLANK(B29),ISBLANK(H29),ISBLANK(D29),ISBLANK(E29)),"Missing Value",
  D29&lt;=0,"Review – Out of Range (Coverage)",
  E29&lt;=0,"Review – Out of Range (Premium)",
  TRUE,"OK"
)</f>
        <v>OK</v>
      </c>
    </row>
    <row r="30" spans="1:10" ht="16.8" x14ac:dyDescent="0.3">
      <c r="A30" s="11" t="s">
        <v>3422</v>
      </c>
      <c r="B30" s="11" t="s">
        <v>2429</v>
      </c>
      <c r="C30" s="11" t="s">
        <v>3371</v>
      </c>
      <c r="D30" s="11">
        <v>843370.17</v>
      </c>
      <c r="E30" s="11">
        <v>41887.86</v>
      </c>
      <c r="F30" s="12">
        <v>44756</v>
      </c>
      <c r="G30" s="12">
        <v>45456</v>
      </c>
      <c r="H30" s="11" t="s">
        <v>3423</v>
      </c>
      <c r="I30" s="11" t="s">
        <v>3373</v>
      </c>
      <c r="J30" s="13" t="str" cm="1">
        <f t="array" ref="J30">_xlfn.IFS(
  OR(ISBLANK(A30),ISBLANK(B30),ISBLANK(H30),ISBLANK(D30),ISBLANK(E30)),"Missing Value",
  D30&lt;=0,"Review – Out of Range (Coverage)",
  E30&lt;=0,"Review – Out of Range (Premium)",
  TRUE,"OK"
)</f>
        <v>OK</v>
      </c>
    </row>
    <row r="31" spans="1:10" ht="16.8" x14ac:dyDescent="0.3">
      <c r="A31" s="14" t="s">
        <v>3424</v>
      </c>
      <c r="B31" s="14" t="s">
        <v>1699</v>
      </c>
      <c r="C31" s="14" t="s">
        <v>3380</v>
      </c>
      <c r="D31" s="14">
        <v>328869.26</v>
      </c>
      <c r="E31" s="14">
        <v>4714.79</v>
      </c>
      <c r="F31" s="15">
        <v>45037</v>
      </c>
      <c r="G31" s="15">
        <v>45828</v>
      </c>
      <c r="H31" s="14" t="s">
        <v>3425</v>
      </c>
      <c r="I31" s="14" t="s">
        <v>3365</v>
      </c>
      <c r="J31" s="13" t="str" cm="1">
        <f t="array" ref="J31">_xlfn.IFS(
  OR(ISBLANK(A31),ISBLANK(B31),ISBLANK(H31),ISBLANK(D31),ISBLANK(E31)),"Missing Value",
  D31&lt;=0,"Review – Out of Range (Coverage)",
  E31&lt;=0,"Review – Out of Range (Premium)",
  TRUE,"OK"
)</f>
        <v>OK</v>
      </c>
    </row>
    <row r="32" spans="1:10" ht="16.8" x14ac:dyDescent="0.3">
      <c r="A32" s="11" t="s">
        <v>3426</v>
      </c>
      <c r="B32" s="11" t="s">
        <v>1671</v>
      </c>
      <c r="C32" s="11" t="s">
        <v>3359</v>
      </c>
      <c r="D32" s="11">
        <v>690040.81</v>
      </c>
      <c r="E32" s="11">
        <v>46085.56</v>
      </c>
      <c r="F32" s="12">
        <v>45069</v>
      </c>
      <c r="G32" s="12">
        <v>45392</v>
      </c>
      <c r="H32" s="11" t="s">
        <v>3427</v>
      </c>
      <c r="I32" s="11" t="s">
        <v>3373</v>
      </c>
      <c r="J32" s="13" t="str" cm="1">
        <f t="array" ref="J32">_xlfn.IFS(
  OR(ISBLANK(A32),ISBLANK(B32),ISBLANK(H32),ISBLANK(D32),ISBLANK(E32)),"Missing Value",
  D32&lt;=0,"Review – Out of Range (Coverage)",
  E32&lt;=0,"Review – Out of Range (Premium)",
  TRUE,"OK"
)</f>
        <v>OK</v>
      </c>
    </row>
    <row r="33" spans="1:10" ht="16.8" x14ac:dyDescent="0.3">
      <c r="A33" s="14" t="s">
        <v>3428</v>
      </c>
      <c r="B33" s="14" t="s">
        <v>1523</v>
      </c>
      <c r="C33" s="14" t="s">
        <v>3363</v>
      </c>
      <c r="D33" s="14">
        <v>904616.54</v>
      </c>
      <c r="E33" s="14">
        <v>40740.67</v>
      </c>
      <c r="F33" s="15">
        <v>44392</v>
      </c>
      <c r="G33" s="15">
        <v>45853</v>
      </c>
      <c r="H33" s="14" t="s">
        <v>3429</v>
      </c>
      <c r="I33" s="14" t="s">
        <v>3361</v>
      </c>
      <c r="J33" s="13" t="str" cm="1">
        <f t="array" ref="J33">_xlfn.IFS(
  OR(ISBLANK(A33),ISBLANK(B33),ISBLANK(H33),ISBLANK(D33),ISBLANK(E33)),"Missing Value",
  D33&lt;=0,"Review – Out of Range (Coverage)",
  E33&lt;=0,"Review – Out of Range (Premium)",
  TRUE,"OK"
)</f>
        <v>OK</v>
      </c>
    </row>
    <row r="34" spans="1:10" ht="16.8" x14ac:dyDescent="0.3">
      <c r="A34" s="11" t="s">
        <v>3430</v>
      </c>
      <c r="B34" s="11" t="s">
        <v>1309</v>
      </c>
      <c r="C34" s="11" t="s">
        <v>3377</v>
      </c>
      <c r="D34" s="11">
        <v>711204.44</v>
      </c>
      <c r="E34" s="11">
        <v>38807.980000000003</v>
      </c>
      <c r="F34" s="12">
        <v>44908</v>
      </c>
      <c r="G34" s="12">
        <v>45845</v>
      </c>
      <c r="H34" s="11" t="s">
        <v>3385</v>
      </c>
      <c r="I34" s="11" t="s">
        <v>3361</v>
      </c>
      <c r="J34" s="13" t="str" cm="1">
        <f t="array" ref="J34">_xlfn.IFS(
  OR(ISBLANK(A34),ISBLANK(B34),ISBLANK(H34),ISBLANK(D34),ISBLANK(E34)),"Missing Value",
  D34&lt;=0,"Review – Out of Range (Coverage)",
  E34&lt;=0,"Review – Out of Range (Premium)",
  TRUE,"OK"
)</f>
        <v>OK</v>
      </c>
    </row>
    <row r="35" spans="1:10" ht="16.8" x14ac:dyDescent="0.3">
      <c r="A35" s="14" t="s">
        <v>3431</v>
      </c>
      <c r="B35" s="14" t="s">
        <v>1785</v>
      </c>
      <c r="C35" s="14" t="s">
        <v>3380</v>
      </c>
      <c r="D35" s="14">
        <v>372262.99</v>
      </c>
      <c r="E35" s="14">
        <v>15032.67</v>
      </c>
      <c r="F35" s="15">
        <v>45232</v>
      </c>
      <c r="G35" s="15">
        <v>45702</v>
      </c>
      <c r="H35" s="14" t="s">
        <v>3432</v>
      </c>
      <c r="I35" s="14" t="s">
        <v>3365</v>
      </c>
      <c r="J35" s="13" t="str" cm="1">
        <f t="array" ref="J35">_xlfn.IFS(
  OR(ISBLANK(A35),ISBLANK(B35),ISBLANK(H35),ISBLANK(D35),ISBLANK(E35)),"Missing Value",
  D35&lt;=0,"Review – Out of Range (Coverage)",
  E35&lt;=0,"Review – Out of Range (Premium)",
  TRUE,"OK"
)</f>
        <v>OK</v>
      </c>
    </row>
    <row r="36" spans="1:10" ht="16.8" x14ac:dyDescent="0.3">
      <c r="A36" s="11" t="s">
        <v>3433</v>
      </c>
      <c r="B36" s="11" t="s">
        <v>3011</v>
      </c>
      <c r="C36" s="11" t="s">
        <v>3371</v>
      </c>
      <c r="D36" s="11">
        <v>975344.15</v>
      </c>
      <c r="E36" s="11">
        <v>17815.759999999998</v>
      </c>
      <c r="F36" s="12">
        <v>45137</v>
      </c>
      <c r="G36" s="12">
        <v>45212</v>
      </c>
      <c r="H36" s="11" t="s">
        <v>3434</v>
      </c>
      <c r="I36" s="11" t="s">
        <v>3365</v>
      </c>
      <c r="J36" s="13" t="str" cm="1">
        <f t="array" ref="J36">_xlfn.IFS(
  OR(ISBLANK(A36),ISBLANK(B36),ISBLANK(H36),ISBLANK(D36),ISBLANK(E36)),"Missing Value",
  D36&lt;=0,"Review – Out of Range (Coverage)",
  E36&lt;=0,"Review – Out of Range (Premium)",
  TRUE,"OK"
)</f>
        <v>OK</v>
      </c>
    </row>
    <row r="37" spans="1:10" ht="16.8" x14ac:dyDescent="0.3">
      <c r="A37" s="14" t="s">
        <v>3435</v>
      </c>
      <c r="B37" s="14" t="s">
        <v>2581</v>
      </c>
      <c r="C37" s="14" t="s">
        <v>3377</v>
      </c>
      <c r="D37" s="14">
        <v>816790.54</v>
      </c>
      <c r="E37" s="14">
        <v>18906.439999999999</v>
      </c>
      <c r="F37" s="15">
        <v>44908</v>
      </c>
      <c r="G37" s="15">
        <v>45490</v>
      </c>
      <c r="H37" s="14" t="s">
        <v>3436</v>
      </c>
      <c r="I37" s="14" t="s">
        <v>3373</v>
      </c>
      <c r="J37" s="13" t="str" cm="1">
        <f t="array" ref="J37">_xlfn.IFS(
  OR(ISBLANK(A37),ISBLANK(B37),ISBLANK(H37),ISBLANK(D37),ISBLANK(E37)),"Missing Value",
  D37&lt;=0,"Review – Out of Range (Coverage)",
  E37&lt;=0,"Review – Out of Range (Premium)",
  TRUE,"OK"
)</f>
        <v>OK</v>
      </c>
    </row>
    <row r="38" spans="1:10" ht="16.8" x14ac:dyDescent="0.3">
      <c r="A38" s="11" t="s">
        <v>3437</v>
      </c>
      <c r="B38" s="11" t="s">
        <v>1497</v>
      </c>
      <c r="C38" s="11" t="s">
        <v>3377</v>
      </c>
      <c r="D38" s="11">
        <v>160785.96</v>
      </c>
      <c r="E38" s="11">
        <v>28970.38</v>
      </c>
      <c r="F38" s="12">
        <v>44355</v>
      </c>
      <c r="G38" s="12">
        <v>45734</v>
      </c>
      <c r="H38" s="11" t="s">
        <v>3438</v>
      </c>
      <c r="I38" s="11" t="s">
        <v>3361</v>
      </c>
      <c r="J38" s="13" t="str" cm="1">
        <f t="array" ref="J38">_xlfn.IFS(
  OR(ISBLANK(A38),ISBLANK(B38),ISBLANK(H38),ISBLANK(D38),ISBLANK(E38)),"Missing Value",
  D38&lt;=0,"Review – Out of Range (Coverage)",
  E38&lt;=0,"Review – Out of Range (Premium)",
  TRUE,"OK"
)</f>
        <v>OK</v>
      </c>
    </row>
    <row r="39" spans="1:10" ht="16.8" x14ac:dyDescent="0.3">
      <c r="A39" s="14" t="s">
        <v>3439</v>
      </c>
      <c r="B39" s="14" t="s">
        <v>2029</v>
      </c>
      <c r="C39" s="14" t="s">
        <v>3377</v>
      </c>
      <c r="D39" s="14">
        <v>734826.24</v>
      </c>
      <c r="E39" s="14">
        <v>45043.26</v>
      </c>
      <c r="F39" s="15">
        <v>44777</v>
      </c>
      <c r="G39" s="15">
        <v>44873</v>
      </c>
      <c r="H39" s="14" t="s">
        <v>3440</v>
      </c>
      <c r="I39" s="14" t="s">
        <v>3365</v>
      </c>
      <c r="J39" s="13" t="str" cm="1">
        <f t="array" ref="J39">_xlfn.IFS(
  OR(ISBLANK(A39),ISBLANK(B39),ISBLANK(H39),ISBLANK(D39),ISBLANK(E39)),"Missing Value",
  D39&lt;=0,"Review – Out of Range (Coverage)",
  E39&lt;=0,"Review – Out of Range (Premium)",
  TRUE,"OK"
)</f>
        <v>OK</v>
      </c>
    </row>
    <row r="40" spans="1:10" ht="16.8" x14ac:dyDescent="0.3">
      <c r="A40" s="11" t="s">
        <v>3441</v>
      </c>
      <c r="B40" s="11" t="s">
        <v>1419</v>
      </c>
      <c r="C40" s="11" t="s">
        <v>3363</v>
      </c>
      <c r="D40" s="11">
        <v>742128.53</v>
      </c>
      <c r="E40" s="11">
        <v>28612.18</v>
      </c>
      <c r="F40" s="12">
        <v>45263</v>
      </c>
      <c r="G40" s="12">
        <v>45389</v>
      </c>
      <c r="H40" s="11" t="s">
        <v>3442</v>
      </c>
      <c r="I40" s="11" t="s">
        <v>3365</v>
      </c>
      <c r="J40" s="13" t="str" cm="1">
        <f t="array" ref="J40">_xlfn.IFS(
  OR(ISBLANK(A40),ISBLANK(B40),ISBLANK(H40),ISBLANK(D40),ISBLANK(E40)),"Missing Value",
  D40&lt;=0,"Review – Out of Range (Coverage)",
  E40&lt;=0,"Review – Out of Range (Premium)",
  TRUE,"OK"
)</f>
        <v>OK</v>
      </c>
    </row>
    <row r="41" spans="1:10" ht="16.8" x14ac:dyDescent="0.3">
      <c r="A41" s="14" t="s">
        <v>3443</v>
      </c>
      <c r="B41" s="14" t="s">
        <v>470</v>
      </c>
      <c r="C41" s="14" t="s">
        <v>3371</v>
      </c>
      <c r="D41" s="14">
        <v>696087.49</v>
      </c>
      <c r="E41" s="14">
        <v>6102.28</v>
      </c>
      <c r="F41" s="15">
        <v>45283</v>
      </c>
      <c r="G41" s="15">
        <v>45695</v>
      </c>
      <c r="H41" s="14" t="s">
        <v>3444</v>
      </c>
      <c r="I41" s="14" t="s">
        <v>3365</v>
      </c>
      <c r="J41" s="13" t="str" cm="1">
        <f t="array" ref="J41">_xlfn.IFS(
  OR(ISBLANK(A41),ISBLANK(B41),ISBLANK(H41),ISBLANK(D41),ISBLANK(E41)),"Missing Value",
  D41&lt;=0,"Review – Out of Range (Coverage)",
  E41&lt;=0,"Review – Out of Range (Premium)",
  TRUE,"OK"
)</f>
        <v>OK</v>
      </c>
    </row>
    <row r="42" spans="1:10" ht="16.8" x14ac:dyDescent="0.3">
      <c r="A42" s="11" t="s">
        <v>3445</v>
      </c>
      <c r="B42" s="11" t="s">
        <v>965</v>
      </c>
      <c r="C42" s="11" t="s">
        <v>3363</v>
      </c>
      <c r="D42" s="11">
        <v>551374.99</v>
      </c>
      <c r="E42" s="11">
        <v>40816.06</v>
      </c>
      <c r="F42" s="12">
        <v>44984</v>
      </c>
      <c r="G42" s="12">
        <v>45764</v>
      </c>
      <c r="H42" s="11" t="s">
        <v>3369</v>
      </c>
      <c r="I42" s="11" t="s">
        <v>3361</v>
      </c>
      <c r="J42" s="13" t="str" cm="1">
        <f t="array" ref="J42">_xlfn.IFS(
  OR(ISBLANK(A42),ISBLANK(B42),ISBLANK(H42),ISBLANK(D42),ISBLANK(E42)),"Missing Value",
  D42&lt;=0,"Review – Out of Range (Coverage)",
  E42&lt;=0,"Review – Out of Range (Premium)",
  TRUE,"OK"
)</f>
        <v>OK</v>
      </c>
    </row>
    <row r="43" spans="1:10" ht="16.8" x14ac:dyDescent="0.3">
      <c r="A43" s="14" t="s">
        <v>3446</v>
      </c>
      <c r="B43" s="14" t="s">
        <v>745</v>
      </c>
      <c r="C43" s="14" t="s">
        <v>3377</v>
      </c>
      <c r="D43" s="14">
        <v>270382.46000000002</v>
      </c>
      <c r="E43" s="14">
        <v>29109.99</v>
      </c>
      <c r="F43" s="15">
        <v>44115</v>
      </c>
      <c r="G43" s="15">
        <v>45042</v>
      </c>
      <c r="H43" s="14" t="s">
        <v>3447</v>
      </c>
      <c r="I43" s="14" t="s">
        <v>3365</v>
      </c>
      <c r="J43" s="13" t="str" cm="1">
        <f t="array" ref="J43">_xlfn.IFS(
  OR(ISBLANK(A43),ISBLANK(B43),ISBLANK(H43),ISBLANK(D43),ISBLANK(E43)),"Missing Value",
  D43&lt;=0,"Review – Out of Range (Coverage)",
  E43&lt;=0,"Review – Out of Range (Premium)",
  TRUE,"OK"
)</f>
        <v>OK</v>
      </c>
    </row>
    <row r="44" spans="1:10" ht="16.8" x14ac:dyDescent="0.3">
      <c r="A44" s="11" t="s">
        <v>3448</v>
      </c>
      <c r="B44" s="11" t="s">
        <v>2473</v>
      </c>
      <c r="C44" s="11" t="s">
        <v>3371</v>
      </c>
      <c r="D44" s="11">
        <v>840905.34</v>
      </c>
      <c r="E44" s="11">
        <v>22216.76</v>
      </c>
      <c r="F44" s="12">
        <v>45421</v>
      </c>
      <c r="G44" s="12">
        <v>45730</v>
      </c>
      <c r="H44" s="11" t="s">
        <v>3449</v>
      </c>
      <c r="I44" s="11" t="s">
        <v>3373</v>
      </c>
      <c r="J44" s="13" t="str" cm="1">
        <f t="array" ref="J44">_xlfn.IFS(
  OR(ISBLANK(A44),ISBLANK(B44),ISBLANK(H44),ISBLANK(D44),ISBLANK(E44)),"Missing Value",
  D44&lt;=0,"Review – Out of Range (Coverage)",
  E44&lt;=0,"Review – Out of Range (Premium)",
  TRUE,"OK"
)</f>
        <v>OK</v>
      </c>
    </row>
    <row r="45" spans="1:10" ht="16.8" x14ac:dyDescent="0.3">
      <c r="A45" s="14" t="s">
        <v>3450</v>
      </c>
      <c r="B45" s="14" t="s">
        <v>2109</v>
      </c>
      <c r="C45" s="14" t="s">
        <v>3363</v>
      </c>
      <c r="D45" s="14">
        <v>655087.31000000006</v>
      </c>
      <c r="E45" s="14">
        <v>44894.32</v>
      </c>
      <c r="F45" s="15">
        <v>44203</v>
      </c>
      <c r="G45" s="15">
        <v>44547</v>
      </c>
      <c r="H45" s="14" t="s">
        <v>3451</v>
      </c>
      <c r="I45" s="14" t="s">
        <v>3373</v>
      </c>
      <c r="J45" s="13" t="str" cm="1">
        <f t="array" ref="J45">_xlfn.IFS(
  OR(ISBLANK(A45),ISBLANK(B45),ISBLANK(H45),ISBLANK(D45),ISBLANK(E45)),"Missing Value",
  D45&lt;=0,"Review – Out of Range (Coverage)",
  E45&lt;=0,"Review – Out of Range (Premium)",
  TRUE,"OK"
)</f>
        <v>OK</v>
      </c>
    </row>
    <row r="46" spans="1:10" ht="16.8" x14ac:dyDescent="0.3">
      <c r="A46" s="11" t="s">
        <v>3452</v>
      </c>
      <c r="B46" s="11" t="s">
        <v>779</v>
      </c>
      <c r="C46" s="11" t="s">
        <v>3371</v>
      </c>
      <c r="D46" s="11">
        <v>200300.72</v>
      </c>
      <c r="E46" s="11">
        <v>17198.13</v>
      </c>
      <c r="F46" s="12">
        <v>45239</v>
      </c>
      <c r="G46" s="12">
        <v>45551</v>
      </c>
      <c r="H46" s="11" t="s">
        <v>3372</v>
      </c>
      <c r="I46" s="11" t="s">
        <v>3361</v>
      </c>
      <c r="J46" s="13" t="str" cm="1">
        <f t="array" ref="J46">_xlfn.IFS(
  OR(ISBLANK(A46),ISBLANK(B46),ISBLANK(H46),ISBLANK(D46),ISBLANK(E46)),"Missing Value",
  D46&lt;=0,"Review – Out of Range (Coverage)",
  E46&lt;=0,"Review – Out of Range (Premium)",
  TRUE,"OK"
)</f>
        <v>OK</v>
      </c>
    </row>
    <row r="47" spans="1:10" ht="16.8" x14ac:dyDescent="0.3">
      <c r="A47" s="14" t="s">
        <v>3453</v>
      </c>
      <c r="B47" s="14" t="s">
        <v>2663</v>
      </c>
      <c r="C47" s="14" t="s">
        <v>3371</v>
      </c>
      <c r="D47" s="14">
        <v>839418.35</v>
      </c>
      <c r="E47" s="14">
        <v>15558.94</v>
      </c>
      <c r="F47" s="15">
        <v>44659</v>
      </c>
      <c r="G47" s="15">
        <v>45253</v>
      </c>
      <c r="H47" s="14" t="s">
        <v>3454</v>
      </c>
      <c r="I47" s="14" t="s">
        <v>3373</v>
      </c>
      <c r="J47" s="13" t="str" cm="1">
        <f t="array" ref="J47">_xlfn.IFS(
  OR(ISBLANK(A47),ISBLANK(B47),ISBLANK(H47),ISBLANK(D47),ISBLANK(E47)),"Missing Value",
  D47&lt;=0,"Review – Out of Range (Coverage)",
  E47&lt;=0,"Review – Out of Range (Premium)",
  TRUE,"OK"
)</f>
        <v>OK</v>
      </c>
    </row>
    <row r="48" spans="1:10" ht="16.8" x14ac:dyDescent="0.3">
      <c r="A48" s="11" t="s">
        <v>3455</v>
      </c>
      <c r="B48" s="11" t="s">
        <v>1933</v>
      </c>
      <c r="C48" s="11" t="s">
        <v>3371</v>
      </c>
      <c r="D48" s="11">
        <v>177725.17</v>
      </c>
      <c r="E48" s="11">
        <v>4067.07</v>
      </c>
      <c r="F48" s="12">
        <v>45209</v>
      </c>
      <c r="G48" s="12">
        <v>45661</v>
      </c>
      <c r="H48" s="11" t="s">
        <v>3456</v>
      </c>
      <c r="I48" s="11" t="s">
        <v>3365</v>
      </c>
      <c r="J48" s="13" t="str" cm="1">
        <f t="array" ref="J48">_xlfn.IFS(
  OR(ISBLANK(A48),ISBLANK(B48),ISBLANK(H48),ISBLANK(D48),ISBLANK(E48)),"Missing Value",
  D48&lt;=0,"Review – Out of Range (Coverage)",
  E48&lt;=0,"Review – Out of Range (Premium)",
  TRUE,"OK"
)</f>
        <v>OK</v>
      </c>
    </row>
    <row r="49" spans="1:10" ht="16.8" x14ac:dyDescent="0.3">
      <c r="A49" s="14" t="s">
        <v>3457</v>
      </c>
      <c r="B49" s="14" t="s">
        <v>583</v>
      </c>
      <c r="C49" s="14" t="s">
        <v>3363</v>
      </c>
      <c r="D49" s="14">
        <v>880509.51</v>
      </c>
      <c r="E49" s="14">
        <v>43646.81</v>
      </c>
      <c r="F49" s="15">
        <v>44652</v>
      </c>
      <c r="G49" s="15">
        <v>44798</v>
      </c>
      <c r="H49" s="14" t="s">
        <v>3423</v>
      </c>
      <c r="I49" s="14" t="s">
        <v>3365</v>
      </c>
      <c r="J49" s="13" t="str" cm="1">
        <f t="array" ref="J49">_xlfn.IFS(
  OR(ISBLANK(A49),ISBLANK(B49),ISBLANK(H49),ISBLANK(D49),ISBLANK(E49)),"Missing Value",
  D49&lt;=0,"Review – Out of Range (Coverage)",
  E49&lt;=0,"Review – Out of Range (Premium)",
  TRUE,"OK"
)</f>
        <v>OK</v>
      </c>
    </row>
    <row r="50" spans="1:10" ht="16.8" x14ac:dyDescent="0.3">
      <c r="A50" s="11" t="s">
        <v>3458</v>
      </c>
      <c r="B50" s="11" t="s">
        <v>3092</v>
      </c>
      <c r="C50" s="11" t="s">
        <v>3363</v>
      </c>
      <c r="D50" s="11">
        <v>915191.32</v>
      </c>
      <c r="E50" s="11">
        <v>42854.27</v>
      </c>
      <c r="F50" s="12">
        <v>45260</v>
      </c>
      <c r="G50" s="12">
        <v>45306</v>
      </c>
      <c r="H50" s="11" t="s">
        <v>3459</v>
      </c>
      <c r="I50" s="11" t="s">
        <v>3365</v>
      </c>
      <c r="J50" s="13" t="str" cm="1">
        <f t="array" ref="J50">_xlfn.IFS(
  OR(ISBLANK(A50),ISBLANK(B50),ISBLANK(H50),ISBLANK(D50),ISBLANK(E50)),"Missing Value",
  D50&lt;=0,"Review – Out of Range (Coverage)",
  E50&lt;=0,"Review – Out of Range (Premium)",
  TRUE,"OK"
)</f>
        <v>OK</v>
      </c>
    </row>
    <row r="51" spans="1:10" ht="16.8" x14ac:dyDescent="0.3">
      <c r="A51" s="14" t="s">
        <v>3460</v>
      </c>
      <c r="B51" s="14" t="s">
        <v>1185</v>
      </c>
      <c r="C51" s="14" t="s">
        <v>3363</v>
      </c>
      <c r="D51" s="14">
        <v>835786.12</v>
      </c>
      <c r="E51" s="14">
        <v>12499.28</v>
      </c>
      <c r="F51" s="15">
        <v>44933</v>
      </c>
      <c r="G51" s="15">
        <v>45423</v>
      </c>
      <c r="H51" s="14" t="s">
        <v>3461</v>
      </c>
      <c r="I51" s="14" t="s">
        <v>3373</v>
      </c>
      <c r="J51" s="13" t="str" cm="1">
        <f t="array" ref="J51">_xlfn.IFS(
  OR(ISBLANK(A51),ISBLANK(B51),ISBLANK(H51),ISBLANK(D51),ISBLANK(E51)),"Missing Value",
  D51&lt;=0,"Review – Out of Range (Coverage)",
  E51&lt;=0,"Review – Out of Range (Premium)",
  TRUE,"OK"
)</f>
        <v>OK</v>
      </c>
    </row>
    <row r="52" spans="1:10" ht="16.8" x14ac:dyDescent="0.3">
      <c r="A52" s="11" t="s">
        <v>3462</v>
      </c>
      <c r="B52" s="11" t="s">
        <v>2803</v>
      </c>
      <c r="C52" s="11" t="s">
        <v>3371</v>
      </c>
      <c r="D52" s="11">
        <v>547702.66</v>
      </c>
      <c r="E52" s="11">
        <v>19496.28</v>
      </c>
      <c r="F52" s="12">
        <v>45275</v>
      </c>
      <c r="G52" s="12">
        <v>45457</v>
      </c>
      <c r="H52" s="11" t="s">
        <v>3463</v>
      </c>
      <c r="I52" s="11" t="s">
        <v>3361</v>
      </c>
      <c r="J52" s="13" t="str" cm="1">
        <f t="array" ref="J52">_xlfn.IFS(
  OR(ISBLANK(A52),ISBLANK(B52),ISBLANK(H52),ISBLANK(D52),ISBLANK(E52)),"Missing Value",
  D52&lt;=0,"Review – Out of Range (Coverage)",
  E52&lt;=0,"Review – Out of Range (Premium)",
  TRUE,"OK"
)</f>
        <v>OK</v>
      </c>
    </row>
    <row r="53" spans="1:10" ht="16.8" x14ac:dyDescent="0.3">
      <c r="A53" s="14" t="s">
        <v>3464</v>
      </c>
      <c r="B53" s="14" t="s">
        <v>1287</v>
      </c>
      <c r="C53" s="14" t="s">
        <v>3380</v>
      </c>
      <c r="D53" s="14">
        <v>682125.86</v>
      </c>
      <c r="E53" s="14">
        <v>38420.160000000003</v>
      </c>
      <c r="F53" s="15">
        <v>44916</v>
      </c>
      <c r="G53" s="15">
        <v>44969</v>
      </c>
      <c r="H53" s="14" t="s">
        <v>3465</v>
      </c>
      <c r="I53" s="14" t="s">
        <v>3365</v>
      </c>
      <c r="J53" s="13" t="str" cm="1">
        <f t="array" ref="J53">_xlfn.IFS(
  OR(ISBLANK(A53),ISBLANK(B53),ISBLANK(H53),ISBLANK(D53),ISBLANK(E53)),"Missing Value",
  D53&lt;=0,"Review – Out of Range (Coverage)",
  E53&lt;=0,"Review – Out of Range (Premium)",
  TRUE,"OK"
)</f>
        <v>OK</v>
      </c>
    </row>
    <row r="54" spans="1:10" ht="16.8" x14ac:dyDescent="0.3">
      <c r="A54" s="11" t="s">
        <v>3466</v>
      </c>
      <c r="B54" s="11" t="s">
        <v>2253</v>
      </c>
      <c r="C54" s="11" t="s">
        <v>3363</v>
      </c>
      <c r="D54" s="11">
        <v>956321.6</v>
      </c>
      <c r="E54" s="11">
        <v>25615.919999999998</v>
      </c>
      <c r="F54" s="12">
        <v>44732</v>
      </c>
      <c r="G54" s="12">
        <v>44916</v>
      </c>
      <c r="H54" s="11" t="s">
        <v>3467</v>
      </c>
      <c r="I54" s="11" t="s">
        <v>3373</v>
      </c>
      <c r="J54" s="13" t="str" cm="1">
        <f t="array" ref="J54">_xlfn.IFS(
  OR(ISBLANK(A54),ISBLANK(B54),ISBLANK(H54),ISBLANK(D54),ISBLANK(E54)),"Missing Value",
  D54&lt;=0,"Review – Out of Range (Coverage)",
  E54&lt;=0,"Review – Out of Range (Premium)",
  TRUE,"OK"
)</f>
        <v>OK</v>
      </c>
    </row>
    <row r="55" spans="1:10" ht="16.8" x14ac:dyDescent="0.3">
      <c r="A55" s="14" t="s">
        <v>3468</v>
      </c>
      <c r="B55" s="14" t="s">
        <v>3088</v>
      </c>
      <c r="C55" s="14" t="s">
        <v>3363</v>
      </c>
      <c r="D55" s="14">
        <v>746038.89</v>
      </c>
      <c r="E55" s="14">
        <v>49980.62</v>
      </c>
      <c r="F55" s="15">
        <v>45357</v>
      </c>
      <c r="G55" s="15">
        <v>45772</v>
      </c>
      <c r="H55" s="14" t="s">
        <v>3469</v>
      </c>
      <c r="I55" s="14" t="s">
        <v>3373</v>
      </c>
      <c r="J55" s="13" t="str" cm="1">
        <f t="array" ref="J55">_xlfn.IFS(
  OR(ISBLANK(A55),ISBLANK(B55),ISBLANK(H55),ISBLANK(D55),ISBLANK(E55)),"Missing Value",
  D55&lt;=0,"Review – Out of Range (Coverage)",
  E55&lt;=0,"Review – Out of Range (Premium)",
  TRUE,"OK"
)</f>
        <v>OK</v>
      </c>
    </row>
    <row r="56" spans="1:10" ht="16.8" x14ac:dyDescent="0.3">
      <c r="A56" s="11" t="s">
        <v>3470</v>
      </c>
      <c r="B56" s="11" t="s">
        <v>1323</v>
      </c>
      <c r="C56" s="11" t="s">
        <v>3363</v>
      </c>
      <c r="D56" s="11">
        <v>743613.53</v>
      </c>
      <c r="E56" s="11">
        <v>30514.49</v>
      </c>
      <c r="F56" s="12">
        <v>44379</v>
      </c>
      <c r="G56" s="12">
        <v>45266</v>
      </c>
      <c r="H56" s="11" t="s">
        <v>3471</v>
      </c>
      <c r="I56" s="11" t="s">
        <v>3361</v>
      </c>
      <c r="J56" s="13" t="str" cm="1">
        <f t="array" ref="J56">_xlfn.IFS(
  OR(ISBLANK(A56),ISBLANK(B56),ISBLANK(H56),ISBLANK(D56),ISBLANK(E56)),"Missing Value",
  D56&lt;=0,"Review – Out of Range (Coverage)",
  E56&lt;=0,"Review – Out of Range (Premium)",
  TRUE,"OK"
)</f>
        <v>OK</v>
      </c>
    </row>
    <row r="57" spans="1:10" ht="16.8" x14ac:dyDescent="0.3">
      <c r="A57" s="14" t="s">
        <v>3472</v>
      </c>
      <c r="B57" s="14" t="s">
        <v>929</v>
      </c>
      <c r="C57" s="14" t="s">
        <v>3359</v>
      </c>
      <c r="D57" s="14">
        <v>187706.5</v>
      </c>
      <c r="E57" s="14">
        <v>11221.66</v>
      </c>
      <c r="F57" s="15">
        <v>44893</v>
      </c>
      <c r="G57" s="15">
        <v>45629</v>
      </c>
      <c r="H57" s="14" t="s">
        <v>3473</v>
      </c>
      <c r="I57" s="14" t="s">
        <v>3361</v>
      </c>
      <c r="J57" s="13" t="str" cm="1">
        <f t="array" ref="J57">_xlfn.IFS(
  OR(ISBLANK(A57),ISBLANK(B57),ISBLANK(H57),ISBLANK(D57),ISBLANK(E57)),"Missing Value",
  D57&lt;=0,"Review – Out of Range (Coverage)",
  E57&lt;=0,"Review – Out of Range (Premium)",
  TRUE,"OK"
)</f>
        <v>OK</v>
      </c>
    </row>
    <row r="58" spans="1:10" ht="16.8" x14ac:dyDescent="0.3">
      <c r="A58" s="11" t="s">
        <v>3474</v>
      </c>
      <c r="B58" s="11" t="s">
        <v>1013</v>
      </c>
      <c r="C58" s="11" t="s">
        <v>3377</v>
      </c>
      <c r="D58" s="11">
        <v>694428.33</v>
      </c>
      <c r="E58" s="11">
        <v>19815.2</v>
      </c>
      <c r="F58" s="12">
        <v>44443</v>
      </c>
      <c r="G58" s="12">
        <v>45483</v>
      </c>
      <c r="H58" s="11" t="s">
        <v>3475</v>
      </c>
      <c r="I58" s="11" t="s">
        <v>3361</v>
      </c>
      <c r="J58" s="13" t="str" cm="1">
        <f t="array" ref="J58">_xlfn.IFS(
  OR(ISBLANK(A58),ISBLANK(B58),ISBLANK(H58),ISBLANK(D58),ISBLANK(E58)),"Missing Value",
  D58&lt;=0,"Review – Out of Range (Coverage)",
  E58&lt;=0,"Review – Out of Range (Premium)",
  TRUE,"OK"
)</f>
        <v>OK</v>
      </c>
    </row>
    <row r="59" spans="1:10" ht="16.8" x14ac:dyDescent="0.3">
      <c r="A59" s="14" t="s">
        <v>3476</v>
      </c>
      <c r="B59" s="14" t="s">
        <v>344</v>
      </c>
      <c r="C59" s="14" t="s">
        <v>3377</v>
      </c>
      <c r="D59" s="14">
        <v>465701.71</v>
      </c>
      <c r="E59" s="14">
        <v>35036.97</v>
      </c>
      <c r="F59" s="15">
        <v>44919</v>
      </c>
      <c r="G59" s="15">
        <v>45064</v>
      </c>
      <c r="H59" s="14" t="s">
        <v>3477</v>
      </c>
      <c r="I59" s="14" t="s">
        <v>3373</v>
      </c>
      <c r="J59" s="13" t="str" cm="1">
        <f t="array" ref="J59">_xlfn.IFS(
  OR(ISBLANK(A59),ISBLANK(B59),ISBLANK(H59),ISBLANK(D59),ISBLANK(E59)),"Missing Value",
  D59&lt;=0,"Review – Out of Range (Coverage)",
  E59&lt;=0,"Review – Out of Range (Premium)",
  TRUE,"OK"
)</f>
        <v>OK</v>
      </c>
    </row>
    <row r="60" spans="1:10" ht="16.8" x14ac:dyDescent="0.3">
      <c r="A60" s="11" t="s">
        <v>3478</v>
      </c>
      <c r="B60" s="11" t="s">
        <v>3013</v>
      </c>
      <c r="C60" s="11" t="s">
        <v>3377</v>
      </c>
      <c r="D60" s="11">
        <v>588273.31000000006</v>
      </c>
      <c r="E60" s="11">
        <v>35376.550000000003</v>
      </c>
      <c r="F60" s="12">
        <v>45367</v>
      </c>
      <c r="G60" s="12">
        <v>45753</v>
      </c>
      <c r="H60" s="11" t="s">
        <v>3393</v>
      </c>
      <c r="I60" s="11" t="s">
        <v>3361</v>
      </c>
      <c r="J60" s="13" t="str" cm="1">
        <f t="array" ref="J60">_xlfn.IFS(
  OR(ISBLANK(A60),ISBLANK(B60),ISBLANK(H60),ISBLANK(D60),ISBLANK(E60)),"Missing Value",
  D60&lt;=0,"Review – Out of Range (Coverage)",
  E60&lt;=0,"Review – Out of Range (Premium)",
  TRUE,"OK"
)</f>
        <v>OK</v>
      </c>
    </row>
    <row r="61" spans="1:10" ht="16.8" x14ac:dyDescent="0.3">
      <c r="A61" s="14" t="s">
        <v>3479</v>
      </c>
      <c r="B61" s="14" t="s">
        <v>699</v>
      </c>
      <c r="C61" s="14" t="s">
        <v>3380</v>
      </c>
      <c r="D61" s="14">
        <v>753449.27</v>
      </c>
      <c r="E61" s="14">
        <v>7062.18</v>
      </c>
      <c r="F61" s="15">
        <v>45340</v>
      </c>
      <c r="G61" s="15">
        <v>45395</v>
      </c>
      <c r="H61" s="14" t="s">
        <v>3480</v>
      </c>
      <c r="I61" s="14" t="s">
        <v>3361</v>
      </c>
      <c r="J61" s="13" t="str" cm="1">
        <f t="array" ref="J61">_xlfn.IFS(
  OR(ISBLANK(A61),ISBLANK(B61),ISBLANK(H61),ISBLANK(D61),ISBLANK(E61)),"Missing Value",
  D61&lt;=0,"Review – Out of Range (Coverage)",
  E61&lt;=0,"Review – Out of Range (Premium)",
  TRUE,"OK"
)</f>
        <v>OK</v>
      </c>
    </row>
    <row r="62" spans="1:10" ht="16.8" x14ac:dyDescent="0.3">
      <c r="A62" s="11" t="s">
        <v>3481</v>
      </c>
      <c r="B62" s="11" t="s">
        <v>2297</v>
      </c>
      <c r="C62" s="11" t="s">
        <v>3371</v>
      </c>
      <c r="D62" s="11">
        <v>349076.06</v>
      </c>
      <c r="E62" s="11">
        <v>11261.52</v>
      </c>
      <c r="F62" s="12">
        <v>45218</v>
      </c>
      <c r="G62" s="12">
        <v>45263</v>
      </c>
      <c r="H62" s="11" t="s">
        <v>3482</v>
      </c>
      <c r="I62" s="11" t="s">
        <v>3373</v>
      </c>
      <c r="J62" s="13" t="str" cm="1">
        <f t="array" ref="J62">_xlfn.IFS(
  OR(ISBLANK(A62),ISBLANK(B62),ISBLANK(H62),ISBLANK(D62),ISBLANK(E62)),"Missing Value",
  D62&lt;=0,"Review – Out of Range (Coverage)",
  E62&lt;=0,"Review – Out of Range (Premium)",
  TRUE,"OK"
)</f>
        <v>OK</v>
      </c>
    </row>
    <row r="63" spans="1:10" ht="16.8" x14ac:dyDescent="0.3">
      <c r="A63" s="14" t="s">
        <v>3483</v>
      </c>
      <c r="B63" s="14" t="s">
        <v>2883</v>
      </c>
      <c r="C63" s="14" t="s">
        <v>3363</v>
      </c>
      <c r="D63" s="14">
        <v>511881.05</v>
      </c>
      <c r="E63" s="14">
        <v>3274.74</v>
      </c>
      <c r="F63" s="15">
        <v>44508</v>
      </c>
      <c r="G63" s="15">
        <v>45702</v>
      </c>
      <c r="H63" s="14" t="s">
        <v>3484</v>
      </c>
      <c r="I63" s="14" t="s">
        <v>3373</v>
      </c>
      <c r="J63" s="13" t="str" cm="1">
        <f t="array" ref="J63">_xlfn.IFS(
  OR(ISBLANK(A63),ISBLANK(B63),ISBLANK(H63),ISBLANK(D63),ISBLANK(E63)),"Missing Value",
  D63&lt;=0,"Review – Out of Range (Coverage)",
  E63&lt;=0,"Review – Out of Range (Premium)",
  TRUE,"OK"
)</f>
        <v>OK</v>
      </c>
    </row>
    <row r="64" spans="1:10" ht="16.8" x14ac:dyDescent="0.3">
      <c r="A64" s="11" t="s">
        <v>3485</v>
      </c>
      <c r="B64" s="11" t="s">
        <v>3196</v>
      </c>
      <c r="C64" s="11" t="s">
        <v>3380</v>
      </c>
      <c r="D64" s="11">
        <v>257171.35</v>
      </c>
      <c r="E64" s="11">
        <v>43304.29</v>
      </c>
      <c r="F64" s="12">
        <v>45470</v>
      </c>
      <c r="G64" s="12">
        <v>45843</v>
      </c>
      <c r="H64" s="11" t="s">
        <v>3486</v>
      </c>
      <c r="I64" s="11" t="s">
        <v>3361</v>
      </c>
      <c r="J64" s="13" t="str" cm="1">
        <f t="array" ref="J64">_xlfn.IFS(
  OR(ISBLANK(A64),ISBLANK(B64),ISBLANK(H64),ISBLANK(D64),ISBLANK(E64)),"Missing Value",
  D64&lt;=0,"Review – Out of Range (Coverage)",
  E64&lt;=0,"Review – Out of Range (Premium)",
  TRUE,"OK"
)</f>
        <v>OK</v>
      </c>
    </row>
    <row r="65" spans="1:10" ht="16.8" x14ac:dyDescent="0.3">
      <c r="A65" s="14" t="s">
        <v>3487</v>
      </c>
      <c r="B65" s="14" t="s">
        <v>1885</v>
      </c>
      <c r="C65" s="14" t="s">
        <v>3371</v>
      </c>
      <c r="D65" s="14">
        <v>935038.95</v>
      </c>
      <c r="E65" s="14">
        <v>39801.040000000001</v>
      </c>
      <c r="F65" s="15">
        <v>45403</v>
      </c>
      <c r="G65" s="15">
        <v>45780</v>
      </c>
      <c r="H65" s="14" t="s">
        <v>3488</v>
      </c>
      <c r="I65" s="14" t="s">
        <v>3373</v>
      </c>
      <c r="J65" s="13" t="str" cm="1">
        <f t="array" ref="J65">_xlfn.IFS(
  OR(ISBLANK(A65),ISBLANK(B65),ISBLANK(H65),ISBLANK(D65),ISBLANK(E65)),"Missing Value",
  D65&lt;=0,"Review – Out of Range (Coverage)",
  E65&lt;=0,"Review – Out of Range (Premium)",
  TRUE,"OK"
)</f>
        <v>OK</v>
      </c>
    </row>
    <row r="66" spans="1:10" ht="16.8" x14ac:dyDescent="0.3">
      <c r="A66" s="11" t="s">
        <v>3489</v>
      </c>
      <c r="B66" s="11" t="s">
        <v>492</v>
      </c>
      <c r="C66" s="11" t="s">
        <v>3380</v>
      </c>
      <c r="D66" s="11">
        <v>569228.21</v>
      </c>
      <c r="E66" s="11">
        <v>36747.94</v>
      </c>
      <c r="F66" s="12">
        <v>45485</v>
      </c>
      <c r="G66" s="12">
        <v>45752</v>
      </c>
      <c r="H66" s="11" t="s">
        <v>3490</v>
      </c>
      <c r="I66" s="11" t="s">
        <v>3373</v>
      </c>
      <c r="J66" s="13" t="str" cm="1">
        <f t="array" ref="J66">_xlfn.IFS(
  OR(ISBLANK(A66),ISBLANK(B66),ISBLANK(H66),ISBLANK(D66),ISBLANK(E66)),"Missing Value",
  D66&lt;=0,"Review – Out of Range (Coverage)",
  E66&lt;=0,"Review – Out of Range (Premium)",
  TRUE,"OK"
)</f>
        <v>OK</v>
      </c>
    </row>
    <row r="67" spans="1:10" ht="16.8" x14ac:dyDescent="0.3">
      <c r="A67" s="14" t="s">
        <v>3491</v>
      </c>
      <c r="B67" s="14" t="s">
        <v>2657</v>
      </c>
      <c r="C67" s="14" t="s">
        <v>3380</v>
      </c>
      <c r="D67" s="14">
        <v>825009.46</v>
      </c>
      <c r="E67" s="14">
        <v>9878.5300000000007</v>
      </c>
      <c r="F67" s="15">
        <v>44629</v>
      </c>
      <c r="G67" s="15">
        <v>44675</v>
      </c>
      <c r="H67" s="14" t="s">
        <v>3492</v>
      </c>
      <c r="I67" s="14" t="s">
        <v>3361</v>
      </c>
      <c r="J67" s="13" t="str" cm="1">
        <f t="array" ref="J67">_xlfn.IFS(
  OR(ISBLANK(A67),ISBLANK(B67),ISBLANK(H67),ISBLANK(D67),ISBLANK(E67)),"Missing Value",
  D67&lt;=0,"Review – Out of Range (Coverage)",
  E67&lt;=0,"Review – Out of Range (Premium)",
  TRUE,"OK"
)</f>
        <v>OK</v>
      </c>
    </row>
    <row r="68" spans="1:10" ht="16.8" x14ac:dyDescent="0.3">
      <c r="A68" s="11" t="s">
        <v>3493</v>
      </c>
      <c r="B68" s="11" t="s">
        <v>2313</v>
      </c>
      <c r="C68" s="11" t="s">
        <v>3380</v>
      </c>
      <c r="D68" s="11">
        <v>595371.81000000006</v>
      </c>
      <c r="E68" s="11">
        <v>39745.19</v>
      </c>
      <c r="F68" s="12">
        <v>45054</v>
      </c>
      <c r="G68" s="12">
        <v>45374</v>
      </c>
      <c r="H68" s="11" t="s">
        <v>3411</v>
      </c>
      <c r="I68" s="11" t="s">
        <v>3365</v>
      </c>
      <c r="J68" s="13" t="str" cm="1">
        <f t="array" ref="J68">_xlfn.IFS(
  OR(ISBLANK(A68),ISBLANK(B68),ISBLANK(H68),ISBLANK(D68),ISBLANK(E68)),"Missing Value",
  D68&lt;=0,"Review – Out of Range (Coverage)",
  E68&lt;=0,"Review – Out of Range (Premium)",
  TRUE,"OK"
)</f>
        <v>OK</v>
      </c>
    </row>
    <row r="69" spans="1:10" ht="16.8" x14ac:dyDescent="0.3">
      <c r="A69" s="14" t="s">
        <v>3494</v>
      </c>
      <c r="B69" s="14" t="s">
        <v>366</v>
      </c>
      <c r="C69" s="14" t="s">
        <v>3363</v>
      </c>
      <c r="D69" s="14">
        <v>147625.57999999999</v>
      </c>
      <c r="E69" s="14">
        <v>12859.99</v>
      </c>
      <c r="F69" s="15">
        <v>44871</v>
      </c>
      <c r="G69" s="15">
        <v>45130</v>
      </c>
      <c r="H69" s="14" t="s">
        <v>3495</v>
      </c>
      <c r="I69" s="14" t="s">
        <v>3361</v>
      </c>
      <c r="J69" s="13" t="str" cm="1">
        <f t="array" ref="J69">_xlfn.IFS(
  OR(ISBLANK(A69),ISBLANK(B69),ISBLANK(H69),ISBLANK(D69),ISBLANK(E69)),"Missing Value",
  D69&lt;=0,"Review – Out of Range (Coverage)",
  E69&lt;=0,"Review – Out of Range (Premium)",
  TRUE,"OK"
)</f>
        <v>OK</v>
      </c>
    </row>
    <row r="70" spans="1:10" ht="16.8" x14ac:dyDescent="0.3">
      <c r="A70" s="11" t="s">
        <v>3496</v>
      </c>
      <c r="B70" s="11" t="s">
        <v>1739</v>
      </c>
      <c r="C70" s="11" t="s">
        <v>3377</v>
      </c>
      <c r="D70" s="11">
        <v>894759.5</v>
      </c>
      <c r="E70" s="11">
        <v>20397.95</v>
      </c>
      <c r="F70" s="12">
        <v>45093</v>
      </c>
      <c r="G70" s="12">
        <v>45520</v>
      </c>
      <c r="H70" s="11" t="s">
        <v>3497</v>
      </c>
      <c r="I70" s="11" t="s">
        <v>3373</v>
      </c>
      <c r="J70" s="13" t="str" cm="1">
        <f t="array" ref="J70">_xlfn.IFS(
  OR(ISBLANK(A70),ISBLANK(B70),ISBLANK(H70),ISBLANK(D70),ISBLANK(E70)),"Missing Value",
  D70&lt;=0,"Review – Out of Range (Coverage)",
  E70&lt;=0,"Review – Out of Range (Premium)",
  TRUE,"OK"
)</f>
        <v>OK</v>
      </c>
    </row>
    <row r="71" spans="1:10" ht="16.8" x14ac:dyDescent="0.3">
      <c r="A71" s="14" t="s">
        <v>3498</v>
      </c>
      <c r="B71" s="14" t="s">
        <v>324</v>
      </c>
      <c r="C71" s="14" t="s">
        <v>3380</v>
      </c>
      <c r="D71" s="14">
        <v>605133.81999999995</v>
      </c>
      <c r="E71" s="14">
        <v>29955.1</v>
      </c>
      <c r="F71" s="15">
        <v>44606</v>
      </c>
      <c r="G71" s="15">
        <v>45582</v>
      </c>
      <c r="H71" s="14" t="s">
        <v>3499</v>
      </c>
      <c r="I71" s="14" t="s">
        <v>3365</v>
      </c>
      <c r="J71" s="13" t="str" cm="1">
        <f t="array" ref="J71">_xlfn.IFS(
  OR(ISBLANK(A71),ISBLANK(B71),ISBLANK(H71),ISBLANK(D71),ISBLANK(E71)),"Missing Value",
  D71&lt;=0,"Review – Out of Range (Coverage)",
  E71&lt;=0,"Review – Out of Range (Premium)",
  TRUE,"OK"
)</f>
        <v>OK</v>
      </c>
    </row>
    <row r="72" spans="1:10" ht="16.8" x14ac:dyDescent="0.3">
      <c r="A72" s="11" t="s">
        <v>3500</v>
      </c>
      <c r="B72" s="11" t="s">
        <v>328</v>
      </c>
      <c r="C72" s="11" t="s">
        <v>3359</v>
      </c>
      <c r="D72" s="11">
        <v>299788.37</v>
      </c>
      <c r="E72" s="11">
        <v>11308.78</v>
      </c>
      <c r="F72" s="12">
        <v>44918</v>
      </c>
      <c r="G72" s="12">
        <v>44926</v>
      </c>
      <c r="H72" s="11" t="s">
        <v>3501</v>
      </c>
      <c r="I72" s="11" t="s">
        <v>3373</v>
      </c>
      <c r="J72" s="13" t="str" cm="1">
        <f t="array" ref="J72">_xlfn.IFS(
  OR(ISBLANK(A72),ISBLANK(B72),ISBLANK(H72),ISBLANK(D72),ISBLANK(E72)),"Missing Value",
  D72&lt;=0,"Review – Out of Range (Coverage)",
  E72&lt;=0,"Review – Out of Range (Premium)",
  TRUE,"OK"
)</f>
        <v>OK</v>
      </c>
    </row>
    <row r="73" spans="1:10" ht="16.8" x14ac:dyDescent="0.3">
      <c r="A73" s="14" t="s">
        <v>3502</v>
      </c>
      <c r="B73" s="14" t="s">
        <v>2743</v>
      </c>
      <c r="C73" s="14" t="s">
        <v>3363</v>
      </c>
      <c r="D73" s="14">
        <v>948633.58</v>
      </c>
      <c r="E73" s="14">
        <v>16393.990000000002</v>
      </c>
      <c r="F73" s="15">
        <v>45164</v>
      </c>
      <c r="G73" s="15">
        <v>45493</v>
      </c>
      <c r="H73" s="14" t="s">
        <v>3503</v>
      </c>
      <c r="I73" s="14" t="s">
        <v>3373</v>
      </c>
      <c r="J73" s="13" t="str" cm="1">
        <f t="array" ref="J73">_xlfn.IFS(
  OR(ISBLANK(A73),ISBLANK(B73),ISBLANK(H73),ISBLANK(D73),ISBLANK(E73)),"Missing Value",
  D73&lt;=0,"Review – Out of Range (Coverage)",
  E73&lt;=0,"Review – Out of Range (Premium)",
  TRUE,"OK"
)</f>
        <v>OK</v>
      </c>
    </row>
    <row r="74" spans="1:10" ht="16.8" x14ac:dyDescent="0.3">
      <c r="A74" s="11" t="s">
        <v>3504</v>
      </c>
      <c r="B74" s="11" t="s">
        <v>1161</v>
      </c>
      <c r="C74" s="11" t="s">
        <v>3377</v>
      </c>
      <c r="D74" s="11">
        <v>220165.25</v>
      </c>
      <c r="E74" s="11">
        <v>32305.27</v>
      </c>
      <c r="F74" s="12">
        <v>44621</v>
      </c>
      <c r="G74" s="12">
        <v>45443</v>
      </c>
      <c r="H74" s="11" t="s">
        <v>3505</v>
      </c>
      <c r="I74" s="11" t="s">
        <v>3361</v>
      </c>
      <c r="J74" s="13" t="str" cm="1">
        <f t="array" ref="J74">_xlfn.IFS(
  OR(ISBLANK(A74),ISBLANK(B74),ISBLANK(H74),ISBLANK(D74),ISBLANK(E74)),"Missing Value",
  D74&lt;=0,"Review – Out of Range (Coverage)",
  E74&lt;=0,"Review – Out of Range (Premium)",
  TRUE,"OK"
)</f>
        <v>OK</v>
      </c>
    </row>
    <row r="75" spans="1:10" ht="16.8" x14ac:dyDescent="0.3">
      <c r="A75" s="14" t="s">
        <v>3506</v>
      </c>
      <c r="B75" s="14" t="s">
        <v>1803</v>
      </c>
      <c r="C75" s="14" t="s">
        <v>3380</v>
      </c>
      <c r="D75" s="14">
        <v>801681.63</v>
      </c>
      <c r="E75" s="14">
        <v>42144.88</v>
      </c>
      <c r="F75" s="15">
        <v>44104</v>
      </c>
      <c r="G75" s="15">
        <v>45137</v>
      </c>
      <c r="H75" s="14" t="s">
        <v>3507</v>
      </c>
      <c r="I75" s="14" t="s">
        <v>3373</v>
      </c>
      <c r="J75" s="13" t="str" cm="1">
        <f t="array" ref="J75">_xlfn.IFS(
  OR(ISBLANK(A75),ISBLANK(B75),ISBLANK(H75),ISBLANK(D75),ISBLANK(E75)),"Missing Value",
  D75&lt;=0,"Review – Out of Range (Coverage)",
  E75&lt;=0,"Review – Out of Range (Premium)",
  TRUE,"OK"
)</f>
        <v>OK</v>
      </c>
    </row>
    <row r="76" spans="1:10" ht="16.8" x14ac:dyDescent="0.3">
      <c r="A76" s="11" t="s">
        <v>3508</v>
      </c>
      <c r="B76" s="11" t="s">
        <v>1971</v>
      </c>
      <c r="C76" s="11" t="s">
        <v>3371</v>
      </c>
      <c r="D76" s="11">
        <v>515140.91</v>
      </c>
      <c r="E76" s="11">
        <v>6681.47</v>
      </c>
      <c r="F76" s="12">
        <v>45053</v>
      </c>
      <c r="G76" s="12">
        <v>45301</v>
      </c>
      <c r="H76" s="11" t="s">
        <v>3429</v>
      </c>
      <c r="I76" s="11" t="s">
        <v>3365</v>
      </c>
      <c r="J76" s="13" t="str" cm="1">
        <f t="array" ref="J76">_xlfn.IFS(
  OR(ISBLANK(A76),ISBLANK(B76),ISBLANK(H76),ISBLANK(D76),ISBLANK(E76)),"Missing Value",
  D76&lt;=0,"Review – Out of Range (Coverage)",
  E76&lt;=0,"Review – Out of Range (Premium)",
  TRUE,"OK"
)</f>
        <v>OK</v>
      </c>
    </row>
    <row r="77" spans="1:10" ht="16.8" x14ac:dyDescent="0.3">
      <c r="A77" s="14" t="s">
        <v>3509</v>
      </c>
      <c r="B77" s="14" t="s">
        <v>1775</v>
      </c>
      <c r="C77" s="14" t="s">
        <v>3363</v>
      </c>
      <c r="D77" s="14">
        <v>380894.96</v>
      </c>
      <c r="E77" s="14">
        <v>16737.41</v>
      </c>
      <c r="F77" s="15">
        <v>45325</v>
      </c>
      <c r="G77" s="15">
        <v>45637</v>
      </c>
      <c r="H77" s="14" t="s">
        <v>3429</v>
      </c>
      <c r="I77" s="14" t="s">
        <v>3361</v>
      </c>
      <c r="J77" s="13" t="str" cm="1">
        <f t="array" ref="J77">_xlfn.IFS(
  OR(ISBLANK(A77),ISBLANK(B77),ISBLANK(H77),ISBLANK(D77),ISBLANK(E77)),"Missing Value",
  D77&lt;=0,"Review – Out of Range (Coverage)",
  E77&lt;=0,"Review – Out of Range (Premium)",
  TRUE,"OK"
)</f>
        <v>OK</v>
      </c>
    </row>
    <row r="78" spans="1:10" ht="16.8" x14ac:dyDescent="0.3">
      <c r="A78" s="11" t="s">
        <v>3510</v>
      </c>
      <c r="B78" s="11" t="s">
        <v>1799</v>
      </c>
      <c r="C78" s="11" t="s">
        <v>3363</v>
      </c>
      <c r="D78" s="11">
        <v>342292.33</v>
      </c>
      <c r="E78" s="11">
        <v>32354.87</v>
      </c>
      <c r="F78" s="12">
        <v>45373</v>
      </c>
      <c r="G78" s="12">
        <v>45388</v>
      </c>
      <c r="H78" s="11" t="s">
        <v>3511</v>
      </c>
      <c r="I78" s="11" t="s">
        <v>3361</v>
      </c>
      <c r="J78" s="13" t="str" cm="1">
        <f t="array" ref="J78">_xlfn.IFS(
  OR(ISBLANK(A78),ISBLANK(B78),ISBLANK(H78),ISBLANK(D78),ISBLANK(E78)),"Missing Value",
  D78&lt;=0,"Review – Out of Range (Coverage)",
  E78&lt;=0,"Review – Out of Range (Premium)",
  TRUE,"OK"
)</f>
        <v>OK</v>
      </c>
    </row>
    <row r="79" spans="1:10" ht="16.8" x14ac:dyDescent="0.3">
      <c r="A79" s="14" t="s">
        <v>3512</v>
      </c>
      <c r="B79" s="14" t="s">
        <v>2381</v>
      </c>
      <c r="C79" s="14" t="s">
        <v>3363</v>
      </c>
      <c r="D79" s="14">
        <v>490589.06</v>
      </c>
      <c r="E79" s="14">
        <v>7958.92</v>
      </c>
      <c r="F79" s="15">
        <v>45476</v>
      </c>
      <c r="G79" s="15">
        <v>45713</v>
      </c>
      <c r="H79" s="14" t="s">
        <v>3409</v>
      </c>
      <c r="I79" s="14" t="s">
        <v>3361</v>
      </c>
      <c r="J79" s="13" t="str" cm="1">
        <f t="array" ref="J79">_xlfn.IFS(
  OR(ISBLANK(A79),ISBLANK(B79),ISBLANK(H79),ISBLANK(D79),ISBLANK(E79)),"Missing Value",
  D79&lt;=0,"Review – Out of Range (Coverage)",
  E79&lt;=0,"Review – Out of Range (Premium)",
  TRUE,"OK"
)</f>
        <v>OK</v>
      </c>
    </row>
    <row r="80" spans="1:10" ht="16.8" x14ac:dyDescent="0.3">
      <c r="A80" s="11" t="s">
        <v>3513</v>
      </c>
      <c r="B80" s="11" t="s">
        <v>701</v>
      </c>
      <c r="C80" s="11" t="s">
        <v>3359</v>
      </c>
      <c r="D80" s="11">
        <v>954517.2</v>
      </c>
      <c r="E80" s="11">
        <v>10718.57</v>
      </c>
      <c r="F80" s="12">
        <v>45302</v>
      </c>
      <c r="G80" s="12">
        <v>45696</v>
      </c>
      <c r="H80" s="11" t="s">
        <v>3465</v>
      </c>
      <c r="I80" s="11" t="s">
        <v>3373</v>
      </c>
      <c r="J80" s="13" t="str" cm="1">
        <f t="array" ref="J80">_xlfn.IFS(
  OR(ISBLANK(A80),ISBLANK(B80),ISBLANK(H80),ISBLANK(D80),ISBLANK(E80)),"Missing Value",
  D80&lt;=0,"Review – Out of Range (Coverage)",
  E80&lt;=0,"Review – Out of Range (Premium)",
  TRUE,"OK"
)</f>
        <v>OK</v>
      </c>
    </row>
    <row r="81" spans="1:10" ht="16.8" x14ac:dyDescent="0.3">
      <c r="A81" s="14" t="s">
        <v>3514</v>
      </c>
      <c r="B81" s="14" t="s">
        <v>440</v>
      </c>
      <c r="C81" s="14" t="s">
        <v>3359</v>
      </c>
      <c r="D81" s="14">
        <v>837692.43</v>
      </c>
      <c r="E81" s="14">
        <v>7476.89</v>
      </c>
      <c r="F81" s="15">
        <v>44710</v>
      </c>
      <c r="G81" s="15">
        <v>45444</v>
      </c>
      <c r="H81" s="14" t="s">
        <v>3515</v>
      </c>
      <c r="I81" s="14" t="s">
        <v>3373</v>
      </c>
      <c r="J81" s="13" t="str" cm="1">
        <f t="array" ref="J81">_xlfn.IFS(
  OR(ISBLANK(A81),ISBLANK(B81),ISBLANK(H81),ISBLANK(D81),ISBLANK(E81)),"Missing Value",
  D81&lt;=0,"Review – Out of Range (Coverage)",
  E81&lt;=0,"Review – Out of Range (Premium)",
  TRUE,"OK"
)</f>
        <v>OK</v>
      </c>
    </row>
    <row r="82" spans="1:10" ht="16.8" x14ac:dyDescent="0.3">
      <c r="A82" s="11" t="s">
        <v>3516</v>
      </c>
      <c r="B82" s="11" t="s">
        <v>2773</v>
      </c>
      <c r="C82" s="11" t="s">
        <v>3359</v>
      </c>
      <c r="D82" s="11">
        <v>885561.58</v>
      </c>
      <c r="E82" s="11">
        <v>13814.82</v>
      </c>
      <c r="F82" s="12">
        <v>45340</v>
      </c>
      <c r="G82" s="12">
        <v>45512</v>
      </c>
      <c r="H82" s="11" t="s">
        <v>3517</v>
      </c>
      <c r="I82" s="11" t="s">
        <v>3361</v>
      </c>
      <c r="J82" s="13" t="str" cm="1">
        <f t="array" ref="J82">_xlfn.IFS(
  OR(ISBLANK(A82),ISBLANK(B82),ISBLANK(H82),ISBLANK(D82),ISBLANK(E82)),"Missing Value",
  D82&lt;=0,"Review – Out of Range (Coverage)",
  E82&lt;=0,"Review – Out of Range (Premium)",
  TRUE,"OK"
)</f>
        <v>OK</v>
      </c>
    </row>
    <row r="83" spans="1:10" ht="16.8" x14ac:dyDescent="0.3">
      <c r="A83" s="14" t="s">
        <v>3518</v>
      </c>
      <c r="B83" s="14" t="s">
        <v>3278</v>
      </c>
      <c r="C83" s="14" t="s">
        <v>3363</v>
      </c>
      <c r="D83" s="14">
        <v>915374.09</v>
      </c>
      <c r="E83" s="14">
        <v>10366.44</v>
      </c>
      <c r="F83" s="15">
        <v>45418</v>
      </c>
      <c r="G83" s="15">
        <v>45830</v>
      </c>
      <c r="H83" s="14" t="s">
        <v>3436</v>
      </c>
      <c r="I83" s="14" t="s">
        <v>3365</v>
      </c>
      <c r="J83" s="13" t="str" cm="1">
        <f t="array" ref="J83">_xlfn.IFS(
  OR(ISBLANK(A83),ISBLANK(B83),ISBLANK(H83),ISBLANK(D83),ISBLANK(E83)),"Missing Value",
  D83&lt;=0,"Review – Out of Range (Coverage)",
  E83&lt;=0,"Review – Out of Range (Premium)",
  TRUE,"OK"
)</f>
        <v>OK</v>
      </c>
    </row>
    <row r="84" spans="1:10" ht="16.8" x14ac:dyDescent="0.3">
      <c r="A84" s="11" t="s">
        <v>3519</v>
      </c>
      <c r="B84" s="11" t="s">
        <v>490</v>
      </c>
      <c r="C84" s="11" t="s">
        <v>3380</v>
      </c>
      <c r="D84" s="11">
        <v>601549.79</v>
      </c>
      <c r="E84" s="11">
        <v>15764.39</v>
      </c>
      <c r="F84" s="12">
        <v>44648</v>
      </c>
      <c r="G84" s="12">
        <v>45265</v>
      </c>
      <c r="H84" s="11" t="s">
        <v>3447</v>
      </c>
      <c r="I84" s="11" t="s">
        <v>3361</v>
      </c>
      <c r="J84" s="13" t="str" cm="1">
        <f t="array" ref="J84">_xlfn.IFS(
  OR(ISBLANK(A84),ISBLANK(B84),ISBLANK(H84),ISBLANK(D84),ISBLANK(E84)),"Missing Value",
  D84&lt;=0,"Review – Out of Range (Coverage)",
  E84&lt;=0,"Review – Out of Range (Premium)",
  TRUE,"OK"
)</f>
        <v>OK</v>
      </c>
    </row>
    <row r="85" spans="1:10" ht="16.8" x14ac:dyDescent="0.3">
      <c r="A85" s="14" t="s">
        <v>3520</v>
      </c>
      <c r="B85" s="14" t="s">
        <v>2995</v>
      </c>
      <c r="C85" s="14" t="s">
        <v>3371</v>
      </c>
      <c r="D85" s="14">
        <v>149292.31</v>
      </c>
      <c r="E85" s="14">
        <v>8591.39</v>
      </c>
      <c r="F85" s="15">
        <v>45443</v>
      </c>
      <c r="G85" s="15">
        <v>45641</v>
      </c>
      <c r="H85" s="14" t="s">
        <v>3507</v>
      </c>
      <c r="I85" s="14" t="s">
        <v>3365</v>
      </c>
      <c r="J85" s="13" t="str" cm="1">
        <f t="array" ref="J85">_xlfn.IFS(
  OR(ISBLANK(A85),ISBLANK(B85),ISBLANK(H85),ISBLANK(D85),ISBLANK(E85)),"Missing Value",
  D85&lt;=0,"Review – Out of Range (Coverage)",
  E85&lt;=0,"Review – Out of Range (Premium)",
  TRUE,"OK"
)</f>
        <v>OK</v>
      </c>
    </row>
    <row r="86" spans="1:10" ht="16.8" x14ac:dyDescent="0.3">
      <c r="A86" s="11" t="s">
        <v>3521</v>
      </c>
      <c r="B86" s="11" t="s">
        <v>1893</v>
      </c>
      <c r="C86" s="11" t="s">
        <v>3377</v>
      </c>
      <c r="D86" s="11">
        <v>461052.47</v>
      </c>
      <c r="E86" s="11">
        <v>3223.38</v>
      </c>
      <c r="F86" s="12">
        <v>45402</v>
      </c>
      <c r="G86" s="12">
        <v>45611</v>
      </c>
      <c r="H86" s="11" t="s">
        <v>3522</v>
      </c>
      <c r="I86" s="11" t="s">
        <v>3361</v>
      </c>
      <c r="J86" s="13" t="str" cm="1">
        <f t="array" ref="J86">_xlfn.IFS(
  OR(ISBLANK(A86),ISBLANK(B86),ISBLANK(H86),ISBLANK(D86),ISBLANK(E86)),"Missing Value",
  D86&lt;=0,"Review – Out of Range (Coverage)",
  E86&lt;=0,"Review – Out of Range (Premium)",
  TRUE,"OK"
)</f>
        <v>OK</v>
      </c>
    </row>
    <row r="87" spans="1:10" ht="16.8" x14ac:dyDescent="0.3">
      <c r="A87" s="14" t="s">
        <v>3523</v>
      </c>
      <c r="B87" s="14" t="s">
        <v>2505</v>
      </c>
      <c r="C87" s="14" t="s">
        <v>3371</v>
      </c>
      <c r="D87" s="14">
        <v>716526.07</v>
      </c>
      <c r="E87" s="14">
        <v>9221.3799999999992</v>
      </c>
      <c r="F87" s="15">
        <v>44736</v>
      </c>
      <c r="G87" s="15">
        <v>44991</v>
      </c>
      <c r="H87" s="14" t="s">
        <v>3524</v>
      </c>
      <c r="I87" s="14" t="s">
        <v>3373</v>
      </c>
      <c r="J87" s="13" t="str" cm="1">
        <f t="array" ref="J87">_xlfn.IFS(
  OR(ISBLANK(A87),ISBLANK(B87),ISBLANK(H87),ISBLANK(D87),ISBLANK(E87)),"Missing Value",
  D87&lt;=0,"Review – Out of Range (Coverage)",
  E87&lt;=0,"Review – Out of Range (Premium)",
  TRUE,"OK"
)</f>
        <v>OK</v>
      </c>
    </row>
    <row r="88" spans="1:10" ht="16.8" x14ac:dyDescent="0.3">
      <c r="A88" s="11" t="s">
        <v>3525</v>
      </c>
      <c r="B88" s="11" t="s">
        <v>3162</v>
      </c>
      <c r="C88" s="11" t="s">
        <v>3377</v>
      </c>
      <c r="D88" s="11">
        <v>111527.76</v>
      </c>
      <c r="E88" s="11">
        <v>47388.97</v>
      </c>
      <c r="F88" s="12">
        <v>44466</v>
      </c>
      <c r="G88" s="12">
        <v>44481</v>
      </c>
      <c r="H88" s="11" t="s">
        <v>3526</v>
      </c>
      <c r="I88" s="11" t="s">
        <v>3365</v>
      </c>
      <c r="J88" s="13" t="str" cm="1">
        <f t="array" ref="J88">_xlfn.IFS(
  OR(ISBLANK(A88),ISBLANK(B88),ISBLANK(H88),ISBLANK(D88),ISBLANK(E88)),"Missing Value",
  D88&lt;=0,"Review – Out of Range (Coverage)",
  E88&lt;=0,"Review – Out of Range (Premium)",
  TRUE,"OK"
)</f>
        <v>OK</v>
      </c>
    </row>
    <row r="89" spans="1:10" ht="16.8" x14ac:dyDescent="0.3">
      <c r="A89" s="14" t="s">
        <v>3527</v>
      </c>
      <c r="B89" s="14" t="s">
        <v>2797</v>
      </c>
      <c r="C89" s="14" t="s">
        <v>3359</v>
      </c>
      <c r="D89" s="14">
        <v>172332.75</v>
      </c>
      <c r="E89" s="14">
        <v>41480.97</v>
      </c>
      <c r="F89" s="15">
        <v>45380</v>
      </c>
      <c r="G89" s="15">
        <v>45527</v>
      </c>
      <c r="H89" s="14" t="s">
        <v>3528</v>
      </c>
      <c r="I89" s="14" t="s">
        <v>3361</v>
      </c>
      <c r="J89" s="13" t="str" cm="1">
        <f t="array" ref="J89">_xlfn.IFS(
  OR(ISBLANK(A89),ISBLANK(B89),ISBLANK(H89),ISBLANK(D89),ISBLANK(E89)),"Missing Value",
  D89&lt;=0,"Review – Out of Range (Coverage)",
  E89&lt;=0,"Review – Out of Range (Premium)",
  TRUE,"OK"
)</f>
        <v>OK</v>
      </c>
    </row>
    <row r="90" spans="1:10" ht="16.8" x14ac:dyDescent="0.3">
      <c r="A90" s="11" t="s">
        <v>3529</v>
      </c>
      <c r="B90" s="11" t="s">
        <v>2255</v>
      </c>
      <c r="C90" s="11" t="s">
        <v>3359</v>
      </c>
      <c r="D90" s="11">
        <v>161995.34</v>
      </c>
      <c r="E90" s="11">
        <v>4777.18</v>
      </c>
      <c r="F90" s="12">
        <v>44987</v>
      </c>
      <c r="G90" s="12">
        <v>45553</v>
      </c>
      <c r="H90" s="11" t="s">
        <v>3530</v>
      </c>
      <c r="I90" s="11" t="s">
        <v>3361</v>
      </c>
      <c r="J90" s="13" t="str" cm="1">
        <f t="array" ref="J90">_xlfn.IFS(
  OR(ISBLANK(A90),ISBLANK(B90),ISBLANK(H90),ISBLANK(D90),ISBLANK(E90)),"Missing Value",
  D90&lt;=0,"Review – Out of Range (Coverage)",
  E90&lt;=0,"Review – Out of Range (Premium)",
  TRUE,"OK"
)</f>
        <v>OK</v>
      </c>
    </row>
    <row r="91" spans="1:10" ht="16.8" x14ac:dyDescent="0.3">
      <c r="A91" s="14" t="s">
        <v>3531</v>
      </c>
      <c r="B91" s="14" t="s">
        <v>1009</v>
      </c>
      <c r="C91" s="14" t="s">
        <v>3359</v>
      </c>
      <c r="D91" s="14">
        <v>135122.96</v>
      </c>
      <c r="E91" s="14">
        <v>29699.48</v>
      </c>
      <c r="F91" s="15">
        <v>45110</v>
      </c>
      <c r="G91" s="15">
        <v>45822</v>
      </c>
      <c r="H91" s="14" t="s">
        <v>3532</v>
      </c>
      <c r="I91" s="14" t="s">
        <v>3365</v>
      </c>
      <c r="J91" s="13" t="str" cm="1">
        <f t="array" ref="J91">_xlfn.IFS(
  OR(ISBLANK(A91),ISBLANK(B91),ISBLANK(H91),ISBLANK(D91),ISBLANK(E91)),"Missing Value",
  D91&lt;=0,"Review – Out of Range (Coverage)",
  E91&lt;=0,"Review – Out of Range (Premium)",
  TRUE,"OK"
)</f>
        <v>OK</v>
      </c>
    </row>
    <row r="92" spans="1:10" ht="16.8" x14ac:dyDescent="0.3">
      <c r="A92" s="11" t="s">
        <v>3533</v>
      </c>
      <c r="B92" s="11" t="s">
        <v>2821</v>
      </c>
      <c r="C92" s="11" t="s">
        <v>3371</v>
      </c>
      <c r="D92" s="11">
        <v>317421.93</v>
      </c>
      <c r="E92" s="11">
        <v>35803.160000000003</v>
      </c>
      <c r="F92" s="12">
        <v>45322</v>
      </c>
      <c r="G92" s="12">
        <v>45777</v>
      </c>
      <c r="H92" s="11" t="s">
        <v>3534</v>
      </c>
      <c r="I92" s="11" t="s">
        <v>3365</v>
      </c>
      <c r="J92" s="13" t="str" cm="1">
        <f t="array" ref="J92">_xlfn.IFS(
  OR(ISBLANK(A92),ISBLANK(B92),ISBLANK(H92),ISBLANK(D92),ISBLANK(E92)),"Missing Value",
  D92&lt;=0,"Review – Out of Range (Coverage)",
  E92&lt;=0,"Review – Out of Range (Premium)",
  TRUE,"OK"
)</f>
        <v>OK</v>
      </c>
    </row>
    <row r="93" spans="1:10" ht="16.8" x14ac:dyDescent="0.3">
      <c r="A93" s="14" t="s">
        <v>3535</v>
      </c>
      <c r="B93" s="14" t="s">
        <v>1593</v>
      </c>
      <c r="C93" s="14" t="s">
        <v>3371</v>
      </c>
      <c r="D93" s="14">
        <v>800532.65</v>
      </c>
      <c r="E93" s="14">
        <v>37235.75</v>
      </c>
      <c r="F93" s="15">
        <v>44372</v>
      </c>
      <c r="G93" s="15">
        <v>45579</v>
      </c>
      <c r="H93" s="14" t="s">
        <v>3536</v>
      </c>
      <c r="I93" s="14" t="s">
        <v>3365</v>
      </c>
      <c r="J93" s="13" t="str" cm="1">
        <f t="array" ref="J93">_xlfn.IFS(
  OR(ISBLANK(A93),ISBLANK(B93),ISBLANK(H93),ISBLANK(D93),ISBLANK(E93)),"Missing Value",
  D93&lt;=0,"Review – Out of Range (Coverage)",
  E93&lt;=0,"Review – Out of Range (Premium)",
  TRUE,"OK"
)</f>
        <v>OK</v>
      </c>
    </row>
    <row r="94" spans="1:10" ht="16.8" x14ac:dyDescent="0.3">
      <c r="A94" s="11" t="s">
        <v>3537</v>
      </c>
      <c r="B94" s="11" t="s">
        <v>2603</v>
      </c>
      <c r="C94" s="11" t="s">
        <v>3359</v>
      </c>
      <c r="D94" s="11">
        <v>543240.95999999996</v>
      </c>
      <c r="E94" s="11">
        <v>31294.86</v>
      </c>
      <c r="F94" s="12">
        <v>44174</v>
      </c>
      <c r="G94" s="12">
        <v>45093</v>
      </c>
      <c r="H94" s="11" t="s">
        <v>3538</v>
      </c>
      <c r="I94" s="11" t="s">
        <v>3373</v>
      </c>
      <c r="J94" s="13" t="str" cm="1">
        <f t="array" ref="J94">_xlfn.IFS(
  OR(ISBLANK(A94),ISBLANK(B94),ISBLANK(H94),ISBLANK(D94),ISBLANK(E94)),"Missing Value",
  D94&lt;=0,"Review – Out of Range (Coverage)",
  E94&lt;=0,"Review – Out of Range (Premium)",
  TRUE,"OK"
)</f>
        <v>OK</v>
      </c>
    </row>
    <row r="95" spans="1:10" ht="16.8" x14ac:dyDescent="0.3">
      <c r="A95" s="14" t="s">
        <v>3539</v>
      </c>
      <c r="B95" s="14" t="s">
        <v>164</v>
      </c>
      <c r="C95" s="14" t="s">
        <v>3359</v>
      </c>
      <c r="D95" s="14">
        <v>791046.36</v>
      </c>
      <c r="E95" s="14">
        <v>47015.31</v>
      </c>
      <c r="F95" s="15">
        <v>44984</v>
      </c>
      <c r="G95" s="15">
        <v>45256</v>
      </c>
      <c r="H95" s="14" t="s">
        <v>3540</v>
      </c>
      <c r="I95" s="14" t="s">
        <v>3361</v>
      </c>
      <c r="J95" s="13" t="str" cm="1">
        <f t="array" ref="J95">_xlfn.IFS(
  OR(ISBLANK(A95),ISBLANK(B95),ISBLANK(H95),ISBLANK(D95),ISBLANK(E95)),"Missing Value",
  D95&lt;=0,"Review – Out of Range (Coverage)",
  E95&lt;=0,"Review – Out of Range (Premium)",
  TRUE,"OK"
)</f>
        <v>OK</v>
      </c>
    </row>
    <row r="96" spans="1:10" ht="16.8" x14ac:dyDescent="0.3">
      <c r="A96" s="11" t="s">
        <v>3541</v>
      </c>
      <c r="B96" s="11" t="s">
        <v>1397</v>
      </c>
      <c r="C96" s="11" t="s">
        <v>3371</v>
      </c>
      <c r="D96" s="11">
        <v>645759.62</v>
      </c>
      <c r="E96" s="11">
        <v>34304.629999999997</v>
      </c>
      <c r="F96" s="12">
        <v>44429</v>
      </c>
      <c r="G96" s="12">
        <v>44854</v>
      </c>
      <c r="H96" s="11" t="s">
        <v>3495</v>
      </c>
      <c r="I96" s="11" t="s">
        <v>3373</v>
      </c>
      <c r="J96" s="13" t="str" cm="1">
        <f t="array" ref="J96">_xlfn.IFS(
  OR(ISBLANK(A96),ISBLANK(B96),ISBLANK(H96),ISBLANK(D96),ISBLANK(E96)),"Missing Value",
  D96&lt;=0,"Review – Out of Range (Coverage)",
  E96&lt;=0,"Review – Out of Range (Premium)",
  TRUE,"OK"
)</f>
        <v>OK</v>
      </c>
    </row>
    <row r="97" spans="1:10" ht="16.8" x14ac:dyDescent="0.3">
      <c r="A97" s="14" t="s">
        <v>3542</v>
      </c>
      <c r="B97" s="14" t="s">
        <v>1263</v>
      </c>
      <c r="C97" s="14" t="s">
        <v>3363</v>
      </c>
      <c r="D97" s="14">
        <v>167035.54</v>
      </c>
      <c r="E97" s="14">
        <v>47731.63</v>
      </c>
      <c r="F97" s="15">
        <v>45457</v>
      </c>
      <c r="G97" s="15">
        <v>45812</v>
      </c>
      <c r="H97" s="14" t="s">
        <v>3543</v>
      </c>
      <c r="I97" s="14" t="s">
        <v>3361</v>
      </c>
      <c r="J97" s="13" t="str" cm="1">
        <f t="array" ref="J97">_xlfn.IFS(
  OR(ISBLANK(A97),ISBLANK(B97),ISBLANK(H97),ISBLANK(D97),ISBLANK(E97)),"Missing Value",
  D97&lt;=0,"Review – Out of Range (Coverage)",
  E97&lt;=0,"Review – Out of Range (Premium)",
  TRUE,"OK"
)</f>
        <v>OK</v>
      </c>
    </row>
    <row r="98" spans="1:10" ht="16.8" x14ac:dyDescent="0.3">
      <c r="A98" s="11" t="s">
        <v>3544</v>
      </c>
      <c r="B98" s="11" t="s">
        <v>2271</v>
      </c>
      <c r="C98" s="11" t="s">
        <v>3371</v>
      </c>
      <c r="D98" s="11">
        <v>197552.56</v>
      </c>
      <c r="E98" s="11">
        <v>43641.75</v>
      </c>
      <c r="F98" s="12">
        <v>44432</v>
      </c>
      <c r="G98" s="12">
        <v>45390</v>
      </c>
      <c r="H98" s="11" t="s">
        <v>3545</v>
      </c>
      <c r="I98" s="11" t="s">
        <v>3365</v>
      </c>
      <c r="J98" s="13" t="str" cm="1">
        <f t="array" ref="J98">_xlfn.IFS(
  OR(ISBLANK(A98),ISBLANK(B98),ISBLANK(H98),ISBLANK(D98),ISBLANK(E98)),"Missing Value",
  D98&lt;=0,"Review – Out of Range (Coverage)",
  E98&lt;=0,"Review – Out of Range (Premium)",
  TRUE,"OK"
)</f>
        <v>OK</v>
      </c>
    </row>
    <row r="99" spans="1:10" ht="16.8" x14ac:dyDescent="0.3">
      <c r="A99" s="14" t="s">
        <v>3546</v>
      </c>
      <c r="B99" s="14" t="s">
        <v>1093</v>
      </c>
      <c r="C99" s="14" t="s">
        <v>3371</v>
      </c>
      <c r="D99" s="14">
        <v>927838.69</v>
      </c>
      <c r="E99" s="14">
        <v>28296.240000000002</v>
      </c>
      <c r="F99" s="15">
        <v>45013</v>
      </c>
      <c r="G99" s="15">
        <v>45146</v>
      </c>
      <c r="H99" s="14" t="s">
        <v>3547</v>
      </c>
      <c r="I99" s="14" t="s">
        <v>3373</v>
      </c>
      <c r="J99" s="13" t="str" cm="1">
        <f t="array" ref="J99">_xlfn.IFS(
  OR(ISBLANK(A99),ISBLANK(B99),ISBLANK(H99),ISBLANK(D99),ISBLANK(E99)),"Missing Value",
  D99&lt;=0,"Review – Out of Range (Coverage)",
  E99&lt;=0,"Review – Out of Range (Premium)",
  TRUE,"OK"
)</f>
        <v>OK</v>
      </c>
    </row>
    <row r="100" spans="1:10" ht="16.8" x14ac:dyDescent="0.3">
      <c r="A100" s="11" t="s">
        <v>3548</v>
      </c>
      <c r="B100" s="11" t="s">
        <v>280</v>
      </c>
      <c r="C100" s="11" t="s">
        <v>3380</v>
      </c>
      <c r="D100" s="11">
        <v>293809.48</v>
      </c>
      <c r="E100" s="11">
        <v>40343.71</v>
      </c>
      <c r="F100" s="12">
        <v>45138</v>
      </c>
      <c r="G100" s="12">
        <v>45143</v>
      </c>
      <c r="H100" s="11" t="s">
        <v>3549</v>
      </c>
      <c r="I100" s="11" t="s">
        <v>3365</v>
      </c>
      <c r="J100" s="13" t="str" cm="1">
        <f t="array" ref="J100">_xlfn.IFS(
  OR(ISBLANK(A100),ISBLANK(B100),ISBLANK(H100),ISBLANK(D100),ISBLANK(E100)),"Missing Value",
  D100&lt;=0,"Review – Out of Range (Coverage)",
  E100&lt;=0,"Review – Out of Range (Premium)",
  TRUE,"OK"
)</f>
        <v>OK</v>
      </c>
    </row>
    <row r="101" spans="1:10" ht="16.8" x14ac:dyDescent="0.3">
      <c r="A101" s="14" t="s">
        <v>3550</v>
      </c>
      <c r="B101" s="14" t="s">
        <v>893</v>
      </c>
      <c r="C101" s="14" t="s">
        <v>3371</v>
      </c>
      <c r="D101" s="14">
        <v>954055.38</v>
      </c>
      <c r="E101" s="14">
        <v>45435.29</v>
      </c>
      <c r="F101" s="15">
        <v>44914</v>
      </c>
      <c r="G101" s="15">
        <v>45331</v>
      </c>
      <c r="H101" s="14" t="s">
        <v>3551</v>
      </c>
      <c r="I101" s="14" t="s">
        <v>3361</v>
      </c>
      <c r="J101" s="13" t="str" cm="1">
        <f t="array" ref="J101">_xlfn.IFS(
  OR(ISBLANK(A101),ISBLANK(B101),ISBLANK(H101),ISBLANK(D101),ISBLANK(E101)),"Missing Value",
  D101&lt;=0,"Review – Out of Range (Coverage)",
  E101&lt;=0,"Review – Out of Range (Premium)",
  TRUE,"OK"
)</f>
        <v>OK</v>
      </c>
    </row>
    <row r="102" spans="1:10" ht="16.8" x14ac:dyDescent="0.3">
      <c r="A102" s="11" t="s">
        <v>3552</v>
      </c>
      <c r="B102" s="11" t="s">
        <v>3326</v>
      </c>
      <c r="C102" s="11" t="s">
        <v>3363</v>
      </c>
      <c r="D102" s="11">
        <v>313985.46999999997</v>
      </c>
      <c r="E102" s="11">
        <v>30711.360000000001</v>
      </c>
      <c r="F102" s="12">
        <v>45468</v>
      </c>
      <c r="G102" s="12">
        <v>45632</v>
      </c>
      <c r="H102" s="11" t="s">
        <v>3553</v>
      </c>
      <c r="I102" s="11" t="s">
        <v>3365</v>
      </c>
      <c r="J102" s="13" t="str" cm="1">
        <f t="array" ref="J102">_xlfn.IFS(
  OR(ISBLANK(A102),ISBLANK(B102),ISBLANK(H102),ISBLANK(D102),ISBLANK(E102)),"Missing Value",
  D102&lt;=0,"Review – Out of Range (Coverage)",
  E102&lt;=0,"Review – Out of Range (Premium)",
  TRUE,"OK"
)</f>
        <v>OK</v>
      </c>
    </row>
    <row r="103" spans="1:10" ht="16.8" x14ac:dyDescent="0.3">
      <c r="A103" s="14" t="s">
        <v>3554</v>
      </c>
      <c r="B103" s="14" t="s">
        <v>3264</v>
      </c>
      <c r="C103" s="14" t="s">
        <v>3377</v>
      </c>
      <c r="D103" s="14">
        <v>100770.05</v>
      </c>
      <c r="E103" s="14">
        <v>28049.8</v>
      </c>
      <c r="F103" s="15">
        <v>44437</v>
      </c>
      <c r="G103" s="15">
        <v>45311</v>
      </c>
      <c r="H103" s="14" t="s">
        <v>3555</v>
      </c>
      <c r="I103" s="14" t="s">
        <v>3361</v>
      </c>
      <c r="J103" s="13" t="str" cm="1">
        <f t="array" ref="J103">_xlfn.IFS(
  OR(ISBLANK(A103),ISBLANK(B103),ISBLANK(H103),ISBLANK(D103),ISBLANK(E103)),"Missing Value",
  D103&lt;=0,"Review – Out of Range (Coverage)",
  E103&lt;=0,"Review – Out of Range (Premium)",
  TRUE,"OK"
)</f>
        <v>OK</v>
      </c>
    </row>
    <row r="104" spans="1:10" ht="16.8" x14ac:dyDescent="0.3">
      <c r="A104" s="11" t="s">
        <v>3556</v>
      </c>
      <c r="B104" s="11" t="s">
        <v>2201</v>
      </c>
      <c r="C104" s="11" t="s">
        <v>3363</v>
      </c>
      <c r="D104" s="11">
        <v>141895.73000000001</v>
      </c>
      <c r="E104" s="11">
        <v>33263.25</v>
      </c>
      <c r="F104" s="12">
        <v>44760</v>
      </c>
      <c r="G104" s="12">
        <v>44972</v>
      </c>
      <c r="H104" s="11" t="s">
        <v>3383</v>
      </c>
      <c r="I104" s="11" t="s">
        <v>3365</v>
      </c>
      <c r="J104" s="13" t="str" cm="1">
        <f t="array" ref="J104">_xlfn.IFS(
  OR(ISBLANK(A104),ISBLANK(B104),ISBLANK(H104),ISBLANK(D104),ISBLANK(E104)),"Missing Value",
  D104&lt;=0,"Review – Out of Range (Coverage)",
  E104&lt;=0,"Review – Out of Range (Premium)",
  TRUE,"OK"
)</f>
        <v>OK</v>
      </c>
    </row>
    <row r="105" spans="1:10" ht="16.8" x14ac:dyDescent="0.3">
      <c r="A105" s="14" t="s">
        <v>3557</v>
      </c>
      <c r="B105" s="14" t="s">
        <v>1629</v>
      </c>
      <c r="C105" s="14" t="s">
        <v>3371</v>
      </c>
      <c r="D105" s="14">
        <v>343172.13</v>
      </c>
      <c r="E105" s="14">
        <v>40924.17</v>
      </c>
      <c r="F105" s="15">
        <v>44824</v>
      </c>
      <c r="G105" s="15">
        <v>45558</v>
      </c>
      <c r="H105" s="14" t="s">
        <v>3558</v>
      </c>
      <c r="I105" s="14" t="s">
        <v>3373</v>
      </c>
      <c r="J105" s="13" t="str" cm="1">
        <f t="array" ref="J105">_xlfn.IFS(
  OR(ISBLANK(A105),ISBLANK(B105),ISBLANK(H105),ISBLANK(D105),ISBLANK(E105)),"Missing Value",
  D105&lt;=0,"Review – Out of Range (Coverage)",
  E105&lt;=0,"Review – Out of Range (Premium)",
  TRUE,"OK"
)</f>
        <v>OK</v>
      </c>
    </row>
    <row r="106" spans="1:10" ht="16.8" x14ac:dyDescent="0.3">
      <c r="A106" s="11" t="s">
        <v>3559</v>
      </c>
      <c r="B106" s="11" t="s">
        <v>3282</v>
      </c>
      <c r="C106" s="11" t="s">
        <v>3377</v>
      </c>
      <c r="D106" s="11">
        <v>576462.87</v>
      </c>
      <c r="E106" s="11">
        <v>28255.759999999998</v>
      </c>
      <c r="F106" s="12">
        <v>45347</v>
      </c>
      <c r="G106" s="12">
        <v>45588</v>
      </c>
      <c r="H106" s="11" t="s">
        <v>3560</v>
      </c>
      <c r="I106" s="11" t="s">
        <v>3365</v>
      </c>
      <c r="J106" s="13" t="str" cm="1">
        <f t="array" ref="J106">_xlfn.IFS(
  OR(ISBLANK(A106),ISBLANK(B106),ISBLANK(H106),ISBLANK(D106),ISBLANK(E106)),"Missing Value",
  D106&lt;=0,"Review – Out of Range (Coverage)",
  E106&lt;=0,"Review – Out of Range (Premium)",
  TRUE,"OK"
)</f>
        <v>OK</v>
      </c>
    </row>
    <row r="107" spans="1:10" ht="16.8" x14ac:dyDescent="0.3">
      <c r="A107" s="14" t="s">
        <v>3561</v>
      </c>
      <c r="B107" s="14" t="s">
        <v>1225</v>
      </c>
      <c r="C107" s="14" t="s">
        <v>3359</v>
      </c>
      <c r="D107" s="14">
        <v>282392.31</v>
      </c>
      <c r="E107" s="14">
        <v>44480.73</v>
      </c>
      <c r="F107" s="15">
        <v>45483</v>
      </c>
      <c r="G107" s="15">
        <v>45743</v>
      </c>
      <c r="H107" s="14" t="s">
        <v>3562</v>
      </c>
      <c r="I107" s="14" t="s">
        <v>3361</v>
      </c>
      <c r="J107" s="13" t="str" cm="1">
        <f t="array" ref="J107">_xlfn.IFS(
  OR(ISBLANK(A107),ISBLANK(B107),ISBLANK(H107),ISBLANK(D107),ISBLANK(E107)),"Missing Value",
  D107&lt;=0,"Review – Out of Range (Coverage)",
  E107&lt;=0,"Review – Out of Range (Premium)",
  TRUE,"OK"
)</f>
        <v>OK</v>
      </c>
    </row>
    <row r="108" spans="1:10" ht="16.8" x14ac:dyDescent="0.3">
      <c r="A108" s="11" t="s">
        <v>3563</v>
      </c>
      <c r="B108" s="11" t="s">
        <v>2913</v>
      </c>
      <c r="C108" s="11" t="s">
        <v>3380</v>
      </c>
      <c r="D108" s="11">
        <v>286594.32</v>
      </c>
      <c r="E108" s="11">
        <v>21817.94</v>
      </c>
      <c r="F108" s="12">
        <v>44948</v>
      </c>
      <c r="G108" s="12">
        <v>45413</v>
      </c>
      <c r="H108" s="11" t="s">
        <v>3564</v>
      </c>
      <c r="I108" s="11" t="s">
        <v>3373</v>
      </c>
      <c r="J108" s="13" t="str" cm="1">
        <f t="array" ref="J108">_xlfn.IFS(
  OR(ISBLANK(A108),ISBLANK(B108),ISBLANK(H108),ISBLANK(D108),ISBLANK(E108)),"Missing Value",
  D108&lt;=0,"Review – Out of Range (Coverage)",
  E108&lt;=0,"Review – Out of Range (Premium)",
  TRUE,"OK"
)</f>
        <v>OK</v>
      </c>
    </row>
    <row r="109" spans="1:10" ht="16.8" x14ac:dyDescent="0.3">
      <c r="A109" s="14" t="s">
        <v>3565</v>
      </c>
      <c r="B109" s="14" t="s">
        <v>885</v>
      </c>
      <c r="C109" s="14" t="s">
        <v>3363</v>
      </c>
      <c r="D109" s="14">
        <v>846956.1</v>
      </c>
      <c r="E109" s="14">
        <v>36758.230000000003</v>
      </c>
      <c r="F109" s="15">
        <v>45241</v>
      </c>
      <c r="G109" s="15">
        <v>45481</v>
      </c>
      <c r="H109" s="14" t="s">
        <v>3551</v>
      </c>
      <c r="I109" s="14" t="s">
        <v>3365</v>
      </c>
      <c r="J109" s="13" t="str" cm="1">
        <f t="array" ref="J109">_xlfn.IFS(
  OR(ISBLANK(A109),ISBLANK(B109),ISBLANK(H109),ISBLANK(D109),ISBLANK(E109)),"Missing Value",
  D109&lt;=0,"Review – Out of Range (Coverage)",
  E109&lt;=0,"Review – Out of Range (Premium)",
  TRUE,"OK"
)</f>
        <v>OK</v>
      </c>
    </row>
    <row r="110" spans="1:10" ht="16.8" x14ac:dyDescent="0.3">
      <c r="A110" s="11" t="s">
        <v>3566</v>
      </c>
      <c r="B110" s="11" t="s">
        <v>1711</v>
      </c>
      <c r="C110" s="11" t="s">
        <v>3371</v>
      </c>
      <c r="D110" s="11">
        <v>827365.3</v>
      </c>
      <c r="E110" s="11">
        <v>12617.37</v>
      </c>
      <c r="F110" s="12">
        <v>44148</v>
      </c>
      <c r="G110" s="12">
        <v>45695</v>
      </c>
      <c r="H110" s="11" t="s">
        <v>3567</v>
      </c>
      <c r="I110" s="11" t="s">
        <v>3373</v>
      </c>
      <c r="J110" s="13" t="str" cm="1">
        <f t="array" ref="J110">_xlfn.IFS(
  OR(ISBLANK(A110),ISBLANK(B110),ISBLANK(H110),ISBLANK(D110),ISBLANK(E110)),"Missing Value",
  D110&lt;=0,"Review – Out of Range (Coverage)",
  E110&lt;=0,"Review – Out of Range (Premium)",
  TRUE,"OK"
)</f>
        <v>OK</v>
      </c>
    </row>
    <row r="111" spans="1:10" ht="16.8" x14ac:dyDescent="0.3">
      <c r="A111" s="14" t="s">
        <v>3568</v>
      </c>
      <c r="B111" s="14" t="s">
        <v>2195</v>
      </c>
      <c r="C111" s="14" t="s">
        <v>3380</v>
      </c>
      <c r="D111" s="14">
        <v>637674.02</v>
      </c>
      <c r="E111" s="14">
        <v>14735.92</v>
      </c>
      <c r="F111" s="15">
        <v>45176</v>
      </c>
      <c r="G111" s="15">
        <v>45194</v>
      </c>
      <c r="H111" s="14" t="s">
        <v>3569</v>
      </c>
      <c r="I111" s="14" t="s">
        <v>3361</v>
      </c>
      <c r="J111" s="13" t="str" cm="1">
        <f t="array" ref="J111">_xlfn.IFS(
  OR(ISBLANK(A111),ISBLANK(B111),ISBLANK(H111),ISBLANK(D111),ISBLANK(E111)),"Missing Value",
  D111&lt;=0,"Review – Out of Range (Coverage)",
  E111&lt;=0,"Review – Out of Range (Premium)",
  TRUE,"OK"
)</f>
        <v>OK</v>
      </c>
    </row>
    <row r="112" spans="1:10" ht="16.8" x14ac:dyDescent="0.3">
      <c r="A112" s="11" t="s">
        <v>3570</v>
      </c>
      <c r="B112" s="11" t="s">
        <v>286</v>
      </c>
      <c r="C112" s="11" t="s">
        <v>3371</v>
      </c>
      <c r="D112" s="11">
        <v>154649.4</v>
      </c>
      <c r="E112" s="11">
        <v>41717.730000000003</v>
      </c>
      <c r="F112" s="12">
        <v>44937</v>
      </c>
      <c r="G112" s="12">
        <v>45105</v>
      </c>
      <c r="H112" s="11" t="s">
        <v>3571</v>
      </c>
      <c r="I112" s="11" t="s">
        <v>3365</v>
      </c>
      <c r="J112" s="13" t="str" cm="1">
        <f t="array" ref="J112">_xlfn.IFS(
  OR(ISBLANK(A112),ISBLANK(B112),ISBLANK(H112),ISBLANK(D112),ISBLANK(E112)),"Missing Value",
  D112&lt;=0,"Review – Out of Range (Coverage)",
  E112&lt;=0,"Review – Out of Range (Premium)",
  TRUE,"OK"
)</f>
        <v>OK</v>
      </c>
    </row>
    <row r="113" spans="1:10" ht="16.8" x14ac:dyDescent="0.3">
      <c r="A113" s="14" t="s">
        <v>3572</v>
      </c>
      <c r="B113" s="14" t="s">
        <v>300</v>
      </c>
      <c r="C113" s="14" t="s">
        <v>3380</v>
      </c>
      <c r="D113" s="14">
        <v>511041.72</v>
      </c>
      <c r="E113" s="14">
        <v>19733.11</v>
      </c>
      <c r="F113" s="15">
        <v>44881</v>
      </c>
      <c r="G113" s="15">
        <v>45854</v>
      </c>
      <c r="H113" s="14" t="s">
        <v>3573</v>
      </c>
      <c r="I113" s="14" t="s">
        <v>3373</v>
      </c>
      <c r="J113" s="13" t="str" cm="1">
        <f t="array" ref="J113">_xlfn.IFS(
  OR(ISBLANK(A113),ISBLANK(B113),ISBLANK(H113),ISBLANK(D113),ISBLANK(E113)),"Missing Value",
  D113&lt;=0,"Review – Out of Range (Coverage)",
  E113&lt;=0,"Review – Out of Range (Premium)",
  TRUE,"OK"
)</f>
        <v>OK</v>
      </c>
    </row>
    <row r="114" spans="1:10" ht="16.8" x14ac:dyDescent="0.3">
      <c r="A114" s="11" t="s">
        <v>3574</v>
      </c>
      <c r="B114" s="11" t="s">
        <v>142</v>
      </c>
      <c r="C114" s="11" t="s">
        <v>3363</v>
      </c>
      <c r="D114" s="11">
        <v>416439.4</v>
      </c>
      <c r="E114" s="11">
        <v>32264.46</v>
      </c>
      <c r="F114" s="12">
        <v>44594</v>
      </c>
      <c r="G114" s="12">
        <v>45334</v>
      </c>
      <c r="H114" s="11" t="s">
        <v>3575</v>
      </c>
      <c r="I114" s="11" t="s">
        <v>3361</v>
      </c>
      <c r="J114" s="13" t="str" cm="1">
        <f t="array" ref="J114">_xlfn.IFS(
  OR(ISBLANK(A114),ISBLANK(B114),ISBLANK(H114),ISBLANK(D114),ISBLANK(E114)),"Missing Value",
  D114&lt;=0,"Review – Out of Range (Coverage)",
  E114&lt;=0,"Review – Out of Range (Premium)",
  TRUE,"OK"
)</f>
        <v>OK</v>
      </c>
    </row>
    <row r="115" spans="1:10" ht="16.8" x14ac:dyDescent="0.3">
      <c r="A115" s="14" t="s">
        <v>3576</v>
      </c>
      <c r="B115" s="14" t="s">
        <v>2005</v>
      </c>
      <c r="C115" s="14" t="s">
        <v>3380</v>
      </c>
      <c r="D115" s="14">
        <v>932197.03</v>
      </c>
      <c r="E115" s="14">
        <v>7215.28</v>
      </c>
      <c r="F115" s="15">
        <v>45405</v>
      </c>
      <c r="G115" s="15">
        <v>45599</v>
      </c>
      <c r="H115" s="14" t="s">
        <v>3577</v>
      </c>
      <c r="I115" s="14" t="s">
        <v>3365</v>
      </c>
      <c r="J115" s="13" t="str" cm="1">
        <f t="array" ref="J115">_xlfn.IFS(
  OR(ISBLANK(A115),ISBLANK(B115),ISBLANK(H115),ISBLANK(D115),ISBLANK(E115)),"Missing Value",
  D115&lt;=0,"Review – Out of Range (Coverage)",
  E115&lt;=0,"Review – Out of Range (Premium)",
  TRUE,"OK"
)</f>
        <v>OK</v>
      </c>
    </row>
    <row r="116" spans="1:10" ht="16.8" x14ac:dyDescent="0.3">
      <c r="A116" s="11" t="s">
        <v>3578</v>
      </c>
      <c r="B116" s="11" t="s">
        <v>823</v>
      </c>
      <c r="C116" s="11" t="s">
        <v>3363</v>
      </c>
      <c r="D116" s="11">
        <v>600307.39</v>
      </c>
      <c r="E116" s="11">
        <v>24306.400000000001</v>
      </c>
      <c r="F116" s="12">
        <v>44543</v>
      </c>
      <c r="G116" s="12">
        <v>44849</v>
      </c>
      <c r="H116" s="11" t="s">
        <v>3432</v>
      </c>
      <c r="I116" s="11" t="s">
        <v>3373</v>
      </c>
      <c r="J116" s="13" t="str" cm="1">
        <f t="array" ref="J116">_xlfn.IFS(
  OR(ISBLANK(A116),ISBLANK(B116),ISBLANK(H116),ISBLANK(D116),ISBLANK(E116)),"Missing Value",
  D116&lt;=0,"Review – Out of Range (Coverage)",
  E116&lt;=0,"Review – Out of Range (Premium)",
  TRUE,"OK"
)</f>
        <v>OK</v>
      </c>
    </row>
    <row r="117" spans="1:10" ht="16.8" x14ac:dyDescent="0.3">
      <c r="A117" s="14" t="s">
        <v>3579</v>
      </c>
      <c r="B117" s="14" t="s">
        <v>1975</v>
      </c>
      <c r="C117" s="14" t="s">
        <v>3359</v>
      </c>
      <c r="D117" s="14">
        <v>675536.78</v>
      </c>
      <c r="E117" s="14">
        <v>25807.43</v>
      </c>
      <c r="F117" s="15">
        <v>44597</v>
      </c>
      <c r="G117" s="15">
        <v>45317</v>
      </c>
      <c r="H117" s="14" t="s">
        <v>3551</v>
      </c>
      <c r="I117" s="14" t="s">
        <v>3361</v>
      </c>
      <c r="J117" s="13" t="str" cm="1">
        <f t="array" ref="J117">_xlfn.IFS(
  OR(ISBLANK(A117),ISBLANK(B117),ISBLANK(H117),ISBLANK(D117),ISBLANK(E117)),"Missing Value",
  D117&lt;=0,"Review – Out of Range (Coverage)",
  E117&lt;=0,"Review – Out of Range (Premium)",
  TRUE,"OK"
)</f>
        <v>OK</v>
      </c>
    </row>
    <row r="118" spans="1:10" ht="16.8" x14ac:dyDescent="0.3">
      <c r="A118" s="11" t="s">
        <v>3580</v>
      </c>
      <c r="B118" s="11" t="s">
        <v>178</v>
      </c>
      <c r="C118" s="11" t="s">
        <v>3363</v>
      </c>
      <c r="D118" s="11">
        <v>403929.9</v>
      </c>
      <c r="E118" s="11">
        <v>33701.17</v>
      </c>
      <c r="F118" s="12">
        <v>45238</v>
      </c>
      <c r="G118" s="12">
        <v>45727</v>
      </c>
      <c r="H118" s="11" t="s">
        <v>3581</v>
      </c>
      <c r="I118" s="11" t="s">
        <v>3361</v>
      </c>
      <c r="J118" s="13" t="str" cm="1">
        <f t="array" ref="J118">_xlfn.IFS(
  OR(ISBLANK(A118),ISBLANK(B118),ISBLANK(H118),ISBLANK(D118),ISBLANK(E118)),"Missing Value",
  D118&lt;=0,"Review – Out of Range (Coverage)",
  E118&lt;=0,"Review – Out of Range (Premium)",
  TRUE,"OK"
)</f>
        <v>OK</v>
      </c>
    </row>
    <row r="119" spans="1:10" ht="16.8" x14ac:dyDescent="0.3">
      <c r="A119" s="14" t="s">
        <v>3582</v>
      </c>
      <c r="B119" s="14" t="s">
        <v>124</v>
      </c>
      <c r="C119" s="14" t="s">
        <v>3377</v>
      </c>
      <c r="D119" s="14">
        <v>542633.39</v>
      </c>
      <c r="E119" s="14">
        <v>7244.52</v>
      </c>
      <c r="F119" s="15">
        <v>45258</v>
      </c>
      <c r="G119" s="15">
        <v>45738</v>
      </c>
      <c r="H119" s="14" t="s">
        <v>3567</v>
      </c>
      <c r="I119" s="14" t="s">
        <v>3373</v>
      </c>
      <c r="J119" s="13" t="str" cm="1">
        <f t="array" ref="J119">_xlfn.IFS(
  OR(ISBLANK(A119),ISBLANK(B119),ISBLANK(H119),ISBLANK(D119),ISBLANK(E119)),"Missing Value",
  D119&lt;=0,"Review – Out of Range (Coverage)",
  E119&lt;=0,"Review – Out of Range (Premium)",
  TRUE,"OK"
)</f>
        <v>OK</v>
      </c>
    </row>
    <row r="120" spans="1:10" ht="16.8" x14ac:dyDescent="0.3">
      <c r="A120" s="11" t="s">
        <v>3583</v>
      </c>
      <c r="B120" s="11" t="s">
        <v>1035</v>
      </c>
      <c r="C120" s="11" t="s">
        <v>3380</v>
      </c>
      <c r="D120" s="11">
        <v>314854.55</v>
      </c>
      <c r="E120" s="11">
        <v>3394.11</v>
      </c>
      <c r="F120" s="12">
        <v>45181</v>
      </c>
      <c r="G120" s="12">
        <v>45389</v>
      </c>
      <c r="H120" s="11" t="s">
        <v>3584</v>
      </c>
      <c r="I120" s="11" t="s">
        <v>3373</v>
      </c>
      <c r="J120" s="13" t="str" cm="1">
        <f t="array" ref="J120">_xlfn.IFS(
  OR(ISBLANK(A120),ISBLANK(B120),ISBLANK(H120),ISBLANK(D120),ISBLANK(E120)),"Missing Value",
  D120&lt;=0,"Review – Out of Range (Coverage)",
  E120&lt;=0,"Review – Out of Range (Premium)",
  TRUE,"OK"
)</f>
        <v>OK</v>
      </c>
    </row>
    <row r="121" spans="1:10" ht="16.8" x14ac:dyDescent="0.3">
      <c r="A121" s="14" t="s">
        <v>3585</v>
      </c>
      <c r="B121" s="14" t="s">
        <v>1693</v>
      </c>
      <c r="C121" s="14" t="s">
        <v>3363</v>
      </c>
      <c r="D121" s="14">
        <v>920608.67</v>
      </c>
      <c r="E121" s="14">
        <v>47902.76</v>
      </c>
      <c r="F121" s="15">
        <v>44446</v>
      </c>
      <c r="G121" s="15">
        <v>45340</v>
      </c>
      <c r="H121" s="14" t="s">
        <v>3393</v>
      </c>
      <c r="I121" s="14" t="s">
        <v>3361</v>
      </c>
      <c r="J121" s="13" t="str" cm="1">
        <f t="array" ref="J121">_xlfn.IFS(
  OR(ISBLANK(A121),ISBLANK(B121),ISBLANK(H121),ISBLANK(D121),ISBLANK(E121)),"Missing Value",
  D121&lt;=0,"Review – Out of Range (Coverage)",
  E121&lt;=0,"Review – Out of Range (Premium)",
  TRUE,"OK"
)</f>
        <v>OK</v>
      </c>
    </row>
    <row r="122" spans="1:10" ht="16.8" x14ac:dyDescent="0.3">
      <c r="A122" s="11" t="s">
        <v>3586</v>
      </c>
      <c r="B122" s="11" t="s">
        <v>3172</v>
      </c>
      <c r="C122" s="11" t="s">
        <v>3380</v>
      </c>
      <c r="D122" s="11">
        <v>594550.06999999995</v>
      </c>
      <c r="E122" s="11">
        <v>9010.26</v>
      </c>
      <c r="F122" s="12">
        <v>44254</v>
      </c>
      <c r="G122" s="12">
        <v>44257</v>
      </c>
      <c r="H122" s="11" t="s">
        <v>3587</v>
      </c>
      <c r="I122" s="11" t="s">
        <v>3361</v>
      </c>
      <c r="J122" s="13" t="str" cm="1">
        <f t="array" ref="J122">_xlfn.IFS(
  OR(ISBLANK(A122),ISBLANK(B122),ISBLANK(H122),ISBLANK(D122),ISBLANK(E122)),"Missing Value",
  D122&lt;=0,"Review – Out of Range (Coverage)",
  E122&lt;=0,"Review – Out of Range (Premium)",
  TRUE,"OK"
)</f>
        <v>OK</v>
      </c>
    </row>
    <row r="123" spans="1:10" ht="16.8" x14ac:dyDescent="0.3">
      <c r="A123" s="14" t="s">
        <v>3588</v>
      </c>
      <c r="B123" s="14" t="s">
        <v>617</v>
      </c>
      <c r="C123" s="14" t="s">
        <v>3359</v>
      </c>
      <c r="D123" s="14">
        <v>467143.44</v>
      </c>
      <c r="E123" s="14">
        <v>36337.26</v>
      </c>
      <c r="F123" s="15">
        <v>44657</v>
      </c>
      <c r="G123" s="15">
        <v>44871</v>
      </c>
      <c r="H123" s="14" t="s">
        <v>3532</v>
      </c>
      <c r="I123" s="14" t="s">
        <v>3361</v>
      </c>
      <c r="J123" s="13" t="str" cm="1">
        <f t="array" ref="J123">_xlfn.IFS(
  OR(ISBLANK(A123),ISBLANK(B123),ISBLANK(H123),ISBLANK(D123),ISBLANK(E123)),"Missing Value",
  D123&lt;=0,"Review – Out of Range (Coverage)",
  E123&lt;=0,"Review – Out of Range (Premium)",
  TRUE,"OK"
)</f>
        <v>OK</v>
      </c>
    </row>
    <row r="124" spans="1:10" ht="16.8" x14ac:dyDescent="0.3">
      <c r="A124" s="11" t="s">
        <v>3589</v>
      </c>
      <c r="B124" s="11" t="s">
        <v>1721</v>
      </c>
      <c r="C124" s="11" t="s">
        <v>3380</v>
      </c>
      <c r="D124" s="11">
        <v>417868.86</v>
      </c>
      <c r="E124" s="11">
        <v>16342.56</v>
      </c>
      <c r="F124" s="12">
        <v>45124</v>
      </c>
      <c r="G124" s="12">
        <v>45323</v>
      </c>
      <c r="H124" s="11" t="s">
        <v>3477</v>
      </c>
      <c r="I124" s="11" t="s">
        <v>3361</v>
      </c>
      <c r="J124" s="13" t="str" cm="1">
        <f t="array" ref="J124">_xlfn.IFS(
  OR(ISBLANK(A124),ISBLANK(B124),ISBLANK(H124),ISBLANK(D124),ISBLANK(E124)),"Missing Value",
  D124&lt;=0,"Review – Out of Range (Coverage)",
  E124&lt;=0,"Review – Out of Range (Premium)",
  TRUE,"OK"
)</f>
        <v>OK</v>
      </c>
    </row>
    <row r="125" spans="1:10" ht="16.8" x14ac:dyDescent="0.3">
      <c r="A125" s="14" t="s">
        <v>3590</v>
      </c>
      <c r="B125" s="14" t="s">
        <v>2033</v>
      </c>
      <c r="C125" s="14" t="s">
        <v>3363</v>
      </c>
      <c r="D125" s="14">
        <v>435282.08</v>
      </c>
      <c r="E125" s="14">
        <v>4945.4399999999996</v>
      </c>
      <c r="F125" s="15">
        <v>45022</v>
      </c>
      <c r="G125" s="15">
        <v>45475</v>
      </c>
      <c r="H125" s="14" t="s">
        <v>3591</v>
      </c>
      <c r="I125" s="14" t="s">
        <v>3373</v>
      </c>
      <c r="J125" s="13" t="str" cm="1">
        <f t="array" ref="J125">_xlfn.IFS(
  OR(ISBLANK(A125),ISBLANK(B125),ISBLANK(H125),ISBLANK(D125),ISBLANK(E125)),"Missing Value",
  D125&lt;=0,"Review – Out of Range (Coverage)",
  E125&lt;=0,"Review – Out of Range (Premium)",
  TRUE,"OK"
)</f>
        <v>OK</v>
      </c>
    </row>
    <row r="126" spans="1:10" ht="16.8" x14ac:dyDescent="0.3">
      <c r="A126" s="11" t="s">
        <v>3592</v>
      </c>
      <c r="B126" s="11" t="s">
        <v>1135</v>
      </c>
      <c r="C126" s="11" t="s">
        <v>3359</v>
      </c>
      <c r="D126" s="11">
        <v>613221.17000000004</v>
      </c>
      <c r="E126" s="11">
        <v>37425.620000000003</v>
      </c>
      <c r="F126" s="12">
        <v>44373</v>
      </c>
      <c r="G126" s="12">
        <v>44728</v>
      </c>
      <c r="H126" s="11" t="s">
        <v>3593</v>
      </c>
      <c r="I126" s="11" t="s">
        <v>3365</v>
      </c>
      <c r="J126" s="13" t="str" cm="1">
        <f t="array" ref="J126">_xlfn.IFS(
  OR(ISBLANK(A126),ISBLANK(B126),ISBLANK(H126),ISBLANK(D126),ISBLANK(E126)),"Missing Value",
  D126&lt;=0,"Review – Out of Range (Coverage)",
  E126&lt;=0,"Review – Out of Range (Premium)",
  TRUE,"OK"
)</f>
        <v>OK</v>
      </c>
    </row>
    <row r="127" spans="1:10" ht="16.8" x14ac:dyDescent="0.3">
      <c r="A127" s="14" t="s">
        <v>3594</v>
      </c>
      <c r="B127" s="14" t="s">
        <v>524</v>
      </c>
      <c r="C127" s="14" t="s">
        <v>3377</v>
      </c>
      <c r="D127" s="14">
        <v>935852.47</v>
      </c>
      <c r="E127" s="14">
        <v>26200.79</v>
      </c>
      <c r="F127" s="15">
        <v>45408</v>
      </c>
      <c r="G127" s="15">
        <v>45744</v>
      </c>
      <c r="H127" s="14" t="s">
        <v>3595</v>
      </c>
      <c r="I127" s="14" t="s">
        <v>3365</v>
      </c>
      <c r="J127" s="13" t="str" cm="1">
        <f t="array" ref="J127">_xlfn.IFS(
  OR(ISBLANK(A127),ISBLANK(B127),ISBLANK(H127),ISBLANK(D127),ISBLANK(E127)),"Missing Value",
  D127&lt;=0,"Review – Out of Range (Coverage)",
  E127&lt;=0,"Review – Out of Range (Premium)",
  TRUE,"OK"
)</f>
        <v>OK</v>
      </c>
    </row>
    <row r="128" spans="1:10" ht="16.8" x14ac:dyDescent="0.3">
      <c r="A128" s="11" t="s">
        <v>3596</v>
      </c>
      <c r="B128" s="11" t="s">
        <v>1395</v>
      </c>
      <c r="C128" s="11" t="s">
        <v>3377</v>
      </c>
      <c r="D128" s="11">
        <v>103391.78</v>
      </c>
      <c r="E128" s="11">
        <v>32972.370000000003</v>
      </c>
      <c r="F128" s="12">
        <v>44408</v>
      </c>
      <c r="G128" s="12">
        <v>44462</v>
      </c>
      <c r="H128" s="11" t="s">
        <v>3597</v>
      </c>
      <c r="I128" s="11" t="s">
        <v>3373</v>
      </c>
      <c r="J128" s="13" t="str" cm="1">
        <f t="array" ref="J128">_xlfn.IFS(
  OR(ISBLANK(A128),ISBLANK(B128),ISBLANK(H128),ISBLANK(D128),ISBLANK(E128)),"Missing Value",
  D128&lt;=0,"Review – Out of Range (Coverage)",
  E128&lt;=0,"Review – Out of Range (Premium)",
  TRUE,"OK"
)</f>
        <v>OK</v>
      </c>
    </row>
    <row r="129" spans="1:10" ht="16.8" x14ac:dyDescent="0.3">
      <c r="A129" s="14" t="s">
        <v>3598</v>
      </c>
      <c r="B129" s="14" t="s">
        <v>3034</v>
      </c>
      <c r="C129" s="14" t="s">
        <v>3363</v>
      </c>
      <c r="D129" s="14">
        <v>245136.82</v>
      </c>
      <c r="E129" s="14">
        <v>45961.14</v>
      </c>
      <c r="F129" s="15">
        <v>45223</v>
      </c>
      <c r="G129" s="15">
        <v>45335</v>
      </c>
      <c r="H129" s="14" t="s">
        <v>3599</v>
      </c>
      <c r="I129" s="14" t="s">
        <v>3361</v>
      </c>
      <c r="J129" s="13" t="str" cm="1">
        <f t="array" ref="J129">_xlfn.IFS(
  OR(ISBLANK(A129),ISBLANK(B129),ISBLANK(H129),ISBLANK(D129),ISBLANK(E129)),"Missing Value",
  D129&lt;=0,"Review – Out of Range (Coverage)",
  E129&lt;=0,"Review – Out of Range (Premium)",
  TRUE,"OK"
)</f>
        <v>OK</v>
      </c>
    </row>
    <row r="130" spans="1:10" ht="16.8" x14ac:dyDescent="0.3">
      <c r="A130" s="11" t="s">
        <v>3600</v>
      </c>
      <c r="B130" s="11" t="s">
        <v>2089</v>
      </c>
      <c r="C130" s="11" t="s">
        <v>3377</v>
      </c>
      <c r="D130" s="11">
        <v>600832.17000000004</v>
      </c>
      <c r="E130" s="11">
        <v>30630.86</v>
      </c>
      <c r="F130" s="12">
        <v>44400</v>
      </c>
      <c r="G130" s="12">
        <v>45222</v>
      </c>
      <c r="H130" s="11" t="s">
        <v>3601</v>
      </c>
      <c r="I130" s="11" t="s">
        <v>3361</v>
      </c>
      <c r="J130" s="13" t="str" cm="1">
        <f t="array" ref="J130">_xlfn.IFS(
  OR(ISBLANK(A130),ISBLANK(B130),ISBLANK(H130),ISBLANK(D130),ISBLANK(E130)),"Missing Value",
  D130&lt;=0,"Review – Out of Range (Coverage)",
  E130&lt;=0,"Review – Out of Range (Premium)",
  TRUE,"OK"
)</f>
        <v>OK</v>
      </c>
    </row>
    <row r="131" spans="1:10" ht="16.8" x14ac:dyDescent="0.3">
      <c r="A131" s="14" t="s">
        <v>3602</v>
      </c>
      <c r="B131" s="14" t="s">
        <v>2235</v>
      </c>
      <c r="C131" s="14" t="s">
        <v>3380</v>
      </c>
      <c r="D131" s="14">
        <v>224708.41</v>
      </c>
      <c r="E131" s="14">
        <v>49666.67</v>
      </c>
      <c r="F131" s="15">
        <v>44067</v>
      </c>
      <c r="G131" s="15">
        <v>44550</v>
      </c>
      <c r="H131" s="14" t="s">
        <v>3603</v>
      </c>
      <c r="I131" s="14" t="s">
        <v>3373</v>
      </c>
      <c r="J131" s="13" t="str" cm="1">
        <f t="array" ref="J131">_xlfn.IFS(
  OR(ISBLANK(A131),ISBLANK(B131),ISBLANK(H131),ISBLANK(D131),ISBLANK(E131)),"Missing Value",
  D131&lt;=0,"Review – Out of Range (Coverage)",
  E131&lt;=0,"Review – Out of Range (Premium)",
  TRUE,"OK"
)</f>
        <v>OK</v>
      </c>
    </row>
    <row r="132" spans="1:10" ht="16.8" x14ac:dyDescent="0.3">
      <c r="A132" s="11" t="s">
        <v>3604</v>
      </c>
      <c r="B132" s="11" t="s">
        <v>2785</v>
      </c>
      <c r="C132" s="11" t="s">
        <v>3359</v>
      </c>
      <c r="D132" s="11">
        <v>541202.32999999996</v>
      </c>
      <c r="E132" s="11">
        <v>21726.79</v>
      </c>
      <c r="F132" s="12">
        <v>44533</v>
      </c>
      <c r="G132" s="12">
        <v>45641</v>
      </c>
      <c r="H132" s="11" t="s">
        <v>3605</v>
      </c>
      <c r="I132" s="11" t="s">
        <v>3373</v>
      </c>
      <c r="J132" s="13" t="str" cm="1">
        <f t="array" ref="J132">_xlfn.IFS(
  OR(ISBLANK(A132),ISBLANK(B132),ISBLANK(H132),ISBLANK(D132),ISBLANK(E132)),"Missing Value",
  D132&lt;=0,"Review – Out of Range (Coverage)",
  E132&lt;=0,"Review – Out of Range (Premium)",
  TRUE,"OK"
)</f>
        <v>OK</v>
      </c>
    </row>
    <row r="133" spans="1:10" ht="16.8" x14ac:dyDescent="0.3">
      <c r="A133" s="14" t="s">
        <v>3606</v>
      </c>
      <c r="B133" s="14" t="s">
        <v>2759</v>
      </c>
      <c r="C133" s="14" t="s">
        <v>3363</v>
      </c>
      <c r="D133" s="14">
        <v>632551.4</v>
      </c>
      <c r="E133" s="14">
        <v>30915.1</v>
      </c>
      <c r="F133" s="15">
        <v>45460</v>
      </c>
      <c r="G133" s="15">
        <v>45804</v>
      </c>
      <c r="H133" s="14" t="s">
        <v>3607</v>
      </c>
      <c r="I133" s="14" t="s">
        <v>3373</v>
      </c>
      <c r="J133" s="13" t="str" cm="1">
        <f t="array" ref="J133">_xlfn.IFS(
  OR(ISBLANK(A133),ISBLANK(B133),ISBLANK(H133),ISBLANK(D133),ISBLANK(E133)),"Missing Value",
  D133&lt;=0,"Review – Out of Range (Coverage)",
  E133&lt;=0,"Review – Out of Range (Premium)",
  TRUE,"OK"
)</f>
        <v>OK</v>
      </c>
    </row>
    <row r="134" spans="1:10" ht="16.8" x14ac:dyDescent="0.3">
      <c r="A134" s="11" t="s">
        <v>3608</v>
      </c>
      <c r="B134" s="11" t="s">
        <v>3154</v>
      </c>
      <c r="C134" s="11" t="s">
        <v>3363</v>
      </c>
      <c r="D134" s="11">
        <v>359350.66</v>
      </c>
      <c r="E134" s="11">
        <v>42116.51</v>
      </c>
      <c r="F134" s="12">
        <v>44962</v>
      </c>
      <c r="G134" s="12">
        <v>45806</v>
      </c>
      <c r="H134" s="11" t="s">
        <v>3591</v>
      </c>
      <c r="I134" s="11" t="s">
        <v>3365</v>
      </c>
      <c r="J134" s="13" t="str" cm="1">
        <f t="array" ref="J134">_xlfn.IFS(
  OR(ISBLANK(A134),ISBLANK(B134),ISBLANK(H134),ISBLANK(D134),ISBLANK(E134)),"Missing Value",
  D134&lt;=0,"Review – Out of Range (Coverage)",
  E134&lt;=0,"Review – Out of Range (Premium)",
  TRUE,"OK"
)</f>
        <v>OK</v>
      </c>
    </row>
    <row r="135" spans="1:10" ht="16.8" x14ac:dyDescent="0.3">
      <c r="A135" s="14" t="s">
        <v>3609</v>
      </c>
      <c r="B135" s="14" t="s">
        <v>3224</v>
      </c>
      <c r="C135" s="14" t="s">
        <v>3363</v>
      </c>
      <c r="D135" s="14">
        <v>744031.1</v>
      </c>
      <c r="E135" s="14">
        <v>12118.12</v>
      </c>
      <c r="F135" s="15">
        <v>45215</v>
      </c>
      <c r="G135" s="15">
        <v>45856</v>
      </c>
      <c r="H135" s="14" t="s">
        <v>3610</v>
      </c>
      <c r="I135" s="14" t="s">
        <v>3373</v>
      </c>
      <c r="J135" s="13" t="str" cm="1">
        <f t="array" ref="J135">_xlfn.IFS(
  OR(ISBLANK(A135),ISBLANK(B135),ISBLANK(H135),ISBLANK(D135),ISBLANK(E135)),"Missing Value",
  D135&lt;=0,"Review – Out of Range (Coverage)",
  E135&lt;=0,"Review – Out of Range (Premium)",
  TRUE,"OK"
)</f>
        <v>OK</v>
      </c>
    </row>
    <row r="136" spans="1:10" ht="16.8" x14ac:dyDescent="0.3">
      <c r="A136" s="11" t="s">
        <v>3611</v>
      </c>
      <c r="B136" s="11" t="s">
        <v>1703</v>
      </c>
      <c r="C136" s="11" t="s">
        <v>3363</v>
      </c>
      <c r="D136" s="11">
        <v>450764.51</v>
      </c>
      <c r="E136" s="11">
        <v>13802.06</v>
      </c>
      <c r="F136" s="12">
        <v>45382</v>
      </c>
      <c r="G136" s="12">
        <v>45788</v>
      </c>
      <c r="H136" s="11" t="s">
        <v>3612</v>
      </c>
      <c r="I136" s="11" t="s">
        <v>3365</v>
      </c>
      <c r="J136" s="13" t="str" cm="1">
        <f t="array" ref="J136">_xlfn.IFS(
  OR(ISBLANK(A136),ISBLANK(B136),ISBLANK(H136),ISBLANK(D136),ISBLANK(E136)),"Missing Value",
  D136&lt;=0,"Review – Out of Range (Coverage)",
  E136&lt;=0,"Review – Out of Range (Premium)",
  TRUE,"OK"
)</f>
        <v>OK</v>
      </c>
    </row>
    <row r="137" spans="1:10" ht="16.8" x14ac:dyDescent="0.3">
      <c r="A137" s="14" t="s">
        <v>3613</v>
      </c>
      <c r="B137" s="14" t="s">
        <v>529</v>
      </c>
      <c r="C137" s="14" t="s">
        <v>3377</v>
      </c>
      <c r="D137" s="14">
        <v>712934.57</v>
      </c>
      <c r="E137" s="14">
        <v>13650.98</v>
      </c>
      <c r="F137" s="15">
        <v>45301</v>
      </c>
      <c r="G137" s="15">
        <v>45441</v>
      </c>
      <c r="H137" s="14" t="s">
        <v>3614</v>
      </c>
      <c r="I137" s="14" t="s">
        <v>3361</v>
      </c>
      <c r="J137" s="13" t="str" cm="1">
        <f t="array" ref="J137">_xlfn.IFS(
  OR(ISBLANK(A137),ISBLANK(B137),ISBLANK(H137),ISBLANK(D137),ISBLANK(E137)),"Missing Value",
  D137&lt;=0,"Review – Out of Range (Coverage)",
  E137&lt;=0,"Review – Out of Range (Premium)",
  TRUE,"OK"
)</f>
        <v>OK</v>
      </c>
    </row>
    <row r="138" spans="1:10" ht="16.8" x14ac:dyDescent="0.3">
      <c r="A138" s="11" t="s">
        <v>3615</v>
      </c>
      <c r="B138" s="11" t="s">
        <v>2153</v>
      </c>
      <c r="C138" s="11" t="s">
        <v>3359</v>
      </c>
      <c r="D138" s="11">
        <v>829758.97</v>
      </c>
      <c r="E138" s="11">
        <v>30656.2</v>
      </c>
      <c r="F138" s="12">
        <v>44660</v>
      </c>
      <c r="G138" s="12">
        <v>45748</v>
      </c>
      <c r="H138" s="11" t="s">
        <v>3369</v>
      </c>
      <c r="I138" s="11" t="s">
        <v>3373</v>
      </c>
      <c r="J138" s="13" t="str" cm="1">
        <f t="array" ref="J138">_xlfn.IFS(
  OR(ISBLANK(A138),ISBLANK(B138),ISBLANK(H138),ISBLANK(D138),ISBLANK(E138)),"Missing Value",
  D138&lt;=0,"Review – Out of Range (Coverage)",
  E138&lt;=0,"Review – Out of Range (Premium)",
  TRUE,"OK"
)</f>
        <v>OK</v>
      </c>
    </row>
    <row r="139" spans="1:10" ht="16.8" x14ac:dyDescent="0.3">
      <c r="A139" s="14" t="s">
        <v>3616</v>
      </c>
      <c r="B139" s="14" t="s">
        <v>2171</v>
      </c>
      <c r="C139" s="14" t="s">
        <v>3377</v>
      </c>
      <c r="D139" s="14">
        <v>159712.12</v>
      </c>
      <c r="E139" s="14">
        <v>10431.99</v>
      </c>
      <c r="F139" s="15">
        <v>45313</v>
      </c>
      <c r="G139" s="15">
        <v>45545</v>
      </c>
      <c r="H139" s="14" t="s">
        <v>3617</v>
      </c>
      <c r="I139" s="14" t="s">
        <v>3365</v>
      </c>
      <c r="J139" s="13" t="str" cm="1">
        <f t="array" ref="J139">_xlfn.IFS(
  OR(ISBLANK(A139),ISBLANK(B139),ISBLANK(H139),ISBLANK(D139),ISBLANK(E139)),"Missing Value",
  D139&lt;=0,"Review – Out of Range (Coverage)",
  E139&lt;=0,"Review – Out of Range (Premium)",
  TRUE,"OK"
)</f>
        <v>OK</v>
      </c>
    </row>
    <row r="140" spans="1:10" ht="16.8" x14ac:dyDescent="0.3">
      <c r="A140" s="11" t="s">
        <v>3618</v>
      </c>
      <c r="B140" s="11" t="s">
        <v>1463</v>
      </c>
      <c r="C140" s="11" t="s">
        <v>3359</v>
      </c>
      <c r="D140" s="11">
        <v>266305.34000000003</v>
      </c>
      <c r="E140" s="11">
        <v>24818.35</v>
      </c>
      <c r="F140" s="12">
        <v>44514</v>
      </c>
      <c r="G140" s="12">
        <v>44949</v>
      </c>
      <c r="H140" s="11" t="s">
        <v>3610</v>
      </c>
      <c r="I140" s="11" t="s">
        <v>3365</v>
      </c>
      <c r="J140" s="13" t="str" cm="1">
        <f t="array" ref="J140">_xlfn.IFS(
  OR(ISBLANK(A140),ISBLANK(B140),ISBLANK(H140),ISBLANK(D140),ISBLANK(E140)),"Missing Value",
  D140&lt;=0,"Review – Out of Range (Coverage)",
  E140&lt;=0,"Review – Out of Range (Premium)",
  TRUE,"OK"
)</f>
        <v>OK</v>
      </c>
    </row>
    <row r="141" spans="1:10" ht="16.8" x14ac:dyDescent="0.3">
      <c r="A141" s="14" t="s">
        <v>3619</v>
      </c>
      <c r="B141" s="14" t="s">
        <v>1555</v>
      </c>
      <c r="C141" s="14" t="s">
        <v>3377</v>
      </c>
      <c r="D141" s="14">
        <v>599385.37</v>
      </c>
      <c r="E141" s="14">
        <v>12540.1</v>
      </c>
      <c r="F141" s="15">
        <v>44177</v>
      </c>
      <c r="G141" s="15">
        <v>45631</v>
      </c>
      <c r="H141" s="14" t="s">
        <v>3620</v>
      </c>
      <c r="I141" s="14" t="s">
        <v>3361</v>
      </c>
      <c r="J141" s="13" t="str" cm="1">
        <f t="array" ref="J141">_xlfn.IFS(
  OR(ISBLANK(A141),ISBLANK(B141),ISBLANK(H141),ISBLANK(D141),ISBLANK(E141)),"Missing Value",
  D141&lt;=0,"Review – Out of Range (Coverage)",
  E141&lt;=0,"Review – Out of Range (Premium)",
  TRUE,"OK"
)</f>
        <v>OK</v>
      </c>
    </row>
    <row r="142" spans="1:10" ht="16.8" x14ac:dyDescent="0.3">
      <c r="A142" s="11" t="s">
        <v>3621</v>
      </c>
      <c r="B142" s="11" t="s">
        <v>258</v>
      </c>
      <c r="C142" s="11" t="s">
        <v>3377</v>
      </c>
      <c r="D142" s="11">
        <v>690451.68</v>
      </c>
      <c r="E142" s="11">
        <v>13882.26</v>
      </c>
      <c r="F142" s="12">
        <v>44628</v>
      </c>
      <c r="G142" s="12">
        <v>44683</v>
      </c>
      <c r="H142" s="11" t="s">
        <v>3622</v>
      </c>
      <c r="I142" s="11" t="s">
        <v>3373</v>
      </c>
      <c r="J142" s="13" t="str" cm="1">
        <f t="array" ref="J142">_xlfn.IFS(
  OR(ISBLANK(A142),ISBLANK(B142),ISBLANK(H142),ISBLANK(D142),ISBLANK(E142)),"Missing Value",
  D142&lt;=0,"Review – Out of Range (Coverage)",
  E142&lt;=0,"Review – Out of Range (Premium)",
  TRUE,"OK"
)</f>
        <v>OK</v>
      </c>
    </row>
    <row r="143" spans="1:10" ht="16.8" x14ac:dyDescent="0.3">
      <c r="A143" s="14" t="s">
        <v>3623</v>
      </c>
      <c r="B143" s="14" t="s">
        <v>210</v>
      </c>
      <c r="C143" s="14" t="s">
        <v>3359</v>
      </c>
      <c r="D143" s="14">
        <v>489075.06</v>
      </c>
      <c r="E143" s="14">
        <v>5465.88</v>
      </c>
      <c r="F143" s="15">
        <v>44801</v>
      </c>
      <c r="G143" s="15">
        <v>44805</v>
      </c>
      <c r="H143" s="14" t="s">
        <v>3624</v>
      </c>
      <c r="I143" s="14" t="s">
        <v>3373</v>
      </c>
      <c r="J143" s="13" t="str" cm="1">
        <f t="array" ref="J143">_xlfn.IFS(
  OR(ISBLANK(A143),ISBLANK(B143),ISBLANK(H143),ISBLANK(D143),ISBLANK(E143)),"Missing Value",
  D143&lt;=0,"Review – Out of Range (Coverage)",
  E143&lt;=0,"Review – Out of Range (Premium)",
  TRUE,"OK"
)</f>
        <v>OK</v>
      </c>
    </row>
    <row r="144" spans="1:10" ht="16.8" x14ac:dyDescent="0.3">
      <c r="A144" s="11" t="s">
        <v>3625</v>
      </c>
      <c r="B144" s="11" t="s">
        <v>2573</v>
      </c>
      <c r="C144" s="11" t="s">
        <v>3380</v>
      </c>
      <c r="D144" s="11">
        <v>662144.32999999996</v>
      </c>
      <c r="E144" s="11">
        <v>24121.11</v>
      </c>
      <c r="F144" s="12">
        <v>45150</v>
      </c>
      <c r="G144" s="12">
        <v>45719</v>
      </c>
      <c r="H144" s="11" t="s">
        <v>3626</v>
      </c>
      <c r="I144" s="11" t="s">
        <v>3373</v>
      </c>
      <c r="J144" s="13" t="str" cm="1">
        <f t="array" ref="J144">_xlfn.IFS(
  OR(ISBLANK(A144),ISBLANK(B144),ISBLANK(H144),ISBLANK(D144),ISBLANK(E144)),"Missing Value",
  D144&lt;=0,"Review – Out of Range (Coverage)",
  E144&lt;=0,"Review – Out of Range (Premium)",
  TRUE,"OK"
)</f>
        <v>OK</v>
      </c>
    </row>
    <row r="145" spans="1:10" ht="16.8" x14ac:dyDescent="0.3">
      <c r="A145" s="14" t="s">
        <v>3627</v>
      </c>
      <c r="B145" s="14" t="s">
        <v>2055</v>
      </c>
      <c r="C145" s="14" t="s">
        <v>3371</v>
      </c>
      <c r="D145" s="14">
        <v>515509.24</v>
      </c>
      <c r="E145" s="14">
        <v>30771.14</v>
      </c>
      <c r="F145" s="15">
        <v>44534</v>
      </c>
      <c r="G145" s="15">
        <v>44715</v>
      </c>
      <c r="H145" s="14" t="s">
        <v>3492</v>
      </c>
      <c r="I145" s="14" t="s">
        <v>3373</v>
      </c>
      <c r="J145" s="13" t="str" cm="1">
        <f t="array" ref="J145">_xlfn.IFS(
  OR(ISBLANK(A145),ISBLANK(B145),ISBLANK(H145),ISBLANK(D145),ISBLANK(E145)),"Missing Value",
  D145&lt;=0,"Review – Out of Range (Coverage)",
  E145&lt;=0,"Review – Out of Range (Premium)",
  TRUE,"OK"
)</f>
        <v>OK</v>
      </c>
    </row>
    <row r="146" spans="1:10" ht="16.8" x14ac:dyDescent="0.3">
      <c r="A146" s="11" t="s">
        <v>3628</v>
      </c>
      <c r="B146" s="11" t="s">
        <v>935</v>
      </c>
      <c r="C146" s="11" t="s">
        <v>3371</v>
      </c>
      <c r="D146" s="11">
        <v>805087.68</v>
      </c>
      <c r="E146" s="11">
        <v>21726.27</v>
      </c>
      <c r="F146" s="12">
        <v>44780</v>
      </c>
      <c r="G146" s="12">
        <v>45273</v>
      </c>
      <c r="H146" s="11" t="s">
        <v>3511</v>
      </c>
      <c r="I146" s="11" t="s">
        <v>3361</v>
      </c>
      <c r="J146" s="13" t="str" cm="1">
        <f t="array" ref="J146">_xlfn.IFS(
  OR(ISBLANK(A146),ISBLANK(B146),ISBLANK(H146),ISBLANK(D146),ISBLANK(E146)),"Missing Value",
  D146&lt;=0,"Review – Out of Range (Coverage)",
  E146&lt;=0,"Review – Out of Range (Premium)",
  TRUE,"OK"
)</f>
        <v>OK</v>
      </c>
    </row>
    <row r="147" spans="1:10" ht="16.8" x14ac:dyDescent="0.3">
      <c r="A147" s="14" t="s">
        <v>3629</v>
      </c>
      <c r="B147" s="14" t="s">
        <v>1589</v>
      </c>
      <c r="C147" s="14" t="s">
        <v>3371</v>
      </c>
      <c r="D147" s="14">
        <v>787788.22</v>
      </c>
      <c r="E147" s="14">
        <v>29401.14</v>
      </c>
      <c r="F147" s="15">
        <v>45402</v>
      </c>
      <c r="G147" s="15">
        <v>45857</v>
      </c>
      <c r="H147" s="14" t="s">
        <v>3605</v>
      </c>
      <c r="I147" s="14" t="s">
        <v>3373</v>
      </c>
      <c r="J147" s="13" t="str" cm="1">
        <f t="array" ref="J147">_xlfn.IFS(
  OR(ISBLANK(A147),ISBLANK(B147),ISBLANK(H147),ISBLANK(D147),ISBLANK(E147)),"Missing Value",
  D147&lt;=0,"Review – Out of Range (Coverage)",
  E147&lt;=0,"Review – Out of Range (Premium)",
  TRUE,"OK"
)</f>
        <v>OK</v>
      </c>
    </row>
    <row r="148" spans="1:10" ht="16.8" x14ac:dyDescent="0.3">
      <c r="A148" s="11" t="s">
        <v>3630</v>
      </c>
      <c r="B148" s="11" t="s">
        <v>1225</v>
      </c>
      <c r="C148" s="11" t="s">
        <v>3371</v>
      </c>
      <c r="D148" s="11">
        <v>823787.45</v>
      </c>
      <c r="E148" s="11">
        <v>34047.769999999997</v>
      </c>
      <c r="F148" s="12">
        <v>45117</v>
      </c>
      <c r="G148" s="12">
        <v>45573</v>
      </c>
      <c r="H148" s="11" t="s">
        <v>3593</v>
      </c>
      <c r="I148" s="11" t="s">
        <v>3361</v>
      </c>
      <c r="J148" s="13" t="str" cm="1">
        <f t="array" ref="J148">_xlfn.IFS(
  OR(ISBLANK(A148),ISBLANK(B148),ISBLANK(H148),ISBLANK(D148),ISBLANK(E148)),"Missing Value",
  D148&lt;=0,"Review – Out of Range (Coverage)",
  E148&lt;=0,"Review – Out of Range (Premium)",
  TRUE,"OK"
)</f>
        <v>OK</v>
      </c>
    </row>
    <row r="149" spans="1:10" ht="16.8" x14ac:dyDescent="0.3">
      <c r="A149" s="14" t="s">
        <v>3631</v>
      </c>
      <c r="B149" s="14" t="s">
        <v>1825</v>
      </c>
      <c r="C149" s="14" t="s">
        <v>3380</v>
      </c>
      <c r="D149" s="14">
        <v>271592.13</v>
      </c>
      <c r="E149" s="14">
        <v>20669.78</v>
      </c>
      <c r="F149" s="15">
        <v>45443</v>
      </c>
      <c r="G149" s="15">
        <v>45623</v>
      </c>
      <c r="H149" s="14" t="s">
        <v>3632</v>
      </c>
      <c r="I149" s="14" t="s">
        <v>3373</v>
      </c>
      <c r="J149" s="13" t="str" cm="1">
        <f t="array" ref="J149">_xlfn.IFS(
  OR(ISBLANK(A149),ISBLANK(B149),ISBLANK(H149),ISBLANK(D149),ISBLANK(E149)),"Missing Value",
  D149&lt;=0,"Review – Out of Range (Coverage)",
  E149&lt;=0,"Review – Out of Range (Premium)",
  TRUE,"OK"
)</f>
        <v>OK</v>
      </c>
    </row>
    <row r="150" spans="1:10" ht="16.8" x14ac:dyDescent="0.3">
      <c r="A150" s="11" t="s">
        <v>3633</v>
      </c>
      <c r="B150" s="11" t="s">
        <v>2643</v>
      </c>
      <c r="C150" s="11" t="s">
        <v>3380</v>
      </c>
      <c r="D150" s="11">
        <v>603066.9</v>
      </c>
      <c r="E150" s="11">
        <v>3586.06</v>
      </c>
      <c r="F150" s="12">
        <v>45060</v>
      </c>
      <c r="G150" s="12">
        <v>45427</v>
      </c>
      <c r="H150" s="11" t="s">
        <v>3634</v>
      </c>
      <c r="I150" s="11" t="s">
        <v>3365</v>
      </c>
      <c r="J150" s="13" t="str" cm="1">
        <f t="array" ref="J150">_xlfn.IFS(
  OR(ISBLANK(A150),ISBLANK(B150),ISBLANK(H150),ISBLANK(D150),ISBLANK(E150)),"Missing Value",
  D150&lt;=0,"Review – Out of Range (Coverage)",
  E150&lt;=0,"Review – Out of Range (Premium)",
  TRUE,"OK"
)</f>
        <v>OK</v>
      </c>
    </row>
    <row r="151" spans="1:10" ht="16.8" x14ac:dyDescent="0.3">
      <c r="A151" s="14" t="s">
        <v>3635</v>
      </c>
      <c r="B151" s="14" t="s">
        <v>2669</v>
      </c>
      <c r="C151" s="14" t="s">
        <v>3359</v>
      </c>
      <c r="D151" s="14">
        <v>709723.06</v>
      </c>
      <c r="E151" s="14">
        <v>4171.6099999999997</v>
      </c>
      <c r="F151" s="15">
        <v>45283</v>
      </c>
      <c r="G151" s="15">
        <v>45656</v>
      </c>
      <c r="H151" s="14" t="s">
        <v>3636</v>
      </c>
      <c r="I151" s="14" t="s">
        <v>3373</v>
      </c>
      <c r="J151" s="13" t="str" cm="1">
        <f t="array" ref="J151">_xlfn.IFS(
  OR(ISBLANK(A151),ISBLANK(B151),ISBLANK(H151),ISBLANK(D151),ISBLANK(E151)),"Missing Value",
  D151&lt;=0,"Review – Out of Range (Coverage)",
  E151&lt;=0,"Review – Out of Range (Premium)",
  TRUE,"OK"
)</f>
        <v>OK</v>
      </c>
    </row>
    <row r="152" spans="1:10" ht="16.8" x14ac:dyDescent="0.3">
      <c r="A152" s="11" t="s">
        <v>3637</v>
      </c>
      <c r="B152" s="11" t="s">
        <v>370</v>
      </c>
      <c r="C152" s="11" t="s">
        <v>3377</v>
      </c>
      <c r="D152" s="11">
        <v>896720.27</v>
      </c>
      <c r="E152" s="11">
        <v>46921.599999999999</v>
      </c>
      <c r="F152" s="12">
        <v>45311</v>
      </c>
      <c r="G152" s="12">
        <v>45790</v>
      </c>
      <c r="H152" s="11" t="s">
        <v>3638</v>
      </c>
      <c r="I152" s="11" t="s">
        <v>3365</v>
      </c>
      <c r="J152" s="13" t="str" cm="1">
        <f t="array" ref="J152">_xlfn.IFS(
  OR(ISBLANK(A152),ISBLANK(B152),ISBLANK(H152),ISBLANK(D152),ISBLANK(E152)),"Missing Value",
  D152&lt;=0,"Review – Out of Range (Coverage)",
  E152&lt;=0,"Review – Out of Range (Premium)",
  TRUE,"OK"
)</f>
        <v>OK</v>
      </c>
    </row>
    <row r="153" spans="1:10" ht="16.8" x14ac:dyDescent="0.3">
      <c r="A153" s="14" t="s">
        <v>3639</v>
      </c>
      <c r="B153" s="14" t="s">
        <v>563</v>
      </c>
      <c r="C153" s="14" t="s">
        <v>3380</v>
      </c>
      <c r="D153" s="14">
        <v>704529.62</v>
      </c>
      <c r="E153" s="14">
        <v>14486.37</v>
      </c>
      <c r="F153" s="15">
        <v>44669</v>
      </c>
      <c r="G153" s="15">
        <v>44730</v>
      </c>
      <c r="H153" s="14" t="s">
        <v>3640</v>
      </c>
      <c r="I153" s="14" t="s">
        <v>3373</v>
      </c>
      <c r="J153" s="13" t="str" cm="1">
        <f t="array" ref="J153">_xlfn.IFS(
  OR(ISBLANK(A153),ISBLANK(B153),ISBLANK(H153),ISBLANK(D153),ISBLANK(E153)),"Missing Value",
  D153&lt;=0,"Review – Out of Range (Coverage)",
  E153&lt;=0,"Review – Out of Range (Premium)",
  TRUE,"OK"
)</f>
        <v>OK</v>
      </c>
    </row>
    <row r="154" spans="1:10" ht="16.8" x14ac:dyDescent="0.3">
      <c r="A154" s="11" t="s">
        <v>3641</v>
      </c>
      <c r="B154" s="11" t="s">
        <v>1905</v>
      </c>
      <c r="C154" s="11" t="s">
        <v>3363</v>
      </c>
      <c r="D154" s="11">
        <v>554719.5</v>
      </c>
      <c r="E154" s="11">
        <v>34562.089999999997</v>
      </c>
      <c r="F154" s="12">
        <v>45273</v>
      </c>
      <c r="G154" s="12">
        <v>45640</v>
      </c>
      <c r="H154" s="11" t="s">
        <v>3534</v>
      </c>
      <c r="I154" s="11" t="s">
        <v>3373</v>
      </c>
      <c r="J154" s="13" t="str" cm="1">
        <f t="array" ref="J154">_xlfn.IFS(
  OR(ISBLANK(A154),ISBLANK(B154),ISBLANK(H154),ISBLANK(D154),ISBLANK(E154)),"Missing Value",
  D154&lt;=0,"Review – Out of Range (Coverage)",
  E154&lt;=0,"Review – Out of Range (Premium)",
  TRUE,"OK"
)</f>
        <v>OK</v>
      </c>
    </row>
    <row r="155" spans="1:10" ht="16.8" x14ac:dyDescent="0.3">
      <c r="A155" s="14" t="s">
        <v>3642</v>
      </c>
      <c r="B155" s="14" t="s">
        <v>3152</v>
      </c>
      <c r="C155" s="14" t="s">
        <v>3380</v>
      </c>
      <c r="D155" s="14">
        <v>953247.96</v>
      </c>
      <c r="E155" s="14">
        <v>13589.39</v>
      </c>
      <c r="F155" s="15">
        <v>45363</v>
      </c>
      <c r="G155" s="15">
        <v>45403</v>
      </c>
      <c r="H155" s="14" t="s">
        <v>3545</v>
      </c>
      <c r="I155" s="14" t="s">
        <v>3361</v>
      </c>
      <c r="J155" s="13" t="str" cm="1">
        <f t="array" ref="J155">_xlfn.IFS(
  OR(ISBLANK(A155),ISBLANK(B155),ISBLANK(H155),ISBLANK(D155),ISBLANK(E155)),"Missing Value",
  D155&lt;=0,"Review – Out of Range (Coverage)",
  E155&lt;=0,"Review – Out of Range (Premium)",
  TRUE,"OK"
)</f>
        <v>OK</v>
      </c>
    </row>
    <row r="156" spans="1:10" ht="16.8" x14ac:dyDescent="0.3">
      <c r="A156" s="11" t="s">
        <v>3643</v>
      </c>
      <c r="B156" s="11" t="s">
        <v>2121</v>
      </c>
      <c r="C156" s="11" t="s">
        <v>3377</v>
      </c>
      <c r="D156" s="11">
        <v>476381.96</v>
      </c>
      <c r="E156" s="11">
        <v>39052.120000000003</v>
      </c>
      <c r="F156" s="12">
        <v>45444</v>
      </c>
      <c r="G156" s="12">
        <v>45534</v>
      </c>
      <c r="H156" s="11" t="s">
        <v>3644</v>
      </c>
      <c r="I156" s="11" t="s">
        <v>3373</v>
      </c>
      <c r="J156" s="13" t="str" cm="1">
        <f t="array" ref="J156">_xlfn.IFS(
  OR(ISBLANK(A156),ISBLANK(B156),ISBLANK(H156),ISBLANK(D156),ISBLANK(E156)),"Missing Value",
  D156&lt;=0,"Review – Out of Range (Coverage)",
  E156&lt;=0,"Review – Out of Range (Premium)",
  TRUE,"OK"
)</f>
        <v>OK</v>
      </c>
    </row>
    <row r="157" spans="1:10" ht="16.8" x14ac:dyDescent="0.3">
      <c r="A157" s="14" t="s">
        <v>3645</v>
      </c>
      <c r="B157" s="14" t="s">
        <v>1459</v>
      </c>
      <c r="C157" s="14" t="s">
        <v>3371</v>
      </c>
      <c r="D157" s="14">
        <v>890098.6</v>
      </c>
      <c r="E157" s="14">
        <v>37235.040000000001</v>
      </c>
      <c r="F157" s="15">
        <v>44801</v>
      </c>
      <c r="G157" s="15">
        <v>45647</v>
      </c>
      <c r="H157" s="14" t="s">
        <v>3646</v>
      </c>
      <c r="I157" s="14" t="s">
        <v>3361</v>
      </c>
      <c r="J157" s="13" t="str" cm="1">
        <f t="array" ref="J157">_xlfn.IFS(
  OR(ISBLANK(A157),ISBLANK(B157),ISBLANK(H157),ISBLANK(D157),ISBLANK(E157)),"Missing Value",
  D157&lt;=0,"Review – Out of Range (Coverage)",
  E157&lt;=0,"Review – Out of Range (Premium)",
  TRUE,"OK"
)</f>
        <v>OK</v>
      </c>
    </row>
    <row r="158" spans="1:10" ht="16.8" x14ac:dyDescent="0.3">
      <c r="A158" s="11" t="s">
        <v>3647</v>
      </c>
      <c r="B158" s="11" t="s">
        <v>2095</v>
      </c>
      <c r="C158" s="11" t="s">
        <v>3363</v>
      </c>
      <c r="D158" s="11">
        <v>797411.59</v>
      </c>
      <c r="E158" s="11">
        <v>14442.13</v>
      </c>
      <c r="F158" s="12">
        <v>45426</v>
      </c>
      <c r="G158" s="12">
        <v>45834</v>
      </c>
      <c r="H158" s="11" t="s">
        <v>3587</v>
      </c>
      <c r="I158" s="11" t="s">
        <v>3365</v>
      </c>
      <c r="J158" s="13" t="str" cm="1">
        <f t="array" ref="J158">_xlfn.IFS(
  OR(ISBLANK(A158),ISBLANK(B158),ISBLANK(H158),ISBLANK(D158),ISBLANK(E158)),"Missing Value",
  D158&lt;=0,"Review – Out of Range (Coverage)",
  E158&lt;=0,"Review – Out of Range (Premium)",
  TRUE,"OK"
)</f>
        <v>OK</v>
      </c>
    </row>
    <row r="159" spans="1:10" ht="16.8" x14ac:dyDescent="0.3">
      <c r="A159" s="14" t="s">
        <v>3648</v>
      </c>
      <c r="B159" s="14" t="s">
        <v>1929</v>
      </c>
      <c r="C159" s="14" t="s">
        <v>3377</v>
      </c>
      <c r="D159" s="14">
        <v>663149.96</v>
      </c>
      <c r="E159" s="14">
        <v>26133.14</v>
      </c>
      <c r="F159" s="15">
        <v>44691</v>
      </c>
      <c r="G159" s="15">
        <v>45085</v>
      </c>
      <c r="H159" s="14" t="s">
        <v>3649</v>
      </c>
      <c r="I159" s="14" t="s">
        <v>3365</v>
      </c>
      <c r="J159" s="13" t="str" cm="1">
        <f t="array" ref="J159">_xlfn.IFS(
  OR(ISBLANK(A159),ISBLANK(B159),ISBLANK(H159),ISBLANK(D159),ISBLANK(E159)),"Missing Value",
  D159&lt;=0,"Review – Out of Range (Coverage)",
  E159&lt;=0,"Review – Out of Range (Premium)",
  TRUE,"OK"
)</f>
        <v>OK</v>
      </c>
    </row>
    <row r="160" spans="1:10" ht="16.8" x14ac:dyDescent="0.3">
      <c r="A160" s="11" t="s">
        <v>3650</v>
      </c>
      <c r="B160" s="11" t="s">
        <v>3032</v>
      </c>
      <c r="C160" s="11" t="s">
        <v>3359</v>
      </c>
      <c r="D160" s="11">
        <v>391229.22</v>
      </c>
      <c r="E160" s="11">
        <v>23915.62</v>
      </c>
      <c r="F160" s="12">
        <v>44738</v>
      </c>
      <c r="G160" s="12">
        <v>45141</v>
      </c>
      <c r="H160" s="11" t="s">
        <v>3417</v>
      </c>
      <c r="I160" s="11" t="s">
        <v>3365</v>
      </c>
      <c r="J160" s="13" t="str" cm="1">
        <f t="array" ref="J160">_xlfn.IFS(
  OR(ISBLANK(A160),ISBLANK(B160),ISBLANK(H160),ISBLANK(D160),ISBLANK(E160)),"Missing Value",
  D160&lt;=0,"Review – Out of Range (Coverage)",
  E160&lt;=0,"Review – Out of Range (Premium)",
  TRUE,"OK"
)</f>
        <v>OK</v>
      </c>
    </row>
    <row r="161" spans="1:10" ht="16.8" x14ac:dyDescent="0.3">
      <c r="A161" s="14" t="s">
        <v>3651</v>
      </c>
      <c r="B161" s="14" t="s">
        <v>881</v>
      </c>
      <c r="C161" s="14" t="s">
        <v>3377</v>
      </c>
      <c r="D161" s="14">
        <v>943943.8</v>
      </c>
      <c r="E161" s="14">
        <v>26232.26</v>
      </c>
      <c r="F161" s="15">
        <v>44668</v>
      </c>
      <c r="G161" s="15">
        <v>45057</v>
      </c>
      <c r="H161" s="14" t="s">
        <v>3652</v>
      </c>
      <c r="I161" s="14" t="s">
        <v>3373</v>
      </c>
      <c r="J161" s="13" t="str" cm="1">
        <f t="array" ref="J161">_xlfn.IFS(
  OR(ISBLANK(A161),ISBLANK(B161),ISBLANK(H161),ISBLANK(D161),ISBLANK(E161)),"Missing Value",
  D161&lt;=0,"Review – Out of Range (Coverage)",
  E161&lt;=0,"Review – Out of Range (Premium)",
  TRUE,"OK"
)</f>
        <v>OK</v>
      </c>
    </row>
    <row r="162" spans="1:10" ht="16.8" x14ac:dyDescent="0.3">
      <c r="A162" s="11" t="s">
        <v>3653</v>
      </c>
      <c r="B162" s="11" t="s">
        <v>1089</v>
      </c>
      <c r="C162" s="11" t="s">
        <v>3371</v>
      </c>
      <c r="D162" s="11">
        <v>929518.19</v>
      </c>
      <c r="E162" s="11">
        <v>10419.4</v>
      </c>
      <c r="F162" s="12">
        <v>44990</v>
      </c>
      <c r="G162" s="12">
        <v>45056</v>
      </c>
      <c r="H162" s="11" t="s">
        <v>3407</v>
      </c>
      <c r="I162" s="11" t="s">
        <v>3361</v>
      </c>
      <c r="J162" s="13" t="str" cm="1">
        <f t="array" ref="J162">_xlfn.IFS(
  OR(ISBLANK(A162),ISBLANK(B162),ISBLANK(H162),ISBLANK(D162),ISBLANK(E162)),"Missing Value",
  D162&lt;=0,"Review – Out of Range (Coverage)",
  E162&lt;=0,"Review – Out of Range (Premium)",
  TRUE,"OK"
)</f>
        <v>OK</v>
      </c>
    </row>
    <row r="163" spans="1:10" ht="16.8" x14ac:dyDescent="0.3">
      <c r="A163" s="14" t="s">
        <v>3654</v>
      </c>
      <c r="B163" s="14" t="s">
        <v>3314</v>
      </c>
      <c r="C163" s="14" t="s">
        <v>3380</v>
      </c>
      <c r="D163" s="14">
        <v>245834.42</v>
      </c>
      <c r="E163" s="14">
        <v>29534.16</v>
      </c>
      <c r="F163" s="15">
        <v>45100</v>
      </c>
      <c r="G163" s="15">
        <v>45422</v>
      </c>
      <c r="H163" s="14" t="s">
        <v>3655</v>
      </c>
      <c r="I163" s="14" t="s">
        <v>3373</v>
      </c>
      <c r="J163" s="13" t="str" cm="1">
        <f t="array" ref="J163">_xlfn.IFS(
  OR(ISBLANK(A163),ISBLANK(B163),ISBLANK(H163),ISBLANK(D163),ISBLANK(E163)),"Missing Value",
  D163&lt;=0,"Review – Out of Range (Coverage)",
  E163&lt;=0,"Review – Out of Range (Premium)",
  TRUE,"OK"
)</f>
        <v>OK</v>
      </c>
    </row>
    <row r="164" spans="1:10" ht="16.8" x14ac:dyDescent="0.3">
      <c r="A164" s="11" t="s">
        <v>3656</v>
      </c>
      <c r="B164" s="11" t="s">
        <v>372</v>
      </c>
      <c r="C164" s="11" t="s">
        <v>3380</v>
      </c>
      <c r="D164" s="11">
        <v>117809.29</v>
      </c>
      <c r="E164" s="11">
        <v>3611.09</v>
      </c>
      <c r="F164" s="12">
        <v>44066</v>
      </c>
      <c r="G164" s="12">
        <v>44238</v>
      </c>
      <c r="H164" s="11" t="s">
        <v>3429</v>
      </c>
      <c r="I164" s="11" t="s">
        <v>3361</v>
      </c>
      <c r="J164" s="13" t="str" cm="1">
        <f t="array" ref="J164">_xlfn.IFS(
  OR(ISBLANK(A164),ISBLANK(B164),ISBLANK(H164),ISBLANK(D164),ISBLANK(E164)),"Missing Value",
  D164&lt;=0,"Review – Out of Range (Coverage)",
  E164&lt;=0,"Review – Out of Range (Premium)",
  TRUE,"OK"
)</f>
        <v>OK</v>
      </c>
    </row>
    <row r="165" spans="1:10" ht="16.8" x14ac:dyDescent="0.3">
      <c r="A165" s="14" t="s">
        <v>3657</v>
      </c>
      <c r="B165" s="14" t="s">
        <v>412</v>
      </c>
      <c r="C165" s="14" t="s">
        <v>3359</v>
      </c>
      <c r="D165" s="14">
        <v>478791.82</v>
      </c>
      <c r="E165" s="14">
        <v>15317.66</v>
      </c>
      <c r="F165" s="15">
        <v>44754</v>
      </c>
      <c r="G165" s="15">
        <v>45078</v>
      </c>
      <c r="H165" s="14" t="s">
        <v>3658</v>
      </c>
      <c r="I165" s="14" t="s">
        <v>3365</v>
      </c>
      <c r="J165" s="13" t="str" cm="1">
        <f t="array" ref="J165">_xlfn.IFS(
  OR(ISBLANK(A165),ISBLANK(B165),ISBLANK(H165),ISBLANK(D165),ISBLANK(E165)),"Missing Value",
  D165&lt;=0,"Review – Out of Range (Coverage)",
  E165&lt;=0,"Review – Out of Range (Premium)",
  TRUE,"OK"
)</f>
        <v>OK</v>
      </c>
    </row>
    <row r="166" spans="1:10" ht="16.8" x14ac:dyDescent="0.3">
      <c r="A166" s="11" t="s">
        <v>3659</v>
      </c>
      <c r="B166" s="11" t="s">
        <v>1095</v>
      </c>
      <c r="C166" s="11" t="s">
        <v>3359</v>
      </c>
      <c r="D166" s="11">
        <v>542601.51</v>
      </c>
      <c r="E166" s="11">
        <v>22080.32</v>
      </c>
      <c r="F166" s="12">
        <v>44859</v>
      </c>
      <c r="G166" s="12">
        <v>45585</v>
      </c>
      <c r="H166" s="11" t="s">
        <v>3660</v>
      </c>
      <c r="I166" s="11" t="s">
        <v>3373</v>
      </c>
      <c r="J166" s="13" t="str" cm="1">
        <f t="array" ref="J166">_xlfn.IFS(
  OR(ISBLANK(A166),ISBLANK(B166),ISBLANK(H166),ISBLANK(D166),ISBLANK(E166)),"Missing Value",
  D166&lt;=0,"Review – Out of Range (Coverage)",
  E166&lt;=0,"Review – Out of Range (Premium)",
  TRUE,"OK"
)</f>
        <v>OK</v>
      </c>
    </row>
    <row r="167" spans="1:10" ht="16.8" x14ac:dyDescent="0.3">
      <c r="A167" s="14" t="s">
        <v>3661</v>
      </c>
      <c r="B167" s="14" t="s">
        <v>939</v>
      </c>
      <c r="C167" s="14" t="s">
        <v>3380</v>
      </c>
      <c r="D167" s="14">
        <v>454739.18</v>
      </c>
      <c r="E167" s="14">
        <v>30669.3</v>
      </c>
      <c r="F167" s="15">
        <v>44301</v>
      </c>
      <c r="G167" s="15">
        <v>44745</v>
      </c>
      <c r="H167" s="14" t="s">
        <v>3662</v>
      </c>
      <c r="I167" s="14" t="s">
        <v>3373</v>
      </c>
      <c r="J167" s="13" t="str" cm="1">
        <f t="array" ref="J167">_xlfn.IFS(
  OR(ISBLANK(A167),ISBLANK(B167),ISBLANK(H167),ISBLANK(D167),ISBLANK(E167)),"Missing Value",
  D167&lt;=0,"Review – Out of Range (Coverage)",
  E167&lt;=0,"Review – Out of Range (Premium)",
  TRUE,"OK"
)</f>
        <v>OK</v>
      </c>
    </row>
    <row r="168" spans="1:10" ht="16.8" x14ac:dyDescent="0.3">
      <c r="A168" s="11" t="s">
        <v>3663</v>
      </c>
      <c r="B168" s="11" t="s">
        <v>2021</v>
      </c>
      <c r="C168" s="11" t="s">
        <v>3377</v>
      </c>
      <c r="D168" s="11">
        <v>581822.99</v>
      </c>
      <c r="E168" s="11">
        <v>37021.339999999997</v>
      </c>
      <c r="F168" s="12">
        <v>44929</v>
      </c>
      <c r="G168" s="12">
        <v>45527</v>
      </c>
      <c r="H168" s="11" t="s">
        <v>3620</v>
      </c>
      <c r="I168" s="11" t="s">
        <v>3365</v>
      </c>
      <c r="J168" s="13" t="str" cm="1">
        <f t="array" ref="J168">_xlfn.IFS(
  OR(ISBLANK(A168),ISBLANK(B168),ISBLANK(H168),ISBLANK(D168),ISBLANK(E168)),"Missing Value",
  D168&lt;=0,"Review – Out of Range (Coverage)",
  E168&lt;=0,"Review – Out of Range (Premium)",
  TRUE,"OK"
)</f>
        <v>OK</v>
      </c>
    </row>
    <row r="169" spans="1:10" ht="16.8" x14ac:dyDescent="0.3">
      <c r="A169" s="14" t="s">
        <v>3664</v>
      </c>
      <c r="B169" s="14" t="s">
        <v>617</v>
      </c>
      <c r="C169" s="14" t="s">
        <v>3371</v>
      </c>
      <c r="D169" s="14">
        <v>108957.07</v>
      </c>
      <c r="E169" s="14">
        <v>30366.05</v>
      </c>
      <c r="F169" s="15">
        <v>44672</v>
      </c>
      <c r="G169" s="15">
        <v>45288</v>
      </c>
      <c r="H169" s="14" t="s">
        <v>3665</v>
      </c>
      <c r="I169" s="14" t="s">
        <v>3373</v>
      </c>
      <c r="J169" s="13" t="str" cm="1">
        <f t="array" ref="J169">_xlfn.IFS(
  OR(ISBLANK(A169),ISBLANK(B169),ISBLANK(H169),ISBLANK(D169),ISBLANK(E169)),"Missing Value",
  D169&lt;=0,"Review – Out of Range (Coverage)",
  E169&lt;=0,"Review – Out of Range (Premium)",
  TRUE,"OK"
)</f>
        <v>OK</v>
      </c>
    </row>
    <row r="170" spans="1:10" ht="16.8" x14ac:dyDescent="0.3">
      <c r="A170" s="11" t="s">
        <v>3666</v>
      </c>
      <c r="B170" s="11" t="s">
        <v>2225</v>
      </c>
      <c r="C170" s="11" t="s">
        <v>3371</v>
      </c>
      <c r="D170" s="11">
        <v>380713.35</v>
      </c>
      <c r="E170" s="11">
        <v>8907.01</v>
      </c>
      <c r="F170" s="12">
        <v>45390</v>
      </c>
      <c r="G170" s="12">
        <v>45543</v>
      </c>
      <c r="H170" s="11" t="s">
        <v>3385</v>
      </c>
      <c r="I170" s="11" t="s">
        <v>3361</v>
      </c>
      <c r="J170" s="13" t="str" cm="1">
        <f t="array" ref="J170">_xlfn.IFS(
  OR(ISBLANK(A170),ISBLANK(B170),ISBLANK(H170),ISBLANK(D170),ISBLANK(E170)),"Missing Value",
  D170&lt;=0,"Review – Out of Range (Coverage)",
  E170&lt;=0,"Review – Out of Range (Premium)",
  TRUE,"OK"
)</f>
        <v>OK</v>
      </c>
    </row>
    <row r="171" spans="1:10" ht="16.8" x14ac:dyDescent="0.3">
      <c r="A171" s="14" t="s">
        <v>3667</v>
      </c>
      <c r="B171" s="14" t="s">
        <v>2433</v>
      </c>
      <c r="C171" s="14" t="s">
        <v>3359</v>
      </c>
      <c r="D171" s="14">
        <v>746863.93</v>
      </c>
      <c r="E171" s="14">
        <v>40497.4</v>
      </c>
      <c r="F171" s="15">
        <v>45365</v>
      </c>
      <c r="G171" s="15">
        <v>45687</v>
      </c>
      <c r="H171" s="14" t="s">
        <v>3459</v>
      </c>
      <c r="I171" s="14" t="s">
        <v>3361</v>
      </c>
      <c r="J171" s="13" t="str" cm="1">
        <f t="array" ref="J171">_xlfn.IFS(
  OR(ISBLANK(A171),ISBLANK(B171),ISBLANK(H171),ISBLANK(D171),ISBLANK(E171)),"Missing Value",
  D171&lt;=0,"Review – Out of Range (Coverage)",
  E171&lt;=0,"Review – Out of Range (Premium)",
  TRUE,"OK"
)</f>
        <v>OK</v>
      </c>
    </row>
    <row r="172" spans="1:10" ht="16.8" x14ac:dyDescent="0.3">
      <c r="A172" s="11" t="s">
        <v>3668</v>
      </c>
      <c r="B172" s="11" t="s">
        <v>1581</v>
      </c>
      <c r="C172" s="11" t="s">
        <v>3377</v>
      </c>
      <c r="D172" s="11">
        <v>879714.64</v>
      </c>
      <c r="E172" s="11">
        <v>21642.74</v>
      </c>
      <c r="F172" s="12">
        <v>45178</v>
      </c>
      <c r="G172" s="12">
        <v>45458</v>
      </c>
      <c r="H172" s="11" t="s">
        <v>3638</v>
      </c>
      <c r="I172" s="11" t="s">
        <v>3373</v>
      </c>
      <c r="J172" s="13" t="str" cm="1">
        <f t="array" ref="J172">_xlfn.IFS(
  OR(ISBLANK(A172),ISBLANK(B172),ISBLANK(H172),ISBLANK(D172),ISBLANK(E172)),"Missing Value",
  D172&lt;=0,"Review – Out of Range (Coverage)",
  E172&lt;=0,"Review – Out of Range (Premium)",
  TRUE,"OK"
)</f>
        <v>OK</v>
      </c>
    </row>
    <row r="173" spans="1:10" ht="16.8" x14ac:dyDescent="0.3">
      <c r="A173" s="14" t="s">
        <v>3669</v>
      </c>
      <c r="B173" s="14" t="s">
        <v>2961</v>
      </c>
      <c r="C173" s="14" t="s">
        <v>3380</v>
      </c>
      <c r="D173" s="14">
        <v>418418.33</v>
      </c>
      <c r="E173" s="14">
        <v>11682.2</v>
      </c>
      <c r="F173" s="15">
        <v>45070</v>
      </c>
      <c r="G173" s="15">
        <v>45698</v>
      </c>
      <c r="H173" s="14" t="s">
        <v>3670</v>
      </c>
      <c r="I173" s="14" t="s">
        <v>3365</v>
      </c>
      <c r="J173" s="13" t="str" cm="1">
        <f t="array" ref="J173">_xlfn.IFS(
  OR(ISBLANK(A173),ISBLANK(B173),ISBLANK(H173),ISBLANK(D173),ISBLANK(E173)),"Missing Value",
  D173&lt;=0,"Review – Out of Range (Coverage)",
  E173&lt;=0,"Review – Out of Range (Premium)",
  TRUE,"OK"
)</f>
        <v>OK</v>
      </c>
    </row>
    <row r="174" spans="1:10" ht="16.8" x14ac:dyDescent="0.3">
      <c r="A174" s="11" t="s">
        <v>3671</v>
      </c>
      <c r="B174" s="11" t="s">
        <v>218</v>
      </c>
      <c r="C174" s="11" t="s">
        <v>3371</v>
      </c>
      <c r="D174" s="11">
        <v>814439.2</v>
      </c>
      <c r="E174" s="11">
        <v>17822.439999999999</v>
      </c>
      <c r="F174" s="12">
        <v>45131</v>
      </c>
      <c r="G174" s="12">
        <v>45324</v>
      </c>
      <c r="H174" s="11" t="s">
        <v>3463</v>
      </c>
      <c r="I174" s="11" t="s">
        <v>3361</v>
      </c>
      <c r="J174" s="13" t="str" cm="1">
        <f t="array" ref="J174">_xlfn.IFS(
  OR(ISBLANK(A174),ISBLANK(B174),ISBLANK(H174),ISBLANK(D174),ISBLANK(E174)),"Missing Value",
  D174&lt;=0,"Review – Out of Range (Coverage)",
  E174&lt;=0,"Review – Out of Range (Premium)",
  TRUE,"OK"
)</f>
        <v>OK</v>
      </c>
    </row>
    <row r="175" spans="1:10" ht="16.8" x14ac:dyDescent="0.3">
      <c r="A175" s="14" t="s">
        <v>3672</v>
      </c>
      <c r="B175" s="14" t="s">
        <v>2745</v>
      </c>
      <c r="C175" s="14" t="s">
        <v>3380</v>
      </c>
      <c r="D175" s="14">
        <v>786302.94</v>
      </c>
      <c r="E175" s="14">
        <v>7756.59</v>
      </c>
      <c r="F175" s="15">
        <v>44821</v>
      </c>
      <c r="G175" s="15">
        <v>44996</v>
      </c>
      <c r="H175" s="14" t="s">
        <v>3620</v>
      </c>
      <c r="I175" s="14" t="s">
        <v>3361</v>
      </c>
      <c r="J175" s="13" t="str" cm="1">
        <f t="array" ref="J175">_xlfn.IFS(
  OR(ISBLANK(A175),ISBLANK(B175),ISBLANK(H175),ISBLANK(D175),ISBLANK(E175)),"Missing Value",
  D175&lt;=0,"Review – Out of Range (Coverage)",
  E175&lt;=0,"Review – Out of Range (Premium)",
  TRUE,"OK"
)</f>
        <v>OK</v>
      </c>
    </row>
    <row r="176" spans="1:10" ht="16.8" x14ac:dyDescent="0.3">
      <c r="A176" s="11" t="s">
        <v>3673</v>
      </c>
      <c r="B176" s="11" t="s">
        <v>2483</v>
      </c>
      <c r="C176" s="11" t="s">
        <v>3371</v>
      </c>
      <c r="D176" s="11">
        <v>356297.61</v>
      </c>
      <c r="E176" s="11">
        <v>9645.58</v>
      </c>
      <c r="F176" s="12">
        <v>44520</v>
      </c>
      <c r="G176" s="12">
        <v>45119</v>
      </c>
      <c r="H176" s="11" t="s">
        <v>3449</v>
      </c>
      <c r="I176" s="11" t="s">
        <v>3365</v>
      </c>
      <c r="J176" s="13" t="str" cm="1">
        <f t="array" ref="J176">_xlfn.IFS(
  OR(ISBLANK(A176),ISBLANK(B176),ISBLANK(H176),ISBLANK(D176),ISBLANK(E176)),"Missing Value",
  D176&lt;=0,"Review – Out of Range (Coverage)",
  E176&lt;=0,"Review – Out of Range (Premium)",
  TRUE,"OK"
)</f>
        <v>OK</v>
      </c>
    </row>
    <row r="177" spans="1:10" ht="16.8" x14ac:dyDescent="0.3">
      <c r="A177" s="14" t="s">
        <v>3674</v>
      </c>
      <c r="B177" s="14" t="s">
        <v>2535</v>
      </c>
      <c r="C177" s="14" t="s">
        <v>3377</v>
      </c>
      <c r="D177" s="14">
        <v>643035.94999999995</v>
      </c>
      <c r="E177" s="14">
        <v>33473.120000000003</v>
      </c>
      <c r="F177" s="15">
        <v>45296</v>
      </c>
      <c r="G177" s="15">
        <v>45784</v>
      </c>
      <c r="H177" s="14" t="s">
        <v>3675</v>
      </c>
      <c r="I177" s="14" t="s">
        <v>3365</v>
      </c>
      <c r="J177" s="13" t="str" cm="1">
        <f t="array" ref="J177">_xlfn.IFS(
  OR(ISBLANK(A177),ISBLANK(B177),ISBLANK(H177),ISBLANK(D177),ISBLANK(E177)),"Missing Value",
  D177&lt;=0,"Review – Out of Range (Coverage)",
  E177&lt;=0,"Review – Out of Range (Premium)",
  TRUE,"OK"
)</f>
        <v>OK</v>
      </c>
    </row>
    <row r="178" spans="1:10" ht="16.8" x14ac:dyDescent="0.3">
      <c r="A178" s="11" t="s">
        <v>3676</v>
      </c>
      <c r="B178" s="11" t="s">
        <v>591</v>
      </c>
      <c r="C178" s="11" t="s">
        <v>3359</v>
      </c>
      <c r="D178" s="11">
        <v>370444.23</v>
      </c>
      <c r="E178" s="11">
        <v>38763.33</v>
      </c>
      <c r="F178" s="12">
        <v>45496</v>
      </c>
      <c r="G178" s="12">
        <v>45653</v>
      </c>
      <c r="H178" s="11" t="s">
        <v>3677</v>
      </c>
      <c r="I178" s="11" t="s">
        <v>3365</v>
      </c>
      <c r="J178" s="13" t="str" cm="1">
        <f t="array" ref="J178">_xlfn.IFS(
  OR(ISBLANK(A178),ISBLANK(B178),ISBLANK(H178),ISBLANK(D178),ISBLANK(E178)),"Missing Value",
  D178&lt;=0,"Review – Out of Range (Coverage)",
  E178&lt;=0,"Review – Out of Range (Premium)",
  TRUE,"OK"
)</f>
        <v>OK</v>
      </c>
    </row>
    <row r="179" spans="1:10" ht="16.8" x14ac:dyDescent="0.3">
      <c r="A179" s="14" t="s">
        <v>3678</v>
      </c>
      <c r="B179" s="14" t="s">
        <v>2757</v>
      </c>
      <c r="C179" s="14" t="s">
        <v>3377</v>
      </c>
      <c r="D179" s="14">
        <v>408558.88</v>
      </c>
      <c r="E179" s="14">
        <v>26190.83</v>
      </c>
      <c r="F179" s="15">
        <v>44288</v>
      </c>
      <c r="G179" s="15">
        <v>44881</v>
      </c>
      <c r="H179" s="14" t="s">
        <v>3480</v>
      </c>
      <c r="I179" s="14" t="s">
        <v>3373</v>
      </c>
      <c r="J179" s="13" t="str" cm="1">
        <f t="array" ref="J179">_xlfn.IFS(
  OR(ISBLANK(A179),ISBLANK(B179),ISBLANK(H179),ISBLANK(D179),ISBLANK(E179)),"Missing Value",
  D179&lt;=0,"Review – Out of Range (Coverage)",
  E179&lt;=0,"Review – Out of Range (Premium)",
  TRUE,"OK"
)</f>
        <v>OK</v>
      </c>
    </row>
    <row r="180" spans="1:10" ht="16.8" x14ac:dyDescent="0.3">
      <c r="A180" s="11" t="s">
        <v>3679</v>
      </c>
      <c r="B180" s="11" t="s">
        <v>1197</v>
      </c>
      <c r="C180" s="11" t="s">
        <v>3359</v>
      </c>
      <c r="D180" s="11">
        <v>156868.01</v>
      </c>
      <c r="E180" s="11">
        <v>38217.370000000003</v>
      </c>
      <c r="F180" s="12">
        <v>45250</v>
      </c>
      <c r="G180" s="12">
        <v>45565</v>
      </c>
      <c r="H180" s="11" t="s">
        <v>3526</v>
      </c>
      <c r="I180" s="11" t="s">
        <v>3361</v>
      </c>
      <c r="J180" s="13" t="str" cm="1">
        <f t="array" ref="J180">_xlfn.IFS(
  OR(ISBLANK(A180),ISBLANK(B180),ISBLANK(H180),ISBLANK(D180),ISBLANK(E180)),"Missing Value",
  D180&lt;=0,"Review – Out of Range (Coverage)",
  E180&lt;=0,"Review – Out of Range (Premium)",
  TRUE,"OK"
)</f>
        <v>OK</v>
      </c>
    </row>
    <row r="181" spans="1:10" ht="16.8" x14ac:dyDescent="0.3">
      <c r="A181" s="14" t="s">
        <v>3680</v>
      </c>
      <c r="B181" s="14" t="s">
        <v>1997</v>
      </c>
      <c r="C181" s="14" t="s">
        <v>3380</v>
      </c>
      <c r="D181" s="14">
        <v>814302.93</v>
      </c>
      <c r="E181" s="14">
        <v>20736.86</v>
      </c>
      <c r="F181" s="15">
        <v>45190</v>
      </c>
      <c r="G181" s="15">
        <v>45614</v>
      </c>
      <c r="H181" s="14" t="s">
        <v>3477</v>
      </c>
      <c r="I181" s="14" t="s">
        <v>3365</v>
      </c>
      <c r="J181" s="13" t="str" cm="1">
        <f t="array" ref="J181">_xlfn.IFS(
  OR(ISBLANK(A181),ISBLANK(B181),ISBLANK(H181),ISBLANK(D181),ISBLANK(E181)),"Missing Value",
  D181&lt;=0,"Review – Out of Range (Coverage)",
  E181&lt;=0,"Review – Out of Range (Premium)",
  TRUE,"OK"
)</f>
        <v>OK</v>
      </c>
    </row>
    <row r="182" spans="1:10" ht="16.8" x14ac:dyDescent="0.3">
      <c r="A182" s="11" t="s">
        <v>3681</v>
      </c>
      <c r="B182" s="11" t="s">
        <v>1637</v>
      </c>
      <c r="C182" s="11" t="s">
        <v>3371</v>
      </c>
      <c r="D182" s="11">
        <v>582665.68000000005</v>
      </c>
      <c r="E182" s="11">
        <v>43611.15</v>
      </c>
      <c r="F182" s="12">
        <v>45148</v>
      </c>
      <c r="G182" s="12">
        <v>45326</v>
      </c>
      <c r="H182" s="11" t="s">
        <v>3393</v>
      </c>
      <c r="I182" s="11" t="s">
        <v>3373</v>
      </c>
      <c r="J182" s="13" t="str" cm="1">
        <f t="array" ref="J182">_xlfn.IFS(
  OR(ISBLANK(A182),ISBLANK(B182),ISBLANK(H182),ISBLANK(D182),ISBLANK(E182)),"Missing Value",
  D182&lt;=0,"Review – Out of Range (Coverage)",
  E182&lt;=0,"Review – Out of Range (Premium)",
  TRUE,"OK"
)</f>
        <v>OK</v>
      </c>
    </row>
    <row r="183" spans="1:10" ht="16.8" x14ac:dyDescent="0.3">
      <c r="A183" s="14" t="s">
        <v>3682</v>
      </c>
      <c r="B183" s="14" t="s">
        <v>2671</v>
      </c>
      <c r="C183" s="14" t="s">
        <v>3377</v>
      </c>
      <c r="D183" s="14">
        <v>691552.76</v>
      </c>
      <c r="E183" s="14">
        <v>20665.939999999999</v>
      </c>
      <c r="F183" s="15">
        <v>44982</v>
      </c>
      <c r="G183" s="15">
        <v>45487</v>
      </c>
      <c r="H183" s="14" t="s">
        <v>3465</v>
      </c>
      <c r="I183" s="14" t="s">
        <v>3365</v>
      </c>
      <c r="J183" s="13" t="str" cm="1">
        <f t="array" ref="J183">_xlfn.IFS(
  OR(ISBLANK(A183),ISBLANK(B183),ISBLANK(H183),ISBLANK(D183),ISBLANK(E183)),"Missing Value",
  D183&lt;=0,"Review – Out of Range (Coverage)",
  E183&lt;=0,"Review – Out of Range (Premium)",
  TRUE,"OK"
)</f>
        <v>OK</v>
      </c>
    </row>
    <row r="184" spans="1:10" ht="16.8" x14ac:dyDescent="0.3">
      <c r="A184" s="11" t="s">
        <v>3683</v>
      </c>
      <c r="B184" s="11" t="s">
        <v>617</v>
      </c>
      <c r="C184" s="11" t="s">
        <v>3377</v>
      </c>
      <c r="D184" s="11">
        <v>748754.22</v>
      </c>
      <c r="E184" s="11">
        <v>27905.96</v>
      </c>
      <c r="F184" s="12">
        <v>45145</v>
      </c>
      <c r="G184" s="12">
        <v>45437</v>
      </c>
      <c r="H184" s="11" t="s">
        <v>3393</v>
      </c>
      <c r="I184" s="11" t="s">
        <v>3361</v>
      </c>
      <c r="J184" s="13" t="str" cm="1">
        <f t="array" ref="J184">_xlfn.IFS(
  OR(ISBLANK(A184),ISBLANK(B184),ISBLANK(H184),ISBLANK(D184),ISBLANK(E184)),"Missing Value",
  D184&lt;=0,"Review – Out of Range (Coverage)",
  E184&lt;=0,"Review – Out of Range (Premium)",
  TRUE,"OK"
)</f>
        <v>OK</v>
      </c>
    </row>
    <row r="185" spans="1:10" ht="16.8" x14ac:dyDescent="0.3">
      <c r="A185" s="14" t="s">
        <v>3684</v>
      </c>
      <c r="B185" s="14" t="s">
        <v>2587</v>
      </c>
      <c r="C185" s="14" t="s">
        <v>3377</v>
      </c>
      <c r="D185" s="14">
        <v>878387.32</v>
      </c>
      <c r="E185" s="14">
        <v>8412.6200000000008</v>
      </c>
      <c r="F185" s="15">
        <v>44854</v>
      </c>
      <c r="G185" s="15">
        <v>44906</v>
      </c>
      <c r="H185" s="14" t="s">
        <v>3685</v>
      </c>
      <c r="I185" s="14" t="s">
        <v>3361</v>
      </c>
      <c r="J185" s="13" t="str" cm="1">
        <f t="array" ref="J185">_xlfn.IFS(
  OR(ISBLANK(A185),ISBLANK(B185),ISBLANK(H185),ISBLANK(D185),ISBLANK(E185)),"Missing Value",
  D185&lt;=0,"Review – Out of Range (Coverage)",
  E185&lt;=0,"Review – Out of Range (Premium)",
  TRUE,"OK"
)</f>
        <v>OK</v>
      </c>
    </row>
    <row r="186" spans="1:10" ht="16.8" x14ac:dyDescent="0.3">
      <c r="A186" s="11" t="s">
        <v>3686</v>
      </c>
      <c r="B186" s="11" t="s">
        <v>2355</v>
      </c>
      <c r="C186" s="11" t="s">
        <v>3363</v>
      </c>
      <c r="D186" s="11">
        <v>960119.5</v>
      </c>
      <c r="E186" s="11">
        <v>18208.77</v>
      </c>
      <c r="F186" s="12">
        <v>45264</v>
      </c>
      <c r="G186" s="12">
        <v>45277</v>
      </c>
      <c r="H186" s="11" t="s">
        <v>3687</v>
      </c>
      <c r="I186" s="11" t="s">
        <v>3373</v>
      </c>
      <c r="J186" s="13" t="str" cm="1">
        <f t="array" ref="J186">_xlfn.IFS(
  OR(ISBLANK(A186),ISBLANK(B186),ISBLANK(H186),ISBLANK(D186),ISBLANK(E186)),"Missing Value",
  D186&lt;=0,"Review – Out of Range (Coverage)",
  E186&lt;=0,"Review – Out of Range (Premium)",
  TRUE,"OK"
)</f>
        <v>OK</v>
      </c>
    </row>
    <row r="187" spans="1:10" ht="16.8" x14ac:dyDescent="0.3">
      <c r="A187" s="14" t="s">
        <v>3688</v>
      </c>
      <c r="B187" s="14" t="s">
        <v>162</v>
      </c>
      <c r="C187" s="14" t="s">
        <v>3359</v>
      </c>
      <c r="D187" s="14">
        <v>456313.61</v>
      </c>
      <c r="E187" s="14">
        <v>42060.68</v>
      </c>
      <c r="F187" s="15">
        <v>44678</v>
      </c>
      <c r="G187" s="15">
        <v>45363</v>
      </c>
      <c r="H187" s="14" t="s">
        <v>3689</v>
      </c>
      <c r="I187" s="14" t="s">
        <v>3373</v>
      </c>
      <c r="J187" s="13" t="str" cm="1">
        <f t="array" ref="J187">_xlfn.IFS(
  OR(ISBLANK(A187),ISBLANK(B187),ISBLANK(H187),ISBLANK(D187),ISBLANK(E187)),"Missing Value",
  D187&lt;=0,"Review – Out of Range (Coverage)",
  E187&lt;=0,"Review – Out of Range (Premium)",
  TRUE,"OK"
)</f>
        <v>OK</v>
      </c>
    </row>
    <row r="188" spans="1:10" ht="16.8" x14ac:dyDescent="0.3">
      <c r="A188" s="11" t="s">
        <v>3690</v>
      </c>
      <c r="B188" s="11" t="s">
        <v>2953</v>
      </c>
      <c r="C188" s="11" t="s">
        <v>3380</v>
      </c>
      <c r="D188" s="11">
        <v>283469.03000000003</v>
      </c>
      <c r="E188" s="11">
        <v>14576.5</v>
      </c>
      <c r="F188" s="12">
        <v>44915</v>
      </c>
      <c r="G188" s="12">
        <v>44994</v>
      </c>
      <c r="H188" s="11" t="s">
        <v>3691</v>
      </c>
      <c r="I188" s="11" t="s">
        <v>3365</v>
      </c>
      <c r="J188" s="13" t="str" cm="1">
        <f t="array" ref="J188">_xlfn.IFS(
  OR(ISBLANK(A188),ISBLANK(B188),ISBLANK(H188),ISBLANK(D188),ISBLANK(E188)),"Missing Value",
  D188&lt;=0,"Review – Out of Range (Coverage)",
  E188&lt;=0,"Review – Out of Range (Premium)",
  TRUE,"OK"
)</f>
        <v>OK</v>
      </c>
    </row>
    <row r="189" spans="1:10" ht="16.8" x14ac:dyDescent="0.3">
      <c r="A189" s="14" t="s">
        <v>3692</v>
      </c>
      <c r="B189" s="14" t="s">
        <v>1195</v>
      </c>
      <c r="C189" s="14" t="s">
        <v>3359</v>
      </c>
      <c r="D189" s="14">
        <v>498184.46</v>
      </c>
      <c r="E189" s="14">
        <v>18257.560000000001</v>
      </c>
      <c r="F189" s="15">
        <v>45215</v>
      </c>
      <c r="G189" s="15">
        <v>45635</v>
      </c>
      <c r="H189" s="14" t="s">
        <v>3571</v>
      </c>
      <c r="I189" s="14" t="s">
        <v>3373</v>
      </c>
      <c r="J189" s="13" t="str" cm="1">
        <f t="array" ref="J189">_xlfn.IFS(
  OR(ISBLANK(A189),ISBLANK(B189),ISBLANK(H189),ISBLANK(D189),ISBLANK(E189)),"Missing Value",
  D189&lt;=0,"Review – Out of Range (Coverage)",
  E189&lt;=0,"Review – Out of Range (Premium)",
  TRUE,"OK"
)</f>
        <v>OK</v>
      </c>
    </row>
    <row r="190" spans="1:10" ht="16.8" x14ac:dyDescent="0.3">
      <c r="A190" s="11" t="s">
        <v>3693</v>
      </c>
      <c r="B190" s="11" t="s">
        <v>2775</v>
      </c>
      <c r="C190" s="11" t="s">
        <v>3359</v>
      </c>
      <c r="D190" s="11">
        <v>777588.68</v>
      </c>
      <c r="E190" s="11">
        <v>5700.57</v>
      </c>
      <c r="F190" s="12">
        <v>44039</v>
      </c>
      <c r="G190" s="12">
        <v>44575</v>
      </c>
      <c r="H190" s="11" t="s">
        <v>3652</v>
      </c>
      <c r="I190" s="11" t="s">
        <v>3373</v>
      </c>
      <c r="J190" s="13" t="str" cm="1">
        <f t="array" ref="J190">_xlfn.IFS(
  OR(ISBLANK(A190),ISBLANK(B190),ISBLANK(H190),ISBLANK(D190),ISBLANK(E190)),"Missing Value",
  D190&lt;=0,"Review – Out of Range (Coverage)",
  E190&lt;=0,"Review – Out of Range (Premium)",
  TRUE,"OK"
)</f>
        <v>OK</v>
      </c>
    </row>
    <row r="191" spans="1:10" ht="16.8" x14ac:dyDescent="0.3">
      <c r="A191" s="14" t="s">
        <v>3694</v>
      </c>
      <c r="B191" s="14" t="s">
        <v>805</v>
      </c>
      <c r="C191" s="14" t="s">
        <v>3359</v>
      </c>
      <c r="D191" s="14">
        <v>642496.68000000005</v>
      </c>
      <c r="E191" s="14">
        <v>8681.65</v>
      </c>
      <c r="F191" s="15">
        <v>45382</v>
      </c>
      <c r="G191" s="15">
        <v>45796</v>
      </c>
      <c r="H191" s="14" t="s">
        <v>3670</v>
      </c>
      <c r="I191" s="14" t="s">
        <v>3365</v>
      </c>
      <c r="J191" s="13" t="str" cm="1">
        <f t="array" ref="J191">_xlfn.IFS(
  OR(ISBLANK(A191),ISBLANK(B191),ISBLANK(H191),ISBLANK(D191),ISBLANK(E191)),"Missing Value",
  D191&lt;=0,"Review – Out of Range (Coverage)",
  E191&lt;=0,"Review – Out of Range (Premium)",
  TRUE,"OK"
)</f>
        <v>OK</v>
      </c>
    </row>
    <row r="192" spans="1:10" ht="16.8" x14ac:dyDescent="0.3">
      <c r="A192" s="11" t="s">
        <v>3695</v>
      </c>
      <c r="B192" s="11" t="s">
        <v>388</v>
      </c>
      <c r="C192" s="11" t="s">
        <v>3363</v>
      </c>
      <c r="D192" s="11">
        <v>279970.95</v>
      </c>
      <c r="E192" s="11">
        <v>5761.99</v>
      </c>
      <c r="F192" s="12">
        <v>45071</v>
      </c>
      <c r="G192" s="12">
        <v>45435</v>
      </c>
      <c r="H192" s="11" t="s">
        <v>3696</v>
      </c>
      <c r="I192" s="11" t="s">
        <v>3365</v>
      </c>
      <c r="J192" s="13" t="str" cm="1">
        <f t="array" ref="J192">_xlfn.IFS(
  OR(ISBLANK(A192),ISBLANK(B192),ISBLANK(H192),ISBLANK(D192),ISBLANK(E192)),"Missing Value",
  D192&lt;=0,"Review – Out of Range (Coverage)",
  E192&lt;=0,"Review – Out of Range (Premium)",
  TRUE,"OK"
)</f>
        <v>OK</v>
      </c>
    </row>
    <row r="193" spans="1:10" ht="16.8" x14ac:dyDescent="0.3">
      <c r="A193" s="14" t="s">
        <v>3697</v>
      </c>
      <c r="B193" s="14" t="s">
        <v>2303</v>
      </c>
      <c r="C193" s="14" t="s">
        <v>3380</v>
      </c>
      <c r="D193" s="14">
        <v>951085.18</v>
      </c>
      <c r="E193" s="14">
        <v>4167.7</v>
      </c>
      <c r="F193" s="15">
        <v>44802</v>
      </c>
      <c r="G193" s="15">
        <v>45608</v>
      </c>
      <c r="H193" s="14" t="s">
        <v>3698</v>
      </c>
      <c r="I193" s="14" t="s">
        <v>3365</v>
      </c>
      <c r="J193" s="13" t="str" cm="1">
        <f t="array" ref="J193">_xlfn.IFS(
  OR(ISBLANK(A193),ISBLANK(B193),ISBLANK(H193),ISBLANK(D193),ISBLANK(E193)),"Missing Value",
  D193&lt;=0,"Review – Out of Range (Coverage)",
  E193&lt;=0,"Review – Out of Range (Premium)",
  TRUE,"OK"
)</f>
        <v>OK</v>
      </c>
    </row>
    <row r="194" spans="1:10" ht="16.8" x14ac:dyDescent="0.3">
      <c r="A194" s="11" t="s">
        <v>3699</v>
      </c>
      <c r="B194" s="11" t="s">
        <v>380</v>
      </c>
      <c r="C194" s="11" t="s">
        <v>3371</v>
      </c>
      <c r="D194" s="11">
        <v>532270.19999999995</v>
      </c>
      <c r="E194" s="11">
        <v>16989.64</v>
      </c>
      <c r="F194" s="12">
        <v>45418</v>
      </c>
      <c r="G194" s="12">
        <v>45751</v>
      </c>
      <c r="H194" s="11" t="s">
        <v>3482</v>
      </c>
      <c r="I194" s="11" t="s">
        <v>3361</v>
      </c>
      <c r="J194" s="13" t="str" cm="1">
        <f t="array" ref="J194">_xlfn.IFS(
  OR(ISBLANK(A194),ISBLANK(B194),ISBLANK(H194),ISBLANK(D194),ISBLANK(E194)),"Missing Value",
  D194&lt;=0,"Review – Out of Range (Coverage)",
  E194&lt;=0,"Review – Out of Range (Premium)",
  TRUE,"OK"
)</f>
        <v>OK</v>
      </c>
    </row>
    <row r="195" spans="1:10" ht="16.8" x14ac:dyDescent="0.3">
      <c r="A195" s="14" t="s">
        <v>3700</v>
      </c>
      <c r="B195" s="14" t="s">
        <v>1001</v>
      </c>
      <c r="C195" s="14" t="s">
        <v>3371</v>
      </c>
      <c r="D195" s="14">
        <v>685885.57</v>
      </c>
      <c r="E195" s="14">
        <v>34057.69</v>
      </c>
      <c r="F195" s="15">
        <v>44447</v>
      </c>
      <c r="G195" s="15">
        <v>45338</v>
      </c>
      <c r="H195" s="14" t="s">
        <v>3419</v>
      </c>
      <c r="I195" s="14" t="s">
        <v>3373</v>
      </c>
      <c r="J195" s="13" t="str" cm="1">
        <f t="array" ref="J195">_xlfn.IFS(
  OR(ISBLANK(A195),ISBLANK(B195),ISBLANK(H195),ISBLANK(D195),ISBLANK(E195)),"Missing Value",
  D195&lt;=0,"Review – Out of Range (Coverage)",
  E195&lt;=0,"Review – Out of Range (Premium)",
  TRUE,"OK"
)</f>
        <v>OK</v>
      </c>
    </row>
    <row r="196" spans="1:10" ht="16.8" x14ac:dyDescent="0.3">
      <c r="A196" s="11" t="s">
        <v>3701</v>
      </c>
      <c r="B196" s="11" t="s">
        <v>1703</v>
      </c>
      <c r="C196" s="11" t="s">
        <v>3380</v>
      </c>
      <c r="D196" s="11">
        <v>190509.79</v>
      </c>
      <c r="E196" s="11">
        <v>23044.22</v>
      </c>
      <c r="F196" s="12">
        <v>44910</v>
      </c>
      <c r="G196" s="12">
        <v>45622</v>
      </c>
      <c r="H196" s="11" t="s">
        <v>3597</v>
      </c>
      <c r="I196" s="11" t="s">
        <v>3361</v>
      </c>
      <c r="J196" s="13" t="str" cm="1">
        <f t="array" ref="J196">_xlfn.IFS(
  OR(ISBLANK(A196),ISBLANK(B196),ISBLANK(H196),ISBLANK(D196),ISBLANK(E196)),"Missing Value",
  D196&lt;=0,"Review – Out of Range (Coverage)",
  E196&lt;=0,"Review – Out of Range (Premium)",
  TRUE,"OK"
)</f>
        <v>OK</v>
      </c>
    </row>
    <row r="197" spans="1:10" ht="16.8" x14ac:dyDescent="0.3">
      <c r="A197" s="14" t="s">
        <v>3702</v>
      </c>
      <c r="B197" s="14" t="s">
        <v>2905</v>
      </c>
      <c r="C197" s="14" t="s">
        <v>3359</v>
      </c>
      <c r="D197" s="14">
        <v>233638.37</v>
      </c>
      <c r="E197" s="14">
        <v>35755.39</v>
      </c>
      <c r="F197" s="15">
        <v>45087</v>
      </c>
      <c r="G197" s="15">
        <v>45267</v>
      </c>
      <c r="H197" s="14" t="s">
        <v>3397</v>
      </c>
      <c r="I197" s="14" t="s">
        <v>3361</v>
      </c>
      <c r="J197" s="13" t="str" cm="1">
        <f t="array" ref="J197">_xlfn.IFS(
  OR(ISBLANK(A197),ISBLANK(B197),ISBLANK(H197),ISBLANK(D197),ISBLANK(E197)),"Missing Value",
  D197&lt;=0,"Review – Out of Range (Coverage)",
  E197&lt;=0,"Review – Out of Range (Premium)",
  TRUE,"OK"
)</f>
        <v>OK</v>
      </c>
    </row>
    <row r="198" spans="1:10" ht="16.8" x14ac:dyDescent="0.3">
      <c r="A198" s="11" t="s">
        <v>3703</v>
      </c>
      <c r="B198" s="11" t="s">
        <v>3066</v>
      </c>
      <c r="C198" s="11" t="s">
        <v>3380</v>
      </c>
      <c r="D198" s="11">
        <v>637347.81000000006</v>
      </c>
      <c r="E198" s="11">
        <v>33618.68</v>
      </c>
      <c r="F198" s="12">
        <v>44821</v>
      </c>
      <c r="G198" s="12">
        <v>45524</v>
      </c>
      <c r="H198" s="11" t="s">
        <v>3704</v>
      </c>
      <c r="I198" s="11" t="s">
        <v>3365</v>
      </c>
      <c r="J198" s="13" t="str" cm="1">
        <f t="array" ref="J198">_xlfn.IFS(
  OR(ISBLANK(A198),ISBLANK(B198),ISBLANK(H198),ISBLANK(D198),ISBLANK(E198)),"Missing Value",
  D198&lt;=0,"Review – Out of Range (Coverage)",
  E198&lt;=0,"Review – Out of Range (Premium)",
  TRUE,"OK"
)</f>
        <v>OK</v>
      </c>
    </row>
    <row r="199" spans="1:10" ht="16.8" x14ac:dyDescent="0.3">
      <c r="A199" s="14" t="s">
        <v>3705</v>
      </c>
      <c r="B199" s="14" t="s">
        <v>2077</v>
      </c>
      <c r="C199" s="14" t="s">
        <v>3359</v>
      </c>
      <c r="D199" s="14">
        <v>674160.89</v>
      </c>
      <c r="E199" s="14">
        <v>20058.919999999998</v>
      </c>
      <c r="F199" s="15">
        <v>44679</v>
      </c>
      <c r="G199" s="15">
        <v>45178</v>
      </c>
      <c r="H199" s="14" t="s">
        <v>3432</v>
      </c>
      <c r="I199" s="14" t="s">
        <v>3373</v>
      </c>
      <c r="J199" s="13" t="str" cm="1">
        <f t="array" ref="J199">_xlfn.IFS(
  OR(ISBLANK(A199),ISBLANK(B199),ISBLANK(H199),ISBLANK(D199),ISBLANK(E199)),"Missing Value",
  D199&lt;=0,"Review – Out of Range (Coverage)",
  E199&lt;=0,"Review – Out of Range (Premium)",
  TRUE,"OK"
)</f>
        <v>OK</v>
      </c>
    </row>
    <row r="200" spans="1:10" ht="16.8" x14ac:dyDescent="0.3">
      <c r="A200" s="11" t="s">
        <v>3706</v>
      </c>
      <c r="B200" s="11" t="s">
        <v>3220</v>
      </c>
      <c r="C200" s="11" t="s">
        <v>3359</v>
      </c>
      <c r="D200" s="11">
        <v>828782.98</v>
      </c>
      <c r="E200" s="11">
        <v>6732.01</v>
      </c>
      <c r="F200" s="12">
        <v>45355</v>
      </c>
      <c r="G200" s="12">
        <v>45583</v>
      </c>
      <c r="H200" s="11" t="s">
        <v>3707</v>
      </c>
      <c r="I200" s="11" t="s">
        <v>3365</v>
      </c>
      <c r="J200" s="13" t="str" cm="1">
        <f t="array" ref="J200">_xlfn.IFS(
  OR(ISBLANK(A200),ISBLANK(B200),ISBLANK(H200),ISBLANK(D200),ISBLANK(E200)),"Missing Value",
  D200&lt;=0,"Review – Out of Range (Coverage)",
  E200&lt;=0,"Review – Out of Range (Premium)",
  TRUE,"OK"
)</f>
        <v>OK</v>
      </c>
    </row>
    <row r="201" spans="1:10" ht="16.8" x14ac:dyDescent="0.3">
      <c r="A201" s="14" t="s">
        <v>3708</v>
      </c>
      <c r="B201" s="14" t="s">
        <v>845</v>
      </c>
      <c r="C201" s="14" t="s">
        <v>3377</v>
      </c>
      <c r="D201" s="14">
        <v>653291.21</v>
      </c>
      <c r="E201" s="14">
        <v>46977.79</v>
      </c>
      <c r="F201" s="15">
        <v>44358</v>
      </c>
      <c r="G201" s="15">
        <v>44544</v>
      </c>
      <c r="H201" s="14" t="s">
        <v>3709</v>
      </c>
      <c r="I201" s="14" t="s">
        <v>3361</v>
      </c>
      <c r="J201" s="13" t="str" cm="1">
        <f t="array" ref="J201">_xlfn.IFS(
  OR(ISBLANK(A201),ISBLANK(B201),ISBLANK(H201),ISBLANK(D201),ISBLANK(E201)),"Missing Value",
  D201&lt;=0,"Review – Out of Range (Coverage)",
  E201&lt;=0,"Review – Out of Range (Premium)",
  TRUE,"OK"
)</f>
        <v>OK</v>
      </c>
    </row>
    <row r="202" spans="1:10" ht="16.8" x14ac:dyDescent="0.3">
      <c r="A202" s="11" t="s">
        <v>3710</v>
      </c>
      <c r="B202" s="11" t="s">
        <v>1111</v>
      </c>
      <c r="C202" s="11" t="s">
        <v>3380</v>
      </c>
      <c r="D202" s="11">
        <v>609445.34</v>
      </c>
      <c r="E202" s="11">
        <v>36484.300000000003</v>
      </c>
      <c r="F202" s="12">
        <v>44689</v>
      </c>
      <c r="G202" s="12">
        <v>45017</v>
      </c>
      <c r="H202" s="11" t="s">
        <v>3551</v>
      </c>
      <c r="I202" s="11" t="s">
        <v>3365</v>
      </c>
      <c r="J202" s="13" t="str" cm="1">
        <f t="array" ref="J202">_xlfn.IFS(
  OR(ISBLANK(A202),ISBLANK(B202),ISBLANK(H202),ISBLANK(D202),ISBLANK(E202)),"Missing Value",
  D202&lt;=0,"Review – Out of Range (Coverage)",
  E202&lt;=0,"Review – Out of Range (Premium)",
  TRUE,"OK"
)</f>
        <v>OK</v>
      </c>
    </row>
    <row r="203" spans="1:10" ht="16.8" x14ac:dyDescent="0.3">
      <c r="A203" s="14" t="s">
        <v>3711</v>
      </c>
      <c r="B203" s="14" t="s">
        <v>1453</v>
      </c>
      <c r="C203" s="14" t="s">
        <v>3359</v>
      </c>
      <c r="D203" s="14">
        <v>360613.65</v>
      </c>
      <c r="E203" s="14">
        <v>23179.040000000001</v>
      </c>
      <c r="F203" s="15">
        <v>44559</v>
      </c>
      <c r="G203" s="15">
        <v>45161</v>
      </c>
      <c r="H203" s="14" t="s">
        <v>3712</v>
      </c>
      <c r="I203" s="14" t="s">
        <v>3373</v>
      </c>
      <c r="J203" s="13" t="str" cm="1">
        <f t="array" ref="J203">_xlfn.IFS(
  OR(ISBLANK(A203),ISBLANK(B203),ISBLANK(H203),ISBLANK(D203),ISBLANK(E203)),"Missing Value",
  D203&lt;=0,"Review – Out of Range (Coverage)",
  E203&lt;=0,"Review – Out of Range (Premium)",
  TRUE,"OK"
)</f>
        <v>OK</v>
      </c>
    </row>
    <row r="204" spans="1:10" ht="16.8" x14ac:dyDescent="0.3">
      <c r="A204" s="11" t="s">
        <v>3713</v>
      </c>
      <c r="B204" s="11" t="s">
        <v>1251</v>
      </c>
      <c r="C204" s="11" t="s">
        <v>3380</v>
      </c>
      <c r="D204" s="11">
        <v>575446.64</v>
      </c>
      <c r="E204" s="11">
        <v>49115.88</v>
      </c>
      <c r="F204" s="12">
        <v>44662</v>
      </c>
      <c r="G204" s="12">
        <v>45473</v>
      </c>
      <c r="H204" s="11" t="s">
        <v>3675</v>
      </c>
      <c r="I204" s="11" t="s">
        <v>3365</v>
      </c>
      <c r="J204" s="13" t="str" cm="1">
        <f t="array" ref="J204">_xlfn.IFS(
  OR(ISBLANK(A204),ISBLANK(B204),ISBLANK(H204),ISBLANK(D204),ISBLANK(E204)),"Missing Value",
  D204&lt;=0,"Review – Out of Range (Coverage)",
  E204&lt;=0,"Review – Out of Range (Premium)",
  TRUE,"OK"
)</f>
        <v>OK</v>
      </c>
    </row>
    <row r="205" spans="1:10" ht="16.8" x14ac:dyDescent="0.3">
      <c r="A205" s="14" t="s">
        <v>3714</v>
      </c>
      <c r="B205" s="14" t="s">
        <v>230</v>
      </c>
      <c r="C205" s="14" t="s">
        <v>3380</v>
      </c>
      <c r="D205" s="14">
        <v>953026.23</v>
      </c>
      <c r="E205" s="14">
        <v>30719.67</v>
      </c>
      <c r="F205" s="15">
        <v>45337</v>
      </c>
      <c r="G205" s="15">
        <v>45541</v>
      </c>
      <c r="H205" s="14" t="s">
        <v>3715</v>
      </c>
      <c r="I205" s="14" t="s">
        <v>3365</v>
      </c>
      <c r="J205" s="13" t="str" cm="1">
        <f t="array" ref="J205">_xlfn.IFS(
  OR(ISBLANK(A205),ISBLANK(B205),ISBLANK(H205),ISBLANK(D205),ISBLANK(E205)),"Missing Value",
  D205&lt;=0,"Review – Out of Range (Coverage)",
  E205&lt;=0,"Review – Out of Range (Premium)",
  TRUE,"OK"
)</f>
        <v>OK</v>
      </c>
    </row>
    <row r="206" spans="1:10" ht="16.8" x14ac:dyDescent="0.3">
      <c r="A206" s="11" t="s">
        <v>3716</v>
      </c>
      <c r="B206" s="11" t="s">
        <v>1027</v>
      </c>
      <c r="C206" s="11" t="s">
        <v>3359</v>
      </c>
      <c r="D206" s="11">
        <v>123758.76</v>
      </c>
      <c r="E206" s="11">
        <v>39608.11</v>
      </c>
      <c r="F206" s="12">
        <v>45415</v>
      </c>
      <c r="G206" s="12">
        <v>45614</v>
      </c>
      <c r="H206" s="11" t="s">
        <v>3646</v>
      </c>
      <c r="I206" s="11" t="s">
        <v>3365</v>
      </c>
      <c r="J206" s="13" t="str" cm="1">
        <f t="array" ref="J206">_xlfn.IFS(
  OR(ISBLANK(A206),ISBLANK(B206),ISBLANK(H206),ISBLANK(D206),ISBLANK(E206)),"Missing Value",
  D206&lt;=0,"Review – Out of Range (Coverage)",
  E206&lt;=0,"Review – Out of Range (Premium)",
  TRUE,"OK"
)</f>
        <v>OK</v>
      </c>
    </row>
    <row r="207" spans="1:10" ht="16.8" x14ac:dyDescent="0.3">
      <c r="A207" s="14" t="s">
        <v>3717</v>
      </c>
      <c r="B207" s="14" t="s">
        <v>1051</v>
      </c>
      <c r="C207" s="14" t="s">
        <v>3377</v>
      </c>
      <c r="D207" s="14">
        <v>355726.02</v>
      </c>
      <c r="E207" s="14">
        <v>5266.64</v>
      </c>
      <c r="F207" s="15">
        <v>44934</v>
      </c>
      <c r="G207" s="15">
        <v>45779</v>
      </c>
      <c r="H207" s="14" t="s">
        <v>3718</v>
      </c>
      <c r="I207" s="14" t="s">
        <v>3361</v>
      </c>
      <c r="J207" s="13" t="str" cm="1">
        <f t="array" ref="J207">_xlfn.IFS(
  OR(ISBLANK(A207),ISBLANK(B207),ISBLANK(H207),ISBLANK(D207),ISBLANK(E207)),"Missing Value",
  D207&lt;=0,"Review – Out of Range (Coverage)",
  E207&lt;=0,"Review – Out of Range (Premium)",
  TRUE,"OK"
)</f>
        <v>OK</v>
      </c>
    </row>
    <row r="208" spans="1:10" ht="16.8" x14ac:dyDescent="0.3">
      <c r="A208" s="11" t="s">
        <v>3719</v>
      </c>
      <c r="B208" s="11" t="s">
        <v>456</v>
      </c>
      <c r="C208" s="11" t="s">
        <v>3371</v>
      </c>
      <c r="D208" s="11">
        <v>902126.7</v>
      </c>
      <c r="E208" s="11">
        <v>24036.54</v>
      </c>
      <c r="F208" s="12">
        <v>45373</v>
      </c>
      <c r="G208" s="12">
        <v>45670</v>
      </c>
      <c r="H208" s="11" t="s">
        <v>3517</v>
      </c>
      <c r="I208" s="11" t="s">
        <v>3361</v>
      </c>
      <c r="J208" s="13" t="str" cm="1">
        <f t="array" ref="J208">_xlfn.IFS(
  OR(ISBLANK(A208),ISBLANK(B208),ISBLANK(H208),ISBLANK(D208),ISBLANK(E208)),"Missing Value",
  D208&lt;=0,"Review – Out of Range (Coverage)",
  E208&lt;=0,"Review – Out of Range (Premium)",
  TRUE,"OK"
)</f>
        <v>OK</v>
      </c>
    </row>
    <row r="209" spans="1:10" ht="16.8" x14ac:dyDescent="0.3">
      <c r="A209" s="14" t="s">
        <v>3720</v>
      </c>
      <c r="B209" s="14" t="s">
        <v>2801</v>
      </c>
      <c r="C209" s="14" t="s">
        <v>3377</v>
      </c>
      <c r="D209" s="14">
        <v>396059.86</v>
      </c>
      <c r="E209" s="14">
        <v>44460.25</v>
      </c>
      <c r="F209" s="15">
        <v>45225</v>
      </c>
      <c r="G209" s="15">
        <v>45394</v>
      </c>
      <c r="H209" s="14" t="s">
        <v>3721</v>
      </c>
      <c r="I209" s="14" t="s">
        <v>3373</v>
      </c>
      <c r="J209" s="13" t="str" cm="1">
        <f t="array" ref="J209">_xlfn.IFS(
  OR(ISBLANK(A209),ISBLANK(B209),ISBLANK(H209),ISBLANK(D209),ISBLANK(E209)),"Missing Value",
  D209&lt;=0,"Review – Out of Range (Coverage)",
  E209&lt;=0,"Review – Out of Range (Premium)",
  TRUE,"OK"
)</f>
        <v>OK</v>
      </c>
    </row>
    <row r="210" spans="1:10" ht="16.8" x14ac:dyDescent="0.3">
      <c r="A210" s="11" t="s">
        <v>3722</v>
      </c>
      <c r="B210" s="11" t="s">
        <v>2469</v>
      </c>
      <c r="C210" s="11" t="s">
        <v>3363</v>
      </c>
      <c r="D210" s="11">
        <v>850087.21</v>
      </c>
      <c r="E210" s="11">
        <v>11611.99</v>
      </c>
      <c r="F210" s="12">
        <v>44761</v>
      </c>
      <c r="G210" s="12">
        <v>45614</v>
      </c>
      <c r="H210" s="11" t="s">
        <v>3547</v>
      </c>
      <c r="I210" s="11" t="s">
        <v>3361</v>
      </c>
      <c r="J210" s="13" t="str" cm="1">
        <f t="array" ref="J210">_xlfn.IFS(
  OR(ISBLANK(A210),ISBLANK(B210),ISBLANK(H210),ISBLANK(D210),ISBLANK(E210)),"Missing Value",
  D210&lt;=0,"Review – Out of Range (Coverage)",
  E210&lt;=0,"Review – Out of Range (Premium)",
  TRUE,"OK"
)</f>
        <v>OK</v>
      </c>
    </row>
    <row r="211" spans="1:10" ht="16.8" x14ac:dyDescent="0.3">
      <c r="A211" s="14" t="s">
        <v>3723</v>
      </c>
      <c r="B211" s="14" t="s">
        <v>2431</v>
      </c>
      <c r="C211" s="14" t="s">
        <v>3371</v>
      </c>
      <c r="D211" s="14">
        <v>881723.12</v>
      </c>
      <c r="E211" s="14">
        <v>20349.5</v>
      </c>
      <c r="F211" s="15">
        <v>44525</v>
      </c>
      <c r="G211" s="15">
        <v>45311</v>
      </c>
      <c r="H211" s="14" t="s">
        <v>3364</v>
      </c>
      <c r="I211" s="14" t="s">
        <v>3373</v>
      </c>
      <c r="J211" s="13" t="str" cm="1">
        <f t="array" ref="J211">_xlfn.IFS(
  OR(ISBLANK(A211),ISBLANK(B211),ISBLANK(H211),ISBLANK(D211),ISBLANK(E211)),"Missing Value",
  D211&lt;=0,"Review – Out of Range (Coverage)",
  E211&lt;=0,"Review – Out of Range (Premium)",
  TRUE,"OK"
)</f>
        <v>OK</v>
      </c>
    </row>
    <row r="212" spans="1:10" ht="16.8" x14ac:dyDescent="0.3">
      <c r="A212" s="11" t="s">
        <v>3724</v>
      </c>
      <c r="B212" s="11" t="s">
        <v>2503</v>
      </c>
      <c r="C212" s="11" t="s">
        <v>3377</v>
      </c>
      <c r="D212" s="11">
        <v>573504.72</v>
      </c>
      <c r="E212" s="11">
        <v>29477.97</v>
      </c>
      <c r="F212" s="12">
        <v>45276</v>
      </c>
      <c r="G212" s="12">
        <v>45538</v>
      </c>
      <c r="H212" s="11" t="s">
        <v>3725</v>
      </c>
      <c r="I212" s="11" t="s">
        <v>3361</v>
      </c>
      <c r="J212" s="13" t="str" cm="1">
        <f t="array" ref="J212">_xlfn.IFS(
  OR(ISBLANK(A212),ISBLANK(B212),ISBLANK(H212),ISBLANK(D212),ISBLANK(E212)),"Missing Value",
  D212&lt;=0,"Review – Out of Range (Coverage)",
  E212&lt;=0,"Review – Out of Range (Premium)",
  TRUE,"OK"
)</f>
        <v>OK</v>
      </c>
    </row>
    <row r="213" spans="1:10" ht="16.8" x14ac:dyDescent="0.3">
      <c r="A213" s="14" t="s">
        <v>3726</v>
      </c>
      <c r="B213" s="14" t="s">
        <v>3106</v>
      </c>
      <c r="C213" s="14" t="s">
        <v>3380</v>
      </c>
      <c r="D213" s="14">
        <v>240841.13</v>
      </c>
      <c r="E213" s="14">
        <v>23464.66</v>
      </c>
      <c r="F213" s="15">
        <v>44708</v>
      </c>
      <c r="G213" s="15">
        <v>45001</v>
      </c>
      <c r="H213" s="14" t="s">
        <v>3401</v>
      </c>
      <c r="I213" s="14" t="s">
        <v>3373</v>
      </c>
      <c r="J213" s="13" t="str" cm="1">
        <f t="array" ref="J213">_xlfn.IFS(
  OR(ISBLANK(A213),ISBLANK(B213),ISBLANK(H213),ISBLANK(D213),ISBLANK(E213)),"Missing Value",
  D213&lt;=0,"Review – Out of Range (Coverage)",
  E213&lt;=0,"Review – Out of Range (Premium)",
  TRUE,"OK"
)</f>
        <v>OK</v>
      </c>
    </row>
    <row r="214" spans="1:10" ht="16.8" x14ac:dyDescent="0.3">
      <c r="A214" s="11" t="s">
        <v>3727</v>
      </c>
      <c r="B214" s="11" t="s">
        <v>1365</v>
      </c>
      <c r="C214" s="11" t="s">
        <v>3363</v>
      </c>
      <c r="D214" s="11">
        <v>155379.76</v>
      </c>
      <c r="E214" s="11">
        <v>13182.31</v>
      </c>
      <c r="F214" s="12">
        <v>45243</v>
      </c>
      <c r="G214" s="12">
        <v>45260</v>
      </c>
      <c r="H214" s="11" t="s">
        <v>3728</v>
      </c>
      <c r="I214" s="11" t="s">
        <v>3361</v>
      </c>
      <c r="J214" s="13" t="str" cm="1">
        <f t="array" ref="J214">_xlfn.IFS(
  OR(ISBLANK(A214),ISBLANK(B214),ISBLANK(H214),ISBLANK(D214),ISBLANK(E214)),"Missing Value",
  D214&lt;=0,"Review – Out of Range (Coverage)",
  E214&lt;=0,"Review – Out of Range (Premium)",
  TRUE,"OK"
)</f>
        <v>OK</v>
      </c>
    </row>
    <row r="215" spans="1:10" ht="16.8" x14ac:dyDescent="0.3">
      <c r="A215" s="14" t="s">
        <v>3729</v>
      </c>
      <c r="B215" s="14" t="s">
        <v>2955</v>
      </c>
      <c r="C215" s="14" t="s">
        <v>3377</v>
      </c>
      <c r="D215" s="14">
        <v>997706.51</v>
      </c>
      <c r="E215" s="14">
        <v>24203.17</v>
      </c>
      <c r="F215" s="15">
        <v>45137</v>
      </c>
      <c r="G215" s="15">
        <v>45311</v>
      </c>
      <c r="H215" s="14" t="s">
        <v>3417</v>
      </c>
      <c r="I215" s="14" t="s">
        <v>3361</v>
      </c>
      <c r="J215" s="13" t="str" cm="1">
        <f t="array" ref="J215">_xlfn.IFS(
  OR(ISBLANK(A215),ISBLANK(B215),ISBLANK(H215),ISBLANK(D215),ISBLANK(E215)),"Missing Value",
  D215&lt;=0,"Review – Out of Range (Coverage)",
  E215&lt;=0,"Review – Out of Range (Premium)",
  TRUE,"OK"
)</f>
        <v>OK</v>
      </c>
    </row>
    <row r="216" spans="1:10" ht="16.8" x14ac:dyDescent="0.3">
      <c r="A216" s="11" t="s">
        <v>3730</v>
      </c>
      <c r="B216" s="11" t="s">
        <v>2119</v>
      </c>
      <c r="C216" s="11" t="s">
        <v>3359</v>
      </c>
      <c r="D216" s="11">
        <v>915798.68</v>
      </c>
      <c r="E216" s="11">
        <v>10276.92</v>
      </c>
      <c r="F216" s="12">
        <v>45311</v>
      </c>
      <c r="G216" s="12">
        <v>45323</v>
      </c>
      <c r="H216" s="11" t="s">
        <v>3731</v>
      </c>
      <c r="I216" s="11" t="s">
        <v>3373</v>
      </c>
      <c r="J216" s="13" t="str" cm="1">
        <f t="array" ref="J216">_xlfn.IFS(
  OR(ISBLANK(A216),ISBLANK(B216),ISBLANK(H216),ISBLANK(D216),ISBLANK(E216)),"Missing Value",
  D216&lt;=0,"Review – Out of Range (Coverage)",
  E216&lt;=0,"Review – Out of Range (Premium)",
  TRUE,"OK"
)</f>
        <v>OK</v>
      </c>
    </row>
    <row r="217" spans="1:10" ht="16.8" x14ac:dyDescent="0.3">
      <c r="A217" s="14" t="s">
        <v>3732</v>
      </c>
      <c r="B217" s="14" t="s">
        <v>2073</v>
      </c>
      <c r="C217" s="14" t="s">
        <v>3380</v>
      </c>
      <c r="D217" s="14">
        <v>153079.32</v>
      </c>
      <c r="E217" s="14">
        <v>40106.879999999997</v>
      </c>
      <c r="F217" s="15">
        <v>45303</v>
      </c>
      <c r="G217" s="15">
        <v>45539</v>
      </c>
      <c r="H217" s="14" t="s">
        <v>3733</v>
      </c>
      <c r="I217" s="14" t="s">
        <v>3373</v>
      </c>
      <c r="J217" s="13" t="str" cm="1">
        <f t="array" ref="J217">_xlfn.IFS(
  OR(ISBLANK(A217),ISBLANK(B217),ISBLANK(H217),ISBLANK(D217),ISBLANK(E217)),"Missing Value",
  D217&lt;=0,"Review – Out of Range (Coverage)",
  E217&lt;=0,"Review – Out of Range (Premium)",
  TRUE,"OK"
)</f>
        <v>OK</v>
      </c>
    </row>
    <row r="218" spans="1:10" ht="16.8" x14ac:dyDescent="0.3">
      <c r="A218" s="11" t="s">
        <v>3734</v>
      </c>
      <c r="B218" s="11" t="s">
        <v>2885</v>
      </c>
      <c r="C218" s="11" t="s">
        <v>3371</v>
      </c>
      <c r="D218" s="11">
        <v>556416.32999999996</v>
      </c>
      <c r="E218" s="11">
        <v>38727.79</v>
      </c>
      <c r="F218" s="12">
        <v>44555</v>
      </c>
      <c r="G218" s="12">
        <v>44958</v>
      </c>
      <c r="H218" s="11" t="s">
        <v>3735</v>
      </c>
      <c r="I218" s="11" t="s">
        <v>3361</v>
      </c>
      <c r="J218" s="13" t="str" cm="1">
        <f t="array" ref="J218">_xlfn.IFS(
  OR(ISBLANK(A218),ISBLANK(B218),ISBLANK(H218),ISBLANK(D218),ISBLANK(E218)),"Missing Value",
  D218&lt;=0,"Review – Out of Range (Coverage)",
  E218&lt;=0,"Review – Out of Range (Premium)",
  TRUE,"OK"
)</f>
        <v>OK</v>
      </c>
    </row>
    <row r="219" spans="1:10" ht="16.8" x14ac:dyDescent="0.3">
      <c r="A219" s="14" t="s">
        <v>3736</v>
      </c>
      <c r="B219" s="14" t="s">
        <v>3146</v>
      </c>
      <c r="C219" s="14" t="s">
        <v>3359</v>
      </c>
      <c r="D219" s="14">
        <v>943419.15</v>
      </c>
      <c r="E219" s="14">
        <v>18786.240000000002</v>
      </c>
      <c r="F219" s="15">
        <v>44687</v>
      </c>
      <c r="G219" s="15">
        <v>44922</v>
      </c>
      <c r="H219" s="14" t="s">
        <v>3482</v>
      </c>
      <c r="I219" s="14" t="s">
        <v>3373</v>
      </c>
      <c r="J219" s="13" t="str" cm="1">
        <f t="array" ref="J219">_xlfn.IFS(
  OR(ISBLANK(A219),ISBLANK(B219),ISBLANK(H219),ISBLANK(D219),ISBLANK(E219)),"Missing Value",
  D219&lt;=0,"Review – Out of Range (Coverage)",
  E219&lt;=0,"Review – Out of Range (Premium)",
  TRUE,"OK"
)</f>
        <v>OK</v>
      </c>
    </row>
    <row r="220" spans="1:10" ht="16.8" x14ac:dyDescent="0.3">
      <c r="A220" s="11" t="s">
        <v>3737</v>
      </c>
      <c r="B220" s="11" t="s">
        <v>2793</v>
      </c>
      <c r="C220" s="11" t="s">
        <v>3359</v>
      </c>
      <c r="D220" s="11">
        <v>474473.61</v>
      </c>
      <c r="E220" s="11">
        <v>13426.09</v>
      </c>
      <c r="F220" s="12">
        <v>44725</v>
      </c>
      <c r="G220" s="12">
        <v>44961</v>
      </c>
      <c r="H220" s="11" t="s">
        <v>3738</v>
      </c>
      <c r="I220" s="11" t="s">
        <v>3373</v>
      </c>
      <c r="J220" s="13" t="str" cm="1">
        <f t="array" ref="J220">_xlfn.IFS(
  OR(ISBLANK(A220),ISBLANK(B220),ISBLANK(H220),ISBLANK(D220),ISBLANK(E220)),"Missing Value",
  D220&lt;=0,"Review – Out of Range (Coverage)",
  E220&lt;=0,"Review – Out of Range (Premium)",
  TRUE,"OK"
)</f>
        <v>OK</v>
      </c>
    </row>
    <row r="221" spans="1:10" ht="16.8" x14ac:dyDescent="0.3">
      <c r="A221" s="14" t="s">
        <v>3739</v>
      </c>
      <c r="B221" s="14" t="s">
        <v>611</v>
      </c>
      <c r="C221" s="14" t="s">
        <v>3359</v>
      </c>
      <c r="D221" s="14">
        <v>143896.35</v>
      </c>
      <c r="E221" s="14">
        <v>14132.02</v>
      </c>
      <c r="F221" s="15">
        <v>45172</v>
      </c>
      <c r="G221" s="15">
        <v>45213</v>
      </c>
      <c r="H221" s="14" t="s">
        <v>3740</v>
      </c>
      <c r="I221" s="14" t="s">
        <v>3361</v>
      </c>
      <c r="J221" s="13" t="str" cm="1">
        <f t="array" ref="J221">_xlfn.IFS(
  OR(ISBLANK(A221),ISBLANK(B221),ISBLANK(H221),ISBLANK(D221),ISBLANK(E221)),"Missing Value",
  D221&lt;=0,"Review – Out of Range (Coverage)",
  E221&lt;=0,"Review – Out of Range (Premium)",
  TRUE,"OK"
)</f>
        <v>OK</v>
      </c>
    </row>
    <row r="222" spans="1:10" ht="16.8" x14ac:dyDescent="0.3">
      <c r="A222" s="11" t="s">
        <v>3741</v>
      </c>
      <c r="B222" s="11" t="s">
        <v>364</v>
      </c>
      <c r="C222" s="11" t="s">
        <v>3359</v>
      </c>
      <c r="D222" s="11">
        <v>977376.98</v>
      </c>
      <c r="E222" s="11">
        <v>16290.42</v>
      </c>
      <c r="F222" s="12">
        <v>44896</v>
      </c>
      <c r="G222" s="12">
        <v>45659</v>
      </c>
      <c r="H222" s="11" t="s">
        <v>3444</v>
      </c>
      <c r="I222" s="11" t="s">
        <v>3373</v>
      </c>
      <c r="J222" s="13" t="str" cm="1">
        <f t="array" ref="J222">_xlfn.IFS(
  OR(ISBLANK(A222),ISBLANK(B222),ISBLANK(H222),ISBLANK(D222),ISBLANK(E222)),"Missing Value",
  D222&lt;=0,"Review – Out of Range (Coverage)",
  E222&lt;=0,"Review – Out of Range (Premium)",
  TRUE,"OK"
)</f>
        <v>OK</v>
      </c>
    </row>
    <row r="223" spans="1:10" ht="16.8" x14ac:dyDescent="0.3">
      <c r="A223" s="14" t="s">
        <v>3742</v>
      </c>
      <c r="B223" s="14" t="s">
        <v>3146</v>
      </c>
      <c r="C223" s="14" t="s">
        <v>3363</v>
      </c>
      <c r="D223" s="14">
        <v>821440.66</v>
      </c>
      <c r="E223" s="14">
        <v>7863.8</v>
      </c>
      <c r="F223" s="15">
        <v>45280</v>
      </c>
      <c r="G223" s="15">
        <v>45711</v>
      </c>
      <c r="H223" s="14" t="s">
        <v>3401</v>
      </c>
      <c r="I223" s="14" t="s">
        <v>3361</v>
      </c>
      <c r="J223" s="13" t="str" cm="1">
        <f t="array" ref="J223">_xlfn.IFS(
  OR(ISBLANK(A223),ISBLANK(B223),ISBLANK(H223),ISBLANK(D223),ISBLANK(E223)),"Missing Value",
  D223&lt;=0,"Review – Out of Range (Coverage)",
  E223&lt;=0,"Review – Out of Range (Premium)",
  TRUE,"OK"
)</f>
        <v>OK</v>
      </c>
    </row>
    <row r="224" spans="1:10" ht="16.8" x14ac:dyDescent="0.3">
      <c r="A224" s="11" t="s">
        <v>3743</v>
      </c>
      <c r="B224" s="11" t="s">
        <v>2731</v>
      </c>
      <c r="C224" s="11" t="s">
        <v>3359</v>
      </c>
      <c r="D224" s="11">
        <v>733674.42</v>
      </c>
      <c r="E224" s="11">
        <v>44322.55</v>
      </c>
      <c r="F224" s="12">
        <v>45200</v>
      </c>
      <c r="G224" s="12">
        <v>45447</v>
      </c>
      <c r="H224" s="11" t="s">
        <v>3744</v>
      </c>
      <c r="I224" s="11" t="s">
        <v>3373</v>
      </c>
      <c r="J224" s="13" t="str" cm="1">
        <f t="array" ref="J224">_xlfn.IFS(
  OR(ISBLANK(A224),ISBLANK(B224),ISBLANK(H224),ISBLANK(D224),ISBLANK(E224)),"Missing Value",
  D224&lt;=0,"Review – Out of Range (Coverage)",
  E224&lt;=0,"Review – Out of Range (Premium)",
  TRUE,"OK"
)</f>
        <v>OK</v>
      </c>
    </row>
    <row r="225" spans="1:10" ht="16.8" x14ac:dyDescent="0.3">
      <c r="A225" s="14" t="s">
        <v>3745</v>
      </c>
      <c r="B225" s="14" t="s">
        <v>1409</v>
      </c>
      <c r="C225" s="14" t="s">
        <v>3380</v>
      </c>
      <c r="D225" s="14">
        <v>801426.58</v>
      </c>
      <c r="E225" s="14">
        <v>35299.699999999997</v>
      </c>
      <c r="F225" s="15">
        <v>44390</v>
      </c>
      <c r="G225" s="15">
        <v>44818</v>
      </c>
      <c r="H225" s="14" t="s">
        <v>3746</v>
      </c>
      <c r="I225" s="14" t="s">
        <v>3361</v>
      </c>
      <c r="J225" s="13" t="str" cm="1">
        <f t="array" ref="J225">_xlfn.IFS(
  OR(ISBLANK(A225),ISBLANK(B225),ISBLANK(H225),ISBLANK(D225),ISBLANK(E225)),"Missing Value",
  D225&lt;=0,"Review – Out of Range (Coverage)",
  E225&lt;=0,"Review – Out of Range (Premium)",
  TRUE,"OK"
)</f>
        <v>OK</v>
      </c>
    </row>
    <row r="226" spans="1:10" ht="16.8" x14ac:dyDescent="0.3">
      <c r="A226" s="11" t="s">
        <v>3747</v>
      </c>
      <c r="B226" s="11" t="s">
        <v>1173</v>
      </c>
      <c r="C226" s="11" t="s">
        <v>3377</v>
      </c>
      <c r="D226" s="11">
        <v>115320.92</v>
      </c>
      <c r="E226" s="11">
        <v>20681.28</v>
      </c>
      <c r="F226" s="12">
        <v>44421</v>
      </c>
      <c r="G226" s="12">
        <v>44773</v>
      </c>
      <c r="H226" s="11" t="s">
        <v>3748</v>
      </c>
      <c r="I226" s="11" t="s">
        <v>3365</v>
      </c>
      <c r="J226" s="13" t="str" cm="1">
        <f t="array" ref="J226">_xlfn.IFS(
  OR(ISBLANK(A226),ISBLANK(B226),ISBLANK(H226),ISBLANK(D226),ISBLANK(E226)),"Missing Value",
  D226&lt;=0,"Review – Out of Range (Coverage)",
  E226&lt;=0,"Review – Out of Range (Premium)",
  TRUE,"OK"
)</f>
        <v>OK</v>
      </c>
    </row>
    <row r="227" spans="1:10" ht="16.8" x14ac:dyDescent="0.3">
      <c r="A227" s="14" t="s">
        <v>3749</v>
      </c>
      <c r="B227" s="14" t="s">
        <v>3240</v>
      </c>
      <c r="C227" s="14" t="s">
        <v>3359</v>
      </c>
      <c r="D227" s="14">
        <v>945083.94</v>
      </c>
      <c r="E227" s="14">
        <v>19624.240000000002</v>
      </c>
      <c r="F227" s="15">
        <v>45473</v>
      </c>
      <c r="G227" s="15">
        <v>45785</v>
      </c>
      <c r="H227" s="14" t="s">
        <v>3750</v>
      </c>
      <c r="I227" s="14" t="s">
        <v>3373</v>
      </c>
      <c r="J227" s="13" t="str" cm="1">
        <f t="array" ref="J227">_xlfn.IFS(
  OR(ISBLANK(A227),ISBLANK(B227),ISBLANK(H227),ISBLANK(D227),ISBLANK(E227)),"Missing Value",
  D227&lt;=0,"Review – Out of Range (Coverage)",
  E227&lt;=0,"Review – Out of Range (Premium)",
  TRUE,"OK"
)</f>
        <v>OK</v>
      </c>
    </row>
    <row r="228" spans="1:10" ht="16.8" x14ac:dyDescent="0.3">
      <c r="A228" s="11" t="s">
        <v>3751</v>
      </c>
      <c r="B228" s="11" t="s">
        <v>547</v>
      </c>
      <c r="C228" s="11" t="s">
        <v>3380</v>
      </c>
      <c r="D228" s="11">
        <v>823448.5</v>
      </c>
      <c r="E228" s="11">
        <v>28674.01</v>
      </c>
      <c r="F228" s="12">
        <v>44396</v>
      </c>
      <c r="G228" s="12">
        <v>45796</v>
      </c>
      <c r="H228" s="11" t="s">
        <v>3752</v>
      </c>
      <c r="I228" s="11" t="s">
        <v>3361</v>
      </c>
      <c r="J228" s="13" t="str" cm="1">
        <f t="array" ref="J228">_xlfn.IFS(
  OR(ISBLANK(A228),ISBLANK(B228),ISBLANK(H228),ISBLANK(D228),ISBLANK(E228)),"Missing Value",
  D228&lt;=0,"Review – Out of Range (Coverage)",
  E228&lt;=0,"Review – Out of Range (Premium)",
  TRUE,"OK"
)</f>
        <v>OK</v>
      </c>
    </row>
    <row r="229" spans="1:10" ht="16.8" x14ac:dyDescent="0.3">
      <c r="A229" s="14" t="s">
        <v>3753</v>
      </c>
      <c r="B229" s="14" t="s">
        <v>3176</v>
      </c>
      <c r="C229" s="14" t="s">
        <v>3371</v>
      </c>
      <c r="D229" s="14">
        <v>545892.28</v>
      </c>
      <c r="E229" s="14">
        <v>19476.759999999998</v>
      </c>
      <c r="F229" s="15">
        <v>45372</v>
      </c>
      <c r="G229" s="15">
        <v>45797</v>
      </c>
      <c r="H229" s="14" t="s">
        <v>3754</v>
      </c>
      <c r="I229" s="14" t="s">
        <v>3365</v>
      </c>
      <c r="J229" s="13" t="str" cm="1">
        <f t="array" ref="J229">_xlfn.IFS(
  OR(ISBLANK(A229),ISBLANK(B229),ISBLANK(H229),ISBLANK(D229),ISBLANK(E229)),"Missing Value",
  D229&lt;=0,"Review – Out of Range (Coverage)",
  E229&lt;=0,"Review – Out of Range (Premium)",
  TRUE,"OK"
)</f>
        <v>OK</v>
      </c>
    </row>
    <row r="230" spans="1:10" ht="16.8" x14ac:dyDescent="0.3">
      <c r="A230" s="11" t="s">
        <v>3755</v>
      </c>
      <c r="B230" s="11" t="s">
        <v>80</v>
      </c>
      <c r="C230" s="11" t="s">
        <v>3363</v>
      </c>
      <c r="D230" s="11">
        <v>831662.36</v>
      </c>
      <c r="E230" s="11">
        <v>11778.63</v>
      </c>
      <c r="F230" s="12">
        <v>45474</v>
      </c>
      <c r="G230" s="12">
        <v>45720</v>
      </c>
      <c r="H230" s="11" t="s">
        <v>3540</v>
      </c>
      <c r="I230" s="11" t="s">
        <v>3365</v>
      </c>
      <c r="J230" s="13" t="str" cm="1">
        <f t="array" ref="J230">_xlfn.IFS(
  OR(ISBLANK(A230),ISBLANK(B230),ISBLANK(H230),ISBLANK(D230),ISBLANK(E230)),"Missing Value",
  D230&lt;=0,"Review – Out of Range (Coverage)",
  E230&lt;=0,"Review – Out of Range (Premium)",
  TRUE,"OK"
)</f>
        <v>OK</v>
      </c>
    </row>
    <row r="231" spans="1:10" ht="16.8" x14ac:dyDescent="0.3">
      <c r="A231" s="14" t="s">
        <v>3756</v>
      </c>
      <c r="B231" s="14" t="s">
        <v>95</v>
      </c>
      <c r="C231" s="14" t="s">
        <v>3363</v>
      </c>
      <c r="D231" s="14">
        <v>732671.53</v>
      </c>
      <c r="E231" s="14">
        <v>32749.69</v>
      </c>
      <c r="F231" s="15">
        <v>45374</v>
      </c>
      <c r="G231" s="15">
        <v>45702</v>
      </c>
      <c r="H231" s="14" t="s">
        <v>3403</v>
      </c>
      <c r="I231" s="14" t="s">
        <v>3373</v>
      </c>
      <c r="J231" s="13" t="str" cm="1">
        <f t="array" ref="J231">_xlfn.IFS(
  OR(ISBLANK(A231),ISBLANK(B231),ISBLANK(H231),ISBLANK(D231),ISBLANK(E231)),"Missing Value",
  D231&lt;=0,"Review – Out of Range (Coverage)",
  E231&lt;=0,"Review – Out of Range (Premium)",
  TRUE,"OK"
)</f>
        <v>OK</v>
      </c>
    </row>
    <row r="232" spans="1:10" ht="16.8" x14ac:dyDescent="0.3">
      <c r="A232" s="11" t="s">
        <v>3757</v>
      </c>
      <c r="B232" s="11" t="s">
        <v>1925</v>
      </c>
      <c r="C232" s="11" t="s">
        <v>3377</v>
      </c>
      <c r="D232" s="11">
        <v>770842.48</v>
      </c>
      <c r="E232" s="11">
        <v>9451.89</v>
      </c>
      <c r="F232" s="12">
        <v>44417</v>
      </c>
      <c r="G232" s="12">
        <v>44458</v>
      </c>
      <c r="H232" s="11" t="s">
        <v>3372</v>
      </c>
      <c r="I232" s="11" t="s">
        <v>3361</v>
      </c>
      <c r="J232" s="13" t="str" cm="1">
        <f t="array" ref="J232">_xlfn.IFS(
  OR(ISBLANK(A232),ISBLANK(B232),ISBLANK(H232),ISBLANK(D232),ISBLANK(E232)),"Missing Value",
  D232&lt;=0,"Review – Out of Range (Coverage)",
  E232&lt;=0,"Review – Out of Range (Premium)",
  TRUE,"OK"
)</f>
        <v>OK</v>
      </c>
    </row>
    <row r="233" spans="1:10" ht="16.8" x14ac:dyDescent="0.3">
      <c r="A233" s="14" t="s">
        <v>3758</v>
      </c>
      <c r="B233" s="14" t="s">
        <v>1163</v>
      </c>
      <c r="C233" s="14" t="s">
        <v>3363</v>
      </c>
      <c r="D233" s="14">
        <v>898269.76</v>
      </c>
      <c r="E233" s="14">
        <v>40402.68</v>
      </c>
      <c r="F233" s="15">
        <v>45497</v>
      </c>
      <c r="G233" s="15">
        <v>45767</v>
      </c>
      <c r="H233" s="14" t="s">
        <v>3759</v>
      </c>
      <c r="I233" s="14" t="s">
        <v>3365</v>
      </c>
      <c r="J233" s="13" t="str" cm="1">
        <f t="array" ref="J233">_xlfn.IFS(
  OR(ISBLANK(A233),ISBLANK(B233),ISBLANK(H233),ISBLANK(D233),ISBLANK(E233)),"Missing Value",
  D233&lt;=0,"Review – Out of Range (Coverage)",
  E233&lt;=0,"Review – Out of Range (Premium)",
  TRUE,"OK"
)</f>
        <v>OK</v>
      </c>
    </row>
    <row r="234" spans="1:10" ht="16.8" x14ac:dyDescent="0.3">
      <c r="A234" s="11" t="s">
        <v>3760</v>
      </c>
      <c r="B234" s="11" t="s">
        <v>2569</v>
      </c>
      <c r="C234" s="11" t="s">
        <v>3359</v>
      </c>
      <c r="D234" s="11">
        <v>166753.26999999999</v>
      </c>
      <c r="E234" s="11">
        <v>49504.31</v>
      </c>
      <c r="F234" s="12">
        <v>45227</v>
      </c>
      <c r="G234" s="12">
        <v>45599</v>
      </c>
      <c r="H234" s="11" t="s">
        <v>3449</v>
      </c>
      <c r="I234" s="11" t="s">
        <v>3365</v>
      </c>
      <c r="J234" s="13" t="str" cm="1">
        <f t="array" ref="J234">_xlfn.IFS(
  OR(ISBLANK(A234),ISBLANK(B234),ISBLANK(H234),ISBLANK(D234),ISBLANK(E234)),"Missing Value",
  D234&lt;=0,"Review – Out of Range (Coverage)",
  E234&lt;=0,"Review – Out of Range (Premium)",
  TRUE,"OK"
)</f>
        <v>OK</v>
      </c>
    </row>
    <row r="235" spans="1:10" ht="16.8" x14ac:dyDescent="0.3">
      <c r="A235" s="14" t="s">
        <v>3761</v>
      </c>
      <c r="B235" s="14" t="s">
        <v>1329</v>
      </c>
      <c r="C235" s="14" t="s">
        <v>3377</v>
      </c>
      <c r="D235" s="14">
        <v>306059.28000000003</v>
      </c>
      <c r="E235" s="14">
        <v>17703.32</v>
      </c>
      <c r="F235" s="15">
        <v>45137</v>
      </c>
      <c r="G235" s="15">
        <v>45399</v>
      </c>
      <c r="H235" s="14" t="s">
        <v>3762</v>
      </c>
      <c r="I235" s="14" t="s">
        <v>3365</v>
      </c>
      <c r="J235" s="13" t="str" cm="1">
        <f t="array" ref="J235">_xlfn.IFS(
  OR(ISBLANK(A235),ISBLANK(B235),ISBLANK(H235),ISBLANK(D235),ISBLANK(E235)),"Missing Value",
  D235&lt;=0,"Review – Out of Range (Coverage)",
  E235&lt;=0,"Review – Out of Range (Premium)",
  TRUE,"OK"
)</f>
        <v>OK</v>
      </c>
    </row>
    <row r="236" spans="1:10" ht="16.8" x14ac:dyDescent="0.3">
      <c r="A236" s="11" t="s">
        <v>3763</v>
      </c>
      <c r="B236" s="11" t="s">
        <v>787</v>
      </c>
      <c r="C236" s="11" t="s">
        <v>3363</v>
      </c>
      <c r="D236" s="11">
        <v>134449.42000000001</v>
      </c>
      <c r="E236" s="11">
        <v>4535.0600000000004</v>
      </c>
      <c r="F236" s="12">
        <v>44652</v>
      </c>
      <c r="G236" s="12">
        <v>44747</v>
      </c>
      <c r="H236" s="11" t="s">
        <v>3764</v>
      </c>
      <c r="I236" s="11" t="s">
        <v>3365</v>
      </c>
      <c r="J236" s="13" t="str" cm="1">
        <f t="array" ref="J236">_xlfn.IFS(
  OR(ISBLANK(A236),ISBLANK(B236),ISBLANK(H236),ISBLANK(D236),ISBLANK(E236)),"Missing Value",
  D236&lt;=0,"Review – Out of Range (Coverage)",
  E236&lt;=0,"Review – Out of Range (Premium)",
  TRUE,"OK"
)</f>
        <v>OK</v>
      </c>
    </row>
    <row r="237" spans="1:10" ht="16.8" x14ac:dyDescent="0.3">
      <c r="A237" s="14" t="s">
        <v>3765</v>
      </c>
      <c r="B237" s="14" t="s">
        <v>619</v>
      </c>
      <c r="C237" s="14" t="s">
        <v>3359</v>
      </c>
      <c r="D237" s="14">
        <v>668493.09</v>
      </c>
      <c r="E237" s="14">
        <v>16290.64</v>
      </c>
      <c r="F237" s="15">
        <v>45044</v>
      </c>
      <c r="G237" s="15">
        <v>45534</v>
      </c>
      <c r="H237" s="14" t="s">
        <v>3709</v>
      </c>
      <c r="I237" s="14" t="s">
        <v>3365</v>
      </c>
      <c r="J237" s="13" t="str" cm="1">
        <f t="array" ref="J237">_xlfn.IFS(
  OR(ISBLANK(A237),ISBLANK(B237),ISBLANK(H237),ISBLANK(D237),ISBLANK(E237)),"Missing Value",
  D237&lt;=0,"Review – Out of Range (Coverage)",
  E237&lt;=0,"Review – Out of Range (Premium)",
  TRUE,"OK"
)</f>
        <v>OK</v>
      </c>
    </row>
    <row r="238" spans="1:10" ht="16.8" x14ac:dyDescent="0.3">
      <c r="A238" s="11" t="s">
        <v>3766</v>
      </c>
      <c r="B238" s="11" t="s">
        <v>2393</v>
      </c>
      <c r="C238" s="11" t="s">
        <v>3363</v>
      </c>
      <c r="D238" s="11">
        <v>146076.45000000001</v>
      </c>
      <c r="E238" s="11">
        <v>35795.06</v>
      </c>
      <c r="F238" s="12">
        <v>44866</v>
      </c>
      <c r="G238" s="12">
        <v>45600</v>
      </c>
      <c r="H238" s="11" t="s">
        <v>3767</v>
      </c>
      <c r="I238" s="11" t="s">
        <v>3361</v>
      </c>
      <c r="J238" s="13" t="str" cm="1">
        <f t="array" ref="J238">_xlfn.IFS(
  OR(ISBLANK(A238),ISBLANK(B238),ISBLANK(H238),ISBLANK(D238),ISBLANK(E238)),"Missing Value",
  D238&lt;=0,"Review – Out of Range (Coverage)",
  E238&lt;=0,"Review – Out of Range (Premium)",
  TRUE,"OK"
)</f>
        <v>OK</v>
      </c>
    </row>
    <row r="239" spans="1:10" ht="16.8" x14ac:dyDescent="0.3">
      <c r="A239" s="14" t="s">
        <v>3768</v>
      </c>
      <c r="B239" s="14" t="s">
        <v>2771</v>
      </c>
      <c r="C239" s="14" t="s">
        <v>3371</v>
      </c>
      <c r="D239" s="14">
        <v>350441.17</v>
      </c>
      <c r="E239" s="14">
        <v>4522.53</v>
      </c>
      <c r="F239" s="15">
        <v>45254</v>
      </c>
      <c r="G239" s="15">
        <v>45860</v>
      </c>
      <c r="H239" s="14" t="s">
        <v>3677</v>
      </c>
      <c r="I239" s="14" t="s">
        <v>3361</v>
      </c>
      <c r="J239" s="13" t="str" cm="1">
        <f t="array" ref="J239">_xlfn.IFS(
  OR(ISBLANK(A239),ISBLANK(B239),ISBLANK(H239),ISBLANK(D239),ISBLANK(E239)),"Missing Value",
  D239&lt;=0,"Review – Out of Range (Coverage)",
  E239&lt;=0,"Review – Out of Range (Premium)",
  TRUE,"OK"
)</f>
        <v>OK</v>
      </c>
    </row>
    <row r="240" spans="1:10" ht="16.8" x14ac:dyDescent="0.3">
      <c r="A240" s="11" t="s">
        <v>3769</v>
      </c>
      <c r="B240" s="11" t="s">
        <v>1493</v>
      </c>
      <c r="C240" s="11" t="s">
        <v>3359</v>
      </c>
      <c r="D240" s="11">
        <v>715056.28</v>
      </c>
      <c r="E240" s="11">
        <v>17923.150000000001</v>
      </c>
      <c r="F240" s="12">
        <v>45332</v>
      </c>
      <c r="G240" s="12">
        <v>45599</v>
      </c>
      <c r="H240" s="11" t="s">
        <v>3770</v>
      </c>
      <c r="I240" s="11" t="s">
        <v>3373</v>
      </c>
      <c r="J240" s="13" t="str" cm="1">
        <f t="array" ref="J240">_xlfn.IFS(
  OR(ISBLANK(A240),ISBLANK(B240),ISBLANK(H240),ISBLANK(D240),ISBLANK(E240)),"Missing Value",
  D240&lt;=0,"Review – Out of Range (Coverage)",
  E240&lt;=0,"Review – Out of Range (Premium)",
  TRUE,"OK"
)</f>
        <v>OK</v>
      </c>
    </row>
    <row r="241" spans="1:10" ht="16.8" x14ac:dyDescent="0.3">
      <c r="A241" s="14" t="s">
        <v>3771</v>
      </c>
      <c r="B241" s="14" t="s">
        <v>1629</v>
      </c>
      <c r="C241" s="14" t="s">
        <v>3359</v>
      </c>
      <c r="D241" s="14">
        <v>439930.28</v>
      </c>
      <c r="E241" s="14">
        <v>10726.37</v>
      </c>
      <c r="F241" s="15">
        <v>45131</v>
      </c>
      <c r="G241" s="15">
        <v>45459</v>
      </c>
      <c r="H241" s="14" t="s">
        <v>3772</v>
      </c>
      <c r="I241" s="14" t="s">
        <v>3361</v>
      </c>
      <c r="J241" s="13" t="str" cm="1">
        <f t="array" ref="J241">_xlfn.IFS(
  OR(ISBLANK(A241),ISBLANK(B241),ISBLANK(H241),ISBLANK(D241),ISBLANK(E241)),"Missing Value",
  D241&lt;=0,"Review – Out of Range (Coverage)",
  E241&lt;=0,"Review – Out of Range (Premium)",
  TRUE,"OK"
)</f>
        <v>OK</v>
      </c>
    </row>
    <row r="242" spans="1:10" ht="16.8" x14ac:dyDescent="0.3">
      <c r="A242" s="11" t="s">
        <v>3773</v>
      </c>
      <c r="B242" s="11" t="s">
        <v>2889</v>
      </c>
      <c r="C242" s="11" t="s">
        <v>3363</v>
      </c>
      <c r="D242" s="11">
        <v>897765.18</v>
      </c>
      <c r="E242" s="11">
        <v>13807.39</v>
      </c>
      <c r="F242" s="12">
        <v>45394</v>
      </c>
      <c r="G242" s="12">
        <v>45582</v>
      </c>
      <c r="H242" s="11" t="s">
        <v>3774</v>
      </c>
      <c r="I242" s="11" t="s">
        <v>3361</v>
      </c>
      <c r="J242" s="13" t="str" cm="1">
        <f t="array" ref="J242">_xlfn.IFS(
  OR(ISBLANK(A242),ISBLANK(B242),ISBLANK(H242),ISBLANK(D242),ISBLANK(E242)),"Missing Value",
  D242&lt;=0,"Review – Out of Range (Coverage)",
  E242&lt;=0,"Review – Out of Range (Premium)",
  TRUE,"OK"
)</f>
        <v>OK</v>
      </c>
    </row>
    <row r="243" spans="1:10" ht="16.8" x14ac:dyDescent="0.3">
      <c r="A243" s="14" t="s">
        <v>3775</v>
      </c>
      <c r="B243" s="14" t="s">
        <v>2055</v>
      </c>
      <c r="C243" s="14" t="s">
        <v>3363</v>
      </c>
      <c r="D243" s="14">
        <v>194580.18</v>
      </c>
      <c r="E243" s="14">
        <v>11853.15</v>
      </c>
      <c r="F243" s="15">
        <v>44724</v>
      </c>
      <c r="G243" s="15">
        <v>45208</v>
      </c>
      <c r="H243" s="14" t="s">
        <v>3735</v>
      </c>
      <c r="I243" s="14" t="s">
        <v>3361</v>
      </c>
      <c r="J243" s="13" t="str" cm="1">
        <f t="array" ref="J243">_xlfn.IFS(
  OR(ISBLANK(A243),ISBLANK(B243),ISBLANK(H243),ISBLANK(D243),ISBLANK(E243)),"Missing Value",
  D243&lt;=0,"Review – Out of Range (Coverage)",
  E243&lt;=0,"Review – Out of Range (Premium)",
  TRUE,"OK"
)</f>
        <v>OK</v>
      </c>
    </row>
    <row r="244" spans="1:10" ht="16.8" x14ac:dyDescent="0.3">
      <c r="A244" s="11" t="s">
        <v>3776</v>
      </c>
      <c r="B244" s="11" t="s">
        <v>2449</v>
      </c>
      <c r="C244" s="11" t="s">
        <v>3377</v>
      </c>
      <c r="D244" s="11">
        <v>748632.78</v>
      </c>
      <c r="E244" s="11">
        <v>10674.16</v>
      </c>
      <c r="F244" s="12">
        <v>44711</v>
      </c>
      <c r="G244" s="12">
        <v>45383</v>
      </c>
      <c r="H244" s="11" t="s">
        <v>3360</v>
      </c>
      <c r="I244" s="11" t="s">
        <v>3373</v>
      </c>
      <c r="J244" s="13" t="str" cm="1">
        <f t="array" ref="J244">_xlfn.IFS(
  OR(ISBLANK(A244),ISBLANK(B244),ISBLANK(H244),ISBLANK(D244),ISBLANK(E244)),"Missing Value",
  D244&lt;=0,"Review – Out of Range (Coverage)",
  E244&lt;=0,"Review – Out of Range (Premium)",
  TRUE,"OK"
)</f>
        <v>OK</v>
      </c>
    </row>
    <row r="245" spans="1:10" ht="16.8" x14ac:dyDescent="0.3">
      <c r="A245" s="14" t="s">
        <v>3777</v>
      </c>
      <c r="B245" s="14" t="s">
        <v>266</v>
      </c>
      <c r="C245" s="14" t="s">
        <v>3371</v>
      </c>
      <c r="D245" s="14">
        <v>268214.65999999997</v>
      </c>
      <c r="E245" s="14">
        <v>13007.01</v>
      </c>
      <c r="F245" s="15">
        <v>45179</v>
      </c>
      <c r="G245" s="15">
        <v>45441</v>
      </c>
      <c r="H245" s="14" t="s">
        <v>3484</v>
      </c>
      <c r="I245" s="14" t="s">
        <v>3361</v>
      </c>
      <c r="J245" s="13" t="str" cm="1">
        <f t="array" ref="J245">_xlfn.IFS(
  OR(ISBLANK(A245),ISBLANK(B245),ISBLANK(H245),ISBLANK(D245),ISBLANK(E245)),"Missing Value",
  D245&lt;=0,"Review – Out of Range (Coverage)",
  E245&lt;=0,"Review – Out of Range (Premium)",
  TRUE,"OK"
)</f>
        <v>OK</v>
      </c>
    </row>
    <row r="246" spans="1:10" ht="16.8" x14ac:dyDescent="0.3">
      <c r="A246" s="11" t="s">
        <v>3778</v>
      </c>
      <c r="B246" s="11" t="s">
        <v>1341</v>
      </c>
      <c r="C246" s="11" t="s">
        <v>3363</v>
      </c>
      <c r="D246" s="11">
        <v>907711.48</v>
      </c>
      <c r="E246" s="11">
        <v>14173.77</v>
      </c>
      <c r="F246" s="12">
        <v>45330</v>
      </c>
      <c r="G246" s="12">
        <v>45708</v>
      </c>
      <c r="H246" s="11" t="s">
        <v>3779</v>
      </c>
      <c r="I246" s="11" t="s">
        <v>3365</v>
      </c>
      <c r="J246" s="13" t="str" cm="1">
        <f t="array" ref="J246">_xlfn.IFS(
  OR(ISBLANK(A246),ISBLANK(B246),ISBLANK(H246),ISBLANK(D246),ISBLANK(E246)),"Missing Value",
  D246&lt;=0,"Review – Out of Range (Coverage)",
  E246&lt;=0,"Review – Out of Range (Premium)",
  TRUE,"OK"
)</f>
        <v>OK</v>
      </c>
    </row>
    <row r="247" spans="1:10" ht="16.8" x14ac:dyDescent="0.3">
      <c r="A247" s="14" t="s">
        <v>3780</v>
      </c>
      <c r="B247" s="14" t="s">
        <v>374</v>
      </c>
      <c r="C247" s="14" t="s">
        <v>3377</v>
      </c>
      <c r="D247" s="14">
        <v>449832.67</v>
      </c>
      <c r="E247" s="14">
        <v>49919.99</v>
      </c>
      <c r="F247" s="15">
        <v>44060</v>
      </c>
      <c r="G247" s="15">
        <v>44732</v>
      </c>
      <c r="H247" s="14" t="s">
        <v>3781</v>
      </c>
      <c r="I247" s="14" t="s">
        <v>3373</v>
      </c>
      <c r="J247" s="13" t="str" cm="1">
        <f t="array" ref="J247">_xlfn.IFS(
  OR(ISBLANK(A247),ISBLANK(B247),ISBLANK(H247),ISBLANK(D247),ISBLANK(E247)),"Missing Value",
  D247&lt;=0,"Review – Out of Range (Coverage)",
  E247&lt;=0,"Review – Out of Range (Premium)",
  TRUE,"OK"
)</f>
        <v>OK</v>
      </c>
    </row>
    <row r="248" spans="1:10" ht="16.8" x14ac:dyDescent="0.3">
      <c r="A248" s="11" t="s">
        <v>3782</v>
      </c>
      <c r="B248" s="11" t="s">
        <v>1909</v>
      </c>
      <c r="C248" s="11" t="s">
        <v>3380</v>
      </c>
      <c r="D248" s="11">
        <v>385537.62</v>
      </c>
      <c r="E248" s="11">
        <v>22694.73</v>
      </c>
      <c r="F248" s="12">
        <v>45465</v>
      </c>
      <c r="G248" s="12">
        <v>45698</v>
      </c>
      <c r="H248" s="11" t="s">
        <v>3526</v>
      </c>
      <c r="I248" s="11" t="s">
        <v>3361</v>
      </c>
      <c r="J248" s="13" t="str" cm="1">
        <f t="array" ref="J248">_xlfn.IFS(
  OR(ISBLANK(A248),ISBLANK(B248),ISBLANK(H248),ISBLANK(D248),ISBLANK(E248)),"Missing Value",
  D248&lt;=0,"Review – Out of Range (Coverage)",
  E248&lt;=0,"Review – Out of Range (Premium)",
  TRUE,"OK"
)</f>
        <v>OK</v>
      </c>
    </row>
    <row r="249" spans="1:10" ht="16.8" x14ac:dyDescent="0.3">
      <c r="A249" s="14" t="s">
        <v>3783</v>
      </c>
      <c r="B249" s="14" t="s">
        <v>436</v>
      </c>
      <c r="C249" s="14" t="s">
        <v>3377</v>
      </c>
      <c r="D249" s="14">
        <v>932578.99</v>
      </c>
      <c r="E249" s="14">
        <v>24244.48</v>
      </c>
      <c r="F249" s="15">
        <v>45061</v>
      </c>
      <c r="G249" s="15">
        <v>45616</v>
      </c>
      <c r="H249" s="14" t="s">
        <v>3575</v>
      </c>
      <c r="I249" s="14" t="s">
        <v>3361</v>
      </c>
      <c r="J249" s="13" t="str" cm="1">
        <f t="array" ref="J249">_xlfn.IFS(
  OR(ISBLANK(A249),ISBLANK(B249),ISBLANK(H249),ISBLANK(D249),ISBLANK(E249)),"Missing Value",
  D249&lt;=0,"Review – Out of Range (Coverage)",
  E249&lt;=0,"Review – Out of Range (Premium)",
  TRUE,"OK"
)</f>
        <v>OK</v>
      </c>
    </row>
    <row r="250" spans="1:10" ht="16.8" x14ac:dyDescent="0.3">
      <c r="A250" s="11" t="s">
        <v>3784</v>
      </c>
      <c r="B250" s="11" t="s">
        <v>895</v>
      </c>
      <c r="C250" s="11" t="s">
        <v>3359</v>
      </c>
      <c r="D250" s="11">
        <v>296602.53999999998</v>
      </c>
      <c r="E250" s="11">
        <v>15287.59</v>
      </c>
      <c r="F250" s="12">
        <v>45066</v>
      </c>
      <c r="G250" s="12">
        <v>45462</v>
      </c>
      <c r="H250" s="11" t="s">
        <v>3704</v>
      </c>
      <c r="I250" s="11" t="s">
        <v>3365</v>
      </c>
      <c r="J250" s="13" t="str" cm="1">
        <f t="array" ref="J250">_xlfn.IFS(
  OR(ISBLANK(A250),ISBLANK(B250),ISBLANK(H250),ISBLANK(D250),ISBLANK(E250)),"Missing Value",
  D250&lt;=0,"Review – Out of Range (Coverage)",
  E250&lt;=0,"Review – Out of Range (Premium)",
  TRUE,"OK"
)</f>
        <v>OK</v>
      </c>
    </row>
    <row r="251" spans="1:10" ht="16.8" x14ac:dyDescent="0.3">
      <c r="A251" s="14" t="s">
        <v>3785</v>
      </c>
      <c r="B251" s="14" t="s">
        <v>254</v>
      </c>
      <c r="C251" s="14" t="s">
        <v>3363</v>
      </c>
      <c r="D251" s="14">
        <v>716512.22</v>
      </c>
      <c r="E251" s="14">
        <v>40910.26</v>
      </c>
      <c r="F251" s="15">
        <v>45363</v>
      </c>
      <c r="G251" s="15">
        <v>45791</v>
      </c>
      <c r="H251" s="14" t="s">
        <v>3469</v>
      </c>
      <c r="I251" s="14" t="s">
        <v>3365</v>
      </c>
      <c r="J251" s="13" t="str" cm="1">
        <f t="array" ref="J251">_xlfn.IFS(
  OR(ISBLANK(A251),ISBLANK(B251),ISBLANK(H251),ISBLANK(D251),ISBLANK(E251)),"Missing Value",
  D251&lt;=0,"Review – Out of Range (Coverage)",
  E251&lt;=0,"Review – Out of Range (Premium)",
  TRUE,"OK"
)</f>
        <v>OK</v>
      </c>
    </row>
    <row r="252" spans="1:10" ht="16.8" x14ac:dyDescent="0.3">
      <c r="A252" s="11" t="s">
        <v>3786</v>
      </c>
      <c r="B252" s="11" t="s">
        <v>2639</v>
      </c>
      <c r="C252" s="11" t="s">
        <v>3377</v>
      </c>
      <c r="D252" s="11">
        <v>854803.8</v>
      </c>
      <c r="E252" s="11">
        <v>27258.47</v>
      </c>
      <c r="F252" s="12">
        <v>44498</v>
      </c>
      <c r="G252" s="12">
        <v>45642</v>
      </c>
      <c r="H252" s="11" t="s">
        <v>3787</v>
      </c>
      <c r="I252" s="11" t="s">
        <v>3365</v>
      </c>
      <c r="J252" s="13" t="str" cm="1">
        <f t="array" ref="J252">_xlfn.IFS(
  OR(ISBLANK(A252),ISBLANK(B252),ISBLANK(H252),ISBLANK(D252),ISBLANK(E252)),"Missing Value",
  D252&lt;=0,"Review – Out of Range (Coverage)",
  E252&lt;=0,"Review – Out of Range (Premium)",
  TRUE,"OK"
)</f>
        <v>OK</v>
      </c>
    </row>
    <row r="253" spans="1:10" ht="16.8" x14ac:dyDescent="0.3">
      <c r="A253" s="14" t="s">
        <v>3788</v>
      </c>
      <c r="B253" s="14" t="s">
        <v>3246</v>
      </c>
      <c r="C253" s="14" t="s">
        <v>3359</v>
      </c>
      <c r="D253" s="14">
        <v>320847.53000000003</v>
      </c>
      <c r="E253" s="14">
        <v>21186.83</v>
      </c>
      <c r="F253" s="15">
        <v>45031</v>
      </c>
      <c r="G253" s="15">
        <v>45550</v>
      </c>
      <c r="H253" s="14" t="s">
        <v>3789</v>
      </c>
      <c r="I253" s="14" t="s">
        <v>3361</v>
      </c>
      <c r="J253" s="13" t="str" cm="1">
        <f t="array" ref="J253">_xlfn.IFS(
  OR(ISBLANK(A253),ISBLANK(B253),ISBLANK(H253),ISBLANK(D253),ISBLANK(E253)),"Missing Value",
  D253&lt;=0,"Review – Out of Range (Coverage)",
  E253&lt;=0,"Review – Out of Range (Premium)",
  TRUE,"OK"
)</f>
        <v>OK</v>
      </c>
    </row>
    <row r="254" spans="1:10" ht="16.8" x14ac:dyDescent="0.3">
      <c r="A254" s="11" t="s">
        <v>3790</v>
      </c>
      <c r="B254" s="11" t="s">
        <v>2421</v>
      </c>
      <c r="C254" s="11" t="s">
        <v>3371</v>
      </c>
      <c r="D254" s="11">
        <v>972660.03</v>
      </c>
      <c r="E254" s="11">
        <v>40740.79</v>
      </c>
      <c r="F254" s="12">
        <v>44654</v>
      </c>
      <c r="G254" s="12">
        <v>45760</v>
      </c>
      <c r="H254" s="11" t="s">
        <v>3451</v>
      </c>
      <c r="I254" s="11" t="s">
        <v>3361</v>
      </c>
      <c r="J254" s="13" t="str" cm="1">
        <f t="array" ref="J254">_xlfn.IFS(
  OR(ISBLANK(A254),ISBLANK(B254),ISBLANK(H254),ISBLANK(D254),ISBLANK(E254)),"Missing Value",
  D254&lt;=0,"Review – Out of Range (Coverage)",
  E254&lt;=0,"Review – Out of Range (Premium)",
  TRUE,"OK"
)</f>
        <v>OK</v>
      </c>
    </row>
    <row r="255" spans="1:10" ht="16.8" x14ac:dyDescent="0.3">
      <c r="A255" s="14" t="s">
        <v>3791</v>
      </c>
      <c r="B255" s="14" t="s">
        <v>146</v>
      </c>
      <c r="C255" s="14" t="s">
        <v>3371</v>
      </c>
      <c r="D255" s="14">
        <v>160239.17000000001</v>
      </c>
      <c r="E255" s="14">
        <v>27344.23</v>
      </c>
      <c r="F255" s="15">
        <v>44135</v>
      </c>
      <c r="G255" s="15">
        <v>44229</v>
      </c>
      <c r="H255" s="14" t="s">
        <v>3792</v>
      </c>
      <c r="I255" s="14" t="s">
        <v>3373</v>
      </c>
      <c r="J255" s="13" t="str" cm="1">
        <f t="array" ref="J255">_xlfn.IFS(
  OR(ISBLANK(A255),ISBLANK(B255),ISBLANK(H255),ISBLANK(D255),ISBLANK(E255)),"Missing Value",
  D255&lt;=0,"Review – Out of Range (Coverage)",
  E255&lt;=0,"Review – Out of Range (Premium)",
  TRUE,"OK"
)</f>
        <v>OK</v>
      </c>
    </row>
    <row r="256" spans="1:10" ht="16.8" x14ac:dyDescent="0.3">
      <c r="A256" s="11" t="s">
        <v>3793</v>
      </c>
      <c r="B256" s="11" t="s">
        <v>2331</v>
      </c>
      <c r="C256" s="11" t="s">
        <v>3363</v>
      </c>
      <c r="D256" s="11">
        <v>829486.2</v>
      </c>
      <c r="E256" s="11">
        <v>23057.09</v>
      </c>
      <c r="F256" s="12">
        <v>44814</v>
      </c>
      <c r="G256" s="12">
        <v>45208</v>
      </c>
      <c r="H256" s="11" t="s">
        <v>3794</v>
      </c>
      <c r="I256" s="11" t="s">
        <v>3365</v>
      </c>
      <c r="J256" s="13" t="str" cm="1">
        <f t="array" ref="J256">_xlfn.IFS(
  OR(ISBLANK(A256),ISBLANK(B256),ISBLANK(H256),ISBLANK(D256),ISBLANK(E256)),"Missing Value",
  D256&lt;=0,"Review – Out of Range (Coverage)",
  E256&lt;=0,"Review – Out of Range (Premium)",
  TRUE,"OK"
)</f>
        <v>OK</v>
      </c>
    </row>
    <row r="257" spans="1:10" ht="16.8" x14ac:dyDescent="0.3">
      <c r="A257" s="14" t="s">
        <v>3795</v>
      </c>
      <c r="B257" s="14" t="s">
        <v>971</v>
      </c>
      <c r="C257" s="14" t="s">
        <v>3363</v>
      </c>
      <c r="D257" s="14">
        <v>812541.41</v>
      </c>
      <c r="E257" s="14">
        <v>3586.79</v>
      </c>
      <c r="F257" s="15">
        <v>45304</v>
      </c>
      <c r="G257" s="15">
        <v>45423</v>
      </c>
      <c r="H257" s="14" t="s">
        <v>3573</v>
      </c>
      <c r="I257" s="14" t="s">
        <v>3361</v>
      </c>
      <c r="J257" s="13" t="str" cm="1">
        <f t="array" ref="J257">_xlfn.IFS(
  OR(ISBLANK(A257),ISBLANK(B257),ISBLANK(H257),ISBLANK(D257),ISBLANK(E257)),"Missing Value",
  D257&lt;=0,"Review – Out of Range (Coverage)",
  E257&lt;=0,"Review – Out of Range (Premium)",
  TRUE,"OK"
)</f>
        <v>OK</v>
      </c>
    </row>
    <row r="258" spans="1:10" ht="16.8" x14ac:dyDescent="0.3">
      <c r="A258" s="11" t="s">
        <v>3796</v>
      </c>
      <c r="B258" s="11" t="s">
        <v>3160</v>
      </c>
      <c r="C258" s="11" t="s">
        <v>3380</v>
      </c>
      <c r="D258" s="11">
        <v>492301.26</v>
      </c>
      <c r="E258" s="11">
        <v>35273.480000000003</v>
      </c>
      <c r="F258" s="12">
        <v>44900</v>
      </c>
      <c r="G258" s="12">
        <v>44987</v>
      </c>
      <c r="H258" s="11" t="s">
        <v>3522</v>
      </c>
      <c r="I258" s="11" t="s">
        <v>3373</v>
      </c>
      <c r="J258" s="13" t="str" cm="1">
        <f t="array" ref="J258">_xlfn.IFS(
  OR(ISBLANK(A258),ISBLANK(B258),ISBLANK(H258),ISBLANK(D258),ISBLANK(E258)),"Missing Value",
  D258&lt;=0,"Review – Out of Range (Coverage)",
  E258&lt;=0,"Review – Out of Range (Premium)",
  TRUE,"OK"
)</f>
        <v>OK</v>
      </c>
    </row>
    <row r="259" spans="1:10" ht="16.8" x14ac:dyDescent="0.3">
      <c r="A259" s="14" t="s">
        <v>3797</v>
      </c>
      <c r="B259" s="14" t="s">
        <v>2975</v>
      </c>
      <c r="C259" s="14" t="s">
        <v>3380</v>
      </c>
      <c r="D259" s="14">
        <v>837707.37</v>
      </c>
      <c r="E259" s="14">
        <v>48190.41</v>
      </c>
      <c r="F259" s="15">
        <v>44533</v>
      </c>
      <c r="G259" s="15">
        <v>44880</v>
      </c>
      <c r="H259" s="14" t="s">
        <v>3798</v>
      </c>
      <c r="I259" s="14" t="s">
        <v>3365</v>
      </c>
      <c r="J259" s="13" t="str" cm="1">
        <f t="array" ref="J259">_xlfn.IFS(
  OR(ISBLANK(A259),ISBLANK(B259),ISBLANK(H259),ISBLANK(D259),ISBLANK(E259)),"Missing Value",
  D259&lt;=0,"Review – Out of Range (Coverage)",
  E259&lt;=0,"Review – Out of Range (Premium)",
  TRUE,"OK"
)</f>
        <v>OK</v>
      </c>
    </row>
    <row r="260" spans="1:10" ht="16.8" x14ac:dyDescent="0.3">
      <c r="A260" s="11" t="s">
        <v>3799</v>
      </c>
      <c r="B260" s="11" t="s">
        <v>1831</v>
      </c>
      <c r="C260" s="11" t="s">
        <v>3359</v>
      </c>
      <c r="D260" s="11">
        <v>300848.02</v>
      </c>
      <c r="E260" s="11">
        <v>43647.06</v>
      </c>
      <c r="F260" s="12">
        <v>44474</v>
      </c>
      <c r="G260" s="12">
        <v>44894</v>
      </c>
      <c r="H260" s="11" t="s">
        <v>3383</v>
      </c>
      <c r="I260" s="11" t="s">
        <v>3373</v>
      </c>
      <c r="J260" s="13" t="str" cm="1">
        <f t="array" ref="J260">_xlfn.IFS(
  OR(ISBLANK(A260),ISBLANK(B260),ISBLANK(H260),ISBLANK(D260),ISBLANK(E260)),"Missing Value",
  D260&lt;=0,"Review – Out of Range (Coverage)",
  E260&lt;=0,"Review – Out of Range (Premium)",
  TRUE,"OK"
)</f>
        <v>OK</v>
      </c>
    </row>
    <row r="261" spans="1:10" ht="16.8" x14ac:dyDescent="0.3">
      <c r="A261" s="14" t="s">
        <v>3800</v>
      </c>
      <c r="B261" s="14" t="s">
        <v>2209</v>
      </c>
      <c r="C261" s="14" t="s">
        <v>3377</v>
      </c>
      <c r="D261" s="14">
        <v>541022.82999999996</v>
      </c>
      <c r="E261" s="14">
        <v>49200.47</v>
      </c>
      <c r="F261" s="15">
        <v>44921</v>
      </c>
      <c r="G261" s="15">
        <v>45186</v>
      </c>
      <c r="H261" s="14" t="s">
        <v>3634</v>
      </c>
      <c r="I261" s="14" t="s">
        <v>3361</v>
      </c>
      <c r="J261" s="13" t="str" cm="1">
        <f t="array" ref="J261">_xlfn.IFS(
  OR(ISBLANK(A261),ISBLANK(B261),ISBLANK(H261),ISBLANK(D261),ISBLANK(E261)),"Missing Value",
  D261&lt;=0,"Review – Out of Range (Coverage)",
  E261&lt;=0,"Review – Out of Range (Premium)",
  TRUE,"OK"
)</f>
        <v>OK</v>
      </c>
    </row>
    <row r="262" spans="1:10" ht="16.8" x14ac:dyDescent="0.3">
      <c r="A262" s="11" t="s">
        <v>3801</v>
      </c>
      <c r="B262" s="11" t="s">
        <v>2583</v>
      </c>
      <c r="C262" s="11" t="s">
        <v>3371</v>
      </c>
      <c r="D262" s="11">
        <v>301788.09000000003</v>
      </c>
      <c r="E262" s="11">
        <v>25287.75</v>
      </c>
      <c r="F262" s="12">
        <v>45313</v>
      </c>
      <c r="G262" s="12">
        <v>45404</v>
      </c>
      <c r="H262" s="11" t="s">
        <v>3581</v>
      </c>
      <c r="I262" s="11" t="s">
        <v>3365</v>
      </c>
      <c r="J262" s="13" t="str" cm="1">
        <f t="array" ref="J262">_xlfn.IFS(
  OR(ISBLANK(A262),ISBLANK(B262),ISBLANK(H262),ISBLANK(D262),ISBLANK(E262)),"Missing Value",
  D262&lt;=0,"Review – Out of Range (Coverage)",
  E262&lt;=0,"Review – Out of Range (Premium)",
  TRUE,"OK"
)</f>
        <v>OK</v>
      </c>
    </row>
    <row r="263" spans="1:10" ht="16.8" x14ac:dyDescent="0.3">
      <c r="A263" s="14" t="s">
        <v>3802</v>
      </c>
      <c r="B263" s="14" t="s">
        <v>1871</v>
      </c>
      <c r="C263" s="14" t="s">
        <v>3363</v>
      </c>
      <c r="D263" s="14">
        <v>376067.13</v>
      </c>
      <c r="E263" s="14">
        <v>28573.97</v>
      </c>
      <c r="F263" s="15">
        <v>45091</v>
      </c>
      <c r="G263" s="15">
        <v>45696</v>
      </c>
      <c r="H263" s="14" t="s">
        <v>3507</v>
      </c>
      <c r="I263" s="14" t="s">
        <v>3365</v>
      </c>
      <c r="J263" s="13" t="str" cm="1">
        <f t="array" ref="J263">_xlfn.IFS(
  OR(ISBLANK(A263),ISBLANK(B263),ISBLANK(H263),ISBLANK(D263),ISBLANK(E263)),"Missing Value",
  D263&lt;=0,"Review – Out of Range (Coverage)",
  E263&lt;=0,"Review – Out of Range (Premium)",
  TRUE,"OK"
)</f>
        <v>OK</v>
      </c>
    </row>
    <row r="264" spans="1:10" ht="16.8" x14ac:dyDescent="0.3">
      <c r="A264" s="11" t="s">
        <v>3803</v>
      </c>
      <c r="B264" s="11" t="s">
        <v>248</v>
      </c>
      <c r="C264" s="11" t="s">
        <v>3380</v>
      </c>
      <c r="D264" s="11">
        <v>803917.28</v>
      </c>
      <c r="E264" s="11">
        <v>48348.49</v>
      </c>
      <c r="F264" s="12">
        <v>44739</v>
      </c>
      <c r="G264" s="12">
        <v>44992</v>
      </c>
      <c r="H264" s="11" t="s">
        <v>3652</v>
      </c>
      <c r="I264" s="11" t="s">
        <v>3361</v>
      </c>
      <c r="J264" s="13" t="str" cm="1">
        <f t="array" ref="J264">_xlfn.IFS(
  OR(ISBLANK(A264),ISBLANK(B264),ISBLANK(H264),ISBLANK(D264),ISBLANK(E264)),"Missing Value",
  D264&lt;=0,"Review – Out of Range (Coverage)",
  E264&lt;=0,"Review – Out of Range (Premium)",
  TRUE,"OK"
)</f>
        <v>OK</v>
      </c>
    </row>
    <row r="265" spans="1:10" ht="16.8" x14ac:dyDescent="0.3">
      <c r="A265" s="14" t="s">
        <v>3804</v>
      </c>
      <c r="B265" s="14" t="s">
        <v>1087</v>
      </c>
      <c r="C265" s="14" t="s">
        <v>3359</v>
      </c>
      <c r="D265" s="14">
        <v>724403.14</v>
      </c>
      <c r="E265" s="14">
        <v>38668.44</v>
      </c>
      <c r="F265" s="15">
        <v>44559</v>
      </c>
      <c r="G265" s="15">
        <v>44666</v>
      </c>
      <c r="H265" s="14" t="s">
        <v>3658</v>
      </c>
      <c r="I265" s="14" t="s">
        <v>3373</v>
      </c>
      <c r="J265" s="13" t="str" cm="1">
        <f t="array" ref="J265">_xlfn.IFS(
  OR(ISBLANK(A265),ISBLANK(B265),ISBLANK(H265),ISBLANK(D265),ISBLANK(E265)),"Missing Value",
  D265&lt;=0,"Review – Out of Range (Coverage)",
  E265&lt;=0,"Review – Out of Range (Premium)",
  TRUE,"OK"
)</f>
        <v>OK</v>
      </c>
    </row>
    <row r="266" spans="1:10" ht="16.8" x14ac:dyDescent="0.3">
      <c r="A266" s="11" t="s">
        <v>3805</v>
      </c>
      <c r="B266" s="11" t="s">
        <v>2941</v>
      </c>
      <c r="C266" s="11" t="s">
        <v>3363</v>
      </c>
      <c r="D266" s="11">
        <v>761140.38</v>
      </c>
      <c r="E266" s="11">
        <v>33315.46</v>
      </c>
      <c r="F266" s="12">
        <v>45374</v>
      </c>
      <c r="G266" s="12">
        <v>45708</v>
      </c>
      <c r="H266" s="11" t="s">
        <v>3806</v>
      </c>
      <c r="I266" s="11" t="s">
        <v>3361</v>
      </c>
      <c r="J266" s="13" t="str" cm="1">
        <f t="array" ref="J266">_xlfn.IFS(
  OR(ISBLANK(A266),ISBLANK(B266),ISBLANK(H266),ISBLANK(D266),ISBLANK(E266)),"Missing Value",
  D266&lt;=0,"Review – Out of Range (Coverage)",
  E266&lt;=0,"Review – Out of Range (Premium)",
  TRUE,"OK"
)</f>
        <v>OK</v>
      </c>
    </row>
    <row r="267" spans="1:10" ht="16.8" x14ac:dyDescent="0.3">
      <c r="A267" s="14" t="s">
        <v>3807</v>
      </c>
      <c r="B267" s="14" t="s">
        <v>2083</v>
      </c>
      <c r="C267" s="14" t="s">
        <v>3359</v>
      </c>
      <c r="D267" s="14">
        <v>784703.57</v>
      </c>
      <c r="E267" s="14">
        <v>12682.66</v>
      </c>
      <c r="F267" s="15">
        <v>45139</v>
      </c>
      <c r="G267" s="15">
        <v>45433</v>
      </c>
      <c r="H267" s="14" t="s">
        <v>3522</v>
      </c>
      <c r="I267" s="14" t="s">
        <v>3373</v>
      </c>
      <c r="J267" s="13" t="str" cm="1">
        <f t="array" ref="J267">_xlfn.IFS(
  OR(ISBLANK(A267),ISBLANK(B267),ISBLANK(H267),ISBLANK(D267),ISBLANK(E267)),"Missing Value",
  D267&lt;=0,"Review – Out of Range (Coverage)",
  E267&lt;=0,"Review – Out of Range (Premium)",
  TRUE,"OK"
)</f>
        <v>OK</v>
      </c>
    </row>
    <row r="268" spans="1:10" ht="16.8" x14ac:dyDescent="0.3">
      <c r="A268" s="11" t="s">
        <v>3808</v>
      </c>
      <c r="B268" s="11" t="s">
        <v>1775</v>
      </c>
      <c r="C268" s="11" t="s">
        <v>3380</v>
      </c>
      <c r="D268" s="11">
        <v>780380.84</v>
      </c>
      <c r="E268" s="11">
        <v>48707.09</v>
      </c>
      <c r="F268" s="12">
        <v>44762</v>
      </c>
      <c r="G268" s="12">
        <v>45095</v>
      </c>
      <c r="H268" s="11" t="s">
        <v>3809</v>
      </c>
      <c r="I268" s="11" t="s">
        <v>3361</v>
      </c>
      <c r="J268" s="13" t="str" cm="1">
        <f t="array" ref="J268">_xlfn.IFS(
  OR(ISBLANK(A268),ISBLANK(B268),ISBLANK(H268),ISBLANK(D268),ISBLANK(E268)),"Missing Value",
  D268&lt;=0,"Review – Out of Range (Coverage)",
  E268&lt;=0,"Review – Out of Range (Premium)",
  TRUE,"OK"
)</f>
        <v>OK</v>
      </c>
    </row>
    <row r="269" spans="1:10" ht="16.8" x14ac:dyDescent="0.3">
      <c r="A269" s="14" t="s">
        <v>3810</v>
      </c>
      <c r="B269" s="14" t="s">
        <v>332</v>
      </c>
      <c r="C269" s="14" t="s">
        <v>3363</v>
      </c>
      <c r="D269" s="14">
        <v>936679.79</v>
      </c>
      <c r="E269" s="14">
        <v>6729.17</v>
      </c>
      <c r="F269" s="15">
        <v>44334</v>
      </c>
      <c r="G269" s="15">
        <v>45817</v>
      </c>
      <c r="H269" s="14" t="s">
        <v>3811</v>
      </c>
      <c r="I269" s="14" t="s">
        <v>3373</v>
      </c>
      <c r="J269" s="13" t="str" cm="1">
        <f t="array" ref="J269">_xlfn.IFS(
  OR(ISBLANK(A269),ISBLANK(B269),ISBLANK(H269),ISBLANK(D269),ISBLANK(E269)),"Missing Value",
  D269&lt;=0,"Review – Out of Range (Coverage)",
  E269&lt;=0,"Review – Out of Range (Premium)",
  TRUE,"OK"
)</f>
        <v>OK</v>
      </c>
    </row>
    <row r="270" spans="1:10" ht="16.8" x14ac:dyDescent="0.3">
      <c r="A270" s="11" t="s">
        <v>3812</v>
      </c>
      <c r="B270" s="11" t="s">
        <v>2257</v>
      </c>
      <c r="C270" s="11" t="s">
        <v>3380</v>
      </c>
      <c r="D270" s="11">
        <v>436286.53</v>
      </c>
      <c r="E270" s="11">
        <v>23462.240000000002</v>
      </c>
      <c r="F270" s="12">
        <v>45379</v>
      </c>
      <c r="G270" s="12">
        <v>45416</v>
      </c>
      <c r="H270" s="11" t="s">
        <v>3813</v>
      </c>
      <c r="I270" s="11" t="s">
        <v>3361</v>
      </c>
      <c r="J270" s="13" t="str" cm="1">
        <f t="array" ref="J270">_xlfn.IFS(
  OR(ISBLANK(A270),ISBLANK(B270),ISBLANK(H270),ISBLANK(D270),ISBLANK(E270)),"Missing Value",
  D270&lt;=0,"Review – Out of Range (Coverage)",
  E270&lt;=0,"Review – Out of Range (Premium)",
  TRUE,"OK"
)</f>
        <v>OK</v>
      </c>
    </row>
    <row r="271" spans="1:10" ht="16.8" x14ac:dyDescent="0.3">
      <c r="A271" s="14" t="s">
        <v>3814</v>
      </c>
      <c r="B271" s="14" t="s">
        <v>2613</v>
      </c>
      <c r="C271" s="14" t="s">
        <v>3380</v>
      </c>
      <c r="D271" s="14">
        <v>553840.89</v>
      </c>
      <c r="E271" s="14">
        <v>6354.43</v>
      </c>
      <c r="F271" s="15">
        <v>45022</v>
      </c>
      <c r="G271" s="15">
        <v>45029</v>
      </c>
      <c r="H271" s="14" t="s">
        <v>3815</v>
      </c>
      <c r="I271" s="14" t="s">
        <v>3373</v>
      </c>
      <c r="J271" s="13" t="str" cm="1">
        <f t="array" ref="J271">_xlfn.IFS(
  OR(ISBLANK(A271),ISBLANK(B271),ISBLANK(H271),ISBLANK(D271),ISBLANK(E271)),"Missing Value",
  D271&lt;=0,"Review – Out of Range (Coverage)",
  E271&lt;=0,"Review – Out of Range (Premium)",
  TRUE,"OK"
)</f>
        <v>OK</v>
      </c>
    </row>
    <row r="272" spans="1:10" ht="16.8" x14ac:dyDescent="0.3">
      <c r="A272" s="11" t="s">
        <v>3816</v>
      </c>
      <c r="B272" s="11" t="s">
        <v>312</v>
      </c>
      <c r="C272" s="11" t="s">
        <v>3380</v>
      </c>
      <c r="D272" s="11">
        <v>809284.67</v>
      </c>
      <c r="E272" s="11">
        <v>3118.62</v>
      </c>
      <c r="F272" s="12">
        <v>44648</v>
      </c>
      <c r="G272" s="12">
        <v>45035</v>
      </c>
      <c r="H272" s="11" t="s">
        <v>3507</v>
      </c>
      <c r="I272" s="11" t="s">
        <v>3361</v>
      </c>
      <c r="J272" s="13" t="str" cm="1">
        <f t="array" ref="J272">_xlfn.IFS(
  OR(ISBLANK(A272),ISBLANK(B272),ISBLANK(H272),ISBLANK(D272),ISBLANK(E272)),"Missing Value",
  D272&lt;=0,"Review – Out of Range (Coverage)",
  E272&lt;=0,"Review – Out of Range (Premium)",
  TRUE,"OK"
)</f>
        <v>OK</v>
      </c>
    </row>
    <row r="273" spans="1:10" ht="16.8" x14ac:dyDescent="0.3">
      <c r="A273" s="14" t="s">
        <v>3817</v>
      </c>
      <c r="B273" s="14" t="s">
        <v>1783</v>
      </c>
      <c r="C273" s="14" t="s">
        <v>3377</v>
      </c>
      <c r="D273" s="14">
        <v>654044.84</v>
      </c>
      <c r="E273" s="14">
        <v>8772.56</v>
      </c>
      <c r="F273" s="15">
        <v>45227</v>
      </c>
      <c r="G273" s="15">
        <v>45449</v>
      </c>
      <c r="H273" s="14" t="s">
        <v>3575</v>
      </c>
      <c r="I273" s="14" t="s">
        <v>3373</v>
      </c>
      <c r="J273" s="13" t="str" cm="1">
        <f t="array" ref="J273">_xlfn.IFS(
  OR(ISBLANK(A273),ISBLANK(B273),ISBLANK(H273),ISBLANK(D273),ISBLANK(E273)),"Missing Value",
  D273&lt;=0,"Review – Out of Range (Coverage)",
  E273&lt;=0,"Review – Out of Range (Premium)",
  TRUE,"OK"
)</f>
        <v>OK</v>
      </c>
    </row>
    <row r="274" spans="1:10" ht="16.8" x14ac:dyDescent="0.3">
      <c r="A274" s="11" t="s">
        <v>3818</v>
      </c>
      <c r="B274" s="11" t="s">
        <v>1875</v>
      </c>
      <c r="C274" s="11" t="s">
        <v>3359</v>
      </c>
      <c r="D274" s="11">
        <v>803379.36</v>
      </c>
      <c r="E274" s="11">
        <v>14424.07</v>
      </c>
      <c r="F274" s="12">
        <v>45426</v>
      </c>
      <c r="G274" s="12">
        <v>45835</v>
      </c>
      <c r="H274" s="11" t="s">
        <v>3819</v>
      </c>
      <c r="I274" s="11" t="s">
        <v>3373</v>
      </c>
      <c r="J274" s="13" t="str" cm="1">
        <f t="array" ref="J274">_xlfn.IFS(
  OR(ISBLANK(A274),ISBLANK(B274),ISBLANK(H274),ISBLANK(D274),ISBLANK(E274)),"Missing Value",
  D274&lt;=0,"Review – Out of Range (Coverage)",
  E274&lt;=0,"Review – Out of Range (Premium)",
  TRUE,"OK"
)</f>
        <v>OK</v>
      </c>
    </row>
    <row r="275" spans="1:10" ht="16.8" x14ac:dyDescent="0.3">
      <c r="A275" s="14" t="s">
        <v>3820</v>
      </c>
      <c r="B275" s="14" t="s">
        <v>328</v>
      </c>
      <c r="C275" s="14" t="s">
        <v>3380</v>
      </c>
      <c r="D275" s="14">
        <v>273189.17</v>
      </c>
      <c r="E275" s="14">
        <v>27812.78</v>
      </c>
      <c r="F275" s="15">
        <v>45170</v>
      </c>
      <c r="G275" s="15">
        <v>45423</v>
      </c>
      <c r="H275" s="14" t="s">
        <v>3401</v>
      </c>
      <c r="I275" s="14" t="s">
        <v>3373</v>
      </c>
      <c r="J275" s="13" t="str" cm="1">
        <f t="array" ref="J275">_xlfn.IFS(
  OR(ISBLANK(A275),ISBLANK(B275),ISBLANK(H275),ISBLANK(D275),ISBLANK(E275)),"Missing Value",
  D275&lt;=0,"Review – Out of Range (Coverage)",
  E275&lt;=0,"Review – Out of Range (Premium)",
  TRUE,"OK"
)</f>
        <v>OK</v>
      </c>
    </row>
    <row r="276" spans="1:10" ht="16.8" x14ac:dyDescent="0.3">
      <c r="A276" s="11" t="s">
        <v>3821</v>
      </c>
      <c r="B276" s="11" t="s">
        <v>1653</v>
      </c>
      <c r="C276" s="11" t="s">
        <v>3380</v>
      </c>
      <c r="D276" s="11">
        <v>164574.54999999999</v>
      </c>
      <c r="E276" s="11">
        <v>5540.76</v>
      </c>
      <c r="F276" s="12">
        <v>44841</v>
      </c>
      <c r="G276" s="12">
        <v>45176</v>
      </c>
      <c r="H276" s="11" t="s">
        <v>3822</v>
      </c>
      <c r="I276" s="11" t="s">
        <v>3361</v>
      </c>
      <c r="J276" s="13" t="str" cm="1">
        <f t="array" ref="J276">_xlfn.IFS(
  OR(ISBLANK(A276),ISBLANK(B276),ISBLANK(H276),ISBLANK(D276),ISBLANK(E276)),"Missing Value",
  D276&lt;=0,"Review – Out of Range (Coverage)",
  E276&lt;=0,"Review – Out of Range (Premium)",
  TRUE,"OK"
)</f>
        <v>OK</v>
      </c>
    </row>
    <row r="277" spans="1:10" ht="16.8" x14ac:dyDescent="0.3">
      <c r="A277" s="14" t="s">
        <v>3823</v>
      </c>
      <c r="B277" s="14" t="s">
        <v>937</v>
      </c>
      <c r="C277" s="14" t="s">
        <v>3377</v>
      </c>
      <c r="D277" s="14">
        <v>147068.64000000001</v>
      </c>
      <c r="E277" s="14">
        <v>6189.73</v>
      </c>
      <c r="F277" s="15">
        <v>45318</v>
      </c>
      <c r="G277" s="15">
        <v>45758</v>
      </c>
      <c r="H277" s="14" t="s">
        <v>3824</v>
      </c>
      <c r="I277" s="14" t="s">
        <v>3361</v>
      </c>
      <c r="J277" s="13" t="str" cm="1">
        <f t="array" ref="J277">_xlfn.IFS(
  OR(ISBLANK(A277),ISBLANK(B277),ISBLANK(H277),ISBLANK(D277),ISBLANK(E277)),"Missing Value",
  D277&lt;=0,"Review – Out of Range (Coverage)",
  E277&lt;=0,"Review – Out of Range (Premium)",
  TRUE,"OK"
)</f>
        <v>OK</v>
      </c>
    </row>
    <row r="278" spans="1:10" ht="16.8" x14ac:dyDescent="0.3">
      <c r="A278" s="11" t="s">
        <v>3825</v>
      </c>
      <c r="B278" s="11" t="s">
        <v>314</v>
      </c>
      <c r="C278" s="11" t="s">
        <v>3359</v>
      </c>
      <c r="D278" s="11">
        <v>177876.56</v>
      </c>
      <c r="E278" s="11">
        <v>10393.82</v>
      </c>
      <c r="F278" s="12">
        <v>44121</v>
      </c>
      <c r="G278" s="12">
        <v>45127</v>
      </c>
      <c r="H278" s="11" t="s">
        <v>3646</v>
      </c>
      <c r="I278" s="11" t="s">
        <v>3365</v>
      </c>
      <c r="J278" s="13" t="str" cm="1">
        <f t="array" ref="J278">_xlfn.IFS(
  OR(ISBLANK(A278),ISBLANK(B278),ISBLANK(H278),ISBLANK(D278),ISBLANK(E278)),"Missing Value",
  D278&lt;=0,"Review – Out of Range (Coverage)",
  E278&lt;=0,"Review – Out of Range (Premium)",
  TRUE,"OK"
)</f>
        <v>OK</v>
      </c>
    </row>
    <row r="279" spans="1:10" ht="16.8" x14ac:dyDescent="0.3">
      <c r="A279" s="14" t="s">
        <v>3826</v>
      </c>
      <c r="B279" s="14" t="s">
        <v>470</v>
      </c>
      <c r="C279" s="14" t="s">
        <v>3359</v>
      </c>
      <c r="D279" s="14">
        <v>971507.54</v>
      </c>
      <c r="E279" s="14">
        <v>20842.38</v>
      </c>
      <c r="F279" s="15">
        <v>45196</v>
      </c>
      <c r="G279" s="15">
        <v>45246</v>
      </c>
      <c r="H279" s="14" t="s">
        <v>3827</v>
      </c>
      <c r="I279" s="14" t="s">
        <v>3361</v>
      </c>
      <c r="J279" s="13" t="str" cm="1">
        <f t="array" ref="J279">_xlfn.IFS(
  OR(ISBLANK(A279),ISBLANK(B279),ISBLANK(H279),ISBLANK(D279),ISBLANK(E279)),"Missing Value",
  D279&lt;=0,"Review – Out of Range (Coverage)",
  E279&lt;=0,"Review – Out of Range (Premium)",
  TRUE,"OK"
)</f>
        <v>OK</v>
      </c>
    </row>
    <row r="280" spans="1:10" ht="16.8" x14ac:dyDescent="0.3">
      <c r="A280" s="11" t="s">
        <v>3828</v>
      </c>
      <c r="B280" s="11" t="s">
        <v>1825</v>
      </c>
      <c r="C280" s="11" t="s">
        <v>3380</v>
      </c>
      <c r="D280" s="11">
        <v>507767.03</v>
      </c>
      <c r="E280" s="11">
        <v>29795.29</v>
      </c>
      <c r="F280" s="12">
        <v>45467</v>
      </c>
      <c r="G280" s="12">
        <v>45598</v>
      </c>
      <c r="H280" s="11" t="s">
        <v>3762</v>
      </c>
      <c r="I280" s="11" t="s">
        <v>3361</v>
      </c>
      <c r="J280" s="13" t="str" cm="1">
        <f t="array" ref="J280">_xlfn.IFS(
  OR(ISBLANK(A280),ISBLANK(B280),ISBLANK(H280),ISBLANK(D280),ISBLANK(E280)),"Missing Value",
  D280&lt;=0,"Review – Out of Range (Coverage)",
  E280&lt;=0,"Review – Out of Range (Premium)",
  TRUE,"OK"
)</f>
        <v>OK</v>
      </c>
    </row>
    <row r="281" spans="1:10" ht="16.8" x14ac:dyDescent="0.3">
      <c r="A281" s="14" t="s">
        <v>3829</v>
      </c>
      <c r="B281" s="14" t="s">
        <v>2143</v>
      </c>
      <c r="C281" s="14" t="s">
        <v>3380</v>
      </c>
      <c r="D281" s="14">
        <v>241172.25</v>
      </c>
      <c r="E281" s="14">
        <v>31222.04</v>
      </c>
      <c r="F281" s="15">
        <v>45216</v>
      </c>
      <c r="G281" s="15">
        <v>45759</v>
      </c>
      <c r="H281" s="14" t="s">
        <v>3830</v>
      </c>
      <c r="I281" s="14" t="s">
        <v>3365</v>
      </c>
      <c r="J281" s="13" t="str" cm="1">
        <f t="array" ref="J281">_xlfn.IFS(
  OR(ISBLANK(A281),ISBLANK(B281),ISBLANK(H281),ISBLANK(D281),ISBLANK(E281)),"Missing Value",
  D281&lt;=0,"Review – Out of Range (Coverage)",
  E281&lt;=0,"Review – Out of Range (Premium)",
  TRUE,"OK"
)</f>
        <v>OK</v>
      </c>
    </row>
    <row r="282" spans="1:10" ht="16.8" x14ac:dyDescent="0.3">
      <c r="A282" s="11" t="s">
        <v>3831</v>
      </c>
      <c r="B282" s="11" t="s">
        <v>2555</v>
      </c>
      <c r="C282" s="11" t="s">
        <v>3371</v>
      </c>
      <c r="D282" s="11">
        <v>322125.90000000002</v>
      </c>
      <c r="E282" s="11">
        <v>49856.82</v>
      </c>
      <c r="F282" s="12">
        <v>45458</v>
      </c>
      <c r="G282" s="12">
        <v>45502</v>
      </c>
      <c r="H282" s="11" t="s">
        <v>3409</v>
      </c>
      <c r="I282" s="11" t="s">
        <v>3361</v>
      </c>
      <c r="J282" s="13" t="str" cm="1">
        <f t="array" ref="J282">_xlfn.IFS(
  OR(ISBLANK(A282),ISBLANK(B282),ISBLANK(H282),ISBLANK(D282),ISBLANK(E282)),"Missing Value",
  D282&lt;=0,"Review – Out of Range (Coverage)",
  E282&lt;=0,"Review – Out of Range (Premium)",
  TRUE,"OK"
)</f>
        <v>OK</v>
      </c>
    </row>
    <row r="283" spans="1:10" ht="16.8" x14ac:dyDescent="0.3">
      <c r="A283" s="14" t="s">
        <v>3832</v>
      </c>
      <c r="B283" s="14" t="s">
        <v>3078</v>
      </c>
      <c r="C283" s="14" t="s">
        <v>3377</v>
      </c>
      <c r="D283" s="14">
        <v>880602.4</v>
      </c>
      <c r="E283" s="14">
        <v>9794.39</v>
      </c>
      <c r="F283" s="15">
        <v>44710</v>
      </c>
      <c r="G283" s="15">
        <v>45584</v>
      </c>
      <c r="H283" s="14" t="s">
        <v>3819</v>
      </c>
      <c r="I283" s="14" t="s">
        <v>3361</v>
      </c>
      <c r="J283" s="13" t="str" cm="1">
        <f t="array" ref="J283">_xlfn.IFS(
  OR(ISBLANK(A283),ISBLANK(B283),ISBLANK(H283),ISBLANK(D283),ISBLANK(E283)),"Missing Value",
  D283&lt;=0,"Review – Out of Range (Coverage)",
  E283&lt;=0,"Review – Out of Range (Premium)",
  TRUE,"OK"
)</f>
        <v>OK</v>
      </c>
    </row>
    <row r="284" spans="1:10" ht="16.8" x14ac:dyDescent="0.3">
      <c r="A284" s="11" t="s">
        <v>3833</v>
      </c>
      <c r="B284" s="11" t="s">
        <v>1995</v>
      </c>
      <c r="C284" s="11" t="s">
        <v>3380</v>
      </c>
      <c r="D284" s="11">
        <v>645630.09</v>
      </c>
      <c r="E284" s="11">
        <v>21443.56</v>
      </c>
      <c r="F284" s="12">
        <v>45413</v>
      </c>
      <c r="G284" s="12">
        <v>45456</v>
      </c>
      <c r="H284" s="11" t="s">
        <v>3834</v>
      </c>
      <c r="I284" s="11" t="s">
        <v>3361</v>
      </c>
      <c r="J284" s="13" t="str" cm="1">
        <f t="array" ref="J284">_xlfn.IFS(
  OR(ISBLANK(A284),ISBLANK(B284),ISBLANK(H284),ISBLANK(D284),ISBLANK(E284)),"Missing Value",
  D284&lt;=0,"Review – Out of Range (Coverage)",
  E284&lt;=0,"Review – Out of Range (Premium)",
  TRUE,"OK"
)</f>
        <v>OK</v>
      </c>
    </row>
    <row r="285" spans="1:10" ht="16.8" x14ac:dyDescent="0.3">
      <c r="A285" s="14" t="s">
        <v>3835</v>
      </c>
      <c r="B285" s="14" t="s">
        <v>2957</v>
      </c>
      <c r="C285" s="14" t="s">
        <v>3363</v>
      </c>
      <c r="D285" s="14">
        <v>372601.04</v>
      </c>
      <c r="E285" s="14">
        <v>4407.7299999999996</v>
      </c>
      <c r="F285" s="15">
        <v>44358</v>
      </c>
      <c r="G285" s="15">
        <v>45159</v>
      </c>
      <c r="H285" s="14" t="s">
        <v>3584</v>
      </c>
      <c r="I285" s="14" t="s">
        <v>3373</v>
      </c>
      <c r="J285" s="13" t="str" cm="1">
        <f t="array" ref="J285">_xlfn.IFS(
  OR(ISBLANK(A285),ISBLANK(B285),ISBLANK(H285),ISBLANK(D285),ISBLANK(E285)),"Missing Value",
  D285&lt;=0,"Review – Out of Range (Coverage)",
  E285&lt;=0,"Review – Out of Range (Premium)",
  TRUE,"OK"
)</f>
        <v>OK</v>
      </c>
    </row>
    <row r="286" spans="1:10" ht="16.8" x14ac:dyDescent="0.3">
      <c r="A286" s="11" t="s">
        <v>3836</v>
      </c>
      <c r="B286" s="11" t="s">
        <v>2697</v>
      </c>
      <c r="C286" s="11" t="s">
        <v>3363</v>
      </c>
      <c r="D286" s="11">
        <v>712511.7</v>
      </c>
      <c r="E286" s="11">
        <v>47607.95</v>
      </c>
      <c r="F286" s="12">
        <v>45431</v>
      </c>
      <c r="G286" s="12">
        <v>45470</v>
      </c>
      <c r="H286" s="11" t="s">
        <v>3781</v>
      </c>
      <c r="I286" s="11" t="s">
        <v>3361</v>
      </c>
      <c r="J286" s="13" t="str" cm="1">
        <f t="array" ref="J286">_xlfn.IFS(
  OR(ISBLANK(A286),ISBLANK(B286),ISBLANK(H286),ISBLANK(D286),ISBLANK(E286)),"Missing Value",
  D286&lt;=0,"Review – Out of Range (Coverage)",
  E286&lt;=0,"Review – Out of Range (Premium)",
  TRUE,"OK"
)</f>
        <v>OK</v>
      </c>
    </row>
    <row r="287" spans="1:10" ht="16.8" x14ac:dyDescent="0.3">
      <c r="A287" s="14" t="s">
        <v>3837</v>
      </c>
      <c r="B287" s="14" t="s">
        <v>1477</v>
      </c>
      <c r="C287" s="14" t="s">
        <v>3380</v>
      </c>
      <c r="D287" s="14">
        <v>215189.38</v>
      </c>
      <c r="E287" s="14">
        <v>40363.26</v>
      </c>
      <c r="F287" s="15">
        <v>45339</v>
      </c>
      <c r="G287" s="15">
        <v>45740</v>
      </c>
      <c r="H287" s="14" t="s">
        <v>3838</v>
      </c>
      <c r="I287" s="14" t="s">
        <v>3365</v>
      </c>
      <c r="J287" s="13" t="str" cm="1">
        <f t="array" ref="J287">_xlfn.IFS(
  OR(ISBLANK(A287),ISBLANK(B287),ISBLANK(H287),ISBLANK(D287),ISBLANK(E287)),"Missing Value",
  D287&lt;=0,"Review – Out of Range (Coverage)",
  E287&lt;=0,"Review – Out of Range (Premium)",
  TRUE,"OK"
)</f>
        <v>OK</v>
      </c>
    </row>
    <row r="288" spans="1:10" ht="16.8" x14ac:dyDescent="0.3">
      <c r="A288" s="11" t="s">
        <v>3839</v>
      </c>
      <c r="B288" s="11" t="s">
        <v>2889</v>
      </c>
      <c r="C288" s="11" t="s">
        <v>3363</v>
      </c>
      <c r="D288" s="11">
        <v>661020.56000000006</v>
      </c>
      <c r="E288" s="11">
        <v>40051.11</v>
      </c>
      <c r="F288" s="12">
        <v>45106</v>
      </c>
      <c r="G288" s="12">
        <v>45858</v>
      </c>
      <c r="H288" s="11" t="s">
        <v>3490</v>
      </c>
      <c r="I288" s="11" t="s">
        <v>3361</v>
      </c>
      <c r="J288" s="13" t="str" cm="1">
        <f t="array" ref="J288">_xlfn.IFS(
  OR(ISBLANK(A288),ISBLANK(B288),ISBLANK(H288),ISBLANK(D288),ISBLANK(E288)),"Missing Value",
  D288&lt;=0,"Review – Out of Range (Coverage)",
  E288&lt;=0,"Review – Out of Range (Premium)",
  TRUE,"OK"
)</f>
        <v>OK</v>
      </c>
    </row>
    <row r="289" spans="1:10" ht="16.8" x14ac:dyDescent="0.3">
      <c r="A289" s="14" t="s">
        <v>3840</v>
      </c>
      <c r="B289" s="14" t="s">
        <v>985</v>
      </c>
      <c r="C289" s="14" t="s">
        <v>3371</v>
      </c>
      <c r="D289" s="14">
        <v>473116.59</v>
      </c>
      <c r="E289" s="14">
        <v>23349.94</v>
      </c>
      <c r="F289" s="15">
        <v>45440</v>
      </c>
      <c r="G289" s="15">
        <v>45467</v>
      </c>
      <c r="H289" s="14" t="s">
        <v>3841</v>
      </c>
      <c r="I289" s="14" t="s">
        <v>3365</v>
      </c>
      <c r="J289" s="13" t="str" cm="1">
        <f t="array" ref="J289">_xlfn.IFS(
  OR(ISBLANK(A289),ISBLANK(B289),ISBLANK(H289),ISBLANK(D289),ISBLANK(E289)),"Missing Value",
  D289&lt;=0,"Review – Out of Range (Coverage)",
  E289&lt;=0,"Review – Out of Range (Premium)",
  TRUE,"OK"
)</f>
        <v>OK</v>
      </c>
    </row>
    <row r="290" spans="1:10" ht="16.8" x14ac:dyDescent="0.3">
      <c r="A290" s="11" t="s">
        <v>3842</v>
      </c>
      <c r="B290" s="11" t="s">
        <v>2593</v>
      </c>
      <c r="C290" s="11" t="s">
        <v>3380</v>
      </c>
      <c r="D290" s="11">
        <v>793749.38</v>
      </c>
      <c r="E290" s="11">
        <v>34709.660000000003</v>
      </c>
      <c r="F290" s="12">
        <v>45471</v>
      </c>
      <c r="G290" s="12">
        <v>45539</v>
      </c>
      <c r="H290" s="11" t="s">
        <v>3725</v>
      </c>
      <c r="I290" s="11" t="s">
        <v>3365</v>
      </c>
      <c r="J290" s="13" t="str" cm="1">
        <f t="array" ref="J290">_xlfn.IFS(
  OR(ISBLANK(A290),ISBLANK(B290),ISBLANK(H290),ISBLANK(D290),ISBLANK(E290)),"Missing Value",
  D290&lt;=0,"Review – Out of Range (Coverage)",
  E290&lt;=0,"Review – Out of Range (Premium)",
  TRUE,"OK"
)</f>
        <v>OK</v>
      </c>
    </row>
    <row r="291" spans="1:10" ht="16.8" x14ac:dyDescent="0.3">
      <c r="A291" s="14" t="s">
        <v>3843</v>
      </c>
      <c r="B291" s="14" t="s">
        <v>3336</v>
      </c>
      <c r="C291" s="14" t="s">
        <v>3371</v>
      </c>
      <c r="D291" s="14">
        <v>878521.58</v>
      </c>
      <c r="E291" s="14">
        <v>45587.73</v>
      </c>
      <c r="F291" s="15">
        <v>45373</v>
      </c>
      <c r="G291" s="15">
        <v>45423</v>
      </c>
      <c r="H291" s="14" t="s">
        <v>3399</v>
      </c>
      <c r="I291" s="14" t="s">
        <v>3373</v>
      </c>
      <c r="J291" s="13" t="str" cm="1">
        <f t="array" ref="J291">_xlfn.IFS(
  OR(ISBLANK(A291),ISBLANK(B291),ISBLANK(H291),ISBLANK(D291),ISBLANK(E291)),"Missing Value",
  D291&lt;=0,"Review – Out of Range (Coverage)",
  E291&lt;=0,"Review – Out of Range (Premium)",
  TRUE,"OK"
)</f>
        <v>OK</v>
      </c>
    </row>
    <row r="292" spans="1:10" ht="16.8" x14ac:dyDescent="0.3">
      <c r="A292" s="11" t="s">
        <v>3844</v>
      </c>
      <c r="B292" s="11" t="s">
        <v>2011</v>
      </c>
      <c r="C292" s="11" t="s">
        <v>3363</v>
      </c>
      <c r="D292" s="11">
        <v>680896.65</v>
      </c>
      <c r="E292" s="11">
        <v>40101.879999999997</v>
      </c>
      <c r="F292" s="12">
        <v>44925</v>
      </c>
      <c r="G292" s="12">
        <v>45272</v>
      </c>
      <c r="H292" s="11" t="s">
        <v>3764</v>
      </c>
      <c r="I292" s="11" t="s">
        <v>3373</v>
      </c>
      <c r="J292" s="13" t="str" cm="1">
        <f t="array" ref="J292">_xlfn.IFS(
  OR(ISBLANK(A292),ISBLANK(B292),ISBLANK(H292),ISBLANK(D292),ISBLANK(E292)),"Missing Value",
  D292&lt;=0,"Review – Out of Range (Coverage)",
  E292&lt;=0,"Review – Out of Range (Premium)",
  TRUE,"OK"
)</f>
        <v>OK</v>
      </c>
    </row>
    <row r="293" spans="1:10" ht="16.8" x14ac:dyDescent="0.3">
      <c r="A293" s="14" t="s">
        <v>3845</v>
      </c>
      <c r="B293" s="14" t="s">
        <v>2143</v>
      </c>
      <c r="C293" s="14" t="s">
        <v>3363</v>
      </c>
      <c r="D293" s="14">
        <v>650866.31999999995</v>
      </c>
      <c r="E293" s="14">
        <v>15837.74</v>
      </c>
      <c r="F293" s="15">
        <v>44713</v>
      </c>
      <c r="G293" s="15">
        <v>45681</v>
      </c>
      <c r="H293" s="14" t="s">
        <v>3846</v>
      </c>
      <c r="I293" s="14" t="s">
        <v>3365</v>
      </c>
      <c r="J293" s="13" t="str" cm="1">
        <f t="array" ref="J293">_xlfn.IFS(
  OR(ISBLANK(A293),ISBLANK(B293),ISBLANK(H293),ISBLANK(D293),ISBLANK(E293)),"Missing Value",
  D293&lt;=0,"Review – Out of Range (Coverage)",
  E293&lt;=0,"Review – Out of Range (Premium)",
  TRUE,"OK"
)</f>
        <v>OK</v>
      </c>
    </row>
    <row r="294" spans="1:10" ht="16.8" x14ac:dyDescent="0.3">
      <c r="A294" s="11" t="s">
        <v>3847</v>
      </c>
      <c r="B294" s="11" t="s">
        <v>1491</v>
      </c>
      <c r="C294" s="11" t="s">
        <v>3363</v>
      </c>
      <c r="D294" s="11">
        <v>813275.73</v>
      </c>
      <c r="E294" s="11">
        <v>27728.51</v>
      </c>
      <c r="F294" s="12">
        <v>45465</v>
      </c>
      <c r="G294" s="12">
        <v>45802</v>
      </c>
      <c r="H294" s="11" t="s">
        <v>3438</v>
      </c>
      <c r="I294" s="11" t="s">
        <v>3365</v>
      </c>
      <c r="J294" s="13" t="str" cm="1">
        <f t="array" ref="J294">_xlfn.IFS(
  OR(ISBLANK(A294),ISBLANK(B294),ISBLANK(H294),ISBLANK(D294),ISBLANK(E294)),"Missing Value",
  D294&lt;=0,"Review – Out of Range (Coverage)",
  E294&lt;=0,"Review – Out of Range (Premium)",
  TRUE,"OK"
)</f>
        <v>OK</v>
      </c>
    </row>
    <row r="295" spans="1:10" ht="16.8" x14ac:dyDescent="0.3">
      <c r="A295" s="14" t="s">
        <v>3848</v>
      </c>
      <c r="B295" s="14" t="s">
        <v>2361</v>
      </c>
      <c r="C295" s="14" t="s">
        <v>3359</v>
      </c>
      <c r="D295" s="14">
        <v>653487.24</v>
      </c>
      <c r="E295" s="14">
        <v>45572.6</v>
      </c>
      <c r="F295" s="15">
        <v>45264</v>
      </c>
      <c r="G295" s="15">
        <v>45705</v>
      </c>
      <c r="H295" s="14" t="s">
        <v>3772</v>
      </c>
      <c r="I295" s="14" t="s">
        <v>3361</v>
      </c>
      <c r="J295" s="13" t="str" cm="1">
        <f t="array" ref="J295">_xlfn.IFS(
  OR(ISBLANK(A295),ISBLANK(B295),ISBLANK(H295),ISBLANK(D295),ISBLANK(E295)),"Missing Value",
  D295&lt;=0,"Review – Out of Range (Coverage)",
  E295&lt;=0,"Review – Out of Range (Premium)",
  TRUE,"OK"
)</f>
        <v>OK</v>
      </c>
    </row>
    <row r="296" spans="1:10" ht="16.8" x14ac:dyDescent="0.3">
      <c r="A296" s="11" t="s">
        <v>3849</v>
      </c>
      <c r="B296" s="11" t="s">
        <v>3246</v>
      </c>
      <c r="C296" s="11" t="s">
        <v>3359</v>
      </c>
      <c r="D296" s="11">
        <v>187658.49</v>
      </c>
      <c r="E296" s="11">
        <v>34557.379999999997</v>
      </c>
      <c r="F296" s="12">
        <v>44185</v>
      </c>
      <c r="G296" s="12">
        <v>44291</v>
      </c>
      <c r="H296" s="11" t="s">
        <v>3581</v>
      </c>
      <c r="I296" s="11" t="s">
        <v>3373</v>
      </c>
      <c r="J296" s="13" t="str" cm="1">
        <f t="array" ref="J296">_xlfn.IFS(
  OR(ISBLANK(A296),ISBLANK(B296),ISBLANK(H296),ISBLANK(D296),ISBLANK(E296)),"Missing Value",
  D296&lt;=0,"Review – Out of Range (Coverage)",
  E296&lt;=0,"Review – Out of Range (Premium)",
  TRUE,"OK"
)</f>
        <v>OK</v>
      </c>
    </row>
    <row r="297" spans="1:10" ht="16.8" x14ac:dyDescent="0.3">
      <c r="A297" s="14" t="s">
        <v>3850</v>
      </c>
      <c r="B297" s="14" t="s">
        <v>2575</v>
      </c>
      <c r="C297" s="14" t="s">
        <v>3359</v>
      </c>
      <c r="D297" s="14">
        <v>311782.37</v>
      </c>
      <c r="E297" s="14">
        <v>3912.4</v>
      </c>
      <c r="F297" s="15">
        <v>44496</v>
      </c>
      <c r="G297" s="15">
        <v>45141</v>
      </c>
      <c r="H297" s="14" t="s">
        <v>3515</v>
      </c>
      <c r="I297" s="14" t="s">
        <v>3365</v>
      </c>
      <c r="J297" s="13" t="str" cm="1">
        <f t="array" ref="J297">_xlfn.IFS(
  OR(ISBLANK(A297),ISBLANK(B297),ISBLANK(H297),ISBLANK(D297),ISBLANK(E297)),"Missing Value",
  D297&lt;=0,"Review – Out of Range (Coverage)",
  E297&lt;=0,"Review – Out of Range (Premium)",
  TRUE,"OK"
)</f>
        <v>OK</v>
      </c>
    </row>
    <row r="298" spans="1:10" ht="16.8" x14ac:dyDescent="0.3">
      <c r="A298" s="11" t="s">
        <v>3851</v>
      </c>
      <c r="B298" s="11" t="s">
        <v>2871</v>
      </c>
      <c r="C298" s="11" t="s">
        <v>3377</v>
      </c>
      <c r="D298" s="11">
        <v>235824.86</v>
      </c>
      <c r="E298" s="11">
        <v>13995.22</v>
      </c>
      <c r="F298" s="12">
        <v>44522</v>
      </c>
      <c r="G298" s="12">
        <v>45382</v>
      </c>
      <c r="H298" s="11" t="s">
        <v>3852</v>
      </c>
      <c r="I298" s="11" t="s">
        <v>3365</v>
      </c>
      <c r="J298" s="13" t="str" cm="1">
        <f t="array" ref="J298">_xlfn.IFS(
  OR(ISBLANK(A298),ISBLANK(B298),ISBLANK(H298),ISBLANK(D298),ISBLANK(E298)),"Missing Value",
  D298&lt;=0,"Review – Out of Range (Coverage)",
  E298&lt;=0,"Review – Out of Range (Premium)",
  TRUE,"OK"
)</f>
        <v>OK</v>
      </c>
    </row>
    <row r="299" spans="1:10" ht="16.8" x14ac:dyDescent="0.3">
      <c r="A299" s="14" t="s">
        <v>3853</v>
      </c>
      <c r="B299" s="14" t="s">
        <v>1849</v>
      </c>
      <c r="C299" s="14" t="s">
        <v>3377</v>
      </c>
      <c r="D299" s="14">
        <v>254963.74</v>
      </c>
      <c r="E299" s="14">
        <v>18231.57</v>
      </c>
      <c r="F299" s="15">
        <v>45428</v>
      </c>
      <c r="G299" s="15">
        <v>45567</v>
      </c>
      <c r="H299" s="14" t="s">
        <v>3854</v>
      </c>
      <c r="I299" s="14" t="s">
        <v>3365</v>
      </c>
      <c r="J299" s="13" t="str" cm="1">
        <f t="array" ref="J299">_xlfn.IFS(
  OR(ISBLANK(A299),ISBLANK(B299),ISBLANK(H299),ISBLANK(D299),ISBLANK(E299)),"Missing Value",
  D299&lt;=0,"Review – Out of Range (Coverage)",
  E299&lt;=0,"Review – Out of Range (Premium)",
  TRUE,"OK"
)</f>
        <v>OK</v>
      </c>
    </row>
    <row r="300" spans="1:10" ht="16.8" x14ac:dyDescent="0.3">
      <c r="A300" s="11" t="s">
        <v>3855</v>
      </c>
      <c r="B300" s="11" t="s">
        <v>1397</v>
      </c>
      <c r="C300" s="11" t="s">
        <v>3377</v>
      </c>
      <c r="D300" s="11">
        <v>597482.64</v>
      </c>
      <c r="E300" s="11">
        <v>49736.22</v>
      </c>
      <c r="F300" s="12">
        <v>44485</v>
      </c>
      <c r="G300" s="12">
        <v>44499</v>
      </c>
      <c r="H300" s="11" t="s">
        <v>3811</v>
      </c>
      <c r="I300" s="11" t="s">
        <v>3373</v>
      </c>
      <c r="J300" s="13" t="str" cm="1">
        <f t="array" ref="J300">_xlfn.IFS(
  OR(ISBLANK(A300),ISBLANK(B300),ISBLANK(H300),ISBLANK(D300),ISBLANK(E300)),"Missing Value",
  D300&lt;=0,"Review – Out of Range (Coverage)",
  E300&lt;=0,"Review – Out of Range (Premium)",
  TRUE,"OK"
)</f>
        <v>OK</v>
      </c>
    </row>
    <row r="301" spans="1:10" ht="16.8" x14ac:dyDescent="0.3">
      <c r="A301" s="14" t="s">
        <v>3856</v>
      </c>
      <c r="B301" s="14" t="s">
        <v>1777</v>
      </c>
      <c r="C301" s="14" t="s">
        <v>3359</v>
      </c>
      <c r="D301" s="14">
        <v>951688.07</v>
      </c>
      <c r="E301" s="14">
        <v>14980.53</v>
      </c>
      <c r="F301" s="15">
        <v>44681</v>
      </c>
      <c r="G301" s="15">
        <v>44785</v>
      </c>
      <c r="H301" s="14" t="s">
        <v>3662</v>
      </c>
      <c r="I301" s="14" t="s">
        <v>3373</v>
      </c>
      <c r="J301" s="13" t="str" cm="1">
        <f t="array" ref="J301">_xlfn.IFS(
  OR(ISBLANK(A301),ISBLANK(B301),ISBLANK(H301),ISBLANK(D301),ISBLANK(E301)),"Missing Value",
  D301&lt;=0,"Review – Out of Range (Coverage)",
  E301&lt;=0,"Review – Out of Range (Premium)",
  TRUE,"OK"
)</f>
        <v>OK</v>
      </c>
    </row>
    <row r="302" spans="1:10" ht="16.8" x14ac:dyDescent="0.3">
      <c r="A302" s="11" t="s">
        <v>3857</v>
      </c>
      <c r="B302" s="11" t="s">
        <v>3318</v>
      </c>
      <c r="C302" s="11" t="s">
        <v>3359</v>
      </c>
      <c r="D302" s="11">
        <v>512088.92</v>
      </c>
      <c r="E302" s="11">
        <v>31172.14</v>
      </c>
      <c r="F302" s="12">
        <v>45077</v>
      </c>
      <c r="G302" s="12">
        <v>45780</v>
      </c>
      <c r="H302" s="11" t="s">
        <v>3469</v>
      </c>
      <c r="I302" s="11" t="s">
        <v>3373</v>
      </c>
      <c r="J302" s="13" t="str" cm="1">
        <f t="array" ref="J302">_xlfn.IFS(
  OR(ISBLANK(A302),ISBLANK(B302),ISBLANK(H302),ISBLANK(D302),ISBLANK(E302)),"Missing Value",
  D302&lt;=0,"Review – Out of Range (Coverage)",
  E302&lt;=0,"Review – Out of Range (Premium)",
  TRUE,"OK"
)</f>
        <v>OK</v>
      </c>
    </row>
    <row r="303" spans="1:10" ht="16.8" x14ac:dyDescent="0.3">
      <c r="A303" s="14" t="s">
        <v>3858</v>
      </c>
      <c r="B303" s="14" t="s">
        <v>2295</v>
      </c>
      <c r="C303" s="14" t="s">
        <v>3371</v>
      </c>
      <c r="D303" s="14">
        <v>954583.32</v>
      </c>
      <c r="E303" s="14">
        <v>38424.120000000003</v>
      </c>
      <c r="F303" s="15">
        <v>44937</v>
      </c>
      <c r="G303" s="15">
        <v>45760</v>
      </c>
      <c r="H303" s="14" t="s">
        <v>3859</v>
      </c>
      <c r="I303" s="14" t="s">
        <v>3365</v>
      </c>
      <c r="J303" s="13" t="str" cm="1">
        <f t="array" ref="J303">_xlfn.IFS(
  OR(ISBLANK(A303),ISBLANK(B303),ISBLANK(H303),ISBLANK(D303),ISBLANK(E303)),"Missing Value",
  D303&lt;=0,"Review – Out of Range (Coverage)",
  E303&lt;=0,"Review – Out of Range (Premium)",
  TRUE,"OK"
)</f>
        <v>OK</v>
      </c>
    </row>
    <row r="304" spans="1:10" ht="16.8" x14ac:dyDescent="0.3">
      <c r="A304" s="11" t="s">
        <v>3860</v>
      </c>
      <c r="B304" s="11" t="s">
        <v>82</v>
      </c>
      <c r="C304" s="11" t="s">
        <v>3377</v>
      </c>
      <c r="D304" s="11">
        <v>192963.44</v>
      </c>
      <c r="E304" s="11">
        <v>30970.46</v>
      </c>
      <c r="F304" s="12">
        <v>44632</v>
      </c>
      <c r="G304" s="12">
        <v>45388</v>
      </c>
      <c r="H304" s="11" t="s">
        <v>3861</v>
      </c>
      <c r="I304" s="11" t="s">
        <v>3373</v>
      </c>
      <c r="J304" s="13" t="str" cm="1">
        <f t="array" ref="J304">_xlfn.IFS(
  OR(ISBLANK(A304),ISBLANK(B304),ISBLANK(H304),ISBLANK(D304),ISBLANK(E304)),"Missing Value",
  D304&lt;=0,"Review – Out of Range (Coverage)",
  E304&lt;=0,"Review – Out of Range (Premium)",
  TRUE,"OK"
)</f>
        <v>OK</v>
      </c>
    </row>
    <row r="305" spans="1:10" ht="16.8" x14ac:dyDescent="0.3">
      <c r="A305" s="14" t="s">
        <v>3862</v>
      </c>
      <c r="B305" s="14" t="s">
        <v>2675</v>
      </c>
      <c r="C305" s="14" t="s">
        <v>3380</v>
      </c>
      <c r="D305" s="14">
        <v>718015.82</v>
      </c>
      <c r="E305" s="14">
        <v>20033.330000000002</v>
      </c>
      <c r="F305" s="15">
        <v>44504</v>
      </c>
      <c r="G305" s="15">
        <v>45057</v>
      </c>
      <c r="H305" s="14" t="s">
        <v>3863</v>
      </c>
      <c r="I305" s="14" t="s">
        <v>3365</v>
      </c>
      <c r="J305" s="13" t="str" cm="1">
        <f t="array" ref="J305">_xlfn.IFS(
  OR(ISBLANK(A305),ISBLANK(B305),ISBLANK(H305),ISBLANK(D305),ISBLANK(E305)),"Missing Value",
  D305&lt;=0,"Review – Out of Range (Coverage)",
  E305&lt;=0,"Review – Out of Range (Premium)",
  TRUE,"OK"
)</f>
        <v>OK</v>
      </c>
    </row>
    <row r="306" spans="1:10" ht="16.8" x14ac:dyDescent="0.3">
      <c r="A306" s="11" t="s">
        <v>3864</v>
      </c>
      <c r="B306" s="11" t="s">
        <v>326</v>
      </c>
      <c r="C306" s="11" t="s">
        <v>3363</v>
      </c>
      <c r="D306" s="11">
        <v>716284.1</v>
      </c>
      <c r="E306" s="11">
        <v>38940.25</v>
      </c>
      <c r="F306" s="12">
        <v>45263</v>
      </c>
      <c r="G306" s="12">
        <v>45522</v>
      </c>
      <c r="H306" s="11" t="s">
        <v>3865</v>
      </c>
      <c r="I306" s="11" t="s">
        <v>3373</v>
      </c>
      <c r="J306" s="13" t="str" cm="1">
        <f t="array" ref="J306">_xlfn.IFS(
  OR(ISBLANK(A306),ISBLANK(B306),ISBLANK(H306),ISBLANK(D306),ISBLANK(E306)),"Missing Value",
  D306&lt;=0,"Review – Out of Range (Coverage)",
  E306&lt;=0,"Review – Out of Range (Premium)",
  TRUE,"OK"
)</f>
        <v>OK</v>
      </c>
    </row>
    <row r="307" spans="1:10" ht="16.8" x14ac:dyDescent="0.3">
      <c r="A307" s="14" t="s">
        <v>3866</v>
      </c>
      <c r="B307" s="14" t="s">
        <v>2697</v>
      </c>
      <c r="C307" s="14" t="s">
        <v>3363</v>
      </c>
      <c r="D307" s="14">
        <v>976058.34</v>
      </c>
      <c r="E307" s="14">
        <v>48309.29</v>
      </c>
      <c r="F307" s="15">
        <v>45131</v>
      </c>
      <c r="G307" s="15">
        <v>45354</v>
      </c>
      <c r="H307" s="14" t="s">
        <v>3707</v>
      </c>
      <c r="I307" s="14" t="s">
        <v>3373</v>
      </c>
      <c r="J307" s="13" t="str" cm="1">
        <f t="array" ref="J307">_xlfn.IFS(
  OR(ISBLANK(A307),ISBLANK(B307),ISBLANK(H307),ISBLANK(D307),ISBLANK(E307)),"Missing Value",
  D307&lt;=0,"Review – Out of Range (Coverage)",
  E307&lt;=0,"Review – Out of Range (Premium)",
  TRUE,"OK"
)</f>
        <v>OK</v>
      </c>
    </row>
    <row r="308" spans="1:10" ht="16.8" x14ac:dyDescent="0.3">
      <c r="A308" s="11" t="s">
        <v>3867</v>
      </c>
      <c r="B308" s="11" t="s">
        <v>3208</v>
      </c>
      <c r="C308" s="11" t="s">
        <v>3380</v>
      </c>
      <c r="D308" s="11">
        <v>223680.57</v>
      </c>
      <c r="E308" s="11">
        <v>24595.48</v>
      </c>
      <c r="F308" s="12">
        <v>45480</v>
      </c>
      <c r="G308" s="12">
        <v>45596</v>
      </c>
      <c r="H308" s="11" t="s">
        <v>3868</v>
      </c>
      <c r="I308" s="11" t="s">
        <v>3373</v>
      </c>
      <c r="J308" s="13" t="str" cm="1">
        <f t="array" ref="J308">_xlfn.IFS(
  OR(ISBLANK(A308),ISBLANK(B308),ISBLANK(H308),ISBLANK(D308),ISBLANK(E308)),"Missing Value",
  D308&lt;=0,"Review – Out of Range (Coverage)",
  E308&lt;=0,"Review – Out of Range (Premium)",
  TRUE,"OK"
)</f>
        <v>OK</v>
      </c>
    </row>
    <row r="309" spans="1:10" ht="16.8" x14ac:dyDescent="0.3">
      <c r="A309" s="14" t="s">
        <v>3869</v>
      </c>
      <c r="B309" s="14" t="s">
        <v>114</v>
      </c>
      <c r="C309" s="14" t="s">
        <v>3377</v>
      </c>
      <c r="D309" s="14">
        <v>508201.92</v>
      </c>
      <c r="E309" s="14">
        <v>15087.74</v>
      </c>
      <c r="F309" s="15">
        <v>45181</v>
      </c>
      <c r="G309" s="15">
        <v>45687</v>
      </c>
      <c r="H309" s="14" t="s">
        <v>3499</v>
      </c>
      <c r="I309" s="14" t="s">
        <v>3361</v>
      </c>
      <c r="J309" s="13" t="str" cm="1">
        <f t="array" ref="J309">_xlfn.IFS(
  OR(ISBLANK(A309),ISBLANK(B309),ISBLANK(H309),ISBLANK(D309),ISBLANK(E309)),"Missing Value",
  D309&lt;=0,"Review – Out of Range (Coverage)",
  E309&lt;=0,"Review – Out of Range (Premium)",
  TRUE,"OK"
)</f>
        <v>OK</v>
      </c>
    </row>
    <row r="310" spans="1:10" ht="16.8" x14ac:dyDescent="0.3">
      <c r="A310" s="11" t="s">
        <v>3870</v>
      </c>
      <c r="B310" s="11" t="s">
        <v>2857</v>
      </c>
      <c r="C310" s="11" t="s">
        <v>3359</v>
      </c>
      <c r="D310" s="11">
        <v>297595.68</v>
      </c>
      <c r="E310" s="11">
        <v>9858.64</v>
      </c>
      <c r="F310" s="12">
        <v>44305</v>
      </c>
      <c r="G310" s="12">
        <v>45226</v>
      </c>
      <c r="H310" s="11" t="s">
        <v>3789</v>
      </c>
      <c r="I310" s="11" t="s">
        <v>3361</v>
      </c>
      <c r="J310" s="13" t="str" cm="1">
        <f t="array" ref="J310">_xlfn.IFS(
  OR(ISBLANK(A310),ISBLANK(B310),ISBLANK(H310),ISBLANK(D310),ISBLANK(E310)),"Missing Value",
  D310&lt;=0,"Review – Out of Range (Coverage)",
  E310&lt;=0,"Review – Out of Range (Premium)",
  TRUE,"OK"
)</f>
        <v>OK</v>
      </c>
    </row>
    <row r="311" spans="1:10" ht="16.8" x14ac:dyDescent="0.3">
      <c r="A311" s="14" t="s">
        <v>3871</v>
      </c>
      <c r="B311" s="14" t="s">
        <v>1673</v>
      </c>
      <c r="C311" s="14" t="s">
        <v>3380</v>
      </c>
      <c r="D311" s="14">
        <v>665598.56999999995</v>
      </c>
      <c r="E311" s="14">
        <v>49614.04</v>
      </c>
      <c r="F311" s="15">
        <v>45290</v>
      </c>
      <c r="G311" s="15">
        <v>45633</v>
      </c>
      <c r="H311" s="14" t="s">
        <v>3395</v>
      </c>
      <c r="I311" s="14" t="s">
        <v>3373</v>
      </c>
      <c r="J311" s="13" t="str" cm="1">
        <f t="array" ref="J311">_xlfn.IFS(
  OR(ISBLANK(A311),ISBLANK(B311),ISBLANK(H311),ISBLANK(D311),ISBLANK(E311)),"Missing Value",
  D311&lt;=0,"Review – Out of Range (Coverage)",
  E311&lt;=0,"Review – Out of Range (Premium)",
  TRUE,"OK"
)</f>
        <v>OK</v>
      </c>
    </row>
    <row r="312" spans="1:10" ht="16.8" x14ac:dyDescent="0.3">
      <c r="A312" s="11" t="s">
        <v>3872</v>
      </c>
      <c r="B312" s="11" t="s">
        <v>470</v>
      </c>
      <c r="C312" s="11" t="s">
        <v>3377</v>
      </c>
      <c r="D312" s="11">
        <v>907353.69</v>
      </c>
      <c r="E312" s="11">
        <v>23639.26</v>
      </c>
      <c r="F312" s="12">
        <v>44535</v>
      </c>
      <c r="G312" s="12">
        <v>44608</v>
      </c>
      <c r="H312" s="11" t="s">
        <v>3415</v>
      </c>
      <c r="I312" s="11" t="s">
        <v>3361</v>
      </c>
      <c r="J312" s="13" t="str" cm="1">
        <f t="array" ref="J312">_xlfn.IFS(
  OR(ISBLANK(A312),ISBLANK(B312),ISBLANK(H312),ISBLANK(D312),ISBLANK(E312)),"Missing Value",
  D312&lt;=0,"Review – Out of Range (Coverage)",
  E312&lt;=0,"Review – Out of Range (Premium)",
  TRUE,"OK"
)</f>
        <v>OK</v>
      </c>
    </row>
    <row r="313" spans="1:10" ht="16.8" x14ac:dyDescent="0.3">
      <c r="A313" s="14" t="s">
        <v>3873</v>
      </c>
      <c r="B313" s="14" t="s">
        <v>1299</v>
      </c>
      <c r="C313" s="14" t="s">
        <v>3377</v>
      </c>
      <c r="D313" s="14">
        <v>884908.43</v>
      </c>
      <c r="E313" s="14">
        <v>44749.38</v>
      </c>
      <c r="F313" s="15">
        <v>44940</v>
      </c>
      <c r="G313" s="15">
        <v>45617</v>
      </c>
      <c r="H313" s="14" t="s">
        <v>3874</v>
      </c>
      <c r="I313" s="14" t="s">
        <v>3361</v>
      </c>
      <c r="J313" s="13" t="str" cm="1">
        <f t="array" ref="J313">_xlfn.IFS(
  OR(ISBLANK(A313),ISBLANK(B313),ISBLANK(H313),ISBLANK(D313),ISBLANK(E313)),"Missing Value",
  D313&lt;=0,"Review – Out of Range (Coverage)",
  E313&lt;=0,"Review – Out of Range (Premium)",
  TRUE,"OK"
)</f>
        <v>OK</v>
      </c>
    </row>
    <row r="314" spans="1:10" ht="16.8" x14ac:dyDescent="0.3">
      <c r="A314" s="11" t="s">
        <v>3875</v>
      </c>
      <c r="B314" s="11" t="s">
        <v>1481</v>
      </c>
      <c r="C314" s="11" t="s">
        <v>3377</v>
      </c>
      <c r="D314" s="11">
        <v>335250.09000000003</v>
      </c>
      <c r="E314" s="11">
        <v>15845.6</v>
      </c>
      <c r="F314" s="12">
        <v>44187</v>
      </c>
      <c r="G314" s="12">
        <v>44890</v>
      </c>
      <c r="H314" s="11" t="s">
        <v>3787</v>
      </c>
      <c r="I314" s="11" t="s">
        <v>3361</v>
      </c>
      <c r="J314" s="13" t="str" cm="1">
        <f t="array" ref="J314">_xlfn.IFS(
  OR(ISBLANK(A314),ISBLANK(B314),ISBLANK(H314),ISBLANK(D314),ISBLANK(E314)),"Missing Value",
  D314&lt;=0,"Review – Out of Range (Coverage)",
  E314&lt;=0,"Review – Out of Range (Premium)",
  TRUE,"OK"
)</f>
        <v>OK</v>
      </c>
    </row>
    <row r="315" spans="1:10" ht="16.8" x14ac:dyDescent="0.3">
      <c r="A315" s="14" t="s">
        <v>3876</v>
      </c>
      <c r="B315" s="14" t="s">
        <v>815</v>
      </c>
      <c r="C315" s="14" t="s">
        <v>3363</v>
      </c>
      <c r="D315" s="14">
        <v>369634.72</v>
      </c>
      <c r="E315" s="14">
        <v>37041.919999999998</v>
      </c>
      <c r="F315" s="15">
        <v>44189</v>
      </c>
      <c r="G315" s="15">
        <v>45352</v>
      </c>
      <c r="H315" s="14" t="s">
        <v>3638</v>
      </c>
      <c r="I315" s="14" t="s">
        <v>3373</v>
      </c>
      <c r="J315" s="13" t="str" cm="1">
        <f t="array" ref="J315">_xlfn.IFS(
  OR(ISBLANK(A315),ISBLANK(B315),ISBLANK(H315),ISBLANK(D315),ISBLANK(E315)),"Missing Value",
  D315&lt;=0,"Review – Out of Range (Coverage)",
  E315&lt;=0,"Review – Out of Range (Premium)",
  TRUE,"OK"
)</f>
        <v>OK</v>
      </c>
    </row>
    <row r="316" spans="1:10" ht="16.8" x14ac:dyDescent="0.3">
      <c r="A316" s="11" t="s">
        <v>3877</v>
      </c>
      <c r="B316" s="11" t="s">
        <v>272</v>
      </c>
      <c r="C316" s="11" t="s">
        <v>3363</v>
      </c>
      <c r="D316" s="11">
        <v>772501.65</v>
      </c>
      <c r="E316" s="11">
        <v>16684.91</v>
      </c>
      <c r="F316" s="12">
        <v>44595</v>
      </c>
      <c r="G316" s="12">
        <v>45408</v>
      </c>
      <c r="H316" s="11" t="s">
        <v>3484</v>
      </c>
      <c r="I316" s="11" t="s">
        <v>3361</v>
      </c>
      <c r="J316" s="13" t="str" cm="1">
        <f t="array" ref="J316">_xlfn.IFS(
  OR(ISBLANK(A316),ISBLANK(B316),ISBLANK(H316),ISBLANK(D316),ISBLANK(E316)),"Missing Value",
  D316&lt;=0,"Review – Out of Range (Coverage)",
  E316&lt;=0,"Review – Out of Range (Premium)",
  TRUE,"OK"
)</f>
        <v>OK</v>
      </c>
    </row>
    <row r="317" spans="1:10" ht="16.8" x14ac:dyDescent="0.3">
      <c r="A317" s="14" t="s">
        <v>3878</v>
      </c>
      <c r="B317" s="14" t="s">
        <v>2189</v>
      </c>
      <c r="C317" s="14" t="s">
        <v>3363</v>
      </c>
      <c r="D317" s="14">
        <v>589956.25</v>
      </c>
      <c r="E317" s="14">
        <v>41960.03</v>
      </c>
      <c r="F317" s="15">
        <v>45045</v>
      </c>
      <c r="G317" s="15">
        <v>45121</v>
      </c>
      <c r="H317" s="14" t="s">
        <v>3507</v>
      </c>
      <c r="I317" s="14" t="s">
        <v>3361</v>
      </c>
      <c r="J317" s="13" t="str" cm="1">
        <f t="array" ref="J317">_xlfn.IFS(
  OR(ISBLANK(A317),ISBLANK(B317),ISBLANK(H317),ISBLANK(D317),ISBLANK(E317)),"Missing Value",
  D317&lt;=0,"Review – Out of Range (Coverage)",
  E317&lt;=0,"Review – Out of Range (Premium)",
  TRUE,"OK"
)</f>
        <v>OK</v>
      </c>
    </row>
    <row r="318" spans="1:10" ht="16.8" x14ac:dyDescent="0.3">
      <c r="A318" s="11" t="s">
        <v>3879</v>
      </c>
      <c r="B318" s="11" t="s">
        <v>1839</v>
      </c>
      <c r="C318" s="11" t="s">
        <v>3380</v>
      </c>
      <c r="D318" s="11">
        <v>365669.62</v>
      </c>
      <c r="E318" s="11">
        <v>16593.48</v>
      </c>
      <c r="F318" s="12">
        <v>45264</v>
      </c>
      <c r="G318" s="12">
        <v>45685</v>
      </c>
      <c r="H318" s="11" t="s">
        <v>3607</v>
      </c>
      <c r="I318" s="11" t="s">
        <v>3373</v>
      </c>
      <c r="J318" s="13" t="str" cm="1">
        <f t="array" ref="J318">_xlfn.IFS(
  OR(ISBLANK(A318),ISBLANK(B318),ISBLANK(H318),ISBLANK(D318),ISBLANK(E318)),"Missing Value",
  D318&lt;=0,"Review – Out of Range (Coverage)",
  E318&lt;=0,"Review – Out of Range (Premium)",
  TRUE,"OK"
)</f>
        <v>OK</v>
      </c>
    </row>
    <row r="319" spans="1:10" ht="16.8" x14ac:dyDescent="0.3">
      <c r="A319" s="14" t="s">
        <v>3880</v>
      </c>
      <c r="B319" s="14" t="s">
        <v>2695</v>
      </c>
      <c r="C319" s="14" t="s">
        <v>3363</v>
      </c>
      <c r="D319" s="14">
        <v>661745.32999999996</v>
      </c>
      <c r="E319" s="14">
        <v>32422.9</v>
      </c>
      <c r="F319" s="15">
        <v>44806</v>
      </c>
      <c r="G319" s="15">
        <v>44946</v>
      </c>
      <c r="H319" s="14" t="s">
        <v>3881</v>
      </c>
      <c r="I319" s="14" t="s">
        <v>3361</v>
      </c>
      <c r="J319" s="13" t="str" cm="1">
        <f t="array" ref="J319">_xlfn.IFS(
  OR(ISBLANK(A319),ISBLANK(B319),ISBLANK(H319),ISBLANK(D319),ISBLANK(E319)),"Missing Value",
  D319&lt;=0,"Review – Out of Range (Coverage)",
  E319&lt;=0,"Review – Out of Range (Premium)",
  TRUE,"OK"
)</f>
        <v>OK</v>
      </c>
    </row>
    <row r="320" spans="1:10" ht="16.8" x14ac:dyDescent="0.3">
      <c r="A320" s="11" t="s">
        <v>3882</v>
      </c>
      <c r="B320" s="11" t="s">
        <v>3260</v>
      </c>
      <c r="C320" s="11" t="s">
        <v>3371</v>
      </c>
      <c r="D320" s="11">
        <v>682149.06</v>
      </c>
      <c r="E320" s="11">
        <v>27547.200000000001</v>
      </c>
      <c r="F320" s="12">
        <v>45118</v>
      </c>
      <c r="G320" s="12">
        <v>45419</v>
      </c>
      <c r="H320" s="11" t="s">
        <v>3486</v>
      </c>
      <c r="I320" s="11" t="s">
        <v>3365</v>
      </c>
      <c r="J320" s="13" t="str" cm="1">
        <f t="array" ref="J320">_xlfn.IFS(
  OR(ISBLANK(A320),ISBLANK(B320),ISBLANK(H320),ISBLANK(D320),ISBLANK(E320)),"Missing Value",
  D320&lt;=0,"Review – Out of Range (Coverage)",
  E320&lt;=0,"Review – Out of Range (Premium)",
  TRUE,"OK"
)</f>
        <v>OK</v>
      </c>
    </row>
    <row r="321" spans="1:10" ht="16.8" x14ac:dyDescent="0.3">
      <c r="A321" s="14" t="s">
        <v>3883</v>
      </c>
      <c r="B321" s="14" t="s">
        <v>3036</v>
      </c>
      <c r="C321" s="14" t="s">
        <v>3363</v>
      </c>
      <c r="D321" s="14">
        <v>280805.96999999997</v>
      </c>
      <c r="E321" s="14">
        <v>19975.79</v>
      </c>
      <c r="F321" s="15">
        <v>45388</v>
      </c>
      <c r="G321" s="15">
        <v>45460</v>
      </c>
      <c r="H321" s="14" t="s">
        <v>3569</v>
      </c>
      <c r="I321" s="14" t="s">
        <v>3365</v>
      </c>
      <c r="J321" s="13" t="str" cm="1">
        <f t="array" ref="J321">_xlfn.IFS(
  OR(ISBLANK(A321),ISBLANK(B321),ISBLANK(H321),ISBLANK(D321),ISBLANK(E321)),"Missing Value",
  D321&lt;=0,"Review – Out of Range (Coverage)",
  E321&lt;=0,"Review – Out of Range (Premium)",
  TRUE,"OK"
)</f>
        <v>OK</v>
      </c>
    </row>
    <row r="322" spans="1:10" ht="16.8" x14ac:dyDescent="0.3">
      <c r="A322" s="11" t="s">
        <v>3884</v>
      </c>
      <c r="B322" s="11" t="s">
        <v>2491</v>
      </c>
      <c r="C322" s="11" t="s">
        <v>3371</v>
      </c>
      <c r="D322" s="11">
        <v>200394.04</v>
      </c>
      <c r="E322" s="11">
        <v>31802.84</v>
      </c>
      <c r="F322" s="12">
        <v>44556</v>
      </c>
      <c r="G322" s="12">
        <v>45390</v>
      </c>
      <c r="H322" s="11" t="s">
        <v>3652</v>
      </c>
      <c r="I322" s="11" t="s">
        <v>3373</v>
      </c>
      <c r="J322" s="13" t="str" cm="1">
        <f t="array" ref="J322">_xlfn.IFS(
  OR(ISBLANK(A322),ISBLANK(B322),ISBLANK(H322),ISBLANK(D322),ISBLANK(E322)),"Missing Value",
  D322&lt;=0,"Review – Out of Range (Coverage)",
  E322&lt;=0,"Review – Out of Range (Premium)",
  TRUE,"OK"
)</f>
        <v>OK</v>
      </c>
    </row>
    <row r="323" spans="1:10" ht="16.8" x14ac:dyDescent="0.3">
      <c r="A323" s="14" t="s">
        <v>3885</v>
      </c>
      <c r="B323" s="14" t="s">
        <v>1305</v>
      </c>
      <c r="C323" s="14" t="s">
        <v>3380</v>
      </c>
      <c r="D323" s="14">
        <v>577302.66</v>
      </c>
      <c r="E323" s="14">
        <v>14069.47</v>
      </c>
      <c r="F323" s="15">
        <v>45257</v>
      </c>
      <c r="G323" s="15">
        <v>45602</v>
      </c>
      <c r="H323" s="14" t="s">
        <v>3886</v>
      </c>
      <c r="I323" s="14" t="s">
        <v>3373</v>
      </c>
      <c r="J323" s="13" t="str" cm="1">
        <f t="array" ref="J323">_xlfn.IFS(
  OR(ISBLANK(A323),ISBLANK(B323),ISBLANK(H323),ISBLANK(D323),ISBLANK(E323)),"Missing Value",
  D323&lt;=0,"Review – Out of Range (Coverage)",
  E323&lt;=0,"Review – Out of Range (Premium)",
  TRUE,"OK"
)</f>
        <v>OK</v>
      </c>
    </row>
    <row r="324" spans="1:10" ht="16.8" x14ac:dyDescent="0.3">
      <c r="A324" s="11" t="s">
        <v>3887</v>
      </c>
      <c r="B324" s="11" t="s">
        <v>1901</v>
      </c>
      <c r="C324" s="11" t="s">
        <v>3377</v>
      </c>
      <c r="D324" s="11">
        <v>472583.36</v>
      </c>
      <c r="E324" s="11">
        <v>11393.07</v>
      </c>
      <c r="F324" s="12">
        <v>44594</v>
      </c>
      <c r="G324" s="12">
        <v>44779</v>
      </c>
      <c r="H324" s="11" t="s">
        <v>3477</v>
      </c>
      <c r="I324" s="11" t="s">
        <v>3361</v>
      </c>
      <c r="J324" s="13" t="str" cm="1">
        <f t="array" ref="J324">_xlfn.IFS(
  OR(ISBLANK(A324),ISBLANK(B324),ISBLANK(H324),ISBLANK(D324),ISBLANK(E324)),"Missing Value",
  D324&lt;=0,"Review – Out of Range (Coverage)",
  E324&lt;=0,"Review – Out of Range (Premium)",
  TRUE,"OK"
)</f>
        <v>OK</v>
      </c>
    </row>
    <row r="325" spans="1:10" ht="16.8" x14ac:dyDescent="0.3">
      <c r="A325" s="14" t="s">
        <v>3888</v>
      </c>
      <c r="B325" s="14" t="s">
        <v>466</v>
      </c>
      <c r="C325" s="14" t="s">
        <v>3363</v>
      </c>
      <c r="D325" s="14">
        <v>724511.49</v>
      </c>
      <c r="E325" s="14">
        <v>49072.21</v>
      </c>
      <c r="F325" s="15">
        <v>44809</v>
      </c>
      <c r="G325" s="15">
        <v>45475</v>
      </c>
      <c r="H325" s="14" t="s">
        <v>3490</v>
      </c>
      <c r="I325" s="14" t="s">
        <v>3373</v>
      </c>
      <c r="J325" s="13" t="str" cm="1">
        <f t="array" ref="J325">_xlfn.IFS(
  OR(ISBLANK(A325),ISBLANK(B325),ISBLANK(H325),ISBLANK(D325),ISBLANK(E325)),"Missing Value",
  D325&lt;=0,"Review – Out of Range (Coverage)",
  E325&lt;=0,"Review – Out of Range (Premium)",
  TRUE,"OK"
)</f>
        <v>OK</v>
      </c>
    </row>
    <row r="326" spans="1:10" ht="16.8" x14ac:dyDescent="0.3">
      <c r="A326" s="11" t="s">
        <v>3889</v>
      </c>
      <c r="B326" s="11" t="s">
        <v>2493</v>
      </c>
      <c r="C326" s="11" t="s">
        <v>3380</v>
      </c>
      <c r="D326" s="11">
        <v>692473.82</v>
      </c>
      <c r="E326" s="11">
        <v>40271.93</v>
      </c>
      <c r="F326" s="12">
        <v>44762</v>
      </c>
      <c r="G326" s="12">
        <v>45643</v>
      </c>
      <c r="H326" s="11" t="s">
        <v>3484</v>
      </c>
      <c r="I326" s="11" t="s">
        <v>3373</v>
      </c>
      <c r="J326" s="13" t="str" cm="1">
        <f t="array" ref="J326">_xlfn.IFS(
  OR(ISBLANK(A326),ISBLANK(B326),ISBLANK(H326),ISBLANK(D326),ISBLANK(E326)),"Missing Value",
  D326&lt;=0,"Review – Out of Range (Coverage)",
  E326&lt;=0,"Review – Out of Range (Premium)",
  TRUE,"OK"
)</f>
        <v>OK</v>
      </c>
    </row>
    <row r="327" spans="1:10" ht="16.8" x14ac:dyDescent="0.3">
      <c r="A327" s="14" t="s">
        <v>3890</v>
      </c>
      <c r="B327" s="14" t="s">
        <v>1603</v>
      </c>
      <c r="C327" s="14" t="s">
        <v>3371</v>
      </c>
      <c r="D327" s="14">
        <v>129579.47</v>
      </c>
      <c r="E327" s="14">
        <v>33905.49</v>
      </c>
      <c r="F327" s="15">
        <v>45071</v>
      </c>
      <c r="G327" s="15">
        <v>45662</v>
      </c>
      <c r="H327" s="14" t="s">
        <v>3442</v>
      </c>
      <c r="I327" s="14" t="s">
        <v>3361</v>
      </c>
      <c r="J327" s="13" t="str" cm="1">
        <f t="array" ref="J327">_xlfn.IFS(
  OR(ISBLANK(A327),ISBLANK(B327),ISBLANK(H327),ISBLANK(D327),ISBLANK(E327)),"Missing Value",
  D327&lt;=0,"Review – Out of Range (Coverage)",
  E327&lt;=0,"Review – Out of Range (Premium)",
  TRUE,"OK"
)</f>
        <v>OK</v>
      </c>
    </row>
    <row r="328" spans="1:10" ht="16.8" x14ac:dyDescent="0.3">
      <c r="A328" s="11" t="s">
        <v>3891</v>
      </c>
      <c r="B328" s="11" t="s">
        <v>781</v>
      </c>
      <c r="C328" s="11" t="s">
        <v>3380</v>
      </c>
      <c r="D328" s="11">
        <v>942948.72</v>
      </c>
      <c r="E328" s="11">
        <v>49955.97</v>
      </c>
      <c r="F328" s="12">
        <v>44962</v>
      </c>
      <c r="G328" s="12">
        <v>45807</v>
      </c>
      <c r="H328" s="11" t="s">
        <v>3892</v>
      </c>
      <c r="I328" s="11" t="s">
        <v>3361</v>
      </c>
      <c r="J328" s="13" t="str" cm="1">
        <f t="array" ref="J328">_xlfn.IFS(
  OR(ISBLANK(A328),ISBLANK(B328),ISBLANK(H328),ISBLANK(D328),ISBLANK(E328)),"Missing Value",
  D328&lt;=0,"Review – Out of Range (Coverage)",
  E328&lt;=0,"Review – Out of Range (Premium)",
  TRUE,"OK"
)</f>
        <v>OK</v>
      </c>
    </row>
    <row r="329" spans="1:10" ht="16.8" x14ac:dyDescent="0.3">
      <c r="A329" s="14" t="s">
        <v>3893</v>
      </c>
      <c r="B329" s="14" t="s">
        <v>162</v>
      </c>
      <c r="C329" s="14" t="s">
        <v>3371</v>
      </c>
      <c r="D329" s="14">
        <v>615148.69999999995</v>
      </c>
      <c r="E329" s="14">
        <v>29399.599999999999</v>
      </c>
      <c r="F329" s="15">
        <v>44962</v>
      </c>
      <c r="G329" s="15">
        <v>45406</v>
      </c>
      <c r="H329" s="14" t="s">
        <v>3894</v>
      </c>
      <c r="I329" s="14" t="s">
        <v>3361</v>
      </c>
      <c r="J329" s="13" t="str" cm="1">
        <f t="array" ref="J329">_xlfn.IFS(
  OR(ISBLANK(A329),ISBLANK(B329),ISBLANK(H329),ISBLANK(D329),ISBLANK(E329)),"Missing Value",
  D329&lt;=0,"Review – Out of Range (Coverage)",
  E329&lt;=0,"Review – Out of Range (Premium)",
  TRUE,"OK"
)</f>
        <v>OK</v>
      </c>
    </row>
    <row r="330" spans="1:10" ht="16.8" x14ac:dyDescent="0.3">
      <c r="A330" s="11" t="s">
        <v>3895</v>
      </c>
      <c r="B330" s="11" t="s">
        <v>1219</v>
      </c>
      <c r="C330" s="11" t="s">
        <v>3377</v>
      </c>
      <c r="D330" s="11">
        <v>919860.43</v>
      </c>
      <c r="E330" s="11">
        <v>14108.96</v>
      </c>
      <c r="F330" s="12">
        <v>45147</v>
      </c>
      <c r="G330" s="12">
        <v>45542</v>
      </c>
      <c r="H330" s="11" t="s">
        <v>3798</v>
      </c>
      <c r="I330" s="11" t="s">
        <v>3373</v>
      </c>
      <c r="J330" s="13" t="str" cm="1">
        <f t="array" ref="J330">_xlfn.IFS(
  OR(ISBLANK(A330),ISBLANK(B330),ISBLANK(H330),ISBLANK(D330),ISBLANK(E330)),"Missing Value",
  D330&lt;=0,"Review – Out of Range (Coverage)",
  E330&lt;=0,"Review – Out of Range (Premium)",
  TRUE,"OK"
)</f>
        <v>OK</v>
      </c>
    </row>
    <row r="331" spans="1:10" ht="16.8" x14ac:dyDescent="0.3">
      <c r="A331" s="14" t="s">
        <v>3896</v>
      </c>
      <c r="B331" s="14" t="s">
        <v>1967</v>
      </c>
      <c r="C331" s="14" t="s">
        <v>3363</v>
      </c>
      <c r="D331" s="14">
        <v>143349.92000000001</v>
      </c>
      <c r="E331" s="14">
        <v>17367.66</v>
      </c>
      <c r="F331" s="15">
        <v>44703</v>
      </c>
      <c r="G331" s="15">
        <v>45519</v>
      </c>
      <c r="H331" s="14" t="s">
        <v>3696</v>
      </c>
      <c r="I331" s="14" t="s">
        <v>3365</v>
      </c>
      <c r="J331" s="13" t="str" cm="1">
        <f t="array" ref="J331">_xlfn.IFS(
  OR(ISBLANK(A331),ISBLANK(B331),ISBLANK(H331),ISBLANK(D331),ISBLANK(E331)),"Missing Value",
  D331&lt;=0,"Review – Out of Range (Coverage)",
  E331&lt;=0,"Review – Out of Range (Premium)",
  TRUE,"OK"
)</f>
        <v>OK</v>
      </c>
    </row>
    <row r="332" spans="1:10" ht="16.8" x14ac:dyDescent="0.3">
      <c r="A332" s="11" t="s">
        <v>3897</v>
      </c>
      <c r="B332" s="11" t="s">
        <v>428</v>
      </c>
      <c r="C332" s="11" t="s">
        <v>3380</v>
      </c>
      <c r="D332" s="11">
        <v>360784.93</v>
      </c>
      <c r="E332" s="11">
        <v>27600.73</v>
      </c>
      <c r="F332" s="12">
        <v>45439</v>
      </c>
      <c r="G332" s="12">
        <v>45719</v>
      </c>
      <c r="H332" s="11" t="s">
        <v>3898</v>
      </c>
      <c r="I332" s="11" t="s">
        <v>3373</v>
      </c>
      <c r="J332" s="13" t="str" cm="1">
        <f t="array" ref="J332">_xlfn.IFS(
  OR(ISBLANK(A332),ISBLANK(B332),ISBLANK(H332),ISBLANK(D332),ISBLANK(E332)),"Missing Value",
  D332&lt;=0,"Review – Out of Range (Coverage)",
  E332&lt;=0,"Review – Out of Range (Premium)",
  TRUE,"OK"
)</f>
        <v>OK</v>
      </c>
    </row>
    <row r="333" spans="1:10" ht="16.8" x14ac:dyDescent="0.3">
      <c r="A333" s="14" t="s">
        <v>3899</v>
      </c>
      <c r="B333" s="14" t="s">
        <v>1787</v>
      </c>
      <c r="C333" s="14" t="s">
        <v>3371</v>
      </c>
      <c r="D333" s="14">
        <v>519028.98</v>
      </c>
      <c r="E333" s="14">
        <v>15856.69</v>
      </c>
      <c r="F333" s="15">
        <v>45370</v>
      </c>
      <c r="G333" s="15">
        <v>45502</v>
      </c>
      <c r="H333" s="14" t="s">
        <v>3772</v>
      </c>
      <c r="I333" s="14" t="s">
        <v>3365</v>
      </c>
      <c r="J333" s="13" t="str" cm="1">
        <f t="array" ref="J333">_xlfn.IFS(
  OR(ISBLANK(A333),ISBLANK(B333),ISBLANK(H333),ISBLANK(D333),ISBLANK(E333)),"Missing Value",
  D333&lt;=0,"Review – Out of Range (Coverage)",
  E333&lt;=0,"Review – Out of Range (Premium)",
  TRUE,"OK"
)</f>
        <v>OK</v>
      </c>
    </row>
    <row r="334" spans="1:10" ht="16.8" x14ac:dyDescent="0.3">
      <c r="A334" s="11" t="s">
        <v>3900</v>
      </c>
      <c r="B334" s="11" t="s">
        <v>2599</v>
      </c>
      <c r="C334" s="11" t="s">
        <v>3380</v>
      </c>
      <c r="D334" s="11">
        <v>692479.84</v>
      </c>
      <c r="E334" s="11">
        <v>13006.98</v>
      </c>
      <c r="F334" s="12">
        <v>44533</v>
      </c>
      <c r="G334" s="12">
        <v>45189</v>
      </c>
      <c r="H334" s="11" t="s">
        <v>3507</v>
      </c>
      <c r="I334" s="11" t="s">
        <v>3365</v>
      </c>
      <c r="J334" s="13" t="str" cm="1">
        <f t="array" ref="J334">_xlfn.IFS(
  OR(ISBLANK(A334),ISBLANK(B334),ISBLANK(H334),ISBLANK(D334),ISBLANK(E334)),"Missing Value",
  D334&lt;=0,"Review – Out of Range (Coverage)",
  E334&lt;=0,"Review – Out of Range (Premium)",
  TRUE,"OK"
)</f>
        <v>OK</v>
      </c>
    </row>
    <row r="335" spans="1:10" ht="16.8" x14ac:dyDescent="0.3">
      <c r="A335" s="14" t="s">
        <v>3901</v>
      </c>
      <c r="B335" s="14" t="s">
        <v>312</v>
      </c>
      <c r="C335" s="14" t="s">
        <v>3359</v>
      </c>
      <c r="D335" s="14">
        <v>634262.19999999995</v>
      </c>
      <c r="E335" s="14">
        <v>39213.33</v>
      </c>
      <c r="F335" s="15">
        <v>44850</v>
      </c>
      <c r="G335" s="15">
        <v>45802</v>
      </c>
      <c r="H335" s="14" t="s">
        <v>3746</v>
      </c>
      <c r="I335" s="14" t="s">
        <v>3365</v>
      </c>
      <c r="J335" s="13" t="str" cm="1">
        <f t="array" ref="J335">_xlfn.IFS(
  OR(ISBLANK(A335),ISBLANK(B335),ISBLANK(H335),ISBLANK(D335),ISBLANK(E335)),"Missing Value",
  D335&lt;=0,"Review – Out of Range (Coverage)",
  E335&lt;=0,"Review – Out of Range (Premium)",
  TRUE,"OK"
)</f>
        <v>OK</v>
      </c>
    </row>
    <row r="336" spans="1:10" ht="16.8" x14ac:dyDescent="0.3">
      <c r="A336" s="11" t="s">
        <v>3902</v>
      </c>
      <c r="B336" s="11" t="s">
        <v>2159</v>
      </c>
      <c r="C336" s="11" t="s">
        <v>3380</v>
      </c>
      <c r="D336" s="11">
        <v>914274.85</v>
      </c>
      <c r="E336" s="11">
        <v>3635.18</v>
      </c>
      <c r="F336" s="12">
        <v>44468</v>
      </c>
      <c r="G336" s="12">
        <v>44728</v>
      </c>
      <c r="H336" s="11" t="s">
        <v>3903</v>
      </c>
      <c r="I336" s="11" t="s">
        <v>3365</v>
      </c>
      <c r="J336" s="13" t="str" cm="1">
        <f t="array" ref="J336">_xlfn.IFS(
  OR(ISBLANK(A336),ISBLANK(B336),ISBLANK(H336),ISBLANK(D336),ISBLANK(E336)),"Missing Value",
  D336&lt;=0,"Review – Out of Range (Coverage)",
  E336&lt;=0,"Review – Out of Range (Premium)",
  TRUE,"OK"
)</f>
        <v>OK</v>
      </c>
    </row>
    <row r="337" spans="1:10" ht="16.8" x14ac:dyDescent="0.3">
      <c r="A337" s="14" t="s">
        <v>3904</v>
      </c>
      <c r="B337" s="14" t="s">
        <v>2275</v>
      </c>
      <c r="C337" s="14" t="s">
        <v>3377</v>
      </c>
      <c r="D337" s="14">
        <v>574874.71</v>
      </c>
      <c r="E337" s="14">
        <v>25203</v>
      </c>
      <c r="F337" s="15">
        <v>45084</v>
      </c>
      <c r="G337" s="15">
        <v>45118</v>
      </c>
      <c r="H337" s="14" t="s">
        <v>3689</v>
      </c>
      <c r="I337" s="14" t="s">
        <v>3365</v>
      </c>
      <c r="J337" s="13" t="str" cm="1">
        <f t="array" ref="J337">_xlfn.IFS(
  OR(ISBLANK(A337),ISBLANK(B337),ISBLANK(H337),ISBLANK(D337),ISBLANK(E337)),"Missing Value",
  D337&lt;=0,"Review – Out of Range (Coverage)",
  E337&lt;=0,"Review – Out of Range (Premium)",
  TRUE,"OK"
)</f>
        <v>OK</v>
      </c>
    </row>
    <row r="338" spans="1:10" ht="16.8" x14ac:dyDescent="0.3">
      <c r="A338" s="11" t="s">
        <v>3905</v>
      </c>
      <c r="B338" s="11" t="s">
        <v>827</v>
      </c>
      <c r="C338" s="11" t="s">
        <v>3377</v>
      </c>
      <c r="D338" s="11">
        <v>870877.31</v>
      </c>
      <c r="E338" s="11">
        <v>41328.25</v>
      </c>
      <c r="F338" s="12">
        <v>45025</v>
      </c>
      <c r="G338" s="12">
        <v>45454</v>
      </c>
      <c r="H338" s="11" t="s">
        <v>3781</v>
      </c>
      <c r="I338" s="11" t="s">
        <v>3365</v>
      </c>
      <c r="J338" s="13" t="str" cm="1">
        <f t="array" ref="J338">_xlfn.IFS(
  OR(ISBLANK(A338),ISBLANK(B338),ISBLANK(H338),ISBLANK(D338),ISBLANK(E338)),"Missing Value",
  D338&lt;=0,"Review – Out of Range (Coverage)",
  E338&lt;=0,"Review – Out of Range (Premium)",
  TRUE,"OK"
)</f>
        <v>OK</v>
      </c>
    </row>
    <row r="339" spans="1:10" ht="16.8" x14ac:dyDescent="0.3">
      <c r="A339" s="14" t="s">
        <v>3906</v>
      </c>
      <c r="B339" s="14" t="s">
        <v>2283</v>
      </c>
      <c r="C339" s="14" t="s">
        <v>3377</v>
      </c>
      <c r="D339" s="14">
        <v>657371.24</v>
      </c>
      <c r="E339" s="14">
        <v>18395.3</v>
      </c>
      <c r="F339" s="15">
        <v>45389</v>
      </c>
      <c r="G339" s="15">
        <v>45694</v>
      </c>
      <c r="H339" s="14" t="s">
        <v>3675</v>
      </c>
      <c r="I339" s="14" t="s">
        <v>3361</v>
      </c>
      <c r="J339" s="13" t="str" cm="1">
        <f t="array" ref="J339">_xlfn.IFS(
  OR(ISBLANK(A339),ISBLANK(B339),ISBLANK(H339),ISBLANK(D339),ISBLANK(E339)),"Missing Value",
  D339&lt;=0,"Review – Out of Range (Coverage)",
  E339&lt;=0,"Review – Out of Range (Premium)",
  TRUE,"OK"
)</f>
        <v>OK</v>
      </c>
    </row>
    <row r="340" spans="1:10" ht="16.8" x14ac:dyDescent="0.3">
      <c r="A340" s="11" t="s">
        <v>3907</v>
      </c>
      <c r="B340" s="11" t="s">
        <v>53</v>
      </c>
      <c r="C340" s="11" t="s">
        <v>3359</v>
      </c>
      <c r="D340" s="11">
        <v>480743.62</v>
      </c>
      <c r="E340" s="11">
        <v>12671.58</v>
      </c>
      <c r="F340" s="12">
        <v>45069</v>
      </c>
      <c r="G340" s="12">
        <v>45186</v>
      </c>
      <c r="H340" s="11" t="s">
        <v>3540</v>
      </c>
      <c r="I340" s="11" t="s">
        <v>3361</v>
      </c>
      <c r="J340" s="13" t="str" cm="1">
        <f t="array" ref="J340">_xlfn.IFS(
  OR(ISBLANK(A340),ISBLANK(B340),ISBLANK(H340),ISBLANK(D340),ISBLANK(E340)),"Missing Value",
  D340&lt;=0,"Review – Out of Range (Coverage)",
  E340&lt;=0,"Review – Out of Range (Premium)",
  TRUE,"OK"
)</f>
        <v>OK</v>
      </c>
    </row>
    <row r="341" spans="1:10" ht="16.8" x14ac:dyDescent="0.3">
      <c r="A341" s="14" t="s">
        <v>3908</v>
      </c>
      <c r="B341" s="14" t="s">
        <v>1731</v>
      </c>
      <c r="C341" s="14" t="s">
        <v>3377</v>
      </c>
      <c r="D341" s="14">
        <v>287648.03999999998</v>
      </c>
      <c r="E341" s="14">
        <v>28698.04</v>
      </c>
      <c r="F341" s="15">
        <v>44959</v>
      </c>
      <c r="G341" s="15">
        <v>45425</v>
      </c>
      <c r="H341" s="14" t="s">
        <v>3454</v>
      </c>
      <c r="I341" s="14" t="s">
        <v>3365</v>
      </c>
      <c r="J341" s="13" t="str" cm="1">
        <f t="array" ref="J341">_xlfn.IFS(
  OR(ISBLANK(A341),ISBLANK(B341),ISBLANK(H341),ISBLANK(D341),ISBLANK(E341)),"Missing Value",
  D341&lt;=0,"Review – Out of Range (Coverage)",
  E341&lt;=0,"Review – Out of Range (Premium)",
  TRUE,"OK"
)</f>
        <v>OK</v>
      </c>
    </row>
    <row r="342" spans="1:10" ht="16.8" x14ac:dyDescent="0.3">
      <c r="A342" s="11" t="s">
        <v>3909</v>
      </c>
      <c r="B342" s="11" t="s">
        <v>2607</v>
      </c>
      <c r="C342" s="11" t="s">
        <v>3380</v>
      </c>
      <c r="D342" s="11">
        <v>979008.3</v>
      </c>
      <c r="E342" s="11">
        <v>30105.040000000001</v>
      </c>
      <c r="F342" s="12">
        <v>44060</v>
      </c>
      <c r="G342" s="12">
        <v>44745</v>
      </c>
      <c r="H342" s="11" t="s">
        <v>3497</v>
      </c>
      <c r="I342" s="11" t="s">
        <v>3373</v>
      </c>
      <c r="J342" s="13" t="str" cm="1">
        <f t="array" ref="J342">_xlfn.IFS(
  OR(ISBLANK(A342),ISBLANK(B342),ISBLANK(H342),ISBLANK(D342),ISBLANK(E342)),"Missing Value",
  D342&lt;=0,"Review – Out of Range (Coverage)",
  E342&lt;=0,"Review – Out of Range (Premium)",
  TRUE,"OK"
)</f>
        <v>OK</v>
      </c>
    </row>
    <row r="343" spans="1:10" ht="16.8" x14ac:dyDescent="0.3">
      <c r="A343" s="14" t="s">
        <v>3910</v>
      </c>
      <c r="B343" s="14" t="s">
        <v>1039</v>
      </c>
      <c r="C343" s="14" t="s">
        <v>3359</v>
      </c>
      <c r="D343" s="14">
        <v>811350.63</v>
      </c>
      <c r="E343" s="14">
        <v>20164.04</v>
      </c>
      <c r="F343" s="15">
        <v>44457</v>
      </c>
      <c r="G343" s="15">
        <v>44497</v>
      </c>
      <c r="H343" s="14" t="s">
        <v>3911</v>
      </c>
      <c r="I343" s="14" t="s">
        <v>3365</v>
      </c>
      <c r="J343" s="13" t="str" cm="1">
        <f t="array" ref="J343">_xlfn.IFS(
  OR(ISBLANK(A343),ISBLANK(B343),ISBLANK(H343),ISBLANK(D343),ISBLANK(E343)),"Missing Value",
  D343&lt;=0,"Review – Out of Range (Coverage)",
  E343&lt;=0,"Review – Out of Range (Premium)",
  TRUE,"OK"
)</f>
        <v>OK</v>
      </c>
    </row>
    <row r="344" spans="1:10" ht="16.8" x14ac:dyDescent="0.3">
      <c r="A344" s="11" t="s">
        <v>3912</v>
      </c>
      <c r="B344" s="11" t="s">
        <v>1735</v>
      </c>
      <c r="C344" s="11" t="s">
        <v>3377</v>
      </c>
      <c r="D344" s="11">
        <v>880827.97</v>
      </c>
      <c r="E344" s="11">
        <v>4837.7700000000004</v>
      </c>
      <c r="F344" s="12">
        <v>45193</v>
      </c>
      <c r="G344" s="12">
        <v>45751</v>
      </c>
      <c r="H344" s="11" t="s">
        <v>3367</v>
      </c>
      <c r="I344" s="11" t="s">
        <v>3365</v>
      </c>
      <c r="J344" s="13" t="str" cm="1">
        <f t="array" ref="J344">_xlfn.IFS(
  OR(ISBLANK(A344),ISBLANK(B344),ISBLANK(H344),ISBLANK(D344),ISBLANK(E344)),"Missing Value",
  D344&lt;=0,"Review – Out of Range (Coverage)",
  E344&lt;=0,"Review – Out of Range (Premium)",
  TRUE,"OK"
)</f>
        <v>OK</v>
      </c>
    </row>
    <row r="345" spans="1:10" ht="16.8" x14ac:dyDescent="0.3">
      <c r="A345" s="14" t="s">
        <v>3913</v>
      </c>
      <c r="B345" s="14" t="s">
        <v>116</v>
      </c>
      <c r="C345" s="14" t="s">
        <v>3359</v>
      </c>
      <c r="D345" s="14">
        <v>470894.75</v>
      </c>
      <c r="E345" s="14">
        <v>21922.82</v>
      </c>
      <c r="F345" s="15">
        <v>44560</v>
      </c>
      <c r="G345" s="15">
        <v>44951</v>
      </c>
      <c r="H345" s="14" t="s">
        <v>3914</v>
      </c>
      <c r="I345" s="14" t="s">
        <v>3365</v>
      </c>
      <c r="J345" s="13" t="str" cm="1">
        <f t="array" ref="J345">_xlfn.IFS(
  OR(ISBLANK(A345),ISBLANK(B345),ISBLANK(H345),ISBLANK(D345),ISBLANK(E345)),"Missing Value",
  D345&lt;=0,"Review – Out of Range (Coverage)",
  E345&lt;=0,"Review – Out of Range (Premium)",
  TRUE,"OK"
)</f>
        <v>OK</v>
      </c>
    </row>
    <row r="346" spans="1:10" ht="16.8" x14ac:dyDescent="0.3">
      <c r="A346" s="11" t="s">
        <v>3915</v>
      </c>
      <c r="B346" s="11" t="s">
        <v>1465</v>
      </c>
      <c r="C346" s="11" t="s">
        <v>3377</v>
      </c>
      <c r="D346" s="11">
        <v>735962.66</v>
      </c>
      <c r="E346" s="11">
        <v>30887.09</v>
      </c>
      <c r="F346" s="12">
        <v>44734</v>
      </c>
      <c r="G346" s="12">
        <v>45243</v>
      </c>
      <c r="H346" s="11" t="s">
        <v>3830</v>
      </c>
      <c r="I346" s="11" t="s">
        <v>3373</v>
      </c>
      <c r="J346" s="13" t="str" cm="1">
        <f t="array" ref="J346">_xlfn.IFS(
  OR(ISBLANK(A346),ISBLANK(B346),ISBLANK(H346),ISBLANK(D346),ISBLANK(E346)),"Missing Value",
  D346&lt;=0,"Review – Out of Range (Coverage)",
  E346&lt;=0,"Review – Out of Range (Premium)",
  TRUE,"OK"
)</f>
        <v>OK</v>
      </c>
    </row>
    <row r="347" spans="1:10" ht="16.8" x14ac:dyDescent="0.3">
      <c r="A347" s="14" t="s">
        <v>3916</v>
      </c>
      <c r="B347" s="14" t="s">
        <v>3290</v>
      </c>
      <c r="C347" s="14" t="s">
        <v>3359</v>
      </c>
      <c r="D347" s="14">
        <v>250902.09</v>
      </c>
      <c r="E347" s="14">
        <v>37037.839999999997</v>
      </c>
      <c r="F347" s="15">
        <v>45212</v>
      </c>
      <c r="G347" s="15">
        <v>45663</v>
      </c>
      <c r="H347" s="14" t="s">
        <v>3528</v>
      </c>
      <c r="I347" s="14" t="s">
        <v>3361</v>
      </c>
      <c r="J347" s="13" t="str" cm="1">
        <f t="array" ref="J347">_xlfn.IFS(
  OR(ISBLANK(A347),ISBLANK(B347),ISBLANK(H347),ISBLANK(D347),ISBLANK(E347)),"Missing Value",
  D347&lt;=0,"Review – Out of Range (Coverage)",
  E347&lt;=0,"Review – Out of Range (Premium)",
  TRUE,"OK"
)</f>
        <v>OK</v>
      </c>
    </row>
    <row r="348" spans="1:10" ht="16.8" x14ac:dyDescent="0.3">
      <c r="A348" s="11" t="s">
        <v>3917</v>
      </c>
      <c r="B348" s="11" t="s">
        <v>941</v>
      </c>
      <c r="C348" s="11" t="s">
        <v>3380</v>
      </c>
      <c r="D348" s="11">
        <v>122936.63</v>
      </c>
      <c r="E348" s="11">
        <v>14377.4</v>
      </c>
      <c r="F348" s="12">
        <v>44923</v>
      </c>
      <c r="G348" s="12">
        <v>45243</v>
      </c>
      <c r="H348" s="11" t="s">
        <v>3918</v>
      </c>
      <c r="I348" s="11" t="s">
        <v>3361</v>
      </c>
      <c r="J348" s="13" t="str" cm="1">
        <f t="array" ref="J348">_xlfn.IFS(
  OR(ISBLANK(A348),ISBLANK(B348),ISBLANK(H348),ISBLANK(D348),ISBLANK(E348)),"Missing Value",
  D348&lt;=0,"Review – Out of Range (Coverage)",
  E348&lt;=0,"Review – Out of Range (Premium)",
  TRUE,"OK"
)</f>
        <v>OK</v>
      </c>
    </row>
    <row r="349" spans="1:10" ht="16.8" x14ac:dyDescent="0.3">
      <c r="A349" s="14" t="s">
        <v>3919</v>
      </c>
      <c r="B349" s="14" t="s">
        <v>2789</v>
      </c>
      <c r="C349" s="14" t="s">
        <v>3359</v>
      </c>
      <c r="D349" s="14">
        <v>723492.45</v>
      </c>
      <c r="E349" s="14">
        <v>29436.32</v>
      </c>
      <c r="F349" s="15">
        <v>45086</v>
      </c>
      <c r="G349" s="15">
        <v>45104</v>
      </c>
      <c r="H349" s="14" t="s">
        <v>3868</v>
      </c>
      <c r="I349" s="14" t="s">
        <v>3365</v>
      </c>
      <c r="J349" s="13" t="str" cm="1">
        <f t="array" ref="J349">_xlfn.IFS(
  OR(ISBLANK(A349),ISBLANK(B349),ISBLANK(H349),ISBLANK(D349),ISBLANK(E349)),"Missing Value",
  D349&lt;=0,"Review – Out of Range (Coverage)",
  E349&lt;=0,"Review – Out of Range (Premium)",
  TRUE,"OK"
)</f>
        <v>OK</v>
      </c>
    </row>
    <row r="350" spans="1:10" ht="16.8" x14ac:dyDescent="0.3">
      <c r="A350" s="11" t="s">
        <v>3920</v>
      </c>
      <c r="B350" s="11" t="s">
        <v>679</v>
      </c>
      <c r="C350" s="11" t="s">
        <v>3380</v>
      </c>
      <c r="D350" s="11">
        <v>432038.92</v>
      </c>
      <c r="E350" s="11">
        <v>49054.45</v>
      </c>
      <c r="F350" s="12">
        <v>45308</v>
      </c>
      <c r="G350" s="12">
        <v>45660</v>
      </c>
      <c r="H350" s="11" t="s">
        <v>3738</v>
      </c>
      <c r="I350" s="11" t="s">
        <v>3365</v>
      </c>
      <c r="J350" s="13" t="str" cm="1">
        <f t="array" ref="J350">_xlfn.IFS(
  OR(ISBLANK(A350),ISBLANK(B350),ISBLANK(H350),ISBLANK(D350),ISBLANK(E350)),"Missing Value",
  D350&lt;=0,"Review – Out of Range (Coverage)",
  E350&lt;=0,"Review – Out of Range (Premium)",
  TRUE,"OK"
)</f>
        <v>OK</v>
      </c>
    </row>
    <row r="351" spans="1:10" ht="16.8" x14ac:dyDescent="0.3">
      <c r="A351" s="14" t="s">
        <v>3921</v>
      </c>
      <c r="B351" s="14" t="s">
        <v>84</v>
      </c>
      <c r="C351" s="14" t="s">
        <v>3371</v>
      </c>
      <c r="D351" s="14">
        <v>284282.37</v>
      </c>
      <c r="E351" s="14">
        <v>30426.49</v>
      </c>
      <c r="F351" s="15">
        <v>45457</v>
      </c>
      <c r="G351" s="15">
        <v>45694</v>
      </c>
      <c r="H351" s="14" t="s">
        <v>3811</v>
      </c>
      <c r="I351" s="14" t="s">
        <v>3373</v>
      </c>
      <c r="J351" s="13" t="str" cm="1">
        <f t="array" ref="J351">_xlfn.IFS(
  OR(ISBLANK(A351),ISBLANK(B351),ISBLANK(H351),ISBLANK(D351),ISBLANK(E351)),"Missing Value",
  D351&lt;=0,"Review – Out of Range (Coverage)",
  E351&lt;=0,"Review – Out of Range (Premium)",
  TRUE,"OK"
)</f>
        <v>OK</v>
      </c>
    </row>
    <row r="352" spans="1:10" ht="16.8" x14ac:dyDescent="0.3">
      <c r="A352" s="11" t="s">
        <v>3922</v>
      </c>
      <c r="B352" s="11" t="s">
        <v>484</v>
      </c>
      <c r="C352" s="11" t="s">
        <v>3363</v>
      </c>
      <c r="D352" s="11">
        <v>537760.59</v>
      </c>
      <c r="E352" s="11">
        <v>35020.31</v>
      </c>
      <c r="F352" s="12">
        <v>44519</v>
      </c>
      <c r="G352" s="12">
        <v>45046</v>
      </c>
      <c r="H352" s="11" t="s">
        <v>3923</v>
      </c>
      <c r="I352" s="11" t="s">
        <v>3361</v>
      </c>
      <c r="J352" s="13" t="str" cm="1">
        <f t="array" ref="J352">_xlfn.IFS(
  OR(ISBLANK(A352),ISBLANK(B352),ISBLANK(H352),ISBLANK(D352),ISBLANK(E352)),"Missing Value",
  D352&lt;=0,"Review – Out of Range (Coverage)",
  E352&lt;=0,"Review – Out of Range (Premium)",
  TRUE,"OK"
)</f>
        <v>OK</v>
      </c>
    </row>
    <row r="353" spans="1:10" ht="16.8" x14ac:dyDescent="0.3">
      <c r="A353" s="14" t="s">
        <v>3924</v>
      </c>
      <c r="B353" s="14" t="s">
        <v>3034</v>
      </c>
      <c r="C353" s="14" t="s">
        <v>3380</v>
      </c>
      <c r="D353" s="14">
        <v>663966.94999999995</v>
      </c>
      <c r="E353" s="14">
        <v>47544.79</v>
      </c>
      <c r="F353" s="15">
        <v>44953</v>
      </c>
      <c r="G353" s="15">
        <v>45275</v>
      </c>
      <c r="H353" s="14" t="s">
        <v>3603</v>
      </c>
      <c r="I353" s="14" t="s">
        <v>3365</v>
      </c>
      <c r="J353" s="13" t="str" cm="1">
        <f t="array" ref="J353">_xlfn.IFS(
  OR(ISBLANK(A353),ISBLANK(B353),ISBLANK(H353),ISBLANK(D353),ISBLANK(E353)),"Missing Value",
  D353&lt;=0,"Review – Out of Range (Coverage)",
  E353&lt;=0,"Review – Out of Range (Premium)",
  TRUE,"OK"
)</f>
        <v>OK</v>
      </c>
    </row>
    <row r="354" spans="1:10" ht="16.8" x14ac:dyDescent="0.3">
      <c r="A354" s="11" t="s">
        <v>3925</v>
      </c>
      <c r="B354" s="11" t="s">
        <v>1911</v>
      </c>
      <c r="C354" s="11" t="s">
        <v>3359</v>
      </c>
      <c r="D354" s="11">
        <v>485277.69</v>
      </c>
      <c r="E354" s="11">
        <v>34866.949999999997</v>
      </c>
      <c r="F354" s="12">
        <v>45213</v>
      </c>
      <c r="G354" s="12">
        <v>45356</v>
      </c>
      <c r="H354" s="11" t="s">
        <v>3903</v>
      </c>
      <c r="I354" s="11" t="s">
        <v>3365</v>
      </c>
      <c r="J354" s="13" t="str" cm="1">
        <f t="array" ref="J354">_xlfn.IFS(
  OR(ISBLANK(A354),ISBLANK(B354),ISBLANK(H354),ISBLANK(D354),ISBLANK(E354)),"Missing Value",
  D354&lt;=0,"Review – Out of Range (Coverage)",
  E354&lt;=0,"Review – Out of Range (Premium)",
  TRUE,"OK"
)</f>
        <v>OK</v>
      </c>
    </row>
    <row r="355" spans="1:10" ht="16.8" x14ac:dyDescent="0.3">
      <c r="A355" s="14" t="s">
        <v>3926</v>
      </c>
      <c r="B355" s="14" t="s">
        <v>547</v>
      </c>
      <c r="C355" s="14" t="s">
        <v>3380</v>
      </c>
      <c r="D355" s="14">
        <v>296402.52</v>
      </c>
      <c r="E355" s="14">
        <v>38185.71</v>
      </c>
      <c r="F355" s="15">
        <v>45390</v>
      </c>
      <c r="G355" s="15">
        <v>45599</v>
      </c>
      <c r="H355" s="14" t="s">
        <v>3389</v>
      </c>
      <c r="I355" s="14" t="s">
        <v>3365</v>
      </c>
      <c r="J355" s="13" t="str" cm="1">
        <f t="array" ref="J355">_xlfn.IFS(
  OR(ISBLANK(A355),ISBLANK(B355),ISBLANK(H355),ISBLANK(D355),ISBLANK(E355)),"Missing Value",
  D355&lt;=0,"Review – Out of Range (Coverage)",
  E355&lt;=0,"Review – Out of Range (Premium)",
  TRUE,"OK"
)</f>
        <v>OK</v>
      </c>
    </row>
    <row r="356" spans="1:10" ht="16.8" x14ac:dyDescent="0.3">
      <c r="A356" s="11" t="s">
        <v>3927</v>
      </c>
      <c r="B356" s="11" t="s">
        <v>2125</v>
      </c>
      <c r="C356" s="11" t="s">
        <v>3380</v>
      </c>
      <c r="D356" s="11">
        <v>348321.03</v>
      </c>
      <c r="E356" s="11">
        <v>44106.81</v>
      </c>
      <c r="F356" s="12">
        <v>45322</v>
      </c>
      <c r="G356" s="12">
        <v>45510</v>
      </c>
      <c r="H356" s="11" t="s">
        <v>3928</v>
      </c>
      <c r="I356" s="11" t="s">
        <v>3361</v>
      </c>
      <c r="J356" s="13" t="str" cm="1">
        <f t="array" ref="J356">_xlfn.IFS(
  OR(ISBLANK(A356),ISBLANK(B356),ISBLANK(H356),ISBLANK(D356),ISBLANK(E356)),"Missing Value",
  D356&lt;=0,"Review – Out of Range (Coverage)",
  E356&lt;=0,"Review – Out of Range (Premium)",
  TRUE,"OK"
)</f>
        <v>OK</v>
      </c>
    </row>
    <row r="357" spans="1:10" ht="16.8" x14ac:dyDescent="0.3">
      <c r="A357" s="14" t="s">
        <v>3929</v>
      </c>
      <c r="B357" s="14" t="s">
        <v>3278</v>
      </c>
      <c r="C357" s="14" t="s">
        <v>3363</v>
      </c>
      <c r="D357" s="14">
        <v>456798.59</v>
      </c>
      <c r="E357" s="14">
        <v>33021.199999999997</v>
      </c>
      <c r="F357" s="15">
        <v>45055</v>
      </c>
      <c r="G357" s="15">
        <v>45792</v>
      </c>
      <c r="H357" s="14" t="s">
        <v>3819</v>
      </c>
      <c r="I357" s="14" t="s">
        <v>3361</v>
      </c>
      <c r="J357" s="13" t="str" cm="1">
        <f t="array" ref="J357">_xlfn.IFS(
  OR(ISBLANK(A357),ISBLANK(B357),ISBLANK(H357),ISBLANK(D357),ISBLANK(E357)),"Missing Value",
  D357&lt;=0,"Review – Out of Range (Coverage)",
  E357&lt;=0,"Review – Out of Range (Premium)",
  TRUE,"OK"
)</f>
        <v>OK</v>
      </c>
    </row>
    <row r="358" spans="1:10" ht="16.8" x14ac:dyDescent="0.3">
      <c r="A358" s="11" t="s">
        <v>3930</v>
      </c>
      <c r="B358" s="11" t="s">
        <v>2947</v>
      </c>
      <c r="C358" s="11" t="s">
        <v>3371</v>
      </c>
      <c r="D358" s="11">
        <v>737511.15</v>
      </c>
      <c r="E358" s="11">
        <v>29667.27</v>
      </c>
      <c r="F358" s="12">
        <v>44933</v>
      </c>
      <c r="G358" s="12">
        <v>45705</v>
      </c>
      <c r="H358" s="11" t="s">
        <v>3735</v>
      </c>
      <c r="I358" s="11" t="s">
        <v>3365</v>
      </c>
      <c r="J358" s="13" t="str" cm="1">
        <f t="array" ref="J358">_xlfn.IFS(
  OR(ISBLANK(A358),ISBLANK(B358),ISBLANK(H358),ISBLANK(D358),ISBLANK(E358)),"Missing Value",
  D358&lt;=0,"Review – Out of Range (Coverage)",
  E358&lt;=0,"Review – Out of Range (Premium)",
  TRUE,"OK"
)</f>
        <v>OK</v>
      </c>
    </row>
    <row r="359" spans="1:10" ht="16.8" x14ac:dyDescent="0.3">
      <c r="A359" s="14" t="s">
        <v>3931</v>
      </c>
      <c r="B359" s="14" t="s">
        <v>1813</v>
      </c>
      <c r="C359" s="14" t="s">
        <v>3371</v>
      </c>
      <c r="D359" s="14">
        <v>800250.79</v>
      </c>
      <c r="E359" s="14">
        <v>21564.21</v>
      </c>
      <c r="F359" s="15">
        <v>45438</v>
      </c>
      <c r="G359" s="15">
        <v>45615</v>
      </c>
      <c r="H359" s="14" t="s">
        <v>3928</v>
      </c>
      <c r="I359" s="14" t="s">
        <v>3373</v>
      </c>
      <c r="J359" s="13" t="str" cm="1">
        <f t="array" ref="J359">_xlfn.IFS(
  OR(ISBLANK(A359),ISBLANK(B359),ISBLANK(H359),ISBLANK(D359),ISBLANK(E359)),"Missing Value",
  D359&lt;=0,"Review – Out of Range (Coverage)",
  E359&lt;=0,"Review – Out of Range (Premium)",
  TRUE,"OK"
)</f>
        <v>OK</v>
      </c>
    </row>
    <row r="360" spans="1:10" ht="16.8" x14ac:dyDescent="0.3">
      <c r="A360" s="11" t="s">
        <v>3932</v>
      </c>
      <c r="B360" s="11" t="s">
        <v>278</v>
      </c>
      <c r="C360" s="11" t="s">
        <v>3359</v>
      </c>
      <c r="D360" s="11">
        <v>319346.19</v>
      </c>
      <c r="E360" s="11">
        <v>22239.51</v>
      </c>
      <c r="F360" s="12">
        <v>45269</v>
      </c>
      <c r="G360" s="12">
        <v>45282</v>
      </c>
      <c r="H360" s="11" t="s">
        <v>3770</v>
      </c>
      <c r="I360" s="11" t="s">
        <v>3373</v>
      </c>
      <c r="J360" s="13" t="str" cm="1">
        <f t="array" ref="J360">_xlfn.IFS(
  OR(ISBLANK(A360),ISBLANK(B360),ISBLANK(H360),ISBLANK(D360),ISBLANK(E360)),"Missing Value",
  D360&lt;=0,"Review – Out of Range (Coverage)",
  E360&lt;=0,"Review – Out of Range (Premium)",
  TRUE,"OK"
)</f>
        <v>OK</v>
      </c>
    </row>
    <row r="361" spans="1:10" ht="16.8" x14ac:dyDescent="0.3">
      <c r="A361" s="14" t="s">
        <v>3933</v>
      </c>
      <c r="B361" s="14" t="s">
        <v>2019</v>
      </c>
      <c r="C361" s="14" t="s">
        <v>3377</v>
      </c>
      <c r="D361" s="14">
        <v>975854.75</v>
      </c>
      <c r="E361" s="14">
        <v>10236.85</v>
      </c>
      <c r="F361" s="15">
        <v>45099</v>
      </c>
      <c r="G361" s="15">
        <v>45247</v>
      </c>
      <c r="H361" s="14" t="s">
        <v>3830</v>
      </c>
      <c r="I361" s="14" t="s">
        <v>3361</v>
      </c>
      <c r="J361" s="13" t="str" cm="1">
        <f t="array" ref="J361">_xlfn.IFS(
  OR(ISBLANK(A361),ISBLANK(B361),ISBLANK(H361),ISBLANK(D361),ISBLANK(E361)),"Missing Value",
  D361&lt;=0,"Review – Out of Range (Coverage)",
  E361&lt;=0,"Review – Out of Range (Premium)",
  TRUE,"OK"
)</f>
        <v>OK</v>
      </c>
    </row>
    <row r="362" spans="1:10" ht="16.8" x14ac:dyDescent="0.3">
      <c r="A362" s="11" t="s">
        <v>3934</v>
      </c>
      <c r="B362" s="11" t="s">
        <v>1375</v>
      </c>
      <c r="C362" s="11" t="s">
        <v>3363</v>
      </c>
      <c r="D362" s="11">
        <v>293156.19</v>
      </c>
      <c r="E362" s="11">
        <v>44548.77</v>
      </c>
      <c r="F362" s="12">
        <v>44595</v>
      </c>
      <c r="G362" s="12">
        <v>45765</v>
      </c>
      <c r="H362" s="11" t="s">
        <v>3395</v>
      </c>
      <c r="I362" s="11" t="s">
        <v>3361</v>
      </c>
      <c r="J362" s="13" t="str" cm="1">
        <f t="array" ref="J362">_xlfn.IFS(
  OR(ISBLANK(A362),ISBLANK(B362),ISBLANK(H362),ISBLANK(D362),ISBLANK(E362)),"Missing Value",
  D362&lt;=0,"Review – Out of Range (Coverage)",
  E362&lt;=0,"Review – Out of Range (Premium)",
  TRUE,"OK"
)</f>
        <v>OK</v>
      </c>
    </row>
    <row r="363" spans="1:10" ht="16.8" x14ac:dyDescent="0.3">
      <c r="A363" s="14" t="s">
        <v>3935</v>
      </c>
      <c r="B363" s="14" t="s">
        <v>350</v>
      </c>
      <c r="C363" s="14" t="s">
        <v>3359</v>
      </c>
      <c r="D363" s="14">
        <v>878587.76</v>
      </c>
      <c r="E363" s="14">
        <v>33421.33</v>
      </c>
      <c r="F363" s="15">
        <v>44741</v>
      </c>
      <c r="G363" s="15">
        <v>45402</v>
      </c>
      <c r="H363" s="14" t="s">
        <v>3564</v>
      </c>
      <c r="I363" s="14" t="s">
        <v>3365</v>
      </c>
      <c r="J363" s="13" t="str" cm="1">
        <f t="array" ref="J363">_xlfn.IFS(
  OR(ISBLANK(A363),ISBLANK(B363),ISBLANK(H363),ISBLANK(D363),ISBLANK(E363)),"Missing Value",
  D363&lt;=0,"Review – Out of Range (Coverage)",
  E363&lt;=0,"Review – Out of Range (Premium)",
  TRUE,"OK"
)</f>
        <v>OK</v>
      </c>
    </row>
    <row r="364" spans="1:10" ht="16.8" x14ac:dyDescent="0.3">
      <c r="A364" s="11" t="s">
        <v>3936</v>
      </c>
      <c r="B364" s="11" t="s">
        <v>3080</v>
      </c>
      <c r="C364" s="11" t="s">
        <v>3363</v>
      </c>
      <c r="D364" s="11">
        <v>215741.48</v>
      </c>
      <c r="E364" s="11">
        <v>38372.730000000003</v>
      </c>
      <c r="F364" s="12">
        <v>45009</v>
      </c>
      <c r="G364" s="12">
        <v>45391</v>
      </c>
      <c r="H364" s="11" t="s">
        <v>3444</v>
      </c>
      <c r="I364" s="11" t="s">
        <v>3361</v>
      </c>
      <c r="J364" s="13" t="str" cm="1">
        <f t="array" ref="J364">_xlfn.IFS(
  OR(ISBLANK(A364),ISBLANK(B364),ISBLANK(H364),ISBLANK(D364),ISBLANK(E364)),"Missing Value",
  D364&lt;=0,"Review – Out of Range (Coverage)",
  E364&lt;=0,"Review – Out of Range (Premium)",
  TRUE,"OK"
)</f>
        <v>OK</v>
      </c>
    </row>
    <row r="365" spans="1:10" ht="16.8" x14ac:dyDescent="0.3">
      <c r="A365" s="14" t="s">
        <v>3937</v>
      </c>
      <c r="B365" s="14" t="s">
        <v>414</v>
      </c>
      <c r="C365" s="14" t="s">
        <v>3359</v>
      </c>
      <c r="D365" s="14">
        <v>876341.86</v>
      </c>
      <c r="E365" s="14">
        <v>34723.129999999997</v>
      </c>
      <c r="F365" s="15">
        <v>45325</v>
      </c>
      <c r="G365" s="15">
        <v>45731</v>
      </c>
      <c r="H365" s="14" t="s">
        <v>3687</v>
      </c>
      <c r="I365" s="14" t="s">
        <v>3373</v>
      </c>
      <c r="J365" s="13" t="str" cm="1">
        <f t="array" ref="J365">_xlfn.IFS(
  OR(ISBLANK(A365),ISBLANK(B365),ISBLANK(H365),ISBLANK(D365),ISBLANK(E365)),"Missing Value",
  D365&lt;=0,"Review – Out of Range (Coverage)",
  E365&lt;=0,"Review – Out of Range (Premium)",
  TRUE,"OK"
)</f>
        <v>OK</v>
      </c>
    </row>
    <row r="366" spans="1:10" ht="16.8" x14ac:dyDescent="0.3">
      <c r="A366" s="11" t="s">
        <v>3938</v>
      </c>
      <c r="B366" s="11" t="s">
        <v>593</v>
      </c>
      <c r="C366" s="11" t="s">
        <v>3380</v>
      </c>
      <c r="D366" s="11">
        <v>973925.29</v>
      </c>
      <c r="E366" s="11">
        <v>47453.32</v>
      </c>
      <c r="F366" s="12">
        <v>44936</v>
      </c>
      <c r="G366" s="12">
        <v>45134</v>
      </c>
      <c r="H366" s="11" t="s">
        <v>3939</v>
      </c>
      <c r="I366" s="11" t="s">
        <v>3361</v>
      </c>
      <c r="J366" s="13" t="str" cm="1">
        <f t="array" ref="J366">_xlfn.IFS(
  OR(ISBLANK(A366),ISBLANK(B366),ISBLANK(H366),ISBLANK(D366),ISBLANK(E366)),"Missing Value",
  D366&lt;=0,"Review – Out of Range (Coverage)",
  E366&lt;=0,"Review – Out of Range (Premium)",
  TRUE,"OK"
)</f>
        <v>OK</v>
      </c>
    </row>
    <row r="367" spans="1:10" ht="16.8" x14ac:dyDescent="0.3">
      <c r="A367" s="14" t="s">
        <v>3940</v>
      </c>
      <c r="B367" s="14" t="s">
        <v>2563</v>
      </c>
      <c r="C367" s="14" t="s">
        <v>3380</v>
      </c>
      <c r="D367" s="14">
        <v>524478.99</v>
      </c>
      <c r="E367" s="14">
        <v>22101.02</v>
      </c>
      <c r="F367" s="15">
        <v>45147</v>
      </c>
      <c r="G367" s="15">
        <v>45670</v>
      </c>
      <c r="H367" s="14" t="s">
        <v>3490</v>
      </c>
      <c r="I367" s="14" t="s">
        <v>3361</v>
      </c>
      <c r="J367" s="13" t="str" cm="1">
        <f t="array" ref="J367">_xlfn.IFS(
  OR(ISBLANK(A367),ISBLANK(B367),ISBLANK(H367),ISBLANK(D367),ISBLANK(E367)),"Missing Value",
  D367&lt;=0,"Review – Out of Range (Coverage)",
  E367&lt;=0,"Review – Out of Range (Premium)",
  TRUE,"OK"
)</f>
        <v>OK</v>
      </c>
    </row>
    <row r="368" spans="1:10" ht="16.8" x14ac:dyDescent="0.3">
      <c r="A368" s="11" t="s">
        <v>3941</v>
      </c>
      <c r="B368" s="11" t="s">
        <v>2935</v>
      </c>
      <c r="C368" s="11" t="s">
        <v>3359</v>
      </c>
      <c r="D368" s="11">
        <v>565186</v>
      </c>
      <c r="E368" s="11">
        <v>34376.83</v>
      </c>
      <c r="F368" s="12">
        <v>45288</v>
      </c>
      <c r="G368" s="12">
        <v>45588</v>
      </c>
      <c r="H368" s="11" t="s">
        <v>3540</v>
      </c>
      <c r="I368" s="11" t="s">
        <v>3361</v>
      </c>
      <c r="J368" s="13" t="str" cm="1">
        <f t="array" ref="J368">_xlfn.IFS(
  OR(ISBLANK(A368),ISBLANK(B368),ISBLANK(H368),ISBLANK(D368),ISBLANK(E368)),"Missing Value",
  D368&lt;=0,"Review – Out of Range (Coverage)",
  E368&lt;=0,"Review – Out of Range (Premium)",
  TRUE,"OK"
)</f>
        <v>OK</v>
      </c>
    </row>
    <row r="369" spans="1:10" ht="16.8" x14ac:dyDescent="0.3">
      <c r="A369" s="14" t="s">
        <v>3942</v>
      </c>
      <c r="B369" s="14" t="s">
        <v>1707</v>
      </c>
      <c r="C369" s="14" t="s">
        <v>3371</v>
      </c>
      <c r="D369" s="14">
        <v>886133.85</v>
      </c>
      <c r="E369" s="14">
        <v>44630.29</v>
      </c>
      <c r="F369" s="15">
        <v>45202</v>
      </c>
      <c r="G369" s="15">
        <v>45708</v>
      </c>
      <c r="H369" s="14" t="s">
        <v>3626</v>
      </c>
      <c r="I369" s="14" t="s">
        <v>3373</v>
      </c>
      <c r="J369" s="13" t="str" cm="1">
        <f t="array" ref="J369">_xlfn.IFS(
  OR(ISBLANK(A369),ISBLANK(B369),ISBLANK(H369),ISBLANK(D369),ISBLANK(E369)),"Missing Value",
  D369&lt;=0,"Review – Out of Range (Coverage)",
  E369&lt;=0,"Review – Out of Range (Premium)",
  TRUE,"OK"
)</f>
        <v>OK</v>
      </c>
    </row>
    <row r="370" spans="1:10" ht="16.8" x14ac:dyDescent="0.3">
      <c r="A370" s="11" t="s">
        <v>3943</v>
      </c>
      <c r="B370" s="11" t="s">
        <v>2815</v>
      </c>
      <c r="C370" s="11" t="s">
        <v>3380</v>
      </c>
      <c r="D370" s="11">
        <v>433901.09</v>
      </c>
      <c r="E370" s="11">
        <v>49373.49</v>
      </c>
      <c r="F370" s="12">
        <v>45103</v>
      </c>
      <c r="G370" s="12">
        <v>45529</v>
      </c>
      <c r="H370" s="11" t="s">
        <v>3658</v>
      </c>
      <c r="I370" s="11" t="s">
        <v>3373</v>
      </c>
      <c r="J370" s="13" t="str" cm="1">
        <f t="array" ref="J370">_xlfn.IFS(
  OR(ISBLANK(A370),ISBLANK(B370),ISBLANK(H370),ISBLANK(D370),ISBLANK(E370)),"Missing Value",
  D370&lt;=0,"Review – Out of Range (Coverage)",
  E370&lt;=0,"Review – Out of Range (Premium)",
  TRUE,"OK"
)</f>
        <v>OK</v>
      </c>
    </row>
    <row r="371" spans="1:10" ht="16.8" x14ac:dyDescent="0.3">
      <c r="A371" s="14" t="s">
        <v>3944</v>
      </c>
      <c r="B371" s="14" t="s">
        <v>3146</v>
      </c>
      <c r="C371" s="14" t="s">
        <v>3380</v>
      </c>
      <c r="D371" s="14">
        <v>931215.55</v>
      </c>
      <c r="E371" s="14">
        <v>45220.21</v>
      </c>
      <c r="F371" s="15">
        <v>45426</v>
      </c>
      <c r="G371" s="15">
        <v>45675</v>
      </c>
      <c r="H371" s="14" t="s">
        <v>3456</v>
      </c>
      <c r="I371" s="14" t="s">
        <v>3365</v>
      </c>
      <c r="J371" s="13" t="str" cm="1">
        <f t="array" ref="J371">_xlfn.IFS(
  OR(ISBLANK(A371),ISBLANK(B371),ISBLANK(H371),ISBLANK(D371),ISBLANK(E371)),"Missing Value",
  D371&lt;=0,"Review – Out of Range (Coverage)",
  E371&lt;=0,"Review – Out of Range (Premium)",
  TRUE,"OK"
)</f>
        <v>OK</v>
      </c>
    </row>
    <row r="372" spans="1:10" ht="16.8" x14ac:dyDescent="0.3">
      <c r="A372" s="11" t="s">
        <v>3945</v>
      </c>
      <c r="B372" s="11" t="s">
        <v>2681</v>
      </c>
      <c r="C372" s="11" t="s">
        <v>3380</v>
      </c>
      <c r="D372" s="11">
        <v>361881.66</v>
      </c>
      <c r="E372" s="11">
        <v>15518.2</v>
      </c>
      <c r="F372" s="12">
        <v>44487</v>
      </c>
      <c r="G372" s="12">
        <v>45298</v>
      </c>
      <c r="H372" s="11" t="s">
        <v>3454</v>
      </c>
      <c r="I372" s="11" t="s">
        <v>3365</v>
      </c>
      <c r="J372" s="13" t="str" cm="1">
        <f t="array" ref="J372">_xlfn.IFS(
  OR(ISBLANK(A372),ISBLANK(B372),ISBLANK(H372),ISBLANK(D372),ISBLANK(E372)),"Missing Value",
  D372&lt;=0,"Review – Out of Range (Coverage)",
  E372&lt;=0,"Review – Out of Range (Premium)",
  TRUE,"OK"
)</f>
        <v>OK</v>
      </c>
    </row>
    <row r="373" spans="1:10" ht="16.8" x14ac:dyDescent="0.3">
      <c r="A373" s="14" t="s">
        <v>3946</v>
      </c>
      <c r="B373" s="14" t="s">
        <v>817</v>
      </c>
      <c r="C373" s="14" t="s">
        <v>3380</v>
      </c>
      <c r="D373" s="14">
        <v>199601.4</v>
      </c>
      <c r="E373" s="14">
        <v>41403.660000000003</v>
      </c>
      <c r="F373" s="15">
        <v>45137</v>
      </c>
      <c r="G373" s="15">
        <v>45325</v>
      </c>
      <c r="H373" s="14" t="s">
        <v>3947</v>
      </c>
      <c r="I373" s="14" t="s">
        <v>3373</v>
      </c>
      <c r="J373" s="13" t="str" cm="1">
        <f t="array" ref="J373">_xlfn.IFS(
  OR(ISBLANK(A373),ISBLANK(B373),ISBLANK(H373),ISBLANK(D373),ISBLANK(E373)),"Missing Value",
  D373&lt;=0,"Review – Out of Range (Coverage)",
  E373&lt;=0,"Review – Out of Range (Premium)",
  TRUE,"OK"
)</f>
        <v>OK</v>
      </c>
    </row>
    <row r="374" spans="1:10" ht="16.8" x14ac:dyDescent="0.3">
      <c r="A374" s="11" t="s">
        <v>3948</v>
      </c>
      <c r="B374" s="11" t="s">
        <v>849</v>
      </c>
      <c r="C374" s="11" t="s">
        <v>3377</v>
      </c>
      <c r="D374" s="11">
        <v>103919.9</v>
      </c>
      <c r="E374" s="11">
        <v>44098.239999999998</v>
      </c>
      <c r="F374" s="12">
        <v>45218</v>
      </c>
      <c r="G374" s="12">
        <v>45690</v>
      </c>
      <c r="H374" s="11" t="s">
        <v>3562</v>
      </c>
      <c r="I374" s="11" t="s">
        <v>3365</v>
      </c>
      <c r="J374" s="13" t="str" cm="1">
        <f t="array" ref="J374">_xlfn.IFS(
  OR(ISBLANK(A374),ISBLANK(B374),ISBLANK(H374),ISBLANK(D374),ISBLANK(E374)),"Missing Value",
  D374&lt;=0,"Review – Out of Range (Coverage)",
  E374&lt;=0,"Review – Out of Range (Premium)",
  TRUE,"OK"
)</f>
        <v>OK</v>
      </c>
    </row>
    <row r="375" spans="1:10" ht="16.8" x14ac:dyDescent="0.3">
      <c r="A375" s="14" t="s">
        <v>3949</v>
      </c>
      <c r="B375" s="14" t="s">
        <v>1613</v>
      </c>
      <c r="C375" s="14" t="s">
        <v>3359</v>
      </c>
      <c r="D375" s="14">
        <v>553145.55000000005</v>
      </c>
      <c r="E375" s="14">
        <v>4653.6400000000003</v>
      </c>
      <c r="F375" s="15">
        <v>45435</v>
      </c>
      <c r="G375" s="15">
        <v>45535</v>
      </c>
      <c r="H375" s="14" t="s">
        <v>3781</v>
      </c>
      <c r="I375" s="14" t="s">
        <v>3373</v>
      </c>
      <c r="J375" s="13" t="str" cm="1">
        <f t="array" ref="J375">_xlfn.IFS(
  OR(ISBLANK(A375),ISBLANK(B375),ISBLANK(H375),ISBLANK(D375),ISBLANK(E375)),"Missing Value",
  D375&lt;=0,"Review – Out of Range (Coverage)",
  E375&lt;=0,"Review – Out of Range (Premium)",
  TRUE,"OK"
)</f>
        <v>OK</v>
      </c>
    </row>
    <row r="376" spans="1:10" ht="16.8" x14ac:dyDescent="0.3">
      <c r="A376" s="11" t="s">
        <v>3950</v>
      </c>
      <c r="B376" s="11" t="s">
        <v>881</v>
      </c>
      <c r="C376" s="11" t="s">
        <v>3371</v>
      </c>
      <c r="D376" s="11">
        <v>978965.58</v>
      </c>
      <c r="E376" s="11">
        <v>21689.57</v>
      </c>
      <c r="F376" s="12">
        <v>44680</v>
      </c>
      <c r="G376" s="12">
        <v>45343</v>
      </c>
      <c r="H376" s="11" t="s">
        <v>3360</v>
      </c>
      <c r="I376" s="11" t="s">
        <v>3365</v>
      </c>
      <c r="J376" s="13" t="str" cm="1">
        <f t="array" ref="J376">_xlfn.IFS(
  OR(ISBLANK(A376),ISBLANK(B376),ISBLANK(H376),ISBLANK(D376),ISBLANK(E376)),"Missing Value",
  D376&lt;=0,"Review – Out of Range (Coverage)",
  E376&lt;=0,"Review – Out of Range (Premium)",
  TRUE,"OK"
)</f>
        <v>OK</v>
      </c>
    </row>
    <row r="377" spans="1:10" ht="16.8" x14ac:dyDescent="0.3">
      <c r="A377" s="14" t="s">
        <v>3951</v>
      </c>
      <c r="B377" s="14" t="s">
        <v>2161</v>
      </c>
      <c r="C377" s="14" t="s">
        <v>3371</v>
      </c>
      <c r="D377" s="14">
        <v>226292.91</v>
      </c>
      <c r="E377" s="14">
        <v>6036.6</v>
      </c>
      <c r="F377" s="15">
        <v>44896</v>
      </c>
      <c r="G377" s="15">
        <v>45750</v>
      </c>
      <c r="H377" s="14" t="s">
        <v>3750</v>
      </c>
      <c r="I377" s="14" t="s">
        <v>3365</v>
      </c>
      <c r="J377" s="13" t="str" cm="1">
        <f t="array" ref="J377">_xlfn.IFS(
  OR(ISBLANK(A377),ISBLANK(B377),ISBLANK(H377),ISBLANK(D377),ISBLANK(E377)),"Missing Value",
  D377&lt;=0,"Review – Out of Range (Coverage)",
  E377&lt;=0,"Review – Out of Range (Premium)",
  TRUE,"OK"
)</f>
        <v>OK</v>
      </c>
    </row>
    <row r="378" spans="1:10" ht="16.8" x14ac:dyDescent="0.3">
      <c r="A378" s="11" t="s">
        <v>3952</v>
      </c>
      <c r="B378" s="11" t="s">
        <v>1609</v>
      </c>
      <c r="C378" s="11" t="s">
        <v>3371</v>
      </c>
      <c r="D378" s="11">
        <v>277399.42</v>
      </c>
      <c r="E378" s="11">
        <v>39352.49</v>
      </c>
      <c r="F378" s="12">
        <v>45435</v>
      </c>
      <c r="G378" s="12">
        <v>45610</v>
      </c>
      <c r="H378" s="11" t="s">
        <v>3746</v>
      </c>
      <c r="I378" s="11" t="s">
        <v>3373</v>
      </c>
      <c r="J378" s="13" t="str" cm="1">
        <f t="array" ref="J378">_xlfn.IFS(
  OR(ISBLANK(A378),ISBLANK(B378),ISBLANK(H378),ISBLANK(D378),ISBLANK(E378)),"Missing Value",
  D378&lt;=0,"Review – Out of Range (Coverage)",
  E378&lt;=0,"Review – Out of Range (Premium)",
  TRUE,"OK"
)</f>
        <v>OK</v>
      </c>
    </row>
    <row r="379" spans="1:10" ht="16.8" x14ac:dyDescent="0.3">
      <c r="A379" s="14" t="s">
        <v>3953</v>
      </c>
      <c r="B379" s="14" t="s">
        <v>571</v>
      </c>
      <c r="C379" s="14" t="s">
        <v>3359</v>
      </c>
      <c r="D379" s="14">
        <v>161871.9</v>
      </c>
      <c r="E379" s="14">
        <v>30508.27</v>
      </c>
      <c r="F379" s="15">
        <v>44757</v>
      </c>
      <c r="G379" s="15">
        <v>45651</v>
      </c>
      <c r="H379" s="14" t="s">
        <v>3444</v>
      </c>
      <c r="I379" s="14" t="s">
        <v>3361</v>
      </c>
      <c r="J379" s="13" t="str" cm="1">
        <f t="array" ref="J379">_xlfn.IFS(
  OR(ISBLANK(A379),ISBLANK(B379),ISBLANK(H379),ISBLANK(D379),ISBLANK(E379)),"Missing Value",
  D379&lt;=0,"Review – Out of Range (Coverage)",
  E379&lt;=0,"Review – Out of Range (Premium)",
  TRUE,"OK"
)</f>
        <v>OK</v>
      </c>
    </row>
    <row r="380" spans="1:10" ht="16.8" x14ac:dyDescent="0.3">
      <c r="A380" s="11" t="s">
        <v>3954</v>
      </c>
      <c r="B380" s="11" t="s">
        <v>703</v>
      </c>
      <c r="C380" s="11" t="s">
        <v>3377</v>
      </c>
      <c r="D380" s="11">
        <v>475855.1</v>
      </c>
      <c r="E380" s="11">
        <v>45595.06</v>
      </c>
      <c r="F380" s="12">
        <v>44410</v>
      </c>
      <c r="G380" s="12">
        <v>45152</v>
      </c>
      <c r="H380" s="11" t="s">
        <v>3955</v>
      </c>
      <c r="I380" s="11" t="s">
        <v>3361</v>
      </c>
      <c r="J380" s="13" t="str" cm="1">
        <f t="array" ref="J380">_xlfn.IFS(
  OR(ISBLANK(A380),ISBLANK(B380),ISBLANK(H380),ISBLANK(D380),ISBLANK(E380)),"Missing Value",
  D380&lt;=0,"Review – Out of Range (Coverage)",
  E380&lt;=0,"Review – Out of Range (Premium)",
  TRUE,"OK"
)</f>
        <v>OK</v>
      </c>
    </row>
    <row r="381" spans="1:10" ht="16.8" x14ac:dyDescent="0.3">
      <c r="A381" s="14" t="s">
        <v>3956</v>
      </c>
      <c r="B381" s="14" t="s">
        <v>711</v>
      </c>
      <c r="C381" s="14" t="s">
        <v>3363</v>
      </c>
      <c r="D381" s="14">
        <v>175864.36</v>
      </c>
      <c r="E381" s="14">
        <v>22048.97</v>
      </c>
      <c r="F381" s="15">
        <v>44792</v>
      </c>
      <c r="G381" s="15">
        <v>45665</v>
      </c>
      <c r="H381" s="14" t="s">
        <v>3451</v>
      </c>
      <c r="I381" s="14" t="s">
        <v>3361</v>
      </c>
      <c r="J381" s="13" t="str" cm="1">
        <f t="array" ref="J381">_xlfn.IFS(
  OR(ISBLANK(A381),ISBLANK(B381),ISBLANK(H381),ISBLANK(D381),ISBLANK(E381)),"Missing Value",
  D381&lt;=0,"Review – Out of Range (Coverage)",
  E381&lt;=0,"Review – Out of Range (Premium)",
  TRUE,"OK"
)</f>
        <v>OK</v>
      </c>
    </row>
    <row r="382" spans="1:10" ht="16.8" x14ac:dyDescent="0.3">
      <c r="A382" s="11" t="s">
        <v>3957</v>
      </c>
      <c r="B382" s="11" t="s">
        <v>715</v>
      </c>
      <c r="C382" s="11" t="s">
        <v>3380</v>
      </c>
      <c r="D382" s="11">
        <v>197394.31</v>
      </c>
      <c r="E382" s="11">
        <v>39797.019999999997</v>
      </c>
      <c r="F382" s="12">
        <v>44809</v>
      </c>
      <c r="G382" s="12">
        <v>45621</v>
      </c>
      <c r="H382" s="11" t="s">
        <v>3562</v>
      </c>
      <c r="I382" s="11" t="s">
        <v>3373</v>
      </c>
      <c r="J382" s="13" t="str" cm="1">
        <f t="array" ref="J382">_xlfn.IFS(
  OR(ISBLANK(A382),ISBLANK(B382),ISBLANK(H382),ISBLANK(D382),ISBLANK(E382)),"Missing Value",
  D382&lt;=0,"Review – Out of Range (Coverage)",
  E382&lt;=0,"Review – Out of Range (Premium)",
  TRUE,"OK"
)</f>
        <v>OK</v>
      </c>
    </row>
    <row r="383" spans="1:10" ht="16.8" x14ac:dyDescent="0.3">
      <c r="A383" s="14" t="s">
        <v>3958</v>
      </c>
      <c r="B383" s="14" t="s">
        <v>412</v>
      </c>
      <c r="C383" s="14" t="s">
        <v>3380</v>
      </c>
      <c r="D383" s="14">
        <v>601401.28</v>
      </c>
      <c r="E383" s="14">
        <v>15356.93</v>
      </c>
      <c r="F383" s="15">
        <v>45043</v>
      </c>
      <c r="G383" s="15">
        <v>45165</v>
      </c>
      <c r="H383" s="14" t="s">
        <v>3660</v>
      </c>
      <c r="I383" s="14" t="s">
        <v>3361</v>
      </c>
      <c r="J383" s="13" t="str" cm="1">
        <f t="array" ref="J383">_xlfn.IFS(
  OR(ISBLANK(A383),ISBLANK(B383),ISBLANK(H383),ISBLANK(D383),ISBLANK(E383)),"Missing Value",
  D383&lt;=0,"Review – Out of Range (Coverage)",
  E383&lt;=0,"Review – Out of Range (Premium)",
  TRUE,"OK"
)</f>
        <v>OK</v>
      </c>
    </row>
    <row r="384" spans="1:10" ht="16.8" x14ac:dyDescent="0.3">
      <c r="A384" s="11" t="s">
        <v>3959</v>
      </c>
      <c r="B384" s="11" t="s">
        <v>2455</v>
      </c>
      <c r="C384" s="11" t="s">
        <v>3363</v>
      </c>
      <c r="D384" s="11">
        <v>286285.31</v>
      </c>
      <c r="E384" s="11">
        <v>34225.910000000003</v>
      </c>
      <c r="F384" s="12">
        <v>45338</v>
      </c>
      <c r="G384" s="12">
        <v>45531</v>
      </c>
      <c r="H384" s="11" t="s">
        <v>3522</v>
      </c>
      <c r="I384" s="11" t="s">
        <v>3361</v>
      </c>
      <c r="J384" s="13" t="str" cm="1">
        <f t="array" ref="J384">_xlfn.IFS(
  OR(ISBLANK(A384),ISBLANK(B384),ISBLANK(H384),ISBLANK(D384),ISBLANK(E384)),"Missing Value",
  D384&lt;=0,"Review – Out of Range (Coverage)",
  E384&lt;=0,"Review – Out of Range (Premium)",
  TRUE,"OK"
)</f>
        <v>OK</v>
      </c>
    </row>
    <row r="385" spans="1:10" ht="16.8" x14ac:dyDescent="0.3">
      <c r="A385" s="14" t="s">
        <v>3960</v>
      </c>
      <c r="B385" s="14" t="s">
        <v>2183</v>
      </c>
      <c r="C385" s="14" t="s">
        <v>3380</v>
      </c>
      <c r="D385" s="14">
        <v>380171.6</v>
      </c>
      <c r="E385" s="14">
        <v>12459.63</v>
      </c>
      <c r="F385" s="15">
        <v>45006</v>
      </c>
      <c r="G385" s="15">
        <v>45574</v>
      </c>
      <c r="H385" s="14" t="s">
        <v>3707</v>
      </c>
      <c r="I385" s="14" t="s">
        <v>3361</v>
      </c>
      <c r="J385" s="13" t="str" cm="1">
        <f t="array" ref="J385">_xlfn.IFS(
  OR(ISBLANK(A385),ISBLANK(B385),ISBLANK(H385),ISBLANK(D385),ISBLANK(E385)),"Missing Value",
  D385&lt;=0,"Review – Out of Range (Coverage)",
  E385&lt;=0,"Review – Out of Range (Premium)",
  TRUE,"OK"
)</f>
        <v>OK</v>
      </c>
    </row>
    <row r="386" spans="1:10" ht="16.8" x14ac:dyDescent="0.3">
      <c r="A386" s="11" t="s">
        <v>3961</v>
      </c>
      <c r="B386" s="11" t="s">
        <v>2049</v>
      </c>
      <c r="C386" s="11" t="s">
        <v>3371</v>
      </c>
      <c r="D386" s="11">
        <v>694705.87</v>
      </c>
      <c r="E386" s="11">
        <v>21288.92</v>
      </c>
      <c r="F386" s="12">
        <v>45006</v>
      </c>
      <c r="G386" s="12">
        <v>45754</v>
      </c>
      <c r="H386" s="11" t="s">
        <v>3503</v>
      </c>
      <c r="I386" s="11" t="s">
        <v>3365</v>
      </c>
      <c r="J386" s="13" t="str" cm="1">
        <f t="array" ref="J386">_xlfn.IFS(
  OR(ISBLANK(A386),ISBLANK(B386),ISBLANK(H386),ISBLANK(D386),ISBLANK(E386)),"Missing Value",
  D386&lt;=0,"Review – Out of Range (Coverage)",
  E386&lt;=0,"Review – Out of Range (Premium)",
  TRUE,"OK"
)</f>
        <v>OK</v>
      </c>
    </row>
    <row r="387" spans="1:10" ht="16.8" x14ac:dyDescent="0.3">
      <c r="A387" s="14" t="s">
        <v>3962</v>
      </c>
      <c r="B387" s="14" t="s">
        <v>2023</v>
      </c>
      <c r="C387" s="14" t="s">
        <v>3377</v>
      </c>
      <c r="D387" s="14">
        <v>161927.15</v>
      </c>
      <c r="E387" s="14">
        <v>3455.6</v>
      </c>
      <c r="F387" s="15">
        <v>45084</v>
      </c>
      <c r="G387" s="15">
        <v>45786</v>
      </c>
      <c r="H387" s="14" t="s">
        <v>3517</v>
      </c>
      <c r="I387" s="14" t="s">
        <v>3373</v>
      </c>
      <c r="J387" s="13" t="str" cm="1">
        <f t="array" ref="J387">_xlfn.IFS(
  OR(ISBLANK(A387),ISBLANK(B387),ISBLANK(H387),ISBLANK(D387),ISBLANK(E387)),"Missing Value",
  D387&lt;=0,"Review – Out of Range (Coverage)",
  E387&lt;=0,"Review – Out of Range (Premium)",
  TRUE,"OK"
)</f>
        <v>OK</v>
      </c>
    </row>
    <row r="388" spans="1:10" ht="16.8" x14ac:dyDescent="0.3">
      <c r="A388" s="11" t="s">
        <v>3963</v>
      </c>
      <c r="B388" s="11" t="s">
        <v>2991</v>
      </c>
      <c r="C388" s="11" t="s">
        <v>3359</v>
      </c>
      <c r="D388" s="11">
        <v>104654.98</v>
      </c>
      <c r="E388" s="11">
        <v>17578.330000000002</v>
      </c>
      <c r="F388" s="12">
        <v>45147</v>
      </c>
      <c r="G388" s="12">
        <v>45226</v>
      </c>
      <c r="H388" s="11" t="s">
        <v>3964</v>
      </c>
      <c r="I388" s="11" t="s">
        <v>3365</v>
      </c>
      <c r="J388" s="13" t="str" cm="1">
        <f t="array" ref="J388">_xlfn.IFS(
  OR(ISBLANK(A388),ISBLANK(B388),ISBLANK(H388),ISBLANK(D388),ISBLANK(E388)),"Missing Value",
  D388&lt;=0,"Review – Out of Range (Coverage)",
  E388&lt;=0,"Review – Out of Range (Premium)",
  TRUE,"OK"
)</f>
        <v>OK</v>
      </c>
    </row>
    <row r="389" spans="1:10" ht="16.8" x14ac:dyDescent="0.3">
      <c r="A389" s="14" t="s">
        <v>3965</v>
      </c>
      <c r="B389" s="14" t="s">
        <v>1427</v>
      </c>
      <c r="C389" s="14" t="s">
        <v>3377</v>
      </c>
      <c r="D389" s="14">
        <v>708037.9</v>
      </c>
      <c r="E389" s="14">
        <v>29656.79</v>
      </c>
      <c r="F389" s="15">
        <v>44343</v>
      </c>
      <c r="G389" s="15">
        <v>45007</v>
      </c>
      <c r="H389" s="14" t="s">
        <v>3505</v>
      </c>
      <c r="I389" s="14" t="s">
        <v>3373</v>
      </c>
      <c r="J389" s="13" t="str" cm="1">
        <f t="array" ref="J389">_xlfn.IFS(
  OR(ISBLANK(A389),ISBLANK(B389),ISBLANK(H389),ISBLANK(D389),ISBLANK(E389)),"Missing Value",
  D389&lt;=0,"Review – Out of Range (Coverage)",
  E389&lt;=0,"Review – Out of Range (Premium)",
  TRUE,"OK"
)</f>
        <v>OK</v>
      </c>
    </row>
    <row r="390" spans="1:10" ht="16.8" x14ac:dyDescent="0.3">
      <c r="A390" s="11" t="s">
        <v>3966</v>
      </c>
      <c r="B390" s="11" t="s">
        <v>1339</v>
      </c>
      <c r="C390" s="11" t="s">
        <v>3363</v>
      </c>
      <c r="D390" s="11">
        <v>868089.89</v>
      </c>
      <c r="E390" s="11">
        <v>28391.54</v>
      </c>
      <c r="F390" s="12">
        <v>44782</v>
      </c>
      <c r="G390" s="12">
        <v>45152</v>
      </c>
      <c r="H390" s="11" t="s">
        <v>3553</v>
      </c>
      <c r="I390" s="11" t="s">
        <v>3361</v>
      </c>
      <c r="J390" s="13" t="str" cm="1">
        <f t="array" ref="J390">_xlfn.IFS(
  OR(ISBLANK(A390),ISBLANK(B390),ISBLANK(H390),ISBLANK(D390),ISBLANK(E390)),"Missing Value",
  D390&lt;=0,"Review – Out of Range (Coverage)",
  E390&lt;=0,"Review – Out of Range (Premium)",
  TRUE,"OK"
)</f>
        <v>OK</v>
      </c>
    </row>
    <row r="391" spans="1:10" ht="16.8" x14ac:dyDescent="0.3">
      <c r="A391" s="14" t="s">
        <v>3967</v>
      </c>
      <c r="B391" s="14" t="s">
        <v>2805</v>
      </c>
      <c r="C391" s="14" t="s">
        <v>3359</v>
      </c>
      <c r="D391" s="14">
        <v>551849.59</v>
      </c>
      <c r="E391" s="14">
        <v>7833.63</v>
      </c>
      <c r="F391" s="15">
        <v>44818</v>
      </c>
      <c r="G391" s="15">
        <v>45129</v>
      </c>
      <c r="H391" s="14" t="s">
        <v>3968</v>
      </c>
      <c r="I391" s="14" t="s">
        <v>3365</v>
      </c>
      <c r="J391" s="13" t="str" cm="1">
        <f t="array" ref="J391">_xlfn.IFS(
  OR(ISBLANK(A391),ISBLANK(B391),ISBLANK(H391),ISBLANK(D391),ISBLANK(E391)),"Missing Value",
  D391&lt;=0,"Review – Out of Range (Coverage)",
  E391&lt;=0,"Review – Out of Range (Premium)",
  TRUE,"OK"
)</f>
        <v>OK</v>
      </c>
    </row>
    <row r="392" spans="1:10" ht="16.8" x14ac:dyDescent="0.3">
      <c r="A392" s="11" t="s">
        <v>3969</v>
      </c>
      <c r="B392" s="11" t="s">
        <v>857</v>
      </c>
      <c r="C392" s="11" t="s">
        <v>3363</v>
      </c>
      <c r="D392" s="11">
        <v>870988</v>
      </c>
      <c r="E392" s="11">
        <v>10469.780000000001</v>
      </c>
      <c r="F392" s="12">
        <v>45413</v>
      </c>
      <c r="G392" s="12">
        <v>45603</v>
      </c>
      <c r="H392" s="11" t="s">
        <v>3830</v>
      </c>
      <c r="I392" s="11" t="s">
        <v>3365</v>
      </c>
      <c r="J392" s="13" t="str" cm="1">
        <f t="array" ref="J392">_xlfn.IFS(
  OR(ISBLANK(A392),ISBLANK(B392),ISBLANK(H392),ISBLANK(D392),ISBLANK(E392)),"Missing Value",
  D392&lt;=0,"Review – Out of Range (Coverage)",
  E392&lt;=0,"Review – Out of Range (Premium)",
  TRUE,"OK"
)</f>
        <v>OK</v>
      </c>
    </row>
    <row r="393" spans="1:10" ht="16.8" x14ac:dyDescent="0.3">
      <c r="A393" s="14" t="s">
        <v>3970</v>
      </c>
      <c r="B393" s="14" t="s">
        <v>1743</v>
      </c>
      <c r="C393" s="14" t="s">
        <v>3371</v>
      </c>
      <c r="D393" s="14">
        <v>927464.21</v>
      </c>
      <c r="E393" s="14">
        <v>45815.42</v>
      </c>
      <c r="F393" s="15">
        <v>45361</v>
      </c>
      <c r="G393" s="15">
        <v>45682</v>
      </c>
      <c r="H393" s="14" t="s">
        <v>3838</v>
      </c>
      <c r="I393" s="14" t="s">
        <v>3365</v>
      </c>
      <c r="J393" s="13" t="str" cm="1">
        <f t="array" ref="J393">_xlfn.IFS(
  OR(ISBLANK(A393),ISBLANK(B393),ISBLANK(H393),ISBLANK(D393),ISBLANK(E393)),"Missing Value",
  D393&lt;=0,"Review – Out of Range (Coverage)",
  E393&lt;=0,"Review – Out of Range (Premium)",
  TRUE,"OK"
)</f>
        <v>OK</v>
      </c>
    </row>
    <row r="394" spans="1:10" ht="16.8" x14ac:dyDescent="0.3">
      <c r="A394" s="11" t="s">
        <v>3971</v>
      </c>
      <c r="B394" s="11" t="s">
        <v>1395</v>
      </c>
      <c r="C394" s="11" t="s">
        <v>3380</v>
      </c>
      <c r="D394" s="11">
        <v>783113.31</v>
      </c>
      <c r="E394" s="11">
        <v>14101.8</v>
      </c>
      <c r="F394" s="12">
        <v>44620</v>
      </c>
      <c r="G394" s="12">
        <v>45022</v>
      </c>
      <c r="H394" s="11" t="s">
        <v>3898</v>
      </c>
      <c r="I394" s="11" t="s">
        <v>3361</v>
      </c>
      <c r="J394" s="13" t="str" cm="1">
        <f t="array" ref="J394">_xlfn.IFS(
  OR(ISBLANK(A394),ISBLANK(B394),ISBLANK(H394),ISBLANK(D394),ISBLANK(E394)),"Missing Value",
  D394&lt;=0,"Review – Out of Range (Coverage)",
  E394&lt;=0,"Review – Out of Range (Premium)",
  TRUE,"OK"
)</f>
        <v>OK</v>
      </c>
    </row>
    <row r="395" spans="1:10" ht="16.8" x14ac:dyDescent="0.3">
      <c r="A395" s="14" t="s">
        <v>3972</v>
      </c>
      <c r="B395" s="14" t="s">
        <v>178</v>
      </c>
      <c r="C395" s="14" t="s">
        <v>3377</v>
      </c>
      <c r="D395" s="14">
        <v>961071.2</v>
      </c>
      <c r="E395" s="14">
        <v>29245.96</v>
      </c>
      <c r="F395" s="15">
        <v>44842</v>
      </c>
      <c r="G395" s="15">
        <v>45332</v>
      </c>
      <c r="H395" s="14" t="s">
        <v>3881</v>
      </c>
      <c r="I395" s="14" t="s">
        <v>3361</v>
      </c>
      <c r="J395" s="13" t="str" cm="1">
        <f t="array" ref="J395">_xlfn.IFS(
  OR(ISBLANK(A395),ISBLANK(B395),ISBLANK(H395),ISBLANK(D395),ISBLANK(E395)),"Missing Value",
  D395&lt;=0,"Review – Out of Range (Coverage)",
  E395&lt;=0,"Review – Out of Range (Premium)",
  TRUE,"OK"
)</f>
        <v>OK</v>
      </c>
    </row>
    <row r="396" spans="1:10" ht="16.8" x14ac:dyDescent="0.3">
      <c r="A396" s="11" t="s">
        <v>3973</v>
      </c>
      <c r="B396" s="11" t="s">
        <v>1909</v>
      </c>
      <c r="C396" s="11" t="s">
        <v>3359</v>
      </c>
      <c r="D396" s="11">
        <v>241720.42</v>
      </c>
      <c r="E396" s="11">
        <v>29049.61</v>
      </c>
      <c r="F396" s="12">
        <v>44429</v>
      </c>
      <c r="G396" s="12">
        <v>44831</v>
      </c>
      <c r="H396" s="11" t="s">
        <v>3974</v>
      </c>
      <c r="I396" s="11" t="s">
        <v>3373</v>
      </c>
      <c r="J396" s="13" t="str" cm="1">
        <f t="array" ref="J396">_xlfn.IFS(
  OR(ISBLANK(A396),ISBLANK(B396),ISBLANK(H396),ISBLANK(D396),ISBLANK(E396)),"Missing Value",
  D396&lt;=0,"Review – Out of Range (Coverage)",
  E396&lt;=0,"Review – Out of Range (Premium)",
  TRUE,"OK"
)</f>
        <v>OK</v>
      </c>
    </row>
    <row r="397" spans="1:10" ht="16.8" x14ac:dyDescent="0.3">
      <c r="A397" s="14" t="s">
        <v>3975</v>
      </c>
      <c r="B397" s="14" t="s">
        <v>378</v>
      </c>
      <c r="C397" s="14" t="s">
        <v>3377</v>
      </c>
      <c r="D397" s="14">
        <v>596746.51</v>
      </c>
      <c r="E397" s="14">
        <v>29063.59</v>
      </c>
      <c r="F397" s="15">
        <v>44526</v>
      </c>
      <c r="G397" s="15">
        <v>44632</v>
      </c>
      <c r="H397" s="14" t="s">
        <v>3976</v>
      </c>
      <c r="I397" s="14" t="s">
        <v>3373</v>
      </c>
      <c r="J397" s="13" t="str" cm="1">
        <f t="array" ref="J397">_xlfn.IFS(
  OR(ISBLANK(A397),ISBLANK(B397),ISBLANK(H397),ISBLANK(D397),ISBLANK(E397)),"Missing Value",
  D397&lt;=0,"Review – Out of Range (Coverage)",
  E397&lt;=0,"Review – Out of Range (Premium)",
  TRUE,"OK"
)</f>
        <v>OK</v>
      </c>
    </row>
    <row r="398" spans="1:10" ht="16.8" x14ac:dyDescent="0.3">
      <c r="A398" s="11" t="s">
        <v>3977</v>
      </c>
      <c r="B398" s="11" t="s">
        <v>2949</v>
      </c>
      <c r="C398" s="11" t="s">
        <v>3380</v>
      </c>
      <c r="D398" s="11">
        <v>521141.18</v>
      </c>
      <c r="E398" s="11">
        <v>48757.4</v>
      </c>
      <c r="F398" s="12">
        <v>44559</v>
      </c>
      <c r="G398" s="12">
        <v>44820</v>
      </c>
      <c r="H398" s="11" t="s">
        <v>3789</v>
      </c>
      <c r="I398" s="11" t="s">
        <v>3361</v>
      </c>
      <c r="J398" s="13" t="str" cm="1">
        <f t="array" ref="J398">_xlfn.IFS(
  OR(ISBLANK(A398),ISBLANK(B398),ISBLANK(H398),ISBLANK(D398),ISBLANK(E398)),"Missing Value",
  D398&lt;=0,"Review – Out of Range (Coverage)",
  E398&lt;=0,"Review – Out of Range (Premium)",
  TRUE,"OK"
)</f>
        <v>OK</v>
      </c>
    </row>
    <row r="399" spans="1:10" ht="16.8" x14ac:dyDescent="0.3">
      <c r="A399" s="14" t="s">
        <v>3978</v>
      </c>
      <c r="B399" s="14" t="s">
        <v>1433</v>
      </c>
      <c r="C399" s="14" t="s">
        <v>3363</v>
      </c>
      <c r="D399" s="14">
        <v>697377.68</v>
      </c>
      <c r="E399" s="14">
        <v>18021.919999999998</v>
      </c>
      <c r="F399" s="15">
        <v>45406</v>
      </c>
      <c r="G399" s="15">
        <v>45553</v>
      </c>
      <c r="H399" s="14" t="s">
        <v>3477</v>
      </c>
      <c r="I399" s="14" t="s">
        <v>3373</v>
      </c>
      <c r="J399" s="13" t="str" cm="1">
        <f t="array" ref="J399">_xlfn.IFS(
  OR(ISBLANK(A399),ISBLANK(B399),ISBLANK(H399),ISBLANK(D399),ISBLANK(E399)),"Missing Value",
  D399&lt;=0,"Review – Out of Range (Coverage)",
  E399&lt;=0,"Review – Out of Range (Premium)",
  TRUE,"OK"
)</f>
        <v>OK</v>
      </c>
    </row>
    <row r="400" spans="1:10" ht="16.8" x14ac:dyDescent="0.3">
      <c r="A400" s="11" t="s">
        <v>3979</v>
      </c>
      <c r="B400" s="11" t="s">
        <v>1315</v>
      </c>
      <c r="C400" s="11" t="s">
        <v>3363</v>
      </c>
      <c r="D400" s="11">
        <v>325803.81</v>
      </c>
      <c r="E400" s="11">
        <v>28187.19</v>
      </c>
      <c r="F400" s="12">
        <v>45386</v>
      </c>
      <c r="G400" s="12">
        <v>45720</v>
      </c>
      <c r="H400" s="11" t="s">
        <v>3841</v>
      </c>
      <c r="I400" s="11" t="s">
        <v>3373</v>
      </c>
      <c r="J400" s="13" t="str" cm="1">
        <f t="array" ref="J400">_xlfn.IFS(
  OR(ISBLANK(A400),ISBLANK(B400),ISBLANK(H400),ISBLANK(D400),ISBLANK(E400)),"Missing Value",
  D400&lt;=0,"Review – Out of Range (Coverage)",
  E400&lt;=0,"Review – Out of Range (Premium)",
  TRUE,"OK"
)</f>
        <v>OK</v>
      </c>
    </row>
    <row r="401" spans="1:10" ht="16.8" x14ac:dyDescent="0.3">
      <c r="A401" s="14" t="s">
        <v>3980</v>
      </c>
      <c r="B401" s="14" t="s">
        <v>1977</v>
      </c>
      <c r="C401" s="14" t="s">
        <v>3371</v>
      </c>
      <c r="D401" s="14">
        <v>911960.16</v>
      </c>
      <c r="E401" s="14">
        <v>8969.18</v>
      </c>
      <c r="F401" s="15">
        <v>45449</v>
      </c>
      <c r="G401" s="15">
        <v>45475</v>
      </c>
      <c r="H401" s="14" t="s">
        <v>3526</v>
      </c>
      <c r="I401" s="14" t="s">
        <v>3361</v>
      </c>
      <c r="J401" s="13" t="str" cm="1">
        <f t="array" ref="J401">_xlfn.IFS(
  OR(ISBLANK(A401),ISBLANK(B401),ISBLANK(H401),ISBLANK(D401),ISBLANK(E401)),"Missing Value",
  D401&lt;=0,"Review – Out of Range (Coverage)",
  E401&lt;=0,"Review – Out of Range (Premium)",
  TRUE,"OK"
)</f>
        <v>OK</v>
      </c>
    </row>
    <row r="402" spans="1:10" ht="16.8" x14ac:dyDescent="0.3">
      <c r="A402" s="11" t="s">
        <v>3981</v>
      </c>
      <c r="B402" s="11" t="s">
        <v>1311</v>
      </c>
      <c r="C402" s="11" t="s">
        <v>3359</v>
      </c>
      <c r="D402" s="11">
        <v>932133.11</v>
      </c>
      <c r="E402" s="11">
        <v>22202.28</v>
      </c>
      <c r="F402" s="12">
        <v>44600</v>
      </c>
      <c r="G402" s="12">
        <v>45721</v>
      </c>
      <c r="H402" s="11" t="s">
        <v>3982</v>
      </c>
      <c r="I402" s="11" t="s">
        <v>3365</v>
      </c>
      <c r="J402" s="13" t="str" cm="1">
        <f t="array" ref="J402">_xlfn.IFS(
  OR(ISBLANK(A402),ISBLANK(B402),ISBLANK(H402),ISBLANK(D402),ISBLANK(E402)),"Missing Value",
  D402&lt;=0,"Review – Out of Range (Coverage)",
  E402&lt;=0,"Review – Out of Range (Premium)",
  TRUE,"OK"
)</f>
        <v>OK</v>
      </c>
    </row>
    <row r="403" spans="1:10" ht="16.8" x14ac:dyDescent="0.3">
      <c r="A403" s="14" t="s">
        <v>3983</v>
      </c>
      <c r="B403" s="14" t="s">
        <v>2559</v>
      </c>
      <c r="C403" s="14" t="s">
        <v>3363</v>
      </c>
      <c r="D403" s="14">
        <v>962374.56</v>
      </c>
      <c r="E403" s="14">
        <v>30930.15</v>
      </c>
      <c r="F403" s="15">
        <v>45393</v>
      </c>
      <c r="G403" s="15">
        <v>45594</v>
      </c>
      <c r="H403" s="14" t="s">
        <v>3792</v>
      </c>
      <c r="I403" s="14" t="s">
        <v>3361</v>
      </c>
      <c r="J403" s="13" t="str" cm="1">
        <f t="array" ref="J403">_xlfn.IFS(
  OR(ISBLANK(A403),ISBLANK(B403),ISBLANK(H403),ISBLANK(D403),ISBLANK(E403)),"Missing Value",
  D403&lt;=0,"Review – Out of Range (Coverage)",
  E403&lt;=0,"Review – Out of Range (Premium)",
  TRUE,"OK"
)</f>
        <v>OK</v>
      </c>
    </row>
    <row r="404" spans="1:10" ht="16.8" x14ac:dyDescent="0.3">
      <c r="A404" s="11" t="s">
        <v>3984</v>
      </c>
      <c r="B404" s="11" t="s">
        <v>707</v>
      </c>
      <c r="C404" s="11" t="s">
        <v>3363</v>
      </c>
      <c r="D404" s="11">
        <v>866673.5</v>
      </c>
      <c r="E404" s="11">
        <v>17446.37</v>
      </c>
      <c r="F404" s="12">
        <v>45130</v>
      </c>
      <c r="G404" s="12">
        <v>45216</v>
      </c>
      <c r="H404" s="11" t="s">
        <v>3709</v>
      </c>
      <c r="I404" s="11" t="s">
        <v>3365</v>
      </c>
      <c r="J404" s="13" t="str" cm="1">
        <f t="array" ref="J404">_xlfn.IFS(
  OR(ISBLANK(A404),ISBLANK(B404),ISBLANK(H404),ISBLANK(D404),ISBLANK(E404)),"Missing Value",
  D404&lt;=0,"Review – Out of Range (Coverage)",
  E404&lt;=0,"Review – Out of Range (Premium)",
  TRUE,"OK"
)</f>
        <v>OK</v>
      </c>
    </row>
    <row r="405" spans="1:10" ht="16.8" x14ac:dyDescent="0.3">
      <c r="A405" s="14" t="s">
        <v>3985</v>
      </c>
      <c r="B405" s="14" t="s">
        <v>2815</v>
      </c>
      <c r="C405" s="14" t="s">
        <v>3371</v>
      </c>
      <c r="D405" s="14">
        <v>188572.07</v>
      </c>
      <c r="E405" s="14">
        <v>47348.63</v>
      </c>
      <c r="F405" s="15">
        <v>44938</v>
      </c>
      <c r="G405" s="15">
        <v>45394</v>
      </c>
      <c r="H405" s="14" t="s">
        <v>3986</v>
      </c>
      <c r="I405" s="14" t="s">
        <v>3361</v>
      </c>
      <c r="J405" s="13" t="str" cm="1">
        <f t="array" ref="J405">_xlfn.IFS(
  OR(ISBLANK(A405),ISBLANK(B405),ISBLANK(H405),ISBLANK(D405),ISBLANK(E405)),"Missing Value",
  D405&lt;=0,"Review – Out of Range (Coverage)",
  E405&lt;=0,"Review – Out of Range (Premium)",
  TRUE,"OK"
)</f>
        <v>OK</v>
      </c>
    </row>
    <row r="406" spans="1:10" ht="16.8" x14ac:dyDescent="0.3">
      <c r="A406" s="11" t="s">
        <v>3987</v>
      </c>
      <c r="B406" s="11" t="s">
        <v>2809</v>
      </c>
      <c r="C406" s="11" t="s">
        <v>3359</v>
      </c>
      <c r="D406" s="11">
        <v>258788.57</v>
      </c>
      <c r="E406" s="11">
        <v>8896.7900000000009</v>
      </c>
      <c r="F406" s="12">
        <v>44412</v>
      </c>
      <c r="G406" s="12">
        <v>44737</v>
      </c>
      <c r="H406" s="11" t="s">
        <v>3658</v>
      </c>
      <c r="I406" s="11" t="s">
        <v>3365</v>
      </c>
      <c r="J406" s="13" t="str" cm="1">
        <f t="array" ref="J406">_xlfn.IFS(
  OR(ISBLANK(A406),ISBLANK(B406),ISBLANK(H406),ISBLANK(D406),ISBLANK(E406)),"Missing Value",
  D406&lt;=0,"Review – Out of Range (Coverage)",
  E406&lt;=0,"Review – Out of Range (Premium)",
  TRUE,"OK"
)</f>
        <v>OK</v>
      </c>
    </row>
    <row r="407" spans="1:10" ht="16.8" x14ac:dyDescent="0.3">
      <c r="A407" s="14" t="s">
        <v>3988</v>
      </c>
      <c r="B407" s="14" t="s">
        <v>2989</v>
      </c>
      <c r="C407" s="14" t="s">
        <v>3359</v>
      </c>
      <c r="D407" s="14">
        <v>185118.3</v>
      </c>
      <c r="E407" s="14">
        <v>49648.53</v>
      </c>
      <c r="F407" s="15">
        <v>44932</v>
      </c>
      <c r="G407" s="15">
        <v>45263</v>
      </c>
      <c r="H407" s="14" t="s">
        <v>3754</v>
      </c>
      <c r="I407" s="14" t="s">
        <v>3365</v>
      </c>
      <c r="J407" s="13" t="str" cm="1">
        <f t="array" ref="J407">_xlfn.IFS(
  OR(ISBLANK(A407),ISBLANK(B407),ISBLANK(H407),ISBLANK(D407),ISBLANK(E407)),"Missing Value",
  D407&lt;=0,"Review – Out of Range (Coverage)",
  E407&lt;=0,"Review – Out of Range (Premium)",
  TRUE,"OK"
)</f>
        <v>OK</v>
      </c>
    </row>
    <row r="408" spans="1:10" ht="16.8" x14ac:dyDescent="0.3">
      <c r="A408" s="11" t="s">
        <v>3989</v>
      </c>
      <c r="B408" s="11" t="s">
        <v>352</v>
      </c>
      <c r="C408" s="11" t="s">
        <v>3359</v>
      </c>
      <c r="D408" s="11">
        <v>919495.53</v>
      </c>
      <c r="E408" s="11">
        <v>10668.82</v>
      </c>
      <c r="F408" s="12">
        <v>45174</v>
      </c>
      <c r="G408" s="12">
        <v>45474</v>
      </c>
      <c r="H408" s="11" t="s">
        <v>3536</v>
      </c>
      <c r="I408" s="11" t="s">
        <v>3361</v>
      </c>
      <c r="J408" s="13" t="str" cm="1">
        <f t="array" ref="J408">_xlfn.IFS(
  OR(ISBLANK(A408),ISBLANK(B408),ISBLANK(H408),ISBLANK(D408),ISBLANK(E408)),"Missing Value",
  D408&lt;=0,"Review – Out of Range (Coverage)",
  E408&lt;=0,"Review – Out of Range (Premium)",
  TRUE,"OK"
)</f>
        <v>OK</v>
      </c>
    </row>
    <row r="409" spans="1:10" ht="16.8" x14ac:dyDescent="0.3">
      <c r="A409" s="14" t="s">
        <v>3990</v>
      </c>
      <c r="B409" s="14" t="s">
        <v>3208</v>
      </c>
      <c r="C409" s="14" t="s">
        <v>3363</v>
      </c>
      <c r="D409" s="14">
        <v>297656.5</v>
      </c>
      <c r="E409" s="14">
        <v>25070.04</v>
      </c>
      <c r="F409" s="15">
        <v>45332</v>
      </c>
      <c r="G409" s="15">
        <v>45657</v>
      </c>
      <c r="H409" s="14" t="s">
        <v>3696</v>
      </c>
      <c r="I409" s="14" t="s">
        <v>3365</v>
      </c>
      <c r="J409" s="13" t="str" cm="1">
        <f t="array" ref="J409">_xlfn.IFS(
  OR(ISBLANK(A409),ISBLANK(B409),ISBLANK(H409),ISBLANK(D409),ISBLANK(E409)),"Missing Value",
  D409&lt;=0,"Review – Out of Range (Coverage)",
  E409&lt;=0,"Review – Out of Range (Premium)",
  TRUE,"OK"
)</f>
        <v>OK</v>
      </c>
    </row>
    <row r="410" spans="1:10" ht="16.8" x14ac:dyDescent="0.3">
      <c r="A410" s="11" t="s">
        <v>3991</v>
      </c>
      <c r="B410" s="11" t="s">
        <v>1191</v>
      </c>
      <c r="C410" s="11" t="s">
        <v>3371</v>
      </c>
      <c r="D410" s="11">
        <v>787000.49</v>
      </c>
      <c r="E410" s="11">
        <v>17174.12</v>
      </c>
      <c r="F410" s="12">
        <v>44384</v>
      </c>
      <c r="G410" s="12">
        <v>45453</v>
      </c>
      <c r="H410" s="11" t="s">
        <v>3992</v>
      </c>
      <c r="I410" s="11" t="s">
        <v>3373</v>
      </c>
      <c r="J410" s="13" t="str" cm="1">
        <f t="array" ref="J410">_xlfn.IFS(
  OR(ISBLANK(A410),ISBLANK(B410),ISBLANK(H410),ISBLANK(D410),ISBLANK(E410)),"Missing Value",
  D410&lt;=0,"Review – Out of Range (Coverage)",
  E410&lt;=0,"Review – Out of Range (Premium)",
  TRUE,"OK"
)</f>
        <v>OK</v>
      </c>
    </row>
    <row r="411" spans="1:10" ht="16.8" x14ac:dyDescent="0.3">
      <c r="A411" s="14" t="s">
        <v>3993</v>
      </c>
      <c r="B411" s="14" t="s">
        <v>999</v>
      </c>
      <c r="C411" s="14" t="s">
        <v>3371</v>
      </c>
      <c r="D411" s="14">
        <v>728618.04</v>
      </c>
      <c r="E411" s="14">
        <v>25822.23</v>
      </c>
      <c r="F411" s="15">
        <v>45371</v>
      </c>
      <c r="G411" s="15">
        <v>45395</v>
      </c>
      <c r="H411" s="14" t="s">
        <v>3731</v>
      </c>
      <c r="I411" s="14" t="s">
        <v>3373</v>
      </c>
      <c r="J411" s="13" t="str" cm="1">
        <f t="array" ref="J411">_xlfn.IFS(
  OR(ISBLANK(A411),ISBLANK(B411),ISBLANK(H411),ISBLANK(D411),ISBLANK(E411)),"Missing Value",
  D411&lt;=0,"Review – Out of Range (Coverage)",
  E411&lt;=0,"Review – Out of Range (Premium)",
  TRUE,"OK"
)</f>
        <v>OK</v>
      </c>
    </row>
    <row r="412" spans="1:10" ht="16.8" x14ac:dyDescent="0.3">
      <c r="A412" s="11" t="s">
        <v>3994</v>
      </c>
      <c r="B412" s="11" t="s">
        <v>1209</v>
      </c>
      <c r="C412" s="11" t="s">
        <v>3359</v>
      </c>
      <c r="D412" s="11">
        <v>911264.04</v>
      </c>
      <c r="E412" s="11">
        <v>37301.53</v>
      </c>
      <c r="F412" s="12">
        <v>45432</v>
      </c>
      <c r="G412" s="12">
        <v>45583</v>
      </c>
      <c r="H412" s="11" t="s">
        <v>3787</v>
      </c>
      <c r="I412" s="11" t="s">
        <v>3361</v>
      </c>
      <c r="J412" s="13" t="str" cm="1">
        <f t="array" ref="J412">_xlfn.IFS(
  OR(ISBLANK(A412),ISBLANK(B412),ISBLANK(H412),ISBLANK(D412),ISBLANK(E412)),"Missing Value",
  D412&lt;=0,"Review – Out of Range (Coverage)",
  E412&lt;=0,"Review – Out of Range (Premium)",
  TRUE,"OK"
)</f>
        <v>OK</v>
      </c>
    </row>
    <row r="413" spans="1:10" ht="16.8" x14ac:dyDescent="0.3">
      <c r="A413" s="14" t="s">
        <v>3995</v>
      </c>
      <c r="B413" s="14" t="s">
        <v>2875</v>
      </c>
      <c r="C413" s="14" t="s">
        <v>3363</v>
      </c>
      <c r="D413" s="14">
        <v>591557.06000000006</v>
      </c>
      <c r="E413" s="14">
        <v>10719.52</v>
      </c>
      <c r="F413" s="15">
        <v>44773</v>
      </c>
      <c r="G413" s="15">
        <v>44973</v>
      </c>
      <c r="H413" s="14" t="s">
        <v>3698</v>
      </c>
      <c r="I413" s="14" t="s">
        <v>3365</v>
      </c>
      <c r="J413" s="13" t="str" cm="1">
        <f t="array" ref="J413">_xlfn.IFS(
  OR(ISBLANK(A413),ISBLANK(B413),ISBLANK(H413),ISBLANK(D413),ISBLANK(E413)),"Missing Value",
  D413&lt;=0,"Review – Out of Range (Coverage)",
  E413&lt;=0,"Review – Out of Range (Premium)",
  TRUE,"OK"
)</f>
        <v>OK</v>
      </c>
    </row>
    <row r="414" spans="1:10" ht="16.8" x14ac:dyDescent="0.3">
      <c r="A414" s="11" t="s">
        <v>3996</v>
      </c>
      <c r="B414" s="11" t="s">
        <v>1401</v>
      </c>
      <c r="C414" s="11" t="s">
        <v>3380</v>
      </c>
      <c r="D414" s="11">
        <v>521927.44</v>
      </c>
      <c r="E414" s="11">
        <v>18922.82</v>
      </c>
      <c r="F414" s="12">
        <v>45257</v>
      </c>
      <c r="G414" s="12">
        <v>45497</v>
      </c>
      <c r="H414" s="11" t="s">
        <v>3997</v>
      </c>
      <c r="I414" s="11" t="s">
        <v>3365</v>
      </c>
      <c r="J414" s="13" t="str" cm="1">
        <f t="array" ref="J414">_xlfn.IFS(
  OR(ISBLANK(A414),ISBLANK(B414),ISBLANK(H414),ISBLANK(D414),ISBLANK(E414)),"Missing Value",
  D414&lt;=0,"Review – Out of Range (Coverage)",
  E414&lt;=0,"Review – Out of Range (Premium)",
  TRUE,"OK"
)</f>
        <v>OK</v>
      </c>
    </row>
    <row r="415" spans="1:10" ht="16.8" x14ac:dyDescent="0.3">
      <c r="A415" s="14" t="s">
        <v>3998</v>
      </c>
      <c r="B415" s="14" t="s">
        <v>1881</v>
      </c>
      <c r="C415" s="14" t="s">
        <v>3377</v>
      </c>
      <c r="D415" s="14">
        <v>994843.11</v>
      </c>
      <c r="E415" s="14">
        <v>28244.7</v>
      </c>
      <c r="F415" s="15">
        <v>44317</v>
      </c>
      <c r="G415" s="15">
        <v>44375</v>
      </c>
      <c r="H415" s="14" t="s">
        <v>3781</v>
      </c>
      <c r="I415" s="14" t="s">
        <v>3373</v>
      </c>
      <c r="J415" s="13" t="str" cm="1">
        <f t="array" ref="J415">_xlfn.IFS(
  OR(ISBLANK(A415),ISBLANK(B415),ISBLANK(H415),ISBLANK(D415),ISBLANK(E415)),"Missing Value",
  D415&lt;=0,"Review – Out of Range (Coverage)",
  E415&lt;=0,"Review – Out of Range (Premium)",
  TRUE,"OK"
)</f>
        <v>OK</v>
      </c>
    </row>
    <row r="416" spans="1:10" ht="16.8" x14ac:dyDescent="0.3">
      <c r="A416" s="11" t="s">
        <v>3999</v>
      </c>
      <c r="B416" s="11" t="s">
        <v>1645</v>
      </c>
      <c r="C416" s="11" t="s">
        <v>3359</v>
      </c>
      <c r="D416" s="11">
        <v>781112.61</v>
      </c>
      <c r="E416" s="11">
        <v>3163.83</v>
      </c>
      <c r="F416" s="12">
        <v>45145</v>
      </c>
      <c r="G416" s="12">
        <v>45380</v>
      </c>
      <c r="H416" s="11" t="s">
        <v>3968</v>
      </c>
      <c r="I416" s="11" t="s">
        <v>3373</v>
      </c>
      <c r="J416" s="13" t="str" cm="1">
        <f t="array" ref="J416">_xlfn.IFS(
  OR(ISBLANK(A416),ISBLANK(B416),ISBLANK(H416),ISBLANK(D416),ISBLANK(E416)),"Missing Value",
  D416&lt;=0,"Review – Out of Range (Coverage)",
  E416&lt;=0,"Review – Out of Range (Premium)",
  TRUE,"OK"
)</f>
        <v>OK</v>
      </c>
    </row>
    <row r="417" spans="1:10" ht="16.8" x14ac:dyDescent="0.3">
      <c r="A417" s="14" t="s">
        <v>4000</v>
      </c>
      <c r="B417" s="14" t="s">
        <v>520</v>
      </c>
      <c r="C417" s="14" t="s">
        <v>3363</v>
      </c>
      <c r="D417" s="14">
        <v>970594.84</v>
      </c>
      <c r="E417" s="14">
        <v>46697.31</v>
      </c>
      <c r="F417" s="15">
        <v>44731</v>
      </c>
      <c r="G417" s="15">
        <v>45455</v>
      </c>
      <c r="H417" s="14" t="s">
        <v>3774</v>
      </c>
      <c r="I417" s="14" t="s">
        <v>3373</v>
      </c>
      <c r="J417" s="13" t="str" cm="1">
        <f t="array" ref="J417">_xlfn.IFS(
  OR(ISBLANK(A417),ISBLANK(B417),ISBLANK(H417),ISBLANK(D417),ISBLANK(E417)),"Missing Value",
  D417&lt;=0,"Review – Out of Range (Coverage)",
  E417&lt;=0,"Review – Out of Range (Premium)",
  TRUE,"OK"
)</f>
        <v>OK</v>
      </c>
    </row>
    <row r="418" spans="1:10" ht="16.8" x14ac:dyDescent="0.3">
      <c r="A418" s="11" t="s">
        <v>4001</v>
      </c>
      <c r="B418" s="11" t="s">
        <v>2833</v>
      </c>
      <c r="C418" s="11" t="s">
        <v>3377</v>
      </c>
      <c r="D418" s="11">
        <v>941817.94</v>
      </c>
      <c r="E418" s="11">
        <v>30345.72</v>
      </c>
      <c r="F418" s="12">
        <v>44289</v>
      </c>
      <c r="G418" s="12">
        <v>44731</v>
      </c>
      <c r="H418" s="11" t="s">
        <v>3415</v>
      </c>
      <c r="I418" s="11" t="s">
        <v>3373</v>
      </c>
      <c r="J418" s="13" t="str" cm="1">
        <f t="array" ref="J418">_xlfn.IFS(
  OR(ISBLANK(A418),ISBLANK(B418),ISBLANK(H418),ISBLANK(D418),ISBLANK(E418)),"Missing Value",
  D418&lt;=0,"Review – Out of Range (Coverage)",
  E418&lt;=0,"Review – Out of Range (Premium)",
  TRUE,"OK"
)</f>
        <v>OK</v>
      </c>
    </row>
    <row r="419" spans="1:10" ht="16.8" x14ac:dyDescent="0.3">
      <c r="A419" s="14" t="s">
        <v>4002</v>
      </c>
      <c r="B419" s="14" t="s">
        <v>318</v>
      </c>
      <c r="C419" s="14" t="s">
        <v>3380</v>
      </c>
      <c r="D419" s="14">
        <v>850956.47</v>
      </c>
      <c r="E419" s="14">
        <v>47348.65</v>
      </c>
      <c r="F419" s="15">
        <v>44828</v>
      </c>
      <c r="G419" s="15">
        <v>45599</v>
      </c>
      <c r="H419" s="14" t="s">
        <v>4003</v>
      </c>
      <c r="I419" s="14" t="s">
        <v>3373</v>
      </c>
      <c r="J419" s="13" t="str" cm="1">
        <f t="array" ref="J419">_xlfn.IFS(
  OR(ISBLANK(A419),ISBLANK(B419),ISBLANK(H419),ISBLANK(D419),ISBLANK(E419)),"Missing Value",
  D419&lt;=0,"Review – Out of Range (Coverage)",
  E419&lt;=0,"Review – Out of Range (Premium)",
  TRUE,"OK"
)</f>
        <v>OK</v>
      </c>
    </row>
    <row r="420" spans="1:10" ht="16.8" x14ac:dyDescent="0.3">
      <c r="A420" s="11" t="s">
        <v>4004</v>
      </c>
      <c r="B420" s="11" t="s">
        <v>743</v>
      </c>
      <c r="C420" s="11" t="s">
        <v>3380</v>
      </c>
      <c r="D420" s="11">
        <v>469578.84</v>
      </c>
      <c r="E420" s="11">
        <v>43547.16</v>
      </c>
      <c r="F420" s="12">
        <v>44796</v>
      </c>
      <c r="G420" s="12">
        <v>45067</v>
      </c>
      <c r="H420" s="11" t="s">
        <v>3369</v>
      </c>
      <c r="I420" s="11" t="s">
        <v>3365</v>
      </c>
      <c r="J420" s="13" t="str" cm="1">
        <f t="array" ref="J420">_xlfn.IFS(
  OR(ISBLANK(A420),ISBLANK(B420),ISBLANK(H420),ISBLANK(D420),ISBLANK(E420)),"Missing Value",
  D420&lt;=0,"Review – Out of Range (Coverage)",
  E420&lt;=0,"Review – Out of Range (Premium)",
  TRUE,"OK"
)</f>
        <v>OK</v>
      </c>
    </row>
    <row r="421" spans="1:10" ht="16.8" x14ac:dyDescent="0.3">
      <c r="A421" s="14" t="s">
        <v>4005</v>
      </c>
      <c r="B421" s="14" t="s">
        <v>3058</v>
      </c>
      <c r="C421" s="14" t="s">
        <v>3380</v>
      </c>
      <c r="D421" s="14">
        <v>799359.71</v>
      </c>
      <c r="E421" s="14">
        <v>21566.85</v>
      </c>
      <c r="F421" s="15">
        <v>44157</v>
      </c>
      <c r="G421" s="15">
        <v>45238</v>
      </c>
      <c r="H421" s="14" t="s">
        <v>4006</v>
      </c>
      <c r="I421" s="14" t="s">
        <v>3373</v>
      </c>
      <c r="J421" s="13" t="str" cm="1">
        <f t="array" ref="J421">_xlfn.IFS(
  OR(ISBLANK(A421),ISBLANK(B421),ISBLANK(H421),ISBLANK(D421),ISBLANK(E421)),"Missing Value",
  D421&lt;=0,"Review – Out of Range (Coverage)",
  E421&lt;=0,"Review – Out of Range (Premium)",
  TRUE,"OK"
)</f>
        <v>OK</v>
      </c>
    </row>
    <row r="422" spans="1:10" ht="16.8" x14ac:dyDescent="0.3">
      <c r="A422" s="11" t="s">
        <v>4007</v>
      </c>
      <c r="B422" s="11" t="s">
        <v>557</v>
      </c>
      <c r="C422" s="11" t="s">
        <v>3377</v>
      </c>
      <c r="D422" s="11">
        <v>536998.68999999994</v>
      </c>
      <c r="E422" s="11">
        <v>31437.7</v>
      </c>
      <c r="F422" s="12">
        <v>44776</v>
      </c>
      <c r="G422" s="12">
        <v>44812</v>
      </c>
      <c r="H422" s="11" t="s">
        <v>3868</v>
      </c>
      <c r="I422" s="11" t="s">
        <v>3361</v>
      </c>
      <c r="J422" s="13" t="str" cm="1">
        <f t="array" ref="J422">_xlfn.IFS(
  OR(ISBLANK(A422),ISBLANK(B422),ISBLANK(H422),ISBLANK(D422),ISBLANK(E422)),"Missing Value",
  D422&lt;=0,"Review – Out of Range (Coverage)",
  E422&lt;=0,"Review – Out of Range (Premium)",
  TRUE,"OK"
)</f>
        <v>OK</v>
      </c>
    </row>
    <row r="423" spans="1:10" ht="16.8" x14ac:dyDescent="0.3">
      <c r="A423" s="14" t="s">
        <v>4008</v>
      </c>
      <c r="B423" s="14" t="s">
        <v>2771</v>
      </c>
      <c r="C423" s="14" t="s">
        <v>3380</v>
      </c>
      <c r="D423" s="14">
        <v>287295.44</v>
      </c>
      <c r="E423" s="14">
        <v>18317.830000000002</v>
      </c>
      <c r="F423" s="15">
        <v>45366</v>
      </c>
      <c r="G423" s="15">
        <v>45641</v>
      </c>
      <c r="H423" s="14" t="s">
        <v>3798</v>
      </c>
      <c r="I423" s="14" t="s">
        <v>3373</v>
      </c>
      <c r="J423" s="13" t="str" cm="1">
        <f t="array" ref="J423">_xlfn.IFS(
  OR(ISBLANK(A423),ISBLANK(B423),ISBLANK(H423),ISBLANK(D423),ISBLANK(E423)),"Missing Value",
  D423&lt;=0,"Review – Out of Range (Coverage)",
  E423&lt;=0,"Review – Out of Range (Premium)",
  TRUE,"OK"
)</f>
        <v>OK</v>
      </c>
    </row>
    <row r="424" spans="1:10" ht="16.8" x14ac:dyDescent="0.3">
      <c r="A424" s="11" t="s">
        <v>4009</v>
      </c>
      <c r="B424" s="11" t="s">
        <v>2271</v>
      </c>
      <c r="C424" s="11" t="s">
        <v>3371</v>
      </c>
      <c r="D424" s="11">
        <v>541570.06000000006</v>
      </c>
      <c r="E424" s="11">
        <v>40052.26</v>
      </c>
      <c r="F424" s="12">
        <v>45308</v>
      </c>
      <c r="G424" s="12">
        <v>45551</v>
      </c>
      <c r="H424" s="11" t="s">
        <v>3391</v>
      </c>
      <c r="I424" s="11" t="s">
        <v>3373</v>
      </c>
      <c r="J424" s="13" t="str" cm="1">
        <f t="array" ref="J424">_xlfn.IFS(
  OR(ISBLANK(A424),ISBLANK(B424),ISBLANK(H424),ISBLANK(D424),ISBLANK(E424)),"Missing Value",
  D424&lt;=0,"Review – Out of Range (Coverage)",
  E424&lt;=0,"Review – Out of Range (Premium)",
  TRUE,"OK"
)</f>
        <v>OK</v>
      </c>
    </row>
    <row r="425" spans="1:10" ht="16.8" x14ac:dyDescent="0.3">
      <c r="A425" s="14" t="s">
        <v>4010</v>
      </c>
      <c r="B425" s="14" t="s">
        <v>3294</v>
      </c>
      <c r="C425" s="14" t="s">
        <v>3371</v>
      </c>
      <c r="D425" s="14">
        <v>320670.71000000002</v>
      </c>
      <c r="E425" s="14">
        <v>41924.379999999997</v>
      </c>
      <c r="F425" s="15">
        <v>44806</v>
      </c>
      <c r="G425" s="15">
        <v>45229</v>
      </c>
      <c r="H425" s="14" t="s">
        <v>4011</v>
      </c>
      <c r="I425" s="14" t="s">
        <v>3361</v>
      </c>
      <c r="J425" s="13" t="str" cm="1">
        <f t="array" ref="J425">_xlfn.IFS(
  OR(ISBLANK(A425),ISBLANK(B425),ISBLANK(H425),ISBLANK(D425),ISBLANK(E425)),"Missing Value",
  D425&lt;=0,"Review – Out of Range (Coverage)",
  E425&lt;=0,"Review – Out of Range (Premium)",
  TRUE,"OK"
)</f>
        <v>OK</v>
      </c>
    </row>
    <row r="426" spans="1:10" ht="16.8" x14ac:dyDescent="0.3">
      <c r="A426" s="11" t="s">
        <v>4012</v>
      </c>
      <c r="B426" s="11" t="s">
        <v>74</v>
      </c>
      <c r="C426" s="11" t="s">
        <v>3377</v>
      </c>
      <c r="D426" s="11">
        <v>155869.4</v>
      </c>
      <c r="E426" s="11">
        <v>26603.48</v>
      </c>
      <c r="F426" s="12">
        <v>45128</v>
      </c>
      <c r="G426" s="12">
        <v>45204</v>
      </c>
      <c r="H426" s="11" t="s">
        <v>3569</v>
      </c>
      <c r="I426" s="11" t="s">
        <v>3373</v>
      </c>
      <c r="J426" s="13" t="str" cm="1">
        <f t="array" ref="J426">_xlfn.IFS(
  OR(ISBLANK(A426),ISBLANK(B426),ISBLANK(H426),ISBLANK(D426),ISBLANK(E426)),"Missing Value",
  D426&lt;=0,"Review – Out of Range (Coverage)",
  E426&lt;=0,"Review – Out of Range (Premium)",
  TRUE,"OK"
)</f>
        <v>OK</v>
      </c>
    </row>
    <row r="427" spans="1:10" ht="16.8" x14ac:dyDescent="0.3">
      <c r="A427" s="14" t="s">
        <v>4013</v>
      </c>
      <c r="B427" s="14" t="s">
        <v>1079</v>
      </c>
      <c r="C427" s="14" t="s">
        <v>3380</v>
      </c>
      <c r="D427" s="14">
        <v>644051.76</v>
      </c>
      <c r="E427" s="14">
        <v>49176.86</v>
      </c>
      <c r="F427" s="15">
        <v>44645</v>
      </c>
      <c r="G427" s="15">
        <v>44664</v>
      </c>
      <c r="H427" s="14" t="s">
        <v>3824</v>
      </c>
      <c r="I427" s="14" t="s">
        <v>3373</v>
      </c>
      <c r="J427" s="13" t="str" cm="1">
        <f t="array" ref="J427">_xlfn.IFS(
  OR(ISBLANK(A427),ISBLANK(B427),ISBLANK(H427),ISBLANK(D427),ISBLANK(E427)),"Missing Value",
  D427&lt;=0,"Review – Out of Range (Coverage)",
  E427&lt;=0,"Review – Out of Range (Premium)",
  TRUE,"OK"
)</f>
        <v>OK</v>
      </c>
    </row>
    <row r="428" spans="1:10" ht="16.8" x14ac:dyDescent="0.3">
      <c r="A428" s="11" t="s">
        <v>4014</v>
      </c>
      <c r="B428" s="11" t="s">
        <v>2215</v>
      </c>
      <c r="C428" s="11" t="s">
        <v>3380</v>
      </c>
      <c r="D428" s="11">
        <v>287751.64</v>
      </c>
      <c r="E428" s="11">
        <v>49661.3</v>
      </c>
      <c r="F428" s="12">
        <v>44611</v>
      </c>
      <c r="G428" s="12">
        <v>45381</v>
      </c>
      <c r="H428" s="11" t="s">
        <v>3465</v>
      </c>
      <c r="I428" s="11" t="s">
        <v>3365</v>
      </c>
      <c r="J428" s="13" t="str" cm="1">
        <f t="array" ref="J428">_xlfn.IFS(
  OR(ISBLANK(A428),ISBLANK(B428),ISBLANK(H428),ISBLANK(D428),ISBLANK(E428)),"Missing Value",
  D428&lt;=0,"Review – Out of Range (Coverage)",
  E428&lt;=0,"Review – Out of Range (Premium)",
  TRUE,"OK"
)</f>
        <v>OK</v>
      </c>
    </row>
    <row r="429" spans="1:10" ht="16.8" x14ac:dyDescent="0.3">
      <c r="A429" s="14" t="s">
        <v>4015</v>
      </c>
      <c r="B429" s="14" t="s">
        <v>2741</v>
      </c>
      <c r="C429" s="14" t="s">
        <v>3380</v>
      </c>
      <c r="D429" s="14">
        <v>265968.28000000003</v>
      </c>
      <c r="E429" s="14">
        <v>38320.65</v>
      </c>
      <c r="F429" s="15">
        <v>45397</v>
      </c>
      <c r="G429" s="15">
        <v>45782</v>
      </c>
      <c r="H429" s="14" t="s">
        <v>3405</v>
      </c>
      <c r="I429" s="14" t="s">
        <v>3365</v>
      </c>
      <c r="J429" s="13" t="str" cm="1">
        <f t="array" ref="J429">_xlfn.IFS(
  OR(ISBLANK(A429),ISBLANK(B429),ISBLANK(H429),ISBLANK(D429),ISBLANK(E429)),"Missing Value",
  D429&lt;=0,"Review – Out of Range (Coverage)",
  E429&lt;=0,"Review – Out of Range (Premium)",
  TRUE,"OK"
)</f>
        <v>OK</v>
      </c>
    </row>
    <row r="430" spans="1:10" ht="16.8" x14ac:dyDescent="0.3">
      <c r="A430" s="11" t="s">
        <v>4016</v>
      </c>
      <c r="B430" s="11" t="s">
        <v>380</v>
      </c>
      <c r="C430" s="11" t="s">
        <v>3359</v>
      </c>
      <c r="D430" s="11">
        <v>238347.97</v>
      </c>
      <c r="E430" s="11">
        <v>34794.03</v>
      </c>
      <c r="F430" s="12">
        <v>44625</v>
      </c>
      <c r="G430" s="12">
        <v>45492</v>
      </c>
      <c r="H430" s="11" t="s">
        <v>3438</v>
      </c>
      <c r="I430" s="11" t="s">
        <v>3361</v>
      </c>
      <c r="J430" s="13" t="str" cm="1">
        <f t="array" ref="J430">_xlfn.IFS(
  OR(ISBLANK(A430),ISBLANK(B430),ISBLANK(H430),ISBLANK(D430),ISBLANK(E430)),"Missing Value",
  D430&lt;=0,"Review – Out of Range (Coverage)",
  E430&lt;=0,"Review – Out of Range (Premium)",
  TRUE,"OK"
)</f>
        <v>OK</v>
      </c>
    </row>
    <row r="431" spans="1:10" ht="16.8" x14ac:dyDescent="0.3">
      <c r="A431" s="14" t="s">
        <v>4017</v>
      </c>
      <c r="B431" s="14" t="s">
        <v>458</v>
      </c>
      <c r="C431" s="14" t="s">
        <v>3359</v>
      </c>
      <c r="D431" s="14">
        <v>507020.68</v>
      </c>
      <c r="E431" s="14">
        <v>17069.849999999999</v>
      </c>
      <c r="F431" s="15">
        <v>44761</v>
      </c>
      <c r="G431" s="15">
        <v>44814</v>
      </c>
      <c r="H431" s="14" t="s">
        <v>3712</v>
      </c>
      <c r="I431" s="14" t="s">
        <v>3365</v>
      </c>
      <c r="J431" s="13" t="str" cm="1">
        <f t="array" ref="J431">_xlfn.IFS(
  OR(ISBLANK(A431),ISBLANK(B431),ISBLANK(H431),ISBLANK(D431),ISBLANK(E431)),"Missing Value",
  D431&lt;=0,"Review – Out of Range (Coverage)",
  E431&lt;=0,"Review – Out of Range (Premium)",
  TRUE,"OK"
)</f>
        <v>OK</v>
      </c>
    </row>
    <row r="432" spans="1:10" ht="16.8" x14ac:dyDescent="0.3">
      <c r="A432" s="11" t="s">
        <v>4018</v>
      </c>
      <c r="B432" s="11" t="s">
        <v>1459</v>
      </c>
      <c r="C432" s="11" t="s">
        <v>3371</v>
      </c>
      <c r="D432" s="11">
        <v>357619.82</v>
      </c>
      <c r="E432" s="11">
        <v>40972.69</v>
      </c>
      <c r="F432" s="12">
        <v>44523</v>
      </c>
      <c r="G432" s="12">
        <v>44799</v>
      </c>
      <c r="H432" s="11" t="s">
        <v>3605</v>
      </c>
      <c r="I432" s="11" t="s">
        <v>3373</v>
      </c>
      <c r="J432" s="13" t="str" cm="1">
        <f t="array" ref="J432">_xlfn.IFS(
  OR(ISBLANK(A432),ISBLANK(B432),ISBLANK(H432),ISBLANK(D432),ISBLANK(E432)),"Missing Value",
  D432&lt;=0,"Review – Out of Range (Coverage)",
  E432&lt;=0,"Review – Out of Range (Premium)",
  TRUE,"OK"
)</f>
        <v>OK</v>
      </c>
    </row>
    <row r="433" spans="1:10" ht="16.8" x14ac:dyDescent="0.3">
      <c r="A433" s="14" t="s">
        <v>4019</v>
      </c>
      <c r="B433" s="14" t="s">
        <v>488</v>
      </c>
      <c r="C433" s="14" t="s">
        <v>3371</v>
      </c>
      <c r="D433" s="14">
        <v>986453.16</v>
      </c>
      <c r="E433" s="14">
        <v>48079.12</v>
      </c>
      <c r="F433" s="15">
        <v>45388</v>
      </c>
      <c r="G433" s="15">
        <v>45793</v>
      </c>
      <c r="H433" s="14" t="s">
        <v>3646</v>
      </c>
      <c r="I433" s="14" t="s">
        <v>3373</v>
      </c>
      <c r="J433" s="13" t="str" cm="1">
        <f t="array" ref="J433">_xlfn.IFS(
  OR(ISBLANK(A433),ISBLANK(B433),ISBLANK(H433),ISBLANK(D433),ISBLANK(E433)),"Missing Value",
  D433&lt;=0,"Review – Out of Range (Coverage)",
  E433&lt;=0,"Review – Out of Range (Premium)",
  TRUE,"OK"
)</f>
        <v>OK</v>
      </c>
    </row>
    <row r="434" spans="1:10" ht="16.8" x14ac:dyDescent="0.3">
      <c r="A434" s="11" t="s">
        <v>4020</v>
      </c>
      <c r="B434" s="11" t="s">
        <v>1809</v>
      </c>
      <c r="C434" s="11" t="s">
        <v>3359</v>
      </c>
      <c r="D434" s="11">
        <v>418836.78</v>
      </c>
      <c r="E434" s="11">
        <v>32919.08</v>
      </c>
      <c r="F434" s="12">
        <v>45075</v>
      </c>
      <c r="G434" s="12">
        <v>45722</v>
      </c>
      <c r="H434" s="11" t="s">
        <v>3515</v>
      </c>
      <c r="I434" s="11" t="s">
        <v>3365</v>
      </c>
      <c r="J434" s="13" t="str" cm="1">
        <f t="array" ref="J434">_xlfn.IFS(
  OR(ISBLANK(A434),ISBLANK(B434),ISBLANK(H434),ISBLANK(D434),ISBLANK(E434)),"Missing Value",
  D434&lt;=0,"Review – Out of Range (Coverage)",
  E434&lt;=0,"Review – Out of Range (Premium)",
  TRUE,"OK"
)</f>
        <v>OK</v>
      </c>
    </row>
    <row r="435" spans="1:10" ht="16.8" x14ac:dyDescent="0.3">
      <c r="A435" s="14" t="s">
        <v>4021</v>
      </c>
      <c r="B435" s="14" t="s">
        <v>486</v>
      </c>
      <c r="C435" s="14" t="s">
        <v>3380</v>
      </c>
      <c r="D435" s="14">
        <v>141038.95000000001</v>
      </c>
      <c r="E435" s="14">
        <v>22438.17</v>
      </c>
      <c r="F435" s="15">
        <v>44952</v>
      </c>
      <c r="G435" s="15">
        <v>45574</v>
      </c>
      <c r="H435" s="14" t="s">
        <v>3767</v>
      </c>
      <c r="I435" s="14" t="s">
        <v>3365</v>
      </c>
      <c r="J435" s="13" t="str" cm="1">
        <f t="array" ref="J435">_xlfn.IFS(
  OR(ISBLANK(A435),ISBLANK(B435),ISBLANK(H435),ISBLANK(D435),ISBLANK(E435)),"Missing Value",
  D435&lt;=0,"Review – Out of Range (Coverage)",
  E435&lt;=0,"Review – Out of Range (Premium)",
  TRUE,"OK"
)</f>
        <v>OK</v>
      </c>
    </row>
    <row r="436" spans="1:10" ht="16.8" x14ac:dyDescent="0.3">
      <c r="A436" s="11" t="s">
        <v>4022</v>
      </c>
      <c r="B436" s="11" t="s">
        <v>3222</v>
      </c>
      <c r="C436" s="11" t="s">
        <v>3371</v>
      </c>
      <c r="D436" s="11">
        <v>412420.28</v>
      </c>
      <c r="E436" s="11">
        <v>10202.77</v>
      </c>
      <c r="F436" s="12">
        <v>45210</v>
      </c>
      <c r="G436" s="12">
        <v>45448</v>
      </c>
      <c r="H436" s="11" t="s">
        <v>3652</v>
      </c>
      <c r="I436" s="11" t="s">
        <v>3361</v>
      </c>
      <c r="J436" s="13" t="str" cm="1">
        <f t="array" ref="J436">_xlfn.IFS(
  OR(ISBLANK(A436),ISBLANK(B436),ISBLANK(H436),ISBLANK(D436),ISBLANK(E436)),"Missing Value",
  D436&lt;=0,"Review – Out of Range (Coverage)",
  E436&lt;=0,"Review – Out of Range (Premium)",
  TRUE,"OK"
)</f>
        <v>OK</v>
      </c>
    </row>
    <row r="437" spans="1:10" ht="16.8" x14ac:dyDescent="0.3">
      <c r="A437" s="14" t="s">
        <v>4023</v>
      </c>
      <c r="B437" s="14" t="s">
        <v>2025</v>
      </c>
      <c r="C437" s="14" t="s">
        <v>3363</v>
      </c>
      <c r="D437" s="14">
        <v>432203.24</v>
      </c>
      <c r="E437" s="14">
        <v>28936.93</v>
      </c>
      <c r="F437" s="15">
        <v>45321</v>
      </c>
      <c r="G437" s="15">
        <v>45836</v>
      </c>
      <c r="H437" s="14" t="s">
        <v>3517</v>
      </c>
      <c r="I437" s="14" t="s">
        <v>3361</v>
      </c>
      <c r="J437" s="13" t="str" cm="1">
        <f t="array" ref="J437">_xlfn.IFS(
  OR(ISBLANK(A437),ISBLANK(B437),ISBLANK(H437),ISBLANK(D437),ISBLANK(E437)),"Missing Value",
  D437&lt;=0,"Review – Out of Range (Coverage)",
  E437&lt;=0,"Review – Out of Range (Premium)",
  TRUE,"OK"
)</f>
        <v>OK</v>
      </c>
    </row>
    <row r="438" spans="1:10" ht="16.8" x14ac:dyDescent="0.3">
      <c r="A438" s="11" t="s">
        <v>4024</v>
      </c>
      <c r="B438" s="11" t="s">
        <v>370</v>
      </c>
      <c r="C438" s="11" t="s">
        <v>3371</v>
      </c>
      <c r="D438" s="11">
        <v>164466.54</v>
      </c>
      <c r="E438" s="11">
        <v>4818.3</v>
      </c>
      <c r="F438" s="12">
        <v>45453</v>
      </c>
      <c r="G438" s="12">
        <v>45750</v>
      </c>
      <c r="H438" s="11" t="s">
        <v>3787</v>
      </c>
      <c r="I438" s="11" t="s">
        <v>3361</v>
      </c>
      <c r="J438" s="13" t="str" cm="1">
        <f t="array" ref="J438">_xlfn.IFS(
  OR(ISBLANK(A438),ISBLANK(B438),ISBLANK(H438),ISBLANK(D438),ISBLANK(E438)),"Missing Value",
  D438&lt;=0,"Review – Out of Range (Coverage)",
  E438&lt;=0,"Review – Out of Range (Premium)",
  TRUE,"OK"
)</f>
        <v>OK</v>
      </c>
    </row>
    <row r="439" spans="1:10" ht="16.8" x14ac:dyDescent="0.3">
      <c r="A439" s="14" t="s">
        <v>4025</v>
      </c>
      <c r="B439" s="14" t="s">
        <v>2525</v>
      </c>
      <c r="C439" s="14" t="s">
        <v>3380</v>
      </c>
      <c r="D439" s="14">
        <v>605895.05000000005</v>
      </c>
      <c r="E439" s="14">
        <v>41425.1</v>
      </c>
      <c r="F439" s="15">
        <v>45278</v>
      </c>
      <c r="G439" s="15">
        <v>45658</v>
      </c>
      <c r="H439" s="14" t="s">
        <v>3385</v>
      </c>
      <c r="I439" s="14" t="s">
        <v>3365</v>
      </c>
      <c r="J439" s="13" t="str" cm="1">
        <f t="array" ref="J439">_xlfn.IFS(
  OR(ISBLANK(A439),ISBLANK(B439),ISBLANK(H439),ISBLANK(D439),ISBLANK(E439)),"Missing Value",
  D439&lt;=0,"Review – Out of Range (Coverage)",
  E439&lt;=0,"Review – Out of Range (Premium)",
  TRUE,"OK"
)</f>
        <v>OK</v>
      </c>
    </row>
    <row r="440" spans="1:10" ht="16.8" x14ac:dyDescent="0.3">
      <c r="A440" s="11" t="s">
        <v>4026</v>
      </c>
      <c r="B440" s="11" t="s">
        <v>1959</v>
      </c>
      <c r="C440" s="11" t="s">
        <v>3359</v>
      </c>
      <c r="D440" s="11">
        <v>719047.03</v>
      </c>
      <c r="E440" s="11">
        <v>15469.58</v>
      </c>
      <c r="F440" s="12">
        <v>44995</v>
      </c>
      <c r="G440" s="12">
        <v>45479</v>
      </c>
      <c r="H440" s="11" t="s">
        <v>3577</v>
      </c>
      <c r="I440" s="11" t="s">
        <v>3365</v>
      </c>
      <c r="J440" s="13" t="str" cm="1">
        <f t="array" ref="J440">_xlfn.IFS(
  OR(ISBLANK(A440),ISBLANK(B440),ISBLANK(H440),ISBLANK(D440),ISBLANK(E440)),"Missing Value",
  D440&lt;=0,"Review – Out of Range (Coverage)",
  E440&lt;=0,"Review – Out of Range (Premium)",
  TRUE,"OK"
)</f>
        <v>OK</v>
      </c>
    </row>
    <row r="441" spans="1:10" ht="16.8" x14ac:dyDescent="0.3">
      <c r="A441" s="14" t="s">
        <v>4027</v>
      </c>
      <c r="B441" s="14" t="s">
        <v>1983</v>
      </c>
      <c r="C441" s="14" t="s">
        <v>3371</v>
      </c>
      <c r="D441" s="14">
        <v>528506.18999999994</v>
      </c>
      <c r="E441" s="14">
        <v>47933.05</v>
      </c>
      <c r="F441" s="15">
        <v>45294</v>
      </c>
      <c r="G441" s="15">
        <v>45677</v>
      </c>
      <c r="H441" s="14" t="s">
        <v>3789</v>
      </c>
      <c r="I441" s="14" t="s">
        <v>3373</v>
      </c>
      <c r="J441" s="13" t="str" cm="1">
        <f t="array" ref="J441">_xlfn.IFS(
  OR(ISBLANK(A441),ISBLANK(B441),ISBLANK(H441),ISBLANK(D441),ISBLANK(E441)),"Missing Value",
  D441&lt;=0,"Review – Out of Range (Coverage)",
  E441&lt;=0,"Review – Out of Range (Premium)",
  TRUE,"OK"
)</f>
        <v>OK</v>
      </c>
    </row>
    <row r="442" spans="1:10" ht="16.8" x14ac:dyDescent="0.3">
      <c r="A442" s="11" t="s">
        <v>4028</v>
      </c>
      <c r="B442" s="11" t="s">
        <v>1869</v>
      </c>
      <c r="C442" s="11" t="s">
        <v>3363</v>
      </c>
      <c r="D442" s="11">
        <v>540571.66</v>
      </c>
      <c r="E442" s="11">
        <v>46169.61</v>
      </c>
      <c r="F442" s="12">
        <v>44839</v>
      </c>
      <c r="G442" s="12">
        <v>44930</v>
      </c>
      <c r="H442" s="11" t="s">
        <v>3415</v>
      </c>
      <c r="I442" s="11" t="s">
        <v>3365</v>
      </c>
      <c r="J442" s="13" t="str" cm="1">
        <f t="array" ref="J442">_xlfn.IFS(
  OR(ISBLANK(A442),ISBLANK(B442),ISBLANK(H442),ISBLANK(D442),ISBLANK(E442)),"Missing Value",
  D442&lt;=0,"Review – Out of Range (Coverage)",
  E442&lt;=0,"Review – Out of Range (Premium)",
  TRUE,"OK"
)</f>
        <v>OK</v>
      </c>
    </row>
    <row r="443" spans="1:10" ht="16.8" x14ac:dyDescent="0.3">
      <c r="A443" s="14" t="s">
        <v>4029</v>
      </c>
      <c r="B443" s="14" t="s">
        <v>753</v>
      </c>
      <c r="C443" s="14" t="s">
        <v>3377</v>
      </c>
      <c r="D443" s="14">
        <v>152912.6</v>
      </c>
      <c r="E443" s="14">
        <v>29841.71</v>
      </c>
      <c r="F443" s="15">
        <v>44416</v>
      </c>
      <c r="G443" s="15">
        <v>45780</v>
      </c>
      <c r="H443" s="14" t="s">
        <v>3806</v>
      </c>
      <c r="I443" s="14" t="s">
        <v>3361</v>
      </c>
      <c r="J443" s="13" t="str" cm="1">
        <f t="array" ref="J443">_xlfn.IFS(
  OR(ISBLANK(A443),ISBLANK(B443),ISBLANK(H443),ISBLANK(D443),ISBLANK(E443)),"Missing Value",
  D443&lt;=0,"Review – Out of Range (Coverage)",
  E443&lt;=0,"Review – Out of Range (Premium)",
  TRUE,"OK"
)</f>
        <v>OK</v>
      </c>
    </row>
    <row r="444" spans="1:10" ht="16.8" x14ac:dyDescent="0.3">
      <c r="A444" s="11" t="s">
        <v>4030</v>
      </c>
      <c r="B444" s="11" t="s">
        <v>2561</v>
      </c>
      <c r="C444" s="11" t="s">
        <v>3363</v>
      </c>
      <c r="D444" s="11">
        <v>931622.8</v>
      </c>
      <c r="E444" s="11">
        <v>41327.29</v>
      </c>
      <c r="F444" s="12">
        <v>44578</v>
      </c>
      <c r="G444" s="12">
        <v>45192</v>
      </c>
      <c r="H444" s="11" t="s">
        <v>3447</v>
      </c>
      <c r="I444" s="11" t="s">
        <v>3373</v>
      </c>
      <c r="J444" s="13" t="str" cm="1">
        <f t="array" ref="J444">_xlfn.IFS(
  OR(ISBLANK(A444),ISBLANK(B444),ISBLANK(H444),ISBLANK(D444),ISBLANK(E444)),"Missing Value",
  D444&lt;=0,"Review – Out of Range (Coverage)",
  E444&lt;=0,"Review – Out of Range (Premium)",
  TRUE,"OK"
)</f>
        <v>OK</v>
      </c>
    </row>
    <row r="445" spans="1:10" ht="16.8" x14ac:dyDescent="0.3">
      <c r="A445" s="14" t="s">
        <v>4031</v>
      </c>
      <c r="B445" s="14" t="s">
        <v>2331</v>
      </c>
      <c r="C445" s="14" t="s">
        <v>3377</v>
      </c>
      <c r="D445" s="14">
        <v>233795.65</v>
      </c>
      <c r="E445" s="14">
        <v>21548.7</v>
      </c>
      <c r="F445" s="15">
        <v>44927</v>
      </c>
      <c r="G445" s="15">
        <v>45706</v>
      </c>
      <c r="H445" s="14" t="s">
        <v>4032</v>
      </c>
      <c r="I445" s="14" t="s">
        <v>3361</v>
      </c>
      <c r="J445" s="13" t="str" cm="1">
        <f t="array" ref="J445">_xlfn.IFS(
  OR(ISBLANK(A445),ISBLANK(B445),ISBLANK(H445),ISBLANK(D445),ISBLANK(E445)),"Missing Value",
  D445&lt;=0,"Review – Out of Range (Coverage)",
  E445&lt;=0,"Review – Out of Range (Premium)",
  TRUE,"OK"
)</f>
        <v>OK</v>
      </c>
    </row>
    <row r="446" spans="1:10" ht="16.8" x14ac:dyDescent="0.3">
      <c r="A446" s="11" t="s">
        <v>4033</v>
      </c>
      <c r="B446" s="11" t="s">
        <v>232</v>
      </c>
      <c r="C446" s="11" t="s">
        <v>3377</v>
      </c>
      <c r="D446" s="11">
        <v>750589.56</v>
      </c>
      <c r="E446" s="11">
        <v>40018.559999999998</v>
      </c>
      <c r="F446" s="12">
        <v>45251</v>
      </c>
      <c r="G446" s="12">
        <v>45759</v>
      </c>
      <c r="H446" s="11" t="s">
        <v>3471</v>
      </c>
      <c r="I446" s="11" t="s">
        <v>3361</v>
      </c>
      <c r="J446" s="13" t="str" cm="1">
        <f t="array" ref="J446">_xlfn.IFS(
  OR(ISBLANK(A446),ISBLANK(B446),ISBLANK(H446),ISBLANK(D446),ISBLANK(E446)),"Missing Value",
  D446&lt;=0,"Review – Out of Range (Coverage)",
  E446&lt;=0,"Review – Out of Range (Premium)",
  TRUE,"OK"
)</f>
        <v>OK</v>
      </c>
    </row>
    <row r="447" spans="1:10" ht="16.8" x14ac:dyDescent="0.3">
      <c r="A447" s="14" t="s">
        <v>4034</v>
      </c>
      <c r="B447" s="14" t="s">
        <v>1709</v>
      </c>
      <c r="C447" s="14" t="s">
        <v>3371</v>
      </c>
      <c r="D447" s="14">
        <v>274688.53000000003</v>
      </c>
      <c r="E447" s="14">
        <v>6254.38</v>
      </c>
      <c r="F447" s="15">
        <v>44703</v>
      </c>
      <c r="G447" s="15">
        <v>45137</v>
      </c>
      <c r="H447" s="14" t="s">
        <v>3626</v>
      </c>
      <c r="I447" s="14" t="s">
        <v>3361</v>
      </c>
      <c r="J447" s="13" t="str" cm="1">
        <f t="array" ref="J447">_xlfn.IFS(
  OR(ISBLANK(A447),ISBLANK(B447),ISBLANK(H447),ISBLANK(D447),ISBLANK(E447)),"Missing Value",
  D447&lt;=0,"Review – Out of Range (Coverage)",
  E447&lt;=0,"Review – Out of Range (Premium)",
  TRUE,"OK"
)</f>
        <v>OK</v>
      </c>
    </row>
    <row r="448" spans="1:10" ht="16.8" x14ac:dyDescent="0.3">
      <c r="A448" s="11" t="s">
        <v>4035</v>
      </c>
      <c r="B448" s="11" t="s">
        <v>3126</v>
      </c>
      <c r="C448" s="11" t="s">
        <v>3359</v>
      </c>
      <c r="D448" s="11">
        <v>187250.84</v>
      </c>
      <c r="E448" s="11">
        <v>36393.300000000003</v>
      </c>
      <c r="F448" s="12">
        <v>45042</v>
      </c>
      <c r="G448" s="12">
        <v>45287</v>
      </c>
      <c r="H448" s="11" t="s">
        <v>3874</v>
      </c>
      <c r="I448" s="11" t="s">
        <v>3373</v>
      </c>
      <c r="J448" s="13" t="str" cm="1">
        <f t="array" ref="J448">_xlfn.IFS(
  OR(ISBLANK(A448),ISBLANK(B448),ISBLANK(H448),ISBLANK(D448),ISBLANK(E448)),"Missing Value",
  D448&lt;=0,"Review – Out of Range (Coverage)",
  E448&lt;=0,"Review – Out of Range (Premium)",
  TRUE,"OK"
)</f>
        <v>OK</v>
      </c>
    </row>
    <row r="449" spans="1:10" ht="16.8" x14ac:dyDescent="0.3">
      <c r="A449" s="14" t="s">
        <v>4036</v>
      </c>
      <c r="B449" s="14" t="s">
        <v>2401</v>
      </c>
      <c r="C449" s="14" t="s">
        <v>3371</v>
      </c>
      <c r="D449" s="14">
        <v>977447.76</v>
      </c>
      <c r="E449" s="14">
        <v>22507.15</v>
      </c>
      <c r="F449" s="15">
        <v>45196</v>
      </c>
      <c r="G449" s="15">
        <v>45599</v>
      </c>
      <c r="H449" s="14" t="s">
        <v>3658</v>
      </c>
      <c r="I449" s="14" t="s">
        <v>3373</v>
      </c>
      <c r="J449" s="13" t="str" cm="1">
        <f t="array" ref="J449">_xlfn.IFS(
  OR(ISBLANK(A449),ISBLANK(B449),ISBLANK(H449),ISBLANK(D449),ISBLANK(E449)),"Missing Value",
  D449&lt;=0,"Review – Out of Range (Coverage)",
  E449&lt;=0,"Review – Out of Range (Premium)",
  TRUE,"OK"
)</f>
        <v>OK</v>
      </c>
    </row>
    <row r="450" spans="1:10" ht="16.8" x14ac:dyDescent="0.3">
      <c r="A450" s="11" t="s">
        <v>4037</v>
      </c>
      <c r="B450" s="11" t="s">
        <v>464</v>
      </c>
      <c r="C450" s="11" t="s">
        <v>3377</v>
      </c>
      <c r="D450" s="11">
        <v>334236.73</v>
      </c>
      <c r="E450" s="11">
        <v>41073.949999999997</v>
      </c>
      <c r="F450" s="12">
        <v>44942</v>
      </c>
      <c r="G450" s="12">
        <v>45105</v>
      </c>
      <c r="H450" s="11" t="s">
        <v>3974</v>
      </c>
      <c r="I450" s="11" t="s">
        <v>3361</v>
      </c>
      <c r="J450" s="13" t="str" cm="1">
        <f t="array" ref="J450">_xlfn.IFS(
  OR(ISBLANK(A450),ISBLANK(B450),ISBLANK(H450),ISBLANK(D450),ISBLANK(E450)),"Missing Value",
  D450&lt;=0,"Review – Out of Range (Coverage)",
  E450&lt;=0,"Review – Out of Range (Premium)",
  TRUE,"OK"
)</f>
        <v>OK</v>
      </c>
    </row>
    <row r="451" spans="1:10" ht="16.8" x14ac:dyDescent="0.3">
      <c r="A451" s="14" t="s">
        <v>4038</v>
      </c>
      <c r="B451" s="14" t="s">
        <v>1483</v>
      </c>
      <c r="C451" s="14" t="s">
        <v>3377</v>
      </c>
      <c r="D451" s="14">
        <v>539242.06999999995</v>
      </c>
      <c r="E451" s="14">
        <v>23232.94</v>
      </c>
      <c r="F451" s="15">
        <v>45146</v>
      </c>
      <c r="G451" s="15">
        <v>45691</v>
      </c>
      <c r="H451" s="14" t="s">
        <v>3685</v>
      </c>
      <c r="I451" s="14" t="s">
        <v>3365</v>
      </c>
      <c r="J451" s="13" t="str" cm="1">
        <f t="array" ref="J451">_xlfn.IFS(
  OR(ISBLANK(A451),ISBLANK(B451),ISBLANK(H451),ISBLANK(D451),ISBLANK(E451)),"Missing Value",
  D451&lt;=0,"Review – Out of Range (Coverage)",
  E451&lt;=0,"Review – Out of Range (Premium)",
  TRUE,"OK"
)</f>
        <v>OK</v>
      </c>
    </row>
    <row r="452" spans="1:10" ht="16.8" x14ac:dyDescent="0.3">
      <c r="A452" s="11" t="s">
        <v>4039</v>
      </c>
      <c r="B452" s="11" t="s">
        <v>905</v>
      </c>
      <c r="C452" s="11" t="s">
        <v>3380</v>
      </c>
      <c r="D452" s="11">
        <v>350862.84</v>
      </c>
      <c r="E452" s="11">
        <v>23357.07</v>
      </c>
      <c r="F452" s="12">
        <v>45005</v>
      </c>
      <c r="G452" s="12">
        <v>45413</v>
      </c>
      <c r="H452" s="11" t="s">
        <v>3918</v>
      </c>
      <c r="I452" s="11" t="s">
        <v>3365</v>
      </c>
      <c r="J452" s="13" t="str" cm="1">
        <f t="array" ref="J452">_xlfn.IFS(
  OR(ISBLANK(A452),ISBLANK(B452),ISBLANK(H452),ISBLANK(D452),ISBLANK(E452)),"Missing Value",
  D452&lt;=0,"Review – Out of Range (Coverage)",
  E452&lt;=0,"Review – Out of Range (Premium)",
  TRUE,"OK"
)</f>
        <v>OK</v>
      </c>
    </row>
    <row r="453" spans="1:10" ht="16.8" x14ac:dyDescent="0.3">
      <c r="A453" s="14" t="s">
        <v>4040</v>
      </c>
      <c r="B453" s="14" t="s">
        <v>869</v>
      </c>
      <c r="C453" s="14" t="s">
        <v>3363</v>
      </c>
      <c r="D453" s="14">
        <v>749342.98</v>
      </c>
      <c r="E453" s="14">
        <v>42615.73</v>
      </c>
      <c r="F453" s="15">
        <v>44679</v>
      </c>
      <c r="G453" s="15">
        <v>45193</v>
      </c>
      <c r="H453" s="14" t="s">
        <v>3691</v>
      </c>
      <c r="I453" s="14" t="s">
        <v>3365</v>
      </c>
      <c r="J453" s="13" t="str" cm="1">
        <f t="array" ref="J453">_xlfn.IFS(
  OR(ISBLANK(A453),ISBLANK(B453),ISBLANK(H453),ISBLANK(D453),ISBLANK(E453)),"Missing Value",
  D453&lt;=0,"Review – Out of Range (Coverage)",
  E453&lt;=0,"Review – Out of Range (Premium)",
  TRUE,"OK"
)</f>
        <v>OK</v>
      </c>
    </row>
    <row r="454" spans="1:10" ht="16.8" x14ac:dyDescent="0.3">
      <c r="A454" s="11" t="s">
        <v>4041</v>
      </c>
      <c r="B454" s="11" t="s">
        <v>2765</v>
      </c>
      <c r="C454" s="11" t="s">
        <v>3371</v>
      </c>
      <c r="D454" s="11">
        <v>759363.14</v>
      </c>
      <c r="E454" s="11">
        <v>26461.74</v>
      </c>
      <c r="F454" s="12">
        <v>45348</v>
      </c>
      <c r="G454" s="12">
        <v>45596</v>
      </c>
      <c r="H454" s="11" t="s">
        <v>3401</v>
      </c>
      <c r="I454" s="11" t="s">
        <v>3373</v>
      </c>
      <c r="J454" s="13" t="str" cm="1">
        <f t="array" ref="J454">_xlfn.IFS(
  OR(ISBLANK(A454),ISBLANK(B454),ISBLANK(H454),ISBLANK(D454),ISBLANK(E454)),"Missing Value",
  D454&lt;=0,"Review – Out of Range (Coverage)",
  E454&lt;=0,"Review – Out of Range (Premium)",
  TRUE,"OK"
)</f>
        <v>OK</v>
      </c>
    </row>
    <row r="455" spans="1:10" ht="16.8" x14ac:dyDescent="0.3">
      <c r="A455" s="14" t="s">
        <v>4042</v>
      </c>
      <c r="B455" s="14" t="s">
        <v>2635</v>
      </c>
      <c r="C455" s="14" t="s">
        <v>3380</v>
      </c>
      <c r="D455" s="14">
        <v>929288.26</v>
      </c>
      <c r="E455" s="14">
        <v>21504.15</v>
      </c>
      <c r="F455" s="15">
        <v>44565</v>
      </c>
      <c r="G455" s="15">
        <v>44958</v>
      </c>
      <c r="H455" s="14" t="s">
        <v>4043</v>
      </c>
      <c r="I455" s="14" t="s">
        <v>3365</v>
      </c>
      <c r="J455" s="13" t="str" cm="1">
        <f t="array" ref="J455">_xlfn.IFS(
  OR(ISBLANK(A455),ISBLANK(B455),ISBLANK(H455),ISBLANK(D455),ISBLANK(E455)),"Missing Value",
  D455&lt;=0,"Review – Out of Range (Coverage)",
  E455&lt;=0,"Review – Out of Range (Premium)",
  TRUE,"OK"
)</f>
        <v>OK</v>
      </c>
    </row>
    <row r="456" spans="1:10" ht="16.8" x14ac:dyDescent="0.3">
      <c r="A456" s="11" t="s">
        <v>4044</v>
      </c>
      <c r="B456" s="11" t="s">
        <v>2171</v>
      </c>
      <c r="C456" s="11" t="s">
        <v>3363</v>
      </c>
      <c r="D456" s="11">
        <v>299799.12</v>
      </c>
      <c r="E456" s="11">
        <v>7492.98</v>
      </c>
      <c r="F456" s="12">
        <v>44932</v>
      </c>
      <c r="G456" s="12">
        <v>45536</v>
      </c>
      <c r="H456" s="11" t="s">
        <v>4045</v>
      </c>
      <c r="I456" s="11" t="s">
        <v>3365</v>
      </c>
      <c r="J456" s="13" t="str" cm="1">
        <f t="array" ref="J456">_xlfn.IFS(
  OR(ISBLANK(A456),ISBLANK(B456),ISBLANK(H456),ISBLANK(D456),ISBLANK(E456)),"Missing Value",
  D456&lt;=0,"Review – Out of Range (Coverage)",
  E456&lt;=0,"Review – Out of Range (Premium)",
  TRUE,"OK"
)</f>
        <v>OK</v>
      </c>
    </row>
    <row r="457" spans="1:10" ht="16.8" x14ac:dyDescent="0.3">
      <c r="A457" s="14" t="s">
        <v>4046</v>
      </c>
      <c r="B457" s="14" t="s">
        <v>2483</v>
      </c>
      <c r="C457" s="14" t="s">
        <v>3371</v>
      </c>
      <c r="D457" s="14">
        <v>754594.09</v>
      </c>
      <c r="E457" s="14">
        <v>33998.480000000003</v>
      </c>
      <c r="F457" s="15">
        <v>45071</v>
      </c>
      <c r="G457" s="15">
        <v>45577</v>
      </c>
      <c r="H457" s="14" t="s">
        <v>3587</v>
      </c>
      <c r="I457" s="14" t="s">
        <v>3361</v>
      </c>
      <c r="J457" s="13" t="str" cm="1">
        <f t="array" ref="J457">_xlfn.IFS(
  OR(ISBLANK(A457),ISBLANK(B457),ISBLANK(H457),ISBLANK(D457),ISBLANK(E457)),"Missing Value",
  D457&lt;=0,"Review – Out of Range (Coverage)",
  E457&lt;=0,"Review – Out of Range (Premium)",
  TRUE,"OK"
)</f>
        <v>OK</v>
      </c>
    </row>
    <row r="458" spans="1:10" ht="16.8" x14ac:dyDescent="0.3">
      <c r="A458" s="11" t="s">
        <v>4047</v>
      </c>
      <c r="B458" s="11" t="s">
        <v>1419</v>
      </c>
      <c r="C458" s="11" t="s">
        <v>3380</v>
      </c>
      <c r="D458" s="11">
        <v>605992.56999999995</v>
      </c>
      <c r="E458" s="11">
        <v>7813.41</v>
      </c>
      <c r="F458" s="12">
        <v>44668</v>
      </c>
      <c r="G458" s="12">
        <v>45231</v>
      </c>
      <c r="H458" s="11" t="s">
        <v>3562</v>
      </c>
      <c r="I458" s="11" t="s">
        <v>3361</v>
      </c>
      <c r="J458" s="13" t="str" cm="1">
        <f t="array" ref="J458">_xlfn.IFS(
  OR(ISBLANK(A458),ISBLANK(B458),ISBLANK(H458),ISBLANK(D458),ISBLANK(E458)),"Missing Value",
  D458&lt;=0,"Review – Out of Range (Coverage)",
  E458&lt;=0,"Review – Out of Range (Premium)",
  TRUE,"OK"
)</f>
        <v>OK</v>
      </c>
    </row>
    <row r="459" spans="1:10" ht="16.8" x14ac:dyDescent="0.3">
      <c r="A459" s="14" t="s">
        <v>4048</v>
      </c>
      <c r="B459" s="14" t="s">
        <v>929</v>
      </c>
      <c r="C459" s="14" t="s">
        <v>3359</v>
      </c>
      <c r="D459" s="14">
        <v>248395.47</v>
      </c>
      <c r="E459" s="14">
        <v>4031.13</v>
      </c>
      <c r="F459" s="15">
        <v>44636</v>
      </c>
      <c r="G459" s="15">
        <v>45328</v>
      </c>
      <c r="H459" s="14" t="s">
        <v>3762</v>
      </c>
      <c r="I459" s="14" t="s">
        <v>3373</v>
      </c>
      <c r="J459" s="13" t="str" cm="1">
        <f t="array" ref="J459">_xlfn.IFS(
  OR(ISBLANK(A459),ISBLANK(B459),ISBLANK(H459),ISBLANK(D459),ISBLANK(E459)),"Missing Value",
  D459&lt;=0,"Review – Out of Range (Coverage)",
  E459&lt;=0,"Review – Out of Range (Premium)",
  TRUE,"OK"
)</f>
        <v>OK</v>
      </c>
    </row>
    <row r="460" spans="1:10" ht="16.8" x14ac:dyDescent="0.3">
      <c r="A460" s="11" t="s">
        <v>4049</v>
      </c>
      <c r="B460" s="11" t="s">
        <v>2533</v>
      </c>
      <c r="C460" s="11" t="s">
        <v>3363</v>
      </c>
      <c r="D460" s="11">
        <v>821590.37</v>
      </c>
      <c r="E460" s="11">
        <v>6204.58</v>
      </c>
      <c r="F460" s="12">
        <v>45426</v>
      </c>
      <c r="G460" s="12">
        <v>45743</v>
      </c>
      <c r="H460" s="11" t="s">
        <v>3660</v>
      </c>
      <c r="I460" s="11" t="s">
        <v>3361</v>
      </c>
      <c r="J460" s="13" t="str" cm="1">
        <f t="array" ref="J460">_xlfn.IFS(
  OR(ISBLANK(A460),ISBLANK(B460),ISBLANK(H460),ISBLANK(D460),ISBLANK(E460)),"Missing Value",
  D460&lt;=0,"Review – Out of Range (Coverage)",
  E460&lt;=0,"Review – Out of Range (Premium)",
  TRUE,"OK"
)</f>
        <v>OK</v>
      </c>
    </row>
    <row r="461" spans="1:10" ht="16.8" x14ac:dyDescent="0.3">
      <c r="A461" s="14" t="s">
        <v>4050</v>
      </c>
      <c r="B461" s="14" t="s">
        <v>829</v>
      </c>
      <c r="C461" s="14" t="s">
        <v>3359</v>
      </c>
      <c r="D461" s="14">
        <v>626066.5</v>
      </c>
      <c r="E461" s="14">
        <v>47396.639999999999</v>
      </c>
      <c r="F461" s="15">
        <v>45249</v>
      </c>
      <c r="G461" s="15">
        <v>45412</v>
      </c>
      <c r="H461" s="14" t="s">
        <v>3822</v>
      </c>
      <c r="I461" s="14" t="s">
        <v>3365</v>
      </c>
      <c r="J461" s="13" t="str" cm="1">
        <f t="array" ref="J461">_xlfn.IFS(
  OR(ISBLANK(A461),ISBLANK(B461),ISBLANK(H461),ISBLANK(D461),ISBLANK(E461)),"Missing Value",
  D461&lt;=0,"Review – Out of Range (Coverage)",
  E461&lt;=0,"Review – Out of Range (Premium)",
  TRUE,"OK"
)</f>
        <v>OK</v>
      </c>
    </row>
    <row r="462" spans="1:10" ht="16.8" x14ac:dyDescent="0.3">
      <c r="A462" s="11" t="s">
        <v>4051</v>
      </c>
      <c r="B462" s="11" t="s">
        <v>2263</v>
      </c>
      <c r="C462" s="11" t="s">
        <v>3371</v>
      </c>
      <c r="D462" s="11">
        <v>228610.42</v>
      </c>
      <c r="E462" s="11">
        <v>43465.11</v>
      </c>
      <c r="F462" s="12">
        <v>44931</v>
      </c>
      <c r="G462" s="12">
        <v>45768</v>
      </c>
      <c r="H462" s="11" t="s">
        <v>3687</v>
      </c>
      <c r="I462" s="11" t="s">
        <v>3361</v>
      </c>
      <c r="J462" s="13" t="str" cm="1">
        <f t="array" ref="J462">_xlfn.IFS(
  OR(ISBLANK(A462),ISBLANK(B462),ISBLANK(H462),ISBLANK(D462),ISBLANK(E462)),"Missing Value",
  D462&lt;=0,"Review – Out of Range (Coverage)",
  E462&lt;=0,"Review – Out of Range (Premium)",
  TRUE,"OK"
)</f>
        <v>OK</v>
      </c>
    </row>
    <row r="463" spans="1:10" ht="16.8" x14ac:dyDescent="0.3">
      <c r="A463" s="14" t="s">
        <v>4052</v>
      </c>
      <c r="B463" s="14" t="s">
        <v>1879</v>
      </c>
      <c r="C463" s="14" t="s">
        <v>3359</v>
      </c>
      <c r="D463" s="14">
        <v>588552.42000000004</v>
      </c>
      <c r="E463" s="14">
        <v>11187.2</v>
      </c>
      <c r="F463" s="15">
        <v>44904</v>
      </c>
      <c r="G463" s="15">
        <v>45351</v>
      </c>
      <c r="H463" s="14" t="s">
        <v>3467</v>
      </c>
      <c r="I463" s="14" t="s">
        <v>3361</v>
      </c>
      <c r="J463" s="13" t="str" cm="1">
        <f t="array" ref="J463">_xlfn.IFS(
  OR(ISBLANK(A463),ISBLANK(B463),ISBLANK(H463),ISBLANK(D463),ISBLANK(E463)),"Missing Value",
  D463&lt;=0,"Review – Out of Range (Coverage)",
  E463&lt;=0,"Review – Out of Range (Premium)",
  TRUE,"OK"
)</f>
        <v>OK</v>
      </c>
    </row>
    <row r="464" spans="1:10" ht="16.8" x14ac:dyDescent="0.3">
      <c r="A464" s="11" t="s">
        <v>4053</v>
      </c>
      <c r="B464" s="11" t="s">
        <v>2301</v>
      </c>
      <c r="C464" s="11" t="s">
        <v>3359</v>
      </c>
      <c r="D464" s="11">
        <v>756517.86</v>
      </c>
      <c r="E464" s="11">
        <v>32399.05</v>
      </c>
      <c r="F464" s="12">
        <v>45489</v>
      </c>
      <c r="G464" s="12">
        <v>45737</v>
      </c>
      <c r="H464" s="11" t="s">
        <v>3670</v>
      </c>
      <c r="I464" s="11" t="s">
        <v>3361</v>
      </c>
      <c r="J464" s="13" t="str" cm="1">
        <f t="array" ref="J464">_xlfn.IFS(
  OR(ISBLANK(A464),ISBLANK(B464),ISBLANK(H464),ISBLANK(D464),ISBLANK(E464)),"Missing Value",
  D464&lt;=0,"Review – Out of Range (Coverage)",
  E464&lt;=0,"Review – Out of Range (Premium)",
  TRUE,"OK"
)</f>
        <v>OK</v>
      </c>
    </row>
    <row r="465" spans="1:10" ht="16.8" x14ac:dyDescent="0.3">
      <c r="A465" s="14" t="s">
        <v>4054</v>
      </c>
      <c r="B465" s="14" t="s">
        <v>2673</v>
      </c>
      <c r="C465" s="14" t="s">
        <v>3359</v>
      </c>
      <c r="D465" s="14">
        <v>906578.95</v>
      </c>
      <c r="E465" s="14">
        <v>42841.16</v>
      </c>
      <c r="F465" s="15">
        <v>45291</v>
      </c>
      <c r="G465" s="15">
        <v>45730</v>
      </c>
      <c r="H465" s="14" t="s">
        <v>3465</v>
      </c>
      <c r="I465" s="14" t="s">
        <v>3373</v>
      </c>
      <c r="J465" s="13" t="str" cm="1">
        <f t="array" ref="J465">_xlfn.IFS(
  OR(ISBLANK(A465),ISBLANK(B465),ISBLANK(H465),ISBLANK(D465),ISBLANK(E465)),"Missing Value",
  D465&lt;=0,"Review – Out of Range (Coverage)",
  E465&lt;=0,"Review – Out of Range (Premium)",
  TRUE,"OK"
)</f>
        <v>OK</v>
      </c>
    </row>
    <row r="466" spans="1:10" ht="16.8" x14ac:dyDescent="0.3">
      <c r="A466" s="11" t="s">
        <v>4055</v>
      </c>
      <c r="B466" s="11" t="s">
        <v>973</v>
      </c>
      <c r="C466" s="11" t="s">
        <v>3359</v>
      </c>
      <c r="D466" s="11">
        <v>957896.95</v>
      </c>
      <c r="E466" s="11">
        <v>49805.279999999999</v>
      </c>
      <c r="F466" s="12">
        <v>44934</v>
      </c>
      <c r="G466" s="12">
        <v>45178</v>
      </c>
      <c r="H466" s="11" t="s">
        <v>4056</v>
      </c>
      <c r="I466" s="11" t="s">
        <v>3365</v>
      </c>
      <c r="J466" s="13" t="str" cm="1">
        <f t="array" ref="J466">_xlfn.IFS(
  OR(ISBLANK(A466),ISBLANK(B466),ISBLANK(H466),ISBLANK(D466),ISBLANK(E466)),"Missing Value",
  D466&lt;=0,"Review – Out of Range (Coverage)",
  E466&lt;=0,"Review – Out of Range (Premium)",
  TRUE,"OK"
)</f>
        <v>OK</v>
      </c>
    </row>
    <row r="467" spans="1:10" ht="16.8" x14ac:dyDescent="0.3">
      <c r="A467" s="14" t="s">
        <v>4057</v>
      </c>
      <c r="B467" s="14" t="s">
        <v>2935</v>
      </c>
      <c r="C467" s="14" t="s">
        <v>3359</v>
      </c>
      <c r="D467" s="14">
        <v>552304.07999999996</v>
      </c>
      <c r="E467" s="14">
        <v>15251.04</v>
      </c>
      <c r="F467" s="15">
        <v>45005</v>
      </c>
      <c r="G467" s="15">
        <v>45708</v>
      </c>
      <c r="H467" s="14" t="s">
        <v>3728</v>
      </c>
      <c r="I467" s="14" t="s">
        <v>3365</v>
      </c>
      <c r="J467" s="13" t="str" cm="1">
        <f t="array" ref="J467">_xlfn.IFS(
  OR(ISBLANK(A467),ISBLANK(B467),ISBLANK(H467),ISBLANK(D467),ISBLANK(E467)),"Missing Value",
  D467&lt;=0,"Review – Out of Range (Coverage)",
  E467&lt;=0,"Review – Out of Range (Premium)",
  TRUE,"OK"
)</f>
        <v>OK</v>
      </c>
    </row>
    <row r="468" spans="1:10" ht="16.8" x14ac:dyDescent="0.3">
      <c r="A468" s="11" t="s">
        <v>4058</v>
      </c>
      <c r="B468" s="11" t="s">
        <v>1363</v>
      </c>
      <c r="C468" s="11" t="s">
        <v>3377</v>
      </c>
      <c r="D468" s="11">
        <v>835399.66</v>
      </c>
      <c r="E468" s="11">
        <v>15145.22</v>
      </c>
      <c r="F468" s="12">
        <v>44743</v>
      </c>
      <c r="G468" s="12">
        <v>44936</v>
      </c>
      <c r="H468" s="11" t="s">
        <v>3421</v>
      </c>
      <c r="I468" s="11" t="s">
        <v>3365</v>
      </c>
      <c r="J468" s="13" t="str" cm="1">
        <f t="array" ref="J468">_xlfn.IFS(
  OR(ISBLANK(A468),ISBLANK(B468),ISBLANK(H468),ISBLANK(D468),ISBLANK(E468)),"Missing Value",
  D468&lt;=0,"Review – Out of Range (Coverage)",
  E468&lt;=0,"Review – Out of Range (Premium)",
  TRUE,"OK"
)</f>
        <v>OK</v>
      </c>
    </row>
    <row r="469" spans="1:10" ht="16.8" x14ac:dyDescent="0.3">
      <c r="A469" s="14" t="s">
        <v>4059</v>
      </c>
      <c r="B469" s="14" t="s">
        <v>707</v>
      </c>
      <c r="C469" s="14" t="s">
        <v>3359</v>
      </c>
      <c r="D469" s="14">
        <v>280016.65999999997</v>
      </c>
      <c r="E469" s="14">
        <v>40111.879999999997</v>
      </c>
      <c r="F469" s="15">
        <v>45414</v>
      </c>
      <c r="G469" s="15">
        <v>45624</v>
      </c>
      <c r="H469" s="14" t="s">
        <v>3846</v>
      </c>
      <c r="I469" s="14" t="s">
        <v>3361</v>
      </c>
      <c r="J469" s="13" t="str" cm="1">
        <f t="array" ref="J469">_xlfn.IFS(
  OR(ISBLANK(A469),ISBLANK(B469),ISBLANK(H469),ISBLANK(D469),ISBLANK(E469)),"Missing Value",
  D469&lt;=0,"Review – Out of Range (Coverage)",
  E469&lt;=0,"Review – Out of Range (Premium)",
  TRUE,"OK"
)</f>
        <v>OK</v>
      </c>
    </row>
    <row r="470" spans="1:10" ht="16.8" x14ac:dyDescent="0.3">
      <c r="A470" s="11" t="s">
        <v>4060</v>
      </c>
      <c r="B470" s="11" t="s">
        <v>1285</v>
      </c>
      <c r="C470" s="11" t="s">
        <v>3371</v>
      </c>
      <c r="D470" s="11">
        <v>993955.61</v>
      </c>
      <c r="E470" s="11">
        <v>33490.230000000003</v>
      </c>
      <c r="F470" s="12">
        <v>44768</v>
      </c>
      <c r="G470" s="12">
        <v>45207</v>
      </c>
      <c r="H470" s="11" t="s">
        <v>3764</v>
      </c>
      <c r="I470" s="11" t="s">
        <v>3365</v>
      </c>
      <c r="J470" s="13" t="str" cm="1">
        <f t="array" ref="J470">_xlfn.IFS(
  OR(ISBLANK(A470),ISBLANK(B470),ISBLANK(H470),ISBLANK(D470),ISBLANK(E470)),"Missing Value",
  D470&lt;=0,"Review – Out of Range (Coverage)",
  E470&lt;=0,"Review – Out of Range (Premium)",
  TRUE,"OK"
)</f>
        <v>OK</v>
      </c>
    </row>
    <row r="471" spans="1:10" ht="16.8" x14ac:dyDescent="0.3">
      <c r="A471" s="14" t="s">
        <v>4061</v>
      </c>
      <c r="B471" s="14" t="s">
        <v>1053</v>
      </c>
      <c r="C471" s="14" t="s">
        <v>3363</v>
      </c>
      <c r="D471" s="14">
        <v>490242.35</v>
      </c>
      <c r="E471" s="14">
        <v>36533.99</v>
      </c>
      <c r="F471" s="15">
        <v>44983</v>
      </c>
      <c r="G471" s="15">
        <v>45627</v>
      </c>
      <c r="H471" s="14" t="s">
        <v>4062</v>
      </c>
      <c r="I471" s="14" t="s">
        <v>3361</v>
      </c>
      <c r="J471" s="13" t="str" cm="1">
        <f t="array" ref="J471">_xlfn.IFS(
  OR(ISBLANK(A471),ISBLANK(B471),ISBLANK(H471),ISBLANK(D471),ISBLANK(E471)),"Missing Value",
  D471&lt;=0,"Review – Out of Range (Coverage)",
  E471&lt;=0,"Review – Out of Range (Premium)",
  TRUE,"OK"
)</f>
        <v>OK</v>
      </c>
    </row>
    <row r="472" spans="1:10" ht="16.8" x14ac:dyDescent="0.3">
      <c r="A472" s="11" t="s">
        <v>4063</v>
      </c>
      <c r="B472" s="11" t="s">
        <v>3068</v>
      </c>
      <c r="C472" s="11" t="s">
        <v>3363</v>
      </c>
      <c r="D472" s="11">
        <v>598861.52</v>
      </c>
      <c r="E472" s="11">
        <v>46960.11</v>
      </c>
      <c r="F472" s="12">
        <v>44749</v>
      </c>
      <c r="G472" s="12">
        <v>44855</v>
      </c>
      <c r="H472" s="11" t="s">
        <v>4064</v>
      </c>
      <c r="I472" s="11" t="s">
        <v>3361</v>
      </c>
      <c r="J472" s="13" t="str" cm="1">
        <f t="array" ref="J472">_xlfn.IFS(
  OR(ISBLANK(A472),ISBLANK(B472),ISBLANK(H472),ISBLANK(D472),ISBLANK(E472)),"Missing Value",
  D472&lt;=0,"Review – Out of Range (Coverage)",
  E472&lt;=0,"Review – Out of Range (Premium)",
  TRUE,"OK"
)</f>
        <v>OK</v>
      </c>
    </row>
    <row r="473" spans="1:10" ht="16.8" x14ac:dyDescent="0.3">
      <c r="A473" s="14" t="s">
        <v>4065</v>
      </c>
      <c r="B473" s="14" t="s">
        <v>989</v>
      </c>
      <c r="C473" s="14" t="s">
        <v>3371</v>
      </c>
      <c r="D473" s="14">
        <v>459775.68</v>
      </c>
      <c r="E473" s="14">
        <v>5573.79</v>
      </c>
      <c r="F473" s="15">
        <v>44817</v>
      </c>
      <c r="G473" s="15">
        <v>45733</v>
      </c>
      <c r="H473" s="14" t="s">
        <v>3691</v>
      </c>
      <c r="I473" s="14" t="s">
        <v>3365</v>
      </c>
      <c r="J473" s="13" t="str" cm="1">
        <f t="array" ref="J473">_xlfn.IFS(
  OR(ISBLANK(A473),ISBLANK(B473),ISBLANK(H473),ISBLANK(D473),ISBLANK(E473)),"Missing Value",
  D473&lt;=0,"Review – Out of Range (Coverage)",
  E473&lt;=0,"Review – Out of Range (Premium)",
  TRUE,"OK"
)</f>
        <v>OK</v>
      </c>
    </row>
    <row r="474" spans="1:10" ht="16.8" x14ac:dyDescent="0.3">
      <c r="A474" s="11" t="s">
        <v>4066</v>
      </c>
      <c r="B474" s="11" t="s">
        <v>741</v>
      </c>
      <c r="C474" s="11" t="s">
        <v>3363</v>
      </c>
      <c r="D474" s="11">
        <v>239060.96</v>
      </c>
      <c r="E474" s="11">
        <v>38359.18</v>
      </c>
      <c r="F474" s="12">
        <v>45008</v>
      </c>
      <c r="G474" s="12">
        <v>45137</v>
      </c>
      <c r="H474" s="11" t="s">
        <v>4067</v>
      </c>
      <c r="I474" s="11" t="s">
        <v>3373</v>
      </c>
      <c r="J474" s="13" t="str" cm="1">
        <f t="array" ref="J474">_xlfn.IFS(
  OR(ISBLANK(A474),ISBLANK(B474),ISBLANK(H474),ISBLANK(D474),ISBLANK(E474)),"Missing Value",
  D474&lt;=0,"Review – Out of Range (Coverage)",
  E474&lt;=0,"Review – Out of Range (Premium)",
  TRUE,"OK"
)</f>
        <v>OK</v>
      </c>
    </row>
    <row r="475" spans="1:10" ht="16.8" x14ac:dyDescent="0.3">
      <c r="A475" s="14" t="s">
        <v>4068</v>
      </c>
      <c r="B475" s="14" t="s">
        <v>376</v>
      </c>
      <c r="C475" s="14" t="s">
        <v>3371</v>
      </c>
      <c r="D475" s="14">
        <v>548995.11</v>
      </c>
      <c r="E475" s="14">
        <v>27754.17</v>
      </c>
      <c r="F475" s="15">
        <v>45294</v>
      </c>
      <c r="G475" s="15">
        <v>45599</v>
      </c>
      <c r="H475" s="14" t="s">
        <v>3841</v>
      </c>
      <c r="I475" s="14" t="s">
        <v>3365</v>
      </c>
      <c r="J475" s="13" t="str" cm="1">
        <f t="array" ref="J475">_xlfn.IFS(
  OR(ISBLANK(A475),ISBLANK(B475),ISBLANK(H475),ISBLANK(D475),ISBLANK(E475)),"Missing Value",
  D475&lt;=0,"Review – Out of Range (Coverage)",
  E475&lt;=0,"Review – Out of Range (Premium)",
  TRUE,"OK"
)</f>
        <v>OK</v>
      </c>
    </row>
    <row r="476" spans="1:10" ht="16.8" x14ac:dyDescent="0.3">
      <c r="A476" s="11" t="s">
        <v>4069</v>
      </c>
      <c r="B476" s="11" t="s">
        <v>176</v>
      </c>
      <c r="C476" s="11" t="s">
        <v>3377</v>
      </c>
      <c r="D476" s="11">
        <v>914650.1</v>
      </c>
      <c r="E476" s="11">
        <v>10390.85</v>
      </c>
      <c r="F476" s="12">
        <v>45449</v>
      </c>
      <c r="G476" s="12">
        <v>45594</v>
      </c>
      <c r="H476" s="11" t="s">
        <v>3425</v>
      </c>
      <c r="I476" s="11" t="s">
        <v>3365</v>
      </c>
      <c r="J476" s="13" t="str" cm="1">
        <f t="array" ref="J476">_xlfn.IFS(
  OR(ISBLANK(A476),ISBLANK(B476),ISBLANK(H476),ISBLANK(D476),ISBLANK(E476)),"Missing Value",
  D476&lt;=0,"Review – Out of Range (Coverage)",
  E476&lt;=0,"Review – Out of Range (Premium)",
  TRUE,"OK"
)</f>
        <v>OK</v>
      </c>
    </row>
    <row r="477" spans="1:10" ht="16.8" x14ac:dyDescent="0.3">
      <c r="A477" s="14" t="s">
        <v>4070</v>
      </c>
      <c r="B477" s="14" t="s">
        <v>3346</v>
      </c>
      <c r="C477" s="14" t="s">
        <v>3371</v>
      </c>
      <c r="D477" s="14">
        <v>875196.03</v>
      </c>
      <c r="E477" s="14">
        <v>47273.120000000003</v>
      </c>
      <c r="F477" s="15">
        <v>45132</v>
      </c>
      <c r="G477" s="15">
        <v>45707</v>
      </c>
      <c r="H477" s="14" t="s">
        <v>3964</v>
      </c>
      <c r="I477" s="14" t="s">
        <v>3361</v>
      </c>
      <c r="J477" s="13" t="str" cm="1">
        <f t="array" ref="J477">_xlfn.IFS(
  OR(ISBLANK(A477),ISBLANK(B477),ISBLANK(H477),ISBLANK(D477),ISBLANK(E477)),"Missing Value",
  D477&lt;=0,"Review – Out of Range (Coverage)",
  E477&lt;=0,"Review – Out of Range (Premium)",
  TRUE,"OK"
)</f>
        <v>OK</v>
      </c>
    </row>
    <row r="478" spans="1:10" ht="16.8" x14ac:dyDescent="0.3">
      <c r="A478" s="11" t="s">
        <v>4071</v>
      </c>
      <c r="B478" s="11" t="s">
        <v>160</v>
      </c>
      <c r="C478" s="11" t="s">
        <v>3380</v>
      </c>
      <c r="D478" s="11">
        <v>602323.56999999995</v>
      </c>
      <c r="E478" s="11">
        <v>35882.959999999999</v>
      </c>
      <c r="F478" s="12">
        <v>45259</v>
      </c>
      <c r="G478" s="12">
        <v>45553</v>
      </c>
      <c r="H478" s="11" t="s">
        <v>3939</v>
      </c>
      <c r="I478" s="11" t="s">
        <v>3361</v>
      </c>
      <c r="J478" s="13" t="str" cm="1">
        <f t="array" ref="J478">_xlfn.IFS(
  OR(ISBLANK(A478),ISBLANK(B478),ISBLANK(H478),ISBLANK(D478),ISBLANK(E478)),"Missing Value",
  D478&lt;=0,"Review – Out of Range (Coverage)",
  E478&lt;=0,"Review – Out of Range (Premium)",
  TRUE,"OK"
)</f>
        <v>OK</v>
      </c>
    </row>
    <row r="479" spans="1:10" ht="16.8" x14ac:dyDescent="0.3">
      <c r="A479" s="14" t="s">
        <v>4072</v>
      </c>
      <c r="B479" s="14" t="s">
        <v>2537</v>
      </c>
      <c r="C479" s="14" t="s">
        <v>3363</v>
      </c>
      <c r="D479" s="14">
        <v>339544.81</v>
      </c>
      <c r="E479" s="14">
        <v>19171.37</v>
      </c>
      <c r="F479" s="15">
        <v>44910</v>
      </c>
      <c r="G479" s="15">
        <v>45704</v>
      </c>
      <c r="H479" s="14" t="s">
        <v>3591</v>
      </c>
      <c r="I479" s="14" t="s">
        <v>3365</v>
      </c>
      <c r="J479" s="13" t="str" cm="1">
        <f t="array" ref="J479">_xlfn.IFS(
  OR(ISBLANK(A479),ISBLANK(B479),ISBLANK(H479),ISBLANK(D479),ISBLANK(E479)),"Missing Value",
  D479&lt;=0,"Review – Out of Range (Coverage)",
  E479&lt;=0,"Review – Out of Range (Premium)",
  TRUE,"OK"
)</f>
        <v>OK</v>
      </c>
    </row>
    <row r="480" spans="1:10" ht="16.8" x14ac:dyDescent="0.3">
      <c r="A480" s="11" t="s">
        <v>4073</v>
      </c>
      <c r="B480" s="11" t="s">
        <v>2067</v>
      </c>
      <c r="C480" s="11" t="s">
        <v>3359</v>
      </c>
      <c r="D480" s="11">
        <v>212936.56</v>
      </c>
      <c r="E480" s="11">
        <v>21306.29</v>
      </c>
      <c r="F480" s="12">
        <v>44566</v>
      </c>
      <c r="G480" s="12">
        <v>45217</v>
      </c>
      <c r="H480" s="11" t="s">
        <v>3405</v>
      </c>
      <c r="I480" s="11" t="s">
        <v>3373</v>
      </c>
      <c r="J480" s="13" t="str" cm="1">
        <f t="array" ref="J480">_xlfn.IFS(
  OR(ISBLANK(A480),ISBLANK(B480),ISBLANK(H480),ISBLANK(D480),ISBLANK(E480)),"Missing Value",
  D480&lt;=0,"Review – Out of Range (Coverage)",
  E480&lt;=0,"Review – Out of Range (Premium)",
  TRUE,"OK"
)</f>
        <v>OK</v>
      </c>
    </row>
    <row r="481" spans="1:10" ht="16.8" x14ac:dyDescent="0.3">
      <c r="A481" s="14" t="s">
        <v>4074</v>
      </c>
      <c r="B481" s="14" t="s">
        <v>1311</v>
      </c>
      <c r="C481" s="14" t="s">
        <v>3359</v>
      </c>
      <c r="D481" s="14">
        <v>254540.49</v>
      </c>
      <c r="E481" s="14">
        <v>29363.919999999998</v>
      </c>
      <c r="F481" s="15">
        <v>44991</v>
      </c>
      <c r="G481" s="15">
        <v>45342</v>
      </c>
      <c r="H481" s="14" t="s">
        <v>3770</v>
      </c>
      <c r="I481" s="14" t="s">
        <v>3365</v>
      </c>
      <c r="J481" s="13" t="str" cm="1">
        <f t="array" ref="J481">_xlfn.IFS(
  OR(ISBLANK(A481),ISBLANK(B481),ISBLANK(H481),ISBLANK(D481),ISBLANK(E481)),"Missing Value",
  D481&lt;=0,"Review – Out of Range (Coverage)",
  E481&lt;=0,"Review – Out of Range (Premium)",
  TRUE,"OK"
)</f>
        <v>OK</v>
      </c>
    </row>
    <row r="482" spans="1:10" ht="16.8" x14ac:dyDescent="0.3">
      <c r="A482" s="11" t="s">
        <v>4075</v>
      </c>
      <c r="B482" s="11" t="s">
        <v>2131</v>
      </c>
      <c r="C482" s="11" t="s">
        <v>3363</v>
      </c>
      <c r="D482" s="11">
        <v>689930.38</v>
      </c>
      <c r="E482" s="11">
        <v>34543.65</v>
      </c>
      <c r="F482" s="12">
        <v>44812</v>
      </c>
      <c r="G482" s="12">
        <v>45768</v>
      </c>
      <c r="H482" s="11" t="s">
        <v>4076</v>
      </c>
      <c r="I482" s="11" t="s">
        <v>3365</v>
      </c>
      <c r="J482" s="13" t="str" cm="1">
        <f t="array" ref="J482">_xlfn.IFS(
  OR(ISBLANK(A482),ISBLANK(B482),ISBLANK(H482),ISBLANK(D482),ISBLANK(E482)),"Missing Value",
  D482&lt;=0,"Review – Out of Range (Coverage)",
  E482&lt;=0,"Review – Out of Range (Premium)",
  TRUE,"OK"
)</f>
        <v>OK</v>
      </c>
    </row>
    <row r="483" spans="1:10" ht="16.8" x14ac:dyDescent="0.3">
      <c r="A483" s="14" t="s">
        <v>4077</v>
      </c>
      <c r="B483" s="14" t="s">
        <v>524</v>
      </c>
      <c r="C483" s="14" t="s">
        <v>3359</v>
      </c>
      <c r="D483" s="14">
        <v>221668.87</v>
      </c>
      <c r="E483" s="14">
        <v>15955.23</v>
      </c>
      <c r="F483" s="15">
        <v>44954</v>
      </c>
      <c r="G483" s="15">
        <v>45060</v>
      </c>
      <c r="H483" s="14" t="s">
        <v>3939</v>
      </c>
      <c r="I483" s="14" t="s">
        <v>3361</v>
      </c>
      <c r="J483" s="13" t="str" cm="1">
        <f t="array" ref="J483">_xlfn.IFS(
  OR(ISBLANK(A483),ISBLANK(B483),ISBLANK(H483),ISBLANK(D483),ISBLANK(E483)),"Missing Value",
  D483&lt;=0,"Review – Out of Range (Coverage)",
  E483&lt;=0,"Review – Out of Range (Premium)",
  TRUE,"OK"
)</f>
        <v>OK</v>
      </c>
    </row>
    <row r="484" spans="1:10" ht="16.8" x14ac:dyDescent="0.3">
      <c r="A484" s="11" t="s">
        <v>4078</v>
      </c>
      <c r="B484" s="11" t="s">
        <v>1569</v>
      </c>
      <c r="C484" s="11" t="s">
        <v>3359</v>
      </c>
      <c r="D484" s="11">
        <v>439642.23</v>
      </c>
      <c r="E484" s="11">
        <v>6210.91</v>
      </c>
      <c r="F484" s="12">
        <v>44319</v>
      </c>
      <c r="G484" s="12">
        <v>44578</v>
      </c>
      <c r="H484" s="11" t="s">
        <v>3605</v>
      </c>
      <c r="I484" s="11" t="s">
        <v>3373</v>
      </c>
      <c r="J484" s="13" t="str" cm="1">
        <f t="array" ref="J484">_xlfn.IFS(
  OR(ISBLANK(A484),ISBLANK(B484),ISBLANK(H484),ISBLANK(D484),ISBLANK(E484)),"Missing Value",
  D484&lt;=0,"Review – Out of Range (Coverage)",
  E484&lt;=0,"Review – Out of Range (Premium)",
  TRUE,"OK"
)</f>
        <v>OK</v>
      </c>
    </row>
    <row r="485" spans="1:10" ht="16.8" x14ac:dyDescent="0.3">
      <c r="A485" s="14" t="s">
        <v>4079</v>
      </c>
      <c r="B485" s="14" t="s">
        <v>3184</v>
      </c>
      <c r="C485" s="14" t="s">
        <v>3363</v>
      </c>
      <c r="D485" s="14">
        <v>865249.34</v>
      </c>
      <c r="E485" s="14">
        <v>47292.42</v>
      </c>
      <c r="F485" s="15">
        <v>44348</v>
      </c>
      <c r="G485" s="15">
        <v>45463</v>
      </c>
      <c r="H485" s="14" t="s">
        <v>4080</v>
      </c>
      <c r="I485" s="14" t="s">
        <v>3361</v>
      </c>
      <c r="J485" s="13" t="str" cm="1">
        <f t="array" ref="J485">_xlfn.IFS(
  OR(ISBLANK(A485),ISBLANK(B485),ISBLANK(H485),ISBLANK(D485),ISBLANK(E485)),"Missing Value",
  D485&lt;=0,"Review – Out of Range (Coverage)",
  E485&lt;=0,"Review – Out of Range (Premium)",
  TRUE,"OK"
)</f>
        <v>OK</v>
      </c>
    </row>
    <row r="486" spans="1:10" ht="16.8" x14ac:dyDescent="0.3">
      <c r="A486" s="11" t="s">
        <v>4081</v>
      </c>
      <c r="B486" s="11" t="s">
        <v>709</v>
      </c>
      <c r="C486" s="11" t="s">
        <v>3359</v>
      </c>
      <c r="D486" s="11">
        <v>176246.1</v>
      </c>
      <c r="E486" s="11">
        <v>30696.81</v>
      </c>
      <c r="F486" s="12">
        <v>45186</v>
      </c>
      <c r="G486" s="12">
        <v>45618</v>
      </c>
      <c r="H486" s="11" t="s">
        <v>3806</v>
      </c>
      <c r="I486" s="11" t="s">
        <v>3361</v>
      </c>
      <c r="J486" s="13" t="str" cm="1">
        <f t="array" ref="J486">_xlfn.IFS(
  OR(ISBLANK(A486),ISBLANK(B486),ISBLANK(H486),ISBLANK(D486),ISBLANK(E486)),"Missing Value",
  D486&lt;=0,"Review – Out of Range (Coverage)",
  E486&lt;=0,"Review – Out of Range (Premium)",
  TRUE,"OK"
)</f>
        <v>OK</v>
      </c>
    </row>
    <row r="487" spans="1:10" ht="16.8" x14ac:dyDescent="0.3">
      <c r="A487" s="14" t="s">
        <v>4082</v>
      </c>
      <c r="B487" s="14" t="s">
        <v>2211</v>
      </c>
      <c r="C487" s="14" t="s">
        <v>3363</v>
      </c>
      <c r="D487" s="14">
        <v>996552.62</v>
      </c>
      <c r="E487" s="14">
        <v>9224.2099999999991</v>
      </c>
      <c r="F487" s="15">
        <v>44716</v>
      </c>
      <c r="G487" s="15">
        <v>45004</v>
      </c>
      <c r="H487" s="14" t="s">
        <v>3444</v>
      </c>
      <c r="I487" s="14" t="s">
        <v>3373</v>
      </c>
      <c r="J487" s="13" t="str" cm="1">
        <f t="array" ref="J487">_xlfn.IFS(
  OR(ISBLANK(A487),ISBLANK(B487),ISBLANK(H487),ISBLANK(D487),ISBLANK(E487)),"Missing Value",
  D487&lt;=0,"Review – Out of Range (Coverage)",
  E487&lt;=0,"Review – Out of Range (Premium)",
  TRUE,"OK"
)</f>
        <v>OK</v>
      </c>
    </row>
    <row r="488" spans="1:10" ht="16.8" x14ac:dyDescent="0.3">
      <c r="A488" s="11" t="s">
        <v>4083</v>
      </c>
      <c r="B488" s="11" t="s">
        <v>3200</v>
      </c>
      <c r="C488" s="11" t="s">
        <v>3380</v>
      </c>
      <c r="D488" s="11">
        <v>475001.01</v>
      </c>
      <c r="E488" s="11">
        <v>40408.629999999997</v>
      </c>
      <c r="F488" s="12">
        <v>45215</v>
      </c>
      <c r="G488" s="12">
        <v>45862</v>
      </c>
      <c r="H488" s="11" t="s">
        <v>3691</v>
      </c>
      <c r="I488" s="11" t="s">
        <v>3361</v>
      </c>
      <c r="J488" s="13" t="str" cm="1">
        <f t="array" ref="J488">_xlfn.IFS(
  OR(ISBLANK(A488),ISBLANK(B488),ISBLANK(H488),ISBLANK(D488),ISBLANK(E488)),"Missing Value",
  D488&lt;=0,"Review – Out of Range (Coverage)",
  E488&lt;=0,"Review – Out of Range (Premium)",
  TRUE,"OK"
)</f>
        <v>OK</v>
      </c>
    </row>
    <row r="489" spans="1:10" ht="16.8" x14ac:dyDescent="0.3">
      <c r="A489" s="14" t="s">
        <v>4084</v>
      </c>
      <c r="B489" s="14" t="s">
        <v>2161</v>
      </c>
      <c r="C489" s="14" t="s">
        <v>3371</v>
      </c>
      <c r="D489" s="14">
        <v>762636.47</v>
      </c>
      <c r="E489" s="14">
        <v>39288.65</v>
      </c>
      <c r="F489" s="15">
        <v>45015</v>
      </c>
      <c r="G489" s="15">
        <v>45430</v>
      </c>
      <c r="H489" s="14" t="s">
        <v>3480</v>
      </c>
      <c r="I489" s="14" t="s">
        <v>3365</v>
      </c>
      <c r="J489" s="13" t="str" cm="1">
        <f t="array" ref="J489">_xlfn.IFS(
  OR(ISBLANK(A489),ISBLANK(B489),ISBLANK(H489),ISBLANK(D489),ISBLANK(E489)),"Missing Value",
  D489&lt;=0,"Review – Out of Range (Coverage)",
  E489&lt;=0,"Review – Out of Range (Premium)",
  TRUE,"OK"
)</f>
        <v>OK</v>
      </c>
    </row>
    <row r="490" spans="1:10" ht="16.8" x14ac:dyDescent="0.3">
      <c r="A490" s="11" t="s">
        <v>4085</v>
      </c>
      <c r="B490" s="11" t="s">
        <v>1959</v>
      </c>
      <c r="C490" s="11" t="s">
        <v>3363</v>
      </c>
      <c r="D490" s="11">
        <v>578045.82999999996</v>
      </c>
      <c r="E490" s="11">
        <v>35348.239999999998</v>
      </c>
      <c r="F490" s="12">
        <v>45219</v>
      </c>
      <c r="G490" s="12">
        <v>45748</v>
      </c>
      <c r="H490" s="11" t="s">
        <v>3838</v>
      </c>
      <c r="I490" s="11" t="s">
        <v>3373</v>
      </c>
      <c r="J490" s="13" t="str" cm="1">
        <f t="array" ref="J490">_xlfn.IFS(
  OR(ISBLANK(A490),ISBLANK(B490),ISBLANK(H490),ISBLANK(D490),ISBLANK(E490)),"Missing Value",
  D490&lt;=0,"Review – Out of Range (Coverage)",
  E490&lt;=0,"Review – Out of Range (Premium)",
  TRUE,"OK"
)</f>
        <v>OK</v>
      </c>
    </row>
    <row r="491" spans="1:10" ht="16.8" x14ac:dyDescent="0.3">
      <c r="A491" s="14" t="s">
        <v>4086</v>
      </c>
      <c r="B491" s="14" t="s">
        <v>555</v>
      </c>
      <c r="C491" s="14" t="s">
        <v>3359</v>
      </c>
      <c r="D491" s="14">
        <v>686810.46</v>
      </c>
      <c r="E491" s="14">
        <v>48762.1</v>
      </c>
      <c r="F491" s="15">
        <v>44395</v>
      </c>
      <c r="G491" s="15">
        <v>44822</v>
      </c>
      <c r="H491" s="14" t="s">
        <v>3415</v>
      </c>
      <c r="I491" s="14" t="s">
        <v>3373</v>
      </c>
      <c r="J491" s="13" t="str" cm="1">
        <f t="array" ref="J491">_xlfn.IFS(
  OR(ISBLANK(A491),ISBLANK(B491),ISBLANK(H491),ISBLANK(D491),ISBLANK(E491)),"Missing Value",
  D491&lt;=0,"Review – Out of Range (Coverage)",
  E491&lt;=0,"Review – Out of Range (Premium)",
  TRUE,"OK"
)</f>
        <v>OK</v>
      </c>
    </row>
    <row r="492" spans="1:10" ht="16.8" x14ac:dyDescent="0.3">
      <c r="A492" s="11" t="s">
        <v>4087</v>
      </c>
      <c r="B492" s="11" t="s">
        <v>1637</v>
      </c>
      <c r="C492" s="11" t="s">
        <v>3363</v>
      </c>
      <c r="D492" s="11">
        <v>531031.94999999995</v>
      </c>
      <c r="E492" s="11">
        <v>42862.81</v>
      </c>
      <c r="F492" s="12">
        <v>44794</v>
      </c>
      <c r="G492" s="12">
        <v>45025</v>
      </c>
      <c r="H492" s="11" t="s">
        <v>3809</v>
      </c>
      <c r="I492" s="11" t="s">
        <v>3373</v>
      </c>
      <c r="J492" s="13" t="str" cm="1">
        <f t="array" ref="J492">_xlfn.IFS(
  OR(ISBLANK(A492),ISBLANK(B492),ISBLANK(H492),ISBLANK(D492),ISBLANK(E492)),"Missing Value",
  D492&lt;=0,"Review – Out of Range (Coverage)",
  E492&lt;=0,"Review – Out of Range (Premium)",
  TRUE,"OK"
)</f>
        <v>OK</v>
      </c>
    </row>
    <row r="493" spans="1:10" ht="16.8" x14ac:dyDescent="0.3">
      <c r="A493" s="14" t="s">
        <v>4088</v>
      </c>
      <c r="B493" s="14" t="s">
        <v>2557</v>
      </c>
      <c r="C493" s="14" t="s">
        <v>3380</v>
      </c>
      <c r="D493" s="14">
        <v>101487.75</v>
      </c>
      <c r="E493" s="14">
        <v>28655.7</v>
      </c>
      <c r="F493" s="15">
        <v>45408</v>
      </c>
      <c r="G493" s="15">
        <v>45578</v>
      </c>
      <c r="H493" s="14" t="s">
        <v>3401</v>
      </c>
      <c r="I493" s="14" t="s">
        <v>3361</v>
      </c>
      <c r="J493" s="13" t="str" cm="1">
        <f t="array" ref="J493">_xlfn.IFS(
  OR(ISBLANK(A493),ISBLANK(B493),ISBLANK(H493),ISBLANK(D493),ISBLANK(E493)),"Missing Value",
  D493&lt;=0,"Review – Out of Range (Coverage)",
  E493&lt;=0,"Review – Out of Range (Premium)",
  TRUE,"OK"
)</f>
        <v>OK</v>
      </c>
    </row>
    <row r="494" spans="1:10" ht="16.8" x14ac:dyDescent="0.3">
      <c r="A494" s="11" t="s">
        <v>4089</v>
      </c>
      <c r="B494" s="11" t="s">
        <v>2435</v>
      </c>
      <c r="C494" s="11" t="s">
        <v>3377</v>
      </c>
      <c r="D494" s="11">
        <v>865557.47</v>
      </c>
      <c r="E494" s="11">
        <v>31343.99</v>
      </c>
      <c r="F494" s="12">
        <v>45156</v>
      </c>
      <c r="G494" s="12">
        <v>45182</v>
      </c>
      <c r="H494" s="11" t="s">
        <v>4090</v>
      </c>
      <c r="I494" s="11" t="s">
        <v>3361</v>
      </c>
      <c r="J494" s="13" t="str" cm="1">
        <f t="array" ref="J494">_xlfn.IFS(
  OR(ISBLANK(A494),ISBLANK(B494),ISBLANK(H494),ISBLANK(D494),ISBLANK(E494)),"Missing Value",
  D494&lt;=0,"Review – Out of Range (Coverage)",
  E494&lt;=0,"Review – Out of Range (Premium)",
  TRUE,"OK"
)</f>
        <v>OK</v>
      </c>
    </row>
    <row r="495" spans="1:10" ht="16.8" x14ac:dyDescent="0.3">
      <c r="A495" s="14" t="s">
        <v>4091</v>
      </c>
      <c r="B495" s="14" t="s">
        <v>959</v>
      </c>
      <c r="C495" s="14" t="s">
        <v>3371</v>
      </c>
      <c r="D495" s="14">
        <v>529629.31999999995</v>
      </c>
      <c r="E495" s="14">
        <v>34718.81</v>
      </c>
      <c r="F495" s="15">
        <v>44711</v>
      </c>
      <c r="G495" s="15">
        <v>44931</v>
      </c>
      <c r="H495" s="14" t="s">
        <v>4003</v>
      </c>
      <c r="I495" s="14" t="s">
        <v>3373</v>
      </c>
      <c r="J495" s="13" t="str" cm="1">
        <f t="array" ref="J495">_xlfn.IFS(
  OR(ISBLANK(A495),ISBLANK(B495),ISBLANK(H495),ISBLANK(D495),ISBLANK(E495)),"Missing Value",
  D495&lt;=0,"Review – Out of Range (Coverage)",
  E495&lt;=0,"Review – Out of Range (Premium)",
  TRUE,"OK"
)</f>
        <v>OK</v>
      </c>
    </row>
    <row r="496" spans="1:10" ht="16.8" x14ac:dyDescent="0.3">
      <c r="A496" s="11" t="s">
        <v>4092</v>
      </c>
      <c r="B496" s="11" t="s">
        <v>386</v>
      </c>
      <c r="C496" s="11" t="s">
        <v>3380</v>
      </c>
      <c r="D496" s="11">
        <v>338855.5</v>
      </c>
      <c r="E496" s="11">
        <v>40010.410000000003</v>
      </c>
      <c r="F496" s="12">
        <v>45241</v>
      </c>
      <c r="G496" s="12">
        <v>45303</v>
      </c>
      <c r="H496" s="11" t="s">
        <v>3492</v>
      </c>
      <c r="I496" s="11" t="s">
        <v>3361</v>
      </c>
      <c r="J496" s="13" t="str" cm="1">
        <f t="array" ref="J496">_xlfn.IFS(
  OR(ISBLANK(A496),ISBLANK(B496),ISBLANK(H496),ISBLANK(D496),ISBLANK(E496)),"Missing Value",
  D496&lt;=0,"Review – Out of Range (Coverage)",
  E496&lt;=0,"Review – Out of Range (Premium)",
  TRUE,"OK"
)</f>
        <v>OK</v>
      </c>
    </row>
    <row r="497" spans="1:10" ht="16.8" x14ac:dyDescent="0.3">
      <c r="A497" s="14" t="s">
        <v>4093</v>
      </c>
      <c r="B497" s="14" t="s">
        <v>3272</v>
      </c>
      <c r="C497" s="14" t="s">
        <v>3359</v>
      </c>
      <c r="D497" s="14">
        <v>884959.1</v>
      </c>
      <c r="E497" s="14">
        <v>49578.69</v>
      </c>
      <c r="F497" s="15">
        <v>44150</v>
      </c>
      <c r="G497" s="15">
        <v>44746</v>
      </c>
      <c r="H497" s="14" t="s">
        <v>3698</v>
      </c>
      <c r="I497" s="14" t="s">
        <v>3365</v>
      </c>
      <c r="J497" s="13" t="str" cm="1">
        <f t="array" ref="J497">_xlfn.IFS(
  OR(ISBLANK(A497),ISBLANK(B497),ISBLANK(H497),ISBLANK(D497),ISBLANK(E497)),"Missing Value",
  D497&lt;=0,"Review – Out of Range (Coverage)",
  E497&lt;=0,"Review – Out of Range (Premium)",
  TRUE,"OK"
)</f>
        <v>OK</v>
      </c>
    </row>
    <row r="498" spans="1:10" ht="16.8" x14ac:dyDescent="0.3">
      <c r="A498" s="11" t="s">
        <v>4094</v>
      </c>
      <c r="B498" s="11" t="s">
        <v>749</v>
      </c>
      <c r="C498" s="11" t="s">
        <v>3363</v>
      </c>
      <c r="D498" s="11">
        <v>358637.87</v>
      </c>
      <c r="E498" s="11">
        <v>32246.66</v>
      </c>
      <c r="F498" s="12">
        <v>45027</v>
      </c>
      <c r="G498" s="12">
        <v>45578</v>
      </c>
      <c r="H498" s="11" t="s">
        <v>4095</v>
      </c>
      <c r="I498" s="11" t="s">
        <v>3373</v>
      </c>
      <c r="J498" s="13" t="str" cm="1">
        <f t="array" ref="J498">_xlfn.IFS(
  OR(ISBLANK(A498),ISBLANK(B498),ISBLANK(H498),ISBLANK(D498),ISBLANK(E498)),"Missing Value",
  D498&lt;=0,"Review – Out of Range (Coverage)",
  E498&lt;=0,"Review – Out of Range (Premium)",
  TRUE,"OK"
)</f>
        <v>OK</v>
      </c>
    </row>
    <row r="499" spans="1:10" ht="16.8" x14ac:dyDescent="0.3">
      <c r="A499" s="14" t="s">
        <v>4096</v>
      </c>
      <c r="B499" s="14" t="s">
        <v>1205</v>
      </c>
      <c r="C499" s="14" t="s">
        <v>3363</v>
      </c>
      <c r="D499" s="14">
        <v>823630.54</v>
      </c>
      <c r="E499" s="14">
        <v>19764.669999999998</v>
      </c>
      <c r="F499" s="15">
        <v>45132</v>
      </c>
      <c r="G499" s="15">
        <v>45820</v>
      </c>
      <c r="H499" s="14" t="s">
        <v>3622</v>
      </c>
      <c r="I499" s="14" t="s">
        <v>3361</v>
      </c>
      <c r="J499" s="13" t="str" cm="1">
        <f t="array" ref="J499">_xlfn.IFS(
  OR(ISBLANK(A499),ISBLANK(B499),ISBLANK(H499),ISBLANK(D499),ISBLANK(E499)),"Missing Value",
  D499&lt;=0,"Review – Out of Range (Coverage)",
  E499&lt;=0,"Review – Out of Range (Premium)",
  TRUE,"OK"
)</f>
        <v>OK</v>
      </c>
    </row>
    <row r="500" spans="1:10" ht="16.8" x14ac:dyDescent="0.3">
      <c r="A500" s="11" t="s">
        <v>4097</v>
      </c>
      <c r="B500" s="11" t="s">
        <v>2729</v>
      </c>
      <c r="C500" s="11" t="s">
        <v>3371</v>
      </c>
      <c r="D500" s="11">
        <v>967982.29</v>
      </c>
      <c r="E500" s="11">
        <v>8637.0400000000009</v>
      </c>
      <c r="F500" s="12">
        <v>44709</v>
      </c>
      <c r="G500" s="12">
        <v>45622</v>
      </c>
      <c r="H500" s="11" t="s">
        <v>4098</v>
      </c>
      <c r="I500" s="11" t="s">
        <v>3361</v>
      </c>
      <c r="J500" s="13" t="str" cm="1">
        <f t="array" ref="J500">_xlfn.IFS(
  OR(ISBLANK(A500),ISBLANK(B500),ISBLANK(H500),ISBLANK(D500),ISBLANK(E500)),"Missing Value",
  D500&lt;=0,"Review – Out of Range (Coverage)",
  E500&lt;=0,"Review – Out of Range (Premium)",
  TRUE,"OK"
)</f>
        <v>OK</v>
      </c>
    </row>
    <row r="501" spans="1:10" ht="16.8" x14ac:dyDescent="0.3">
      <c r="A501" s="14" t="s">
        <v>4099</v>
      </c>
      <c r="B501" s="14" t="s">
        <v>1627</v>
      </c>
      <c r="C501" s="14" t="s">
        <v>3377</v>
      </c>
      <c r="D501" s="14">
        <v>831106.65</v>
      </c>
      <c r="E501" s="14">
        <v>15173.36</v>
      </c>
      <c r="F501" s="15">
        <v>44431</v>
      </c>
      <c r="G501" s="15">
        <v>44478</v>
      </c>
      <c r="H501" s="14" t="s">
        <v>3622</v>
      </c>
      <c r="I501" s="14" t="s">
        <v>3373</v>
      </c>
      <c r="J501" s="13" t="str" cm="1">
        <f t="array" ref="J501">_xlfn.IFS(
  OR(ISBLANK(A501),ISBLANK(B501),ISBLANK(H501),ISBLANK(D501),ISBLANK(E501)),"Missing Value",
  D501&lt;=0,"Review – Out of Range (Coverage)",
  E501&lt;=0,"Review – Out of Range (Premium)",
  TRUE,"OK"
)</f>
        <v>OK</v>
      </c>
    </row>
    <row r="502" spans="1:10" ht="16.8" x14ac:dyDescent="0.3">
      <c r="A502" s="11" t="s">
        <v>4100</v>
      </c>
      <c r="B502" s="11" t="s">
        <v>368</v>
      </c>
      <c r="C502" s="11" t="s">
        <v>3371</v>
      </c>
      <c r="D502" s="11">
        <v>696326.36</v>
      </c>
      <c r="E502" s="11">
        <v>45185.96</v>
      </c>
      <c r="F502" s="12">
        <v>44830</v>
      </c>
      <c r="G502" s="12">
        <v>45554</v>
      </c>
      <c r="H502" s="11" t="s">
        <v>3721</v>
      </c>
      <c r="I502" s="11" t="s">
        <v>3373</v>
      </c>
      <c r="J502" s="13" t="str" cm="1">
        <f t="array" ref="J502">_xlfn.IFS(
  OR(ISBLANK(A502),ISBLANK(B502),ISBLANK(H502),ISBLANK(D502),ISBLANK(E502)),"Missing Value",
  D502&lt;=0,"Review – Out of Range (Coverage)",
  E502&lt;=0,"Review – Out of Range (Premium)",
  TRUE,"OK"
)</f>
        <v>OK</v>
      </c>
    </row>
    <row r="503" spans="1:10" ht="16.8" x14ac:dyDescent="0.3">
      <c r="A503" s="14" t="s">
        <v>4101</v>
      </c>
      <c r="B503" s="14" t="s">
        <v>1447</v>
      </c>
      <c r="C503" s="14" t="s">
        <v>3380</v>
      </c>
      <c r="D503" s="14">
        <v>859022.62</v>
      </c>
      <c r="E503" s="14">
        <v>38006.92</v>
      </c>
      <c r="F503" s="15">
        <v>44297</v>
      </c>
      <c r="G503" s="15">
        <v>45125</v>
      </c>
      <c r="H503" s="14" t="s">
        <v>4102</v>
      </c>
      <c r="I503" s="14" t="s">
        <v>3365</v>
      </c>
      <c r="J503" s="13" t="str" cm="1">
        <f t="array" ref="J503">_xlfn.IFS(
  OR(ISBLANK(A503),ISBLANK(B503),ISBLANK(H503),ISBLANK(D503),ISBLANK(E503)),"Missing Value",
  D503&lt;=0,"Review – Out of Range (Coverage)",
  E503&lt;=0,"Review – Out of Range (Premium)",
  TRUE,"OK"
)</f>
        <v>OK</v>
      </c>
    </row>
    <row r="504" spans="1:10" ht="16.8" x14ac:dyDescent="0.3">
      <c r="A504" s="11" t="s">
        <v>4103</v>
      </c>
      <c r="B504" s="11" t="s">
        <v>933</v>
      </c>
      <c r="C504" s="11" t="s">
        <v>3363</v>
      </c>
      <c r="D504" s="11">
        <v>927686.77</v>
      </c>
      <c r="E504" s="11">
        <v>5741.2</v>
      </c>
      <c r="F504" s="12">
        <v>44495</v>
      </c>
      <c r="G504" s="12">
        <v>44628</v>
      </c>
      <c r="H504" s="11" t="s">
        <v>3397</v>
      </c>
      <c r="I504" s="11" t="s">
        <v>3373</v>
      </c>
      <c r="J504" s="13" t="str" cm="1">
        <f t="array" ref="J504">_xlfn.IFS(
  OR(ISBLANK(A504),ISBLANK(B504),ISBLANK(H504),ISBLANK(D504),ISBLANK(E504)),"Missing Value",
  D504&lt;=0,"Review – Out of Range (Coverage)",
  E504&lt;=0,"Review – Out of Range (Premium)",
  TRUE,"OK"
)</f>
        <v>OK</v>
      </c>
    </row>
    <row r="505" spans="1:10" ht="16.8" x14ac:dyDescent="0.3">
      <c r="A505" s="14" t="s">
        <v>4104</v>
      </c>
      <c r="B505" s="14" t="s">
        <v>1387</v>
      </c>
      <c r="C505" s="14" t="s">
        <v>3380</v>
      </c>
      <c r="D505" s="14">
        <v>784387.86</v>
      </c>
      <c r="E505" s="14">
        <v>8447.39</v>
      </c>
      <c r="F505" s="15">
        <v>45357</v>
      </c>
      <c r="G505" s="15">
        <v>45436</v>
      </c>
      <c r="H505" s="14" t="s">
        <v>3471</v>
      </c>
      <c r="I505" s="14" t="s">
        <v>3361</v>
      </c>
      <c r="J505" s="13" t="str" cm="1">
        <f t="array" ref="J505">_xlfn.IFS(
  OR(ISBLANK(A505),ISBLANK(B505),ISBLANK(H505),ISBLANK(D505),ISBLANK(E505)),"Missing Value",
  D505&lt;=0,"Review – Out of Range (Coverage)",
  E505&lt;=0,"Review – Out of Range (Premium)",
  TRUE,"OK"
)</f>
        <v>OK</v>
      </c>
    </row>
    <row r="506" spans="1:10" ht="16.8" x14ac:dyDescent="0.3">
      <c r="A506" s="11" t="s">
        <v>4105</v>
      </c>
      <c r="B506" s="11" t="s">
        <v>1603</v>
      </c>
      <c r="C506" s="11" t="s">
        <v>3363</v>
      </c>
      <c r="D506" s="11">
        <v>281528.92</v>
      </c>
      <c r="E506" s="11">
        <v>16510.78</v>
      </c>
      <c r="F506" s="12">
        <v>45131</v>
      </c>
      <c r="G506" s="12">
        <v>45398</v>
      </c>
      <c r="H506" s="11" t="s">
        <v>3584</v>
      </c>
      <c r="I506" s="11" t="s">
        <v>3361</v>
      </c>
      <c r="J506" s="13" t="str" cm="1">
        <f t="array" ref="J506">_xlfn.IFS(
  OR(ISBLANK(A506),ISBLANK(B506),ISBLANK(H506),ISBLANK(D506),ISBLANK(E506)),"Missing Value",
  D506&lt;=0,"Review – Out of Range (Coverage)",
  E506&lt;=0,"Review – Out of Range (Premium)",
  TRUE,"OK"
)</f>
        <v>OK</v>
      </c>
    </row>
    <row r="507" spans="1:10" ht="16.8" x14ac:dyDescent="0.3">
      <c r="A507" s="14" t="s">
        <v>4106</v>
      </c>
      <c r="B507" s="14" t="s">
        <v>1547</v>
      </c>
      <c r="C507" s="14" t="s">
        <v>3363</v>
      </c>
      <c r="D507" s="14">
        <v>524787.73</v>
      </c>
      <c r="E507" s="14">
        <v>29800.1</v>
      </c>
      <c r="F507" s="15">
        <v>45221</v>
      </c>
      <c r="G507" s="15">
        <v>45372</v>
      </c>
      <c r="H507" s="14" t="s">
        <v>3549</v>
      </c>
      <c r="I507" s="14" t="s">
        <v>3365</v>
      </c>
      <c r="J507" s="13" t="str" cm="1">
        <f t="array" ref="J507">_xlfn.IFS(
  OR(ISBLANK(A507),ISBLANK(B507),ISBLANK(H507),ISBLANK(D507),ISBLANK(E507)),"Missing Value",
  D507&lt;=0,"Review – Out of Range (Coverage)",
  E507&lt;=0,"Review – Out of Range (Premium)",
  TRUE,"OK"
)</f>
        <v>OK</v>
      </c>
    </row>
    <row r="508" spans="1:10" ht="16.8" x14ac:dyDescent="0.3">
      <c r="A508" s="11" t="s">
        <v>4107</v>
      </c>
      <c r="B508" s="11" t="s">
        <v>2525</v>
      </c>
      <c r="C508" s="11" t="s">
        <v>3363</v>
      </c>
      <c r="D508" s="11">
        <v>253007.11</v>
      </c>
      <c r="E508" s="11">
        <v>11056.74</v>
      </c>
      <c r="F508" s="12">
        <v>44892</v>
      </c>
      <c r="G508" s="12">
        <v>45324</v>
      </c>
      <c r="H508" s="11" t="s">
        <v>4108</v>
      </c>
      <c r="I508" s="11" t="s">
        <v>3365</v>
      </c>
      <c r="J508" s="13" t="str" cm="1">
        <f t="array" ref="J508">_xlfn.IFS(
  OR(ISBLANK(A508),ISBLANK(B508),ISBLANK(H508),ISBLANK(D508),ISBLANK(E508)),"Missing Value",
  D508&lt;=0,"Review – Out of Range (Coverage)",
  E508&lt;=0,"Review – Out of Range (Premium)",
  TRUE,"OK"
)</f>
        <v>OK</v>
      </c>
    </row>
    <row r="509" spans="1:10" ht="16.8" x14ac:dyDescent="0.3">
      <c r="A509" s="14" t="s">
        <v>4109</v>
      </c>
      <c r="B509" s="14" t="s">
        <v>2135</v>
      </c>
      <c r="C509" s="14" t="s">
        <v>3363</v>
      </c>
      <c r="D509" s="14">
        <v>406854.66</v>
      </c>
      <c r="E509" s="14">
        <v>7426.51</v>
      </c>
      <c r="F509" s="15">
        <v>45497</v>
      </c>
      <c r="G509" s="15">
        <v>45632</v>
      </c>
      <c r="H509" s="14" t="s">
        <v>3601</v>
      </c>
      <c r="I509" s="14" t="s">
        <v>3373</v>
      </c>
      <c r="J509" s="13" t="str" cm="1">
        <f t="array" ref="J509">_xlfn.IFS(
  OR(ISBLANK(A509),ISBLANK(B509),ISBLANK(H509),ISBLANK(D509),ISBLANK(E509)),"Missing Value",
  D509&lt;=0,"Review – Out of Range (Coverage)",
  E509&lt;=0,"Review – Out of Range (Premium)",
  TRUE,"OK"
)</f>
        <v>OK</v>
      </c>
    </row>
    <row r="510" spans="1:10" ht="16.8" x14ac:dyDescent="0.3">
      <c r="A510" s="11" t="s">
        <v>4110</v>
      </c>
      <c r="B510" s="11" t="s">
        <v>478</v>
      </c>
      <c r="C510" s="11" t="s">
        <v>3359</v>
      </c>
      <c r="D510" s="11">
        <v>264814.58</v>
      </c>
      <c r="E510" s="11">
        <v>22608.2</v>
      </c>
      <c r="F510" s="12">
        <v>45021</v>
      </c>
      <c r="G510" s="12">
        <v>45321</v>
      </c>
      <c r="H510" s="11" t="s">
        <v>3894</v>
      </c>
      <c r="I510" s="11" t="s">
        <v>3365</v>
      </c>
      <c r="J510" s="13" t="str" cm="1">
        <f t="array" ref="J510">_xlfn.IFS(
  OR(ISBLANK(A510),ISBLANK(B510),ISBLANK(H510),ISBLANK(D510),ISBLANK(E510)),"Missing Value",
  D510&lt;=0,"Review – Out of Range (Coverage)",
  E510&lt;=0,"Review – Out of Range (Premium)",
  TRUE,"OK"
)</f>
        <v>OK</v>
      </c>
    </row>
    <row r="511" spans="1:10" ht="16.8" x14ac:dyDescent="0.3">
      <c r="A511" s="14" t="s">
        <v>4111</v>
      </c>
      <c r="B511" s="14" t="s">
        <v>2879</v>
      </c>
      <c r="C511" s="14" t="s">
        <v>3377</v>
      </c>
      <c r="D511" s="14">
        <v>166391.76</v>
      </c>
      <c r="E511" s="14">
        <v>29229.09</v>
      </c>
      <c r="F511" s="15">
        <v>44807</v>
      </c>
      <c r="G511" s="15">
        <v>45237</v>
      </c>
      <c r="H511" s="14" t="s">
        <v>3545</v>
      </c>
      <c r="I511" s="14" t="s">
        <v>3373</v>
      </c>
      <c r="J511" s="13" t="str" cm="1">
        <f t="array" ref="J511">_xlfn.IFS(
  OR(ISBLANK(A511),ISBLANK(B511),ISBLANK(H511),ISBLANK(D511),ISBLANK(E511)),"Missing Value",
  D511&lt;=0,"Review – Out of Range (Coverage)",
  E511&lt;=0,"Review – Out of Range (Premium)",
  TRUE,"OK"
)</f>
        <v>OK</v>
      </c>
    </row>
    <row r="512" spans="1:10" ht="16.8" x14ac:dyDescent="0.3">
      <c r="A512" s="11" t="s">
        <v>4112</v>
      </c>
      <c r="B512" s="11" t="s">
        <v>2225</v>
      </c>
      <c r="C512" s="11" t="s">
        <v>3359</v>
      </c>
      <c r="D512" s="11">
        <v>725177.51</v>
      </c>
      <c r="E512" s="11">
        <v>40898.36</v>
      </c>
      <c r="F512" s="12">
        <v>44751</v>
      </c>
      <c r="G512" s="12">
        <v>45256</v>
      </c>
      <c r="H512" s="11" t="s">
        <v>3423</v>
      </c>
      <c r="I512" s="11" t="s">
        <v>3365</v>
      </c>
      <c r="J512" s="13" t="str" cm="1">
        <f t="array" ref="J512">_xlfn.IFS(
  OR(ISBLANK(A512),ISBLANK(B512),ISBLANK(H512),ISBLANK(D512),ISBLANK(E512)),"Missing Value",
  D512&lt;=0,"Review – Out of Range (Coverage)",
  E512&lt;=0,"Review – Out of Range (Premium)",
  TRUE,"OK"
)</f>
        <v>OK</v>
      </c>
    </row>
    <row r="513" spans="1:10" ht="16.8" x14ac:dyDescent="0.3">
      <c r="A513" s="14" t="s">
        <v>4113</v>
      </c>
      <c r="B513" s="14" t="s">
        <v>1037</v>
      </c>
      <c r="C513" s="14" t="s">
        <v>3371</v>
      </c>
      <c r="D513" s="14">
        <v>853629.78</v>
      </c>
      <c r="E513" s="14">
        <v>42843.1</v>
      </c>
      <c r="F513" s="15">
        <v>44431</v>
      </c>
      <c r="G513" s="15">
        <v>44553</v>
      </c>
      <c r="H513" s="14" t="s">
        <v>4114</v>
      </c>
      <c r="I513" s="14" t="s">
        <v>3365</v>
      </c>
      <c r="J513" s="13" t="str" cm="1">
        <f t="array" ref="J513">_xlfn.IFS(
  OR(ISBLANK(A513),ISBLANK(B513),ISBLANK(H513),ISBLANK(D513),ISBLANK(E513)),"Missing Value",
  D513&lt;=0,"Review – Out of Range (Coverage)",
  E513&lt;=0,"Review – Out of Range (Premium)",
  TRUE,"OK"
)</f>
        <v>OK</v>
      </c>
    </row>
    <row r="514" spans="1:10" ht="16.8" x14ac:dyDescent="0.3">
      <c r="A514" s="11" t="s">
        <v>4115</v>
      </c>
      <c r="B514" s="11" t="s">
        <v>871</v>
      </c>
      <c r="C514" s="11" t="s">
        <v>3363</v>
      </c>
      <c r="D514" s="11">
        <v>999900.15</v>
      </c>
      <c r="E514" s="11">
        <v>10006.200000000001</v>
      </c>
      <c r="F514" s="12">
        <v>45235</v>
      </c>
      <c r="G514" s="12">
        <v>45708</v>
      </c>
      <c r="H514" s="11" t="s">
        <v>4116</v>
      </c>
      <c r="I514" s="11" t="s">
        <v>3361</v>
      </c>
      <c r="J514" s="13" t="str" cm="1">
        <f t="array" ref="J514">_xlfn.IFS(
  OR(ISBLANK(A514),ISBLANK(B514),ISBLANK(H514),ISBLANK(D514),ISBLANK(E514)),"Missing Value",
  D514&lt;=0,"Review – Out of Range (Coverage)",
  E514&lt;=0,"Review – Out of Range (Premium)",
  TRUE,"OK"
)</f>
        <v>OK</v>
      </c>
    </row>
    <row r="515" spans="1:10" ht="16.8" x14ac:dyDescent="0.3">
      <c r="A515" s="14" t="s">
        <v>4117</v>
      </c>
      <c r="B515" s="14" t="s">
        <v>2895</v>
      </c>
      <c r="C515" s="14" t="s">
        <v>3359</v>
      </c>
      <c r="D515" s="14">
        <v>353080.52</v>
      </c>
      <c r="E515" s="14">
        <v>6343.23</v>
      </c>
      <c r="F515" s="15">
        <v>44313</v>
      </c>
      <c r="G515" s="15">
        <v>45249</v>
      </c>
      <c r="H515" s="14" t="s">
        <v>3725</v>
      </c>
      <c r="I515" s="14" t="s">
        <v>3365</v>
      </c>
      <c r="J515" s="13" t="str" cm="1">
        <f t="array" ref="J515">_xlfn.IFS(
  OR(ISBLANK(A515),ISBLANK(B515),ISBLANK(H515),ISBLANK(D515),ISBLANK(E515)),"Missing Value",
  D515&lt;=0,"Review – Out of Range (Coverage)",
  E515&lt;=0,"Review – Out of Range (Premium)",
  TRUE,"OK"
)</f>
        <v>OK</v>
      </c>
    </row>
    <row r="516" spans="1:10" ht="16.8" x14ac:dyDescent="0.3">
      <c r="A516" s="11" t="s">
        <v>4118</v>
      </c>
      <c r="B516" s="11" t="s">
        <v>2585</v>
      </c>
      <c r="C516" s="11" t="s">
        <v>3371</v>
      </c>
      <c r="D516" s="11">
        <v>312227.13</v>
      </c>
      <c r="E516" s="11">
        <v>28941.79</v>
      </c>
      <c r="F516" s="12">
        <v>45367</v>
      </c>
      <c r="G516" s="12">
        <v>45521</v>
      </c>
      <c r="H516" s="11" t="s">
        <v>3397</v>
      </c>
      <c r="I516" s="11" t="s">
        <v>3365</v>
      </c>
      <c r="J516" s="13" t="str" cm="1">
        <f t="array" ref="J516">_xlfn.IFS(
  OR(ISBLANK(A516),ISBLANK(B516),ISBLANK(H516),ISBLANK(D516),ISBLANK(E516)),"Missing Value",
  D516&lt;=0,"Review – Out of Range (Coverage)",
  E516&lt;=0,"Review – Out of Range (Premium)",
  TRUE,"OK"
)</f>
        <v>OK</v>
      </c>
    </row>
    <row r="517" spans="1:10" ht="16.8" x14ac:dyDescent="0.3">
      <c r="A517" s="14" t="s">
        <v>4119</v>
      </c>
      <c r="B517" s="14" t="s">
        <v>156</v>
      </c>
      <c r="C517" s="14" t="s">
        <v>3377</v>
      </c>
      <c r="D517" s="14">
        <v>443166.27</v>
      </c>
      <c r="E517" s="14">
        <v>37076.29</v>
      </c>
      <c r="F517" s="15">
        <v>44934</v>
      </c>
      <c r="G517" s="15">
        <v>45335</v>
      </c>
      <c r="H517" s="14" t="s">
        <v>3852</v>
      </c>
      <c r="I517" s="14" t="s">
        <v>3361</v>
      </c>
      <c r="J517" s="13" t="str" cm="1">
        <f t="array" ref="J517">_xlfn.IFS(
  OR(ISBLANK(A517),ISBLANK(B517),ISBLANK(H517),ISBLANK(D517),ISBLANK(E517)),"Missing Value",
  D517&lt;=0,"Review – Out of Range (Coverage)",
  E517&lt;=0,"Review – Out of Range (Premium)",
  TRUE,"OK"
)</f>
        <v>OK</v>
      </c>
    </row>
    <row r="518" spans="1:10" ht="16.8" x14ac:dyDescent="0.3">
      <c r="A518" s="11" t="s">
        <v>4120</v>
      </c>
      <c r="B518" s="11" t="s">
        <v>763</v>
      </c>
      <c r="C518" s="11" t="s">
        <v>3359</v>
      </c>
      <c r="D518" s="11">
        <v>587641.16</v>
      </c>
      <c r="E518" s="11">
        <v>38174.69</v>
      </c>
      <c r="F518" s="12">
        <v>45099</v>
      </c>
      <c r="G518" s="12">
        <v>45415</v>
      </c>
      <c r="H518" s="11" t="s">
        <v>3607</v>
      </c>
      <c r="I518" s="11" t="s">
        <v>3361</v>
      </c>
      <c r="J518" s="13" t="str" cm="1">
        <f t="array" ref="J518">_xlfn.IFS(
  OR(ISBLANK(A518),ISBLANK(B518),ISBLANK(H518),ISBLANK(D518),ISBLANK(E518)),"Missing Value",
  D518&lt;=0,"Review – Out of Range (Coverage)",
  E518&lt;=0,"Review – Out of Range (Premium)",
  TRUE,"OK"
)</f>
        <v>OK</v>
      </c>
    </row>
    <row r="519" spans="1:10" ht="16.8" x14ac:dyDescent="0.3">
      <c r="A519" s="14" t="s">
        <v>4121</v>
      </c>
      <c r="B519" s="14" t="s">
        <v>2527</v>
      </c>
      <c r="C519" s="14" t="s">
        <v>3371</v>
      </c>
      <c r="D519" s="14">
        <v>556516.31000000006</v>
      </c>
      <c r="E519" s="14">
        <v>36058.589999999997</v>
      </c>
      <c r="F519" s="15">
        <v>45159</v>
      </c>
      <c r="G519" s="15">
        <v>45782</v>
      </c>
      <c r="H519" s="14" t="s">
        <v>3992</v>
      </c>
      <c r="I519" s="14" t="s">
        <v>3361</v>
      </c>
      <c r="J519" s="13" t="str" cm="1">
        <f t="array" ref="J519">_xlfn.IFS(
  OR(ISBLANK(A519),ISBLANK(B519),ISBLANK(H519),ISBLANK(D519),ISBLANK(E519)),"Missing Value",
  D519&lt;=0,"Review – Out of Range (Coverage)",
  E519&lt;=0,"Review – Out of Range (Premium)",
  TRUE,"OK"
)</f>
        <v>OK</v>
      </c>
    </row>
    <row r="520" spans="1:10" ht="16.8" x14ac:dyDescent="0.3">
      <c r="A520" s="11" t="s">
        <v>4122</v>
      </c>
      <c r="B520" s="11" t="s">
        <v>1037</v>
      </c>
      <c r="C520" s="11" t="s">
        <v>3380</v>
      </c>
      <c r="D520" s="11">
        <v>189359.53</v>
      </c>
      <c r="E520" s="11">
        <v>49661.5</v>
      </c>
      <c r="F520" s="12">
        <v>45425</v>
      </c>
      <c r="G520" s="12">
        <v>45542</v>
      </c>
      <c r="H520" s="11" t="s">
        <v>4123</v>
      </c>
      <c r="I520" s="11" t="s">
        <v>3373</v>
      </c>
      <c r="J520" s="13" t="str" cm="1">
        <f t="array" ref="J520">_xlfn.IFS(
  OR(ISBLANK(A520),ISBLANK(B520),ISBLANK(H520),ISBLANK(D520),ISBLANK(E520)),"Missing Value",
  D520&lt;=0,"Review – Out of Range (Coverage)",
  E520&lt;=0,"Review – Out of Range (Premium)",
  TRUE,"OK"
)</f>
        <v>OK</v>
      </c>
    </row>
    <row r="521" spans="1:10" ht="16.8" x14ac:dyDescent="0.3">
      <c r="A521" s="14" t="s">
        <v>4124</v>
      </c>
      <c r="B521" s="14" t="s">
        <v>2973</v>
      </c>
      <c r="C521" s="14" t="s">
        <v>3363</v>
      </c>
      <c r="D521" s="14">
        <v>177588.47</v>
      </c>
      <c r="E521" s="14">
        <v>19093.060000000001</v>
      </c>
      <c r="F521" s="15">
        <v>45444</v>
      </c>
      <c r="G521" s="15">
        <v>45526</v>
      </c>
      <c r="H521" s="14" t="s">
        <v>3982</v>
      </c>
      <c r="I521" s="14" t="s">
        <v>3373</v>
      </c>
      <c r="J521" s="13" t="str" cm="1">
        <f t="array" ref="J521">_xlfn.IFS(
  OR(ISBLANK(A521),ISBLANK(B521),ISBLANK(H521),ISBLANK(D521),ISBLANK(E521)),"Missing Value",
  D521&lt;=0,"Review – Out of Range (Coverage)",
  E521&lt;=0,"Review – Out of Range (Premium)",
  TRUE,"OK"
)</f>
        <v>OK</v>
      </c>
    </row>
    <row r="522" spans="1:10" ht="16.8" x14ac:dyDescent="0.3">
      <c r="A522" s="11" t="s">
        <v>4125</v>
      </c>
      <c r="B522" s="11" t="s">
        <v>2493</v>
      </c>
      <c r="C522" s="11" t="s">
        <v>3371</v>
      </c>
      <c r="D522" s="11">
        <v>586337.52</v>
      </c>
      <c r="E522" s="11">
        <v>45362.87</v>
      </c>
      <c r="F522" s="12">
        <v>45158</v>
      </c>
      <c r="G522" s="12">
        <v>45845</v>
      </c>
      <c r="H522" s="11" t="s">
        <v>3789</v>
      </c>
      <c r="I522" s="11" t="s">
        <v>3373</v>
      </c>
      <c r="J522" s="13" t="str" cm="1">
        <f t="array" ref="J522">_xlfn.IFS(
  OR(ISBLANK(A522),ISBLANK(B522),ISBLANK(H522),ISBLANK(D522),ISBLANK(E522)),"Missing Value",
  D522&lt;=0,"Review – Out of Range (Coverage)",
  E522&lt;=0,"Review – Out of Range (Premium)",
  TRUE,"OK"
)</f>
        <v>OK</v>
      </c>
    </row>
    <row r="523" spans="1:10" ht="16.8" x14ac:dyDescent="0.3">
      <c r="A523" s="14" t="s">
        <v>4126</v>
      </c>
      <c r="B523" s="14" t="s">
        <v>2839</v>
      </c>
      <c r="C523" s="14" t="s">
        <v>3377</v>
      </c>
      <c r="D523" s="14">
        <v>843996.84</v>
      </c>
      <c r="E523" s="14">
        <v>25363.72</v>
      </c>
      <c r="F523" s="15">
        <v>45372</v>
      </c>
      <c r="G523" s="15">
        <v>45703</v>
      </c>
      <c r="H523" s="14" t="s">
        <v>3670</v>
      </c>
      <c r="I523" s="14" t="s">
        <v>3361</v>
      </c>
      <c r="J523" s="13" t="str" cm="1">
        <f t="array" ref="J523">_xlfn.IFS(
  OR(ISBLANK(A523),ISBLANK(B523),ISBLANK(H523),ISBLANK(D523),ISBLANK(E523)),"Missing Value",
  D523&lt;=0,"Review – Out of Range (Coverage)",
  E523&lt;=0,"Review – Out of Range (Premium)",
  TRUE,"OK"
)</f>
        <v>OK</v>
      </c>
    </row>
    <row r="524" spans="1:10" ht="16.8" x14ac:dyDescent="0.3">
      <c r="A524" s="11" t="s">
        <v>4127</v>
      </c>
      <c r="B524" s="11" t="s">
        <v>2719</v>
      </c>
      <c r="C524" s="11" t="s">
        <v>3371</v>
      </c>
      <c r="D524" s="11">
        <v>732759.15</v>
      </c>
      <c r="E524" s="11">
        <v>28423.39</v>
      </c>
      <c r="F524" s="12">
        <v>44370</v>
      </c>
      <c r="G524" s="12">
        <v>44914</v>
      </c>
      <c r="H524" s="11" t="s">
        <v>3809</v>
      </c>
      <c r="I524" s="11" t="s">
        <v>3361</v>
      </c>
      <c r="J524" s="13" t="str" cm="1">
        <f t="array" ref="J524">_xlfn.IFS(
  OR(ISBLANK(A524),ISBLANK(B524),ISBLANK(H524),ISBLANK(D524),ISBLANK(E524)),"Missing Value",
  D524&lt;=0,"Review – Out of Range (Coverage)",
  E524&lt;=0,"Review – Out of Range (Premium)",
  TRUE,"OK"
)</f>
        <v>OK</v>
      </c>
    </row>
    <row r="525" spans="1:10" ht="16.8" x14ac:dyDescent="0.3">
      <c r="A525" s="14" t="s">
        <v>4128</v>
      </c>
      <c r="B525" s="14" t="s">
        <v>937</v>
      </c>
      <c r="C525" s="14" t="s">
        <v>3371</v>
      </c>
      <c r="D525" s="14">
        <v>973152.74</v>
      </c>
      <c r="E525" s="14">
        <v>17593.11</v>
      </c>
      <c r="F525" s="15">
        <v>44955</v>
      </c>
      <c r="G525" s="15">
        <v>45721</v>
      </c>
      <c r="H525" s="14" t="s">
        <v>3467</v>
      </c>
      <c r="I525" s="14" t="s">
        <v>3365</v>
      </c>
      <c r="J525" s="13" t="str" cm="1">
        <f t="array" ref="J525">_xlfn.IFS(
  OR(ISBLANK(A525),ISBLANK(B525),ISBLANK(H525),ISBLANK(D525),ISBLANK(E525)),"Missing Value",
  D525&lt;=0,"Review – Out of Range (Coverage)",
  E525&lt;=0,"Review – Out of Range (Premium)",
  TRUE,"OK"
)</f>
        <v>OK</v>
      </c>
    </row>
    <row r="526" spans="1:10" ht="16.8" x14ac:dyDescent="0.3">
      <c r="A526" s="11" t="s">
        <v>4129</v>
      </c>
      <c r="B526" s="11" t="s">
        <v>1917</v>
      </c>
      <c r="C526" s="11" t="s">
        <v>3359</v>
      </c>
      <c r="D526" s="11">
        <v>409943.92</v>
      </c>
      <c r="E526" s="11">
        <v>48113.27</v>
      </c>
      <c r="F526" s="12">
        <v>44856</v>
      </c>
      <c r="G526" s="12">
        <v>45010</v>
      </c>
      <c r="H526" s="11" t="s">
        <v>3754</v>
      </c>
      <c r="I526" s="11" t="s">
        <v>3361</v>
      </c>
      <c r="J526" s="13" t="str" cm="1">
        <f t="array" ref="J526">_xlfn.IFS(
  OR(ISBLANK(A526),ISBLANK(B526),ISBLANK(H526),ISBLANK(D526),ISBLANK(E526)),"Missing Value",
  D526&lt;=0,"Review – Out of Range (Coverage)",
  E526&lt;=0,"Review – Out of Range (Premium)",
  TRUE,"OK"
)</f>
        <v>OK</v>
      </c>
    </row>
    <row r="527" spans="1:10" ht="16.8" x14ac:dyDescent="0.3">
      <c r="A527" s="14" t="s">
        <v>4130</v>
      </c>
      <c r="B527" s="14" t="s">
        <v>170</v>
      </c>
      <c r="C527" s="14" t="s">
        <v>3377</v>
      </c>
      <c r="D527" s="14">
        <v>277809.28000000003</v>
      </c>
      <c r="E527" s="14">
        <v>26555.03</v>
      </c>
      <c r="F527" s="15">
        <v>45241</v>
      </c>
      <c r="G527" s="15">
        <v>45561</v>
      </c>
      <c r="H527" s="14" t="s">
        <v>3389</v>
      </c>
      <c r="I527" s="14" t="s">
        <v>3373</v>
      </c>
      <c r="J527" s="13" t="str" cm="1">
        <f t="array" ref="J527">_xlfn.IFS(
  OR(ISBLANK(A527),ISBLANK(B527),ISBLANK(H527),ISBLANK(D527),ISBLANK(E527)),"Missing Value",
  D527&lt;=0,"Review – Out of Range (Coverage)",
  E527&lt;=0,"Review – Out of Range (Premium)",
  TRUE,"OK"
)</f>
        <v>OK</v>
      </c>
    </row>
    <row r="528" spans="1:10" ht="16.8" x14ac:dyDescent="0.3">
      <c r="A528" s="11" t="s">
        <v>4131</v>
      </c>
      <c r="B528" s="11" t="s">
        <v>1139</v>
      </c>
      <c r="C528" s="11" t="s">
        <v>3380</v>
      </c>
      <c r="D528" s="11">
        <v>336157.4</v>
      </c>
      <c r="E528" s="11">
        <v>22550.47</v>
      </c>
      <c r="F528" s="12">
        <v>45460</v>
      </c>
      <c r="G528" s="12">
        <v>45598</v>
      </c>
      <c r="H528" s="11" t="s">
        <v>4032</v>
      </c>
      <c r="I528" s="11" t="s">
        <v>3365</v>
      </c>
      <c r="J528" s="13" t="str" cm="1">
        <f t="array" ref="J528">_xlfn.IFS(
  OR(ISBLANK(A528),ISBLANK(B528),ISBLANK(H528),ISBLANK(D528),ISBLANK(E528)),"Missing Value",
  D528&lt;=0,"Review – Out of Range (Coverage)",
  E528&lt;=0,"Review – Out of Range (Premium)",
  TRUE,"OK"
)</f>
        <v>OK</v>
      </c>
    </row>
    <row r="529" spans="1:10" ht="16.8" x14ac:dyDescent="0.3">
      <c r="A529" s="14" t="s">
        <v>4132</v>
      </c>
      <c r="B529" s="14" t="s">
        <v>1399</v>
      </c>
      <c r="C529" s="14" t="s">
        <v>3377</v>
      </c>
      <c r="D529" s="14">
        <v>415020.75</v>
      </c>
      <c r="E529" s="14">
        <v>44726.44</v>
      </c>
      <c r="F529" s="15">
        <v>45422</v>
      </c>
      <c r="G529" s="15">
        <v>45717</v>
      </c>
      <c r="H529" s="14" t="s">
        <v>3545</v>
      </c>
      <c r="I529" s="14" t="s">
        <v>3361</v>
      </c>
      <c r="J529" s="13" t="str" cm="1">
        <f t="array" ref="J529">_xlfn.IFS(
  OR(ISBLANK(A529),ISBLANK(B529),ISBLANK(H529),ISBLANK(D529),ISBLANK(E529)),"Missing Value",
  D529&lt;=0,"Review – Out of Range (Coverage)",
  E529&lt;=0,"Review – Out of Range (Premium)",
  TRUE,"OK"
)</f>
        <v>OK</v>
      </c>
    </row>
    <row r="530" spans="1:10" ht="16.8" x14ac:dyDescent="0.3">
      <c r="A530" s="11" t="s">
        <v>4133</v>
      </c>
      <c r="B530" s="11" t="s">
        <v>1555</v>
      </c>
      <c r="C530" s="11" t="s">
        <v>3380</v>
      </c>
      <c r="D530" s="11">
        <v>851255.3</v>
      </c>
      <c r="E530" s="11">
        <v>43718.33</v>
      </c>
      <c r="F530" s="12">
        <v>44383</v>
      </c>
      <c r="G530" s="12">
        <v>45463</v>
      </c>
      <c r="H530" s="11" t="s">
        <v>3721</v>
      </c>
      <c r="I530" s="11" t="s">
        <v>3373</v>
      </c>
      <c r="J530" s="13" t="str" cm="1">
        <f t="array" ref="J530">_xlfn.IFS(
  OR(ISBLANK(A530),ISBLANK(B530),ISBLANK(H530),ISBLANK(D530),ISBLANK(E530)),"Missing Value",
  D530&lt;=0,"Review – Out of Range (Coverage)",
  E530&lt;=0,"Review – Out of Range (Premium)",
  TRUE,"OK"
)</f>
        <v>OK</v>
      </c>
    </row>
    <row r="531" spans="1:10" ht="16.8" x14ac:dyDescent="0.3">
      <c r="A531" s="14" t="s">
        <v>4134</v>
      </c>
      <c r="B531" s="14" t="s">
        <v>2961</v>
      </c>
      <c r="C531" s="14" t="s">
        <v>3377</v>
      </c>
      <c r="D531" s="14">
        <v>840389.93</v>
      </c>
      <c r="E531" s="14">
        <v>42795.05</v>
      </c>
      <c r="F531" s="15">
        <v>45220</v>
      </c>
      <c r="G531" s="15">
        <v>45829</v>
      </c>
      <c r="H531" s="14" t="s">
        <v>3894</v>
      </c>
      <c r="I531" s="14" t="s">
        <v>3365</v>
      </c>
      <c r="J531" s="13" t="str" cm="1">
        <f t="array" ref="J531">_xlfn.IFS(
  OR(ISBLANK(A531),ISBLANK(B531),ISBLANK(H531),ISBLANK(D531),ISBLANK(E531)),"Missing Value",
  D531&lt;=0,"Review – Out of Range (Coverage)",
  E531&lt;=0,"Review – Out of Range (Premium)",
  TRUE,"OK"
)</f>
        <v>OK</v>
      </c>
    </row>
    <row r="532" spans="1:10" ht="16.8" x14ac:dyDescent="0.3">
      <c r="A532" s="11" t="s">
        <v>4135</v>
      </c>
      <c r="B532" s="11" t="s">
        <v>3244</v>
      </c>
      <c r="C532" s="11" t="s">
        <v>3359</v>
      </c>
      <c r="D532" s="11">
        <v>767679.03</v>
      </c>
      <c r="E532" s="11">
        <v>30286.99</v>
      </c>
      <c r="F532" s="12">
        <v>45408</v>
      </c>
      <c r="G532" s="12">
        <v>45455</v>
      </c>
      <c r="H532" s="11" t="s">
        <v>4136</v>
      </c>
      <c r="I532" s="11" t="s">
        <v>3361</v>
      </c>
      <c r="J532" s="13" t="str" cm="1">
        <f t="array" ref="J532">_xlfn.IFS(
  OR(ISBLANK(A532),ISBLANK(B532),ISBLANK(H532),ISBLANK(D532),ISBLANK(E532)),"Missing Value",
  D532&lt;=0,"Review – Out of Range (Coverage)",
  E532&lt;=0,"Review – Out of Range (Premium)",
  TRUE,"OK"
)</f>
        <v>OK</v>
      </c>
    </row>
    <row r="533" spans="1:10" ht="16.8" x14ac:dyDescent="0.3">
      <c r="A533" s="14" t="s">
        <v>4137</v>
      </c>
      <c r="B533" s="14" t="s">
        <v>2725</v>
      </c>
      <c r="C533" s="14" t="s">
        <v>3371</v>
      </c>
      <c r="D533" s="14">
        <v>228439.5</v>
      </c>
      <c r="E533" s="14">
        <v>37205.26</v>
      </c>
      <c r="F533" s="15">
        <v>45220</v>
      </c>
      <c r="G533" s="15">
        <v>45652</v>
      </c>
      <c r="H533" s="14" t="s">
        <v>3612</v>
      </c>
      <c r="I533" s="14" t="s">
        <v>3373</v>
      </c>
      <c r="J533" s="13" t="str" cm="1">
        <f t="array" ref="J533">_xlfn.IFS(
  OR(ISBLANK(A533),ISBLANK(B533),ISBLANK(H533),ISBLANK(D533),ISBLANK(E533)),"Missing Value",
  D533&lt;=0,"Review – Out of Range (Coverage)",
  E533&lt;=0,"Review – Out of Range (Premium)",
  TRUE,"OK"
)</f>
        <v>OK</v>
      </c>
    </row>
    <row r="534" spans="1:10" ht="16.8" x14ac:dyDescent="0.3">
      <c r="A534" s="11" t="s">
        <v>4138</v>
      </c>
      <c r="B534" s="11" t="s">
        <v>3322</v>
      </c>
      <c r="C534" s="11" t="s">
        <v>3363</v>
      </c>
      <c r="D534" s="11">
        <v>392814.36</v>
      </c>
      <c r="E534" s="11">
        <v>40629.85</v>
      </c>
      <c r="F534" s="12">
        <v>45435</v>
      </c>
      <c r="G534" s="12">
        <v>45776</v>
      </c>
      <c r="H534" s="11" t="s">
        <v>3581</v>
      </c>
      <c r="I534" s="11" t="s">
        <v>3361</v>
      </c>
      <c r="J534" s="13" t="str" cm="1">
        <f t="array" ref="J534">_xlfn.IFS(
  OR(ISBLANK(A534),ISBLANK(B534),ISBLANK(H534),ISBLANK(D534),ISBLANK(E534)),"Missing Value",
  D534&lt;=0,"Review – Out of Range (Coverage)",
  E534&lt;=0,"Review – Out of Range (Premium)",
  TRUE,"OK"
)</f>
        <v>OK</v>
      </c>
    </row>
    <row r="535" spans="1:10" ht="16.8" x14ac:dyDescent="0.3">
      <c r="A535" s="14" t="s">
        <v>4139</v>
      </c>
      <c r="B535" s="14" t="s">
        <v>288</v>
      </c>
      <c r="C535" s="14" t="s">
        <v>3377</v>
      </c>
      <c r="D535" s="14">
        <v>149005.32999999999</v>
      </c>
      <c r="E535" s="14">
        <v>43560.13</v>
      </c>
      <c r="F535" s="15">
        <v>44279</v>
      </c>
      <c r="G535" s="15">
        <v>44697</v>
      </c>
      <c r="H535" s="14" t="s">
        <v>3911</v>
      </c>
      <c r="I535" s="14" t="s">
        <v>3373</v>
      </c>
      <c r="J535" s="13" t="str" cm="1">
        <f t="array" ref="J535">_xlfn.IFS(
  OR(ISBLANK(A535),ISBLANK(B535),ISBLANK(H535),ISBLANK(D535),ISBLANK(E535)),"Missing Value",
  D535&lt;=0,"Review – Out of Range (Coverage)",
  E535&lt;=0,"Review – Out of Range (Premium)",
  TRUE,"OK"
)</f>
        <v>OK</v>
      </c>
    </row>
    <row r="536" spans="1:10" ht="16.8" x14ac:dyDescent="0.3">
      <c r="A536" s="11" t="s">
        <v>4140</v>
      </c>
      <c r="B536" s="11" t="s">
        <v>444</v>
      </c>
      <c r="C536" s="11" t="s">
        <v>3359</v>
      </c>
      <c r="D536" s="11">
        <v>112150.07</v>
      </c>
      <c r="E536" s="11">
        <v>18488.77</v>
      </c>
      <c r="F536" s="12">
        <v>44997</v>
      </c>
      <c r="G536" s="12">
        <v>45276</v>
      </c>
      <c r="H536" s="11" t="s">
        <v>3477</v>
      </c>
      <c r="I536" s="11" t="s">
        <v>3361</v>
      </c>
      <c r="J536" s="13" t="str" cm="1">
        <f t="array" ref="J536">_xlfn.IFS(
  OR(ISBLANK(A536),ISBLANK(B536),ISBLANK(H536),ISBLANK(D536),ISBLANK(E536)),"Missing Value",
  D536&lt;=0,"Review – Out of Range (Coverage)",
  E536&lt;=0,"Review – Out of Range (Premium)",
  TRUE,"OK"
)</f>
        <v>OK</v>
      </c>
    </row>
    <row r="537" spans="1:10" ht="16.8" x14ac:dyDescent="0.3">
      <c r="A537" s="14" t="s">
        <v>4141</v>
      </c>
      <c r="B537" s="14" t="s">
        <v>2277</v>
      </c>
      <c r="C537" s="14" t="s">
        <v>3380</v>
      </c>
      <c r="D537" s="14">
        <v>758174.88</v>
      </c>
      <c r="E537" s="14">
        <v>29523.84</v>
      </c>
      <c r="F537" s="15">
        <v>45385</v>
      </c>
      <c r="G537" s="15">
        <v>45665</v>
      </c>
      <c r="H537" s="14" t="s">
        <v>4062</v>
      </c>
      <c r="I537" s="14" t="s">
        <v>3361</v>
      </c>
      <c r="J537" s="13" t="str" cm="1">
        <f t="array" ref="J537">_xlfn.IFS(
  OR(ISBLANK(A537),ISBLANK(B537),ISBLANK(H537),ISBLANK(D537),ISBLANK(E537)),"Missing Value",
  D537&lt;=0,"Review – Out of Range (Coverage)",
  E537&lt;=0,"Review – Out of Range (Premium)",
  TRUE,"OK"
)</f>
        <v>OK</v>
      </c>
    </row>
    <row r="538" spans="1:10" ht="16.8" x14ac:dyDescent="0.3">
      <c r="A538" s="11" t="s">
        <v>4142</v>
      </c>
      <c r="B538" s="11" t="s">
        <v>2269</v>
      </c>
      <c r="C538" s="11" t="s">
        <v>3377</v>
      </c>
      <c r="D538" s="11">
        <v>546517.85</v>
      </c>
      <c r="E538" s="11">
        <v>4129.63</v>
      </c>
      <c r="F538" s="12">
        <v>45190</v>
      </c>
      <c r="G538" s="12">
        <v>45558</v>
      </c>
      <c r="H538" s="11" t="s">
        <v>4143</v>
      </c>
      <c r="I538" s="11" t="s">
        <v>3365</v>
      </c>
      <c r="J538" s="13" t="str" cm="1">
        <f t="array" ref="J538">_xlfn.IFS(
  OR(ISBLANK(A538),ISBLANK(B538),ISBLANK(H538),ISBLANK(D538),ISBLANK(E538)),"Missing Value",
  D538&lt;=0,"Review – Out of Range (Coverage)",
  E538&lt;=0,"Review – Out of Range (Premium)",
  TRUE,"OK"
)</f>
        <v>OK</v>
      </c>
    </row>
    <row r="539" spans="1:10" ht="16.8" x14ac:dyDescent="0.3">
      <c r="A539" s="14" t="s">
        <v>4144</v>
      </c>
      <c r="B539" s="14" t="s">
        <v>733</v>
      </c>
      <c r="C539" s="14" t="s">
        <v>3377</v>
      </c>
      <c r="D539" s="14">
        <v>628976.57999999996</v>
      </c>
      <c r="E539" s="14">
        <v>20903.009999999998</v>
      </c>
      <c r="F539" s="15">
        <v>45214</v>
      </c>
      <c r="G539" s="15">
        <v>45309</v>
      </c>
      <c r="H539" s="14" t="s">
        <v>3665</v>
      </c>
      <c r="I539" s="14" t="s">
        <v>3365</v>
      </c>
      <c r="J539" s="13" t="str" cm="1">
        <f t="array" ref="J539">_xlfn.IFS(
  OR(ISBLANK(A539),ISBLANK(B539),ISBLANK(H539),ISBLANK(D539),ISBLANK(E539)),"Missing Value",
  D539&lt;=0,"Review – Out of Range (Coverage)",
  E539&lt;=0,"Review – Out of Range (Premium)",
  TRUE,"OK"
)</f>
        <v>OK</v>
      </c>
    </row>
    <row r="540" spans="1:10" ht="16.8" x14ac:dyDescent="0.3">
      <c r="A540" s="11" t="s">
        <v>4145</v>
      </c>
      <c r="B540" s="11" t="s">
        <v>571</v>
      </c>
      <c r="C540" s="11" t="s">
        <v>3377</v>
      </c>
      <c r="D540" s="11">
        <v>822789.4</v>
      </c>
      <c r="E540" s="11">
        <v>4170.87</v>
      </c>
      <c r="F540" s="12">
        <v>44484</v>
      </c>
      <c r="G540" s="12">
        <v>45831</v>
      </c>
      <c r="H540" s="11" t="s">
        <v>3827</v>
      </c>
      <c r="I540" s="11" t="s">
        <v>3373</v>
      </c>
      <c r="J540" s="13" t="str" cm="1">
        <f t="array" ref="J540">_xlfn.IFS(
  OR(ISBLANK(A540),ISBLANK(B540),ISBLANK(H540),ISBLANK(D540),ISBLANK(E540)),"Missing Value",
  D540&lt;=0,"Review – Out of Range (Coverage)",
  E540&lt;=0,"Review – Out of Range (Premium)",
  TRUE,"OK"
)</f>
        <v>OK</v>
      </c>
    </row>
    <row r="541" spans="1:10" ht="16.8" x14ac:dyDescent="0.3">
      <c r="A541" s="14" t="s">
        <v>4146</v>
      </c>
      <c r="B541" s="14" t="s">
        <v>2115</v>
      </c>
      <c r="C541" s="14" t="s">
        <v>3380</v>
      </c>
      <c r="D541" s="14">
        <v>279111.25</v>
      </c>
      <c r="E541" s="14">
        <v>43369.599999999999</v>
      </c>
      <c r="F541" s="15">
        <v>45145</v>
      </c>
      <c r="G541" s="15">
        <v>45469</v>
      </c>
      <c r="H541" s="14" t="s">
        <v>3413</v>
      </c>
      <c r="I541" s="14" t="s">
        <v>3373</v>
      </c>
      <c r="J541" s="13" t="str" cm="1">
        <f t="array" ref="J541">_xlfn.IFS(
  OR(ISBLANK(A541),ISBLANK(B541),ISBLANK(H541),ISBLANK(D541),ISBLANK(E541)),"Missing Value",
  D541&lt;=0,"Review – Out of Range (Coverage)",
  E541&lt;=0,"Review – Out of Range (Premium)",
  TRUE,"OK"
)</f>
        <v>OK</v>
      </c>
    </row>
    <row r="542" spans="1:10" ht="16.8" x14ac:dyDescent="0.3">
      <c r="A542" s="11" t="s">
        <v>4147</v>
      </c>
      <c r="B542" s="11" t="s">
        <v>1945</v>
      </c>
      <c r="C542" s="11" t="s">
        <v>3380</v>
      </c>
      <c r="D542" s="11">
        <v>688461.98</v>
      </c>
      <c r="E542" s="11">
        <v>14707.25</v>
      </c>
      <c r="F542" s="12">
        <v>44422</v>
      </c>
      <c r="G542" s="12">
        <v>45329</v>
      </c>
      <c r="H542" s="11" t="s">
        <v>3830</v>
      </c>
      <c r="I542" s="11" t="s">
        <v>3365</v>
      </c>
      <c r="J542" s="13" t="str" cm="1">
        <f t="array" ref="J542">_xlfn.IFS(
  OR(ISBLANK(A542),ISBLANK(B542),ISBLANK(H542),ISBLANK(D542),ISBLANK(E542)),"Missing Value",
  D542&lt;=0,"Review – Out of Range (Coverage)",
  E542&lt;=0,"Review – Out of Range (Premium)",
  TRUE,"OK"
)</f>
        <v>OK</v>
      </c>
    </row>
    <row r="543" spans="1:10" ht="16.8" x14ac:dyDescent="0.3">
      <c r="A543" s="14" t="s">
        <v>4148</v>
      </c>
      <c r="B543" s="14" t="s">
        <v>3276</v>
      </c>
      <c r="C543" s="14" t="s">
        <v>3380</v>
      </c>
      <c r="D543" s="14">
        <v>974983.81</v>
      </c>
      <c r="E543" s="14">
        <v>15696.69</v>
      </c>
      <c r="F543" s="15">
        <v>44588</v>
      </c>
      <c r="G543" s="15">
        <v>45063</v>
      </c>
      <c r="H543" s="14" t="s">
        <v>3454</v>
      </c>
      <c r="I543" s="14" t="s">
        <v>3373</v>
      </c>
      <c r="J543" s="13" t="str" cm="1">
        <f t="array" ref="J543">_xlfn.IFS(
  OR(ISBLANK(A543),ISBLANK(B543),ISBLANK(H543),ISBLANK(D543),ISBLANK(E543)),"Missing Value",
  D543&lt;=0,"Review – Out of Range (Coverage)",
  E543&lt;=0,"Review – Out of Range (Premium)",
  TRUE,"OK"
)</f>
        <v>OK</v>
      </c>
    </row>
    <row r="544" spans="1:10" ht="16.8" x14ac:dyDescent="0.3">
      <c r="A544" s="11" t="s">
        <v>4149</v>
      </c>
      <c r="B544" s="11" t="s">
        <v>1307</v>
      </c>
      <c r="C544" s="11" t="s">
        <v>3359</v>
      </c>
      <c r="D544" s="11">
        <v>204318.92</v>
      </c>
      <c r="E544" s="11">
        <v>27469.66</v>
      </c>
      <c r="F544" s="12">
        <v>44350</v>
      </c>
      <c r="G544" s="12">
        <v>44917</v>
      </c>
      <c r="H544" s="11" t="s">
        <v>3939</v>
      </c>
      <c r="I544" s="11" t="s">
        <v>3361</v>
      </c>
      <c r="J544" s="13" t="str" cm="1">
        <f t="array" ref="J544">_xlfn.IFS(
  OR(ISBLANK(A544),ISBLANK(B544),ISBLANK(H544),ISBLANK(D544),ISBLANK(E544)),"Missing Value",
  D544&lt;=0,"Review – Out of Range (Coverage)",
  E544&lt;=0,"Review – Out of Range (Premium)",
  TRUE,"OK"
)</f>
        <v>OK</v>
      </c>
    </row>
    <row r="545" spans="1:10" ht="16.8" x14ac:dyDescent="0.3">
      <c r="A545" s="14" t="s">
        <v>4150</v>
      </c>
      <c r="B545" s="14" t="s">
        <v>623</v>
      </c>
      <c r="C545" s="14" t="s">
        <v>3363</v>
      </c>
      <c r="D545" s="14">
        <v>197325.22</v>
      </c>
      <c r="E545" s="14">
        <v>27205.47</v>
      </c>
      <c r="F545" s="15">
        <v>45233</v>
      </c>
      <c r="G545" s="15">
        <v>45409</v>
      </c>
      <c r="H545" s="14" t="s">
        <v>4151</v>
      </c>
      <c r="I545" s="14" t="s">
        <v>3365</v>
      </c>
      <c r="J545" s="13" t="str" cm="1">
        <f t="array" ref="J545">_xlfn.IFS(
  OR(ISBLANK(A545),ISBLANK(B545),ISBLANK(H545),ISBLANK(D545),ISBLANK(E545)),"Missing Value",
  D545&lt;=0,"Review – Out of Range (Coverage)",
  E545&lt;=0,"Review – Out of Range (Premium)",
  TRUE,"OK"
)</f>
        <v>OK</v>
      </c>
    </row>
    <row r="546" spans="1:10" ht="16.8" x14ac:dyDescent="0.3">
      <c r="A546" s="11" t="s">
        <v>4152</v>
      </c>
      <c r="B546" s="11" t="s">
        <v>729</v>
      </c>
      <c r="C546" s="11" t="s">
        <v>3371</v>
      </c>
      <c r="D546" s="11">
        <v>483351.82</v>
      </c>
      <c r="E546" s="11">
        <v>43560.92</v>
      </c>
      <c r="F546" s="12">
        <v>45387</v>
      </c>
      <c r="G546" s="12">
        <v>45439</v>
      </c>
      <c r="H546" s="11" t="s">
        <v>3575</v>
      </c>
      <c r="I546" s="11" t="s">
        <v>3361</v>
      </c>
      <c r="J546" s="13" t="str" cm="1">
        <f t="array" ref="J546">_xlfn.IFS(
  OR(ISBLANK(A546),ISBLANK(B546),ISBLANK(H546),ISBLANK(D546),ISBLANK(E546)),"Missing Value",
  D546&lt;=0,"Review – Out of Range (Coverage)",
  E546&lt;=0,"Review – Out of Range (Premium)",
  TRUE,"OK"
)</f>
        <v>OK</v>
      </c>
    </row>
    <row r="547" spans="1:10" ht="16.8" x14ac:dyDescent="0.3">
      <c r="A547" s="14" t="s">
        <v>4153</v>
      </c>
      <c r="B547" s="14" t="s">
        <v>1535</v>
      </c>
      <c r="C547" s="14" t="s">
        <v>3371</v>
      </c>
      <c r="D547" s="14">
        <v>247144.31</v>
      </c>
      <c r="E547" s="14">
        <v>18077.41</v>
      </c>
      <c r="F547" s="15">
        <v>44179</v>
      </c>
      <c r="G547" s="15">
        <v>45480</v>
      </c>
      <c r="H547" s="14" t="s">
        <v>4154</v>
      </c>
      <c r="I547" s="14" t="s">
        <v>3365</v>
      </c>
      <c r="J547" s="13" t="str" cm="1">
        <f t="array" ref="J547">_xlfn.IFS(
  OR(ISBLANK(A547),ISBLANK(B547),ISBLANK(H547),ISBLANK(D547),ISBLANK(E547)),"Missing Value",
  D547&lt;=0,"Review – Out of Range (Coverage)",
  E547&lt;=0,"Review – Out of Range (Premium)",
  TRUE,"OK"
)</f>
        <v>OK</v>
      </c>
    </row>
    <row r="548" spans="1:10" ht="16.8" x14ac:dyDescent="0.3">
      <c r="A548" s="11" t="s">
        <v>4155</v>
      </c>
      <c r="B548" s="11" t="s">
        <v>1739</v>
      </c>
      <c r="C548" s="11" t="s">
        <v>3363</v>
      </c>
      <c r="D548" s="11">
        <v>183732.1</v>
      </c>
      <c r="E548" s="11">
        <v>28698.06</v>
      </c>
      <c r="F548" s="12">
        <v>44814</v>
      </c>
      <c r="G548" s="12">
        <v>45706</v>
      </c>
      <c r="H548" s="11" t="s">
        <v>3691</v>
      </c>
      <c r="I548" s="11" t="s">
        <v>3365</v>
      </c>
      <c r="J548" s="13" t="str" cm="1">
        <f t="array" ref="J548">_xlfn.IFS(
  OR(ISBLANK(A548),ISBLANK(B548),ISBLANK(H548),ISBLANK(D548),ISBLANK(E548)),"Missing Value",
  D548&lt;=0,"Review – Out of Range (Coverage)",
  E548&lt;=0,"Review – Out of Range (Premium)",
  TRUE,"OK"
)</f>
        <v>OK</v>
      </c>
    </row>
    <row r="549" spans="1:10" ht="16.8" x14ac:dyDescent="0.3">
      <c r="A549" s="14" t="s">
        <v>4156</v>
      </c>
      <c r="B549" s="14" t="s">
        <v>989</v>
      </c>
      <c r="C549" s="14" t="s">
        <v>3359</v>
      </c>
      <c r="D549" s="14">
        <v>191396.27</v>
      </c>
      <c r="E549" s="14">
        <v>32718.1</v>
      </c>
      <c r="F549" s="15">
        <v>45359</v>
      </c>
      <c r="G549" s="15">
        <v>45532</v>
      </c>
      <c r="H549" s="14" t="s">
        <v>3806</v>
      </c>
      <c r="I549" s="14" t="s">
        <v>3365</v>
      </c>
      <c r="J549" s="13" t="str" cm="1">
        <f t="array" ref="J549">_xlfn.IFS(
  OR(ISBLANK(A549),ISBLANK(B549),ISBLANK(H549),ISBLANK(D549),ISBLANK(E549)),"Missing Value",
  D549&lt;=0,"Review – Out of Range (Coverage)",
  E549&lt;=0,"Review – Out of Range (Premium)",
  TRUE,"OK"
)</f>
        <v>OK</v>
      </c>
    </row>
    <row r="550" spans="1:10" ht="16.8" x14ac:dyDescent="0.3">
      <c r="A550" s="11" t="s">
        <v>4157</v>
      </c>
      <c r="B550" s="11" t="s">
        <v>865</v>
      </c>
      <c r="C550" s="11" t="s">
        <v>3380</v>
      </c>
      <c r="D550" s="11">
        <v>719834.26</v>
      </c>
      <c r="E550" s="11">
        <v>13265.32</v>
      </c>
      <c r="F550" s="12">
        <v>44338</v>
      </c>
      <c r="G550" s="12">
        <v>45597</v>
      </c>
      <c r="H550" s="11" t="s">
        <v>4158</v>
      </c>
      <c r="I550" s="11" t="s">
        <v>3373</v>
      </c>
      <c r="J550" s="13" t="str" cm="1">
        <f t="array" ref="J550">_xlfn.IFS(
  OR(ISBLANK(A550),ISBLANK(B550),ISBLANK(H550),ISBLANK(D550),ISBLANK(E550)),"Missing Value",
  D550&lt;=0,"Review – Out of Range (Coverage)",
  E550&lt;=0,"Review – Out of Range (Premium)",
  TRUE,"OK"
)</f>
        <v>OK</v>
      </c>
    </row>
    <row r="551" spans="1:10" ht="16.8" x14ac:dyDescent="0.3">
      <c r="A551" s="14" t="s">
        <v>4159</v>
      </c>
      <c r="B551" s="14" t="s">
        <v>2475</v>
      </c>
      <c r="C551" s="14" t="s">
        <v>3377</v>
      </c>
      <c r="D551" s="14">
        <v>278492.12</v>
      </c>
      <c r="E551" s="14">
        <v>9709.8799999999992</v>
      </c>
      <c r="F551" s="15">
        <v>45426</v>
      </c>
      <c r="G551" s="15">
        <v>45613</v>
      </c>
      <c r="H551" s="14" t="s">
        <v>3774</v>
      </c>
      <c r="I551" s="14" t="s">
        <v>3365</v>
      </c>
      <c r="J551" s="13" t="str" cm="1">
        <f t="array" ref="J551">_xlfn.IFS(
  OR(ISBLANK(A551),ISBLANK(B551),ISBLANK(H551),ISBLANK(D551),ISBLANK(E551)),"Missing Value",
  D551&lt;=0,"Review – Out of Range (Coverage)",
  E551&lt;=0,"Review – Out of Range (Premium)",
  TRUE,"OK"
)</f>
        <v>OK</v>
      </c>
    </row>
    <row r="552" spans="1:10" ht="16.8" x14ac:dyDescent="0.3">
      <c r="A552" s="11" t="s">
        <v>4160</v>
      </c>
      <c r="B552" s="11" t="s">
        <v>400</v>
      </c>
      <c r="C552" s="11" t="s">
        <v>3359</v>
      </c>
      <c r="D552" s="11">
        <v>836694.72</v>
      </c>
      <c r="E552" s="11">
        <v>25626.86</v>
      </c>
      <c r="F552" s="12">
        <v>44476</v>
      </c>
      <c r="G552" s="12">
        <v>44614</v>
      </c>
      <c r="H552" s="11" t="s">
        <v>4161</v>
      </c>
      <c r="I552" s="11" t="s">
        <v>3365</v>
      </c>
      <c r="J552" s="13" t="str" cm="1">
        <f t="array" ref="J552">_xlfn.IFS(
  OR(ISBLANK(A552),ISBLANK(B552),ISBLANK(H552),ISBLANK(D552),ISBLANK(E552)),"Missing Value",
  D552&lt;=0,"Review – Out of Range (Coverage)",
  E552&lt;=0,"Review – Out of Range (Premium)",
  TRUE,"OK"
)</f>
        <v>OK</v>
      </c>
    </row>
    <row r="553" spans="1:10" ht="16.8" x14ac:dyDescent="0.3">
      <c r="A553" s="14" t="s">
        <v>4162</v>
      </c>
      <c r="B553" s="14" t="s">
        <v>2879</v>
      </c>
      <c r="C553" s="14" t="s">
        <v>3363</v>
      </c>
      <c r="D553" s="14">
        <v>875291.94</v>
      </c>
      <c r="E553" s="14">
        <v>5421.06</v>
      </c>
      <c r="F553" s="15">
        <v>45174</v>
      </c>
      <c r="G553" s="15">
        <v>45366</v>
      </c>
      <c r="H553" s="14" t="s">
        <v>4056</v>
      </c>
      <c r="I553" s="14" t="s">
        <v>3373</v>
      </c>
      <c r="J553" s="13" t="str" cm="1">
        <f t="array" ref="J553">_xlfn.IFS(
  OR(ISBLANK(A553),ISBLANK(B553),ISBLANK(H553),ISBLANK(D553),ISBLANK(E553)),"Missing Value",
  D553&lt;=0,"Review – Out of Range (Coverage)",
  E553&lt;=0,"Review – Out of Range (Premium)",
  TRUE,"OK"
)</f>
        <v>OK</v>
      </c>
    </row>
    <row r="554" spans="1:10" ht="16.8" x14ac:dyDescent="0.3">
      <c r="A554" s="11" t="s">
        <v>4163</v>
      </c>
      <c r="B554" s="11" t="s">
        <v>3338</v>
      </c>
      <c r="C554" s="11" t="s">
        <v>3359</v>
      </c>
      <c r="D554" s="11">
        <v>845553.46</v>
      </c>
      <c r="E554" s="11">
        <v>17394.18</v>
      </c>
      <c r="F554" s="12">
        <v>44595</v>
      </c>
      <c r="G554" s="12">
        <v>44765</v>
      </c>
      <c r="H554" s="11" t="s">
        <v>4164</v>
      </c>
      <c r="I554" s="11" t="s">
        <v>3365</v>
      </c>
      <c r="J554" s="13" t="str" cm="1">
        <f t="array" ref="J554">_xlfn.IFS(
  OR(ISBLANK(A554),ISBLANK(B554),ISBLANK(H554),ISBLANK(D554),ISBLANK(E554)),"Missing Value",
  D554&lt;=0,"Review – Out of Range (Coverage)",
  E554&lt;=0,"Review – Out of Range (Premium)",
  TRUE,"OK"
)</f>
        <v>OK</v>
      </c>
    </row>
    <row r="555" spans="1:10" ht="16.8" x14ac:dyDescent="0.3">
      <c r="A555" s="14" t="s">
        <v>4165</v>
      </c>
      <c r="B555" s="14" t="s">
        <v>2939</v>
      </c>
      <c r="C555" s="14" t="s">
        <v>3380</v>
      </c>
      <c r="D555" s="14">
        <v>702620.91</v>
      </c>
      <c r="E555" s="14">
        <v>13713.48</v>
      </c>
      <c r="F555" s="15">
        <v>45004</v>
      </c>
      <c r="G555" s="15">
        <v>45213</v>
      </c>
      <c r="H555" s="14" t="s">
        <v>3415</v>
      </c>
      <c r="I555" s="14" t="s">
        <v>3365</v>
      </c>
      <c r="J555" s="13" t="str" cm="1">
        <f t="array" ref="J555">_xlfn.IFS(
  OR(ISBLANK(A555),ISBLANK(B555),ISBLANK(H555),ISBLANK(D555),ISBLANK(E555)),"Missing Value",
  D555&lt;=0,"Review – Out of Range (Coverage)",
  E555&lt;=0,"Review – Out of Range (Premium)",
  TRUE,"OK"
)</f>
        <v>OK</v>
      </c>
    </row>
    <row r="556" spans="1:10" ht="16.8" x14ac:dyDescent="0.3">
      <c r="A556" s="11" t="s">
        <v>4166</v>
      </c>
      <c r="B556" s="11" t="s">
        <v>2847</v>
      </c>
      <c r="C556" s="11" t="s">
        <v>3363</v>
      </c>
      <c r="D556" s="11">
        <v>969386.62</v>
      </c>
      <c r="E556" s="11">
        <v>36828.99</v>
      </c>
      <c r="F556" s="12">
        <v>44391</v>
      </c>
      <c r="G556" s="12">
        <v>44784</v>
      </c>
      <c r="H556" s="11" t="s">
        <v>3573</v>
      </c>
      <c r="I556" s="11" t="s">
        <v>3365</v>
      </c>
      <c r="J556" s="13" t="str" cm="1">
        <f t="array" ref="J556">_xlfn.IFS(
  OR(ISBLANK(A556),ISBLANK(B556),ISBLANK(H556),ISBLANK(D556),ISBLANK(E556)),"Missing Value",
  D556&lt;=0,"Review – Out of Range (Coverage)",
  E556&lt;=0,"Review – Out of Range (Premium)",
  TRUE,"OK"
)</f>
        <v>OK</v>
      </c>
    </row>
    <row r="557" spans="1:10" ht="16.8" x14ac:dyDescent="0.3">
      <c r="A557" s="14" t="s">
        <v>4167</v>
      </c>
      <c r="B557" s="14" t="s">
        <v>3162</v>
      </c>
      <c r="C557" s="14" t="s">
        <v>3359</v>
      </c>
      <c r="D557" s="14">
        <v>864304.4</v>
      </c>
      <c r="E557" s="14">
        <v>27905.95</v>
      </c>
      <c r="F557" s="15">
        <v>44306</v>
      </c>
      <c r="G557" s="15">
        <v>44569</v>
      </c>
      <c r="H557" s="14" t="s">
        <v>4076</v>
      </c>
      <c r="I557" s="14" t="s">
        <v>3365</v>
      </c>
      <c r="J557" s="13" t="str" cm="1">
        <f t="array" ref="J557">_xlfn.IFS(
  OR(ISBLANK(A557),ISBLANK(B557),ISBLANK(H557),ISBLANK(D557),ISBLANK(E557)),"Missing Value",
  D557&lt;=0,"Review – Out of Range (Coverage)",
  E557&lt;=0,"Review – Out of Range (Premium)",
  TRUE,"OK"
)</f>
        <v>OK</v>
      </c>
    </row>
    <row r="558" spans="1:10" ht="16.8" x14ac:dyDescent="0.3">
      <c r="A558" s="11" t="s">
        <v>4168</v>
      </c>
      <c r="B558" s="11" t="s">
        <v>53</v>
      </c>
      <c r="C558" s="11" t="s">
        <v>3371</v>
      </c>
      <c r="D558" s="11">
        <v>830707.39</v>
      </c>
      <c r="E558" s="11">
        <v>29138.17</v>
      </c>
      <c r="F558" s="12">
        <v>44339</v>
      </c>
      <c r="G558" s="12">
        <v>44932</v>
      </c>
      <c r="H558" s="11" t="s">
        <v>3632</v>
      </c>
      <c r="I558" s="11" t="s">
        <v>3373</v>
      </c>
      <c r="J558" s="13" t="str" cm="1">
        <f t="array" ref="J558">_xlfn.IFS(
  OR(ISBLANK(A558),ISBLANK(B558),ISBLANK(H558),ISBLANK(D558),ISBLANK(E558)),"Missing Value",
  D558&lt;=0,"Review – Out of Range (Coverage)",
  E558&lt;=0,"Review – Out of Range (Premium)",
  TRUE,"OK"
)</f>
        <v>OK</v>
      </c>
    </row>
    <row r="559" spans="1:10" ht="16.8" x14ac:dyDescent="0.3">
      <c r="A559" s="14" t="s">
        <v>4169</v>
      </c>
      <c r="B559" s="14" t="s">
        <v>3142</v>
      </c>
      <c r="C559" s="14" t="s">
        <v>3363</v>
      </c>
      <c r="D559" s="14">
        <v>373858.94</v>
      </c>
      <c r="E559" s="14">
        <v>13202.59</v>
      </c>
      <c r="F559" s="15">
        <v>45320</v>
      </c>
      <c r="G559" s="15">
        <v>45534</v>
      </c>
      <c r="H559" s="14" t="s">
        <v>4170</v>
      </c>
      <c r="I559" s="14" t="s">
        <v>3373</v>
      </c>
      <c r="J559" s="13" t="str" cm="1">
        <f t="array" ref="J559">_xlfn.IFS(
  OR(ISBLANK(A559),ISBLANK(B559),ISBLANK(H559),ISBLANK(D559),ISBLANK(E559)),"Missing Value",
  D559&lt;=0,"Review – Out of Range (Coverage)",
  E559&lt;=0,"Review – Out of Range (Premium)",
  TRUE,"OK"
)</f>
        <v>OK</v>
      </c>
    </row>
    <row r="560" spans="1:10" ht="16.8" x14ac:dyDescent="0.3">
      <c r="A560" s="11" t="s">
        <v>4171</v>
      </c>
      <c r="B560" s="11" t="s">
        <v>583</v>
      </c>
      <c r="C560" s="11" t="s">
        <v>3359</v>
      </c>
      <c r="D560" s="11">
        <v>603886.76</v>
      </c>
      <c r="E560" s="11">
        <v>29088.44</v>
      </c>
      <c r="F560" s="12">
        <v>44104</v>
      </c>
      <c r="G560" s="12">
        <v>45112</v>
      </c>
      <c r="H560" s="11" t="s">
        <v>3545</v>
      </c>
      <c r="I560" s="11" t="s">
        <v>3365</v>
      </c>
      <c r="J560" s="13" t="str" cm="1">
        <f t="array" ref="J560">_xlfn.IFS(
  OR(ISBLANK(A560),ISBLANK(B560),ISBLANK(H560),ISBLANK(D560),ISBLANK(E560)),"Missing Value",
  D560&lt;=0,"Review – Out of Range (Coverage)",
  E560&lt;=0,"Review – Out of Range (Premium)",
  TRUE,"OK"
)</f>
        <v>OK</v>
      </c>
    </row>
    <row r="561" spans="1:10" ht="16.8" x14ac:dyDescent="0.3">
      <c r="A561" s="14" t="s">
        <v>4172</v>
      </c>
      <c r="B561" s="14" t="s">
        <v>1881</v>
      </c>
      <c r="C561" s="14" t="s">
        <v>3359</v>
      </c>
      <c r="D561" s="14">
        <v>676744.63</v>
      </c>
      <c r="E561" s="14">
        <v>37912.49</v>
      </c>
      <c r="F561" s="15">
        <v>45485</v>
      </c>
      <c r="G561" s="15">
        <v>45735</v>
      </c>
      <c r="H561" s="14" t="s">
        <v>3874</v>
      </c>
      <c r="I561" s="14" t="s">
        <v>3373</v>
      </c>
      <c r="J561" s="13" t="str" cm="1">
        <f t="array" ref="J561">_xlfn.IFS(
  OR(ISBLANK(A561),ISBLANK(B561),ISBLANK(H561),ISBLANK(D561),ISBLANK(E561)),"Missing Value",
  D561&lt;=0,"Review – Out of Range (Coverage)",
  E561&lt;=0,"Review – Out of Range (Premium)",
  TRUE,"OK"
)</f>
        <v>OK</v>
      </c>
    </row>
    <row r="562" spans="1:10" ht="16.8" x14ac:dyDescent="0.3">
      <c r="A562" s="11" t="s">
        <v>4173</v>
      </c>
      <c r="B562" s="11" t="s">
        <v>494</v>
      </c>
      <c r="C562" s="11" t="s">
        <v>3363</v>
      </c>
      <c r="D562" s="11">
        <v>581080.5</v>
      </c>
      <c r="E562" s="11">
        <v>27012.05</v>
      </c>
      <c r="F562" s="12">
        <v>44742</v>
      </c>
      <c r="G562" s="12">
        <v>44863</v>
      </c>
      <c r="H562" s="11" t="s">
        <v>3974</v>
      </c>
      <c r="I562" s="11" t="s">
        <v>3361</v>
      </c>
      <c r="J562" s="13" t="str" cm="1">
        <f t="array" ref="J562">_xlfn.IFS(
  OR(ISBLANK(A562),ISBLANK(B562),ISBLANK(H562),ISBLANK(D562),ISBLANK(E562)),"Missing Value",
  D562&lt;=0,"Review – Out of Range (Coverage)",
  E562&lt;=0,"Review – Out of Range (Premium)",
  TRUE,"OK"
)</f>
        <v>OK</v>
      </c>
    </row>
    <row r="563" spans="1:10" ht="16.8" x14ac:dyDescent="0.3">
      <c r="A563" s="14" t="s">
        <v>4174</v>
      </c>
      <c r="B563" s="14" t="s">
        <v>1575</v>
      </c>
      <c r="C563" s="14" t="s">
        <v>3380</v>
      </c>
      <c r="D563" s="14">
        <v>591725.66</v>
      </c>
      <c r="E563" s="14">
        <v>36326.120000000003</v>
      </c>
      <c r="F563" s="15">
        <v>44830</v>
      </c>
      <c r="G563" s="15">
        <v>45631</v>
      </c>
      <c r="H563" s="14" t="s">
        <v>3687</v>
      </c>
      <c r="I563" s="14" t="s">
        <v>3361</v>
      </c>
      <c r="J563" s="13" t="str" cm="1">
        <f t="array" ref="J563">_xlfn.IFS(
  OR(ISBLANK(A563),ISBLANK(B563),ISBLANK(H563),ISBLANK(D563),ISBLANK(E563)),"Missing Value",
  D563&lt;=0,"Review – Out of Range (Coverage)",
  E563&lt;=0,"Review – Out of Range (Premium)",
  TRUE,"OK"
)</f>
        <v>OK</v>
      </c>
    </row>
    <row r="564" spans="1:10" ht="16.8" x14ac:dyDescent="0.3">
      <c r="A564" s="11" t="s">
        <v>4175</v>
      </c>
      <c r="B564" s="11" t="s">
        <v>200</v>
      </c>
      <c r="C564" s="11" t="s">
        <v>3371</v>
      </c>
      <c r="D564" s="11">
        <v>573613.80000000005</v>
      </c>
      <c r="E564" s="11">
        <v>16614.21</v>
      </c>
      <c r="F564" s="12">
        <v>44588</v>
      </c>
      <c r="G564" s="12">
        <v>45532</v>
      </c>
      <c r="H564" s="11" t="s">
        <v>3575</v>
      </c>
      <c r="I564" s="11" t="s">
        <v>3361</v>
      </c>
      <c r="J564" s="13" t="str" cm="1">
        <f t="array" ref="J564">_xlfn.IFS(
  OR(ISBLANK(A564),ISBLANK(B564),ISBLANK(H564),ISBLANK(D564),ISBLANK(E564)),"Missing Value",
  D564&lt;=0,"Review – Out of Range (Coverage)",
  E564&lt;=0,"Review – Out of Range (Premium)",
  TRUE,"OK"
)</f>
        <v>OK</v>
      </c>
    </row>
    <row r="565" spans="1:10" ht="16.8" x14ac:dyDescent="0.3">
      <c r="A565" s="14" t="s">
        <v>4176</v>
      </c>
      <c r="B565" s="14" t="s">
        <v>2137</v>
      </c>
      <c r="C565" s="14" t="s">
        <v>3380</v>
      </c>
      <c r="D565" s="14">
        <v>128209.19</v>
      </c>
      <c r="E565" s="14">
        <v>24649.89</v>
      </c>
      <c r="F565" s="15">
        <v>44582</v>
      </c>
      <c r="G565" s="15">
        <v>45201</v>
      </c>
      <c r="H565" s="14" t="s">
        <v>3634</v>
      </c>
      <c r="I565" s="14" t="s">
        <v>3373</v>
      </c>
      <c r="J565" s="13" t="str" cm="1">
        <f t="array" ref="J565">_xlfn.IFS(
  OR(ISBLANK(A565),ISBLANK(B565),ISBLANK(H565),ISBLANK(D565),ISBLANK(E565)),"Missing Value",
  D565&lt;=0,"Review – Out of Range (Coverage)",
  E565&lt;=0,"Review – Out of Range (Premium)",
  TRUE,"OK"
)</f>
        <v>OK</v>
      </c>
    </row>
    <row r="566" spans="1:10" ht="16.8" x14ac:dyDescent="0.3">
      <c r="A566" s="11" t="s">
        <v>4177</v>
      </c>
      <c r="B566" s="11" t="s">
        <v>951</v>
      </c>
      <c r="C566" s="11" t="s">
        <v>3380</v>
      </c>
      <c r="D566" s="11">
        <v>943477.63</v>
      </c>
      <c r="E566" s="11">
        <v>40453.949999999997</v>
      </c>
      <c r="F566" s="12">
        <v>45437</v>
      </c>
      <c r="G566" s="12">
        <v>45650</v>
      </c>
      <c r="H566" s="11" t="s">
        <v>3397</v>
      </c>
      <c r="I566" s="11" t="s">
        <v>3365</v>
      </c>
      <c r="J566" s="13" t="str" cm="1">
        <f t="array" ref="J566">_xlfn.IFS(
  OR(ISBLANK(A566),ISBLANK(B566),ISBLANK(H566),ISBLANK(D566),ISBLANK(E566)),"Missing Value",
  D566&lt;=0,"Review – Out of Range (Coverage)",
  E566&lt;=0,"Review – Out of Range (Premium)",
  TRUE,"OK"
)</f>
        <v>OK</v>
      </c>
    </row>
    <row r="567" spans="1:10" ht="16.8" x14ac:dyDescent="0.3">
      <c r="A567" s="14" t="s">
        <v>4178</v>
      </c>
      <c r="B567" s="14" t="s">
        <v>3254</v>
      </c>
      <c r="C567" s="14" t="s">
        <v>3363</v>
      </c>
      <c r="D567" s="14">
        <v>224679.86</v>
      </c>
      <c r="E567" s="14">
        <v>42384</v>
      </c>
      <c r="F567" s="15">
        <v>45272</v>
      </c>
      <c r="G567" s="15">
        <v>45505</v>
      </c>
      <c r="H567" s="14" t="s">
        <v>3698</v>
      </c>
      <c r="I567" s="14" t="s">
        <v>3373</v>
      </c>
      <c r="J567" s="13" t="str" cm="1">
        <f t="array" ref="J567">_xlfn.IFS(
  OR(ISBLANK(A567),ISBLANK(B567),ISBLANK(H567),ISBLANK(D567),ISBLANK(E567)),"Missing Value",
  D567&lt;=0,"Review – Out of Range (Coverage)",
  E567&lt;=0,"Review – Out of Range (Premium)",
  TRUE,"OK"
)</f>
        <v>OK</v>
      </c>
    </row>
    <row r="568" spans="1:10" ht="16.8" x14ac:dyDescent="0.3">
      <c r="A568" s="11" t="s">
        <v>4179</v>
      </c>
      <c r="B568" s="11" t="s">
        <v>2751</v>
      </c>
      <c r="C568" s="11" t="s">
        <v>3380</v>
      </c>
      <c r="D568" s="11">
        <v>957347.7</v>
      </c>
      <c r="E568" s="11">
        <v>17311.11</v>
      </c>
      <c r="F568" s="12">
        <v>44768</v>
      </c>
      <c r="G568" s="12">
        <v>45660</v>
      </c>
      <c r="H568" s="11" t="s">
        <v>3569</v>
      </c>
      <c r="I568" s="11" t="s">
        <v>3361</v>
      </c>
      <c r="J568" s="13" t="str" cm="1">
        <f t="array" ref="J568">_xlfn.IFS(
  OR(ISBLANK(A568),ISBLANK(B568),ISBLANK(H568),ISBLANK(D568),ISBLANK(E568)),"Missing Value",
  D568&lt;=0,"Review – Out of Range (Coverage)",
  E568&lt;=0,"Review – Out of Range (Premium)",
  TRUE,"OK"
)</f>
        <v>OK</v>
      </c>
    </row>
    <row r="569" spans="1:10" ht="16.8" x14ac:dyDescent="0.3">
      <c r="A569" s="14" t="s">
        <v>4180</v>
      </c>
      <c r="B569" s="14" t="s">
        <v>1747</v>
      </c>
      <c r="C569" s="14" t="s">
        <v>3380</v>
      </c>
      <c r="D569" s="14">
        <v>940361.38</v>
      </c>
      <c r="E569" s="14">
        <v>29564.29</v>
      </c>
      <c r="F569" s="15">
        <v>44361</v>
      </c>
      <c r="G569" s="15">
        <v>44700</v>
      </c>
      <c r="H569" s="14" t="s">
        <v>3632</v>
      </c>
      <c r="I569" s="14" t="s">
        <v>3373</v>
      </c>
      <c r="J569" s="13" t="str" cm="1">
        <f t="array" ref="J569">_xlfn.IFS(
  OR(ISBLANK(A569),ISBLANK(B569),ISBLANK(H569),ISBLANK(D569),ISBLANK(E569)),"Missing Value",
  D569&lt;=0,"Review – Out of Range (Coverage)",
  E569&lt;=0,"Review – Out of Range (Premium)",
  TRUE,"OK"
)</f>
        <v>OK</v>
      </c>
    </row>
    <row r="570" spans="1:10" ht="16.8" x14ac:dyDescent="0.3">
      <c r="A570" s="11" t="s">
        <v>4181</v>
      </c>
      <c r="B570" s="11" t="s">
        <v>3158</v>
      </c>
      <c r="C570" s="11" t="s">
        <v>3380</v>
      </c>
      <c r="D570" s="11">
        <v>955341.75</v>
      </c>
      <c r="E570" s="11">
        <v>41312.949999999997</v>
      </c>
      <c r="F570" s="12">
        <v>45245</v>
      </c>
      <c r="G570" s="12">
        <v>45345</v>
      </c>
      <c r="H570" s="11" t="s">
        <v>3846</v>
      </c>
      <c r="I570" s="11" t="s">
        <v>3373</v>
      </c>
      <c r="J570" s="13" t="str" cm="1">
        <f t="array" ref="J570">_xlfn.IFS(
  OR(ISBLANK(A570),ISBLANK(B570),ISBLANK(H570),ISBLANK(D570),ISBLANK(E570)),"Missing Value",
  D570&lt;=0,"Review – Out of Range (Coverage)",
  E570&lt;=0,"Review – Out of Range (Premium)",
  TRUE,"OK"
)</f>
        <v>OK</v>
      </c>
    </row>
    <row r="571" spans="1:10" ht="16.8" x14ac:dyDescent="0.3">
      <c r="A571" s="14" t="s">
        <v>4182</v>
      </c>
      <c r="B571" s="14" t="s">
        <v>1797</v>
      </c>
      <c r="C571" s="14" t="s">
        <v>3363</v>
      </c>
      <c r="D571" s="14">
        <v>689868.7</v>
      </c>
      <c r="E571" s="14">
        <v>18365.02</v>
      </c>
      <c r="F571" s="15">
        <v>45271</v>
      </c>
      <c r="G571" s="15">
        <v>45659</v>
      </c>
      <c r="H571" s="14" t="s">
        <v>4098</v>
      </c>
      <c r="I571" s="14" t="s">
        <v>3365</v>
      </c>
      <c r="J571" s="13" t="str" cm="1">
        <f t="array" ref="J571">_xlfn.IFS(
  OR(ISBLANK(A571),ISBLANK(B571),ISBLANK(H571),ISBLANK(D571),ISBLANK(E571)),"Missing Value",
  D571&lt;=0,"Review – Out of Range (Coverage)",
  E571&lt;=0,"Review – Out of Range (Premium)",
  TRUE,"OK"
)</f>
        <v>OK</v>
      </c>
    </row>
    <row r="572" spans="1:10" ht="16.8" x14ac:dyDescent="0.3">
      <c r="A572" s="11" t="s">
        <v>4183</v>
      </c>
      <c r="B572" s="11" t="s">
        <v>1273</v>
      </c>
      <c r="C572" s="11" t="s">
        <v>3359</v>
      </c>
      <c r="D572" s="11">
        <v>468226.33</v>
      </c>
      <c r="E572" s="11">
        <v>7096.48</v>
      </c>
      <c r="F572" s="12">
        <v>45199</v>
      </c>
      <c r="G572" s="12">
        <v>45369</v>
      </c>
      <c r="H572" s="11" t="s">
        <v>3465</v>
      </c>
      <c r="I572" s="11" t="s">
        <v>3373</v>
      </c>
      <c r="J572" s="13" t="str" cm="1">
        <f t="array" ref="J572">_xlfn.IFS(
  OR(ISBLANK(A572),ISBLANK(B572),ISBLANK(H572),ISBLANK(D572),ISBLANK(E572)),"Missing Value",
  D572&lt;=0,"Review – Out of Range (Coverage)",
  E572&lt;=0,"Review – Out of Range (Premium)",
  TRUE,"OK"
)</f>
        <v>OK</v>
      </c>
    </row>
    <row r="573" spans="1:10" ht="16.8" x14ac:dyDescent="0.3">
      <c r="A573" s="14" t="s">
        <v>4184</v>
      </c>
      <c r="B573" s="14" t="s">
        <v>260</v>
      </c>
      <c r="C573" s="14" t="s">
        <v>3371</v>
      </c>
      <c r="D573" s="14">
        <v>577442.98</v>
      </c>
      <c r="E573" s="14">
        <v>13520.07</v>
      </c>
      <c r="F573" s="15">
        <v>44897</v>
      </c>
      <c r="G573" s="15">
        <v>44977</v>
      </c>
      <c r="H573" s="14" t="s">
        <v>3423</v>
      </c>
      <c r="I573" s="14" t="s">
        <v>3361</v>
      </c>
      <c r="J573" s="13" t="str" cm="1">
        <f t="array" ref="J573">_xlfn.IFS(
  OR(ISBLANK(A573),ISBLANK(B573),ISBLANK(H573),ISBLANK(D573),ISBLANK(E573)),"Missing Value",
  D573&lt;=0,"Review – Out of Range (Coverage)",
  E573&lt;=0,"Review – Out of Range (Premium)",
  TRUE,"OK"
)</f>
        <v>OK</v>
      </c>
    </row>
    <row r="574" spans="1:10" ht="16.8" x14ac:dyDescent="0.3">
      <c r="A574" s="11" t="s">
        <v>4185</v>
      </c>
      <c r="B574" s="11" t="s">
        <v>2553</v>
      </c>
      <c r="C574" s="11" t="s">
        <v>3363</v>
      </c>
      <c r="D574" s="11">
        <v>679806.99</v>
      </c>
      <c r="E574" s="11">
        <v>25511.53</v>
      </c>
      <c r="F574" s="12">
        <v>45037</v>
      </c>
      <c r="G574" s="12">
        <v>45227</v>
      </c>
      <c r="H574" s="11" t="s">
        <v>3573</v>
      </c>
      <c r="I574" s="11" t="s">
        <v>3361</v>
      </c>
      <c r="J574" s="13" t="str" cm="1">
        <f t="array" ref="J574">_xlfn.IFS(
  OR(ISBLANK(A574),ISBLANK(B574),ISBLANK(H574),ISBLANK(D574),ISBLANK(E574)),"Missing Value",
  D574&lt;=0,"Review – Out of Range (Coverage)",
  E574&lt;=0,"Review – Out of Range (Premium)",
  TRUE,"OK"
)</f>
        <v>OK</v>
      </c>
    </row>
    <row r="575" spans="1:10" ht="16.8" x14ac:dyDescent="0.3">
      <c r="A575" s="14" t="s">
        <v>4186</v>
      </c>
      <c r="B575" s="14" t="s">
        <v>2769</v>
      </c>
      <c r="C575" s="14" t="s">
        <v>3377</v>
      </c>
      <c r="D575" s="14">
        <v>497341.67</v>
      </c>
      <c r="E575" s="14">
        <v>4599.7700000000004</v>
      </c>
      <c r="F575" s="15">
        <v>45033</v>
      </c>
      <c r="G575" s="15">
        <v>45354</v>
      </c>
      <c r="H575" s="14" t="s">
        <v>4187</v>
      </c>
      <c r="I575" s="14" t="s">
        <v>3365</v>
      </c>
      <c r="J575" s="13" t="str" cm="1">
        <f t="array" ref="J575">_xlfn.IFS(
  OR(ISBLANK(A575),ISBLANK(B575),ISBLANK(H575),ISBLANK(D575),ISBLANK(E575)),"Missing Value",
  D575&lt;=0,"Review – Out of Range (Coverage)",
  E575&lt;=0,"Review – Out of Range (Premium)",
  TRUE,"OK"
)</f>
        <v>OK</v>
      </c>
    </row>
    <row r="576" spans="1:10" ht="16.8" x14ac:dyDescent="0.3">
      <c r="A576" s="11" t="s">
        <v>4188</v>
      </c>
      <c r="B576" s="11" t="s">
        <v>987</v>
      </c>
      <c r="C576" s="11" t="s">
        <v>3371</v>
      </c>
      <c r="D576" s="11">
        <v>674210.5</v>
      </c>
      <c r="E576" s="11">
        <v>23871.21</v>
      </c>
      <c r="F576" s="12">
        <v>45369</v>
      </c>
      <c r="G576" s="12">
        <v>45763</v>
      </c>
      <c r="H576" s="11" t="s">
        <v>3401</v>
      </c>
      <c r="I576" s="11" t="s">
        <v>3373</v>
      </c>
      <c r="J576" s="13" t="str" cm="1">
        <f t="array" ref="J576">_xlfn.IFS(
  OR(ISBLANK(A576),ISBLANK(B576),ISBLANK(H576),ISBLANK(D576),ISBLANK(E576)),"Missing Value",
  D576&lt;=0,"Review – Out of Range (Coverage)",
  E576&lt;=0,"Review – Out of Range (Premium)",
  TRUE,"OK"
)</f>
        <v>OK</v>
      </c>
    </row>
    <row r="577" spans="1:10" ht="16.8" x14ac:dyDescent="0.3">
      <c r="A577" s="14" t="s">
        <v>4189</v>
      </c>
      <c r="B577" s="14" t="s">
        <v>559</v>
      </c>
      <c r="C577" s="14" t="s">
        <v>3380</v>
      </c>
      <c r="D577" s="14">
        <v>807093.8</v>
      </c>
      <c r="E577" s="14">
        <v>7595.21</v>
      </c>
      <c r="F577" s="15">
        <v>45087</v>
      </c>
      <c r="G577" s="15">
        <v>45670</v>
      </c>
      <c r="H577" s="14" t="s">
        <v>4190</v>
      </c>
      <c r="I577" s="14" t="s">
        <v>3373</v>
      </c>
      <c r="J577" s="13" t="str" cm="1">
        <f t="array" ref="J577">_xlfn.IFS(
  OR(ISBLANK(A577),ISBLANK(B577),ISBLANK(H577),ISBLANK(D577),ISBLANK(E577)),"Missing Value",
  D577&lt;=0,"Review – Out of Range (Coverage)",
  E577&lt;=0,"Review – Out of Range (Premium)",
  TRUE,"OK"
)</f>
        <v>OK</v>
      </c>
    </row>
    <row r="578" spans="1:10" ht="16.8" x14ac:dyDescent="0.3">
      <c r="A578" s="11" t="s">
        <v>4191</v>
      </c>
      <c r="B578" s="11" t="s">
        <v>2205</v>
      </c>
      <c r="C578" s="11" t="s">
        <v>3363</v>
      </c>
      <c r="D578" s="11">
        <v>838495.05</v>
      </c>
      <c r="E578" s="11">
        <v>42760.87</v>
      </c>
      <c r="F578" s="12">
        <v>44979</v>
      </c>
      <c r="G578" s="12">
        <v>45182</v>
      </c>
      <c r="H578" s="11" t="s">
        <v>3811</v>
      </c>
      <c r="I578" s="11" t="s">
        <v>3365</v>
      </c>
      <c r="J578" s="13" t="str" cm="1">
        <f t="array" ref="J578">_xlfn.IFS(
  OR(ISBLANK(A578),ISBLANK(B578),ISBLANK(H578),ISBLANK(D578),ISBLANK(E578)),"Missing Value",
  D578&lt;=0,"Review – Out of Range (Coverage)",
  E578&lt;=0,"Review – Out of Range (Premium)",
  TRUE,"OK"
)</f>
        <v>OK</v>
      </c>
    </row>
    <row r="579" spans="1:10" ht="16.8" x14ac:dyDescent="0.3">
      <c r="A579" s="14" t="s">
        <v>4192</v>
      </c>
      <c r="B579" s="14" t="s">
        <v>1435</v>
      </c>
      <c r="C579" s="14" t="s">
        <v>3363</v>
      </c>
      <c r="D579" s="14">
        <v>617391.47</v>
      </c>
      <c r="E579" s="14">
        <v>33735.279999999999</v>
      </c>
      <c r="F579" s="15">
        <v>44227</v>
      </c>
      <c r="G579" s="15">
        <v>45560</v>
      </c>
      <c r="H579" s="14" t="s">
        <v>3391</v>
      </c>
      <c r="I579" s="14" t="s">
        <v>3365</v>
      </c>
      <c r="J579" s="13" t="str" cm="1">
        <f t="array" ref="J579">_xlfn.IFS(
  OR(ISBLANK(A579),ISBLANK(B579),ISBLANK(H579),ISBLANK(D579),ISBLANK(E579)),"Missing Value",
  D579&lt;=0,"Review – Out of Range (Coverage)",
  E579&lt;=0,"Review – Out of Range (Premium)",
  TRUE,"OK"
)</f>
        <v>OK</v>
      </c>
    </row>
    <row r="580" spans="1:10" ht="16.8" x14ac:dyDescent="0.3">
      <c r="A580" s="11" t="s">
        <v>4193</v>
      </c>
      <c r="B580" s="11" t="s">
        <v>1801</v>
      </c>
      <c r="C580" s="11" t="s">
        <v>3371</v>
      </c>
      <c r="D580" s="11">
        <v>343521.33</v>
      </c>
      <c r="E580" s="11">
        <v>41413.910000000003</v>
      </c>
      <c r="F580" s="12">
        <v>45495</v>
      </c>
      <c r="G580" s="12">
        <v>45755</v>
      </c>
      <c r="H580" s="11" t="s">
        <v>3599</v>
      </c>
      <c r="I580" s="11" t="s">
        <v>3365</v>
      </c>
      <c r="J580" s="13" t="str" cm="1">
        <f t="array" ref="J580">_xlfn.IFS(
  OR(ISBLANK(A580),ISBLANK(B580),ISBLANK(H580),ISBLANK(D580),ISBLANK(E580)),"Missing Value",
  D580&lt;=0,"Review – Out of Range (Coverage)",
  E580&lt;=0,"Review – Out of Range (Premium)",
  TRUE,"OK"
)</f>
        <v>OK</v>
      </c>
    </row>
    <row r="581" spans="1:10" ht="16.8" x14ac:dyDescent="0.3">
      <c r="A581" s="14" t="s">
        <v>4194</v>
      </c>
      <c r="B581" s="14" t="s">
        <v>1829</v>
      </c>
      <c r="C581" s="14" t="s">
        <v>3380</v>
      </c>
      <c r="D581" s="14">
        <v>459547.63</v>
      </c>
      <c r="E581" s="14">
        <v>34403.08</v>
      </c>
      <c r="F581" s="15">
        <v>44908</v>
      </c>
      <c r="G581" s="15">
        <v>45560</v>
      </c>
      <c r="H581" s="14" t="s">
        <v>3715</v>
      </c>
      <c r="I581" s="14" t="s">
        <v>3361</v>
      </c>
      <c r="J581" s="13" t="str" cm="1">
        <f t="array" ref="J581">_xlfn.IFS(
  OR(ISBLANK(A581),ISBLANK(B581),ISBLANK(H581),ISBLANK(D581),ISBLANK(E581)),"Missing Value",
  D581&lt;=0,"Review – Out of Range (Coverage)",
  E581&lt;=0,"Review – Out of Range (Premium)",
  TRUE,"OK"
)</f>
        <v>OK</v>
      </c>
    </row>
    <row r="582" spans="1:10" ht="16.8" x14ac:dyDescent="0.3">
      <c r="A582" s="11" t="s">
        <v>4195</v>
      </c>
      <c r="B582" s="11" t="s">
        <v>262</v>
      </c>
      <c r="C582" s="11" t="s">
        <v>3363</v>
      </c>
      <c r="D582" s="11">
        <v>562915.81999999995</v>
      </c>
      <c r="E582" s="11">
        <v>43526.67</v>
      </c>
      <c r="F582" s="12">
        <v>44217</v>
      </c>
      <c r="G582" s="12">
        <v>44330</v>
      </c>
      <c r="H582" s="11" t="s">
        <v>3607</v>
      </c>
      <c r="I582" s="11" t="s">
        <v>3373</v>
      </c>
      <c r="J582" s="13" t="str" cm="1">
        <f t="array" ref="J582">_xlfn.IFS(
  OR(ISBLANK(A582),ISBLANK(B582),ISBLANK(H582),ISBLANK(D582),ISBLANK(E582)),"Missing Value",
  D582&lt;=0,"Review – Out of Range (Coverage)",
  E582&lt;=0,"Review – Out of Range (Premium)",
  TRUE,"OK"
)</f>
        <v>OK</v>
      </c>
    </row>
    <row r="583" spans="1:10" ht="16.8" x14ac:dyDescent="0.3">
      <c r="A583" s="14" t="s">
        <v>4196</v>
      </c>
      <c r="B583" s="14" t="s">
        <v>2917</v>
      </c>
      <c r="C583" s="14" t="s">
        <v>3377</v>
      </c>
      <c r="D583" s="14">
        <v>477407.52</v>
      </c>
      <c r="E583" s="14">
        <v>17694.71</v>
      </c>
      <c r="F583" s="15">
        <v>45298</v>
      </c>
      <c r="G583" s="15">
        <v>45614</v>
      </c>
      <c r="H583" s="14" t="s">
        <v>3779</v>
      </c>
      <c r="I583" s="14" t="s">
        <v>3365</v>
      </c>
      <c r="J583" s="13" t="str" cm="1">
        <f t="array" ref="J583">_xlfn.IFS(
  OR(ISBLANK(A583),ISBLANK(B583),ISBLANK(H583),ISBLANK(D583),ISBLANK(E583)),"Missing Value",
  D583&lt;=0,"Review – Out of Range (Coverage)",
  E583&lt;=0,"Review – Out of Range (Premium)",
  TRUE,"OK"
)</f>
        <v>OK</v>
      </c>
    </row>
    <row r="584" spans="1:10" ht="16.8" x14ac:dyDescent="0.3">
      <c r="A584" s="11" t="s">
        <v>4197</v>
      </c>
      <c r="B584" s="11" t="s">
        <v>2331</v>
      </c>
      <c r="C584" s="11" t="s">
        <v>3380</v>
      </c>
      <c r="D584" s="11">
        <v>373812.62</v>
      </c>
      <c r="E584" s="11">
        <v>7665.91</v>
      </c>
      <c r="F584" s="12">
        <v>44832</v>
      </c>
      <c r="G584" s="12">
        <v>45430</v>
      </c>
      <c r="H584" s="11" t="s">
        <v>4198</v>
      </c>
      <c r="I584" s="11" t="s">
        <v>3361</v>
      </c>
      <c r="J584" s="13" t="str" cm="1">
        <f t="array" ref="J584">_xlfn.IFS(
  OR(ISBLANK(A584),ISBLANK(B584),ISBLANK(H584),ISBLANK(D584),ISBLANK(E584)),"Missing Value",
  D584&lt;=0,"Review – Out of Range (Coverage)",
  E584&lt;=0,"Review – Out of Range (Premium)",
  TRUE,"OK"
)</f>
        <v>OK</v>
      </c>
    </row>
    <row r="585" spans="1:10" ht="16.8" x14ac:dyDescent="0.3">
      <c r="A585" s="14" t="s">
        <v>4199</v>
      </c>
      <c r="B585" s="14" t="s">
        <v>1151</v>
      </c>
      <c r="C585" s="14" t="s">
        <v>3363</v>
      </c>
      <c r="D585" s="14">
        <v>196601.21</v>
      </c>
      <c r="E585" s="14">
        <v>40343.769999999997</v>
      </c>
      <c r="F585" s="15">
        <v>44715</v>
      </c>
      <c r="G585" s="15">
        <v>44727</v>
      </c>
      <c r="H585" s="14" t="s">
        <v>3640</v>
      </c>
      <c r="I585" s="14" t="s">
        <v>3365</v>
      </c>
      <c r="J585" s="13" t="str" cm="1">
        <f t="array" ref="J585">_xlfn.IFS(
  OR(ISBLANK(A585),ISBLANK(B585),ISBLANK(H585),ISBLANK(D585),ISBLANK(E585)),"Missing Value",
  D585&lt;=0,"Review – Out of Range (Coverage)",
  E585&lt;=0,"Review – Out of Range (Premium)",
  TRUE,"OK"
)</f>
        <v>OK</v>
      </c>
    </row>
    <row r="586" spans="1:10" ht="16.8" x14ac:dyDescent="0.3">
      <c r="A586" s="11" t="s">
        <v>4200</v>
      </c>
      <c r="B586" s="11" t="s">
        <v>607</v>
      </c>
      <c r="C586" s="11" t="s">
        <v>3363</v>
      </c>
      <c r="D586" s="11">
        <v>850388.39</v>
      </c>
      <c r="E586" s="11">
        <v>14301.27</v>
      </c>
      <c r="F586" s="12">
        <v>44522</v>
      </c>
      <c r="G586" s="12">
        <v>44852</v>
      </c>
      <c r="H586" s="11" t="s">
        <v>3955</v>
      </c>
      <c r="I586" s="11" t="s">
        <v>3361</v>
      </c>
      <c r="J586" s="13" t="str" cm="1">
        <f t="array" ref="J586">_xlfn.IFS(
  OR(ISBLANK(A586),ISBLANK(B586),ISBLANK(H586),ISBLANK(D586),ISBLANK(E586)),"Missing Value",
  D586&lt;=0,"Review – Out of Range (Coverage)",
  E586&lt;=0,"Review – Out of Range (Premium)",
  TRUE,"OK"
)</f>
        <v>OK</v>
      </c>
    </row>
    <row r="587" spans="1:10" ht="16.8" x14ac:dyDescent="0.3">
      <c r="A587" s="14" t="s">
        <v>4201</v>
      </c>
      <c r="B587" s="14" t="s">
        <v>2049</v>
      </c>
      <c r="C587" s="14" t="s">
        <v>3377</v>
      </c>
      <c r="D587" s="14">
        <v>205973.31</v>
      </c>
      <c r="E587" s="14">
        <v>37353.25</v>
      </c>
      <c r="F587" s="15">
        <v>44911</v>
      </c>
      <c r="G587" s="15">
        <v>45518</v>
      </c>
      <c r="H587" s="14" t="s">
        <v>3689</v>
      </c>
      <c r="I587" s="14" t="s">
        <v>3361</v>
      </c>
      <c r="J587" s="13" t="str" cm="1">
        <f t="array" ref="J587">_xlfn.IFS(
  OR(ISBLANK(A587),ISBLANK(B587),ISBLANK(H587),ISBLANK(D587),ISBLANK(E587)),"Missing Value",
  D587&lt;=0,"Review – Out of Range (Coverage)",
  E587&lt;=0,"Review – Out of Range (Premium)",
  TRUE,"OK"
)</f>
        <v>OK</v>
      </c>
    </row>
    <row r="588" spans="1:10" ht="16.8" x14ac:dyDescent="0.3">
      <c r="A588" s="11" t="s">
        <v>4202</v>
      </c>
      <c r="B588" s="11" t="s">
        <v>3268</v>
      </c>
      <c r="C588" s="11" t="s">
        <v>3377</v>
      </c>
      <c r="D588" s="11">
        <v>213653.89</v>
      </c>
      <c r="E588" s="11">
        <v>38159.629999999997</v>
      </c>
      <c r="F588" s="12">
        <v>45314</v>
      </c>
      <c r="G588" s="12">
        <v>45837</v>
      </c>
      <c r="H588" s="11" t="s">
        <v>3691</v>
      </c>
      <c r="I588" s="11" t="s">
        <v>3361</v>
      </c>
      <c r="J588" s="13" t="str" cm="1">
        <f t="array" ref="J588">_xlfn.IFS(
  OR(ISBLANK(A588),ISBLANK(B588),ISBLANK(H588),ISBLANK(D588),ISBLANK(E588)),"Missing Value",
  D588&lt;=0,"Review – Out of Range (Coverage)",
  E588&lt;=0,"Review – Out of Range (Premium)",
  TRUE,"OK"
)</f>
        <v>OK</v>
      </c>
    </row>
    <row r="589" spans="1:10" ht="16.8" x14ac:dyDescent="0.3">
      <c r="A589" s="14" t="s">
        <v>4203</v>
      </c>
      <c r="B589" s="14" t="s">
        <v>3296</v>
      </c>
      <c r="C589" s="14" t="s">
        <v>3377</v>
      </c>
      <c r="D589" s="14">
        <v>264420.14</v>
      </c>
      <c r="E589" s="14">
        <v>31879.69</v>
      </c>
      <c r="F589" s="15">
        <v>44623</v>
      </c>
      <c r="G589" s="15">
        <v>44627</v>
      </c>
      <c r="H589" s="14" t="s">
        <v>4098</v>
      </c>
      <c r="I589" s="14" t="s">
        <v>3373</v>
      </c>
      <c r="J589" s="13" t="str" cm="1">
        <f t="array" ref="J589">_xlfn.IFS(
  OR(ISBLANK(A589),ISBLANK(B589),ISBLANK(H589),ISBLANK(D589),ISBLANK(E589)),"Missing Value",
  D589&lt;=0,"Review – Out of Range (Coverage)",
  E589&lt;=0,"Review – Out of Range (Premium)",
  TRUE,"OK"
)</f>
        <v>OK</v>
      </c>
    </row>
    <row r="590" spans="1:10" ht="16.8" x14ac:dyDescent="0.3">
      <c r="A590" s="11" t="s">
        <v>4204</v>
      </c>
      <c r="B590" s="11" t="s">
        <v>2791</v>
      </c>
      <c r="C590" s="11" t="s">
        <v>3371</v>
      </c>
      <c r="D590" s="11">
        <v>133825.4</v>
      </c>
      <c r="E590" s="11">
        <v>29727.200000000001</v>
      </c>
      <c r="F590" s="12">
        <v>45110</v>
      </c>
      <c r="G590" s="12">
        <v>45680</v>
      </c>
      <c r="H590" s="11" t="s">
        <v>3846</v>
      </c>
      <c r="I590" s="11" t="s">
        <v>3373</v>
      </c>
      <c r="J590" s="13" t="str" cm="1">
        <f t="array" ref="J590">_xlfn.IFS(
  OR(ISBLANK(A590),ISBLANK(B590),ISBLANK(H590),ISBLANK(D590),ISBLANK(E590)),"Missing Value",
  D590&lt;=0,"Review – Out of Range (Coverage)",
  E590&lt;=0,"Review – Out of Range (Premium)",
  TRUE,"OK"
)</f>
        <v>OK</v>
      </c>
    </row>
    <row r="591" spans="1:10" ht="16.8" x14ac:dyDescent="0.3">
      <c r="A591" s="14" t="s">
        <v>4205</v>
      </c>
      <c r="B591" s="14" t="s">
        <v>2553</v>
      </c>
      <c r="C591" s="14" t="s">
        <v>3371</v>
      </c>
      <c r="D591" s="14">
        <v>418018.95</v>
      </c>
      <c r="E591" s="14">
        <v>20032.47</v>
      </c>
      <c r="F591" s="15">
        <v>44841</v>
      </c>
      <c r="G591" s="15">
        <v>45362</v>
      </c>
      <c r="H591" s="14" t="s">
        <v>3624</v>
      </c>
      <c r="I591" s="14" t="s">
        <v>3361</v>
      </c>
      <c r="J591" s="13" t="str" cm="1">
        <f t="array" ref="J591">_xlfn.IFS(
  OR(ISBLANK(A591),ISBLANK(B591),ISBLANK(H591),ISBLANK(D591),ISBLANK(E591)),"Missing Value",
  D591&lt;=0,"Review – Out of Range (Coverage)",
  E591&lt;=0,"Review – Out of Range (Premium)",
  TRUE,"OK"
)</f>
        <v>OK</v>
      </c>
    </row>
    <row r="592" spans="1:10" ht="16.8" x14ac:dyDescent="0.3">
      <c r="A592" s="11" t="s">
        <v>4206</v>
      </c>
      <c r="B592" s="11" t="s">
        <v>3086</v>
      </c>
      <c r="C592" s="11" t="s">
        <v>3380</v>
      </c>
      <c r="D592" s="11">
        <v>949429.85</v>
      </c>
      <c r="E592" s="11">
        <v>35098.36</v>
      </c>
      <c r="F592" s="12">
        <v>44572</v>
      </c>
      <c r="G592" s="12">
        <v>44929</v>
      </c>
      <c r="H592" s="11" t="s">
        <v>4011</v>
      </c>
      <c r="I592" s="11" t="s">
        <v>3365</v>
      </c>
      <c r="J592" s="13" t="str" cm="1">
        <f t="array" ref="J592">_xlfn.IFS(
  OR(ISBLANK(A592),ISBLANK(B592),ISBLANK(H592),ISBLANK(D592),ISBLANK(E592)),"Missing Value",
  D592&lt;=0,"Review – Out of Range (Coverage)",
  E592&lt;=0,"Review – Out of Range (Premium)",
  TRUE,"OK"
)</f>
        <v>OK</v>
      </c>
    </row>
    <row r="593" spans="1:10" ht="16.8" x14ac:dyDescent="0.3">
      <c r="A593" s="14" t="s">
        <v>4207</v>
      </c>
      <c r="B593" s="14" t="s">
        <v>2677</v>
      </c>
      <c r="C593" s="14" t="s">
        <v>3363</v>
      </c>
      <c r="D593" s="14">
        <v>525814.85</v>
      </c>
      <c r="E593" s="14">
        <v>22646.02</v>
      </c>
      <c r="F593" s="15">
        <v>44052</v>
      </c>
      <c r="G593" s="15">
        <v>45619</v>
      </c>
      <c r="H593" s="14" t="s">
        <v>4208</v>
      </c>
      <c r="I593" s="14" t="s">
        <v>3373</v>
      </c>
      <c r="J593" s="13" t="str" cm="1">
        <f t="array" ref="J593">_xlfn.IFS(
  OR(ISBLANK(A593),ISBLANK(B593),ISBLANK(H593),ISBLANK(D593),ISBLANK(E593)),"Missing Value",
  D593&lt;=0,"Review – Out of Range (Coverage)",
  E593&lt;=0,"Review – Out of Range (Premium)",
  TRUE,"OK"
)</f>
        <v>OK</v>
      </c>
    </row>
    <row r="594" spans="1:10" ht="16.8" x14ac:dyDescent="0.3">
      <c r="A594" s="11" t="s">
        <v>4209</v>
      </c>
      <c r="B594" s="11" t="s">
        <v>715</v>
      </c>
      <c r="C594" s="11" t="s">
        <v>3377</v>
      </c>
      <c r="D594" s="11">
        <v>512077.79</v>
      </c>
      <c r="E594" s="11">
        <v>43800.19</v>
      </c>
      <c r="F594" s="12">
        <v>45392</v>
      </c>
      <c r="G594" s="12">
        <v>45501</v>
      </c>
      <c r="H594" s="11" t="s">
        <v>3886</v>
      </c>
      <c r="I594" s="11" t="s">
        <v>3373</v>
      </c>
      <c r="J594" s="13" t="str" cm="1">
        <f t="array" ref="J594">_xlfn.IFS(
  OR(ISBLANK(A594),ISBLANK(B594),ISBLANK(H594),ISBLANK(D594),ISBLANK(E594)),"Missing Value",
  D594&lt;=0,"Review – Out of Range (Coverage)",
  E594&lt;=0,"Review – Out of Range (Premium)",
  TRUE,"OK"
)</f>
        <v>OK</v>
      </c>
    </row>
    <row r="595" spans="1:10" ht="16.8" x14ac:dyDescent="0.3">
      <c r="A595" s="14" t="s">
        <v>4210</v>
      </c>
      <c r="B595" s="14" t="s">
        <v>472</v>
      </c>
      <c r="C595" s="14" t="s">
        <v>3363</v>
      </c>
      <c r="D595" s="14">
        <v>205314.73</v>
      </c>
      <c r="E595" s="14">
        <v>49296.49</v>
      </c>
      <c r="F595" s="15">
        <v>45165</v>
      </c>
      <c r="G595" s="15">
        <v>45422</v>
      </c>
      <c r="H595" s="14" t="s">
        <v>3665</v>
      </c>
      <c r="I595" s="14" t="s">
        <v>3373</v>
      </c>
      <c r="J595" s="13" t="str" cm="1">
        <f t="array" ref="J595">_xlfn.IFS(
  OR(ISBLANK(A595),ISBLANK(B595),ISBLANK(H595),ISBLANK(D595),ISBLANK(E595)),"Missing Value",
  D595&lt;=0,"Review – Out of Range (Coverage)",
  E595&lt;=0,"Review – Out of Range (Premium)",
  TRUE,"OK"
)</f>
        <v>OK</v>
      </c>
    </row>
    <row r="596" spans="1:10" ht="16.8" x14ac:dyDescent="0.3">
      <c r="A596" s="11" t="s">
        <v>4211</v>
      </c>
      <c r="B596" s="11" t="s">
        <v>1781</v>
      </c>
      <c r="C596" s="11" t="s">
        <v>3380</v>
      </c>
      <c r="D596" s="11">
        <v>485149.38</v>
      </c>
      <c r="E596" s="11">
        <v>22326.26</v>
      </c>
      <c r="F596" s="12">
        <v>44472</v>
      </c>
      <c r="G596" s="12">
        <v>45421</v>
      </c>
      <c r="H596" s="11" t="s">
        <v>3923</v>
      </c>
      <c r="I596" s="11" t="s">
        <v>3361</v>
      </c>
      <c r="J596" s="13" t="str" cm="1">
        <f t="array" ref="J596">_xlfn.IFS(
  OR(ISBLANK(A596),ISBLANK(B596),ISBLANK(H596),ISBLANK(D596),ISBLANK(E596)),"Missing Value",
  D596&lt;=0,"Review – Out of Range (Coverage)",
  E596&lt;=0,"Review – Out of Range (Premium)",
  TRUE,"OK"
)</f>
        <v>OK</v>
      </c>
    </row>
    <row r="597" spans="1:10" ht="16.8" x14ac:dyDescent="0.3">
      <c r="A597" s="14" t="s">
        <v>4212</v>
      </c>
      <c r="B597" s="14" t="s">
        <v>2699</v>
      </c>
      <c r="C597" s="14" t="s">
        <v>3377</v>
      </c>
      <c r="D597" s="14">
        <v>570350.76</v>
      </c>
      <c r="E597" s="14">
        <v>29765.03</v>
      </c>
      <c r="F597" s="15">
        <v>44945</v>
      </c>
      <c r="G597" s="15">
        <v>45020</v>
      </c>
      <c r="H597" s="14" t="s">
        <v>3526</v>
      </c>
      <c r="I597" s="14" t="s">
        <v>3361</v>
      </c>
      <c r="J597" s="13" t="str" cm="1">
        <f t="array" ref="J597">_xlfn.IFS(
  OR(ISBLANK(A597),ISBLANK(B597),ISBLANK(H597),ISBLANK(D597),ISBLANK(E597)),"Missing Value",
  D597&lt;=0,"Review – Out of Range (Coverage)",
  E597&lt;=0,"Review – Out of Range (Premium)",
  TRUE,"OK"
)</f>
        <v>OK</v>
      </c>
    </row>
    <row r="598" spans="1:10" ht="16.8" x14ac:dyDescent="0.3">
      <c r="A598" s="11" t="s">
        <v>4213</v>
      </c>
      <c r="B598" s="11" t="s">
        <v>777</v>
      </c>
      <c r="C598" s="11" t="s">
        <v>3359</v>
      </c>
      <c r="D598" s="11">
        <v>556895.17000000004</v>
      </c>
      <c r="E598" s="11">
        <v>3924.04</v>
      </c>
      <c r="F598" s="12">
        <v>44633</v>
      </c>
      <c r="G598" s="12">
        <v>45185</v>
      </c>
      <c r="H598" s="11" t="s">
        <v>3646</v>
      </c>
      <c r="I598" s="11" t="s">
        <v>3365</v>
      </c>
      <c r="J598" s="13" t="str" cm="1">
        <f t="array" ref="J598">_xlfn.IFS(
  OR(ISBLANK(A598),ISBLANK(B598),ISBLANK(H598),ISBLANK(D598),ISBLANK(E598)),"Missing Value",
  D598&lt;=0,"Review – Out of Range (Coverage)",
  E598&lt;=0,"Review – Out of Range (Premium)",
  TRUE,"OK"
)</f>
        <v>OK</v>
      </c>
    </row>
    <row r="599" spans="1:10" ht="16.8" x14ac:dyDescent="0.3">
      <c r="A599" s="14" t="s">
        <v>4214</v>
      </c>
      <c r="B599" s="14" t="s">
        <v>68</v>
      </c>
      <c r="C599" s="14" t="s">
        <v>3371</v>
      </c>
      <c r="D599" s="14">
        <v>712844.23</v>
      </c>
      <c r="E599" s="14">
        <v>8696.2800000000007</v>
      </c>
      <c r="F599" s="15">
        <v>45330</v>
      </c>
      <c r="G599" s="15">
        <v>45504</v>
      </c>
      <c r="H599" s="14" t="s">
        <v>3770</v>
      </c>
      <c r="I599" s="14" t="s">
        <v>3373</v>
      </c>
      <c r="J599" s="13" t="str" cm="1">
        <f t="array" ref="J599">_xlfn.IFS(
  OR(ISBLANK(A599),ISBLANK(B599),ISBLANK(H599),ISBLANK(D599),ISBLANK(E599)),"Missing Value",
  D599&lt;=0,"Review – Out of Range (Coverage)",
  E599&lt;=0,"Review – Out of Range (Premium)",
  TRUE,"OK"
)</f>
        <v>OK</v>
      </c>
    </row>
    <row r="600" spans="1:10" ht="16.8" x14ac:dyDescent="0.3">
      <c r="A600" s="11" t="s">
        <v>4215</v>
      </c>
      <c r="B600" s="11" t="s">
        <v>2151</v>
      </c>
      <c r="C600" s="11" t="s">
        <v>3359</v>
      </c>
      <c r="D600" s="11">
        <v>353290.03</v>
      </c>
      <c r="E600" s="11">
        <v>22273.34</v>
      </c>
      <c r="F600" s="12">
        <v>45378</v>
      </c>
      <c r="G600" s="12">
        <v>45561</v>
      </c>
      <c r="H600" s="11" t="s">
        <v>4198</v>
      </c>
      <c r="I600" s="11" t="s">
        <v>3365</v>
      </c>
      <c r="J600" s="13" t="str" cm="1">
        <f t="array" ref="J600">_xlfn.IFS(
  OR(ISBLANK(A600),ISBLANK(B600),ISBLANK(H600),ISBLANK(D600),ISBLANK(E600)),"Missing Value",
  D600&lt;=0,"Review – Out of Range (Coverage)",
  E600&lt;=0,"Review – Out of Range (Premium)",
  TRUE,"OK"
)</f>
        <v>OK</v>
      </c>
    </row>
    <row r="601" spans="1:10" ht="16.8" x14ac:dyDescent="0.3">
      <c r="A601" s="14" t="s">
        <v>4216</v>
      </c>
      <c r="B601" s="14" t="s">
        <v>2685</v>
      </c>
      <c r="C601" s="14" t="s">
        <v>3380</v>
      </c>
      <c r="D601" s="14">
        <v>225387.33</v>
      </c>
      <c r="E601" s="14">
        <v>26015.279999999999</v>
      </c>
      <c r="F601" s="15">
        <v>44355</v>
      </c>
      <c r="G601" s="15">
        <v>45396</v>
      </c>
      <c r="H601" s="14" t="s">
        <v>3360</v>
      </c>
      <c r="I601" s="14" t="s">
        <v>3365</v>
      </c>
      <c r="J601" s="13" t="str" cm="1">
        <f t="array" ref="J601">_xlfn.IFS(
  OR(ISBLANK(A601),ISBLANK(B601),ISBLANK(H601),ISBLANK(D601),ISBLANK(E601)),"Missing Value",
  D601&lt;=0,"Review – Out of Range (Coverage)",
  E601&lt;=0,"Review – Out of Range (Premium)",
  TRUE,"OK"
)</f>
        <v>OK</v>
      </c>
    </row>
    <row r="602" spans="1:10" ht="16.8" x14ac:dyDescent="0.3">
      <c r="A602" s="11" t="s">
        <v>4217</v>
      </c>
      <c r="B602" s="11" t="s">
        <v>623</v>
      </c>
      <c r="C602" s="11" t="s">
        <v>3363</v>
      </c>
      <c r="D602" s="11">
        <v>267717.40999999997</v>
      </c>
      <c r="E602" s="11">
        <v>33460.01</v>
      </c>
      <c r="F602" s="12">
        <v>44275</v>
      </c>
      <c r="G602" s="12">
        <v>44404</v>
      </c>
      <c r="H602" s="11" t="s">
        <v>3662</v>
      </c>
      <c r="I602" s="11" t="s">
        <v>3365</v>
      </c>
      <c r="J602" s="13" t="str" cm="1">
        <f t="array" ref="J602">_xlfn.IFS(
  OR(ISBLANK(A602),ISBLANK(B602),ISBLANK(H602),ISBLANK(D602),ISBLANK(E602)),"Missing Value",
  D602&lt;=0,"Review – Out of Range (Coverage)",
  E602&lt;=0,"Review – Out of Range (Premium)",
  TRUE,"OK"
)</f>
        <v>OK</v>
      </c>
    </row>
    <row r="603" spans="1:10" ht="16.8" x14ac:dyDescent="0.3">
      <c r="A603" s="14" t="s">
        <v>4218</v>
      </c>
      <c r="B603" s="14" t="s">
        <v>1379</v>
      </c>
      <c r="C603" s="14" t="s">
        <v>3359</v>
      </c>
      <c r="D603" s="14">
        <v>765208.06</v>
      </c>
      <c r="E603" s="14">
        <v>29315.64</v>
      </c>
      <c r="F603" s="15">
        <v>44105</v>
      </c>
      <c r="G603" s="15">
        <v>45525</v>
      </c>
      <c r="H603" s="14" t="s">
        <v>3607</v>
      </c>
      <c r="I603" s="14" t="s">
        <v>3373</v>
      </c>
      <c r="J603" s="13" t="str" cm="1">
        <f t="array" ref="J603">_xlfn.IFS(
  OR(ISBLANK(A603),ISBLANK(B603),ISBLANK(H603),ISBLANK(D603),ISBLANK(E603)),"Missing Value",
  D603&lt;=0,"Review – Out of Range (Coverage)",
  E603&lt;=0,"Review – Out of Range (Premium)",
  TRUE,"OK"
)</f>
        <v>OK</v>
      </c>
    </row>
    <row r="604" spans="1:10" ht="16.8" x14ac:dyDescent="0.3">
      <c r="A604" s="11" t="s">
        <v>4219</v>
      </c>
      <c r="B604" s="11" t="s">
        <v>2651</v>
      </c>
      <c r="C604" s="11" t="s">
        <v>3359</v>
      </c>
      <c r="D604" s="11">
        <v>947737.88</v>
      </c>
      <c r="E604" s="11">
        <v>47988.87</v>
      </c>
      <c r="F604" s="12">
        <v>44166</v>
      </c>
      <c r="G604" s="12">
        <v>45712</v>
      </c>
      <c r="H604" s="11" t="s">
        <v>3822</v>
      </c>
      <c r="I604" s="11" t="s">
        <v>3373</v>
      </c>
      <c r="J604" s="13" t="str" cm="1">
        <f t="array" ref="J604">_xlfn.IFS(
  OR(ISBLANK(A604),ISBLANK(B604),ISBLANK(H604),ISBLANK(D604),ISBLANK(E604)),"Missing Value",
  D604&lt;=0,"Review – Out of Range (Coverage)",
  E604&lt;=0,"Review – Out of Range (Premium)",
  TRUE,"OK"
)</f>
        <v>OK</v>
      </c>
    </row>
    <row r="605" spans="1:10" ht="16.8" x14ac:dyDescent="0.3">
      <c r="A605" s="14" t="s">
        <v>4220</v>
      </c>
      <c r="B605" s="14" t="s">
        <v>2405</v>
      </c>
      <c r="C605" s="14" t="s">
        <v>3363</v>
      </c>
      <c r="D605" s="14">
        <v>186734.28</v>
      </c>
      <c r="E605" s="14">
        <v>9995.0400000000009</v>
      </c>
      <c r="F605" s="15">
        <v>44964</v>
      </c>
      <c r="G605" s="15">
        <v>45599</v>
      </c>
      <c r="H605" s="14" t="s">
        <v>3393</v>
      </c>
      <c r="I605" s="14" t="s">
        <v>3365</v>
      </c>
      <c r="J605" s="13" t="str" cm="1">
        <f t="array" ref="J605">_xlfn.IFS(
  OR(ISBLANK(A605),ISBLANK(B605),ISBLANK(H605),ISBLANK(D605),ISBLANK(E605)),"Missing Value",
  D605&lt;=0,"Review – Out of Range (Coverage)",
  E605&lt;=0,"Review – Out of Range (Premium)",
  TRUE,"OK"
)</f>
        <v>OK</v>
      </c>
    </row>
    <row r="606" spans="1:10" ht="16.8" x14ac:dyDescent="0.3">
      <c r="A606" s="11" t="s">
        <v>4221</v>
      </c>
      <c r="B606" s="11" t="s">
        <v>661</v>
      </c>
      <c r="C606" s="11" t="s">
        <v>3380</v>
      </c>
      <c r="D606" s="11">
        <v>250389.79</v>
      </c>
      <c r="E606" s="11">
        <v>39134.04</v>
      </c>
      <c r="F606" s="12">
        <v>44864</v>
      </c>
      <c r="G606" s="12">
        <v>44875</v>
      </c>
      <c r="H606" s="11" t="s">
        <v>3547</v>
      </c>
      <c r="I606" s="11" t="s">
        <v>3373</v>
      </c>
      <c r="J606" s="13" t="str" cm="1">
        <f t="array" ref="J606">_xlfn.IFS(
  OR(ISBLANK(A606),ISBLANK(B606),ISBLANK(H606),ISBLANK(D606),ISBLANK(E606)),"Missing Value",
  D606&lt;=0,"Review – Out of Range (Coverage)",
  E606&lt;=0,"Review – Out of Range (Premium)",
  TRUE,"OK"
)</f>
        <v>OK</v>
      </c>
    </row>
    <row r="607" spans="1:10" ht="16.8" x14ac:dyDescent="0.3">
      <c r="A607" s="14" t="s">
        <v>4222</v>
      </c>
      <c r="B607" s="14" t="s">
        <v>585</v>
      </c>
      <c r="C607" s="14" t="s">
        <v>3380</v>
      </c>
      <c r="D607" s="14">
        <v>809182.14</v>
      </c>
      <c r="E607" s="14">
        <v>9414.64</v>
      </c>
      <c r="F607" s="15">
        <v>45296</v>
      </c>
      <c r="G607" s="15">
        <v>45553</v>
      </c>
      <c r="H607" s="14" t="s">
        <v>4076</v>
      </c>
      <c r="I607" s="14" t="s">
        <v>3373</v>
      </c>
      <c r="J607" s="13" t="str" cm="1">
        <f t="array" ref="J607">_xlfn.IFS(
  OR(ISBLANK(A607),ISBLANK(B607),ISBLANK(H607),ISBLANK(D607),ISBLANK(E607)),"Missing Value",
  D607&lt;=0,"Review – Out of Range (Coverage)",
  E607&lt;=0,"Review – Out of Range (Premium)",
  TRUE,"OK"
)</f>
        <v>OK</v>
      </c>
    </row>
    <row r="608" spans="1:10" ht="16.8" x14ac:dyDescent="0.3">
      <c r="A608" s="11" t="s">
        <v>4223</v>
      </c>
      <c r="B608" s="11" t="s">
        <v>1145</v>
      </c>
      <c r="C608" s="11" t="s">
        <v>3380</v>
      </c>
      <c r="D608" s="11">
        <v>163111.71</v>
      </c>
      <c r="E608" s="11">
        <v>32409.72</v>
      </c>
      <c r="F608" s="12">
        <v>44756</v>
      </c>
      <c r="G608" s="12">
        <v>45302</v>
      </c>
      <c r="H608" s="11" t="s">
        <v>3707</v>
      </c>
      <c r="I608" s="11" t="s">
        <v>3373</v>
      </c>
      <c r="J608" s="13" t="str" cm="1">
        <f t="array" ref="J608">_xlfn.IFS(
  OR(ISBLANK(A608),ISBLANK(B608),ISBLANK(H608),ISBLANK(D608),ISBLANK(E608)),"Missing Value",
  D608&lt;=0,"Review – Out of Range (Coverage)",
  E608&lt;=0,"Review – Out of Range (Premium)",
  TRUE,"OK"
)</f>
        <v>OK</v>
      </c>
    </row>
    <row r="609" spans="1:10" ht="16.8" x14ac:dyDescent="0.3">
      <c r="A609" s="14" t="s">
        <v>4224</v>
      </c>
      <c r="B609" s="14" t="s">
        <v>2891</v>
      </c>
      <c r="C609" s="14" t="s">
        <v>3371</v>
      </c>
      <c r="D609" s="14">
        <v>766480.45</v>
      </c>
      <c r="E609" s="14">
        <v>49103.67</v>
      </c>
      <c r="F609" s="15">
        <v>45289</v>
      </c>
      <c r="G609" s="15">
        <v>45691</v>
      </c>
      <c r="H609" s="14" t="s">
        <v>3534</v>
      </c>
      <c r="I609" s="14" t="s">
        <v>3373</v>
      </c>
      <c r="J609" s="13" t="str" cm="1">
        <f t="array" ref="J609">_xlfn.IFS(
  OR(ISBLANK(A609),ISBLANK(B609),ISBLANK(H609),ISBLANK(D609),ISBLANK(E609)),"Missing Value",
  D609&lt;=0,"Review – Out of Range (Coverage)",
  E609&lt;=0,"Review – Out of Range (Premium)",
  TRUE,"OK"
)</f>
        <v>OK</v>
      </c>
    </row>
    <row r="610" spans="1:10" ht="16.8" x14ac:dyDescent="0.3">
      <c r="A610" s="11" t="s">
        <v>4225</v>
      </c>
      <c r="B610" s="11" t="s">
        <v>659</v>
      </c>
      <c r="C610" s="11" t="s">
        <v>3377</v>
      </c>
      <c r="D610" s="11">
        <v>679048.33</v>
      </c>
      <c r="E610" s="11">
        <v>21638.79</v>
      </c>
      <c r="F610" s="12">
        <v>44317</v>
      </c>
      <c r="G610" s="12">
        <v>44851</v>
      </c>
      <c r="H610" s="11" t="s">
        <v>3411</v>
      </c>
      <c r="I610" s="11" t="s">
        <v>3365</v>
      </c>
      <c r="J610" s="13" t="str" cm="1">
        <f t="array" ref="J610">_xlfn.IFS(
  OR(ISBLANK(A610),ISBLANK(B610),ISBLANK(H610),ISBLANK(D610),ISBLANK(E610)),"Missing Value",
  D610&lt;=0,"Review – Out of Range (Coverage)",
  E610&lt;=0,"Review – Out of Range (Premium)",
  TRUE,"OK"
)</f>
        <v>OK</v>
      </c>
    </row>
    <row r="611" spans="1:10" ht="16.8" x14ac:dyDescent="0.3">
      <c r="A611" s="14" t="s">
        <v>4226</v>
      </c>
      <c r="B611" s="14" t="s">
        <v>138</v>
      </c>
      <c r="C611" s="14" t="s">
        <v>3380</v>
      </c>
      <c r="D611" s="14">
        <v>144623.38</v>
      </c>
      <c r="E611" s="14">
        <v>29783.69</v>
      </c>
      <c r="F611" s="15">
        <v>44767</v>
      </c>
      <c r="G611" s="15">
        <v>45762</v>
      </c>
      <c r="H611" s="14" t="s">
        <v>4090</v>
      </c>
      <c r="I611" s="14" t="s">
        <v>3361</v>
      </c>
      <c r="J611" s="13" t="str" cm="1">
        <f t="array" ref="J611">_xlfn.IFS(
  OR(ISBLANK(A611),ISBLANK(B611),ISBLANK(H611),ISBLANK(D611),ISBLANK(E611)),"Missing Value",
  D611&lt;=0,"Review – Out of Range (Coverage)",
  E611&lt;=0,"Review – Out of Range (Premium)",
  TRUE,"OK"
)</f>
        <v>OK</v>
      </c>
    </row>
    <row r="612" spans="1:10" ht="16.8" x14ac:dyDescent="0.3">
      <c r="A612" s="11" t="s">
        <v>4227</v>
      </c>
      <c r="B612" s="11" t="s">
        <v>468</v>
      </c>
      <c r="C612" s="11" t="s">
        <v>3359</v>
      </c>
      <c r="D612" s="11">
        <v>608104.61</v>
      </c>
      <c r="E612" s="11">
        <v>37421.74</v>
      </c>
      <c r="F612" s="12">
        <v>45342</v>
      </c>
      <c r="G612" s="12">
        <v>45500</v>
      </c>
      <c r="H612" s="11" t="s">
        <v>4056</v>
      </c>
      <c r="I612" s="11" t="s">
        <v>3365</v>
      </c>
      <c r="J612" s="13" t="str" cm="1">
        <f t="array" ref="J612">_xlfn.IFS(
  OR(ISBLANK(A612),ISBLANK(B612),ISBLANK(H612),ISBLANK(D612),ISBLANK(E612)),"Missing Value",
  D612&lt;=0,"Review – Out of Range (Coverage)",
  E612&lt;=0,"Review – Out of Range (Premium)",
  TRUE,"OK"
)</f>
        <v>OK</v>
      </c>
    </row>
    <row r="613" spans="1:10" ht="16.8" x14ac:dyDescent="0.3">
      <c r="A613" s="14" t="s">
        <v>4228</v>
      </c>
      <c r="B613" s="14" t="s">
        <v>476</v>
      </c>
      <c r="C613" s="14" t="s">
        <v>3380</v>
      </c>
      <c r="D613" s="14">
        <v>201865.37</v>
      </c>
      <c r="E613" s="14">
        <v>33276.839999999997</v>
      </c>
      <c r="F613" s="15">
        <v>44226</v>
      </c>
      <c r="G613" s="15">
        <v>45716</v>
      </c>
      <c r="H613" s="14" t="s">
        <v>3707</v>
      </c>
      <c r="I613" s="14" t="s">
        <v>3361</v>
      </c>
      <c r="J613" s="13" t="str" cm="1">
        <f t="array" ref="J613">_xlfn.IFS(
  OR(ISBLANK(A613),ISBLANK(B613),ISBLANK(H613),ISBLANK(D613),ISBLANK(E613)),"Missing Value",
  D613&lt;=0,"Review – Out of Range (Coverage)",
  E613&lt;=0,"Review – Out of Range (Premium)",
  TRUE,"OK"
)</f>
        <v>OK</v>
      </c>
    </row>
    <row r="614" spans="1:10" ht="16.8" x14ac:dyDescent="0.3">
      <c r="A614" s="11" t="s">
        <v>4229</v>
      </c>
      <c r="B614" s="11" t="s">
        <v>1921</v>
      </c>
      <c r="C614" s="11" t="s">
        <v>3380</v>
      </c>
      <c r="D614" s="11">
        <v>112067.49</v>
      </c>
      <c r="E614" s="11">
        <v>16032</v>
      </c>
      <c r="F614" s="12">
        <v>45057</v>
      </c>
      <c r="G614" s="12">
        <v>45060</v>
      </c>
      <c r="H614" s="11" t="s">
        <v>3767</v>
      </c>
      <c r="I614" s="11" t="s">
        <v>3373</v>
      </c>
      <c r="J614" s="13" t="str" cm="1">
        <f t="array" ref="J614">_xlfn.IFS(
  OR(ISBLANK(A614),ISBLANK(B614),ISBLANK(H614),ISBLANK(D614),ISBLANK(E614)),"Missing Value",
  D614&lt;=0,"Review – Out of Range (Coverage)",
  E614&lt;=0,"Review – Out of Range (Premium)",
  TRUE,"OK"
)</f>
        <v>OK</v>
      </c>
    </row>
    <row r="615" spans="1:10" ht="16.8" x14ac:dyDescent="0.3">
      <c r="A615" s="14" t="s">
        <v>4230</v>
      </c>
      <c r="B615" s="14" t="s">
        <v>3242</v>
      </c>
      <c r="C615" s="14" t="s">
        <v>3380</v>
      </c>
      <c r="D615" s="14">
        <v>263682.73</v>
      </c>
      <c r="E615" s="14">
        <v>16028.28</v>
      </c>
      <c r="F615" s="15">
        <v>44827</v>
      </c>
      <c r="G615" s="15">
        <v>45067</v>
      </c>
      <c r="H615" s="14" t="s">
        <v>4231</v>
      </c>
      <c r="I615" s="14" t="s">
        <v>3373</v>
      </c>
      <c r="J615" s="13" t="str" cm="1">
        <f t="array" ref="J615">_xlfn.IFS(
  OR(ISBLANK(A615),ISBLANK(B615),ISBLANK(H615),ISBLANK(D615),ISBLANK(E615)),"Missing Value",
  D615&lt;=0,"Review – Out of Range (Coverage)",
  E615&lt;=0,"Review – Out of Range (Premium)",
  TRUE,"OK"
)</f>
        <v>OK</v>
      </c>
    </row>
    <row r="616" spans="1:10" ht="16.8" x14ac:dyDescent="0.3">
      <c r="A616" s="11" t="s">
        <v>4232</v>
      </c>
      <c r="B616" s="11" t="s">
        <v>551</v>
      </c>
      <c r="C616" s="11" t="s">
        <v>3359</v>
      </c>
      <c r="D616" s="11">
        <v>981826.17</v>
      </c>
      <c r="E616" s="11">
        <v>8107.86</v>
      </c>
      <c r="F616" s="12">
        <v>44964</v>
      </c>
      <c r="G616" s="12">
        <v>45463</v>
      </c>
      <c r="H616" s="11" t="s">
        <v>3644</v>
      </c>
      <c r="I616" s="11" t="s">
        <v>3365</v>
      </c>
      <c r="J616" s="13" t="str" cm="1">
        <f t="array" ref="J616">_xlfn.IFS(
  OR(ISBLANK(A616),ISBLANK(B616),ISBLANK(H616),ISBLANK(D616),ISBLANK(E616)),"Missing Value",
  D616&lt;=0,"Review – Out of Range (Coverage)",
  E616&lt;=0,"Review – Out of Range (Premium)",
  TRUE,"OK"
)</f>
        <v>OK</v>
      </c>
    </row>
    <row r="617" spans="1:10" ht="16.8" x14ac:dyDescent="0.3">
      <c r="A617" s="14" t="s">
        <v>4233</v>
      </c>
      <c r="B617" s="14" t="s">
        <v>2105</v>
      </c>
      <c r="C617" s="14" t="s">
        <v>3371</v>
      </c>
      <c r="D617" s="14">
        <v>363700.2</v>
      </c>
      <c r="E617" s="14">
        <v>16783.64</v>
      </c>
      <c r="F617" s="15">
        <v>44505</v>
      </c>
      <c r="G617" s="15">
        <v>44829</v>
      </c>
      <c r="H617" s="14" t="s">
        <v>4234</v>
      </c>
      <c r="I617" s="14" t="s">
        <v>3373</v>
      </c>
      <c r="J617" s="13" t="str" cm="1">
        <f t="array" ref="J617">_xlfn.IFS(
  OR(ISBLANK(A617),ISBLANK(B617),ISBLANK(H617),ISBLANK(D617),ISBLANK(E617)),"Missing Value",
  D617&lt;=0,"Review – Out of Range (Coverage)",
  E617&lt;=0,"Review – Out of Range (Premium)",
  TRUE,"OK"
)</f>
        <v>OK</v>
      </c>
    </row>
    <row r="618" spans="1:10" ht="16.8" x14ac:dyDescent="0.3">
      <c r="A618" s="11" t="s">
        <v>4235</v>
      </c>
      <c r="B618" s="11" t="s">
        <v>3112</v>
      </c>
      <c r="C618" s="11" t="s">
        <v>3371</v>
      </c>
      <c r="D618" s="11">
        <v>699034.85</v>
      </c>
      <c r="E618" s="11">
        <v>26989.91</v>
      </c>
      <c r="F618" s="12">
        <v>44599</v>
      </c>
      <c r="G618" s="12">
        <v>44926</v>
      </c>
      <c r="H618" s="11" t="s">
        <v>4236</v>
      </c>
      <c r="I618" s="11" t="s">
        <v>3365</v>
      </c>
      <c r="J618" s="13" t="str" cm="1">
        <f t="array" ref="J618">_xlfn.IFS(
  OR(ISBLANK(A618),ISBLANK(B618),ISBLANK(H618),ISBLANK(D618),ISBLANK(E618)),"Missing Value",
  D618&lt;=0,"Review – Out of Range (Coverage)",
  E618&lt;=0,"Review – Out of Range (Premium)",
  TRUE,"OK"
)</f>
        <v>OK</v>
      </c>
    </row>
    <row r="619" spans="1:10" ht="16.8" x14ac:dyDescent="0.3">
      <c r="A619" s="14" t="s">
        <v>4237</v>
      </c>
      <c r="B619" s="14" t="s">
        <v>2941</v>
      </c>
      <c r="C619" s="14" t="s">
        <v>3377</v>
      </c>
      <c r="D619" s="14">
        <v>827685.25</v>
      </c>
      <c r="E619" s="14">
        <v>19169.64</v>
      </c>
      <c r="F619" s="15">
        <v>45141</v>
      </c>
      <c r="G619" s="15">
        <v>45468</v>
      </c>
      <c r="H619" s="14" t="s">
        <v>3367</v>
      </c>
      <c r="I619" s="14" t="s">
        <v>3365</v>
      </c>
      <c r="J619" s="13" t="str" cm="1">
        <f t="array" ref="J619">_xlfn.IFS(
  OR(ISBLANK(A619),ISBLANK(B619),ISBLANK(H619),ISBLANK(D619),ISBLANK(E619)),"Missing Value",
  D619&lt;=0,"Review – Out of Range (Coverage)",
  E619&lt;=0,"Review – Out of Range (Premium)",
  TRUE,"OK"
)</f>
        <v>OK</v>
      </c>
    </row>
    <row r="620" spans="1:10" ht="16.8" x14ac:dyDescent="0.3">
      <c r="A620" s="11" t="s">
        <v>4238</v>
      </c>
      <c r="B620" s="11" t="s">
        <v>1019</v>
      </c>
      <c r="C620" s="11" t="s">
        <v>3363</v>
      </c>
      <c r="D620" s="11">
        <v>370663.55</v>
      </c>
      <c r="E620" s="11">
        <v>48013.77</v>
      </c>
      <c r="F620" s="12">
        <v>45253</v>
      </c>
      <c r="G620" s="12">
        <v>45532</v>
      </c>
      <c r="H620" s="11" t="s">
        <v>3886</v>
      </c>
      <c r="I620" s="11" t="s">
        <v>3373</v>
      </c>
      <c r="J620" s="13" t="str" cm="1">
        <f t="array" ref="J620">_xlfn.IFS(
  OR(ISBLANK(A620),ISBLANK(B620),ISBLANK(H620),ISBLANK(D620),ISBLANK(E620)),"Missing Value",
  D620&lt;=0,"Review – Out of Range (Coverage)",
  E620&lt;=0,"Review – Out of Range (Premium)",
  TRUE,"OK"
)</f>
        <v>OK</v>
      </c>
    </row>
    <row r="621" spans="1:10" ht="16.8" x14ac:dyDescent="0.3">
      <c r="A621" s="14" t="s">
        <v>4239</v>
      </c>
      <c r="B621" s="14" t="s">
        <v>991</v>
      </c>
      <c r="C621" s="14" t="s">
        <v>3377</v>
      </c>
      <c r="D621" s="14">
        <v>952901.27</v>
      </c>
      <c r="E621" s="14">
        <v>44482.080000000002</v>
      </c>
      <c r="F621" s="15">
        <v>45301</v>
      </c>
      <c r="G621" s="15">
        <v>45546</v>
      </c>
      <c r="H621" s="14" t="s">
        <v>4240</v>
      </c>
      <c r="I621" s="14" t="s">
        <v>3373</v>
      </c>
      <c r="J621" s="13" t="str" cm="1">
        <f t="array" ref="J621">_xlfn.IFS(
  OR(ISBLANK(A621),ISBLANK(B621),ISBLANK(H621),ISBLANK(D621),ISBLANK(E621)),"Missing Value",
  D621&lt;=0,"Review – Out of Range (Coverage)",
  E621&lt;=0,"Review – Out of Range (Premium)",
  TRUE,"OK"
)</f>
        <v>OK</v>
      </c>
    </row>
    <row r="622" spans="1:10" ht="16.8" x14ac:dyDescent="0.3">
      <c r="A622" s="11" t="s">
        <v>4241</v>
      </c>
      <c r="B622" s="11" t="s">
        <v>2355</v>
      </c>
      <c r="C622" s="11" t="s">
        <v>3371</v>
      </c>
      <c r="D622" s="11">
        <v>374876.15999999997</v>
      </c>
      <c r="E622" s="11">
        <v>24333.19</v>
      </c>
      <c r="F622" s="12">
        <v>44125</v>
      </c>
      <c r="G622" s="12">
        <v>44799</v>
      </c>
      <c r="H622" s="11" t="s">
        <v>3709</v>
      </c>
      <c r="I622" s="11" t="s">
        <v>3361</v>
      </c>
      <c r="J622" s="13" t="str" cm="1">
        <f t="array" ref="J622">_xlfn.IFS(
  OR(ISBLANK(A622),ISBLANK(B622),ISBLANK(H622),ISBLANK(D622),ISBLANK(E622)),"Missing Value",
  D622&lt;=0,"Review – Out of Range (Coverage)",
  E622&lt;=0,"Review – Out of Range (Premium)",
  TRUE,"OK"
)</f>
        <v>OK</v>
      </c>
    </row>
    <row r="623" spans="1:10" ht="16.8" x14ac:dyDescent="0.3">
      <c r="A623" s="14" t="s">
        <v>4242</v>
      </c>
      <c r="B623" s="14" t="s">
        <v>3254</v>
      </c>
      <c r="C623" s="14" t="s">
        <v>3359</v>
      </c>
      <c r="D623" s="14">
        <v>683924.95</v>
      </c>
      <c r="E623" s="14">
        <v>4862.63</v>
      </c>
      <c r="F623" s="15">
        <v>45431</v>
      </c>
      <c r="G623" s="15">
        <v>45795</v>
      </c>
      <c r="H623" s="14" t="s">
        <v>3903</v>
      </c>
      <c r="I623" s="14" t="s">
        <v>3373</v>
      </c>
      <c r="J623" s="13" t="str" cm="1">
        <f t="array" ref="J623">_xlfn.IFS(
  OR(ISBLANK(A623),ISBLANK(B623),ISBLANK(H623),ISBLANK(D623),ISBLANK(E623)),"Missing Value",
  D623&lt;=0,"Review – Out of Range (Coverage)",
  E623&lt;=0,"Review – Out of Range (Premium)",
  TRUE,"OK"
)</f>
        <v>OK</v>
      </c>
    </row>
    <row r="624" spans="1:10" ht="16.8" x14ac:dyDescent="0.3">
      <c r="A624" s="11" t="s">
        <v>4243</v>
      </c>
      <c r="B624" s="11" t="s">
        <v>2227</v>
      </c>
      <c r="C624" s="11" t="s">
        <v>3363</v>
      </c>
      <c r="D624" s="11">
        <v>360357.28</v>
      </c>
      <c r="E624" s="11">
        <v>38939.01</v>
      </c>
      <c r="F624" s="12">
        <v>45397</v>
      </c>
      <c r="G624" s="12">
        <v>45770</v>
      </c>
      <c r="H624" s="11" t="s">
        <v>4244</v>
      </c>
      <c r="I624" s="11" t="s">
        <v>3373</v>
      </c>
      <c r="J624" s="13" t="str" cm="1">
        <f t="array" ref="J624">_xlfn.IFS(
  OR(ISBLANK(A624),ISBLANK(B624),ISBLANK(H624),ISBLANK(D624),ISBLANK(E624)),"Missing Value",
  D624&lt;=0,"Review – Out of Range (Coverage)",
  E624&lt;=0,"Review – Out of Range (Premium)",
  TRUE,"OK"
)</f>
        <v>OK</v>
      </c>
    </row>
    <row r="625" spans="1:10" ht="16.8" x14ac:dyDescent="0.3">
      <c r="A625" s="14" t="s">
        <v>4245</v>
      </c>
      <c r="B625" s="14" t="s">
        <v>2963</v>
      </c>
      <c r="C625" s="14" t="s">
        <v>3359</v>
      </c>
      <c r="D625" s="14">
        <v>666638.82999999996</v>
      </c>
      <c r="E625" s="14">
        <v>16571.5</v>
      </c>
      <c r="F625" s="15">
        <v>45267</v>
      </c>
      <c r="G625" s="15">
        <v>45770</v>
      </c>
      <c r="H625" s="14" t="s">
        <v>4161</v>
      </c>
      <c r="I625" s="14" t="s">
        <v>3365</v>
      </c>
      <c r="J625" s="13" t="str" cm="1">
        <f t="array" ref="J625">_xlfn.IFS(
  OR(ISBLANK(A625),ISBLANK(B625),ISBLANK(H625),ISBLANK(D625),ISBLANK(E625)),"Missing Value",
  D625&lt;=0,"Review – Out of Range (Coverage)",
  E625&lt;=0,"Review – Out of Range (Premium)",
  TRUE,"OK"
)</f>
        <v>OK</v>
      </c>
    </row>
    <row r="626" spans="1:10" ht="16.8" x14ac:dyDescent="0.3">
      <c r="A626" s="11" t="s">
        <v>4246</v>
      </c>
      <c r="B626" s="11" t="s">
        <v>1689</v>
      </c>
      <c r="C626" s="11" t="s">
        <v>3377</v>
      </c>
      <c r="D626" s="11">
        <v>932949.74</v>
      </c>
      <c r="E626" s="11">
        <v>46107.77</v>
      </c>
      <c r="F626" s="12">
        <v>44295</v>
      </c>
      <c r="G626" s="12">
        <v>45205</v>
      </c>
      <c r="H626" s="11" t="s">
        <v>4247</v>
      </c>
      <c r="I626" s="11" t="s">
        <v>3365</v>
      </c>
      <c r="J626" s="13" t="str" cm="1">
        <f t="array" ref="J626">_xlfn.IFS(
  OR(ISBLANK(A626),ISBLANK(B626),ISBLANK(H626),ISBLANK(D626),ISBLANK(E626)),"Missing Value",
  D626&lt;=0,"Review – Out of Range (Coverage)",
  E626&lt;=0,"Review – Out of Range (Premium)",
  TRUE,"OK"
)</f>
        <v>OK</v>
      </c>
    </row>
    <row r="627" spans="1:10" ht="16.8" x14ac:dyDescent="0.3">
      <c r="A627" s="14" t="s">
        <v>4248</v>
      </c>
      <c r="B627" s="14" t="s">
        <v>1547</v>
      </c>
      <c r="C627" s="14" t="s">
        <v>3380</v>
      </c>
      <c r="D627" s="14">
        <v>248125.83</v>
      </c>
      <c r="E627" s="14">
        <v>8898.92</v>
      </c>
      <c r="F627" s="15">
        <v>44650</v>
      </c>
      <c r="G627" s="15">
        <v>45656</v>
      </c>
      <c r="H627" s="14" t="s">
        <v>4249</v>
      </c>
      <c r="I627" s="14" t="s">
        <v>3361</v>
      </c>
      <c r="J627" s="13" t="str" cm="1">
        <f t="array" ref="J627">_xlfn.IFS(
  OR(ISBLANK(A627),ISBLANK(B627),ISBLANK(H627),ISBLANK(D627),ISBLANK(E627)),"Missing Value",
  D627&lt;=0,"Review – Out of Range (Coverage)",
  E627&lt;=0,"Review – Out of Range (Premium)",
  TRUE,"OK"
)</f>
        <v>OK</v>
      </c>
    </row>
    <row r="628" spans="1:10" ht="16.8" x14ac:dyDescent="0.3">
      <c r="A628" s="11" t="s">
        <v>4250</v>
      </c>
      <c r="B628" s="11" t="s">
        <v>1991</v>
      </c>
      <c r="C628" s="11" t="s">
        <v>3363</v>
      </c>
      <c r="D628" s="11">
        <v>215935.48</v>
      </c>
      <c r="E628" s="11">
        <v>7970.92</v>
      </c>
      <c r="F628" s="12">
        <v>45096</v>
      </c>
      <c r="G628" s="12">
        <v>45351</v>
      </c>
      <c r="H628" s="11" t="s">
        <v>3947</v>
      </c>
      <c r="I628" s="11" t="s">
        <v>3365</v>
      </c>
      <c r="J628" s="13" t="str" cm="1">
        <f t="array" ref="J628">_xlfn.IFS(
  OR(ISBLANK(A628),ISBLANK(B628),ISBLANK(H628),ISBLANK(D628),ISBLANK(E628)),"Missing Value",
  D628&lt;=0,"Review – Out of Range (Coverage)",
  E628&lt;=0,"Review – Out of Range (Premium)",
  TRUE,"OK"
)</f>
        <v>OK</v>
      </c>
    </row>
    <row r="629" spans="1:10" ht="16.8" x14ac:dyDescent="0.3">
      <c r="A629" s="14" t="s">
        <v>4251</v>
      </c>
      <c r="B629" s="14" t="s">
        <v>266</v>
      </c>
      <c r="C629" s="14" t="s">
        <v>3363</v>
      </c>
      <c r="D629" s="14">
        <v>365138.49</v>
      </c>
      <c r="E629" s="14">
        <v>29345.02</v>
      </c>
      <c r="F629" s="15">
        <v>45139</v>
      </c>
      <c r="G629" s="15">
        <v>45501</v>
      </c>
      <c r="H629" s="14" t="s">
        <v>3369</v>
      </c>
      <c r="I629" s="14" t="s">
        <v>3361</v>
      </c>
      <c r="J629" s="13" t="str" cm="1">
        <f t="array" ref="J629">_xlfn.IFS(
  OR(ISBLANK(A629),ISBLANK(B629),ISBLANK(H629),ISBLANK(D629),ISBLANK(E629)),"Missing Value",
  D629&lt;=0,"Review – Out of Range (Coverage)",
  E629&lt;=0,"Review – Out of Range (Premium)",
  TRUE,"OK"
)</f>
        <v>OK</v>
      </c>
    </row>
    <row r="630" spans="1:10" ht="16.8" x14ac:dyDescent="0.3">
      <c r="A630" s="11" t="s">
        <v>4252</v>
      </c>
      <c r="B630" s="11" t="s">
        <v>2273</v>
      </c>
      <c r="C630" s="11" t="s">
        <v>3371</v>
      </c>
      <c r="D630" s="11">
        <v>977007.66</v>
      </c>
      <c r="E630" s="11">
        <v>16094.69</v>
      </c>
      <c r="F630" s="12">
        <v>45468</v>
      </c>
      <c r="G630" s="12">
        <v>45861</v>
      </c>
      <c r="H630" s="11" t="s">
        <v>3809</v>
      </c>
      <c r="I630" s="11" t="s">
        <v>3373</v>
      </c>
      <c r="J630" s="13" t="str" cm="1">
        <f t="array" ref="J630">_xlfn.IFS(
  OR(ISBLANK(A630),ISBLANK(B630),ISBLANK(H630),ISBLANK(D630),ISBLANK(E630)),"Missing Value",
  D630&lt;=0,"Review – Out of Range (Coverage)",
  E630&lt;=0,"Review – Out of Range (Premium)",
  TRUE,"OK"
)</f>
        <v>OK</v>
      </c>
    </row>
    <row r="631" spans="1:10" ht="16.8" x14ac:dyDescent="0.3">
      <c r="A631" s="14" t="s">
        <v>4253</v>
      </c>
      <c r="B631" s="14" t="s">
        <v>1005</v>
      </c>
      <c r="C631" s="14" t="s">
        <v>3371</v>
      </c>
      <c r="D631" s="14">
        <v>495870.86</v>
      </c>
      <c r="E631" s="14">
        <v>27449.43</v>
      </c>
      <c r="F631" s="15">
        <v>44534</v>
      </c>
      <c r="G631" s="15">
        <v>45570</v>
      </c>
      <c r="H631" s="14" t="s">
        <v>4254</v>
      </c>
      <c r="I631" s="14" t="s">
        <v>3365</v>
      </c>
      <c r="J631" s="13" t="str" cm="1">
        <f t="array" ref="J631">_xlfn.IFS(
  OR(ISBLANK(A631),ISBLANK(B631),ISBLANK(H631),ISBLANK(D631),ISBLANK(E631)),"Missing Value",
  D631&lt;=0,"Review – Out of Range (Coverage)",
  E631&lt;=0,"Review – Out of Range (Premium)",
  TRUE,"OK"
)</f>
        <v>OK</v>
      </c>
    </row>
    <row r="632" spans="1:10" ht="16.8" x14ac:dyDescent="0.3">
      <c r="A632" s="11" t="s">
        <v>4255</v>
      </c>
      <c r="B632" s="11" t="s">
        <v>2063</v>
      </c>
      <c r="C632" s="11" t="s">
        <v>3359</v>
      </c>
      <c r="D632" s="11">
        <v>209006.47</v>
      </c>
      <c r="E632" s="11">
        <v>47505.93</v>
      </c>
      <c r="F632" s="12">
        <v>44480</v>
      </c>
      <c r="G632" s="12">
        <v>45688</v>
      </c>
      <c r="H632" s="11" t="s">
        <v>4164</v>
      </c>
      <c r="I632" s="11" t="s">
        <v>3361</v>
      </c>
      <c r="J632" s="13" t="str" cm="1">
        <f t="array" ref="J632">_xlfn.IFS(
  OR(ISBLANK(A632),ISBLANK(B632),ISBLANK(H632),ISBLANK(D632),ISBLANK(E632)),"Missing Value",
  D632&lt;=0,"Review – Out of Range (Coverage)",
  E632&lt;=0,"Review – Out of Range (Premium)",
  TRUE,"OK"
)</f>
        <v>OK</v>
      </c>
    </row>
    <row r="633" spans="1:10" ht="16.8" x14ac:dyDescent="0.3">
      <c r="A633" s="14" t="s">
        <v>4256</v>
      </c>
      <c r="B633" s="14" t="s">
        <v>3130</v>
      </c>
      <c r="C633" s="14" t="s">
        <v>3363</v>
      </c>
      <c r="D633" s="14">
        <v>593323.67000000004</v>
      </c>
      <c r="E633" s="14">
        <v>23936.26</v>
      </c>
      <c r="F633" s="15">
        <v>44678</v>
      </c>
      <c r="G633" s="15">
        <v>45629</v>
      </c>
      <c r="H633" s="14" t="s">
        <v>4161</v>
      </c>
      <c r="I633" s="14" t="s">
        <v>3373</v>
      </c>
      <c r="J633" s="13" t="str" cm="1">
        <f t="array" ref="J633">_xlfn.IFS(
  OR(ISBLANK(A633),ISBLANK(B633),ISBLANK(H633),ISBLANK(D633),ISBLANK(E633)),"Missing Value",
  D633&lt;=0,"Review – Out of Range (Coverage)",
  E633&lt;=0,"Review – Out of Range (Premium)",
  TRUE,"OK"
)</f>
        <v>OK</v>
      </c>
    </row>
    <row r="634" spans="1:10" ht="16.8" x14ac:dyDescent="0.3">
      <c r="A634" s="11" t="s">
        <v>4257</v>
      </c>
      <c r="B634" s="11" t="s">
        <v>2999</v>
      </c>
      <c r="C634" s="11" t="s">
        <v>3363</v>
      </c>
      <c r="D634" s="11">
        <v>886886.31</v>
      </c>
      <c r="E634" s="11">
        <v>5490.01</v>
      </c>
      <c r="F634" s="12">
        <v>45269</v>
      </c>
      <c r="G634" s="12">
        <v>45591</v>
      </c>
      <c r="H634" s="11" t="s">
        <v>3759</v>
      </c>
      <c r="I634" s="11" t="s">
        <v>3361</v>
      </c>
      <c r="J634" s="13" t="str" cm="1">
        <f t="array" ref="J634">_xlfn.IFS(
  OR(ISBLANK(A634),ISBLANK(B634),ISBLANK(H634),ISBLANK(D634),ISBLANK(E634)),"Missing Value",
  D634&lt;=0,"Review – Out of Range (Coverage)",
  E634&lt;=0,"Review – Out of Range (Premium)",
  TRUE,"OK"
)</f>
        <v>OK</v>
      </c>
    </row>
    <row r="635" spans="1:10" ht="16.8" x14ac:dyDescent="0.3">
      <c r="A635" s="14" t="s">
        <v>4258</v>
      </c>
      <c r="B635" s="14" t="s">
        <v>531</v>
      </c>
      <c r="C635" s="14" t="s">
        <v>3377</v>
      </c>
      <c r="D635" s="14">
        <v>755811.4</v>
      </c>
      <c r="E635" s="14">
        <v>46393.61</v>
      </c>
      <c r="F635" s="15">
        <v>45484</v>
      </c>
      <c r="G635" s="15">
        <v>45631</v>
      </c>
      <c r="H635" s="14" t="s">
        <v>4240</v>
      </c>
      <c r="I635" s="14" t="s">
        <v>3373</v>
      </c>
      <c r="J635" s="13" t="str" cm="1">
        <f t="array" ref="J635">_xlfn.IFS(
  OR(ISBLANK(A635),ISBLANK(B635),ISBLANK(H635),ISBLANK(D635),ISBLANK(E635)),"Missing Value",
  D635&lt;=0,"Review – Out of Range (Coverage)",
  E635&lt;=0,"Review – Out of Range (Premium)",
  TRUE,"OK"
)</f>
        <v>OK</v>
      </c>
    </row>
    <row r="636" spans="1:10" ht="16.8" x14ac:dyDescent="0.3">
      <c r="A636" s="11" t="s">
        <v>4259</v>
      </c>
      <c r="B636" s="11" t="s">
        <v>1615</v>
      </c>
      <c r="C636" s="11" t="s">
        <v>3363</v>
      </c>
      <c r="D636" s="11">
        <v>214285.82</v>
      </c>
      <c r="E636" s="11">
        <v>4591.8900000000003</v>
      </c>
      <c r="F636" s="12">
        <v>45288</v>
      </c>
      <c r="G636" s="12">
        <v>45774</v>
      </c>
      <c r="H636" s="11" t="s">
        <v>3364</v>
      </c>
      <c r="I636" s="11" t="s">
        <v>3361</v>
      </c>
      <c r="J636" s="13" t="str" cm="1">
        <f t="array" ref="J636">_xlfn.IFS(
  OR(ISBLANK(A636),ISBLANK(B636),ISBLANK(H636),ISBLANK(D636),ISBLANK(E636)),"Missing Value",
  D636&lt;=0,"Review – Out of Range (Coverage)",
  E636&lt;=0,"Review – Out of Range (Premium)",
  TRUE,"OK"
)</f>
        <v>OK</v>
      </c>
    </row>
    <row r="637" spans="1:10" ht="16.8" x14ac:dyDescent="0.3">
      <c r="A637" s="14" t="s">
        <v>4260</v>
      </c>
      <c r="B637" s="14" t="s">
        <v>2685</v>
      </c>
      <c r="C637" s="14" t="s">
        <v>3363</v>
      </c>
      <c r="D637" s="14">
        <v>177215.14</v>
      </c>
      <c r="E637" s="14">
        <v>14411</v>
      </c>
      <c r="F637" s="15">
        <v>44905</v>
      </c>
      <c r="G637" s="15">
        <v>45718</v>
      </c>
      <c r="H637" s="14" t="s">
        <v>3501</v>
      </c>
      <c r="I637" s="14" t="s">
        <v>3373</v>
      </c>
      <c r="J637" s="13" t="str" cm="1">
        <f t="array" ref="J637">_xlfn.IFS(
  OR(ISBLANK(A637),ISBLANK(B637),ISBLANK(H637),ISBLANK(D637),ISBLANK(E637)),"Missing Value",
  D637&lt;=0,"Review – Out of Range (Coverage)",
  E637&lt;=0,"Review – Out of Range (Premium)",
  TRUE,"OK"
)</f>
        <v>OK</v>
      </c>
    </row>
    <row r="638" spans="1:10" ht="16.8" x14ac:dyDescent="0.3">
      <c r="A638" s="11" t="s">
        <v>4261</v>
      </c>
      <c r="B638" s="11" t="s">
        <v>1791</v>
      </c>
      <c r="C638" s="11" t="s">
        <v>3359</v>
      </c>
      <c r="D638" s="11">
        <v>987084.73</v>
      </c>
      <c r="E638" s="11">
        <v>16655.3</v>
      </c>
      <c r="F638" s="12">
        <v>45338</v>
      </c>
      <c r="G638" s="12">
        <v>45527</v>
      </c>
      <c r="H638" s="11" t="s">
        <v>3581</v>
      </c>
      <c r="I638" s="11" t="s">
        <v>3361</v>
      </c>
      <c r="J638" s="13" t="str" cm="1">
        <f t="array" ref="J638">_xlfn.IFS(
  OR(ISBLANK(A638),ISBLANK(B638),ISBLANK(H638),ISBLANK(D638),ISBLANK(E638)),"Missing Value",
  D638&lt;=0,"Review – Out of Range (Coverage)",
  E638&lt;=0,"Review – Out of Range (Premium)",
  TRUE,"OK"
)</f>
        <v>OK</v>
      </c>
    </row>
    <row r="639" spans="1:10" ht="16.8" x14ac:dyDescent="0.3">
      <c r="A639" s="14" t="s">
        <v>4262</v>
      </c>
      <c r="B639" s="14" t="s">
        <v>1377</v>
      </c>
      <c r="C639" s="14" t="s">
        <v>3363</v>
      </c>
      <c r="D639" s="14">
        <v>983885.63</v>
      </c>
      <c r="E639" s="14">
        <v>31100.49</v>
      </c>
      <c r="F639" s="15">
        <v>44883</v>
      </c>
      <c r="G639" s="15">
        <v>45755</v>
      </c>
      <c r="H639" s="14" t="s">
        <v>4190</v>
      </c>
      <c r="I639" s="14" t="s">
        <v>3373</v>
      </c>
      <c r="J639" s="13" t="str" cm="1">
        <f t="array" ref="J639">_xlfn.IFS(
  OR(ISBLANK(A639),ISBLANK(B639),ISBLANK(H639),ISBLANK(D639),ISBLANK(E639)),"Missing Value",
  D639&lt;=0,"Review – Out of Range (Coverage)",
  E639&lt;=0,"Review – Out of Range (Premium)",
  TRUE,"OK"
)</f>
        <v>OK</v>
      </c>
    </row>
    <row r="640" spans="1:10" ht="16.8" x14ac:dyDescent="0.3">
      <c r="A640" s="11" t="s">
        <v>4263</v>
      </c>
      <c r="B640" s="11" t="s">
        <v>2367</v>
      </c>
      <c r="C640" s="11" t="s">
        <v>3371</v>
      </c>
      <c r="D640" s="11">
        <v>260152.83</v>
      </c>
      <c r="E640" s="11">
        <v>11979.57</v>
      </c>
      <c r="F640" s="12">
        <v>45209</v>
      </c>
      <c r="G640" s="12">
        <v>45479</v>
      </c>
      <c r="H640" s="11" t="s">
        <v>3662</v>
      </c>
      <c r="I640" s="11" t="s">
        <v>3373</v>
      </c>
      <c r="J640" s="13" t="str" cm="1">
        <f t="array" ref="J640">_xlfn.IFS(
  OR(ISBLANK(A640),ISBLANK(B640),ISBLANK(H640),ISBLANK(D640),ISBLANK(E640)),"Missing Value",
  D640&lt;=0,"Review – Out of Range (Coverage)",
  E640&lt;=0,"Review – Out of Range (Premium)",
  TRUE,"OK"
)</f>
        <v>OK</v>
      </c>
    </row>
    <row r="641" spans="1:10" ht="16.8" x14ac:dyDescent="0.3">
      <c r="A641" s="14" t="s">
        <v>4264</v>
      </c>
      <c r="B641" s="14" t="s">
        <v>1729</v>
      </c>
      <c r="C641" s="14" t="s">
        <v>3363</v>
      </c>
      <c r="D641" s="14">
        <v>847131.13</v>
      </c>
      <c r="E641" s="14">
        <v>30145.94</v>
      </c>
      <c r="F641" s="15">
        <v>44744</v>
      </c>
      <c r="G641" s="15">
        <v>45856</v>
      </c>
      <c r="H641" s="14" t="s">
        <v>3918</v>
      </c>
      <c r="I641" s="14" t="s">
        <v>3373</v>
      </c>
      <c r="J641" s="13" t="str" cm="1">
        <f t="array" ref="J641">_xlfn.IFS(
  OR(ISBLANK(A641),ISBLANK(B641),ISBLANK(H641),ISBLANK(D641),ISBLANK(E641)),"Missing Value",
  D641&lt;=0,"Review – Out of Range (Coverage)",
  E641&lt;=0,"Review – Out of Range (Premium)",
  TRUE,"OK"
)</f>
        <v>OK</v>
      </c>
    </row>
    <row r="642" spans="1:10" ht="16.8" x14ac:dyDescent="0.3">
      <c r="A642" s="11" t="s">
        <v>4265</v>
      </c>
      <c r="B642" s="11" t="s">
        <v>3026</v>
      </c>
      <c r="C642" s="11" t="s">
        <v>3380</v>
      </c>
      <c r="D642" s="11">
        <v>358259.7</v>
      </c>
      <c r="E642" s="11">
        <v>36829.25</v>
      </c>
      <c r="F642" s="12">
        <v>44693</v>
      </c>
      <c r="G642" s="12">
        <v>45032</v>
      </c>
      <c r="H642" s="11" t="s">
        <v>3789</v>
      </c>
      <c r="I642" s="11" t="s">
        <v>3373</v>
      </c>
      <c r="J642" s="13" t="str" cm="1">
        <f t="array" ref="J642">_xlfn.IFS(
  OR(ISBLANK(A642),ISBLANK(B642),ISBLANK(H642),ISBLANK(D642),ISBLANK(E642)),"Missing Value",
  D642&lt;=0,"Review – Out of Range (Coverage)",
  E642&lt;=0,"Review – Out of Range (Premium)",
  TRUE,"OK"
)</f>
        <v>OK</v>
      </c>
    </row>
    <row r="643" spans="1:10" ht="16.8" x14ac:dyDescent="0.3">
      <c r="A643" s="14" t="s">
        <v>4266</v>
      </c>
      <c r="B643" s="14" t="s">
        <v>1693</v>
      </c>
      <c r="C643" s="14" t="s">
        <v>3359</v>
      </c>
      <c r="D643" s="14">
        <v>721237.06</v>
      </c>
      <c r="E643" s="14">
        <v>22364.17</v>
      </c>
      <c r="F643" s="15">
        <v>45122</v>
      </c>
      <c r="G643" s="15">
        <v>45432</v>
      </c>
      <c r="H643" s="14" t="s">
        <v>3403</v>
      </c>
      <c r="I643" s="14" t="s">
        <v>3373</v>
      </c>
      <c r="J643" s="13" t="str" cm="1">
        <f t="array" ref="J643">_xlfn.IFS(
  OR(ISBLANK(A643),ISBLANK(B643),ISBLANK(H643),ISBLANK(D643),ISBLANK(E643)),"Missing Value",
  D643&lt;=0,"Review – Out of Range (Coverage)",
  E643&lt;=0,"Review – Out of Range (Premium)",
  TRUE,"OK"
)</f>
        <v>OK</v>
      </c>
    </row>
    <row r="644" spans="1:10" ht="16.8" x14ac:dyDescent="0.3">
      <c r="A644" s="11" t="s">
        <v>4267</v>
      </c>
      <c r="B644" s="11" t="s">
        <v>372</v>
      </c>
      <c r="C644" s="11" t="s">
        <v>3371</v>
      </c>
      <c r="D644" s="11">
        <v>812703.14</v>
      </c>
      <c r="E644" s="11">
        <v>35097.68</v>
      </c>
      <c r="F644" s="12">
        <v>44711</v>
      </c>
      <c r="G644" s="12">
        <v>45301</v>
      </c>
      <c r="H644" s="11" t="s">
        <v>3551</v>
      </c>
      <c r="I644" s="11" t="s">
        <v>3365</v>
      </c>
      <c r="J644" s="13" t="str" cm="1">
        <f t="array" ref="J644">_xlfn.IFS(
  OR(ISBLANK(A644),ISBLANK(B644),ISBLANK(H644),ISBLANK(D644),ISBLANK(E644)),"Missing Value",
  D644&lt;=0,"Review – Out of Range (Coverage)",
  E644&lt;=0,"Review – Out of Range (Premium)",
  TRUE,"OK"
)</f>
        <v>OK</v>
      </c>
    </row>
    <row r="645" spans="1:10" ht="16.8" x14ac:dyDescent="0.3">
      <c r="A645" s="14" t="s">
        <v>4268</v>
      </c>
      <c r="B645" s="14" t="s">
        <v>3032</v>
      </c>
      <c r="C645" s="14" t="s">
        <v>3359</v>
      </c>
      <c r="D645" s="14">
        <v>870581.56</v>
      </c>
      <c r="E645" s="14">
        <v>26121.91</v>
      </c>
      <c r="F645" s="15">
        <v>45191</v>
      </c>
      <c r="G645" s="15">
        <v>45293</v>
      </c>
      <c r="H645" s="14" t="s">
        <v>3425</v>
      </c>
      <c r="I645" s="14" t="s">
        <v>3361</v>
      </c>
      <c r="J645" s="13" t="str" cm="1">
        <f t="array" ref="J645">_xlfn.IFS(
  OR(ISBLANK(A645),ISBLANK(B645),ISBLANK(H645),ISBLANK(D645),ISBLANK(E645)),"Missing Value",
  D645&lt;=0,"Review – Out of Range (Coverage)",
  E645&lt;=0,"Review – Out of Range (Premium)",
  TRUE,"OK"
)</f>
        <v>OK</v>
      </c>
    </row>
    <row r="646" spans="1:10" ht="16.8" x14ac:dyDescent="0.3">
      <c r="A646" s="11" t="s">
        <v>4269</v>
      </c>
      <c r="B646" s="11" t="s">
        <v>2509</v>
      </c>
      <c r="C646" s="11" t="s">
        <v>3377</v>
      </c>
      <c r="D646" s="11">
        <v>196192.48</v>
      </c>
      <c r="E646" s="11">
        <v>39201.050000000003</v>
      </c>
      <c r="F646" s="12">
        <v>44602</v>
      </c>
      <c r="G646" s="12">
        <v>45329</v>
      </c>
      <c r="H646" s="11" t="s">
        <v>3573</v>
      </c>
      <c r="I646" s="11" t="s">
        <v>3373</v>
      </c>
      <c r="J646" s="13" t="str" cm="1">
        <f t="array" ref="J646">_xlfn.IFS(
  OR(ISBLANK(A646),ISBLANK(B646),ISBLANK(H646),ISBLANK(D646),ISBLANK(E646)),"Missing Value",
  D646&lt;=0,"Review – Out of Range (Coverage)",
  E646&lt;=0,"Review – Out of Range (Premium)",
  TRUE,"OK"
)</f>
        <v>OK</v>
      </c>
    </row>
    <row r="647" spans="1:10" ht="16.8" x14ac:dyDescent="0.3">
      <c r="A647" s="14" t="s">
        <v>4270</v>
      </c>
      <c r="B647" s="14" t="s">
        <v>2065</v>
      </c>
      <c r="C647" s="14" t="s">
        <v>3371</v>
      </c>
      <c r="D647" s="14">
        <v>919183.76</v>
      </c>
      <c r="E647" s="14">
        <v>18393.599999999999</v>
      </c>
      <c r="F647" s="15">
        <v>44469</v>
      </c>
      <c r="G647" s="15">
        <v>44940</v>
      </c>
      <c r="H647" s="14" t="s">
        <v>3360</v>
      </c>
      <c r="I647" s="14" t="s">
        <v>3365</v>
      </c>
      <c r="J647" s="13" t="str" cm="1">
        <f t="array" ref="J647">_xlfn.IFS(
  OR(ISBLANK(A647),ISBLANK(B647),ISBLANK(H647),ISBLANK(D647),ISBLANK(E647)),"Missing Value",
  D647&lt;=0,"Review – Out of Range (Coverage)",
  E647&lt;=0,"Review – Out of Range (Premium)",
  TRUE,"OK"
)</f>
        <v>OK</v>
      </c>
    </row>
    <row r="648" spans="1:10" ht="16.8" x14ac:dyDescent="0.3">
      <c r="A648" s="11" t="s">
        <v>4271</v>
      </c>
      <c r="B648" s="11" t="s">
        <v>2419</v>
      </c>
      <c r="C648" s="11" t="s">
        <v>3380</v>
      </c>
      <c r="D648" s="11">
        <v>544053.42000000004</v>
      </c>
      <c r="E648" s="11">
        <v>10962.44</v>
      </c>
      <c r="F648" s="12">
        <v>45415</v>
      </c>
      <c r="G648" s="12">
        <v>45720</v>
      </c>
      <c r="H648" s="11" t="s">
        <v>3389</v>
      </c>
      <c r="I648" s="11" t="s">
        <v>3365</v>
      </c>
      <c r="J648" s="13" t="str" cm="1">
        <f t="array" ref="J648">_xlfn.IFS(
  OR(ISBLANK(A648),ISBLANK(B648),ISBLANK(H648),ISBLANK(D648),ISBLANK(E648)),"Missing Value",
  D648&lt;=0,"Review – Out of Range (Coverage)",
  E648&lt;=0,"Review – Out of Range (Premium)",
  TRUE,"OK"
)</f>
        <v>OK</v>
      </c>
    </row>
    <row r="649" spans="1:10" ht="16.8" x14ac:dyDescent="0.3">
      <c r="A649" s="14" t="s">
        <v>4272</v>
      </c>
      <c r="B649" s="14" t="s">
        <v>2569</v>
      </c>
      <c r="C649" s="14" t="s">
        <v>3371</v>
      </c>
      <c r="D649" s="14">
        <v>981948.49</v>
      </c>
      <c r="E649" s="14">
        <v>38945.129999999997</v>
      </c>
      <c r="F649" s="15">
        <v>45144</v>
      </c>
      <c r="G649" s="15">
        <v>45561</v>
      </c>
      <c r="H649" s="14" t="s">
        <v>3774</v>
      </c>
      <c r="I649" s="14" t="s">
        <v>3361</v>
      </c>
      <c r="J649" s="13" t="str" cm="1">
        <f t="array" ref="J649">_xlfn.IFS(
  OR(ISBLANK(A649),ISBLANK(B649),ISBLANK(H649),ISBLANK(D649),ISBLANK(E649)),"Missing Value",
  D649&lt;=0,"Review – Out of Range (Coverage)",
  E649&lt;=0,"Review – Out of Range (Premium)",
  TRUE,"OK"
)</f>
        <v>OK</v>
      </c>
    </row>
    <row r="650" spans="1:10" ht="16.8" x14ac:dyDescent="0.3">
      <c r="A650" s="11" t="s">
        <v>4273</v>
      </c>
      <c r="B650" s="11" t="s">
        <v>460</v>
      </c>
      <c r="C650" s="11" t="s">
        <v>3359</v>
      </c>
      <c r="D650" s="11">
        <v>794700.88</v>
      </c>
      <c r="E650" s="11">
        <v>47614.91</v>
      </c>
      <c r="F650" s="12">
        <v>44926</v>
      </c>
      <c r="G650" s="12">
        <v>45167</v>
      </c>
      <c r="H650" s="11" t="s">
        <v>3735</v>
      </c>
      <c r="I650" s="11" t="s">
        <v>3361</v>
      </c>
      <c r="J650" s="13" t="str" cm="1">
        <f t="array" ref="J650">_xlfn.IFS(
  OR(ISBLANK(A650),ISBLANK(B650),ISBLANK(H650),ISBLANK(D650),ISBLANK(E650)),"Missing Value",
  D650&lt;=0,"Review – Out of Range (Coverage)",
  E650&lt;=0,"Review – Out of Range (Premium)",
  TRUE,"OK"
)</f>
        <v>OK</v>
      </c>
    </row>
    <row r="651" spans="1:10" ht="16.8" x14ac:dyDescent="0.3">
      <c r="A651" s="14" t="s">
        <v>4274</v>
      </c>
      <c r="B651" s="14" t="s">
        <v>1303</v>
      </c>
      <c r="C651" s="14" t="s">
        <v>3359</v>
      </c>
      <c r="D651" s="14">
        <v>818443.89</v>
      </c>
      <c r="E651" s="14">
        <v>3089.33</v>
      </c>
      <c r="F651" s="15">
        <v>44546</v>
      </c>
      <c r="G651" s="15">
        <v>45095</v>
      </c>
      <c r="H651" s="14" t="s">
        <v>3881</v>
      </c>
      <c r="I651" s="14" t="s">
        <v>3373</v>
      </c>
      <c r="J651" s="13" t="str" cm="1">
        <f t="array" ref="J651">_xlfn.IFS(
  OR(ISBLANK(A651),ISBLANK(B651),ISBLANK(H651),ISBLANK(D651),ISBLANK(E651)),"Missing Value",
  D651&lt;=0,"Review – Out of Range (Coverage)",
  E651&lt;=0,"Review – Out of Range (Premium)",
  TRUE,"OK"
)</f>
        <v>OK</v>
      </c>
    </row>
    <row r="652" spans="1:10" ht="16.8" x14ac:dyDescent="0.3">
      <c r="A652" s="11" t="s">
        <v>4275</v>
      </c>
      <c r="B652" s="11" t="s">
        <v>1527</v>
      </c>
      <c r="C652" s="11" t="s">
        <v>3380</v>
      </c>
      <c r="D652" s="11">
        <v>920259.65</v>
      </c>
      <c r="E652" s="11">
        <v>13668.86</v>
      </c>
      <c r="F652" s="12">
        <v>45268</v>
      </c>
      <c r="G652" s="12">
        <v>45493</v>
      </c>
      <c r="H652" s="11" t="s">
        <v>4006</v>
      </c>
      <c r="I652" s="11" t="s">
        <v>3365</v>
      </c>
      <c r="J652" s="13" t="str" cm="1">
        <f t="array" ref="J652">_xlfn.IFS(
  OR(ISBLANK(A652),ISBLANK(B652),ISBLANK(H652),ISBLANK(D652),ISBLANK(E652)),"Missing Value",
  D652&lt;=0,"Review – Out of Range (Coverage)",
  E652&lt;=0,"Review – Out of Range (Premium)",
  TRUE,"OK"
)</f>
        <v>OK</v>
      </c>
    </row>
    <row r="653" spans="1:10" ht="16.8" x14ac:dyDescent="0.3">
      <c r="A653" s="14" t="s">
        <v>4276</v>
      </c>
      <c r="B653" s="14" t="s">
        <v>3266</v>
      </c>
      <c r="C653" s="14" t="s">
        <v>3371</v>
      </c>
      <c r="D653" s="14">
        <v>756379.62</v>
      </c>
      <c r="E653" s="14">
        <v>48719.96</v>
      </c>
      <c r="F653" s="15">
        <v>44899</v>
      </c>
      <c r="G653" s="15">
        <v>45475</v>
      </c>
      <c r="H653" s="14" t="s">
        <v>3438</v>
      </c>
      <c r="I653" s="14" t="s">
        <v>3365</v>
      </c>
      <c r="J653" s="13" t="str" cm="1">
        <f t="array" ref="J653">_xlfn.IFS(
  OR(ISBLANK(A653),ISBLANK(B653),ISBLANK(H653),ISBLANK(D653),ISBLANK(E653)),"Missing Value",
  D653&lt;=0,"Review – Out of Range (Coverage)",
  E653&lt;=0,"Review – Out of Range (Premium)",
  TRUE,"OK"
)</f>
        <v>OK</v>
      </c>
    </row>
    <row r="654" spans="1:10" ht="16.8" x14ac:dyDescent="0.3">
      <c r="A654" s="11" t="s">
        <v>4277</v>
      </c>
      <c r="B654" s="11" t="s">
        <v>1553</v>
      </c>
      <c r="C654" s="11" t="s">
        <v>3363</v>
      </c>
      <c r="D654" s="11">
        <v>321114.51</v>
      </c>
      <c r="E654" s="11">
        <v>48716.69</v>
      </c>
      <c r="F654" s="12">
        <v>45384</v>
      </c>
      <c r="G654" s="12">
        <v>45841</v>
      </c>
      <c r="H654" s="11" t="s">
        <v>3419</v>
      </c>
      <c r="I654" s="11" t="s">
        <v>3373</v>
      </c>
      <c r="J654" s="13" t="str" cm="1">
        <f t="array" ref="J654">_xlfn.IFS(
  OR(ISBLANK(A654),ISBLANK(B654),ISBLANK(H654),ISBLANK(D654),ISBLANK(E654)),"Missing Value",
  D654&lt;=0,"Review – Out of Range (Coverage)",
  E654&lt;=0,"Review – Out of Range (Premium)",
  TRUE,"OK"
)</f>
        <v>OK</v>
      </c>
    </row>
    <row r="655" spans="1:10" ht="16.8" x14ac:dyDescent="0.3">
      <c r="A655" s="14" t="s">
        <v>4278</v>
      </c>
      <c r="B655" s="14" t="s">
        <v>2981</v>
      </c>
      <c r="C655" s="14" t="s">
        <v>3371</v>
      </c>
      <c r="D655" s="14">
        <v>653215.77</v>
      </c>
      <c r="E655" s="14">
        <v>38372.31</v>
      </c>
      <c r="F655" s="15">
        <v>45085</v>
      </c>
      <c r="G655" s="15">
        <v>45402</v>
      </c>
      <c r="H655" s="14" t="s">
        <v>4003</v>
      </c>
      <c r="I655" s="14" t="s">
        <v>3373</v>
      </c>
      <c r="J655" s="13" t="str" cm="1">
        <f t="array" ref="J655">_xlfn.IFS(
  OR(ISBLANK(A655),ISBLANK(B655),ISBLANK(H655),ISBLANK(D655),ISBLANK(E655)),"Missing Value",
  D655&lt;=0,"Review – Out of Range (Coverage)",
  E655&lt;=0,"Review – Out of Range (Premium)",
  TRUE,"OK"
)</f>
        <v>OK</v>
      </c>
    </row>
    <row r="656" spans="1:10" ht="16.8" x14ac:dyDescent="0.3">
      <c r="A656" s="11" t="s">
        <v>4279</v>
      </c>
      <c r="B656" s="11" t="s">
        <v>1555</v>
      </c>
      <c r="C656" s="11" t="s">
        <v>3359</v>
      </c>
      <c r="D656" s="11">
        <v>210793.64</v>
      </c>
      <c r="E656" s="11">
        <v>12124.3</v>
      </c>
      <c r="F656" s="12">
        <v>44356</v>
      </c>
      <c r="G656" s="12">
        <v>44555</v>
      </c>
      <c r="H656" s="11" t="s">
        <v>3868</v>
      </c>
      <c r="I656" s="11" t="s">
        <v>3373</v>
      </c>
      <c r="J656" s="13" t="str" cm="1">
        <f t="array" ref="J656">_xlfn.IFS(
  OR(ISBLANK(A656),ISBLANK(B656),ISBLANK(H656),ISBLANK(D656),ISBLANK(E656)),"Missing Value",
  D656&lt;=0,"Review – Out of Range (Coverage)",
  E656&lt;=0,"Review – Out of Range (Premium)",
  TRUE,"OK"
)</f>
        <v>OK</v>
      </c>
    </row>
    <row r="657" spans="1:10" ht="16.8" x14ac:dyDescent="0.3">
      <c r="A657" s="14" t="s">
        <v>4280</v>
      </c>
      <c r="B657" s="14" t="s">
        <v>1791</v>
      </c>
      <c r="C657" s="14" t="s">
        <v>3371</v>
      </c>
      <c r="D657" s="14">
        <v>903862.99</v>
      </c>
      <c r="E657" s="14">
        <v>8497.0300000000007</v>
      </c>
      <c r="F657" s="15">
        <v>44635</v>
      </c>
      <c r="G657" s="15">
        <v>45308</v>
      </c>
      <c r="H657" s="14" t="s">
        <v>3465</v>
      </c>
      <c r="I657" s="14" t="s">
        <v>3373</v>
      </c>
      <c r="J657" s="13" t="str" cm="1">
        <f t="array" ref="J657">_xlfn.IFS(
  OR(ISBLANK(A657),ISBLANK(B657),ISBLANK(H657),ISBLANK(D657),ISBLANK(E657)),"Missing Value",
  D657&lt;=0,"Review – Out of Range (Coverage)",
  E657&lt;=0,"Review – Out of Range (Premium)",
  TRUE,"OK"
)</f>
        <v>OK</v>
      </c>
    </row>
    <row r="658" spans="1:10" ht="16.8" x14ac:dyDescent="0.3">
      <c r="A658" s="11" t="s">
        <v>4281</v>
      </c>
      <c r="B658" s="11" t="s">
        <v>633</v>
      </c>
      <c r="C658" s="11" t="s">
        <v>3363</v>
      </c>
      <c r="D658" s="11">
        <v>653668.99</v>
      </c>
      <c r="E658" s="11">
        <v>29476.15</v>
      </c>
      <c r="F658" s="12">
        <v>44684</v>
      </c>
      <c r="G658" s="12">
        <v>45204</v>
      </c>
      <c r="H658" s="11" t="s">
        <v>4254</v>
      </c>
      <c r="I658" s="11" t="s">
        <v>3373</v>
      </c>
      <c r="J658" s="13" t="str" cm="1">
        <f t="array" ref="J658">_xlfn.IFS(
  OR(ISBLANK(A658),ISBLANK(B658),ISBLANK(H658),ISBLANK(D658),ISBLANK(E658)),"Missing Value",
  D658&lt;=0,"Review – Out of Range (Coverage)",
  E658&lt;=0,"Review – Out of Range (Premium)",
  TRUE,"OK"
)</f>
        <v>OK</v>
      </c>
    </row>
    <row r="659" spans="1:10" ht="16.8" x14ac:dyDescent="0.3">
      <c r="A659" s="14" t="s">
        <v>4282</v>
      </c>
      <c r="B659" s="14" t="s">
        <v>611</v>
      </c>
      <c r="C659" s="14" t="s">
        <v>3359</v>
      </c>
      <c r="D659" s="14">
        <v>254866.44</v>
      </c>
      <c r="E659" s="14">
        <v>44293.72</v>
      </c>
      <c r="F659" s="15">
        <v>44721</v>
      </c>
      <c r="G659" s="15">
        <v>45586</v>
      </c>
      <c r="H659" s="14" t="s">
        <v>3515</v>
      </c>
      <c r="I659" s="14" t="s">
        <v>3373</v>
      </c>
      <c r="J659" s="13" t="str" cm="1">
        <f t="array" ref="J659">_xlfn.IFS(
  OR(ISBLANK(A659),ISBLANK(B659),ISBLANK(H659),ISBLANK(D659),ISBLANK(E659)),"Missing Value",
  D659&lt;=0,"Review – Out of Range (Coverage)",
  E659&lt;=0,"Review – Out of Range (Premium)",
  TRUE,"OK"
)</f>
        <v>OK</v>
      </c>
    </row>
    <row r="660" spans="1:10" ht="16.8" x14ac:dyDescent="0.3">
      <c r="A660" s="11" t="s">
        <v>4283</v>
      </c>
      <c r="B660" s="11" t="s">
        <v>3052</v>
      </c>
      <c r="C660" s="11" t="s">
        <v>3359</v>
      </c>
      <c r="D660" s="11">
        <v>471036.44</v>
      </c>
      <c r="E660" s="11">
        <v>37294.03</v>
      </c>
      <c r="F660" s="12">
        <v>45242</v>
      </c>
      <c r="G660" s="12">
        <v>45331</v>
      </c>
      <c r="H660" s="11" t="s">
        <v>4247</v>
      </c>
      <c r="I660" s="11" t="s">
        <v>3361</v>
      </c>
      <c r="J660" s="13" t="str" cm="1">
        <f t="array" ref="J660">_xlfn.IFS(
  OR(ISBLANK(A660),ISBLANK(B660),ISBLANK(H660),ISBLANK(D660),ISBLANK(E660)),"Missing Value",
  D660&lt;=0,"Review – Out of Range (Coverage)",
  E660&lt;=0,"Review – Out of Range (Premium)",
  TRUE,"OK"
)</f>
        <v>OK</v>
      </c>
    </row>
    <row r="661" spans="1:10" ht="16.8" x14ac:dyDescent="0.3">
      <c r="A661" s="14" t="s">
        <v>4284</v>
      </c>
      <c r="B661" s="14" t="s">
        <v>2835</v>
      </c>
      <c r="C661" s="14" t="s">
        <v>3380</v>
      </c>
      <c r="D661" s="14">
        <v>638296.28</v>
      </c>
      <c r="E661" s="14">
        <v>39730.85</v>
      </c>
      <c r="F661" s="15">
        <v>45145</v>
      </c>
      <c r="G661" s="15">
        <v>45464</v>
      </c>
      <c r="H661" s="14" t="s">
        <v>3360</v>
      </c>
      <c r="I661" s="14" t="s">
        <v>3365</v>
      </c>
      <c r="J661" s="13" t="str" cm="1">
        <f t="array" ref="J661">_xlfn.IFS(
  OR(ISBLANK(A661),ISBLANK(B661),ISBLANK(H661),ISBLANK(D661),ISBLANK(E661)),"Missing Value",
  D661&lt;=0,"Review – Out of Range (Coverage)",
  E661&lt;=0,"Review – Out of Range (Premium)",
  TRUE,"OK"
)</f>
        <v>OK</v>
      </c>
    </row>
    <row r="662" spans="1:10" ht="16.8" x14ac:dyDescent="0.3">
      <c r="A662" s="11" t="s">
        <v>4285</v>
      </c>
      <c r="B662" s="11" t="s">
        <v>1999</v>
      </c>
      <c r="C662" s="11" t="s">
        <v>3371</v>
      </c>
      <c r="D662" s="11">
        <v>914010.44</v>
      </c>
      <c r="E662" s="11">
        <v>15592.69</v>
      </c>
      <c r="F662" s="12">
        <v>45015</v>
      </c>
      <c r="G662" s="12">
        <v>45087</v>
      </c>
      <c r="H662" s="11" t="s">
        <v>3564</v>
      </c>
      <c r="I662" s="11" t="s">
        <v>3365</v>
      </c>
      <c r="J662" s="13" t="str" cm="1">
        <f t="array" ref="J662">_xlfn.IFS(
  OR(ISBLANK(A662),ISBLANK(B662),ISBLANK(H662),ISBLANK(D662),ISBLANK(E662)),"Missing Value",
  D662&lt;=0,"Review – Out of Range (Coverage)",
  E662&lt;=0,"Review – Out of Range (Premium)",
  TRUE,"OK"
)</f>
        <v>OK</v>
      </c>
    </row>
    <row r="663" spans="1:10" ht="16.8" x14ac:dyDescent="0.3">
      <c r="A663" s="14" t="s">
        <v>4286</v>
      </c>
      <c r="B663" s="14" t="s">
        <v>3160</v>
      </c>
      <c r="C663" s="14" t="s">
        <v>3371</v>
      </c>
      <c r="D663" s="14">
        <v>104459.76</v>
      </c>
      <c r="E663" s="14">
        <v>19913.650000000001</v>
      </c>
      <c r="F663" s="15">
        <v>45419</v>
      </c>
      <c r="G663" s="15">
        <v>45756</v>
      </c>
      <c r="H663" s="14" t="s">
        <v>3861</v>
      </c>
      <c r="I663" s="14" t="s">
        <v>3365</v>
      </c>
      <c r="J663" s="13" t="str" cm="1">
        <f t="array" ref="J663">_xlfn.IFS(
  OR(ISBLANK(A663),ISBLANK(B663),ISBLANK(H663),ISBLANK(D663),ISBLANK(E663)),"Missing Value",
  D663&lt;=0,"Review – Out of Range (Coverage)",
  E663&lt;=0,"Review – Out of Range (Premium)",
  TRUE,"OK"
)</f>
        <v>OK</v>
      </c>
    </row>
    <row r="664" spans="1:10" ht="16.8" x14ac:dyDescent="0.3">
      <c r="A664" s="11" t="s">
        <v>4287</v>
      </c>
      <c r="B664" s="11" t="s">
        <v>711</v>
      </c>
      <c r="C664" s="11" t="s">
        <v>3363</v>
      </c>
      <c r="D664" s="11">
        <v>228735.23</v>
      </c>
      <c r="E664" s="11">
        <v>7995.31</v>
      </c>
      <c r="F664" s="12">
        <v>45480</v>
      </c>
      <c r="G664" s="12">
        <v>45527</v>
      </c>
      <c r="H664" s="11" t="s">
        <v>3721</v>
      </c>
      <c r="I664" s="11" t="s">
        <v>3361</v>
      </c>
      <c r="J664" s="13" t="str" cm="1">
        <f t="array" ref="J664">_xlfn.IFS(
  OR(ISBLANK(A664),ISBLANK(B664),ISBLANK(H664),ISBLANK(D664),ISBLANK(E664)),"Missing Value",
  D664&lt;=0,"Review – Out of Range (Coverage)",
  E664&lt;=0,"Review – Out of Range (Premium)",
  TRUE,"OK"
)</f>
        <v>OK</v>
      </c>
    </row>
    <row r="665" spans="1:10" ht="16.8" x14ac:dyDescent="0.3">
      <c r="A665" s="14" t="s">
        <v>4288</v>
      </c>
      <c r="B665" s="14" t="s">
        <v>360</v>
      </c>
      <c r="C665" s="14" t="s">
        <v>3359</v>
      </c>
      <c r="D665" s="14">
        <v>785518.27</v>
      </c>
      <c r="E665" s="14">
        <v>12980.11</v>
      </c>
      <c r="F665" s="15">
        <v>44631</v>
      </c>
      <c r="G665" s="15">
        <v>45823</v>
      </c>
      <c r="H665" s="14" t="s">
        <v>3471</v>
      </c>
      <c r="I665" s="14" t="s">
        <v>3373</v>
      </c>
      <c r="J665" s="13" t="str" cm="1">
        <f t="array" ref="J665">_xlfn.IFS(
  OR(ISBLANK(A665),ISBLANK(B665),ISBLANK(H665),ISBLANK(D665),ISBLANK(E665)),"Missing Value",
  D665&lt;=0,"Review – Out of Range (Coverage)",
  E665&lt;=0,"Review – Out of Range (Premium)",
  TRUE,"OK"
)</f>
        <v>OK</v>
      </c>
    </row>
    <row r="666" spans="1:10" ht="16.8" x14ac:dyDescent="0.3">
      <c r="A666" s="11" t="s">
        <v>4289</v>
      </c>
      <c r="B666" s="11" t="s">
        <v>707</v>
      </c>
      <c r="C666" s="11" t="s">
        <v>3359</v>
      </c>
      <c r="D666" s="11">
        <v>535635.43000000005</v>
      </c>
      <c r="E666" s="11">
        <v>45366.879999999997</v>
      </c>
      <c r="F666" s="12">
        <v>44991</v>
      </c>
      <c r="G666" s="12">
        <v>45137</v>
      </c>
      <c r="H666" s="11" t="s">
        <v>4290</v>
      </c>
      <c r="I666" s="11" t="s">
        <v>3361</v>
      </c>
      <c r="J666" s="13" t="str" cm="1">
        <f t="array" ref="J666">_xlfn.IFS(
  OR(ISBLANK(A666),ISBLANK(B666),ISBLANK(H666),ISBLANK(D666),ISBLANK(E666)),"Missing Value",
  D666&lt;=0,"Review – Out of Range (Coverage)",
  E666&lt;=0,"Review – Out of Range (Premium)",
  TRUE,"OK"
)</f>
        <v>OK</v>
      </c>
    </row>
    <row r="667" spans="1:10" ht="16.8" x14ac:dyDescent="0.3">
      <c r="A667" s="14" t="s">
        <v>4291</v>
      </c>
      <c r="B667" s="14" t="s">
        <v>1679</v>
      </c>
      <c r="C667" s="14" t="s">
        <v>3380</v>
      </c>
      <c r="D667" s="14">
        <v>461860.5</v>
      </c>
      <c r="E667" s="14">
        <v>32515.52</v>
      </c>
      <c r="F667" s="15">
        <v>44331</v>
      </c>
      <c r="G667" s="15">
        <v>44686</v>
      </c>
      <c r="H667" s="14" t="s">
        <v>3874</v>
      </c>
      <c r="I667" s="14" t="s">
        <v>3365</v>
      </c>
      <c r="J667" s="13" t="str" cm="1">
        <f t="array" ref="J667">_xlfn.IFS(
  OR(ISBLANK(A667),ISBLANK(B667),ISBLANK(H667),ISBLANK(D667),ISBLANK(E667)),"Missing Value",
  D667&lt;=0,"Review – Out of Range (Coverage)",
  E667&lt;=0,"Review – Out of Range (Premium)",
  TRUE,"OK"
)</f>
        <v>OK</v>
      </c>
    </row>
    <row r="668" spans="1:10" ht="16.8" x14ac:dyDescent="0.3">
      <c r="A668" s="11" t="s">
        <v>4292</v>
      </c>
      <c r="B668" s="11" t="s">
        <v>925</v>
      </c>
      <c r="C668" s="11" t="s">
        <v>3377</v>
      </c>
      <c r="D668" s="11">
        <v>242944.17</v>
      </c>
      <c r="E668" s="11">
        <v>34221.760000000002</v>
      </c>
      <c r="F668" s="12">
        <v>45036</v>
      </c>
      <c r="G668" s="12">
        <v>45678</v>
      </c>
      <c r="H668" s="11" t="s">
        <v>3545</v>
      </c>
      <c r="I668" s="11" t="s">
        <v>3361</v>
      </c>
      <c r="J668" s="13" t="str" cm="1">
        <f t="array" ref="J668">_xlfn.IFS(
  OR(ISBLANK(A668),ISBLANK(B668),ISBLANK(H668),ISBLANK(D668),ISBLANK(E668)),"Missing Value",
  D668&lt;=0,"Review – Out of Range (Coverage)",
  E668&lt;=0,"Review – Out of Range (Premium)",
  TRUE,"OK"
)</f>
        <v>OK</v>
      </c>
    </row>
    <row r="669" spans="1:10" ht="16.8" x14ac:dyDescent="0.3">
      <c r="A669" s="14" t="s">
        <v>4293</v>
      </c>
      <c r="B669" s="14" t="s">
        <v>2517</v>
      </c>
      <c r="C669" s="14" t="s">
        <v>3371</v>
      </c>
      <c r="D669" s="14">
        <v>822355.76</v>
      </c>
      <c r="E669" s="14">
        <v>45018.95</v>
      </c>
      <c r="F669" s="15">
        <v>44112</v>
      </c>
      <c r="G669" s="15">
        <v>44362</v>
      </c>
      <c r="H669" s="14" t="s">
        <v>3781</v>
      </c>
      <c r="I669" s="14" t="s">
        <v>3365</v>
      </c>
      <c r="J669" s="13" t="str" cm="1">
        <f t="array" ref="J669">_xlfn.IFS(
  OR(ISBLANK(A669),ISBLANK(B669),ISBLANK(H669),ISBLANK(D669),ISBLANK(E669)),"Missing Value",
  D669&lt;=0,"Review – Out of Range (Coverage)",
  E669&lt;=0,"Review – Out of Range (Premium)",
  TRUE,"OK"
)</f>
        <v>OK</v>
      </c>
    </row>
    <row r="670" spans="1:10" ht="16.8" x14ac:dyDescent="0.3">
      <c r="A670" s="11" t="s">
        <v>4294</v>
      </c>
      <c r="B670" s="11" t="s">
        <v>1097</v>
      </c>
      <c r="C670" s="11" t="s">
        <v>3359</v>
      </c>
      <c r="D670" s="11">
        <v>461268.15</v>
      </c>
      <c r="E670" s="11">
        <v>4439.84</v>
      </c>
      <c r="F670" s="12">
        <v>44938</v>
      </c>
      <c r="G670" s="12">
        <v>45798</v>
      </c>
      <c r="H670" s="11" t="s">
        <v>4295</v>
      </c>
      <c r="I670" s="11" t="s">
        <v>3361</v>
      </c>
      <c r="J670" s="13" t="str" cm="1">
        <f t="array" ref="J670">_xlfn.IFS(
  OR(ISBLANK(A670),ISBLANK(B670),ISBLANK(H670),ISBLANK(D670),ISBLANK(E670)),"Missing Value",
  D670&lt;=0,"Review – Out of Range (Coverage)",
  E670&lt;=0,"Review – Out of Range (Premium)",
  TRUE,"OK"
)</f>
        <v>OK</v>
      </c>
    </row>
    <row r="671" spans="1:10" ht="16.8" x14ac:dyDescent="0.3">
      <c r="A671" s="14" t="s">
        <v>4296</v>
      </c>
      <c r="B671" s="14" t="s">
        <v>2113</v>
      </c>
      <c r="C671" s="14" t="s">
        <v>3363</v>
      </c>
      <c r="D671" s="14">
        <v>922154.57</v>
      </c>
      <c r="E671" s="14">
        <v>11901.14</v>
      </c>
      <c r="F671" s="15">
        <v>45187</v>
      </c>
      <c r="G671" s="15">
        <v>45738</v>
      </c>
      <c r="H671" s="14" t="s">
        <v>3549</v>
      </c>
      <c r="I671" s="14" t="s">
        <v>3365</v>
      </c>
      <c r="J671" s="13" t="str" cm="1">
        <f t="array" ref="J671">_xlfn.IFS(
  OR(ISBLANK(A671),ISBLANK(B671),ISBLANK(H671),ISBLANK(D671),ISBLANK(E671)),"Missing Value",
  D671&lt;=0,"Review – Out of Range (Coverage)",
  E671&lt;=0,"Review – Out of Range (Premium)",
  TRUE,"OK"
)</f>
        <v>OK</v>
      </c>
    </row>
    <row r="672" spans="1:10" ht="16.8" x14ac:dyDescent="0.3">
      <c r="A672" s="11" t="s">
        <v>4297</v>
      </c>
      <c r="B672" s="11" t="s">
        <v>667</v>
      </c>
      <c r="C672" s="11" t="s">
        <v>3380</v>
      </c>
      <c r="D672" s="11">
        <v>215113.18</v>
      </c>
      <c r="E672" s="11">
        <v>14578.69</v>
      </c>
      <c r="F672" s="12">
        <v>45336</v>
      </c>
      <c r="G672" s="12">
        <v>45776</v>
      </c>
      <c r="H672" s="11" t="s">
        <v>3779</v>
      </c>
      <c r="I672" s="11" t="s">
        <v>3373</v>
      </c>
      <c r="J672" s="13" t="str" cm="1">
        <f t="array" ref="J672">_xlfn.IFS(
  OR(ISBLANK(A672),ISBLANK(B672),ISBLANK(H672),ISBLANK(D672),ISBLANK(E672)),"Missing Value",
  D672&lt;=0,"Review – Out of Range (Coverage)",
  E672&lt;=0,"Review – Out of Range (Premium)",
  TRUE,"OK"
)</f>
        <v>OK</v>
      </c>
    </row>
    <row r="673" spans="1:10" ht="16.8" x14ac:dyDescent="0.3">
      <c r="A673" s="14" t="s">
        <v>4298</v>
      </c>
      <c r="B673" s="14" t="s">
        <v>795</v>
      </c>
      <c r="C673" s="14" t="s">
        <v>3363</v>
      </c>
      <c r="D673" s="14">
        <v>295859.01</v>
      </c>
      <c r="E673" s="14">
        <v>44906.75</v>
      </c>
      <c r="F673" s="15">
        <v>45427</v>
      </c>
      <c r="G673" s="15">
        <v>45592</v>
      </c>
      <c r="H673" s="14" t="s">
        <v>3454</v>
      </c>
      <c r="I673" s="14" t="s">
        <v>3373</v>
      </c>
      <c r="J673" s="13" t="str" cm="1">
        <f t="array" ref="J673">_xlfn.IFS(
  OR(ISBLANK(A673),ISBLANK(B673),ISBLANK(H673),ISBLANK(D673),ISBLANK(E673)),"Missing Value",
  D673&lt;=0,"Review – Out of Range (Coverage)",
  E673&lt;=0,"Review – Out of Range (Premium)",
  TRUE,"OK"
)</f>
        <v>OK</v>
      </c>
    </row>
    <row r="674" spans="1:10" ht="16.8" x14ac:dyDescent="0.3">
      <c r="A674" s="11" t="s">
        <v>4299</v>
      </c>
      <c r="B674" s="11" t="s">
        <v>198</v>
      </c>
      <c r="C674" s="11" t="s">
        <v>3371</v>
      </c>
      <c r="D674" s="11">
        <v>252109.2</v>
      </c>
      <c r="E674" s="11">
        <v>9643.7199999999993</v>
      </c>
      <c r="F674" s="12">
        <v>45475</v>
      </c>
      <c r="G674" s="12">
        <v>45575</v>
      </c>
      <c r="H674" s="11" t="s">
        <v>3486</v>
      </c>
      <c r="I674" s="11" t="s">
        <v>3361</v>
      </c>
      <c r="J674" s="13" t="str" cm="1">
        <f t="array" ref="J674">_xlfn.IFS(
  OR(ISBLANK(A674),ISBLANK(B674),ISBLANK(H674),ISBLANK(D674),ISBLANK(E674)),"Missing Value",
  D674&lt;=0,"Review – Out of Range (Coverage)",
  E674&lt;=0,"Review – Out of Range (Premium)",
  TRUE,"OK"
)</f>
        <v>OK</v>
      </c>
    </row>
    <row r="675" spans="1:10" ht="16.8" x14ac:dyDescent="0.3">
      <c r="A675" s="14" t="s">
        <v>4300</v>
      </c>
      <c r="B675" s="14" t="s">
        <v>2133</v>
      </c>
      <c r="C675" s="14" t="s">
        <v>3371</v>
      </c>
      <c r="D675" s="14">
        <v>612865.07999999996</v>
      </c>
      <c r="E675" s="14">
        <v>28030.06</v>
      </c>
      <c r="F675" s="15">
        <v>44368</v>
      </c>
      <c r="G675" s="15">
        <v>45740</v>
      </c>
      <c r="H675" s="14" t="s">
        <v>3854</v>
      </c>
      <c r="I675" s="14" t="s">
        <v>3365</v>
      </c>
      <c r="J675" s="13" t="str" cm="1">
        <f t="array" ref="J675">_xlfn.IFS(
  OR(ISBLANK(A675),ISBLANK(B675),ISBLANK(H675),ISBLANK(D675),ISBLANK(E675)),"Missing Value",
  D675&lt;=0,"Review – Out of Range (Coverage)",
  E675&lt;=0,"Review – Out of Range (Premium)",
  TRUE,"OK"
)</f>
        <v>OK</v>
      </c>
    </row>
    <row r="676" spans="1:10" ht="16.8" x14ac:dyDescent="0.3">
      <c r="A676" s="11" t="s">
        <v>4301</v>
      </c>
      <c r="B676" s="11" t="s">
        <v>3028</v>
      </c>
      <c r="C676" s="11" t="s">
        <v>3371</v>
      </c>
      <c r="D676" s="11">
        <v>424260.31</v>
      </c>
      <c r="E676" s="11">
        <v>36700.32</v>
      </c>
      <c r="F676" s="12">
        <v>44619</v>
      </c>
      <c r="G676" s="12">
        <v>45047</v>
      </c>
      <c r="H676" s="11" t="s">
        <v>3822</v>
      </c>
      <c r="I676" s="11" t="s">
        <v>3373</v>
      </c>
      <c r="J676" s="13" t="str" cm="1">
        <f t="array" ref="J676">_xlfn.IFS(
  OR(ISBLANK(A676),ISBLANK(B676),ISBLANK(H676),ISBLANK(D676),ISBLANK(E676)),"Missing Value",
  D676&lt;=0,"Review – Out of Range (Coverage)",
  E676&lt;=0,"Review – Out of Range (Premium)",
  TRUE,"OK"
)</f>
        <v>OK</v>
      </c>
    </row>
    <row r="677" spans="1:10" ht="16.8" x14ac:dyDescent="0.3">
      <c r="A677" s="14" t="s">
        <v>4302</v>
      </c>
      <c r="B677" s="14" t="s">
        <v>3212</v>
      </c>
      <c r="C677" s="14" t="s">
        <v>3363</v>
      </c>
      <c r="D677" s="14">
        <v>671797.58</v>
      </c>
      <c r="E677" s="14">
        <v>18461.03</v>
      </c>
      <c r="F677" s="15">
        <v>44822</v>
      </c>
      <c r="G677" s="15">
        <v>45230</v>
      </c>
      <c r="H677" s="14" t="s">
        <v>3551</v>
      </c>
      <c r="I677" s="14" t="s">
        <v>3365</v>
      </c>
      <c r="J677" s="13" t="str" cm="1">
        <f t="array" ref="J677">_xlfn.IFS(
  OR(ISBLANK(A677),ISBLANK(B677),ISBLANK(H677),ISBLANK(D677),ISBLANK(E677)),"Missing Value",
  D677&lt;=0,"Review – Out of Range (Coverage)",
  E677&lt;=0,"Review – Out of Range (Premium)",
  TRUE,"OK"
)</f>
        <v>OK</v>
      </c>
    </row>
    <row r="678" spans="1:10" ht="16.8" x14ac:dyDescent="0.3">
      <c r="A678" s="11" t="s">
        <v>4303</v>
      </c>
      <c r="B678" s="11" t="s">
        <v>2943</v>
      </c>
      <c r="C678" s="11" t="s">
        <v>3371</v>
      </c>
      <c r="D678" s="11">
        <v>130221.98</v>
      </c>
      <c r="E678" s="11">
        <v>45061.39</v>
      </c>
      <c r="F678" s="12">
        <v>45174</v>
      </c>
      <c r="G678" s="12">
        <v>45587</v>
      </c>
      <c r="H678" s="11" t="s">
        <v>3581</v>
      </c>
      <c r="I678" s="11" t="s">
        <v>3365</v>
      </c>
      <c r="J678" s="13" t="str" cm="1">
        <f t="array" ref="J678">_xlfn.IFS(
  OR(ISBLANK(A678),ISBLANK(B678),ISBLANK(H678),ISBLANK(D678),ISBLANK(E678)),"Missing Value",
  D678&lt;=0,"Review – Out of Range (Coverage)",
  E678&lt;=0,"Review – Out of Range (Premium)",
  TRUE,"OK"
)</f>
        <v>OK</v>
      </c>
    </row>
    <row r="679" spans="1:10" ht="16.8" x14ac:dyDescent="0.3">
      <c r="A679" s="14" t="s">
        <v>4304</v>
      </c>
      <c r="B679" s="14" t="s">
        <v>1725</v>
      </c>
      <c r="C679" s="14" t="s">
        <v>3371</v>
      </c>
      <c r="D679" s="14">
        <v>442791.49</v>
      </c>
      <c r="E679" s="14">
        <v>24588.42</v>
      </c>
      <c r="F679" s="15">
        <v>44391</v>
      </c>
      <c r="G679" s="15">
        <v>45444</v>
      </c>
      <c r="H679" s="14" t="s">
        <v>3762</v>
      </c>
      <c r="I679" s="14" t="s">
        <v>3365</v>
      </c>
      <c r="J679" s="13" t="str" cm="1">
        <f t="array" ref="J679">_xlfn.IFS(
  OR(ISBLANK(A679),ISBLANK(B679),ISBLANK(H679),ISBLANK(D679),ISBLANK(E679)),"Missing Value",
  D679&lt;=0,"Review – Out of Range (Coverage)",
  E679&lt;=0,"Review – Out of Range (Premium)",
  TRUE,"OK"
)</f>
        <v>OK</v>
      </c>
    </row>
    <row r="680" spans="1:10" ht="16.8" x14ac:dyDescent="0.3">
      <c r="A680" s="11" t="s">
        <v>4305</v>
      </c>
      <c r="B680" s="11" t="s">
        <v>282</v>
      </c>
      <c r="C680" s="11" t="s">
        <v>3380</v>
      </c>
      <c r="D680" s="11">
        <v>235523.61</v>
      </c>
      <c r="E680" s="11">
        <v>48174.2</v>
      </c>
      <c r="F680" s="12">
        <v>45295</v>
      </c>
      <c r="G680" s="12">
        <v>45445</v>
      </c>
      <c r="H680" s="11" t="s">
        <v>3903</v>
      </c>
      <c r="I680" s="11" t="s">
        <v>3361</v>
      </c>
      <c r="J680" s="13" t="str" cm="1">
        <f t="array" ref="J680">_xlfn.IFS(
  OR(ISBLANK(A680),ISBLANK(B680),ISBLANK(H680),ISBLANK(D680),ISBLANK(E680)),"Missing Value",
  D680&lt;=0,"Review – Out of Range (Coverage)",
  E680&lt;=0,"Review – Out of Range (Premium)",
  TRUE,"OK"
)</f>
        <v>OK</v>
      </c>
    </row>
    <row r="681" spans="1:10" ht="16.8" x14ac:dyDescent="0.3">
      <c r="A681" s="14" t="s">
        <v>4306</v>
      </c>
      <c r="B681" s="14" t="s">
        <v>3122</v>
      </c>
      <c r="C681" s="14" t="s">
        <v>3377</v>
      </c>
      <c r="D681" s="14">
        <v>723760.26</v>
      </c>
      <c r="E681" s="14">
        <v>25319.66</v>
      </c>
      <c r="F681" s="15">
        <v>44812</v>
      </c>
      <c r="G681" s="15">
        <v>45683</v>
      </c>
      <c r="H681" s="14" t="s">
        <v>3634</v>
      </c>
      <c r="I681" s="14" t="s">
        <v>3361</v>
      </c>
      <c r="J681" s="13" t="str" cm="1">
        <f t="array" ref="J681">_xlfn.IFS(
  OR(ISBLANK(A681),ISBLANK(B681),ISBLANK(H681),ISBLANK(D681),ISBLANK(E681)),"Missing Value",
  D681&lt;=0,"Review – Out of Range (Coverage)",
  E681&lt;=0,"Review – Out of Range (Premium)",
  TRUE,"OK"
)</f>
        <v>OK</v>
      </c>
    </row>
    <row r="682" spans="1:10" ht="16.8" x14ac:dyDescent="0.3">
      <c r="A682" s="11" t="s">
        <v>4307</v>
      </c>
      <c r="B682" s="11" t="s">
        <v>1527</v>
      </c>
      <c r="C682" s="11" t="s">
        <v>3371</v>
      </c>
      <c r="D682" s="11">
        <v>262103.95</v>
      </c>
      <c r="E682" s="11">
        <v>16354.62</v>
      </c>
      <c r="F682" s="12">
        <v>44528</v>
      </c>
      <c r="G682" s="12">
        <v>45238</v>
      </c>
      <c r="H682" s="11" t="s">
        <v>3894</v>
      </c>
      <c r="I682" s="11" t="s">
        <v>3361</v>
      </c>
      <c r="J682" s="13" t="str" cm="1">
        <f t="array" ref="J682">_xlfn.IFS(
  OR(ISBLANK(A682),ISBLANK(B682),ISBLANK(H682),ISBLANK(D682),ISBLANK(E682)),"Missing Value",
  D682&lt;=0,"Review – Out of Range (Coverage)",
  E682&lt;=0,"Review – Out of Range (Premium)",
  TRUE,"OK"
)</f>
        <v>OK</v>
      </c>
    </row>
    <row r="683" spans="1:10" ht="16.8" x14ac:dyDescent="0.3">
      <c r="A683" s="14" t="s">
        <v>4308</v>
      </c>
      <c r="B683" s="14" t="s">
        <v>2083</v>
      </c>
      <c r="C683" s="14" t="s">
        <v>3380</v>
      </c>
      <c r="D683" s="14">
        <v>213947.29</v>
      </c>
      <c r="E683" s="14">
        <v>27393.21</v>
      </c>
      <c r="F683" s="15">
        <v>45176</v>
      </c>
      <c r="G683" s="15">
        <v>45410</v>
      </c>
      <c r="H683" s="14" t="s">
        <v>3874</v>
      </c>
      <c r="I683" s="14" t="s">
        <v>3365</v>
      </c>
      <c r="J683" s="13" t="str" cm="1">
        <f t="array" ref="J683">_xlfn.IFS(
  OR(ISBLANK(A683),ISBLANK(B683),ISBLANK(H683),ISBLANK(D683),ISBLANK(E683)),"Missing Value",
  D683&lt;=0,"Review – Out of Range (Coverage)",
  E683&lt;=0,"Review – Out of Range (Premium)",
  TRUE,"OK"
)</f>
        <v>OK</v>
      </c>
    </row>
    <row r="684" spans="1:10" ht="16.8" x14ac:dyDescent="0.3">
      <c r="A684" s="11" t="s">
        <v>4309</v>
      </c>
      <c r="B684" s="11" t="s">
        <v>302</v>
      </c>
      <c r="C684" s="11" t="s">
        <v>3377</v>
      </c>
      <c r="D684" s="11">
        <v>605604.88</v>
      </c>
      <c r="E684" s="11">
        <v>35071.83</v>
      </c>
      <c r="F684" s="12">
        <v>44959</v>
      </c>
      <c r="G684" s="12">
        <v>45651</v>
      </c>
      <c r="H684" s="11" t="s">
        <v>3886</v>
      </c>
      <c r="I684" s="11" t="s">
        <v>3373</v>
      </c>
      <c r="J684" s="13" t="str" cm="1">
        <f t="array" ref="J684">_xlfn.IFS(
  OR(ISBLANK(A684),ISBLANK(B684),ISBLANK(H684),ISBLANK(D684),ISBLANK(E684)),"Missing Value",
  D684&lt;=0,"Review – Out of Range (Coverage)",
  E684&lt;=0,"Review – Out of Range (Premium)",
  TRUE,"OK"
)</f>
        <v>OK</v>
      </c>
    </row>
    <row r="685" spans="1:10" ht="16.8" x14ac:dyDescent="0.3">
      <c r="A685" s="14" t="s">
        <v>4310</v>
      </c>
      <c r="B685" s="14" t="s">
        <v>2841</v>
      </c>
      <c r="C685" s="14" t="s">
        <v>3377</v>
      </c>
      <c r="D685" s="14">
        <v>244512.51</v>
      </c>
      <c r="E685" s="14">
        <v>10283.75</v>
      </c>
      <c r="F685" s="15">
        <v>44797</v>
      </c>
      <c r="G685" s="15">
        <v>44807</v>
      </c>
      <c r="H685" s="14" t="s">
        <v>3626</v>
      </c>
      <c r="I685" s="14" t="s">
        <v>3361</v>
      </c>
      <c r="J685" s="13" t="str" cm="1">
        <f t="array" ref="J685">_xlfn.IFS(
  OR(ISBLANK(A685),ISBLANK(B685),ISBLANK(H685),ISBLANK(D685),ISBLANK(E685)),"Missing Value",
  D685&lt;=0,"Review – Out of Range (Coverage)",
  E685&lt;=0,"Review – Out of Range (Premium)",
  TRUE,"OK"
)</f>
        <v>OK</v>
      </c>
    </row>
    <row r="686" spans="1:10" ht="16.8" x14ac:dyDescent="0.3">
      <c r="A686" s="11" t="s">
        <v>4311</v>
      </c>
      <c r="B686" s="11" t="s">
        <v>997</v>
      </c>
      <c r="C686" s="11" t="s">
        <v>3377</v>
      </c>
      <c r="D686" s="11">
        <v>632108.92000000004</v>
      </c>
      <c r="E686" s="11">
        <v>8465.68</v>
      </c>
      <c r="F686" s="12">
        <v>44280</v>
      </c>
      <c r="G686" s="12">
        <v>44834</v>
      </c>
      <c r="H686" s="11" t="s">
        <v>3378</v>
      </c>
      <c r="I686" s="11" t="s">
        <v>3373</v>
      </c>
      <c r="J686" s="13" t="str" cm="1">
        <f t="array" ref="J686">_xlfn.IFS(
  OR(ISBLANK(A686),ISBLANK(B686),ISBLANK(H686),ISBLANK(D686),ISBLANK(E686)),"Missing Value",
  D686&lt;=0,"Review – Out of Range (Coverage)",
  E686&lt;=0,"Review – Out of Range (Premium)",
  TRUE,"OK"
)</f>
        <v>OK</v>
      </c>
    </row>
    <row r="687" spans="1:10" ht="16.8" x14ac:dyDescent="0.3">
      <c r="A687" s="14" t="s">
        <v>4312</v>
      </c>
      <c r="B687" s="14" t="s">
        <v>2711</v>
      </c>
      <c r="C687" s="14" t="s">
        <v>3377</v>
      </c>
      <c r="D687" s="14">
        <v>316071.2</v>
      </c>
      <c r="E687" s="14">
        <v>47228.35</v>
      </c>
      <c r="F687" s="15">
        <v>44491</v>
      </c>
      <c r="G687" s="15">
        <v>44687</v>
      </c>
      <c r="H687" s="14" t="s">
        <v>3484</v>
      </c>
      <c r="I687" s="14" t="s">
        <v>3373</v>
      </c>
      <c r="J687" s="13" t="str" cm="1">
        <f t="array" ref="J687">_xlfn.IFS(
  OR(ISBLANK(A687),ISBLANK(B687),ISBLANK(H687),ISBLANK(D687),ISBLANK(E687)),"Missing Value",
  D687&lt;=0,"Review – Out of Range (Coverage)",
  E687&lt;=0,"Review – Out of Range (Premium)",
  TRUE,"OK"
)</f>
        <v>OK</v>
      </c>
    </row>
    <row r="688" spans="1:10" ht="16.8" x14ac:dyDescent="0.3">
      <c r="A688" s="11" t="s">
        <v>4313</v>
      </c>
      <c r="B688" s="11" t="s">
        <v>2377</v>
      </c>
      <c r="C688" s="11" t="s">
        <v>3359</v>
      </c>
      <c r="D688" s="11">
        <v>290657.88</v>
      </c>
      <c r="E688" s="11">
        <v>22203.52</v>
      </c>
      <c r="F688" s="12">
        <v>45208</v>
      </c>
      <c r="G688" s="12">
        <v>45420</v>
      </c>
      <c r="H688" s="11" t="s">
        <v>3573</v>
      </c>
      <c r="I688" s="11" t="s">
        <v>3373</v>
      </c>
      <c r="J688" s="13" t="str" cm="1">
        <f t="array" ref="J688">_xlfn.IFS(
  OR(ISBLANK(A688),ISBLANK(B688),ISBLANK(H688),ISBLANK(D688),ISBLANK(E688)),"Missing Value",
  D688&lt;=0,"Review – Out of Range (Coverage)",
  E688&lt;=0,"Review – Out of Range (Premium)",
  TRUE,"OK"
)</f>
        <v>OK</v>
      </c>
    </row>
    <row r="689" spans="1:10" ht="16.8" x14ac:dyDescent="0.3">
      <c r="A689" s="14" t="s">
        <v>4314</v>
      </c>
      <c r="B689" s="14" t="s">
        <v>2999</v>
      </c>
      <c r="C689" s="14" t="s">
        <v>3371</v>
      </c>
      <c r="D689" s="14">
        <v>258279.19</v>
      </c>
      <c r="E689" s="14">
        <v>9907.6200000000008</v>
      </c>
      <c r="F689" s="15">
        <v>45460</v>
      </c>
      <c r="G689" s="15">
        <v>45625</v>
      </c>
      <c r="H689" s="14" t="s">
        <v>3438</v>
      </c>
      <c r="I689" s="14" t="s">
        <v>3373</v>
      </c>
      <c r="J689" s="13" t="str" cm="1">
        <f t="array" ref="J689">_xlfn.IFS(
  OR(ISBLANK(A689),ISBLANK(B689),ISBLANK(H689),ISBLANK(D689),ISBLANK(E689)),"Missing Value",
  D689&lt;=0,"Review – Out of Range (Coverage)",
  E689&lt;=0,"Review – Out of Range (Premium)",
  TRUE,"OK"
)</f>
        <v>OK</v>
      </c>
    </row>
    <row r="690" spans="1:10" ht="16.8" x14ac:dyDescent="0.3">
      <c r="A690" s="11" t="s">
        <v>4315</v>
      </c>
      <c r="B690" s="11" t="s">
        <v>1437</v>
      </c>
      <c r="C690" s="11" t="s">
        <v>3377</v>
      </c>
      <c r="D690" s="11">
        <v>637051.29</v>
      </c>
      <c r="E690" s="11">
        <v>16181.47</v>
      </c>
      <c r="F690" s="12">
        <v>45488</v>
      </c>
      <c r="G690" s="12">
        <v>45852</v>
      </c>
      <c r="H690" s="11" t="s">
        <v>3385</v>
      </c>
      <c r="I690" s="11" t="s">
        <v>3361</v>
      </c>
      <c r="J690" s="13" t="str" cm="1">
        <f t="array" ref="J690">_xlfn.IFS(
  OR(ISBLANK(A690),ISBLANK(B690),ISBLANK(H690),ISBLANK(D690),ISBLANK(E690)),"Missing Value",
  D690&lt;=0,"Review – Out of Range (Coverage)",
  E690&lt;=0,"Review – Out of Range (Premium)",
  TRUE,"OK"
)</f>
        <v>OK</v>
      </c>
    </row>
    <row r="691" spans="1:10" ht="16.8" x14ac:dyDescent="0.3">
      <c r="A691" s="14" t="s">
        <v>4316</v>
      </c>
      <c r="B691" s="14" t="s">
        <v>238</v>
      </c>
      <c r="C691" s="14" t="s">
        <v>3380</v>
      </c>
      <c r="D691" s="14">
        <v>552739.81000000006</v>
      </c>
      <c r="E691" s="14">
        <v>49128.89</v>
      </c>
      <c r="F691" s="15">
        <v>44570</v>
      </c>
      <c r="G691" s="15">
        <v>45606</v>
      </c>
      <c r="H691" s="14" t="s">
        <v>3868</v>
      </c>
      <c r="I691" s="14" t="s">
        <v>3361</v>
      </c>
      <c r="J691" s="13" t="str" cm="1">
        <f t="array" ref="J691">_xlfn.IFS(
  OR(ISBLANK(A691),ISBLANK(B691),ISBLANK(H691),ISBLANK(D691),ISBLANK(E691)),"Missing Value",
  D691&lt;=0,"Review – Out of Range (Coverage)",
  E691&lt;=0,"Review – Out of Range (Premium)",
  TRUE,"OK"
)</f>
        <v>OK</v>
      </c>
    </row>
    <row r="692" spans="1:10" ht="16.8" x14ac:dyDescent="0.3">
      <c r="A692" s="11" t="s">
        <v>4317</v>
      </c>
      <c r="B692" s="11" t="s">
        <v>541</v>
      </c>
      <c r="C692" s="11" t="s">
        <v>3363</v>
      </c>
      <c r="D692" s="11">
        <v>109106.73</v>
      </c>
      <c r="E692" s="11">
        <v>19729.509999999998</v>
      </c>
      <c r="F692" s="12">
        <v>44737</v>
      </c>
      <c r="G692" s="12">
        <v>45705</v>
      </c>
      <c r="H692" s="11" t="s">
        <v>3536</v>
      </c>
      <c r="I692" s="11" t="s">
        <v>3365</v>
      </c>
      <c r="J692" s="13" t="str" cm="1">
        <f t="array" ref="J692">_xlfn.IFS(
  OR(ISBLANK(A692),ISBLANK(B692),ISBLANK(H692),ISBLANK(D692),ISBLANK(E692)),"Missing Value",
  D692&lt;=0,"Review – Out of Range (Coverage)",
  E692&lt;=0,"Review – Out of Range (Premium)",
  TRUE,"OK"
)</f>
        <v>OK</v>
      </c>
    </row>
    <row r="693" spans="1:10" ht="16.8" x14ac:dyDescent="0.3">
      <c r="A693" s="14" t="s">
        <v>4318</v>
      </c>
      <c r="B693" s="14" t="s">
        <v>647</v>
      </c>
      <c r="C693" s="14" t="s">
        <v>3371</v>
      </c>
      <c r="D693" s="14">
        <v>300832.37</v>
      </c>
      <c r="E693" s="14">
        <v>14557.63</v>
      </c>
      <c r="F693" s="15">
        <v>45426</v>
      </c>
      <c r="G693" s="15">
        <v>45667</v>
      </c>
      <c r="H693" s="14" t="s">
        <v>3976</v>
      </c>
      <c r="I693" s="14" t="s">
        <v>3373</v>
      </c>
      <c r="J693" s="13" t="str" cm="1">
        <f t="array" ref="J693">_xlfn.IFS(
  OR(ISBLANK(A693),ISBLANK(B693),ISBLANK(H693),ISBLANK(D693),ISBLANK(E693)),"Missing Value",
  D693&lt;=0,"Review – Out of Range (Coverage)",
  E693&lt;=0,"Review – Out of Range (Premium)",
  TRUE,"OK"
)</f>
        <v>OK</v>
      </c>
    </row>
    <row r="694" spans="1:10" ht="16.8" x14ac:dyDescent="0.3">
      <c r="A694" s="11" t="s">
        <v>4319</v>
      </c>
      <c r="B694" s="11" t="s">
        <v>1681</v>
      </c>
      <c r="C694" s="11" t="s">
        <v>3380</v>
      </c>
      <c r="D694" s="11">
        <v>573212.64</v>
      </c>
      <c r="E694" s="11">
        <v>34794.629999999997</v>
      </c>
      <c r="F694" s="12">
        <v>44968</v>
      </c>
      <c r="G694" s="12">
        <v>45368</v>
      </c>
      <c r="H694" s="11" t="s">
        <v>3413</v>
      </c>
      <c r="I694" s="11" t="s">
        <v>3361</v>
      </c>
      <c r="J694" s="13" t="str" cm="1">
        <f t="array" ref="J694">_xlfn.IFS(
  OR(ISBLANK(A694),ISBLANK(B694),ISBLANK(H694),ISBLANK(D694),ISBLANK(E694)),"Missing Value",
  D694&lt;=0,"Review – Out of Range (Coverage)",
  E694&lt;=0,"Review – Out of Range (Premium)",
  TRUE,"OK"
)</f>
        <v>OK</v>
      </c>
    </row>
    <row r="695" spans="1:10" ht="16.8" x14ac:dyDescent="0.3">
      <c r="A695" s="14" t="s">
        <v>4320</v>
      </c>
      <c r="B695" s="14" t="s">
        <v>1129</v>
      </c>
      <c r="C695" s="14" t="s">
        <v>3363</v>
      </c>
      <c r="D695" s="14">
        <v>341098.08</v>
      </c>
      <c r="E695" s="14">
        <v>28818.03</v>
      </c>
      <c r="F695" s="15">
        <v>44616</v>
      </c>
      <c r="G695" s="15">
        <v>45463</v>
      </c>
      <c r="H695" s="14" t="s">
        <v>3809</v>
      </c>
      <c r="I695" s="14" t="s">
        <v>3361</v>
      </c>
      <c r="J695" s="13" t="str" cm="1">
        <f t="array" ref="J695">_xlfn.IFS(
  OR(ISBLANK(A695),ISBLANK(B695),ISBLANK(H695),ISBLANK(D695),ISBLANK(E695)),"Missing Value",
  D695&lt;=0,"Review – Out of Range (Coverage)",
  E695&lt;=0,"Review – Out of Range (Premium)",
  TRUE,"OK"
)</f>
        <v>OK</v>
      </c>
    </row>
    <row r="696" spans="1:10" ht="16.8" x14ac:dyDescent="0.3">
      <c r="A696" s="11" t="s">
        <v>4321</v>
      </c>
      <c r="B696" s="11" t="s">
        <v>2759</v>
      </c>
      <c r="C696" s="11" t="s">
        <v>3377</v>
      </c>
      <c r="D696" s="11">
        <v>779826.3</v>
      </c>
      <c r="E696" s="11">
        <v>12784.81</v>
      </c>
      <c r="F696" s="12">
        <v>45426</v>
      </c>
      <c r="G696" s="12">
        <v>45499</v>
      </c>
      <c r="H696" s="11" t="s">
        <v>3964</v>
      </c>
      <c r="I696" s="11" t="s">
        <v>3373</v>
      </c>
      <c r="J696" s="13" t="str" cm="1">
        <f t="array" ref="J696">_xlfn.IFS(
  OR(ISBLANK(A696),ISBLANK(B696),ISBLANK(H696),ISBLANK(D696),ISBLANK(E696)),"Missing Value",
  D696&lt;=0,"Review – Out of Range (Coverage)",
  E696&lt;=0,"Review – Out of Range (Premium)",
  TRUE,"OK"
)</f>
        <v>OK</v>
      </c>
    </row>
    <row r="697" spans="1:10" ht="16.8" x14ac:dyDescent="0.3">
      <c r="A697" s="14" t="s">
        <v>4322</v>
      </c>
      <c r="B697" s="14" t="s">
        <v>1675</v>
      </c>
      <c r="C697" s="14" t="s">
        <v>3363</v>
      </c>
      <c r="D697" s="14">
        <v>476325.56</v>
      </c>
      <c r="E697" s="14">
        <v>5083.92</v>
      </c>
      <c r="F697" s="15">
        <v>44400</v>
      </c>
      <c r="G697" s="15">
        <v>44510</v>
      </c>
      <c r="H697" s="14" t="s">
        <v>3992</v>
      </c>
      <c r="I697" s="14" t="s">
        <v>3373</v>
      </c>
      <c r="J697" s="13" t="str" cm="1">
        <f t="array" ref="J697">_xlfn.IFS(
  OR(ISBLANK(A697),ISBLANK(B697),ISBLANK(H697),ISBLANK(D697),ISBLANK(E697)),"Missing Value",
  D697&lt;=0,"Review – Out of Range (Coverage)",
  E697&lt;=0,"Review – Out of Range (Premium)",
  TRUE,"OK"
)</f>
        <v>OK</v>
      </c>
    </row>
    <row r="698" spans="1:10" ht="16.8" x14ac:dyDescent="0.3">
      <c r="A698" s="11" t="s">
        <v>4323</v>
      </c>
      <c r="B698" s="11" t="s">
        <v>2589</v>
      </c>
      <c r="C698" s="11" t="s">
        <v>3359</v>
      </c>
      <c r="D698" s="11">
        <v>246942.72</v>
      </c>
      <c r="E698" s="11">
        <v>45874.87</v>
      </c>
      <c r="F698" s="12">
        <v>44739</v>
      </c>
      <c r="G698" s="12">
        <v>45753</v>
      </c>
      <c r="H698" s="11" t="s">
        <v>4324</v>
      </c>
      <c r="I698" s="11" t="s">
        <v>3361</v>
      </c>
      <c r="J698" s="13" t="str" cm="1">
        <f t="array" ref="J698">_xlfn.IFS(
  OR(ISBLANK(A698),ISBLANK(B698),ISBLANK(H698),ISBLANK(D698),ISBLANK(E698)),"Missing Value",
  D698&lt;=0,"Review – Out of Range (Coverage)",
  E698&lt;=0,"Review – Out of Range (Premium)",
  TRUE,"OK"
)</f>
        <v>OK</v>
      </c>
    </row>
    <row r="699" spans="1:10" ht="16.8" x14ac:dyDescent="0.3">
      <c r="A699" s="14" t="s">
        <v>4325</v>
      </c>
      <c r="B699" s="14" t="s">
        <v>637</v>
      </c>
      <c r="C699" s="14" t="s">
        <v>3371</v>
      </c>
      <c r="D699" s="14">
        <v>245758.38</v>
      </c>
      <c r="E699" s="14">
        <v>32317.73</v>
      </c>
      <c r="F699" s="15">
        <v>44172</v>
      </c>
      <c r="G699" s="15">
        <v>45811</v>
      </c>
      <c r="H699" s="14" t="s">
        <v>3806</v>
      </c>
      <c r="I699" s="14" t="s">
        <v>3373</v>
      </c>
      <c r="J699" s="13" t="str" cm="1">
        <f t="array" ref="J699">_xlfn.IFS(
  OR(ISBLANK(A699),ISBLANK(B699),ISBLANK(H699),ISBLANK(D699),ISBLANK(E699)),"Missing Value",
  D699&lt;=0,"Review – Out of Range (Coverage)",
  E699&lt;=0,"Review – Out of Range (Premium)",
  TRUE,"OK"
)</f>
        <v>OK</v>
      </c>
    </row>
    <row r="700" spans="1:10" ht="16.8" x14ac:dyDescent="0.3">
      <c r="A700" s="11" t="s">
        <v>4326</v>
      </c>
      <c r="B700" s="11" t="s">
        <v>2241</v>
      </c>
      <c r="C700" s="11" t="s">
        <v>3377</v>
      </c>
      <c r="D700" s="11">
        <v>673111.31</v>
      </c>
      <c r="E700" s="11">
        <v>28225.759999999998</v>
      </c>
      <c r="F700" s="12">
        <v>45357</v>
      </c>
      <c r="G700" s="12">
        <v>45641</v>
      </c>
      <c r="H700" s="11" t="s">
        <v>3914</v>
      </c>
      <c r="I700" s="11" t="s">
        <v>3365</v>
      </c>
      <c r="J700" s="13" t="str" cm="1">
        <f t="array" ref="J700">_xlfn.IFS(
  OR(ISBLANK(A700),ISBLANK(B700),ISBLANK(H700),ISBLANK(D700),ISBLANK(E700)),"Missing Value",
  D700&lt;=0,"Review – Out of Range (Coverage)",
  E700&lt;=0,"Review – Out of Range (Premium)",
  TRUE,"OK"
)</f>
        <v>OK</v>
      </c>
    </row>
    <row r="701" spans="1:10" ht="16.8" x14ac:dyDescent="0.3">
      <c r="A701" s="14" t="s">
        <v>4327</v>
      </c>
      <c r="B701" s="14" t="s">
        <v>1709</v>
      </c>
      <c r="C701" s="14" t="s">
        <v>3380</v>
      </c>
      <c r="D701" s="14">
        <v>624547.92000000004</v>
      </c>
      <c r="E701" s="14">
        <v>7920.71</v>
      </c>
      <c r="F701" s="15">
        <v>45446</v>
      </c>
      <c r="G701" s="15">
        <v>45831</v>
      </c>
      <c r="H701" s="14" t="s">
        <v>4328</v>
      </c>
      <c r="I701" s="14" t="s">
        <v>3361</v>
      </c>
      <c r="J701" s="13" t="str" cm="1">
        <f t="array" ref="J701">_xlfn.IFS(
  OR(ISBLANK(A701),ISBLANK(B701),ISBLANK(H701),ISBLANK(D701),ISBLANK(E701)),"Missing Value",
  D701&lt;=0,"Review – Out of Range (Coverage)",
  E701&lt;=0,"Review – Out of Range (Premium)",
  TRUE,"OK"
)</f>
        <v>OK</v>
      </c>
    </row>
    <row r="702" spans="1:10" ht="16.8" x14ac:dyDescent="0.3">
      <c r="A702" s="11" t="s">
        <v>4329</v>
      </c>
      <c r="B702" s="11" t="s">
        <v>1819</v>
      </c>
      <c r="C702" s="11" t="s">
        <v>3363</v>
      </c>
      <c r="D702" s="11">
        <v>832518.95</v>
      </c>
      <c r="E702" s="11">
        <v>49257.63</v>
      </c>
      <c r="F702" s="12">
        <v>45427</v>
      </c>
      <c r="G702" s="12">
        <v>45765</v>
      </c>
      <c r="H702" s="11" t="s">
        <v>4076</v>
      </c>
      <c r="I702" s="11" t="s">
        <v>3373</v>
      </c>
      <c r="J702" s="13" t="str" cm="1">
        <f t="array" ref="J702">_xlfn.IFS(
  OR(ISBLANK(A702),ISBLANK(B702),ISBLANK(H702),ISBLANK(D702),ISBLANK(E702)),"Missing Value",
  D702&lt;=0,"Review – Out of Range (Coverage)",
  E702&lt;=0,"Review – Out of Range (Premium)",
  TRUE,"OK"
)</f>
        <v>OK</v>
      </c>
    </row>
    <row r="703" spans="1:10" ht="16.8" x14ac:dyDescent="0.3">
      <c r="A703" s="14" t="s">
        <v>4330</v>
      </c>
      <c r="B703" s="14" t="s">
        <v>1387</v>
      </c>
      <c r="C703" s="14" t="s">
        <v>3363</v>
      </c>
      <c r="D703" s="14">
        <v>936190.74</v>
      </c>
      <c r="E703" s="14">
        <v>14197.72</v>
      </c>
      <c r="F703" s="15">
        <v>44726</v>
      </c>
      <c r="G703" s="15">
        <v>45322</v>
      </c>
      <c r="H703" s="14" t="s">
        <v>3547</v>
      </c>
      <c r="I703" s="14" t="s">
        <v>3365</v>
      </c>
      <c r="J703" s="13" t="str" cm="1">
        <f t="array" ref="J703">_xlfn.IFS(
  OR(ISBLANK(A703),ISBLANK(B703),ISBLANK(H703),ISBLANK(D703),ISBLANK(E703)),"Missing Value",
  D703&lt;=0,"Review – Out of Range (Coverage)",
  E703&lt;=0,"Review – Out of Range (Premium)",
  TRUE,"OK"
)</f>
        <v>OK</v>
      </c>
    </row>
    <row r="704" spans="1:10" ht="16.8" x14ac:dyDescent="0.3">
      <c r="A704" s="11" t="s">
        <v>4331</v>
      </c>
      <c r="B704" s="11" t="s">
        <v>2465</v>
      </c>
      <c r="C704" s="11" t="s">
        <v>3363</v>
      </c>
      <c r="D704" s="11">
        <v>530625.16</v>
      </c>
      <c r="E704" s="11">
        <v>28352.240000000002</v>
      </c>
      <c r="F704" s="12">
        <v>44795</v>
      </c>
      <c r="G704" s="12">
        <v>45011</v>
      </c>
      <c r="H704" s="11" t="s">
        <v>3764</v>
      </c>
      <c r="I704" s="11" t="s">
        <v>3361</v>
      </c>
      <c r="J704" s="13" t="str" cm="1">
        <f t="array" ref="J704">_xlfn.IFS(
  OR(ISBLANK(A704),ISBLANK(B704),ISBLANK(H704),ISBLANK(D704),ISBLANK(E704)),"Missing Value",
  D704&lt;=0,"Review – Out of Range (Coverage)",
  E704&lt;=0,"Review – Out of Range (Premium)",
  TRUE,"OK"
)</f>
        <v>OK</v>
      </c>
    </row>
    <row r="705" spans="1:10" ht="16.8" x14ac:dyDescent="0.3">
      <c r="A705" s="14" t="s">
        <v>4332</v>
      </c>
      <c r="B705" s="14" t="s">
        <v>2915</v>
      </c>
      <c r="C705" s="14" t="s">
        <v>3380</v>
      </c>
      <c r="D705" s="14">
        <v>838230.77</v>
      </c>
      <c r="E705" s="14">
        <v>47787.44</v>
      </c>
      <c r="F705" s="15">
        <v>45202</v>
      </c>
      <c r="G705" s="15">
        <v>45252</v>
      </c>
      <c r="H705" s="14" t="s">
        <v>3461</v>
      </c>
      <c r="I705" s="14" t="s">
        <v>3361</v>
      </c>
      <c r="J705" s="13" t="str" cm="1">
        <f t="array" ref="J705">_xlfn.IFS(
  OR(ISBLANK(A705),ISBLANK(B705),ISBLANK(H705),ISBLANK(D705),ISBLANK(E705)),"Missing Value",
  D705&lt;=0,"Review – Out of Range (Coverage)",
  E705&lt;=0,"Review – Out of Range (Premium)",
  TRUE,"OK"
)</f>
        <v>OK</v>
      </c>
    </row>
    <row r="706" spans="1:10" ht="16.8" x14ac:dyDescent="0.3">
      <c r="A706" s="11" t="s">
        <v>4333</v>
      </c>
      <c r="B706" s="11" t="s">
        <v>406</v>
      </c>
      <c r="C706" s="11" t="s">
        <v>3380</v>
      </c>
      <c r="D706" s="11">
        <v>724842.82</v>
      </c>
      <c r="E706" s="11">
        <v>26903.25</v>
      </c>
      <c r="F706" s="12">
        <v>45207</v>
      </c>
      <c r="G706" s="12">
        <v>45736</v>
      </c>
      <c r="H706" s="11" t="s">
        <v>3636</v>
      </c>
      <c r="I706" s="11" t="s">
        <v>3361</v>
      </c>
      <c r="J706" s="13" t="str" cm="1">
        <f t="array" ref="J706">_xlfn.IFS(
  OR(ISBLANK(A706),ISBLANK(B706),ISBLANK(H706),ISBLANK(D706),ISBLANK(E706)),"Missing Value",
  D706&lt;=0,"Review – Out of Range (Coverage)",
  E706&lt;=0,"Review – Out of Range (Premium)",
  TRUE,"OK"
)</f>
        <v>OK</v>
      </c>
    </row>
    <row r="707" spans="1:10" ht="16.8" x14ac:dyDescent="0.3">
      <c r="A707" s="14" t="s">
        <v>4334</v>
      </c>
      <c r="B707" s="14" t="s">
        <v>2553</v>
      </c>
      <c r="C707" s="14" t="s">
        <v>3371</v>
      </c>
      <c r="D707" s="14">
        <v>378649.06</v>
      </c>
      <c r="E707" s="14">
        <v>7992.4</v>
      </c>
      <c r="F707" s="15">
        <v>44865</v>
      </c>
      <c r="G707" s="15">
        <v>45661</v>
      </c>
      <c r="H707" s="14" t="s">
        <v>3375</v>
      </c>
      <c r="I707" s="14" t="s">
        <v>3365</v>
      </c>
      <c r="J707" s="13" t="str" cm="1">
        <f t="array" ref="J707">_xlfn.IFS(
  OR(ISBLANK(A707),ISBLANK(B707),ISBLANK(H707),ISBLANK(D707),ISBLANK(E707)),"Missing Value",
  D707&lt;=0,"Review – Out of Range (Coverage)",
  E707&lt;=0,"Review – Out of Range (Premium)",
  TRUE,"OK"
)</f>
        <v>OK</v>
      </c>
    </row>
    <row r="708" spans="1:10" ht="16.8" x14ac:dyDescent="0.3">
      <c r="A708" s="11" t="s">
        <v>4335</v>
      </c>
      <c r="B708" s="11" t="s">
        <v>1297</v>
      </c>
      <c r="C708" s="11" t="s">
        <v>3380</v>
      </c>
      <c r="D708" s="11">
        <v>723742.78</v>
      </c>
      <c r="E708" s="11">
        <v>44222.76</v>
      </c>
      <c r="F708" s="12">
        <v>44729</v>
      </c>
      <c r="G708" s="12">
        <v>45485</v>
      </c>
      <c r="H708" s="11" t="s">
        <v>3976</v>
      </c>
      <c r="I708" s="11" t="s">
        <v>3361</v>
      </c>
      <c r="J708" s="13" t="str" cm="1">
        <f t="array" ref="J708">_xlfn.IFS(
  OR(ISBLANK(A708),ISBLANK(B708),ISBLANK(H708),ISBLANK(D708),ISBLANK(E708)),"Missing Value",
  D708&lt;=0,"Review – Out of Range (Coverage)",
  E708&lt;=0,"Review – Out of Range (Premium)",
  TRUE,"OK"
)</f>
        <v>OK</v>
      </c>
    </row>
    <row r="709" spans="1:10" ht="16.8" x14ac:dyDescent="0.3">
      <c r="A709" s="14" t="s">
        <v>4336</v>
      </c>
      <c r="B709" s="14" t="s">
        <v>3130</v>
      </c>
      <c r="C709" s="14" t="s">
        <v>3380</v>
      </c>
      <c r="D709" s="14">
        <v>691149.16</v>
      </c>
      <c r="E709" s="14">
        <v>15988.74</v>
      </c>
      <c r="F709" s="15">
        <v>44610</v>
      </c>
      <c r="G709" s="15">
        <v>44986</v>
      </c>
      <c r="H709" s="14" t="s">
        <v>3652</v>
      </c>
      <c r="I709" s="14" t="s">
        <v>3373</v>
      </c>
      <c r="J709" s="13" t="str" cm="1">
        <f t="array" ref="J709">_xlfn.IFS(
  OR(ISBLANK(A709),ISBLANK(B709),ISBLANK(H709),ISBLANK(D709),ISBLANK(E709)),"Missing Value",
  D709&lt;=0,"Review – Out of Range (Coverage)",
  E709&lt;=0,"Review – Out of Range (Premium)",
  TRUE,"OK"
)</f>
        <v>OK</v>
      </c>
    </row>
    <row r="710" spans="1:10" ht="16.8" x14ac:dyDescent="0.3">
      <c r="A710" s="11" t="s">
        <v>4337</v>
      </c>
      <c r="B710" s="11" t="s">
        <v>162</v>
      </c>
      <c r="C710" s="11" t="s">
        <v>3371</v>
      </c>
      <c r="D710" s="11">
        <v>350150.59</v>
      </c>
      <c r="E710" s="11">
        <v>45329.97</v>
      </c>
      <c r="F710" s="12">
        <v>44661</v>
      </c>
      <c r="G710" s="12">
        <v>44943</v>
      </c>
      <c r="H710" s="11" t="s">
        <v>3393</v>
      </c>
      <c r="I710" s="11" t="s">
        <v>3365</v>
      </c>
      <c r="J710" s="13" t="str" cm="1">
        <f t="array" ref="J710">_xlfn.IFS(
  OR(ISBLANK(A710),ISBLANK(B710),ISBLANK(H710),ISBLANK(D710),ISBLANK(E710)),"Missing Value",
  D710&lt;=0,"Review – Out of Range (Coverage)",
  E710&lt;=0,"Review – Out of Range (Premium)",
  TRUE,"OK"
)</f>
        <v>OK</v>
      </c>
    </row>
    <row r="711" spans="1:10" ht="16.8" x14ac:dyDescent="0.3">
      <c r="A711" s="14" t="s">
        <v>4338</v>
      </c>
      <c r="B711" s="14" t="s">
        <v>2245</v>
      </c>
      <c r="C711" s="14" t="s">
        <v>3363</v>
      </c>
      <c r="D711" s="14">
        <v>397578.98</v>
      </c>
      <c r="E711" s="14">
        <v>5578.24</v>
      </c>
      <c r="F711" s="15">
        <v>44777</v>
      </c>
      <c r="G711" s="15">
        <v>45288</v>
      </c>
      <c r="H711" s="14" t="s">
        <v>3774</v>
      </c>
      <c r="I711" s="14" t="s">
        <v>3365</v>
      </c>
      <c r="J711" s="13" t="str" cm="1">
        <f t="array" ref="J711">_xlfn.IFS(
  OR(ISBLANK(A711),ISBLANK(B711),ISBLANK(H711),ISBLANK(D711),ISBLANK(E711)),"Missing Value",
  D711&lt;=0,"Review – Out of Range (Coverage)",
  E711&lt;=0,"Review – Out of Range (Premium)",
  TRUE,"OK"
)</f>
        <v>OK</v>
      </c>
    </row>
    <row r="712" spans="1:10" ht="16.8" x14ac:dyDescent="0.3">
      <c r="A712" s="11" t="s">
        <v>4339</v>
      </c>
      <c r="B712" s="11" t="s">
        <v>1655</v>
      </c>
      <c r="C712" s="11" t="s">
        <v>3377</v>
      </c>
      <c r="D712" s="11">
        <v>472115.36</v>
      </c>
      <c r="E712" s="11">
        <v>24892.75</v>
      </c>
      <c r="F712" s="12">
        <v>44065</v>
      </c>
      <c r="G712" s="12">
        <v>44206</v>
      </c>
      <c r="H712" s="11" t="s">
        <v>3626</v>
      </c>
      <c r="I712" s="11" t="s">
        <v>3361</v>
      </c>
      <c r="J712" s="13" t="str" cm="1">
        <f t="array" ref="J712">_xlfn.IFS(
  OR(ISBLANK(A712),ISBLANK(B712),ISBLANK(H712),ISBLANK(D712),ISBLANK(E712)),"Missing Value",
  D712&lt;=0,"Review – Out of Range (Coverage)",
  E712&lt;=0,"Review – Out of Range (Premium)",
  TRUE,"OK"
)</f>
        <v>OK</v>
      </c>
    </row>
    <row r="713" spans="1:10" ht="16.8" x14ac:dyDescent="0.3">
      <c r="A713" s="14" t="s">
        <v>4340</v>
      </c>
      <c r="B713" s="14" t="s">
        <v>737</v>
      </c>
      <c r="C713" s="14" t="s">
        <v>3371</v>
      </c>
      <c r="D713" s="14">
        <v>296442.09999999998</v>
      </c>
      <c r="E713" s="14">
        <v>15938.08</v>
      </c>
      <c r="F713" s="15">
        <v>45032</v>
      </c>
      <c r="G713" s="15">
        <v>45639</v>
      </c>
      <c r="H713" s="14" t="s">
        <v>3383</v>
      </c>
      <c r="I713" s="14" t="s">
        <v>3365</v>
      </c>
      <c r="J713" s="13" t="str" cm="1">
        <f t="array" ref="J713">_xlfn.IFS(
  OR(ISBLANK(A713),ISBLANK(B713),ISBLANK(H713),ISBLANK(D713),ISBLANK(E713)),"Missing Value",
  D713&lt;=0,"Review – Out of Range (Coverage)",
  E713&lt;=0,"Review – Out of Range (Premium)",
  TRUE,"OK"
)</f>
        <v>OK</v>
      </c>
    </row>
    <row r="714" spans="1:10" ht="16.8" x14ac:dyDescent="0.3">
      <c r="A714" s="11" t="s">
        <v>4341</v>
      </c>
      <c r="B714" s="11" t="s">
        <v>2449</v>
      </c>
      <c r="C714" s="11" t="s">
        <v>3377</v>
      </c>
      <c r="D714" s="11">
        <v>349669.57</v>
      </c>
      <c r="E714" s="11">
        <v>45759.7</v>
      </c>
      <c r="F714" s="12">
        <v>44995</v>
      </c>
      <c r="G714" s="12">
        <v>44998</v>
      </c>
      <c r="H714" s="11" t="s">
        <v>3846</v>
      </c>
      <c r="I714" s="11" t="s">
        <v>3373</v>
      </c>
      <c r="J714" s="13" t="str" cm="1">
        <f t="array" ref="J714">_xlfn.IFS(
  OR(ISBLANK(A714),ISBLANK(B714),ISBLANK(H714),ISBLANK(D714),ISBLANK(E714)),"Missing Value",
  D714&lt;=0,"Review – Out of Range (Coverage)",
  E714&lt;=0,"Review – Out of Range (Premium)",
  TRUE,"OK"
)</f>
        <v>OK</v>
      </c>
    </row>
    <row r="715" spans="1:10" ht="16.8" x14ac:dyDescent="0.3">
      <c r="A715" s="14" t="s">
        <v>4342</v>
      </c>
      <c r="B715" s="14" t="s">
        <v>2921</v>
      </c>
      <c r="C715" s="14" t="s">
        <v>3363</v>
      </c>
      <c r="D715" s="14">
        <v>216025.06</v>
      </c>
      <c r="E715" s="14">
        <v>13936.78</v>
      </c>
      <c r="F715" s="15">
        <v>45093</v>
      </c>
      <c r="G715" s="15">
        <v>45470</v>
      </c>
      <c r="H715" s="14" t="s">
        <v>3859</v>
      </c>
      <c r="I715" s="14" t="s">
        <v>3373</v>
      </c>
      <c r="J715" s="13" t="str" cm="1">
        <f t="array" ref="J715">_xlfn.IFS(
  OR(ISBLANK(A715),ISBLANK(B715),ISBLANK(H715),ISBLANK(D715),ISBLANK(E715)),"Missing Value",
  D715&lt;=0,"Review – Out of Range (Coverage)",
  E715&lt;=0,"Review – Out of Range (Premium)",
  TRUE,"OK"
)</f>
        <v>OK</v>
      </c>
    </row>
    <row r="716" spans="1:10" ht="16.8" x14ac:dyDescent="0.3">
      <c r="A716" s="11" t="s">
        <v>4343</v>
      </c>
      <c r="B716" s="11" t="s">
        <v>1937</v>
      </c>
      <c r="C716" s="11" t="s">
        <v>3377</v>
      </c>
      <c r="D716" s="11">
        <v>238748.17</v>
      </c>
      <c r="E716" s="11">
        <v>47584.92</v>
      </c>
      <c r="F716" s="12">
        <v>44765</v>
      </c>
      <c r="G716" s="12">
        <v>44916</v>
      </c>
      <c r="H716" s="11" t="s">
        <v>3454</v>
      </c>
      <c r="I716" s="11" t="s">
        <v>3365</v>
      </c>
      <c r="J716" s="13" t="str" cm="1">
        <f t="array" ref="J716">_xlfn.IFS(
  OR(ISBLANK(A716),ISBLANK(B716),ISBLANK(H716),ISBLANK(D716),ISBLANK(E716)),"Missing Value",
  D716&lt;=0,"Review – Out of Range (Coverage)",
  E716&lt;=0,"Review – Out of Range (Premium)",
  TRUE,"OK"
)</f>
        <v>OK</v>
      </c>
    </row>
    <row r="717" spans="1:10" ht="16.8" x14ac:dyDescent="0.3">
      <c r="A717" s="14" t="s">
        <v>4344</v>
      </c>
      <c r="B717" s="14" t="s">
        <v>3262</v>
      </c>
      <c r="C717" s="14" t="s">
        <v>3363</v>
      </c>
      <c r="D717" s="14">
        <v>196533.33</v>
      </c>
      <c r="E717" s="14">
        <v>12069.81</v>
      </c>
      <c r="F717" s="15">
        <v>45300</v>
      </c>
      <c r="G717" s="15">
        <v>45338</v>
      </c>
      <c r="H717" s="14" t="s">
        <v>3687</v>
      </c>
      <c r="I717" s="14" t="s">
        <v>3373</v>
      </c>
      <c r="J717" s="13" t="str" cm="1">
        <f t="array" ref="J717">_xlfn.IFS(
  OR(ISBLANK(A717),ISBLANK(B717),ISBLANK(H717),ISBLANK(D717),ISBLANK(E717)),"Missing Value",
  D717&lt;=0,"Review – Out of Range (Coverage)",
  E717&lt;=0,"Review – Out of Range (Premium)",
  TRUE,"OK"
)</f>
        <v>OK</v>
      </c>
    </row>
    <row r="718" spans="1:10" ht="16.8" x14ac:dyDescent="0.3">
      <c r="A718" s="11" t="s">
        <v>4345</v>
      </c>
      <c r="B718" s="11" t="s">
        <v>1671</v>
      </c>
      <c r="C718" s="11" t="s">
        <v>3377</v>
      </c>
      <c r="D718" s="11">
        <v>726101.78</v>
      </c>
      <c r="E718" s="11">
        <v>46663.35</v>
      </c>
      <c r="F718" s="12">
        <v>45305</v>
      </c>
      <c r="G718" s="12">
        <v>45455</v>
      </c>
      <c r="H718" s="11" t="s">
        <v>3881</v>
      </c>
      <c r="I718" s="11" t="s">
        <v>3373</v>
      </c>
      <c r="J718" s="13" t="str" cm="1">
        <f t="array" ref="J718">_xlfn.IFS(
  OR(ISBLANK(A718),ISBLANK(B718),ISBLANK(H718),ISBLANK(D718),ISBLANK(E718)),"Missing Value",
  D718&lt;=0,"Review – Out of Range (Coverage)",
  E718&lt;=0,"Review – Out of Range (Premium)",
  TRUE,"OK"
)</f>
        <v>OK</v>
      </c>
    </row>
    <row r="719" spans="1:10" ht="16.8" x14ac:dyDescent="0.3">
      <c r="A719" s="14" t="s">
        <v>4346</v>
      </c>
      <c r="B719" s="14" t="s">
        <v>500</v>
      </c>
      <c r="C719" s="14" t="s">
        <v>3371</v>
      </c>
      <c r="D719" s="14">
        <v>902275.57</v>
      </c>
      <c r="E719" s="14">
        <v>5714.91</v>
      </c>
      <c r="F719" s="15">
        <v>44643</v>
      </c>
      <c r="G719" s="15">
        <v>45710</v>
      </c>
      <c r="H719" s="14" t="s">
        <v>4244</v>
      </c>
      <c r="I719" s="14" t="s">
        <v>3361</v>
      </c>
      <c r="J719" s="13" t="str" cm="1">
        <f t="array" ref="J719">_xlfn.IFS(
  OR(ISBLANK(A719),ISBLANK(B719),ISBLANK(H719),ISBLANK(D719),ISBLANK(E719)),"Missing Value",
  D719&lt;=0,"Review – Out of Range (Coverage)",
  E719&lt;=0,"Review – Out of Range (Premium)",
  TRUE,"OK"
)</f>
        <v>OK</v>
      </c>
    </row>
    <row r="720" spans="1:10" ht="16.8" x14ac:dyDescent="0.3">
      <c r="A720" s="11" t="s">
        <v>4347</v>
      </c>
      <c r="B720" s="11" t="s">
        <v>1699</v>
      </c>
      <c r="C720" s="11" t="s">
        <v>3380</v>
      </c>
      <c r="D720" s="11">
        <v>579470.87</v>
      </c>
      <c r="E720" s="11">
        <v>46014.96</v>
      </c>
      <c r="F720" s="12">
        <v>44503</v>
      </c>
      <c r="G720" s="12">
        <v>45509</v>
      </c>
      <c r="H720" s="11" t="s">
        <v>3733</v>
      </c>
      <c r="I720" s="11" t="s">
        <v>3361</v>
      </c>
      <c r="J720" s="13" t="str" cm="1">
        <f t="array" ref="J720">_xlfn.IFS(
  OR(ISBLANK(A720),ISBLANK(B720),ISBLANK(H720),ISBLANK(D720),ISBLANK(E720)),"Missing Value",
  D720&lt;=0,"Review – Out of Range (Coverage)",
  E720&lt;=0,"Review – Out of Range (Premium)",
  TRUE,"OK"
)</f>
        <v>OK</v>
      </c>
    </row>
    <row r="721" spans="1:10" ht="16.8" x14ac:dyDescent="0.3">
      <c r="A721" s="14" t="s">
        <v>4348</v>
      </c>
      <c r="B721" s="14" t="s">
        <v>2383</v>
      </c>
      <c r="C721" s="14" t="s">
        <v>3359</v>
      </c>
      <c r="D721" s="14">
        <v>225982.81</v>
      </c>
      <c r="E721" s="14">
        <v>38327.449999999997</v>
      </c>
      <c r="F721" s="15">
        <v>44629</v>
      </c>
      <c r="G721" s="15">
        <v>45469</v>
      </c>
      <c r="H721" s="14" t="s">
        <v>3744</v>
      </c>
      <c r="I721" s="14" t="s">
        <v>3365</v>
      </c>
      <c r="J721" s="13" t="str" cm="1">
        <f t="array" ref="J721">_xlfn.IFS(
  OR(ISBLANK(A721),ISBLANK(B721),ISBLANK(H721),ISBLANK(D721),ISBLANK(E721)),"Missing Value",
  D721&lt;=0,"Review – Out of Range (Coverage)",
  E721&lt;=0,"Review – Out of Range (Premium)",
  TRUE,"OK"
)</f>
        <v>OK</v>
      </c>
    </row>
    <row r="722" spans="1:10" ht="16.8" x14ac:dyDescent="0.3">
      <c r="A722" s="11" t="s">
        <v>4349</v>
      </c>
      <c r="B722" s="11" t="s">
        <v>2719</v>
      </c>
      <c r="C722" s="11" t="s">
        <v>3377</v>
      </c>
      <c r="D722" s="11">
        <v>572828.51</v>
      </c>
      <c r="E722" s="11">
        <v>6470.24</v>
      </c>
      <c r="F722" s="12">
        <v>44690</v>
      </c>
      <c r="G722" s="12">
        <v>45013</v>
      </c>
      <c r="H722" s="11" t="s">
        <v>3781</v>
      </c>
      <c r="I722" s="11" t="s">
        <v>3361</v>
      </c>
      <c r="J722" s="13" t="str" cm="1">
        <f t="array" ref="J722">_xlfn.IFS(
  OR(ISBLANK(A722),ISBLANK(B722),ISBLANK(H722),ISBLANK(D722),ISBLANK(E722)),"Missing Value",
  D722&lt;=0,"Review – Out of Range (Coverage)",
  E722&lt;=0,"Review – Out of Range (Premium)",
  TRUE,"OK"
)</f>
        <v>OK</v>
      </c>
    </row>
    <row r="723" spans="1:10" ht="16.8" x14ac:dyDescent="0.3">
      <c r="A723" s="14" t="s">
        <v>4350</v>
      </c>
      <c r="B723" s="14" t="s">
        <v>3030</v>
      </c>
      <c r="C723" s="14" t="s">
        <v>3377</v>
      </c>
      <c r="D723" s="14">
        <v>166591.89000000001</v>
      </c>
      <c r="E723" s="14">
        <v>36997.919999999998</v>
      </c>
      <c r="F723" s="15">
        <v>45242</v>
      </c>
      <c r="G723" s="15">
        <v>45384</v>
      </c>
      <c r="H723" s="14" t="s">
        <v>3524</v>
      </c>
      <c r="I723" s="14" t="s">
        <v>3365</v>
      </c>
      <c r="J723" s="13" t="str" cm="1">
        <f t="array" ref="J723">_xlfn.IFS(
  OR(ISBLANK(A723),ISBLANK(B723),ISBLANK(H723),ISBLANK(D723),ISBLANK(E723)),"Missing Value",
  D723&lt;=0,"Review – Out of Range (Coverage)",
  E723&lt;=0,"Review – Out of Range (Premium)",
  TRUE,"OK"
)</f>
        <v>OK</v>
      </c>
    </row>
    <row r="724" spans="1:10" ht="16.8" x14ac:dyDescent="0.3">
      <c r="A724" s="11" t="s">
        <v>4351</v>
      </c>
      <c r="B724" s="11" t="s">
        <v>2495</v>
      </c>
      <c r="C724" s="11" t="s">
        <v>3363</v>
      </c>
      <c r="D724" s="11">
        <v>461155.89</v>
      </c>
      <c r="E724" s="11">
        <v>12796.31</v>
      </c>
      <c r="F724" s="12">
        <v>45090</v>
      </c>
      <c r="G724" s="12">
        <v>45132</v>
      </c>
      <c r="H724" s="11" t="s">
        <v>4198</v>
      </c>
      <c r="I724" s="11" t="s">
        <v>3361</v>
      </c>
      <c r="J724" s="13" t="str" cm="1">
        <f t="array" ref="J724">_xlfn.IFS(
  OR(ISBLANK(A724),ISBLANK(B724),ISBLANK(H724),ISBLANK(D724),ISBLANK(E724)),"Missing Value",
  D724&lt;=0,"Review – Out of Range (Coverage)",
  E724&lt;=0,"Review – Out of Range (Premium)",
  TRUE,"OK"
)</f>
        <v>OK</v>
      </c>
    </row>
    <row r="725" spans="1:10" ht="16.8" x14ac:dyDescent="0.3">
      <c r="A725" s="14" t="s">
        <v>4352</v>
      </c>
      <c r="B725" s="14" t="s">
        <v>2467</v>
      </c>
      <c r="C725" s="14" t="s">
        <v>3363</v>
      </c>
      <c r="D725" s="14">
        <v>350233.92</v>
      </c>
      <c r="E725" s="14">
        <v>30871.59</v>
      </c>
      <c r="F725" s="15">
        <v>44817</v>
      </c>
      <c r="G725" s="15">
        <v>45620</v>
      </c>
      <c r="H725" s="14" t="s">
        <v>3490</v>
      </c>
      <c r="I725" s="14" t="s">
        <v>3373</v>
      </c>
      <c r="J725" s="13" t="str" cm="1">
        <f t="array" ref="J725">_xlfn.IFS(
  OR(ISBLANK(A725),ISBLANK(B725),ISBLANK(H725),ISBLANK(D725),ISBLANK(E725)),"Missing Value",
  D725&lt;=0,"Review – Out of Range (Coverage)",
  E725&lt;=0,"Review – Out of Range (Premium)",
  TRUE,"OK"
)</f>
        <v>OK</v>
      </c>
    </row>
    <row r="726" spans="1:10" ht="16.8" x14ac:dyDescent="0.3">
      <c r="A726" s="11" t="s">
        <v>4353</v>
      </c>
      <c r="B726" s="11" t="s">
        <v>835</v>
      </c>
      <c r="C726" s="11" t="s">
        <v>3359</v>
      </c>
      <c r="D726" s="11">
        <v>159769.60000000001</v>
      </c>
      <c r="E726" s="11">
        <v>31904.99</v>
      </c>
      <c r="F726" s="12">
        <v>44464</v>
      </c>
      <c r="G726" s="12">
        <v>45223</v>
      </c>
      <c r="H726" s="11" t="s">
        <v>3677</v>
      </c>
      <c r="I726" s="11" t="s">
        <v>3365</v>
      </c>
      <c r="J726" s="13" t="str" cm="1">
        <f t="array" ref="J726">_xlfn.IFS(
  OR(ISBLANK(A726),ISBLANK(B726),ISBLANK(H726),ISBLANK(D726),ISBLANK(E726)),"Missing Value",
  D726&lt;=0,"Review – Out of Range (Coverage)",
  E726&lt;=0,"Review – Out of Range (Premium)",
  TRUE,"OK"
)</f>
        <v>OK</v>
      </c>
    </row>
    <row r="727" spans="1:10" ht="16.8" x14ac:dyDescent="0.3">
      <c r="A727" s="14" t="s">
        <v>4354</v>
      </c>
      <c r="B727" s="14" t="s">
        <v>184</v>
      </c>
      <c r="C727" s="14" t="s">
        <v>3377</v>
      </c>
      <c r="D727" s="14">
        <v>195118.04</v>
      </c>
      <c r="E727" s="14">
        <v>10934.96</v>
      </c>
      <c r="F727" s="15">
        <v>45408</v>
      </c>
      <c r="G727" s="15">
        <v>45494</v>
      </c>
      <c r="H727" s="14" t="s">
        <v>3918</v>
      </c>
      <c r="I727" s="14" t="s">
        <v>3365</v>
      </c>
      <c r="J727" s="13" t="str" cm="1">
        <f t="array" ref="J727">_xlfn.IFS(
  OR(ISBLANK(A727),ISBLANK(B727),ISBLANK(H727),ISBLANK(D727),ISBLANK(E727)),"Missing Value",
  D727&lt;=0,"Review – Out of Range (Coverage)",
  E727&lt;=0,"Review – Out of Range (Premium)",
  TRUE,"OK"
)</f>
        <v>OK</v>
      </c>
    </row>
    <row r="728" spans="1:10" ht="16.8" x14ac:dyDescent="0.3">
      <c r="A728" s="11" t="s">
        <v>4355</v>
      </c>
      <c r="B728" s="11" t="s">
        <v>496</v>
      </c>
      <c r="C728" s="11" t="s">
        <v>3359</v>
      </c>
      <c r="D728" s="11">
        <v>628395.68000000005</v>
      </c>
      <c r="E728" s="11">
        <v>31622.77</v>
      </c>
      <c r="F728" s="12">
        <v>44056</v>
      </c>
      <c r="G728" s="12">
        <v>45805</v>
      </c>
      <c r="H728" s="11" t="s">
        <v>3939</v>
      </c>
      <c r="I728" s="11" t="s">
        <v>3373</v>
      </c>
      <c r="J728" s="13" t="str" cm="1">
        <f t="array" ref="J728">_xlfn.IFS(
  OR(ISBLANK(A728),ISBLANK(B728),ISBLANK(H728),ISBLANK(D728),ISBLANK(E728)),"Missing Value",
  D728&lt;=0,"Review – Out of Range (Coverage)",
  E728&lt;=0,"Review – Out of Range (Premium)",
  TRUE,"OK"
)</f>
        <v>OK</v>
      </c>
    </row>
    <row r="729" spans="1:10" ht="16.8" x14ac:dyDescent="0.3">
      <c r="A729" s="14" t="s">
        <v>4356</v>
      </c>
      <c r="B729" s="14" t="s">
        <v>633</v>
      </c>
      <c r="C729" s="14" t="s">
        <v>3359</v>
      </c>
      <c r="D729" s="14">
        <v>249991.31</v>
      </c>
      <c r="E729" s="14">
        <v>45060.63</v>
      </c>
      <c r="F729" s="15">
        <v>44778</v>
      </c>
      <c r="G729" s="15">
        <v>45313</v>
      </c>
      <c r="H729" s="14" t="s">
        <v>3670</v>
      </c>
      <c r="I729" s="14" t="s">
        <v>3373</v>
      </c>
      <c r="J729" s="13" t="str" cm="1">
        <f t="array" ref="J729">_xlfn.IFS(
  OR(ISBLANK(A729),ISBLANK(B729),ISBLANK(H729),ISBLANK(D729),ISBLANK(E729)),"Missing Value",
  D729&lt;=0,"Review – Out of Range (Coverage)",
  E729&lt;=0,"Review – Out of Range (Premium)",
  TRUE,"OK"
)</f>
        <v>OK</v>
      </c>
    </row>
    <row r="730" spans="1:10" ht="16.8" x14ac:dyDescent="0.3">
      <c r="A730" s="11" t="s">
        <v>4357</v>
      </c>
      <c r="B730" s="11" t="s">
        <v>673</v>
      </c>
      <c r="C730" s="11" t="s">
        <v>3363</v>
      </c>
      <c r="D730" s="11">
        <v>434382.86</v>
      </c>
      <c r="E730" s="11">
        <v>35592.43</v>
      </c>
      <c r="F730" s="12">
        <v>45354</v>
      </c>
      <c r="G730" s="12">
        <v>45705</v>
      </c>
      <c r="H730" s="11" t="s">
        <v>4032</v>
      </c>
      <c r="I730" s="11" t="s">
        <v>3365</v>
      </c>
      <c r="J730" s="13" t="str" cm="1">
        <f t="array" ref="J730">_xlfn.IFS(
  OR(ISBLANK(A730),ISBLANK(B730),ISBLANK(H730),ISBLANK(D730),ISBLANK(E730)),"Missing Value",
  D730&lt;=0,"Review – Out of Range (Coverage)",
  E730&lt;=0,"Review – Out of Range (Premium)",
  TRUE,"OK"
)</f>
        <v>OK</v>
      </c>
    </row>
    <row r="731" spans="1:10" ht="16.8" x14ac:dyDescent="0.3">
      <c r="A731" s="14" t="s">
        <v>4358</v>
      </c>
      <c r="B731" s="14" t="s">
        <v>1943</v>
      </c>
      <c r="C731" s="14" t="s">
        <v>3377</v>
      </c>
      <c r="D731" s="14">
        <v>945314.82</v>
      </c>
      <c r="E731" s="14">
        <v>17225.27</v>
      </c>
      <c r="F731" s="15">
        <v>44978</v>
      </c>
      <c r="G731" s="15">
        <v>45355</v>
      </c>
      <c r="H731" s="14" t="s">
        <v>3475</v>
      </c>
      <c r="I731" s="14" t="s">
        <v>3373</v>
      </c>
      <c r="J731" s="13" t="str" cm="1">
        <f t="array" ref="J731">_xlfn.IFS(
  OR(ISBLANK(A731),ISBLANK(B731),ISBLANK(H731),ISBLANK(D731),ISBLANK(E731)),"Missing Value",
  D731&lt;=0,"Review – Out of Range (Coverage)",
  E731&lt;=0,"Review – Out of Range (Premium)",
  TRUE,"OK"
)</f>
        <v>OK</v>
      </c>
    </row>
    <row r="732" spans="1:10" ht="16.8" x14ac:dyDescent="0.3">
      <c r="A732" s="11" t="s">
        <v>4359</v>
      </c>
      <c r="B732" s="11" t="s">
        <v>2417</v>
      </c>
      <c r="C732" s="11" t="s">
        <v>3371</v>
      </c>
      <c r="D732" s="11">
        <v>589761.87</v>
      </c>
      <c r="E732" s="11">
        <v>13183.26</v>
      </c>
      <c r="F732" s="12">
        <v>45199</v>
      </c>
      <c r="G732" s="12">
        <v>45773</v>
      </c>
      <c r="H732" s="11" t="s">
        <v>4170</v>
      </c>
      <c r="I732" s="11" t="s">
        <v>3365</v>
      </c>
      <c r="J732" s="13" t="str" cm="1">
        <f t="array" ref="J732">_xlfn.IFS(
  OR(ISBLANK(A732),ISBLANK(B732),ISBLANK(H732),ISBLANK(D732),ISBLANK(E732)),"Missing Value",
  D732&lt;=0,"Review – Out of Range (Coverage)",
  E732&lt;=0,"Review – Out of Range (Premium)",
  TRUE,"OK"
)</f>
        <v>OK</v>
      </c>
    </row>
    <row r="733" spans="1:10" ht="16.8" x14ac:dyDescent="0.3">
      <c r="A733" s="14" t="s">
        <v>4360</v>
      </c>
      <c r="B733" s="14" t="s">
        <v>2029</v>
      </c>
      <c r="C733" s="14" t="s">
        <v>3380</v>
      </c>
      <c r="D733" s="14">
        <v>444820.51</v>
      </c>
      <c r="E733" s="14">
        <v>23390.11</v>
      </c>
      <c r="F733" s="15">
        <v>44527</v>
      </c>
      <c r="G733" s="15">
        <v>45834</v>
      </c>
      <c r="H733" s="14" t="s">
        <v>3522</v>
      </c>
      <c r="I733" s="14" t="s">
        <v>3373</v>
      </c>
      <c r="J733" s="13" t="str" cm="1">
        <f t="array" ref="J733">_xlfn.IFS(
  OR(ISBLANK(A733),ISBLANK(B733),ISBLANK(H733),ISBLANK(D733),ISBLANK(E733)),"Missing Value",
  D733&lt;=0,"Review – Out of Range (Coverage)",
  E733&lt;=0,"Review – Out of Range (Premium)",
  TRUE,"OK"
)</f>
        <v>OK</v>
      </c>
    </row>
    <row r="734" spans="1:10" ht="16.8" x14ac:dyDescent="0.3">
      <c r="A734" s="11" t="s">
        <v>4361</v>
      </c>
      <c r="B734" s="11" t="s">
        <v>1281</v>
      </c>
      <c r="C734" s="11" t="s">
        <v>3380</v>
      </c>
      <c r="D734" s="11">
        <v>574058.51</v>
      </c>
      <c r="E734" s="11">
        <v>5347.62</v>
      </c>
      <c r="F734" s="12">
        <v>44261</v>
      </c>
      <c r="G734" s="12">
        <v>44476</v>
      </c>
      <c r="H734" s="11" t="s">
        <v>3614</v>
      </c>
      <c r="I734" s="11" t="s">
        <v>3373</v>
      </c>
      <c r="J734" s="13" t="str" cm="1">
        <f t="array" ref="J734">_xlfn.IFS(
  OR(ISBLANK(A734),ISBLANK(B734),ISBLANK(H734),ISBLANK(D734),ISBLANK(E734)),"Missing Value",
  D734&lt;=0,"Review – Out of Range (Coverage)",
  E734&lt;=0,"Review – Out of Range (Premium)",
  TRUE,"OK"
)</f>
        <v>OK</v>
      </c>
    </row>
    <row r="735" spans="1:10" ht="16.8" x14ac:dyDescent="0.3">
      <c r="A735" s="14" t="s">
        <v>4362</v>
      </c>
      <c r="B735" s="14" t="s">
        <v>2285</v>
      </c>
      <c r="C735" s="14" t="s">
        <v>3363</v>
      </c>
      <c r="D735" s="14">
        <v>155600.53</v>
      </c>
      <c r="E735" s="14">
        <v>41509.22</v>
      </c>
      <c r="F735" s="15">
        <v>45006</v>
      </c>
      <c r="G735" s="15">
        <v>45299</v>
      </c>
      <c r="H735" s="14" t="s">
        <v>3573</v>
      </c>
      <c r="I735" s="14" t="s">
        <v>3365</v>
      </c>
      <c r="J735" s="13" t="str" cm="1">
        <f t="array" ref="J735">_xlfn.IFS(
  OR(ISBLANK(A735),ISBLANK(B735),ISBLANK(H735),ISBLANK(D735),ISBLANK(E735)),"Missing Value",
  D735&lt;=0,"Review – Out of Range (Coverage)",
  E735&lt;=0,"Review – Out of Range (Premium)",
  TRUE,"OK"
)</f>
        <v>OK</v>
      </c>
    </row>
    <row r="736" spans="1:10" ht="16.8" x14ac:dyDescent="0.3">
      <c r="A736" s="11" t="s">
        <v>4363</v>
      </c>
      <c r="B736" s="11" t="s">
        <v>2117</v>
      </c>
      <c r="C736" s="11" t="s">
        <v>3380</v>
      </c>
      <c r="D736" s="11">
        <v>365754.36</v>
      </c>
      <c r="E736" s="11">
        <v>37582.99</v>
      </c>
      <c r="F736" s="12">
        <v>45065</v>
      </c>
      <c r="G736" s="12">
        <v>45561</v>
      </c>
      <c r="H736" s="11" t="s">
        <v>3558</v>
      </c>
      <c r="I736" s="11" t="s">
        <v>3373</v>
      </c>
      <c r="J736" s="13" t="str" cm="1">
        <f t="array" ref="J736">_xlfn.IFS(
  OR(ISBLANK(A736),ISBLANK(B736),ISBLANK(H736),ISBLANK(D736),ISBLANK(E736)),"Missing Value",
  D736&lt;=0,"Review – Out of Range (Coverage)",
  E736&lt;=0,"Review – Out of Range (Premium)",
  TRUE,"OK"
)</f>
        <v>OK</v>
      </c>
    </row>
    <row r="737" spans="1:10" ht="16.8" x14ac:dyDescent="0.3">
      <c r="A737" s="14" t="s">
        <v>4364</v>
      </c>
      <c r="B737" s="14" t="s">
        <v>3188</v>
      </c>
      <c r="C737" s="14" t="s">
        <v>3363</v>
      </c>
      <c r="D737" s="14">
        <v>689291.17</v>
      </c>
      <c r="E737" s="14">
        <v>43330.16</v>
      </c>
      <c r="F737" s="15">
        <v>44709</v>
      </c>
      <c r="G737" s="15">
        <v>44819</v>
      </c>
      <c r="H737" s="14" t="s">
        <v>4365</v>
      </c>
      <c r="I737" s="14" t="s">
        <v>3373</v>
      </c>
      <c r="J737" s="13" t="str" cm="1">
        <f t="array" ref="J737">_xlfn.IFS(
  OR(ISBLANK(A737),ISBLANK(B737),ISBLANK(H737),ISBLANK(D737),ISBLANK(E737)),"Missing Value",
  D737&lt;=0,"Review – Out of Range (Coverage)",
  E737&lt;=0,"Review – Out of Range (Premium)",
  TRUE,"OK"
)</f>
        <v>OK</v>
      </c>
    </row>
    <row r="738" spans="1:10" ht="16.8" x14ac:dyDescent="0.3">
      <c r="A738" s="11" t="s">
        <v>4366</v>
      </c>
      <c r="B738" s="11" t="s">
        <v>2889</v>
      </c>
      <c r="C738" s="11" t="s">
        <v>3363</v>
      </c>
      <c r="D738" s="11">
        <v>309906.7</v>
      </c>
      <c r="E738" s="11">
        <v>47537.279999999999</v>
      </c>
      <c r="F738" s="12">
        <v>44101</v>
      </c>
      <c r="G738" s="12">
        <v>44289</v>
      </c>
      <c r="H738" s="11" t="s">
        <v>4249</v>
      </c>
      <c r="I738" s="11" t="s">
        <v>3373</v>
      </c>
      <c r="J738" s="13" t="str" cm="1">
        <f t="array" ref="J738">_xlfn.IFS(
  OR(ISBLANK(A738),ISBLANK(B738),ISBLANK(H738),ISBLANK(D738),ISBLANK(E738)),"Missing Value",
  D738&lt;=0,"Review – Out of Range (Coverage)",
  E738&lt;=0,"Review – Out of Range (Premium)",
  TRUE,"OK"
)</f>
        <v>OK</v>
      </c>
    </row>
    <row r="739" spans="1:10" ht="16.8" x14ac:dyDescent="0.3">
      <c r="A739" s="14" t="s">
        <v>4367</v>
      </c>
      <c r="B739" s="14" t="s">
        <v>889</v>
      </c>
      <c r="C739" s="14" t="s">
        <v>3359</v>
      </c>
      <c r="D739" s="14">
        <v>263018.89</v>
      </c>
      <c r="E739" s="14">
        <v>40782.17</v>
      </c>
      <c r="F739" s="15">
        <v>45274</v>
      </c>
      <c r="G739" s="15">
        <v>45559</v>
      </c>
      <c r="H739" s="14" t="s">
        <v>3427</v>
      </c>
      <c r="I739" s="14" t="s">
        <v>3365</v>
      </c>
      <c r="J739" s="13" t="str" cm="1">
        <f t="array" ref="J739">_xlfn.IFS(
  OR(ISBLANK(A739),ISBLANK(B739),ISBLANK(H739),ISBLANK(D739),ISBLANK(E739)),"Missing Value",
  D739&lt;=0,"Review – Out of Range (Coverage)",
  E739&lt;=0,"Review – Out of Range (Premium)",
  TRUE,"OK"
)</f>
        <v>OK</v>
      </c>
    </row>
    <row r="740" spans="1:10" ht="16.8" x14ac:dyDescent="0.3">
      <c r="A740" s="11" t="s">
        <v>4368</v>
      </c>
      <c r="B740" s="11" t="s">
        <v>2843</v>
      </c>
      <c r="C740" s="11" t="s">
        <v>3363</v>
      </c>
      <c r="D740" s="11">
        <v>616640.93000000005</v>
      </c>
      <c r="E740" s="11">
        <v>28066.31</v>
      </c>
      <c r="F740" s="12">
        <v>44548</v>
      </c>
      <c r="G740" s="12">
        <v>45300</v>
      </c>
      <c r="H740" s="11" t="s">
        <v>4240</v>
      </c>
      <c r="I740" s="11" t="s">
        <v>3373</v>
      </c>
      <c r="J740" s="13" t="str" cm="1">
        <f t="array" ref="J740">_xlfn.IFS(
  OR(ISBLANK(A740),ISBLANK(B740),ISBLANK(H740),ISBLANK(D740),ISBLANK(E740)),"Missing Value",
  D740&lt;=0,"Review – Out of Range (Coverage)",
  E740&lt;=0,"Review – Out of Range (Premium)",
  TRUE,"OK"
)</f>
        <v>OK</v>
      </c>
    </row>
    <row r="741" spans="1:10" ht="16.8" x14ac:dyDescent="0.3">
      <c r="A741" s="14" t="s">
        <v>4369</v>
      </c>
      <c r="B741" s="14" t="s">
        <v>3064</v>
      </c>
      <c r="C741" s="14" t="s">
        <v>3377</v>
      </c>
      <c r="D741" s="14">
        <v>179479.67</v>
      </c>
      <c r="E741" s="14">
        <v>31588</v>
      </c>
      <c r="F741" s="15">
        <v>44263</v>
      </c>
      <c r="G741" s="15">
        <v>45421</v>
      </c>
      <c r="H741" s="14" t="s">
        <v>3503</v>
      </c>
      <c r="I741" s="14" t="s">
        <v>3373</v>
      </c>
      <c r="J741" s="13" t="str" cm="1">
        <f t="array" ref="J741">_xlfn.IFS(
  OR(ISBLANK(A741),ISBLANK(B741),ISBLANK(H741),ISBLANK(D741),ISBLANK(E741)),"Missing Value",
  D741&lt;=0,"Review – Out of Range (Coverage)",
  E741&lt;=0,"Review – Out of Range (Premium)",
  TRUE,"OK"
)</f>
        <v>OK</v>
      </c>
    </row>
    <row r="742" spans="1:10" ht="16.8" x14ac:dyDescent="0.3">
      <c r="A742" s="11" t="s">
        <v>4370</v>
      </c>
      <c r="B742" s="11" t="s">
        <v>1761</v>
      </c>
      <c r="C742" s="11" t="s">
        <v>3380</v>
      </c>
      <c r="D742" s="11">
        <v>982012.78</v>
      </c>
      <c r="E742" s="11">
        <v>18864.73</v>
      </c>
      <c r="F742" s="12">
        <v>44552</v>
      </c>
      <c r="G742" s="12">
        <v>44864</v>
      </c>
      <c r="H742" s="11" t="s">
        <v>4154</v>
      </c>
      <c r="I742" s="11" t="s">
        <v>3373</v>
      </c>
      <c r="J742" s="13" t="str" cm="1">
        <f t="array" ref="J742">_xlfn.IFS(
  OR(ISBLANK(A742),ISBLANK(B742),ISBLANK(H742),ISBLANK(D742),ISBLANK(E742)),"Missing Value",
  D742&lt;=0,"Review – Out of Range (Coverage)",
  E742&lt;=0,"Review – Out of Range (Premium)",
  TRUE,"OK"
)</f>
        <v>OK</v>
      </c>
    </row>
    <row r="743" spans="1:10" ht="16.8" x14ac:dyDescent="0.3">
      <c r="A743" s="14" t="s">
        <v>4371</v>
      </c>
      <c r="B743" s="14" t="s">
        <v>3296</v>
      </c>
      <c r="C743" s="14" t="s">
        <v>3380</v>
      </c>
      <c r="D743" s="14">
        <v>469782.17</v>
      </c>
      <c r="E743" s="14">
        <v>3172.94</v>
      </c>
      <c r="F743" s="15">
        <v>45067</v>
      </c>
      <c r="G743" s="15">
        <v>45839</v>
      </c>
      <c r="H743" s="14" t="s">
        <v>4234</v>
      </c>
      <c r="I743" s="14" t="s">
        <v>3373</v>
      </c>
      <c r="J743" s="13" t="str" cm="1">
        <f t="array" ref="J743">_xlfn.IFS(
  OR(ISBLANK(A743),ISBLANK(B743),ISBLANK(H743),ISBLANK(D743),ISBLANK(E743)),"Missing Value",
  D743&lt;=0,"Review – Out of Range (Coverage)",
  E743&lt;=0,"Review – Out of Range (Premium)",
  TRUE,"OK"
)</f>
        <v>OK</v>
      </c>
    </row>
    <row r="744" spans="1:10" ht="16.8" x14ac:dyDescent="0.3">
      <c r="A744" s="11" t="s">
        <v>4372</v>
      </c>
      <c r="B744" s="11" t="s">
        <v>1763</v>
      </c>
      <c r="C744" s="11" t="s">
        <v>3380</v>
      </c>
      <c r="D744" s="11">
        <v>972259.12</v>
      </c>
      <c r="E744" s="11">
        <v>41529.620000000003</v>
      </c>
      <c r="F744" s="12">
        <v>44694</v>
      </c>
      <c r="G744" s="12">
        <v>44698</v>
      </c>
      <c r="H744" s="11" t="s">
        <v>3670</v>
      </c>
      <c r="I744" s="11" t="s">
        <v>3361</v>
      </c>
      <c r="J744" s="13" t="str" cm="1">
        <f t="array" ref="J744">_xlfn.IFS(
  OR(ISBLANK(A744),ISBLANK(B744),ISBLANK(H744),ISBLANK(D744),ISBLANK(E744)),"Missing Value",
  D744&lt;=0,"Review – Out of Range (Coverage)",
  E744&lt;=0,"Review – Out of Range (Premium)",
  TRUE,"OK"
)</f>
        <v>OK</v>
      </c>
    </row>
    <row r="745" spans="1:10" ht="16.8" x14ac:dyDescent="0.3">
      <c r="A745" s="14" t="s">
        <v>4373</v>
      </c>
      <c r="B745" s="14" t="s">
        <v>2073</v>
      </c>
      <c r="C745" s="14" t="s">
        <v>3377</v>
      </c>
      <c r="D745" s="14">
        <v>229429.9</v>
      </c>
      <c r="E745" s="14">
        <v>33208.89</v>
      </c>
      <c r="F745" s="15">
        <v>44534</v>
      </c>
      <c r="G745" s="15">
        <v>44748</v>
      </c>
      <c r="H745" s="14" t="s">
        <v>4374</v>
      </c>
      <c r="I745" s="14" t="s">
        <v>3361</v>
      </c>
      <c r="J745" s="13" t="str" cm="1">
        <f t="array" ref="J745">_xlfn.IFS(
  OR(ISBLANK(A745),ISBLANK(B745),ISBLANK(H745),ISBLANK(D745),ISBLANK(E745)),"Missing Value",
  D745&lt;=0,"Review – Out of Range (Coverage)",
  E745&lt;=0,"Review – Out of Range (Premium)",
  TRUE,"OK"
)</f>
        <v>OK</v>
      </c>
    </row>
    <row r="746" spans="1:10" ht="16.8" x14ac:dyDescent="0.3">
      <c r="A746" s="11" t="s">
        <v>4375</v>
      </c>
      <c r="B746" s="11" t="s">
        <v>396</v>
      </c>
      <c r="C746" s="11" t="s">
        <v>3371</v>
      </c>
      <c r="D746" s="11">
        <v>456480.27</v>
      </c>
      <c r="E746" s="11">
        <v>39140.300000000003</v>
      </c>
      <c r="F746" s="12">
        <v>45365</v>
      </c>
      <c r="G746" s="12">
        <v>45536</v>
      </c>
      <c r="H746" s="11" t="s">
        <v>3789</v>
      </c>
      <c r="I746" s="11" t="s">
        <v>3361</v>
      </c>
      <c r="J746" s="13" t="str" cm="1">
        <f t="array" ref="J746">_xlfn.IFS(
  OR(ISBLANK(A746),ISBLANK(B746),ISBLANK(H746),ISBLANK(D746),ISBLANK(E746)),"Missing Value",
  D746&lt;=0,"Review – Out of Range (Coverage)",
  E746&lt;=0,"Review – Out of Range (Premium)",
  TRUE,"OK"
)</f>
        <v>OK</v>
      </c>
    </row>
    <row r="747" spans="1:10" ht="16.8" x14ac:dyDescent="0.3">
      <c r="A747" s="14" t="s">
        <v>4376</v>
      </c>
      <c r="B747" s="14" t="s">
        <v>2311</v>
      </c>
      <c r="C747" s="14" t="s">
        <v>3377</v>
      </c>
      <c r="D747" s="14">
        <v>604146.51</v>
      </c>
      <c r="E747" s="14">
        <v>9559.65</v>
      </c>
      <c r="F747" s="15">
        <v>45446</v>
      </c>
      <c r="G747" s="15">
        <v>45710</v>
      </c>
      <c r="H747" s="14" t="s">
        <v>3409</v>
      </c>
      <c r="I747" s="14" t="s">
        <v>3365</v>
      </c>
      <c r="J747" s="13" t="str" cm="1">
        <f t="array" ref="J747">_xlfn.IFS(
  OR(ISBLANK(A747),ISBLANK(B747),ISBLANK(H747),ISBLANK(D747),ISBLANK(E747)),"Missing Value",
  D747&lt;=0,"Review – Out of Range (Coverage)",
  E747&lt;=0,"Review – Out of Range (Premium)",
  TRUE,"OK"
)</f>
        <v>OK</v>
      </c>
    </row>
    <row r="748" spans="1:10" ht="16.8" x14ac:dyDescent="0.3">
      <c r="A748" s="11" t="s">
        <v>4377</v>
      </c>
      <c r="B748" s="11" t="s">
        <v>969</v>
      </c>
      <c r="C748" s="11" t="s">
        <v>3363</v>
      </c>
      <c r="D748" s="11">
        <v>525105.29</v>
      </c>
      <c r="E748" s="11">
        <v>47722.33</v>
      </c>
      <c r="F748" s="12">
        <v>44219</v>
      </c>
      <c r="G748" s="12">
        <v>44925</v>
      </c>
      <c r="H748" s="11" t="s">
        <v>4378</v>
      </c>
      <c r="I748" s="11" t="s">
        <v>3361</v>
      </c>
      <c r="J748" s="13" t="str" cm="1">
        <f t="array" ref="J748">_xlfn.IFS(
  OR(ISBLANK(A748),ISBLANK(B748),ISBLANK(H748),ISBLANK(D748),ISBLANK(E748)),"Missing Value",
  D748&lt;=0,"Review – Out of Range (Coverage)",
  E748&lt;=0,"Review – Out of Range (Premium)",
  TRUE,"OK"
)</f>
        <v>OK</v>
      </c>
    </row>
    <row r="749" spans="1:10" ht="16.8" x14ac:dyDescent="0.3">
      <c r="A749" s="14" t="s">
        <v>4379</v>
      </c>
      <c r="B749" s="14" t="s">
        <v>2917</v>
      </c>
      <c r="C749" s="14" t="s">
        <v>3363</v>
      </c>
      <c r="D749" s="14">
        <v>590053.92000000004</v>
      </c>
      <c r="E749" s="14">
        <v>19856.41</v>
      </c>
      <c r="F749" s="15">
        <v>44345</v>
      </c>
      <c r="G749" s="15">
        <v>45263</v>
      </c>
      <c r="H749" s="14" t="s">
        <v>3748</v>
      </c>
      <c r="I749" s="14" t="s">
        <v>3361</v>
      </c>
      <c r="J749" s="13" t="str" cm="1">
        <f t="array" ref="J749">_xlfn.IFS(
  OR(ISBLANK(A749),ISBLANK(B749),ISBLANK(H749),ISBLANK(D749),ISBLANK(E749)),"Missing Value",
  D749&lt;=0,"Review – Out of Range (Coverage)",
  E749&lt;=0,"Review – Out of Range (Premium)",
  TRUE,"OK"
)</f>
        <v>OK</v>
      </c>
    </row>
    <row r="750" spans="1:10" ht="16.8" x14ac:dyDescent="0.3">
      <c r="A750" s="11" t="s">
        <v>4380</v>
      </c>
      <c r="B750" s="11" t="s">
        <v>2977</v>
      </c>
      <c r="C750" s="11" t="s">
        <v>3363</v>
      </c>
      <c r="D750" s="11">
        <v>615913.68999999994</v>
      </c>
      <c r="E750" s="11">
        <v>30706.13</v>
      </c>
      <c r="F750" s="12">
        <v>44277</v>
      </c>
      <c r="G750" s="12">
        <v>44307</v>
      </c>
      <c r="H750" s="11" t="s">
        <v>4114</v>
      </c>
      <c r="I750" s="11" t="s">
        <v>3365</v>
      </c>
      <c r="J750" s="13" t="str" cm="1">
        <f t="array" ref="J750">_xlfn.IFS(
  OR(ISBLANK(A750),ISBLANK(B750),ISBLANK(H750),ISBLANK(D750),ISBLANK(E750)),"Missing Value",
  D750&lt;=0,"Review – Out of Range (Coverage)",
  E750&lt;=0,"Review – Out of Range (Premium)",
  TRUE,"OK"
)</f>
        <v>OK</v>
      </c>
    </row>
    <row r="751" spans="1:10" ht="16.8" x14ac:dyDescent="0.3">
      <c r="A751" s="14" t="s">
        <v>4381</v>
      </c>
      <c r="B751" s="14" t="s">
        <v>164</v>
      </c>
      <c r="C751" s="14" t="s">
        <v>3359</v>
      </c>
      <c r="D751" s="14">
        <v>635962.73</v>
      </c>
      <c r="E751" s="14">
        <v>15931.62</v>
      </c>
      <c r="F751" s="15">
        <v>45187</v>
      </c>
      <c r="G751" s="15">
        <v>45413</v>
      </c>
      <c r="H751" s="14" t="s">
        <v>3738</v>
      </c>
      <c r="I751" s="14" t="s">
        <v>3361</v>
      </c>
      <c r="J751" s="13" t="str" cm="1">
        <f t="array" ref="J751">_xlfn.IFS(
  OR(ISBLANK(A751),ISBLANK(B751),ISBLANK(H751),ISBLANK(D751),ISBLANK(E751)),"Missing Value",
  D751&lt;=0,"Review – Out of Range (Coverage)",
  E751&lt;=0,"Review – Out of Range (Premium)",
  TRUE,"OK"
)</f>
        <v>OK</v>
      </c>
    </row>
    <row r="752" spans="1:10" ht="16.8" x14ac:dyDescent="0.3">
      <c r="A752" s="11" t="s">
        <v>4382</v>
      </c>
      <c r="B752" s="11" t="s">
        <v>983</v>
      </c>
      <c r="C752" s="11" t="s">
        <v>3363</v>
      </c>
      <c r="D752" s="11">
        <v>609587.35</v>
      </c>
      <c r="E752" s="11">
        <v>36885.120000000003</v>
      </c>
      <c r="F752" s="12">
        <v>45404</v>
      </c>
      <c r="G752" s="12">
        <v>45543</v>
      </c>
      <c r="H752" s="11" t="s">
        <v>3955</v>
      </c>
      <c r="I752" s="11" t="s">
        <v>3373</v>
      </c>
      <c r="J752" s="13" t="str" cm="1">
        <f t="array" ref="J752">_xlfn.IFS(
  OR(ISBLANK(A752),ISBLANK(B752),ISBLANK(H752),ISBLANK(D752),ISBLANK(E752)),"Missing Value",
  D752&lt;=0,"Review – Out of Range (Coverage)",
  E752&lt;=0,"Review – Out of Range (Premium)",
  TRUE,"OK"
)</f>
        <v>OK</v>
      </c>
    </row>
    <row r="753" spans="1:10" ht="16.8" x14ac:dyDescent="0.3">
      <c r="A753" s="14" t="s">
        <v>4383</v>
      </c>
      <c r="B753" s="14" t="s">
        <v>526</v>
      </c>
      <c r="C753" s="14" t="s">
        <v>3363</v>
      </c>
      <c r="D753" s="14">
        <v>176441.21</v>
      </c>
      <c r="E753" s="14">
        <v>34864.199999999997</v>
      </c>
      <c r="F753" s="15">
        <v>45292</v>
      </c>
      <c r="G753" s="15">
        <v>45861</v>
      </c>
      <c r="H753" s="14" t="s">
        <v>4190</v>
      </c>
      <c r="I753" s="14" t="s">
        <v>3373</v>
      </c>
      <c r="J753" s="13" t="str" cm="1">
        <f t="array" ref="J753">_xlfn.IFS(
  OR(ISBLANK(A753),ISBLANK(B753),ISBLANK(H753),ISBLANK(D753),ISBLANK(E753)),"Missing Value",
  D753&lt;=0,"Review – Out of Range (Coverage)",
  E753&lt;=0,"Review – Out of Range (Premium)",
  TRUE,"OK"
)</f>
        <v>OK</v>
      </c>
    </row>
    <row r="754" spans="1:10" ht="16.8" x14ac:dyDescent="0.3">
      <c r="A754" s="11" t="s">
        <v>4384</v>
      </c>
      <c r="B754" s="11" t="s">
        <v>70</v>
      </c>
      <c r="C754" s="11" t="s">
        <v>3363</v>
      </c>
      <c r="D754" s="11">
        <v>961323.22</v>
      </c>
      <c r="E754" s="11">
        <v>12753.5</v>
      </c>
      <c r="F754" s="12">
        <v>45444</v>
      </c>
      <c r="G754" s="12">
        <v>45828</v>
      </c>
      <c r="H754" s="11" t="s">
        <v>4064</v>
      </c>
      <c r="I754" s="11" t="s">
        <v>3365</v>
      </c>
      <c r="J754" s="13" t="str" cm="1">
        <f t="array" ref="J754">_xlfn.IFS(
  OR(ISBLANK(A754),ISBLANK(B754),ISBLANK(H754),ISBLANK(D754),ISBLANK(E754)),"Missing Value",
  D754&lt;=0,"Review – Out of Range (Coverage)",
  E754&lt;=0,"Review – Out of Range (Premium)",
  TRUE,"OK"
)</f>
        <v>OK</v>
      </c>
    </row>
    <row r="755" spans="1:10" ht="16.8" x14ac:dyDescent="0.3">
      <c r="A755" s="14" t="s">
        <v>4385</v>
      </c>
      <c r="B755" s="14" t="s">
        <v>3124</v>
      </c>
      <c r="C755" s="14" t="s">
        <v>3359</v>
      </c>
      <c r="D755" s="14">
        <v>260595.95</v>
      </c>
      <c r="E755" s="14">
        <v>4874.33</v>
      </c>
      <c r="F755" s="15">
        <v>44473</v>
      </c>
      <c r="G755" s="15">
        <v>45600</v>
      </c>
      <c r="H755" s="14" t="s">
        <v>3372</v>
      </c>
      <c r="I755" s="14" t="s">
        <v>3365</v>
      </c>
      <c r="J755" s="13" t="str" cm="1">
        <f t="array" ref="J755">_xlfn.IFS(
  OR(ISBLANK(A755),ISBLANK(B755),ISBLANK(H755),ISBLANK(D755),ISBLANK(E755)),"Missing Value",
  D755&lt;=0,"Review – Out of Range (Coverage)",
  E755&lt;=0,"Review – Out of Range (Premium)",
  TRUE,"OK"
)</f>
        <v>OK</v>
      </c>
    </row>
    <row r="756" spans="1:10" ht="16.8" x14ac:dyDescent="0.3">
      <c r="A756" s="11" t="s">
        <v>4386</v>
      </c>
      <c r="B756" s="11" t="s">
        <v>1623</v>
      </c>
      <c r="C756" s="11" t="s">
        <v>3377</v>
      </c>
      <c r="D756" s="11">
        <v>802995.26</v>
      </c>
      <c r="E756" s="11">
        <v>25448.31</v>
      </c>
      <c r="F756" s="12">
        <v>45244</v>
      </c>
      <c r="G756" s="12">
        <v>45605</v>
      </c>
      <c r="H756" s="11" t="s">
        <v>3854</v>
      </c>
      <c r="I756" s="11" t="s">
        <v>3365</v>
      </c>
      <c r="J756" s="13" t="str" cm="1">
        <f t="array" ref="J756">_xlfn.IFS(
  OR(ISBLANK(A756),ISBLANK(B756),ISBLANK(H756),ISBLANK(D756),ISBLANK(E756)),"Missing Value",
  D756&lt;=0,"Review – Out of Range (Coverage)",
  E756&lt;=0,"Review – Out of Range (Premium)",
  TRUE,"OK"
)</f>
        <v>OK</v>
      </c>
    </row>
    <row r="757" spans="1:10" ht="16.8" x14ac:dyDescent="0.3">
      <c r="A757" s="14" t="s">
        <v>4387</v>
      </c>
      <c r="B757" s="14" t="s">
        <v>925</v>
      </c>
      <c r="C757" s="14" t="s">
        <v>3377</v>
      </c>
      <c r="D757" s="14">
        <v>522030.36</v>
      </c>
      <c r="E757" s="14">
        <v>47299.07</v>
      </c>
      <c r="F757" s="15">
        <v>44915</v>
      </c>
      <c r="G757" s="15">
        <v>45405</v>
      </c>
      <c r="H757" s="14" t="s">
        <v>4208</v>
      </c>
      <c r="I757" s="14" t="s">
        <v>3365</v>
      </c>
      <c r="J757" s="13" t="str" cm="1">
        <f t="array" ref="J757">_xlfn.IFS(
  OR(ISBLANK(A757),ISBLANK(B757),ISBLANK(H757),ISBLANK(D757),ISBLANK(E757)),"Missing Value",
  D757&lt;=0,"Review – Out of Range (Coverage)",
  E757&lt;=0,"Review – Out of Range (Premium)",
  TRUE,"OK"
)</f>
        <v>OK</v>
      </c>
    </row>
    <row r="758" spans="1:10" ht="16.8" x14ac:dyDescent="0.3">
      <c r="A758" s="11" t="s">
        <v>4388</v>
      </c>
      <c r="B758" s="11" t="s">
        <v>2463</v>
      </c>
      <c r="C758" s="11" t="s">
        <v>3377</v>
      </c>
      <c r="D758" s="11">
        <v>857198.34</v>
      </c>
      <c r="E758" s="11">
        <v>24062.38</v>
      </c>
      <c r="F758" s="12">
        <v>44833</v>
      </c>
      <c r="G758" s="12">
        <v>45547</v>
      </c>
      <c r="H758" s="11" t="s">
        <v>3632</v>
      </c>
      <c r="I758" s="11" t="s">
        <v>3373</v>
      </c>
      <c r="J758" s="13" t="str" cm="1">
        <f t="array" ref="J758">_xlfn.IFS(
  OR(ISBLANK(A758),ISBLANK(B758),ISBLANK(H758),ISBLANK(D758),ISBLANK(E758)),"Missing Value",
  D758&lt;=0,"Review – Out of Range (Coverage)",
  E758&lt;=0,"Review – Out of Range (Premium)",
  TRUE,"OK"
)</f>
        <v>OK</v>
      </c>
    </row>
    <row r="759" spans="1:10" ht="16.8" x14ac:dyDescent="0.3">
      <c r="A759" s="14" t="s">
        <v>4389</v>
      </c>
      <c r="B759" s="14" t="s">
        <v>1841</v>
      </c>
      <c r="C759" s="14" t="s">
        <v>3363</v>
      </c>
      <c r="D759" s="14">
        <v>109177.22</v>
      </c>
      <c r="E759" s="14">
        <v>48371.519999999997</v>
      </c>
      <c r="F759" s="15">
        <v>45428</v>
      </c>
      <c r="G759" s="15">
        <v>45849</v>
      </c>
      <c r="H759" s="14" t="s">
        <v>3444</v>
      </c>
      <c r="I759" s="14" t="s">
        <v>3361</v>
      </c>
      <c r="J759" s="13" t="str" cm="1">
        <f t="array" ref="J759">_xlfn.IFS(
  OR(ISBLANK(A759),ISBLANK(B759),ISBLANK(H759),ISBLANK(D759),ISBLANK(E759)),"Missing Value",
  D759&lt;=0,"Review – Out of Range (Coverage)",
  E759&lt;=0,"Review – Out of Range (Premium)",
  TRUE,"OK"
)</f>
        <v>OK</v>
      </c>
    </row>
    <row r="760" spans="1:10" ht="16.8" x14ac:dyDescent="0.3">
      <c r="A760" s="11" t="s">
        <v>4390</v>
      </c>
      <c r="B760" s="11" t="s">
        <v>3308</v>
      </c>
      <c r="C760" s="11" t="s">
        <v>3371</v>
      </c>
      <c r="D760" s="11">
        <v>840799.74</v>
      </c>
      <c r="E760" s="11">
        <v>37251.35</v>
      </c>
      <c r="F760" s="12">
        <v>45373</v>
      </c>
      <c r="G760" s="12">
        <v>45730</v>
      </c>
      <c r="H760" s="11" t="s">
        <v>4391</v>
      </c>
      <c r="I760" s="11" t="s">
        <v>3365</v>
      </c>
      <c r="J760" s="13" t="str" cm="1">
        <f t="array" ref="J760">_xlfn.IFS(
  OR(ISBLANK(A760),ISBLANK(B760),ISBLANK(H760),ISBLANK(D760),ISBLANK(E760)),"Missing Value",
  D760&lt;=0,"Review – Out of Range (Coverage)",
  E760&lt;=0,"Review – Out of Range (Premium)",
  TRUE,"OK"
)</f>
        <v>OK</v>
      </c>
    </row>
    <row r="761" spans="1:10" ht="16.8" x14ac:dyDescent="0.3">
      <c r="A761" s="14" t="s">
        <v>4392</v>
      </c>
      <c r="B761" s="14" t="s">
        <v>1247</v>
      </c>
      <c r="C761" s="14" t="s">
        <v>3377</v>
      </c>
      <c r="D761" s="14">
        <v>332385.48</v>
      </c>
      <c r="E761" s="14">
        <v>45512.25</v>
      </c>
      <c r="F761" s="15">
        <v>44381</v>
      </c>
      <c r="G761" s="15">
        <v>45751</v>
      </c>
      <c r="H761" s="14" t="s">
        <v>3415</v>
      </c>
      <c r="I761" s="14" t="s">
        <v>3373</v>
      </c>
      <c r="J761" s="13" t="str" cm="1">
        <f t="array" ref="J761">_xlfn.IFS(
  OR(ISBLANK(A761),ISBLANK(B761),ISBLANK(H761),ISBLANK(D761),ISBLANK(E761)),"Missing Value",
  D761&lt;=0,"Review – Out of Range (Coverage)",
  E761&lt;=0,"Review – Out of Range (Premium)",
  TRUE,"OK"
)</f>
        <v>OK</v>
      </c>
    </row>
    <row r="762" spans="1:10" ht="16.8" x14ac:dyDescent="0.3">
      <c r="A762" s="11" t="s">
        <v>4393</v>
      </c>
      <c r="B762" s="11" t="s">
        <v>1295</v>
      </c>
      <c r="C762" s="11" t="s">
        <v>3377</v>
      </c>
      <c r="D762" s="11">
        <v>246573.22</v>
      </c>
      <c r="E762" s="11">
        <v>31887.98</v>
      </c>
      <c r="F762" s="12">
        <v>44671</v>
      </c>
      <c r="G762" s="12">
        <v>45612</v>
      </c>
      <c r="H762" s="11" t="s">
        <v>3748</v>
      </c>
      <c r="I762" s="11" t="s">
        <v>3373</v>
      </c>
      <c r="J762" s="13" t="str" cm="1">
        <f t="array" ref="J762">_xlfn.IFS(
  OR(ISBLANK(A762),ISBLANK(B762),ISBLANK(H762),ISBLANK(D762),ISBLANK(E762)),"Missing Value",
  D762&lt;=0,"Review – Out of Range (Coverage)",
  E762&lt;=0,"Review – Out of Range (Premium)",
  TRUE,"OK"
)</f>
        <v>OK</v>
      </c>
    </row>
    <row r="763" spans="1:10" ht="16.8" x14ac:dyDescent="0.3">
      <c r="A763" s="14" t="s">
        <v>4394</v>
      </c>
      <c r="B763" s="14" t="s">
        <v>1767</v>
      </c>
      <c r="C763" s="14" t="s">
        <v>3377</v>
      </c>
      <c r="D763" s="14">
        <v>434017.6</v>
      </c>
      <c r="E763" s="14">
        <v>21492.41</v>
      </c>
      <c r="F763" s="15">
        <v>44738</v>
      </c>
      <c r="G763" s="15">
        <v>45730</v>
      </c>
      <c r="H763" s="14" t="s">
        <v>4116</v>
      </c>
      <c r="I763" s="14" t="s">
        <v>3361</v>
      </c>
      <c r="J763" s="13" t="str" cm="1">
        <f t="array" ref="J763">_xlfn.IFS(
  OR(ISBLANK(A763),ISBLANK(B763),ISBLANK(H763),ISBLANK(D763),ISBLANK(E763)),"Missing Value",
  D763&lt;=0,"Review – Out of Range (Coverage)",
  E763&lt;=0,"Review – Out of Range (Premium)",
  TRUE,"OK"
)</f>
        <v>OK</v>
      </c>
    </row>
    <row r="764" spans="1:10" ht="16.8" x14ac:dyDescent="0.3">
      <c r="A764" s="11" t="s">
        <v>4395</v>
      </c>
      <c r="B764" s="11" t="s">
        <v>1515</v>
      </c>
      <c r="C764" s="11" t="s">
        <v>3363</v>
      </c>
      <c r="D764" s="11">
        <v>196919.24</v>
      </c>
      <c r="E764" s="11">
        <v>40162.04</v>
      </c>
      <c r="F764" s="12">
        <v>44413</v>
      </c>
      <c r="G764" s="12">
        <v>44690</v>
      </c>
      <c r="H764" s="11" t="s">
        <v>3507</v>
      </c>
      <c r="I764" s="11" t="s">
        <v>3361</v>
      </c>
      <c r="J764" s="13" t="str" cm="1">
        <f t="array" ref="J764">_xlfn.IFS(
  OR(ISBLANK(A764),ISBLANK(B764),ISBLANK(H764),ISBLANK(D764),ISBLANK(E764)),"Missing Value",
  D764&lt;=0,"Review – Out of Range (Coverage)",
  E764&lt;=0,"Review – Out of Range (Premium)",
  TRUE,"OK"
)</f>
        <v>OK</v>
      </c>
    </row>
    <row r="765" spans="1:10" ht="16.8" x14ac:dyDescent="0.3">
      <c r="A765" s="14" t="s">
        <v>4396</v>
      </c>
      <c r="B765" s="14" t="s">
        <v>3304</v>
      </c>
      <c r="C765" s="14" t="s">
        <v>3363</v>
      </c>
      <c r="D765" s="14">
        <v>824913.87</v>
      </c>
      <c r="E765" s="14">
        <v>20447.11</v>
      </c>
      <c r="F765" s="15">
        <v>44537</v>
      </c>
      <c r="G765" s="15">
        <v>44940</v>
      </c>
      <c r="H765" s="14" t="s">
        <v>3381</v>
      </c>
      <c r="I765" s="14" t="s">
        <v>3373</v>
      </c>
      <c r="J765" s="13" t="str" cm="1">
        <f t="array" ref="J765">_xlfn.IFS(
  OR(ISBLANK(A765),ISBLANK(B765),ISBLANK(H765),ISBLANK(D765),ISBLANK(E765)),"Missing Value",
  D765&lt;=0,"Review – Out of Range (Coverage)",
  E765&lt;=0,"Review – Out of Range (Premium)",
  TRUE,"OK"
)</f>
        <v>OK</v>
      </c>
    </row>
    <row r="766" spans="1:10" ht="16.8" x14ac:dyDescent="0.3">
      <c r="A766" s="11" t="s">
        <v>4397</v>
      </c>
      <c r="B766" s="11" t="s">
        <v>1149</v>
      </c>
      <c r="C766" s="11" t="s">
        <v>3380</v>
      </c>
      <c r="D766" s="11">
        <v>638023.99</v>
      </c>
      <c r="E766" s="11">
        <v>38036.620000000003</v>
      </c>
      <c r="F766" s="12">
        <v>45347</v>
      </c>
      <c r="G766" s="12">
        <v>45615</v>
      </c>
      <c r="H766" s="11" t="s">
        <v>4398</v>
      </c>
      <c r="I766" s="11" t="s">
        <v>3361</v>
      </c>
      <c r="J766" s="13" t="str" cm="1">
        <f t="array" ref="J766">_xlfn.IFS(
  OR(ISBLANK(A766),ISBLANK(B766),ISBLANK(H766),ISBLANK(D766),ISBLANK(E766)),"Missing Value",
  D766&lt;=0,"Review – Out of Range (Coverage)",
  E766&lt;=0,"Review – Out of Range (Premium)",
  TRUE,"OK"
)</f>
        <v>OK</v>
      </c>
    </row>
    <row r="767" spans="1:10" ht="16.8" x14ac:dyDescent="0.3">
      <c r="A767" s="14" t="s">
        <v>4399</v>
      </c>
      <c r="B767" s="14" t="s">
        <v>1523</v>
      </c>
      <c r="C767" s="14" t="s">
        <v>3359</v>
      </c>
      <c r="D767" s="14">
        <v>907500.45</v>
      </c>
      <c r="E767" s="14">
        <v>20709.86</v>
      </c>
      <c r="F767" s="15">
        <v>44586</v>
      </c>
      <c r="G767" s="15">
        <v>45195</v>
      </c>
      <c r="H767" s="14" t="s">
        <v>3587</v>
      </c>
      <c r="I767" s="14" t="s">
        <v>3365</v>
      </c>
      <c r="J767" s="13" t="str" cm="1">
        <f t="array" ref="J767">_xlfn.IFS(
  OR(ISBLANK(A767),ISBLANK(B767),ISBLANK(H767),ISBLANK(D767),ISBLANK(E767)),"Missing Value",
  D767&lt;=0,"Review – Out of Range (Coverage)",
  E767&lt;=0,"Review – Out of Range (Premium)",
  TRUE,"OK"
)</f>
        <v>OK</v>
      </c>
    </row>
    <row r="768" spans="1:10" ht="16.8" x14ac:dyDescent="0.3">
      <c r="A768" s="11" t="s">
        <v>4400</v>
      </c>
      <c r="B768" s="11" t="s">
        <v>2755</v>
      </c>
      <c r="C768" s="11" t="s">
        <v>3377</v>
      </c>
      <c r="D768" s="11">
        <v>108678.67</v>
      </c>
      <c r="E768" s="11">
        <v>46539.65</v>
      </c>
      <c r="F768" s="12">
        <v>45075</v>
      </c>
      <c r="G768" s="12">
        <v>45317</v>
      </c>
      <c r="H768" s="11" t="s">
        <v>3581</v>
      </c>
      <c r="I768" s="11" t="s">
        <v>3365</v>
      </c>
      <c r="J768" s="13" t="str" cm="1">
        <f t="array" ref="J768">_xlfn.IFS(
  OR(ISBLANK(A768),ISBLANK(B768),ISBLANK(H768),ISBLANK(D768),ISBLANK(E768)),"Missing Value",
  D768&lt;=0,"Review – Out of Range (Coverage)",
  E768&lt;=0,"Review – Out of Range (Premium)",
  TRUE,"OK"
)</f>
        <v>OK</v>
      </c>
    </row>
    <row r="769" spans="1:10" ht="16.8" x14ac:dyDescent="0.3">
      <c r="A769" s="14" t="s">
        <v>4401</v>
      </c>
      <c r="B769" s="14" t="s">
        <v>294</v>
      </c>
      <c r="C769" s="14" t="s">
        <v>3363</v>
      </c>
      <c r="D769" s="14">
        <v>494069.81</v>
      </c>
      <c r="E769" s="14">
        <v>24267.13</v>
      </c>
      <c r="F769" s="15">
        <v>45343</v>
      </c>
      <c r="G769" s="15">
        <v>45794</v>
      </c>
      <c r="H769" s="14" t="s">
        <v>3545</v>
      </c>
      <c r="I769" s="14" t="s">
        <v>3373</v>
      </c>
      <c r="J769" s="13" t="str" cm="1">
        <f t="array" ref="J769">_xlfn.IFS(
  OR(ISBLANK(A769),ISBLANK(B769),ISBLANK(H769),ISBLANK(D769),ISBLANK(E769)),"Missing Value",
  D769&lt;=0,"Review – Out of Range (Coverage)",
  E769&lt;=0,"Review – Out of Range (Premium)",
  TRUE,"OK"
)</f>
        <v>OK</v>
      </c>
    </row>
    <row r="770" spans="1:10" ht="16.8" x14ac:dyDescent="0.3">
      <c r="A770" s="11" t="s">
        <v>4402</v>
      </c>
      <c r="B770" s="11" t="s">
        <v>801</v>
      </c>
      <c r="C770" s="11" t="s">
        <v>3371</v>
      </c>
      <c r="D770" s="11">
        <v>823838.5</v>
      </c>
      <c r="E770" s="11">
        <v>22198.79</v>
      </c>
      <c r="F770" s="12">
        <v>44983</v>
      </c>
      <c r="G770" s="12">
        <v>45718</v>
      </c>
      <c r="H770" s="11" t="s">
        <v>3733</v>
      </c>
      <c r="I770" s="11" t="s">
        <v>3373</v>
      </c>
      <c r="J770" s="13" t="str" cm="1">
        <f t="array" ref="J770">_xlfn.IFS(
  OR(ISBLANK(A770),ISBLANK(B770),ISBLANK(H770),ISBLANK(D770),ISBLANK(E770)),"Missing Value",
  D770&lt;=0,"Review – Out of Range (Coverage)",
  E770&lt;=0,"Review – Out of Range (Premium)",
  TRUE,"OK"
)</f>
        <v>OK</v>
      </c>
    </row>
    <row r="771" spans="1:10" ht="16.8" x14ac:dyDescent="0.3">
      <c r="A771" s="14" t="s">
        <v>4403</v>
      </c>
      <c r="B771" s="14" t="s">
        <v>1131</v>
      </c>
      <c r="C771" s="14" t="s">
        <v>3380</v>
      </c>
      <c r="D771" s="14">
        <v>909120.4</v>
      </c>
      <c r="E771" s="14">
        <v>27944.42</v>
      </c>
      <c r="F771" s="15">
        <v>45151</v>
      </c>
      <c r="G771" s="15">
        <v>45312</v>
      </c>
      <c r="H771" s="14" t="s">
        <v>4404</v>
      </c>
      <c r="I771" s="14" t="s">
        <v>3361</v>
      </c>
      <c r="J771" s="13" t="str" cm="1">
        <f t="array" ref="J771">_xlfn.IFS(
  OR(ISBLANK(A771),ISBLANK(B771),ISBLANK(H771),ISBLANK(D771),ISBLANK(E771)),"Missing Value",
  D771&lt;=0,"Review – Out of Range (Coverage)",
  E771&lt;=0,"Review – Out of Range (Premium)",
  TRUE,"OK"
)</f>
        <v>OK</v>
      </c>
    </row>
    <row r="772" spans="1:10" ht="16.8" x14ac:dyDescent="0.3">
      <c r="A772" s="11" t="s">
        <v>4405</v>
      </c>
      <c r="B772" s="11" t="s">
        <v>1899</v>
      </c>
      <c r="C772" s="11" t="s">
        <v>3371</v>
      </c>
      <c r="D772" s="11">
        <v>629580.49</v>
      </c>
      <c r="E772" s="11">
        <v>40438.61</v>
      </c>
      <c r="F772" s="12">
        <v>45392</v>
      </c>
      <c r="G772" s="12">
        <v>45697</v>
      </c>
      <c r="H772" s="11" t="s">
        <v>3401</v>
      </c>
      <c r="I772" s="11" t="s">
        <v>3365</v>
      </c>
      <c r="J772" s="13" t="str" cm="1">
        <f t="array" ref="J772">_xlfn.IFS(
  OR(ISBLANK(A772),ISBLANK(B772),ISBLANK(H772),ISBLANK(D772),ISBLANK(E772)),"Missing Value",
  D772&lt;=0,"Review – Out of Range (Coverage)",
  E772&lt;=0,"Review – Out of Range (Premium)",
  TRUE,"OK"
)</f>
        <v>OK</v>
      </c>
    </row>
    <row r="773" spans="1:10" ht="16.8" x14ac:dyDescent="0.3">
      <c r="A773" s="14" t="s">
        <v>4406</v>
      </c>
      <c r="B773" s="14" t="s">
        <v>2415</v>
      </c>
      <c r="C773" s="14" t="s">
        <v>3371</v>
      </c>
      <c r="D773" s="14">
        <v>591691.56000000006</v>
      </c>
      <c r="E773" s="14">
        <v>21968.3</v>
      </c>
      <c r="F773" s="15">
        <v>44973</v>
      </c>
      <c r="G773" s="15">
        <v>45084</v>
      </c>
      <c r="H773" s="14" t="s">
        <v>4108</v>
      </c>
      <c r="I773" s="14" t="s">
        <v>3365</v>
      </c>
      <c r="J773" s="13" t="str" cm="1">
        <f t="array" ref="J773">_xlfn.IFS(
  OR(ISBLANK(A773),ISBLANK(B773),ISBLANK(H773),ISBLANK(D773),ISBLANK(E773)),"Missing Value",
  D773&lt;=0,"Review – Out of Range (Coverage)",
  E773&lt;=0,"Review – Out of Range (Premium)",
  TRUE,"OK"
)</f>
        <v>OK</v>
      </c>
    </row>
    <row r="774" spans="1:10" ht="16.8" x14ac:dyDescent="0.3">
      <c r="A774" s="11" t="s">
        <v>4407</v>
      </c>
      <c r="B774" s="11" t="s">
        <v>1779</v>
      </c>
      <c r="C774" s="11" t="s">
        <v>3377</v>
      </c>
      <c r="D774" s="11">
        <v>866677.5</v>
      </c>
      <c r="E774" s="11">
        <v>34885.75</v>
      </c>
      <c r="F774" s="12">
        <v>45441</v>
      </c>
      <c r="G774" s="12">
        <v>45706</v>
      </c>
      <c r="H774" s="11" t="s">
        <v>3744</v>
      </c>
      <c r="I774" s="11" t="s">
        <v>3361</v>
      </c>
      <c r="J774" s="13" t="str" cm="1">
        <f t="array" ref="J774">_xlfn.IFS(
  OR(ISBLANK(A774),ISBLANK(B774),ISBLANK(H774),ISBLANK(D774),ISBLANK(E774)),"Missing Value",
  D774&lt;=0,"Review – Out of Range (Coverage)",
  E774&lt;=0,"Review – Out of Range (Premium)",
  TRUE,"OK"
)</f>
        <v>OK</v>
      </c>
    </row>
    <row r="775" spans="1:10" ht="16.8" x14ac:dyDescent="0.3">
      <c r="A775" s="14" t="s">
        <v>4408</v>
      </c>
      <c r="B775" s="14" t="s">
        <v>2345</v>
      </c>
      <c r="C775" s="14" t="s">
        <v>3377</v>
      </c>
      <c r="D775" s="14">
        <v>992618.39</v>
      </c>
      <c r="E775" s="14">
        <v>11186.45</v>
      </c>
      <c r="F775" s="15">
        <v>45090</v>
      </c>
      <c r="G775" s="15">
        <v>45529</v>
      </c>
      <c r="H775" s="14" t="s">
        <v>4198</v>
      </c>
      <c r="I775" s="14" t="s">
        <v>3361</v>
      </c>
      <c r="J775" s="13" t="str" cm="1">
        <f t="array" ref="J775">_xlfn.IFS(
  OR(ISBLANK(A775),ISBLANK(B775),ISBLANK(H775),ISBLANK(D775),ISBLANK(E775)),"Missing Value",
  D775&lt;=0,"Review – Out of Range (Coverage)",
  E775&lt;=0,"Review – Out of Range (Premium)",
  TRUE,"OK"
)</f>
        <v>OK</v>
      </c>
    </row>
    <row r="776" spans="1:10" ht="16.8" x14ac:dyDescent="0.3">
      <c r="A776" s="11" t="s">
        <v>4409</v>
      </c>
      <c r="B776" s="11" t="s">
        <v>2001</v>
      </c>
      <c r="C776" s="11" t="s">
        <v>3377</v>
      </c>
      <c r="D776" s="11">
        <v>539897.63</v>
      </c>
      <c r="E776" s="11">
        <v>30590.92</v>
      </c>
      <c r="F776" s="12">
        <v>45058</v>
      </c>
      <c r="G776" s="12">
        <v>45447</v>
      </c>
      <c r="H776" s="11" t="s">
        <v>4410</v>
      </c>
      <c r="I776" s="11" t="s">
        <v>3361</v>
      </c>
      <c r="J776" s="13" t="str" cm="1">
        <f t="array" ref="J776">_xlfn.IFS(
  OR(ISBLANK(A776),ISBLANK(B776),ISBLANK(H776),ISBLANK(D776),ISBLANK(E776)),"Missing Value",
  D776&lt;=0,"Review – Out of Range (Coverage)",
  E776&lt;=0,"Review – Out of Range (Premium)",
  TRUE,"OK"
)</f>
        <v>OK</v>
      </c>
    </row>
    <row r="777" spans="1:10" ht="16.8" x14ac:dyDescent="0.3">
      <c r="A777" s="14" t="s">
        <v>4411</v>
      </c>
      <c r="B777" s="14" t="s">
        <v>1749</v>
      </c>
      <c r="C777" s="14" t="s">
        <v>3363</v>
      </c>
      <c r="D777" s="14">
        <v>232763.53</v>
      </c>
      <c r="E777" s="14">
        <v>39090.75</v>
      </c>
      <c r="F777" s="15">
        <v>45321</v>
      </c>
      <c r="G777" s="15">
        <v>45541</v>
      </c>
      <c r="H777" s="14" t="s">
        <v>3473</v>
      </c>
      <c r="I777" s="14" t="s">
        <v>3361</v>
      </c>
      <c r="J777" s="13" t="str" cm="1">
        <f t="array" ref="J777">_xlfn.IFS(
  OR(ISBLANK(A777),ISBLANK(B777),ISBLANK(H777),ISBLANK(D777),ISBLANK(E777)),"Missing Value",
  D777&lt;=0,"Review – Out of Range (Coverage)",
  E777&lt;=0,"Review – Out of Range (Premium)",
  TRUE,"OK"
)</f>
        <v>OK</v>
      </c>
    </row>
    <row r="778" spans="1:10" ht="16.8" x14ac:dyDescent="0.3">
      <c r="A778" s="11" t="s">
        <v>4412</v>
      </c>
      <c r="B778" s="11" t="s">
        <v>2495</v>
      </c>
      <c r="C778" s="11" t="s">
        <v>3377</v>
      </c>
      <c r="D778" s="11">
        <v>185867.19</v>
      </c>
      <c r="E778" s="11">
        <v>34987.74</v>
      </c>
      <c r="F778" s="12">
        <v>45051</v>
      </c>
      <c r="G778" s="12">
        <v>45838</v>
      </c>
      <c r="H778" s="11" t="s">
        <v>3522</v>
      </c>
      <c r="I778" s="11" t="s">
        <v>3361</v>
      </c>
      <c r="J778" s="13" t="str" cm="1">
        <f t="array" ref="J778">_xlfn.IFS(
  OR(ISBLANK(A778),ISBLANK(B778),ISBLANK(H778),ISBLANK(D778),ISBLANK(E778)),"Missing Value",
  D778&lt;=0,"Review – Out of Range (Coverage)",
  E778&lt;=0,"Review – Out of Range (Premium)",
  TRUE,"OK"
)</f>
        <v>OK</v>
      </c>
    </row>
    <row r="779" spans="1:10" ht="16.8" x14ac:dyDescent="0.3">
      <c r="A779" s="14" t="s">
        <v>4413</v>
      </c>
      <c r="B779" s="14" t="s">
        <v>39</v>
      </c>
      <c r="C779" s="14" t="s">
        <v>3380</v>
      </c>
      <c r="D779" s="14">
        <v>151753.39000000001</v>
      </c>
      <c r="E779" s="14">
        <v>21417.05</v>
      </c>
      <c r="F779" s="15">
        <v>45254</v>
      </c>
      <c r="G779" s="15">
        <v>45330</v>
      </c>
      <c r="H779" s="14" t="s">
        <v>3432</v>
      </c>
      <c r="I779" s="14" t="s">
        <v>3365</v>
      </c>
      <c r="J779" s="13" t="str" cm="1">
        <f t="array" ref="J779">_xlfn.IFS(
  OR(ISBLANK(A779),ISBLANK(B779),ISBLANK(H779),ISBLANK(D779),ISBLANK(E779)),"Missing Value",
  D779&lt;=0,"Review – Out of Range (Coverage)",
  E779&lt;=0,"Review – Out of Range (Premium)",
  TRUE,"OK"
)</f>
        <v>OK</v>
      </c>
    </row>
    <row r="780" spans="1:10" ht="16.8" x14ac:dyDescent="0.3">
      <c r="A780" s="11" t="s">
        <v>4414</v>
      </c>
      <c r="B780" s="11" t="s">
        <v>47</v>
      </c>
      <c r="C780" s="11" t="s">
        <v>3377</v>
      </c>
      <c r="D780" s="11">
        <v>162994.35999999999</v>
      </c>
      <c r="E780" s="11">
        <v>30845.66</v>
      </c>
      <c r="F780" s="12">
        <v>44913</v>
      </c>
      <c r="G780" s="12">
        <v>44963</v>
      </c>
      <c r="H780" s="11" t="s">
        <v>4415</v>
      </c>
      <c r="I780" s="11" t="s">
        <v>3365</v>
      </c>
      <c r="J780" s="13" t="str" cm="1">
        <f t="array" ref="J780">_xlfn.IFS(
  OR(ISBLANK(A780),ISBLANK(B780),ISBLANK(H780),ISBLANK(D780),ISBLANK(E780)),"Missing Value",
  D780&lt;=0,"Review – Out of Range (Coverage)",
  E780&lt;=0,"Review – Out of Range (Premium)",
  TRUE,"OK"
)</f>
        <v>OK</v>
      </c>
    </row>
    <row r="781" spans="1:10" ht="16.8" x14ac:dyDescent="0.3">
      <c r="A781" s="14" t="s">
        <v>4416</v>
      </c>
      <c r="B781" s="14" t="s">
        <v>2917</v>
      </c>
      <c r="C781" s="14" t="s">
        <v>3363</v>
      </c>
      <c r="D781" s="14">
        <v>592567.62</v>
      </c>
      <c r="E781" s="14">
        <v>20921.64</v>
      </c>
      <c r="F781" s="15">
        <v>45148</v>
      </c>
      <c r="G781" s="15">
        <v>45661</v>
      </c>
      <c r="H781" s="14" t="s">
        <v>3411</v>
      </c>
      <c r="I781" s="14" t="s">
        <v>3373</v>
      </c>
      <c r="J781" s="13" t="str" cm="1">
        <f t="array" ref="J781">_xlfn.IFS(
  OR(ISBLANK(A781),ISBLANK(B781),ISBLANK(H781),ISBLANK(D781),ISBLANK(E781)),"Missing Value",
  D781&lt;=0,"Review – Out of Range (Coverage)",
  E781&lt;=0,"Review – Out of Range (Premium)",
  TRUE,"OK"
)</f>
        <v>OK</v>
      </c>
    </row>
    <row r="782" spans="1:10" ht="16.8" x14ac:dyDescent="0.3">
      <c r="A782" s="11" t="s">
        <v>4417</v>
      </c>
      <c r="B782" s="11" t="s">
        <v>112</v>
      </c>
      <c r="C782" s="11" t="s">
        <v>3377</v>
      </c>
      <c r="D782" s="11">
        <v>364112.46</v>
      </c>
      <c r="E782" s="11">
        <v>38805.629999999997</v>
      </c>
      <c r="F782" s="12">
        <v>45460</v>
      </c>
      <c r="G782" s="12">
        <v>45828</v>
      </c>
      <c r="H782" s="11" t="s">
        <v>3367</v>
      </c>
      <c r="I782" s="11" t="s">
        <v>3361</v>
      </c>
      <c r="J782" s="13" t="str" cm="1">
        <f t="array" ref="J782">_xlfn.IFS(
  OR(ISBLANK(A782),ISBLANK(B782),ISBLANK(H782),ISBLANK(D782),ISBLANK(E782)),"Missing Value",
  D782&lt;=0,"Review – Out of Range (Coverage)",
  E782&lt;=0,"Review – Out of Range (Premium)",
  TRUE,"OK"
)</f>
        <v>OK</v>
      </c>
    </row>
    <row r="783" spans="1:10" ht="16.8" x14ac:dyDescent="0.3">
      <c r="A783" s="14" t="s">
        <v>4418</v>
      </c>
      <c r="B783" s="14" t="s">
        <v>1091</v>
      </c>
      <c r="C783" s="14" t="s">
        <v>3380</v>
      </c>
      <c r="D783" s="14">
        <v>629977.79</v>
      </c>
      <c r="E783" s="14">
        <v>41485.480000000003</v>
      </c>
      <c r="F783" s="15">
        <v>45028</v>
      </c>
      <c r="G783" s="15">
        <v>45151</v>
      </c>
      <c r="H783" s="14" t="s">
        <v>3754</v>
      </c>
      <c r="I783" s="14" t="s">
        <v>3361</v>
      </c>
      <c r="J783" s="13" t="str" cm="1">
        <f t="array" ref="J783">_xlfn.IFS(
  OR(ISBLANK(A783),ISBLANK(B783),ISBLANK(H783),ISBLANK(D783),ISBLANK(E783)),"Missing Value",
  D783&lt;=0,"Review – Out of Range (Coverage)",
  E783&lt;=0,"Review – Out of Range (Premium)",
  TRUE,"OK"
)</f>
        <v>OK</v>
      </c>
    </row>
    <row r="784" spans="1:10" ht="16.8" x14ac:dyDescent="0.3">
      <c r="A784" s="11" t="s">
        <v>4419</v>
      </c>
      <c r="B784" s="11" t="s">
        <v>597</v>
      </c>
      <c r="C784" s="11" t="s">
        <v>3363</v>
      </c>
      <c r="D784" s="11">
        <v>484053.54</v>
      </c>
      <c r="E784" s="11">
        <v>31559.51</v>
      </c>
      <c r="F784" s="12">
        <v>45234</v>
      </c>
      <c r="G784" s="12">
        <v>45483</v>
      </c>
      <c r="H784" s="11" t="s">
        <v>3715</v>
      </c>
      <c r="I784" s="11" t="s">
        <v>3373</v>
      </c>
      <c r="J784" s="13" t="str" cm="1">
        <f t="array" ref="J784">_xlfn.IFS(
  OR(ISBLANK(A784),ISBLANK(B784),ISBLANK(H784),ISBLANK(D784),ISBLANK(E784)),"Missing Value",
  D784&lt;=0,"Review – Out of Range (Coverage)",
  E784&lt;=0,"Review – Out of Range (Premium)",
  TRUE,"OK"
)</f>
        <v>OK</v>
      </c>
    </row>
    <row r="785" spans="1:10" ht="16.8" x14ac:dyDescent="0.3">
      <c r="A785" s="14" t="s">
        <v>4420</v>
      </c>
      <c r="B785" s="14" t="s">
        <v>637</v>
      </c>
      <c r="C785" s="14" t="s">
        <v>3363</v>
      </c>
      <c r="D785" s="14">
        <v>336391.57</v>
      </c>
      <c r="E785" s="14">
        <v>20341.66</v>
      </c>
      <c r="F785" s="15">
        <v>45368</v>
      </c>
      <c r="G785" s="15">
        <v>45496</v>
      </c>
      <c r="H785" s="14" t="s">
        <v>3838</v>
      </c>
      <c r="I785" s="14" t="s">
        <v>3361</v>
      </c>
      <c r="J785" s="13" t="str" cm="1">
        <f t="array" ref="J785">_xlfn.IFS(
  OR(ISBLANK(A785),ISBLANK(B785),ISBLANK(H785),ISBLANK(D785),ISBLANK(E785)),"Missing Value",
  D785&lt;=0,"Review – Out of Range (Coverage)",
  E785&lt;=0,"Review – Out of Range (Premium)",
  TRUE,"OK"
)</f>
        <v>OK</v>
      </c>
    </row>
    <row r="786" spans="1:10" ht="16.8" x14ac:dyDescent="0.3">
      <c r="A786" s="11" t="s">
        <v>4421</v>
      </c>
      <c r="B786" s="11" t="s">
        <v>1713</v>
      </c>
      <c r="C786" s="11" t="s">
        <v>3380</v>
      </c>
      <c r="D786" s="11">
        <v>998115.91</v>
      </c>
      <c r="E786" s="11">
        <v>30133.73</v>
      </c>
      <c r="F786" s="12">
        <v>45439</v>
      </c>
      <c r="G786" s="12">
        <v>45578</v>
      </c>
      <c r="H786" s="11" t="s">
        <v>3725</v>
      </c>
      <c r="I786" s="11" t="s">
        <v>3361</v>
      </c>
      <c r="J786" s="13" t="str" cm="1">
        <f t="array" ref="J786">_xlfn.IFS(
  OR(ISBLANK(A786),ISBLANK(B786),ISBLANK(H786),ISBLANK(D786),ISBLANK(E786)),"Missing Value",
  D786&lt;=0,"Review – Out of Range (Coverage)",
  E786&lt;=0,"Review – Out of Range (Premium)",
  TRUE,"OK"
)</f>
        <v>OK</v>
      </c>
    </row>
    <row r="787" spans="1:10" ht="16.8" x14ac:dyDescent="0.3">
      <c r="A787" s="14" t="s">
        <v>4422</v>
      </c>
      <c r="B787" s="14" t="s">
        <v>2087</v>
      </c>
      <c r="C787" s="14" t="s">
        <v>3363</v>
      </c>
      <c r="D787" s="14">
        <v>945511.63</v>
      </c>
      <c r="E787" s="14">
        <v>39001.040000000001</v>
      </c>
      <c r="F787" s="15">
        <v>44872</v>
      </c>
      <c r="G787" s="15">
        <v>45653</v>
      </c>
      <c r="H787" s="14" t="s">
        <v>4423</v>
      </c>
      <c r="I787" s="14" t="s">
        <v>3365</v>
      </c>
      <c r="J787" s="13" t="str" cm="1">
        <f t="array" ref="J787">_xlfn.IFS(
  OR(ISBLANK(A787),ISBLANK(B787),ISBLANK(H787),ISBLANK(D787),ISBLANK(E787)),"Missing Value",
  D787&lt;=0,"Review – Out of Range (Coverage)",
  E787&lt;=0,"Review – Out of Range (Premium)",
  TRUE,"OK"
)</f>
        <v>OK</v>
      </c>
    </row>
    <row r="788" spans="1:10" ht="16.8" x14ac:dyDescent="0.3">
      <c r="A788" s="11" t="s">
        <v>4424</v>
      </c>
      <c r="B788" s="11" t="s">
        <v>1305</v>
      </c>
      <c r="C788" s="11" t="s">
        <v>3371</v>
      </c>
      <c r="D788" s="11">
        <v>547378.39</v>
      </c>
      <c r="E788" s="11">
        <v>5453.54</v>
      </c>
      <c r="F788" s="12">
        <v>45320</v>
      </c>
      <c r="G788" s="12">
        <v>45664</v>
      </c>
      <c r="H788" s="11" t="s">
        <v>3536</v>
      </c>
      <c r="I788" s="11" t="s">
        <v>3373</v>
      </c>
      <c r="J788" s="13" t="str" cm="1">
        <f t="array" ref="J788">_xlfn.IFS(
  OR(ISBLANK(A788),ISBLANK(B788),ISBLANK(H788),ISBLANK(D788),ISBLANK(E788)),"Missing Value",
  D788&lt;=0,"Review – Out of Range (Coverage)",
  E788&lt;=0,"Review – Out of Range (Premium)",
  TRUE,"OK"
)</f>
        <v>OK</v>
      </c>
    </row>
    <row r="789" spans="1:10" ht="16.8" x14ac:dyDescent="0.3">
      <c r="A789" s="14" t="s">
        <v>4425</v>
      </c>
      <c r="B789" s="14" t="s">
        <v>1413</v>
      </c>
      <c r="C789" s="14" t="s">
        <v>3363</v>
      </c>
      <c r="D789" s="14">
        <v>688871.95</v>
      </c>
      <c r="E789" s="14">
        <v>12153.05</v>
      </c>
      <c r="F789" s="15">
        <v>44799</v>
      </c>
      <c r="G789" s="15">
        <v>44933</v>
      </c>
      <c r="H789" s="14" t="s">
        <v>3591</v>
      </c>
      <c r="I789" s="14" t="s">
        <v>3361</v>
      </c>
      <c r="J789" s="13" t="str" cm="1">
        <f t="array" ref="J789">_xlfn.IFS(
  OR(ISBLANK(A789),ISBLANK(B789),ISBLANK(H789),ISBLANK(D789),ISBLANK(E789)),"Missing Value",
  D789&lt;=0,"Review – Out of Range (Coverage)",
  E789&lt;=0,"Review – Out of Range (Premium)",
  TRUE,"OK"
)</f>
        <v>OK</v>
      </c>
    </row>
    <row r="790" spans="1:10" ht="16.8" x14ac:dyDescent="0.3">
      <c r="A790" s="11" t="s">
        <v>4426</v>
      </c>
      <c r="B790" s="11" t="s">
        <v>1679</v>
      </c>
      <c r="C790" s="11" t="s">
        <v>3380</v>
      </c>
      <c r="D790" s="11">
        <v>474416.43</v>
      </c>
      <c r="E790" s="11">
        <v>32050.22</v>
      </c>
      <c r="F790" s="12">
        <v>45467</v>
      </c>
      <c r="G790" s="12">
        <v>45709</v>
      </c>
      <c r="H790" s="11" t="s">
        <v>3469</v>
      </c>
      <c r="I790" s="11" t="s">
        <v>3365</v>
      </c>
      <c r="J790" s="13" t="str" cm="1">
        <f t="array" ref="J790">_xlfn.IFS(
  OR(ISBLANK(A790),ISBLANK(B790),ISBLANK(H790),ISBLANK(D790),ISBLANK(E790)),"Missing Value",
  D790&lt;=0,"Review – Out of Range (Coverage)",
  E790&lt;=0,"Review – Out of Range (Premium)",
  TRUE,"OK"
)</f>
        <v>OK</v>
      </c>
    </row>
    <row r="791" spans="1:10" ht="16.8" x14ac:dyDescent="0.3">
      <c r="A791" s="14" t="s">
        <v>4427</v>
      </c>
      <c r="B791" s="14" t="s">
        <v>759</v>
      </c>
      <c r="C791" s="14" t="s">
        <v>3380</v>
      </c>
      <c r="D791" s="14">
        <v>697143.06</v>
      </c>
      <c r="E791" s="14">
        <v>20616.07</v>
      </c>
      <c r="F791" s="15">
        <v>45476</v>
      </c>
      <c r="G791" s="15">
        <v>45581</v>
      </c>
      <c r="H791" s="14" t="s">
        <v>3868</v>
      </c>
      <c r="I791" s="14" t="s">
        <v>3373</v>
      </c>
      <c r="J791" s="13" t="str" cm="1">
        <f t="array" ref="J791">_xlfn.IFS(
  OR(ISBLANK(A791),ISBLANK(B791),ISBLANK(H791),ISBLANK(D791),ISBLANK(E791)),"Missing Value",
  D791&lt;=0,"Review – Out of Range (Coverage)",
  E791&lt;=0,"Review – Out of Range (Premium)",
  TRUE,"OK"
)</f>
        <v>OK</v>
      </c>
    </row>
    <row r="792" spans="1:10" ht="16.8" x14ac:dyDescent="0.3">
      <c r="A792" s="11" t="s">
        <v>4428</v>
      </c>
      <c r="B792" s="11" t="s">
        <v>1067</v>
      </c>
      <c r="C792" s="11" t="s">
        <v>3359</v>
      </c>
      <c r="D792" s="11">
        <v>884764.73</v>
      </c>
      <c r="E792" s="11">
        <v>8328.68</v>
      </c>
      <c r="F792" s="12">
        <v>45207</v>
      </c>
      <c r="G792" s="12">
        <v>45314</v>
      </c>
      <c r="H792" s="11" t="s">
        <v>3865</v>
      </c>
      <c r="I792" s="11" t="s">
        <v>3365</v>
      </c>
      <c r="J792" s="13" t="str" cm="1">
        <f t="array" ref="J792">_xlfn.IFS(
  OR(ISBLANK(A792),ISBLANK(B792),ISBLANK(H792),ISBLANK(D792),ISBLANK(E792)),"Missing Value",
  D792&lt;=0,"Review – Out of Range (Coverage)",
  E792&lt;=0,"Review – Out of Range (Premium)",
  TRUE,"OK"
)</f>
        <v>OK</v>
      </c>
    </row>
    <row r="793" spans="1:10" ht="16.8" x14ac:dyDescent="0.3">
      <c r="A793" s="14" t="s">
        <v>4429</v>
      </c>
      <c r="B793" s="14" t="s">
        <v>1607</v>
      </c>
      <c r="C793" s="14" t="s">
        <v>3371</v>
      </c>
      <c r="D793" s="14">
        <v>922766.75</v>
      </c>
      <c r="E793" s="14">
        <v>29305.41</v>
      </c>
      <c r="F793" s="15">
        <v>44877</v>
      </c>
      <c r="G793" s="15">
        <v>45506</v>
      </c>
      <c r="H793" s="14" t="s">
        <v>3827</v>
      </c>
      <c r="I793" s="14" t="s">
        <v>3361</v>
      </c>
      <c r="J793" s="13" t="str" cm="1">
        <f t="array" ref="J793">_xlfn.IFS(
  OR(ISBLANK(A793),ISBLANK(B793),ISBLANK(H793),ISBLANK(D793),ISBLANK(E793)),"Missing Value",
  D793&lt;=0,"Review – Out of Range (Coverage)",
  E793&lt;=0,"Review – Out of Range (Premium)",
  TRUE,"OK"
)</f>
        <v>OK</v>
      </c>
    </row>
    <row r="794" spans="1:10" ht="16.8" x14ac:dyDescent="0.3">
      <c r="A794" s="11" t="s">
        <v>4430</v>
      </c>
      <c r="B794" s="11" t="s">
        <v>364</v>
      </c>
      <c r="C794" s="11" t="s">
        <v>3371</v>
      </c>
      <c r="D794" s="11">
        <v>396951.89</v>
      </c>
      <c r="E794" s="11">
        <v>9605.07</v>
      </c>
      <c r="F794" s="12">
        <v>45255</v>
      </c>
      <c r="G794" s="12">
        <v>45841</v>
      </c>
      <c r="H794" s="11" t="s">
        <v>4236</v>
      </c>
      <c r="I794" s="11" t="s">
        <v>3365</v>
      </c>
      <c r="J794" s="13" t="str" cm="1">
        <f t="array" ref="J794">_xlfn.IFS(
  OR(ISBLANK(A794),ISBLANK(B794),ISBLANK(H794),ISBLANK(D794),ISBLANK(E794)),"Missing Value",
  D794&lt;=0,"Review – Out of Range (Coverage)",
  E794&lt;=0,"Review – Out of Range (Premium)",
  TRUE,"OK"
)</f>
        <v>OK</v>
      </c>
    </row>
    <row r="795" spans="1:10" ht="16.8" x14ac:dyDescent="0.3">
      <c r="A795" s="14" t="s">
        <v>4431</v>
      </c>
      <c r="B795" s="14" t="s">
        <v>2905</v>
      </c>
      <c r="C795" s="14" t="s">
        <v>3371</v>
      </c>
      <c r="D795" s="14">
        <v>745680.8</v>
      </c>
      <c r="E795" s="14">
        <v>36784.449999999997</v>
      </c>
      <c r="F795" s="15">
        <v>44646</v>
      </c>
      <c r="G795" s="15">
        <v>45152</v>
      </c>
      <c r="H795" s="14" t="s">
        <v>4032</v>
      </c>
      <c r="I795" s="14" t="s">
        <v>3361</v>
      </c>
      <c r="J795" s="13" t="str" cm="1">
        <f t="array" ref="J795">_xlfn.IFS(
  OR(ISBLANK(A795),ISBLANK(B795),ISBLANK(H795),ISBLANK(D795),ISBLANK(E795)),"Missing Value",
  D795&lt;=0,"Review – Out of Range (Coverage)",
  E795&lt;=0,"Review – Out of Range (Premium)",
  TRUE,"OK"
)</f>
        <v>OK</v>
      </c>
    </row>
    <row r="796" spans="1:10" ht="16.8" x14ac:dyDescent="0.3">
      <c r="A796" s="11" t="s">
        <v>4432</v>
      </c>
      <c r="B796" s="11" t="s">
        <v>3260</v>
      </c>
      <c r="C796" s="11" t="s">
        <v>3377</v>
      </c>
      <c r="D796" s="11">
        <v>478035.57</v>
      </c>
      <c r="E796" s="11">
        <v>3119.14</v>
      </c>
      <c r="F796" s="12">
        <v>45050</v>
      </c>
      <c r="G796" s="12">
        <v>45691</v>
      </c>
      <c r="H796" s="11" t="s">
        <v>3492</v>
      </c>
      <c r="I796" s="11" t="s">
        <v>3373</v>
      </c>
      <c r="J796" s="13" t="str" cm="1">
        <f t="array" ref="J796">_xlfn.IFS(
  OR(ISBLANK(A796),ISBLANK(B796),ISBLANK(H796),ISBLANK(D796),ISBLANK(E796)),"Missing Value",
  D796&lt;=0,"Review – Out of Range (Coverage)",
  E796&lt;=0,"Review – Out of Range (Premium)",
  TRUE,"OK"
)</f>
        <v>OK</v>
      </c>
    </row>
    <row r="797" spans="1:10" ht="16.8" x14ac:dyDescent="0.3">
      <c r="A797" s="14" t="s">
        <v>4433</v>
      </c>
      <c r="B797" s="14" t="s">
        <v>1777</v>
      </c>
      <c r="C797" s="14" t="s">
        <v>3359</v>
      </c>
      <c r="D797" s="14">
        <v>776851.35</v>
      </c>
      <c r="E797" s="14">
        <v>13751.56</v>
      </c>
      <c r="F797" s="15">
        <v>45201</v>
      </c>
      <c r="G797" s="15">
        <v>45255</v>
      </c>
      <c r="H797" s="14" t="s">
        <v>3955</v>
      </c>
      <c r="I797" s="14" t="s">
        <v>3373</v>
      </c>
      <c r="J797" s="13" t="str" cm="1">
        <f t="array" ref="J797">_xlfn.IFS(
  OR(ISBLANK(A797),ISBLANK(B797),ISBLANK(H797),ISBLANK(D797),ISBLANK(E797)),"Missing Value",
  D797&lt;=0,"Review – Out of Range (Coverage)",
  E797&lt;=0,"Review – Out of Range (Premium)",
  TRUE,"OK"
)</f>
        <v>OK</v>
      </c>
    </row>
    <row r="798" spans="1:10" ht="16.8" x14ac:dyDescent="0.3">
      <c r="A798" s="11" t="s">
        <v>4434</v>
      </c>
      <c r="B798" s="11" t="s">
        <v>1903</v>
      </c>
      <c r="C798" s="11" t="s">
        <v>3363</v>
      </c>
      <c r="D798" s="11">
        <v>837839.96</v>
      </c>
      <c r="E798" s="11">
        <v>20253.86</v>
      </c>
      <c r="F798" s="12">
        <v>45120</v>
      </c>
      <c r="G798" s="12">
        <v>45465</v>
      </c>
      <c r="H798" s="11" t="s">
        <v>3393</v>
      </c>
      <c r="I798" s="11" t="s">
        <v>3373</v>
      </c>
      <c r="J798" s="13" t="str" cm="1">
        <f t="array" ref="J798">_xlfn.IFS(
  OR(ISBLANK(A798),ISBLANK(B798),ISBLANK(H798),ISBLANK(D798),ISBLANK(E798)),"Missing Value",
  D798&lt;=0,"Review – Out of Range (Coverage)",
  E798&lt;=0,"Review – Out of Range (Premium)",
  TRUE,"OK"
)</f>
        <v>OK</v>
      </c>
    </row>
    <row r="799" spans="1:10" ht="16.8" x14ac:dyDescent="0.3">
      <c r="A799" s="14" t="s">
        <v>4435</v>
      </c>
      <c r="B799" s="14" t="s">
        <v>945</v>
      </c>
      <c r="C799" s="14" t="s">
        <v>3363</v>
      </c>
      <c r="D799" s="14">
        <v>828493.65</v>
      </c>
      <c r="E799" s="14">
        <v>25162.62</v>
      </c>
      <c r="F799" s="15">
        <v>45175</v>
      </c>
      <c r="G799" s="15">
        <v>45452</v>
      </c>
      <c r="H799" s="14" t="s">
        <v>3425</v>
      </c>
      <c r="I799" s="14" t="s">
        <v>3373</v>
      </c>
      <c r="J799" s="13" t="str" cm="1">
        <f t="array" ref="J799">_xlfn.IFS(
  OR(ISBLANK(A799),ISBLANK(B799),ISBLANK(H799),ISBLANK(D799),ISBLANK(E799)),"Missing Value",
  D799&lt;=0,"Review – Out of Range (Coverage)",
  E799&lt;=0,"Review – Out of Range (Premium)",
  TRUE,"OK"
)</f>
        <v>OK</v>
      </c>
    </row>
    <row r="800" spans="1:10" ht="16.8" x14ac:dyDescent="0.3">
      <c r="A800" s="11" t="s">
        <v>4436</v>
      </c>
      <c r="B800" s="11" t="s">
        <v>2487</v>
      </c>
      <c r="C800" s="11" t="s">
        <v>3377</v>
      </c>
      <c r="D800" s="11">
        <v>417114.39</v>
      </c>
      <c r="E800" s="11">
        <v>25682.9</v>
      </c>
      <c r="F800" s="12">
        <v>44876</v>
      </c>
      <c r="G800" s="12">
        <v>45570</v>
      </c>
      <c r="H800" s="11" t="s">
        <v>3411</v>
      </c>
      <c r="I800" s="11" t="s">
        <v>3365</v>
      </c>
      <c r="J800" s="13" t="str" cm="1">
        <f t="array" ref="J800">_xlfn.IFS(
  OR(ISBLANK(A800),ISBLANK(B800),ISBLANK(H800),ISBLANK(D800),ISBLANK(E800)),"Missing Value",
  D800&lt;=0,"Review – Out of Range (Coverage)",
  E800&lt;=0,"Review – Out of Range (Premium)",
  TRUE,"OK"
)</f>
        <v>OK</v>
      </c>
    </row>
    <row r="801" spans="1:10" ht="16.8" x14ac:dyDescent="0.3">
      <c r="A801" s="14" t="s">
        <v>4437</v>
      </c>
      <c r="B801" s="14" t="s">
        <v>3210</v>
      </c>
      <c r="C801" s="14" t="s">
        <v>3380</v>
      </c>
      <c r="D801" s="14">
        <v>347600.51</v>
      </c>
      <c r="E801" s="14">
        <v>25589.16</v>
      </c>
      <c r="F801" s="15">
        <v>44966</v>
      </c>
      <c r="G801" s="15">
        <v>45354</v>
      </c>
      <c r="H801" s="14" t="s">
        <v>4108</v>
      </c>
      <c r="I801" s="14" t="s">
        <v>3365</v>
      </c>
      <c r="J801" s="13" t="str" cm="1">
        <f t="array" ref="J801">_xlfn.IFS(
  OR(ISBLANK(A801),ISBLANK(B801),ISBLANK(H801),ISBLANK(D801),ISBLANK(E801)),"Missing Value",
  D801&lt;=0,"Review – Out of Range (Coverage)",
  E801&lt;=0,"Review – Out of Range (Premium)",
  TRUE,"OK"
)</f>
        <v>OK</v>
      </c>
    </row>
    <row r="802" spans="1:10" ht="16.8" x14ac:dyDescent="0.3">
      <c r="A802" s="11" t="s">
        <v>4438</v>
      </c>
      <c r="B802" s="11" t="s">
        <v>1939</v>
      </c>
      <c r="C802" s="11" t="s">
        <v>3359</v>
      </c>
      <c r="D802" s="11">
        <v>233824.4</v>
      </c>
      <c r="E802" s="11">
        <v>49694.080000000002</v>
      </c>
      <c r="F802" s="12">
        <v>45267</v>
      </c>
      <c r="G802" s="12">
        <v>45509</v>
      </c>
      <c r="H802" s="11" t="s">
        <v>4439</v>
      </c>
      <c r="I802" s="11" t="s">
        <v>3365</v>
      </c>
      <c r="J802" s="13" t="str" cm="1">
        <f t="array" ref="J802">_xlfn.IFS(
  OR(ISBLANK(A802),ISBLANK(B802),ISBLANK(H802),ISBLANK(D802),ISBLANK(E802)),"Missing Value",
  D802&lt;=0,"Review – Out of Range (Coverage)",
  E802&lt;=0,"Review – Out of Range (Premium)",
  TRUE,"OK"
)</f>
        <v>OK</v>
      </c>
    </row>
    <row r="803" spans="1:10" ht="16.8" x14ac:dyDescent="0.3">
      <c r="A803" s="14" t="s">
        <v>4440</v>
      </c>
      <c r="B803" s="14" t="s">
        <v>595</v>
      </c>
      <c r="C803" s="14" t="s">
        <v>3377</v>
      </c>
      <c r="D803" s="14">
        <v>180918.33</v>
      </c>
      <c r="E803" s="14">
        <v>23672.799999999999</v>
      </c>
      <c r="F803" s="15">
        <v>45300</v>
      </c>
      <c r="G803" s="15">
        <v>45663</v>
      </c>
      <c r="H803" s="14" t="s">
        <v>3752</v>
      </c>
      <c r="I803" s="14" t="s">
        <v>3361</v>
      </c>
      <c r="J803" s="13" t="str" cm="1">
        <f t="array" ref="J803">_xlfn.IFS(
  OR(ISBLANK(A803),ISBLANK(B803),ISBLANK(H803),ISBLANK(D803),ISBLANK(E803)),"Missing Value",
  D803&lt;=0,"Review – Out of Range (Coverage)",
  E803&lt;=0,"Review – Out of Range (Premium)",
  TRUE,"OK"
)</f>
        <v>OK</v>
      </c>
    </row>
    <row r="804" spans="1:10" ht="16.8" x14ac:dyDescent="0.3">
      <c r="A804" s="11" t="s">
        <v>4441</v>
      </c>
      <c r="B804" s="11" t="s">
        <v>3258</v>
      </c>
      <c r="C804" s="11" t="s">
        <v>3371</v>
      </c>
      <c r="D804" s="11">
        <v>347776.53</v>
      </c>
      <c r="E804" s="11">
        <v>22355.77</v>
      </c>
      <c r="F804" s="12">
        <v>44476</v>
      </c>
      <c r="G804" s="12">
        <v>45102</v>
      </c>
      <c r="H804" s="11" t="s">
        <v>3809</v>
      </c>
      <c r="I804" s="11" t="s">
        <v>3373</v>
      </c>
      <c r="J804" s="13" t="str" cm="1">
        <f t="array" ref="J804">_xlfn.IFS(
  OR(ISBLANK(A804),ISBLANK(B804),ISBLANK(H804),ISBLANK(D804),ISBLANK(E804)),"Missing Value",
  D804&lt;=0,"Review – Out of Range (Coverage)",
  E804&lt;=0,"Review – Out of Range (Premium)",
  TRUE,"OK"
)</f>
        <v>OK</v>
      </c>
    </row>
    <row r="805" spans="1:10" ht="16.8" x14ac:dyDescent="0.3">
      <c r="A805" s="14" t="s">
        <v>4442</v>
      </c>
      <c r="B805" s="14" t="s">
        <v>995</v>
      </c>
      <c r="C805" s="14" t="s">
        <v>3380</v>
      </c>
      <c r="D805" s="14">
        <v>521520.68</v>
      </c>
      <c r="E805" s="14">
        <v>23774.15</v>
      </c>
      <c r="F805" s="15">
        <v>44751</v>
      </c>
      <c r="G805" s="15">
        <v>45688</v>
      </c>
      <c r="H805" s="14" t="s">
        <v>4095</v>
      </c>
      <c r="I805" s="14" t="s">
        <v>3361</v>
      </c>
      <c r="J805" s="13" t="str" cm="1">
        <f t="array" ref="J805">_xlfn.IFS(
  OR(ISBLANK(A805),ISBLANK(B805),ISBLANK(H805),ISBLANK(D805),ISBLANK(E805)),"Missing Value",
  D805&lt;=0,"Review – Out of Range (Coverage)",
  E805&lt;=0,"Review – Out of Range (Premium)",
  TRUE,"OK"
)</f>
        <v>OK</v>
      </c>
    </row>
    <row r="806" spans="1:10" ht="16.8" x14ac:dyDescent="0.3">
      <c r="A806" s="11" t="s">
        <v>4443</v>
      </c>
      <c r="B806" s="11" t="s">
        <v>1055</v>
      </c>
      <c r="C806" s="11" t="s">
        <v>3359</v>
      </c>
      <c r="D806" s="11">
        <v>733062.82</v>
      </c>
      <c r="E806" s="11">
        <v>37081.96</v>
      </c>
      <c r="F806" s="12">
        <v>45067</v>
      </c>
      <c r="G806" s="12">
        <v>45320</v>
      </c>
      <c r="H806" s="11" t="s">
        <v>3634</v>
      </c>
      <c r="I806" s="11" t="s">
        <v>3373</v>
      </c>
      <c r="J806" s="13" t="str" cm="1">
        <f t="array" ref="J806">_xlfn.IFS(
  OR(ISBLANK(A806),ISBLANK(B806),ISBLANK(H806),ISBLANK(D806),ISBLANK(E806)),"Missing Value",
  D806&lt;=0,"Review – Out of Range (Coverage)",
  E806&lt;=0,"Review – Out of Range (Premium)",
  TRUE,"OK"
)</f>
        <v>OK</v>
      </c>
    </row>
    <row r="807" spans="1:10" ht="16.8" x14ac:dyDescent="0.3">
      <c r="A807" s="14" t="s">
        <v>4444</v>
      </c>
      <c r="B807" s="14" t="s">
        <v>2435</v>
      </c>
      <c r="C807" s="14" t="s">
        <v>3377</v>
      </c>
      <c r="D807" s="14">
        <v>552210.99</v>
      </c>
      <c r="E807" s="14">
        <v>37796.78</v>
      </c>
      <c r="F807" s="15">
        <v>44999</v>
      </c>
      <c r="G807" s="15">
        <v>45044</v>
      </c>
      <c r="H807" s="14" t="s">
        <v>3744</v>
      </c>
      <c r="I807" s="14" t="s">
        <v>3361</v>
      </c>
      <c r="J807" s="13" t="str" cm="1">
        <f t="array" ref="J807">_xlfn.IFS(
  OR(ISBLANK(A807),ISBLANK(B807),ISBLANK(H807),ISBLANK(D807),ISBLANK(E807)),"Missing Value",
  D807&lt;=0,"Review – Out of Range (Coverage)",
  E807&lt;=0,"Review – Out of Range (Premium)",
  TRUE,"OK"
)</f>
        <v>OK</v>
      </c>
    </row>
    <row r="808" spans="1:10" ht="16.8" x14ac:dyDescent="0.3">
      <c r="A808" s="11" t="s">
        <v>4445</v>
      </c>
      <c r="B808" s="11" t="s">
        <v>1861</v>
      </c>
      <c r="C808" s="11" t="s">
        <v>3377</v>
      </c>
      <c r="D808" s="11">
        <v>607768.55000000005</v>
      </c>
      <c r="E808" s="11">
        <v>40468.74</v>
      </c>
      <c r="F808" s="12">
        <v>45382</v>
      </c>
      <c r="G808" s="12">
        <v>45466</v>
      </c>
      <c r="H808" s="11" t="s">
        <v>3806</v>
      </c>
      <c r="I808" s="11" t="s">
        <v>3365</v>
      </c>
      <c r="J808" s="13" t="str" cm="1">
        <f t="array" ref="J808">_xlfn.IFS(
  OR(ISBLANK(A808),ISBLANK(B808),ISBLANK(H808),ISBLANK(D808),ISBLANK(E808)),"Missing Value",
  D808&lt;=0,"Review – Out of Range (Coverage)",
  E808&lt;=0,"Review – Out of Range (Premium)",
  TRUE,"OK"
)</f>
        <v>OK</v>
      </c>
    </row>
    <row r="809" spans="1:10" ht="16.8" x14ac:dyDescent="0.3">
      <c r="A809" s="14" t="s">
        <v>4446</v>
      </c>
      <c r="B809" s="14" t="s">
        <v>2317</v>
      </c>
      <c r="C809" s="14" t="s">
        <v>3359</v>
      </c>
      <c r="D809" s="14">
        <v>851190.87</v>
      </c>
      <c r="E809" s="14">
        <v>45428.639999999999</v>
      </c>
      <c r="F809" s="15">
        <v>44400</v>
      </c>
      <c r="G809" s="15">
        <v>44986</v>
      </c>
      <c r="H809" s="14" t="s">
        <v>4108</v>
      </c>
      <c r="I809" s="14" t="s">
        <v>3361</v>
      </c>
      <c r="J809" s="13" t="str" cm="1">
        <f t="array" ref="J809">_xlfn.IFS(
  OR(ISBLANK(A809),ISBLANK(B809),ISBLANK(H809),ISBLANK(D809),ISBLANK(E809)),"Missing Value",
  D809&lt;=0,"Review – Out of Range (Coverage)",
  E809&lt;=0,"Review – Out of Range (Premium)",
  TRUE,"OK"
)</f>
        <v>OK</v>
      </c>
    </row>
    <row r="810" spans="1:10" ht="16.8" x14ac:dyDescent="0.3">
      <c r="A810" s="11" t="s">
        <v>4447</v>
      </c>
      <c r="B810" s="11" t="s">
        <v>817</v>
      </c>
      <c r="C810" s="11" t="s">
        <v>3363</v>
      </c>
      <c r="D810" s="11">
        <v>700615.89</v>
      </c>
      <c r="E810" s="11">
        <v>27864.13</v>
      </c>
      <c r="F810" s="12">
        <v>44756</v>
      </c>
      <c r="G810" s="12">
        <v>44915</v>
      </c>
      <c r="H810" s="11" t="s">
        <v>3499</v>
      </c>
      <c r="I810" s="11" t="s">
        <v>3373</v>
      </c>
      <c r="J810" s="13" t="str" cm="1">
        <f t="array" ref="J810">_xlfn.IFS(
  OR(ISBLANK(A810),ISBLANK(B810),ISBLANK(H810),ISBLANK(D810),ISBLANK(E810)),"Missing Value",
  D810&lt;=0,"Review – Out of Range (Coverage)",
  E810&lt;=0,"Review – Out of Range (Premium)",
  TRUE,"OK"
)</f>
        <v>OK</v>
      </c>
    </row>
    <row r="811" spans="1:10" ht="16.8" x14ac:dyDescent="0.3">
      <c r="A811" s="14" t="s">
        <v>4448</v>
      </c>
      <c r="B811" s="14" t="s">
        <v>2369</v>
      </c>
      <c r="C811" s="14" t="s">
        <v>3377</v>
      </c>
      <c r="D811" s="14">
        <v>551176.04</v>
      </c>
      <c r="E811" s="14">
        <v>5460.91</v>
      </c>
      <c r="F811" s="15">
        <v>44669</v>
      </c>
      <c r="G811" s="15">
        <v>45804</v>
      </c>
      <c r="H811" s="14" t="s">
        <v>4415</v>
      </c>
      <c r="I811" s="14" t="s">
        <v>3373</v>
      </c>
      <c r="J811" s="13" t="str" cm="1">
        <f t="array" ref="J811">_xlfn.IFS(
  OR(ISBLANK(A811),ISBLANK(B811),ISBLANK(H811),ISBLANK(D811),ISBLANK(E811)),"Missing Value",
  D811&lt;=0,"Review – Out of Range (Coverage)",
  E811&lt;=0,"Review – Out of Range (Premium)",
  TRUE,"OK"
)</f>
        <v>OK</v>
      </c>
    </row>
    <row r="812" spans="1:10" ht="16.8" x14ac:dyDescent="0.3">
      <c r="A812" s="11" t="s">
        <v>4449</v>
      </c>
      <c r="B812" s="11" t="s">
        <v>1315</v>
      </c>
      <c r="C812" s="11" t="s">
        <v>3359</v>
      </c>
      <c r="D812" s="11">
        <v>713637.64</v>
      </c>
      <c r="E812" s="11">
        <v>3677.42</v>
      </c>
      <c r="F812" s="12">
        <v>45222</v>
      </c>
      <c r="G812" s="12">
        <v>45393</v>
      </c>
      <c r="H812" s="11" t="s">
        <v>3480</v>
      </c>
      <c r="I812" s="11" t="s">
        <v>3365</v>
      </c>
      <c r="J812" s="13" t="str" cm="1">
        <f t="array" ref="J812">_xlfn.IFS(
  OR(ISBLANK(A812),ISBLANK(B812),ISBLANK(H812),ISBLANK(D812),ISBLANK(E812)),"Missing Value",
  D812&lt;=0,"Review – Out of Range (Coverage)",
  E812&lt;=0,"Review – Out of Range (Premium)",
  TRUE,"OK"
)</f>
        <v>OK</v>
      </c>
    </row>
    <row r="813" spans="1:10" ht="16.8" x14ac:dyDescent="0.3">
      <c r="A813" s="14" t="s">
        <v>4450</v>
      </c>
      <c r="B813" s="14" t="s">
        <v>743</v>
      </c>
      <c r="C813" s="14" t="s">
        <v>3380</v>
      </c>
      <c r="D813" s="14">
        <v>177616.32</v>
      </c>
      <c r="E813" s="14">
        <v>34814.589999999997</v>
      </c>
      <c r="F813" s="15">
        <v>44876</v>
      </c>
      <c r="G813" s="15">
        <v>45456</v>
      </c>
      <c r="H813" s="14" t="s">
        <v>3599</v>
      </c>
      <c r="I813" s="14" t="s">
        <v>3361</v>
      </c>
      <c r="J813" s="13" t="str" cm="1">
        <f t="array" ref="J813">_xlfn.IFS(
  OR(ISBLANK(A813),ISBLANK(B813),ISBLANK(H813),ISBLANK(D813),ISBLANK(E813)),"Missing Value",
  D813&lt;=0,"Review – Out of Range (Coverage)",
  E813&lt;=0,"Review – Out of Range (Premium)",
  TRUE,"OK"
)</f>
        <v>OK</v>
      </c>
    </row>
    <row r="814" spans="1:10" ht="16.8" x14ac:dyDescent="0.3">
      <c r="A814" s="11" t="s">
        <v>4451</v>
      </c>
      <c r="B814" s="11" t="s">
        <v>2039</v>
      </c>
      <c r="C814" s="11" t="s">
        <v>3363</v>
      </c>
      <c r="D814" s="11">
        <v>344041.4</v>
      </c>
      <c r="E814" s="11">
        <v>5969.02</v>
      </c>
      <c r="F814" s="12">
        <v>45117</v>
      </c>
      <c r="G814" s="12">
        <v>45618</v>
      </c>
      <c r="H814" s="11" t="s">
        <v>3515</v>
      </c>
      <c r="I814" s="11" t="s">
        <v>3373</v>
      </c>
      <c r="J814" s="13" t="str" cm="1">
        <f t="array" ref="J814">_xlfn.IFS(
  OR(ISBLANK(A814),ISBLANK(B814),ISBLANK(H814),ISBLANK(D814),ISBLANK(E814)),"Missing Value",
  D814&lt;=0,"Review – Out of Range (Coverage)",
  E814&lt;=0,"Review – Out of Range (Premium)",
  TRUE,"OK"
)</f>
        <v>OK</v>
      </c>
    </row>
    <row r="815" spans="1:10" ht="16.8" x14ac:dyDescent="0.3">
      <c r="A815" s="14" t="s">
        <v>4452</v>
      </c>
      <c r="B815" s="14" t="s">
        <v>1787</v>
      </c>
      <c r="C815" s="14" t="s">
        <v>3363</v>
      </c>
      <c r="D815" s="14">
        <v>745523.57</v>
      </c>
      <c r="E815" s="14">
        <v>33603.17</v>
      </c>
      <c r="F815" s="15">
        <v>45300</v>
      </c>
      <c r="G815" s="15">
        <v>45746</v>
      </c>
      <c r="H815" s="14" t="s">
        <v>4290</v>
      </c>
      <c r="I815" s="14" t="s">
        <v>3361</v>
      </c>
      <c r="J815" s="13" t="str" cm="1">
        <f t="array" ref="J815">_xlfn.IFS(
  OR(ISBLANK(A815),ISBLANK(B815),ISBLANK(H815),ISBLANK(D815),ISBLANK(E815)),"Missing Value",
  D815&lt;=0,"Review – Out of Range (Coverage)",
  E815&lt;=0,"Review – Out of Range (Premium)",
  TRUE,"OK"
)</f>
        <v>OK</v>
      </c>
    </row>
    <row r="816" spans="1:10" ht="16.8" x14ac:dyDescent="0.3">
      <c r="A816" s="11" t="s">
        <v>4453</v>
      </c>
      <c r="B816" s="11" t="s">
        <v>1733</v>
      </c>
      <c r="C816" s="11" t="s">
        <v>3359</v>
      </c>
      <c r="D816" s="11">
        <v>590681.42000000004</v>
      </c>
      <c r="E816" s="11">
        <v>21402.06</v>
      </c>
      <c r="F816" s="12">
        <v>45043</v>
      </c>
      <c r="G816" s="12">
        <v>45186</v>
      </c>
      <c r="H816" s="11" t="s">
        <v>3417</v>
      </c>
      <c r="I816" s="11" t="s">
        <v>3361</v>
      </c>
      <c r="J816" s="13" t="str" cm="1">
        <f t="array" ref="J816">_xlfn.IFS(
  OR(ISBLANK(A816),ISBLANK(B816),ISBLANK(H816),ISBLANK(D816),ISBLANK(E816)),"Missing Value",
  D816&lt;=0,"Review – Out of Range (Coverage)",
  E816&lt;=0,"Review – Out of Range (Premium)",
  TRUE,"OK"
)</f>
        <v>OK</v>
      </c>
    </row>
    <row r="817" spans="1:10" ht="16.8" x14ac:dyDescent="0.3">
      <c r="A817" s="14" t="s">
        <v>4454</v>
      </c>
      <c r="B817" s="14" t="s">
        <v>2407</v>
      </c>
      <c r="C817" s="14" t="s">
        <v>3359</v>
      </c>
      <c r="D817" s="14">
        <v>384676.4</v>
      </c>
      <c r="E817" s="14">
        <v>4870.4799999999996</v>
      </c>
      <c r="F817" s="15">
        <v>45245</v>
      </c>
      <c r="G817" s="15">
        <v>45756</v>
      </c>
      <c r="H817" s="14" t="s">
        <v>3534</v>
      </c>
      <c r="I817" s="14" t="s">
        <v>3373</v>
      </c>
      <c r="J817" s="13" t="str" cm="1">
        <f t="array" ref="J817">_xlfn.IFS(
  OR(ISBLANK(A817),ISBLANK(B817),ISBLANK(H817),ISBLANK(D817),ISBLANK(E817)),"Missing Value",
  D817&lt;=0,"Review – Out of Range (Coverage)",
  E817&lt;=0,"Review – Out of Range (Premium)",
  TRUE,"OK"
)</f>
        <v>OK</v>
      </c>
    </row>
    <row r="818" spans="1:10" ht="16.8" x14ac:dyDescent="0.3">
      <c r="A818" s="11" t="s">
        <v>4455</v>
      </c>
      <c r="B818" s="11" t="s">
        <v>653</v>
      </c>
      <c r="C818" s="11" t="s">
        <v>3371</v>
      </c>
      <c r="D818" s="11">
        <v>673187.77</v>
      </c>
      <c r="E818" s="11">
        <v>13357.48</v>
      </c>
      <c r="F818" s="12">
        <v>44065</v>
      </c>
      <c r="G818" s="12">
        <v>44931</v>
      </c>
      <c r="H818" s="11" t="s">
        <v>3685</v>
      </c>
      <c r="I818" s="11" t="s">
        <v>3365</v>
      </c>
      <c r="J818" s="13" t="str" cm="1">
        <f t="array" ref="J818">_xlfn.IFS(
  OR(ISBLANK(A818),ISBLANK(B818),ISBLANK(H818),ISBLANK(D818),ISBLANK(E818)),"Missing Value",
  D818&lt;=0,"Review – Out of Range (Coverage)",
  E818&lt;=0,"Review – Out of Range (Premium)",
  TRUE,"OK"
)</f>
        <v>OK</v>
      </c>
    </row>
    <row r="819" spans="1:10" ht="16.8" x14ac:dyDescent="0.3">
      <c r="A819" s="14" t="s">
        <v>4456</v>
      </c>
      <c r="B819" s="14" t="s">
        <v>2121</v>
      </c>
      <c r="C819" s="14" t="s">
        <v>3363</v>
      </c>
      <c r="D819" s="14">
        <v>484648.6</v>
      </c>
      <c r="E819" s="14">
        <v>37218.46</v>
      </c>
      <c r="F819" s="15">
        <v>44442</v>
      </c>
      <c r="G819" s="15">
        <v>44795</v>
      </c>
      <c r="H819" s="14" t="s">
        <v>3620</v>
      </c>
      <c r="I819" s="14" t="s">
        <v>3361</v>
      </c>
      <c r="J819" s="13" t="str" cm="1">
        <f t="array" ref="J819">_xlfn.IFS(
  OR(ISBLANK(A819),ISBLANK(B819),ISBLANK(H819),ISBLANK(D819),ISBLANK(E819)),"Missing Value",
  D819&lt;=0,"Review – Out of Range (Coverage)",
  E819&lt;=0,"Review – Out of Range (Premium)",
  TRUE,"OK"
)</f>
        <v>OK</v>
      </c>
    </row>
    <row r="820" spans="1:10" ht="16.8" x14ac:dyDescent="0.3">
      <c r="A820" s="11" t="s">
        <v>4457</v>
      </c>
      <c r="B820" s="11" t="s">
        <v>1367</v>
      </c>
      <c r="C820" s="11" t="s">
        <v>3380</v>
      </c>
      <c r="D820" s="11">
        <v>489522.17</v>
      </c>
      <c r="E820" s="11">
        <v>21670.44</v>
      </c>
      <c r="F820" s="12">
        <v>45349</v>
      </c>
      <c r="G820" s="12">
        <v>45698</v>
      </c>
      <c r="H820" s="11" t="s">
        <v>3436</v>
      </c>
      <c r="I820" s="11" t="s">
        <v>3365</v>
      </c>
      <c r="J820" s="13" t="str" cm="1">
        <f t="array" ref="J820">_xlfn.IFS(
  OR(ISBLANK(A820),ISBLANK(B820),ISBLANK(H820),ISBLANK(D820),ISBLANK(E820)),"Missing Value",
  D820&lt;=0,"Review – Out of Range (Coverage)",
  E820&lt;=0,"Review – Out of Range (Premium)",
  TRUE,"OK"
)</f>
        <v>OK</v>
      </c>
    </row>
    <row r="821" spans="1:10" ht="16.8" x14ac:dyDescent="0.3">
      <c r="A821" s="14" t="s">
        <v>4458</v>
      </c>
      <c r="B821" s="14" t="s">
        <v>621</v>
      </c>
      <c r="C821" s="14" t="s">
        <v>3359</v>
      </c>
      <c r="D821" s="14">
        <v>982494.52</v>
      </c>
      <c r="E821" s="14">
        <v>14516.61</v>
      </c>
      <c r="F821" s="15">
        <v>44110</v>
      </c>
      <c r="G821" s="15">
        <v>45839</v>
      </c>
      <c r="H821" s="14" t="s">
        <v>3507</v>
      </c>
      <c r="I821" s="14" t="s">
        <v>3373</v>
      </c>
      <c r="J821" s="13" t="str" cm="1">
        <f t="array" ref="J821">_xlfn.IFS(
  OR(ISBLANK(A821),ISBLANK(B821),ISBLANK(H821),ISBLANK(D821),ISBLANK(E821)),"Missing Value",
  D821&lt;=0,"Review – Out of Range (Coverage)",
  E821&lt;=0,"Review – Out of Range (Premium)",
  TRUE,"OK"
)</f>
        <v>OK</v>
      </c>
    </row>
    <row r="822" spans="1:10" ht="16.8" x14ac:dyDescent="0.3">
      <c r="A822" s="11" t="s">
        <v>4459</v>
      </c>
      <c r="B822" s="11" t="s">
        <v>2837</v>
      </c>
      <c r="C822" s="11" t="s">
        <v>3380</v>
      </c>
      <c r="D822" s="11">
        <v>824670.96</v>
      </c>
      <c r="E822" s="11">
        <v>44511.199999999997</v>
      </c>
      <c r="F822" s="12">
        <v>44655</v>
      </c>
      <c r="G822" s="12">
        <v>44777</v>
      </c>
      <c r="H822" s="11" t="s">
        <v>3484</v>
      </c>
      <c r="I822" s="11" t="s">
        <v>3365</v>
      </c>
      <c r="J822" s="13" t="str" cm="1">
        <f t="array" ref="J822">_xlfn.IFS(
  OR(ISBLANK(A822),ISBLANK(B822),ISBLANK(H822),ISBLANK(D822),ISBLANK(E822)),"Missing Value",
  D822&lt;=0,"Review – Out of Range (Coverage)",
  E822&lt;=0,"Review – Out of Range (Premium)",
  TRUE,"OK"
)</f>
        <v>OK</v>
      </c>
    </row>
    <row r="823" spans="1:10" ht="16.8" x14ac:dyDescent="0.3">
      <c r="A823" s="14" t="s">
        <v>4460</v>
      </c>
      <c r="B823" s="14" t="s">
        <v>3252</v>
      </c>
      <c r="C823" s="14" t="s">
        <v>3359</v>
      </c>
      <c r="D823" s="14">
        <v>341317.2</v>
      </c>
      <c r="E823" s="14">
        <v>20941.45</v>
      </c>
      <c r="F823" s="15">
        <v>44731</v>
      </c>
      <c r="G823" s="15">
        <v>45018</v>
      </c>
      <c r="H823" s="14" t="s">
        <v>3484</v>
      </c>
      <c r="I823" s="14" t="s">
        <v>3365</v>
      </c>
      <c r="J823" s="13" t="str" cm="1">
        <f t="array" ref="J823">_xlfn.IFS(
  OR(ISBLANK(A823),ISBLANK(B823),ISBLANK(H823),ISBLANK(D823),ISBLANK(E823)),"Missing Value",
  D823&lt;=0,"Review – Out of Range (Coverage)",
  E823&lt;=0,"Review – Out of Range (Premium)",
  TRUE,"OK"
)</f>
        <v>OK</v>
      </c>
    </row>
    <row r="824" spans="1:10" ht="16.8" x14ac:dyDescent="0.3">
      <c r="A824" s="11" t="s">
        <v>4461</v>
      </c>
      <c r="B824" s="11" t="s">
        <v>1111</v>
      </c>
      <c r="C824" s="11" t="s">
        <v>3359</v>
      </c>
      <c r="D824" s="11">
        <v>802352.9</v>
      </c>
      <c r="E824" s="11">
        <v>22979.78</v>
      </c>
      <c r="F824" s="12">
        <v>44962</v>
      </c>
      <c r="G824" s="12">
        <v>45447</v>
      </c>
      <c r="H824" s="11" t="s">
        <v>3632</v>
      </c>
      <c r="I824" s="11" t="s">
        <v>3361</v>
      </c>
      <c r="J824" s="13" t="str" cm="1">
        <f t="array" ref="J824">_xlfn.IFS(
  OR(ISBLANK(A824),ISBLANK(B824),ISBLANK(H824),ISBLANK(D824),ISBLANK(E824)),"Missing Value",
  D824&lt;=0,"Review – Out of Range (Coverage)",
  E824&lt;=0,"Review – Out of Range (Premium)",
  TRUE,"OK"
)</f>
        <v>OK</v>
      </c>
    </row>
    <row r="825" spans="1:10" ht="16.8" x14ac:dyDescent="0.3">
      <c r="A825" s="14" t="s">
        <v>4462</v>
      </c>
      <c r="B825" s="14" t="s">
        <v>2677</v>
      </c>
      <c r="C825" s="14" t="s">
        <v>3359</v>
      </c>
      <c r="D825" s="14">
        <v>689126.66</v>
      </c>
      <c r="E825" s="14">
        <v>7862.13</v>
      </c>
      <c r="F825" s="15">
        <v>44400</v>
      </c>
      <c r="G825" s="15">
        <v>44593</v>
      </c>
      <c r="H825" s="14" t="s">
        <v>4463</v>
      </c>
      <c r="I825" s="14" t="s">
        <v>3365</v>
      </c>
      <c r="J825" s="13" t="str" cm="1">
        <f t="array" ref="J825">_xlfn.IFS(
  OR(ISBLANK(A825),ISBLANK(B825),ISBLANK(H825),ISBLANK(D825),ISBLANK(E825)),"Missing Value",
  D825&lt;=0,"Review – Out of Range (Coverage)",
  E825&lt;=0,"Review – Out of Range (Premium)",
  TRUE,"OK"
)</f>
        <v>OK</v>
      </c>
    </row>
    <row r="826" spans="1:10" ht="16.8" x14ac:dyDescent="0.3">
      <c r="A826" s="11" t="s">
        <v>4464</v>
      </c>
      <c r="B826" s="11" t="s">
        <v>1017</v>
      </c>
      <c r="C826" s="11" t="s">
        <v>3380</v>
      </c>
      <c r="D826" s="11">
        <v>146972.84</v>
      </c>
      <c r="E826" s="11">
        <v>35073.81</v>
      </c>
      <c r="F826" s="12">
        <v>44177</v>
      </c>
      <c r="G826" s="12">
        <v>44224</v>
      </c>
      <c r="H826" s="11" t="s">
        <v>3409</v>
      </c>
      <c r="I826" s="11" t="s">
        <v>3373</v>
      </c>
      <c r="J826" s="13" t="str" cm="1">
        <f t="array" ref="J826">_xlfn.IFS(
  OR(ISBLANK(A826),ISBLANK(B826),ISBLANK(H826),ISBLANK(D826),ISBLANK(E826)),"Missing Value",
  D826&lt;=0,"Review – Out of Range (Coverage)",
  E826&lt;=0,"Review – Out of Range (Premium)",
  TRUE,"OK"
)</f>
        <v>OK</v>
      </c>
    </row>
    <row r="827" spans="1:10" ht="16.8" x14ac:dyDescent="0.3">
      <c r="A827" s="14" t="s">
        <v>4465</v>
      </c>
      <c r="B827" s="14" t="s">
        <v>522</v>
      </c>
      <c r="C827" s="14" t="s">
        <v>3380</v>
      </c>
      <c r="D827" s="14">
        <v>472308.99</v>
      </c>
      <c r="E827" s="14">
        <v>39086.550000000003</v>
      </c>
      <c r="F827" s="15">
        <v>45072</v>
      </c>
      <c r="G827" s="15">
        <v>45361</v>
      </c>
      <c r="H827" s="14" t="s">
        <v>3391</v>
      </c>
      <c r="I827" s="14" t="s">
        <v>3361</v>
      </c>
      <c r="J827" s="13" t="str" cm="1">
        <f t="array" ref="J827">_xlfn.IFS(
  OR(ISBLANK(A827),ISBLANK(B827),ISBLANK(H827),ISBLANK(D827),ISBLANK(E827)),"Missing Value",
  D827&lt;=0,"Review – Out of Range (Coverage)",
  E827&lt;=0,"Review – Out of Range (Premium)",
  TRUE,"OK"
)</f>
        <v>OK</v>
      </c>
    </row>
    <row r="828" spans="1:10" ht="16.8" x14ac:dyDescent="0.3">
      <c r="A828" s="11" t="s">
        <v>4466</v>
      </c>
      <c r="B828" s="11" t="s">
        <v>1535</v>
      </c>
      <c r="C828" s="11" t="s">
        <v>3377</v>
      </c>
      <c r="D828" s="11">
        <v>406050.1</v>
      </c>
      <c r="E828" s="11">
        <v>29499.95</v>
      </c>
      <c r="F828" s="12">
        <v>44557</v>
      </c>
      <c r="G828" s="12">
        <v>45255</v>
      </c>
      <c r="H828" s="11" t="s">
        <v>4123</v>
      </c>
      <c r="I828" s="11" t="s">
        <v>3361</v>
      </c>
      <c r="J828" s="13" t="str" cm="1">
        <f t="array" ref="J828">_xlfn.IFS(
  OR(ISBLANK(A828),ISBLANK(B828),ISBLANK(H828),ISBLANK(D828),ISBLANK(E828)),"Missing Value",
  D828&lt;=0,"Review – Out of Range (Coverage)",
  E828&lt;=0,"Review – Out of Range (Premium)",
  TRUE,"OK"
)</f>
        <v>OK</v>
      </c>
    </row>
    <row r="829" spans="1:10" ht="16.8" x14ac:dyDescent="0.3">
      <c r="A829" s="14" t="s">
        <v>4467</v>
      </c>
      <c r="B829" s="14" t="s">
        <v>1877</v>
      </c>
      <c r="C829" s="14" t="s">
        <v>3371</v>
      </c>
      <c r="D829" s="14">
        <v>965792.4</v>
      </c>
      <c r="E829" s="14">
        <v>25657.87</v>
      </c>
      <c r="F829" s="15">
        <v>44765</v>
      </c>
      <c r="G829" s="15">
        <v>45648</v>
      </c>
      <c r="H829" s="14" t="s">
        <v>3549</v>
      </c>
      <c r="I829" s="14" t="s">
        <v>3365</v>
      </c>
      <c r="J829" s="13" t="str" cm="1">
        <f t="array" ref="J829">_xlfn.IFS(
  OR(ISBLANK(A829),ISBLANK(B829),ISBLANK(H829),ISBLANK(D829),ISBLANK(E829)),"Missing Value",
  D829&lt;=0,"Review – Out of Range (Coverage)",
  E829&lt;=0,"Review – Out of Range (Premium)",
  TRUE,"OK"
)</f>
        <v>OK</v>
      </c>
    </row>
    <row r="830" spans="1:10" ht="16.8" x14ac:dyDescent="0.3">
      <c r="A830" s="11" t="s">
        <v>4468</v>
      </c>
      <c r="B830" s="11" t="s">
        <v>1073</v>
      </c>
      <c r="C830" s="11" t="s">
        <v>3371</v>
      </c>
      <c r="D830" s="11">
        <v>377616.28</v>
      </c>
      <c r="E830" s="11">
        <v>43094.58</v>
      </c>
      <c r="F830" s="12">
        <v>45433</v>
      </c>
      <c r="G830" s="12">
        <v>45547</v>
      </c>
      <c r="H830" s="11" t="s">
        <v>4098</v>
      </c>
      <c r="I830" s="11" t="s">
        <v>3361</v>
      </c>
      <c r="J830" s="13" t="str" cm="1">
        <f t="array" ref="J830">_xlfn.IFS(
  OR(ISBLANK(A830),ISBLANK(B830),ISBLANK(H830),ISBLANK(D830),ISBLANK(E830)),"Missing Value",
  D830&lt;=0,"Review – Out of Range (Coverage)",
  E830&lt;=0,"Review – Out of Range (Premium)",
  TRUE,"OK"
)</f>
        <v>OK</v>
      </c>
    </row>
    <row r="831" spans="1:10" ht="16.8" x14ac:dyDescent="0.3">
      <c r="A831" s="14" t="s">
        <v>4469</v>
      </c>
      <c r="B831" s="14" t="s">
        <v>224</v>
      </c>
      <c r="C831" s="14" t="s">
        <v>3377</v>
      </c>
      <c r="D831" s="14">
        <v>526401.61</v>
      </c>
      <c r="E831" s="14">
        <v>21588.46</v>
      </c>
      <c r="F831" s="15">
        <v>45494</v>
      </c>
      <c r="G831" s="15">
        <v>45513</v>
      </c>
      <c r="H831" s="14" t="s">
        <v>3670</v>
      </c>
      <c r="I831" s="14" t="s">
        <v>3373</v>
      </c>
      <c r="J831" s="13" t="str" cm="1">
        <f t="array" ref="J831">_xlfn.IFS(
  OR(ISBLANK(A831),ISBLANK(B831),ISBLANK(H831),ISBLANK(D831),ISBLANK(E831)),"Missing Value",
  D831&lt;=0,"Review – Out of Range (Coverage)",
  E831&lt;=0,"Review – Out of Range (Premium)",
  TRUE,"OK"
)</f>
        <v>OK</v>
      </c>
    </row>
    <row r="832" spans="1:10" ht="16.8" x14ac:dyDescent="0.3">
      <c r="A832" s="11" t="s">
        <v>4470</v>
      </c>
      <c r="B832" s="11" t="s">
        <v>561</v>
      </c>
      <c r="C832" s="11" t="s">
        <v>3371</v>
      </c>
      <c r="D832" s="11">
        <v>689696.83</v>
      </c>
      <c r="E832" s="11">
        <v>24796.23</v>
      </c>
      <c r="F832" s="12">
        <v>44258</v>
      </c>
      <c r="G832" s="12">
        <v>45695</v>
      </c>
      <c r="H832" s="11" t="s">
        <v>4098</v>
      </c>
      <c r="I832" s="11" t="s">
        <v>3373</v>
      </c>
      <c r="J832" s="13" t="str" cm="1">
        <f t="array" ref="J832">_xlfn.IFS(
  OR(ISBLANK(A832),ISBLANK(B832),ISBLANK(H832),ISBLANK(D832),ISBLANK(E832)),"Missing Value",
  D832&lt;=0,"Review – Out of Range (Coverage)",
  E832&lt;=0,"Review – Out of Range (Premium)",
  TRUE,"OK"
)</f>
        <v>OK</v>
      </c>
    </row>
    <row r="833" spans="1:10" ht="16.8" x14ac:dyDescent="0.3">
      <c r="A833" s="14" t="s">
        <v>4471</v>
      </c>
      <c r="B833" s="14" t="s">
        <v>1105</v>
      </c>
      <c r="C833" s="14" t="s">
        <v>3363</v>
      </c>
      <c r="D833" s="14">
        <v>101621.64</v>
      </c>
      <c r="E833" s="14">
        <v>32961.050000000003</v>
      </c>
      <c r="F833" s="15">
        <v>45231</v>
      </c>
      <c r="G833" s="15">
        <v>45658</v>
      </c>
      <c r="H833" s="14" t="s">
        <v>3427</v>
      </c>
      <c r="I833" s="14" t="s">
        <v>3361</v>
      </c>
      <c r="J833" s="13" t="str" cm="1">
        <f t="array" ref="J833">_xlfn.IFS(
  OR(ISBLANK(A833),ISBLANK(B833),ISBLANK(H833),ISBLANK(D833),ISBLANK(E833)),"Missing Value",
  D833&lt;=0,"Review – Out of Range (Coverage)",
  E833&lt;=0,"Review – Out of Range (Premium)",
  TRUE,"OK"
)</f>
        <v>OK</v>
      </c>
    </row>
    <row r="834" spans="1:10" ht="16.8" x14ac:dyDescent="0.3">
      <c r="A834" s="11" t="s">
        <v>4472</v>
      </c>
      <c r="B834" s="11" t="s">
        <v>2173</v>
      </c>
      <c r="C834" s="11" t="s">
        <v>3380</v>
      </c>
      <c r="D834" s="11">
        <v>574285.41</v>
      </c>
      <c r="E834" s="11">
        <v>31936.27</v>
      </c>
      <c r="F834" s="12">
        <v>45419</v>
      </c>
      <c r="G834" s="12">
        <v>45594</v>
      </c>
      <c r="H834" s="11" t="s">
        <v>4473</v>
      </c>
      <c r="I834" s="11" t="s">
        <v>3373</v>
      </c>
      <c r="J834" s="13" t="str" cm="1">
        <f t="array" ref="J834">_xlfn.IFS(
  OR(ISBLANK(A834),ISBLANK(B834),ISBLANK(H834),ISBLANK(D834),ISBLANK(E834)),"Missing Value",
  D834&lt;=0,"Review – Out of Range (Coverage)",
  E834&lt;=0,"Review – Out of Range (Premium)",
  TRUE,"OK"
)</f>
        <v>OK</v>
      </c>
    </row>
    <row r="835" spans="1:10" ht="16.8" x14ac:dyDescent="0.3">
      <c r="A835" s="14" t="s">
        <v>4474</v>
      </c>
      <c r="B835" s="14" t="s">
        <v>3106</v>
      </c>
      <c r="C835" s="14" t="s">
        <v>3359</v>
      </c>
      <c r="D835" s="14">
        <v>277565.63</v>
      </c>
      <c r="E835" s="14">
        <v>28199.79</v>
      </c>
      <c r="F835" s="15">
        <v>44141</v>
      </c>
      <c r="G835" s="15">
        <v>45163</v>
      </c>
      <c r="H835" s="14" t="s">
        <v>3834</v>
      </c>
      <c r="I835" s="14" t="s">
        <v>3373</v>
      </c>
      <c r="J835" s="13" t="str" cm="1">
        <f t="array" ref="J835">_xlfn.IFS(
  OR(ISBLANK(A835),ISBLANK(B835),ISBLANK(H835),ISBLANK(D835),ISBLANK(E835)),"Missing Value",
  D835&lt;=0,"Review – Out of Range (Coverage)",
  E835&lt;=0,"Review – Out of Range (Premium)",
  TRUE,"OK"
)</f>
        <v>OK</v>
      </c>
    </row>
    <row r="836" spans="1:10" ht="16.8" x14ac:dyDescent="0.3">
      <c r="A836" s="11" t="s">
        <v>4475</v>
      </c>
      <c r="B836" s="11" t="s">
        <v>3128</v>
      </c>
      <c r="C836" s="11" t="s">
        <v>3377</v>
      </c>
      <c r="D836" s="11">
        <v>332786.65999999997</v>
      </c>
      <c r="E836" s="11">
        <v>48736.66</v>
      </c>
      <c r="F836" s="12">
        <v>45287</v>
      </c>
      <c r="G836" s="12">
        <v>45362</v>
      </c>
      <c r="H836" s="11" t="s">
        <v>3495</v>
      </c>
      <c r="I836" s="11" t="s">
        <v>3373</v>
      </c>
      <c r="J836" s="13" t="str" cm="1">
        <f t="array" ref="J836">_xlfn.IFS(
  OR(ISBLANK(A836),ISBLANK(B836),ISBLANK(H836),ISBLANK(D836),ISBLANK(E836)),"Missing Value",
  D836&lt;=0,"Review – Out of Range (Coverage)",
  E836&lt;=0,"Review – Out of Range (Premium)",
  TRUE,"OK"
)</f>
        <v>OK</v>
      </c>
    </row>
    <row r="837" spans="1:10" ht="16.8" x14ac:dyDescent="0.3">
      <c r="A837" s="14" t="s">
        <v>4476</v>
      </c>
      <c r="B837" s="14" t="s">
        <v>2005</v>
      </c>
      <c r="C837" s="14" t="s">
        <v>3371</v>
      </c>
      <c r="D837" s="14">
        <v>424146.04</v>
      </c>
      <c r="E837" s="14">
        <v>27767.599999999999</v>
      </c>
      <c r="F837" s="15">
        <v>44792</v>
      </c>
      <c r="G837" s="15">
        <v>45420</v>
      </c>
      <c r="H837" s="14" t="s">
        <v>4170</v>
      </c>
      <c r="I837" s="14" t="s">
        <v>3361</v>
      </c>
      <c r="J837" s="13" t="str" cm="1">
        <f t="array" ref="J837">_xlfn.IFS(
  OR(ISBLANK(A837),ISBLANK(B837),ISBLANK(H837),ISBLANK(D837),ISBLANK(E837)),"Missing Value",
  D837&lt;=0,"Review – Out of Range (Coverage)",
  E837&lt;=0,"Review – Out of Range (Premium)",
  TRUE,"OK"
)</f>
        <v>OK</v>
      </c>
    </row>
    <row r="838" spans="1:10" ht="16.8" x14ac:dyDescent="0.3">
      <c r="A838" s="11" t="s">
        <v>4477</v>
      </c>
      <c r="B838" s="11" t="s">
        <v>979</v>
      </c>
      <c r="C838" s="11" t="s">
        <v>3359</v>
      </c>
      <c r="D838" s="11">
        <v>838930.34</v>
      </c>
      <c r="E838" s="11">
        <v>15228.55</v>
      </c>
      <c r="F838" s="12">
        <v>45270</v>
      </c>
      <c r="G838" s="12">
        <v>45758</v>
      </c>
      <c r="H838" s="11" t="s">
        <v>3549</v>
      </c>
      <c r="I838" s="11" t="s">
        <v>3365</v>
      </c>
      <c r="J838" s="13" t="str" cm="1">
        <f t="array" ref="J838">_xlfn.IFS(
  OR(ISBLANK(A838),ISBLANK(B838),ISBLANK(H838),ISBLANK(D838),ISBLANK(E838)),"Missing Value",
  D838&lt;=0,"Review – Out of Range (Coverage)",
  E838&lt;=0,"Review – Out of Range (Premium)",
  TRUE,"OK"
)</f>
        <v>OK</v>
      </c>
    </row>
    <row r="839" spans="1:10" ht="16.8" x14ac:dyDescent="0.3">
      <c r="A839" s="14" t="s">
        <v>4478</v>
      </c>
      <c r="B839" s="14" t="s">
        <v>2937</v>
      </c>
      <c r="C839" s="14" t="s">
        <v>3359</v>
      </c>
      <c r="D839" s="14">
        <v>123456.62</v>
      </c>
      <c r="E839" s="14">
        <v>24335.81</v>
      </c>
      <c r="F839" s="15">
        <v>45107</v>
      </c>
      <c r="G839" s="15">
        <v>45777</v>
      </c>
      <c r="H839" s="14" t="s">
        <v>4439</v>
      </c>
      <c r="I839" s="14" t="s">
        <v>3373</v>
      </c>
      <c r="J839" s="13" t="str" cm="1">
        <f t="array" ref="J839">_xlfn.IFS(
  OR(ISBLANK(A839),ISBLANK(B839),ISBLANK(H839),ISBLANK(D839),ISBLANK(E839)),"Missing Value",
  D839&lt;=0,"Review – Out of Range (Coverage)",
  E839&lt;=0,"Review – Out of Range (Premium)",
  TRUE,"OK"
)</f>
        <v>OK</v>
      </c>
    </row>
    <row r="840" spans="1:10" ht="16.8" x14ac:dyDescent="0.3">
      <c r="A840" s="11" t="s">
        <v>4479</v>
      </c>
      <c r="B840" s="11" t="s">
        <v>1873</v>
      </c>
      <c r="C840" s="11" t="s">
        <v>3380</v>
      </c>
      <c r="D840" s="11">
        <v>610611.62</v>
      </c>
      <c r="E840" s="11">
        <v>47620.71</v>
      </c>
      <c r="F840" s="12">
        <v>45356</v>
      </c>
      <c r="G840" s="12">
        <v>45533</v>
      </c>
      <c r="H840" s="11" t="s">
        <v>3886</v>
      </c>
      <c r="I840" s="11" t="s">
        <v>3373</v>
      </c>
      <c r="J840" s="13" t="str" cm="1">
        <f t="array" ref="J840">_xlfn.IFS(
  OR(ISBLANK(A840),ISBLANK(B840),ISBLANK(H840),ISBLANK(D840),ISBLANK(E840)),"Missing Value",
  D840&lt;=0,"Review – Out of Range (Coverage)",
  E840&lt;=0,"Review – Out of Range (Premium)",
  TRUE,"OK"
)</f>
        <v>OK</v>
      </c>
    </row>
    <row r="841" spans="1:10" ht="16.8" x14ac:dyDescent="0.3">
      <c r="A841" s="14" t="s">
        <v>4480</v>
      </c>
      <c r="B841" s="14" t="s">
        <v>2373</v>
      </c>
      <c r="C841" s="14" t="s">
        <v>3359</v>
      </c>
      <c r="D841" s="14">
        <v>103134.01</v>
      </c>
      <c r="E841" s="14">
        <v>5421.15</v>
      </c>
      <c r="F841" s="15">
        <v>44489</v>
      </c>
      <c r="G841" s="15">
        <v>45810</v>
      </c>
      <c r="H841" s="14" t="s">
        <v>4102</v>
      </c>
      <c r="I841" s="14" t="s">
        <v>3373</v>
      </c>
      <c r="J841" s="13" t="str" cm="1">
        <f t="array" ref="J841">_xlfn.IFS(
  OR(ISBLANK(A841),ISBLANK(B841),ISBLANK(H841),ISBLANK(D841),ISBLANK(E841)),"Missing Value",
  D841&lt;=0,"Review – Out of Range (Coverage)",
  E841&lt;=0,"Review – Out of Range (Premium)",
  TRUE,"OK"
)</f>
        <v>OK</v>
      </c>
    </row>
    <row r="842" spans="1:10" ht="16.8" x14ac:dyDescent="0.3">
      <c r="A842" s="11" t="s">
        <v>4481</v>
      </c>
      <c r="B842" s="11" t="s">
        <v>482</v>
      </c>
      <c r="C842" s="11" t="s">
        <v>3359</v>
      </c>
      <c r="D842" s="11">
        <v>662423.52</v>
      </c>
      <c r="E842" s="11">
        <v>43572.69</v>
      </c>
      <c r="F842" s="12">
        <v>45398</v>
      </c>
      <c r="G842" s="12">
        <v>45851</v>
      </c>
      <c r="H842" s="11" t="s">
        <v>3677</v>
      </c>
      <c r="I842" s="11" t="s">
        <v>3365</v>
      </c>
      <c r="J842" s="13" t="str" cm="1">
        <f t="array" ref="J842">_xlfn.IFS(
  OR(ISBLANK(A842),ISBLANK(B842),ISBLANK(H842),ISBLANK(D842),ISBLANK(E842)),"Missing Value",
  D842&lt;=0,"Review – Out of Range (Coverage)",
  E842&lt;=0,"Review – Out of Range (Premium)",
  TRUE,"OK"
)</f>
        <v>OK</v>
      </c>
    </row>
    <row r="843" spans="1:10" ht="16.8" x14ac:dyDescent="0.3">
      <c r="A843" s="14" t="s">
        <v>4482</v>
      </c>
      <c r="B843" s="14" t="s">
        <v>1485</v>
      </c>
      <c r="C843" s="14" t="s">
        <v>3363</v>
      </c>
      <c r="D843" s="14">
        <v>323185.28999999998</v>
      </c>
      <c r="E843" s="14">
        <v>32663.360000000001</v>
      </c>
      <c r="F843" s="15">
        <v>44937</v>
      </c>
      <c r="G843" s="15">
        <v>45747</v>
      </c>
      <c r="H843" s="14" t="s">
        <v>3798</v>
      </c>
      <c r="I843" s="14" t="s">
        <v>3361</v>
      </c>
      <c r="J843" s="13" t="str" cm="1">
        <f t="array" ref="J843">_xlfn.IFS(
  OR(ISBLANK(A843),ISBLANK(B843),ISBLANK(H843),ISBLANK(D843),ISBLANK(E843)),"Missing Value",
  D843&lt;=0,"Review – Out of Range (Coverage)",
  E843&lt;=0,"Review – Out of Range (Premium)",
  TRUE,"OK"
)</f>
        <v>OK</v>
      </c>
    </row>
    <row r="844" spans="1:10" ht="16.8" x14ac:dyDescent="0.3">
      <c r="A844" s="11" t="s">
        <v>4483</v>
      </c>
      <c r="B844" s="11" t="s">
        <v>577</v>
      </c>
      <c r="C844" s="11" t="s">
        <v>3380</v>
      </c>
      <c r="D844" s="11">
        <v>748053.3</v>
      </c>
      <c r="E844" s="11">
        <v>12242.87</v>
      </c>
      <c r="F844" s="12">
        <v>45291</v>
      </c>
      <c r="G844" s="12">
        <v>45470</v>
      </c>
      <c r="H844" s="11" t="s">
        <v>3591</v>
      </c>
      <c r="I844" s="11" t="s">
        <v>3361</v>
      </c>
      <c r="J844" s="13" t="str" cm="1">
        <f t="array" ref="J844">_xlfn.IFS(
  OR(ISBLANK(A844),ISBLANK(B844),ISBLANK(H844),ISBLANK(D844),ISBLANK(E844)),"Missing Value",
  D844&lt;=0,"Review – Out of Range (Coverage)",
  E844&lt;=0,"Review – Out of Range (Premium)",
  TRUE,"OK"
)</f>
        <v>OK</v>
      </c>
    </row>
    <row r="845" spans="1:10" ht="16.8" x14ac:dyDescent="0.3">
      <c r="A845" s="14" t="s">
        <v>4484</v>
      </c>
      <c r="B845" s="14" t="s">
        <v>3218</v>
      </c>
      <c r="C845" s="14" t="s">
        <v>3380</v>
      </c>
      <c r="D845" s="14">
        <v>868409.56</v>
      </c>
      <c r="E845" s="14">
        <v>23204.01</v>
      </c>
      <c r="F845" s="15">
        <v>45398</v>
      </c>
      <c r="G845" s="15">
        <v>45599</v>
      </c>
      <c r="H845" s="14" t="s">
        <v>3859</v>
      </c>
      <c r="I845" s="14" t="s">
        <v>3373</v>
      </c>
      <c r="J845" s="13" t="str" cm="1">
        <f t="array" ref="J845">_xlfn.IFS(
  OR(ISBLANK(A845),ISBLANK(B845),ISBLANK(H845),ISBLANK(D845),ISBLANK(E845)),"Missing Value",
  D845&lt;=0,"Review – Out of Range (Coverage)",
  E845&lt;=0,"Review – Out of Range (Premium)",
  TRUE,"OK"
)</f>
        <v>OK</v>
      </c>
    </row>
    <row r="846" spans="1:10" ht="16.8" x14ac:dyDescent="0.3">
      <c r="A846" s="11" t="s">
        <v>4485</v>
      </c>
      <c r="B846" s="11" t="s">
        <v>2821</v>
      </c>
      <c r="C846" s="11" t="s">
        <v>3371</v>
      </c>
      <c r="D846" s="11">
        <v>146145.62</v>
      </c>
      <c r="E846" s="11">
        <v>21363.360000000001</v>
      </c>
      <c r="F846" s="12">
        <v>44373</v>
      </c>
      <c r="G846" s="12">
        <v>45802</v>
      </c>
      <c r="H846" s="11" t="s">
        <v>3391</v>
      </c>
      <c r="I846" s="11" t="s">
        <v>3373</v>
      </c>
      <c r="J846" s="13" t="str" cm="1">
        <f t="array" ref="J846">_xlfn.IFS(
  OR(ISBLANK(A846),ISBLANK(B846),ISBLANK(H846),ISBLANK(D846),ISBLANK(E846)),"Missing Value",
  D846&lt;=0,"Review – Out of Range (Coverage)",
  E846&lt;=0,"Review – Out of Range (Premium)",
  TRUE,"OK"
)</f>
        <v>OK</v>
      </c>
    </row>
    <row r="847" spans="1:10" ht="16.8" x14ac:dyDescent="0.3">
      <c r="A847" s="14" t="s">
        <v>4486</v>
      </c>
      <c r="B847" s="14" t="s">
        <v>2435</v>
      </c>
      <c r="C847" s="14" t="s">
        <v>3359</v>
      </c>
      <c r="D847" s="14">
        <v>552393.16</v>
      </c>
      <c r="E847" s="14">
        <v>18918.5</v>
      </c>
      <c r="F847" s="15">
        <v>44960</v>
      </c>
      <c r="G847" s="15">
        <v>45078</v>
      </c>
      <c r="H847" s="14" t="s">
        <v>3982</v>
      </c>
      <c r="I847" s="14" t="s">
        <v>3373</v>
      </c>
      <c r="J847" s="13" t="str" cm="1">
        <f t="array" ref="J847">_xlfn.IFS(
  OR(ISBLANK(A847),ISBLANK(B847),ISBLANK(H847),ISBLANK(D847),ISBLANK(E847)),"Missing Value",
  D847&lt;=0,"Review – Out of Range (Coverage)",
  E847&lt;=0,"Review – Out of Range (Premium)",
  TRUE,"OK"
)</f>
        <v>OK</v>
      </c>
    </row>
    <row r="848" spans="1:10" ht="16.8" x14ac:dyDescent="0.3">
      <c r="A848" s="11" t="s">
        <v>4487</v>
      </c>
      <c r="B848" s="11" t="s">
        <v>2261</v>
      </c>
      <c r="C848" s="11" t="s">
        <v>3380</v>
      </c>
      <c r="D848" s="11">
        <v>296250.71000000002</v>
      </c>
      <c r="E848" s="11">
        <v>14494.97</v>
      </c>
      <c r="F848" s="12">
        <v>44442</v>
      </c>
      <c r="G848" s="12">
        <v>44791</v>
      </c>
      <c r="H848" s="11" t="s">
        <v>3567</v>
      </c>
      <c r="I848" s="11" t="s">
        <v>3361</v>
      </c>
      <c r="J848" s="13" t="str" cm="1">
        <f t="array" ref="J848">_xlfn.IFS(
  OR(ISBLANK(A848),ISBLANK(B848),ISBLANK(H848),ISBLANK(D848),ISBLANK(E848)),"Missing Value",
  D848&lt;=0,"Review – Out of Range (Coverage)",
  E848&lt;=0,"Review – Out of Range (Premium)",
  TRUE,"OK"
)</f>
        <v>OK</v>
      </c>
    </row>
    <row r="849" spans="1:10" ht="16.8" x14ac:dyDescent="0.3">
      <c r="A849" s="14" t="s">
        <v>4488</v>
      </c>
      <c r="B849" s="14" t="s">
        <v>370</v>
      </c>
      <c r="C849" s="14" t="s">
        <v>3359</v>
      </c>
      <c r="D849" s="14">
        <v>379060.39</v>
      </c>
      <c r="E849" s="14">
        <v>27900.93</v>
      </c>
      <c r="F849" s="15">
        <v>45264</v>
      </c>
      <c r="G849" s="15">
        <v>45522</v>
      </c>
      <c r="H849" s="14" t="s">
        <v>3605</v>
      </c>
      <c r="I849" s="14" t="s">
        <v>3373</v>
      </c>
      <c r="J849" s="13" t="str" cm="1">
        <f t="array" ref="J849">_xlfn.IFS(
  OR(ISBLANK(A849),ISBLANK(B849),ISBLANK(H849),ISBLANK(D849),ISBLANK(E849)),"Missing Value",
  D849&lt;=0,"Review – Out of Range (Coverage)",
  E849&lt;=0,"Review – Out of Range (Premium)",
  TRUE,"OK"
)</f>
        <v>OK</v>
      </c>
    </row>
    <row r="850" spans="1:10" ht="16.8" x14ac:dyDescent="0.3">
      <c r="A850" s="11" t="s">
        <v>4489</v>
      </c>
      <c r="B850" s="11" t="s">
        <v>1677</v>
      </c>
      <c r="C850" s="11" t="s">
        <v>3363</v>
      </c>
      <c r="D850" s="11">
        <v>583969.48</v>
      </c>
      <c r="E850" s="11">
        <v>24557.22</v>
      </c>
      <c r="F850" s="12">
        <v>45125</v>
      </c>
      <c r="G850" s="12">
        <v>45224</v>
      </c>
      <c r="H850" s="11" t="s">
        <v>4108</v>
      </c>
      <c r="I850" s="11" t="s">
        <v>3365</v>
      </c>
      <c r="J850" s="13" t="str" cm="1">
        <f t="array" ref="J850">_xlfn.IFS(
  OR(ISBLANK(A850),ISBLANK(B850),ISBLANK(H850),ISBLANK(D850),ISBLANK(E850)),"Missing Value",
  D850&lt;=0,"Review – Out of Range (Coverage)",
  E850&lt;=0,"Review – Out of Range (Premium)",
  TRUE,"OK"
)</f>
        <v>OK</v>
      </c>
    </row>
    <row r="851" spans="1:10" ht="16.8" x14ac:dyDescent="0.3">
      <c r="A851" s="14" t="s">
        <v>4490</v>
      </c>
      <c r="B851" s="14" t="s">
        <v>2291</v>
      </c>
      <c r="C851" s="14" t="s">
        <v>3363</v>
      </c>
      <c r="D851" s="14">
        <v>581174.75</v>
      </c>
      <c r="E851" s="14">
        <v>43081.39</v>
      </c>
      <c r="F851" s="15">
        <v>45281</v>
      </c>
      <c r="G851" s="15">
        <v>45672</v>
      </c>
      <c r="H851" s="14" t="s">
        <v>4247</v>
      </c>
      <c r="I851" s="14" t="s">
        <v>3365</v>
      </c>
      <c r="J851" s="13" t="str" cm="1">
        <f t="array" ref="J851">_xlfn.IFS(
  OR(ISBLANK(A851),ISBLANK(B851),ISBLANK(H851),ISBLANK(D851),ISBLANK(E851)),"Missing Value",
  D851&lt;=0,"Review – Out of Range (Coverage)",
  E851&lt;=0,"Review – Out of Range (Premium)",
  TRUE,"OK"
)</f>
        <v>OK</v>
      </c>
    </row>
    <row r="852" spans="1:10" ht="16.8" x14ac:dyDescent="0.3">
      <c r="A852" s="11" t="s">
        <v>4491</v>
      </c>
      <c r="B852" s="11" t="s">
        <v>186</v>
      </c>
      <c r="C852" s="11" t="s">
        <v>3377</v>
      </c>
      <c r="D852" s="11">
        <v>697923.32</v>
      </c>
      <c r="E852" s="11">
        <v>7078.64</v>
      </c>
      <c r="F852" s="12">
        <v>45311</v>
      </c>
      <c r="G852" s="12">
        <v>45674</v>
      </c>
      <c r="H852" s="11" t="s">
        <v>4410</v>
      </c>
      <c r="I852" s="11" t="s">
        <v>3361</v>
      </c>
      <c r="J852" s="13" t="str" cm="1">
        <f t="array" ref="J852">_xlfn.IFS(
  OR(ISBLANK(A852),ISBLANK(B852),ISBLANK(H852),ISBLANK(D852),ISBLANK(E852)),"Missing Value",
  D852&lt;=0,"Review – Out of Range (Coverage)",
  E852&lt;=0,"Review – Out of Range (Premium)",
  TRUE,"OK"
)</f>
        <v>OK</v>
      </c>
    </row>
    <row r="853" spans="1:10" ht="16.8" x14ac:dyDescent="0.3">
      <c r="A853" s="14" t="s">
        <v>4492</v>
      </c>
      <c r="B853" s="14" t="s">
        <v>3048</v>
      </c>
      <c r="C853" s="14" t="s">
        <v>3371</v>
      </c>
      <c r="D853" s="14">
        <v>163819.35999999999</v>
      </c>
      <c r="E853" s="14">
        <v>12438.73</v>
      </c>
      <c r="F853" s="15">
        <v>45339</v>
      </c>
      <c r="G853" s="15">
        <v>45714</v>
      </c>
      <c r="H853" s="14" t="s">
        <v>3868</v>
      </c>
      <c r="I853" s="14" t="s">
        <v>3373</v>
      </c>
      <c r="J853" s="13" t="str" cm="1">
        <f t="array" ref="J853">_xlfn.IFS(
  OR(ISBLANK(A853),ISBLANK(B853),ISBLANK(H853),ISBLANK(D853),ISBLANK(E853)),"Missing Value",
  D853&lt;=0,"Review – Out of Range (Coverage)",
  E853&lt;=0,"Review – Out of Range (Premium)",
  TRUE,"OK"
)</f>
        <v>OK</v>
      </c>
    </row>
    <row r="854" spans="1:10" ht="16.8" x14ac:dyDescent="0.3">
      <c r="A854" s="11" t="s">
        <v>4493</v>
      </c>
      <c r="B854" s="11" t="s">
        <v>2159</v>
      </c>
      <c r="C854" s="11" t="s">
        <v>3363</v>
      </c>
      <c r="D854" s="11">
        <v>567642.16</v>
      </c>
      <c r="E854" s="11">
        <v>33407.129999999997</v>
      </c>
      <c r="F854" s="12">
        <v>44383</v>
      </c>
      <c r="G854" s="12">
        <v>44577</v>
      </c>
      <c r="H854" s="11" t="s">
        <v>4102</v>
      </c>
      <c r="I854" s="11" t="s">
        <v>3373</v>
      </c>
      <c r="J854" s="13" t="str" cm="1">
        <f t="array" ref="J854">_xlfn.IFS(
  OR(ISBLANK(A854),ISBLANK(B854),ISBLANK(H854),ISBLANK(D854),ISBLANK(E854)),"Missing Value",
  D854&lt;=0,"Review – Out of Range (Coverage)",
  E854&lt;=0,"Review – Out of Range (Premium)",
  TRUE,"OK"
)</f>
        <v>OK</v>
      </c>
    </row>
    <row r="855" spans="1:10" ht="16.8" x14ac:dyDescent="0.3">
      <c r="A855" s="14" t="s">
        <v>4494</v>
      </c>
      <c r="B855" s="14" t="s">
        <v>3184</v>
      </c>
      <c r="C855" s="14" t="s">
        <v>3380</v>
      </c>
      <c r="D855" s="14">
        <v>655725.21</v>
      </c>
      <c r="E855" s="14">
        <v>16335.89</v>
      </c>
      <c r="F855" s="15">
        <v>45313</v>
      </c>
      <c r="G855" s="15">
        <v>45313</v>
      </c>
      <c r="H855" s="14" t="s">
        <v>4064</v>
      </c>
      <c r="I855" s="14" t="s">
        <v>3361</v>
      </c>
      <c r="J855" s="13" t="str" cm="1">
        <f t="array" ref="J855">_xlfn.IFS(
  OR(ISBLANK(A855),ISBLANK(B855),ISBLANK(H855),ISBLANK(D855),ISBLANK(E855)),"Missing Value",
  D855&lt;=0,"Review – Out of Range (Coverage)",
  E855&lt;=0,"Review – Out of Range (Premium)",
  TRUE,"OK"
)</f>
        <v>OK</v>
      </c>
    </row>
    <row r="856" spans="1:10" ht="16.8" x14ac:dyDescent="0.3">
      <c r="A856" s="11" t="s">
        <v>4495</v>
      </c>
      <c r="B856" s="11" t="s">
        <v>434</v>
      </c>
      <c r="C856" s="11" t="s">
        <v>3371</v>
      </c>
      <c r="D856" s="11">
        <v>897459.27</v>
      </c>
      <c r="E856" s="11">
        <v>11860.93</v>
      </c>
      <c r="F856" s="12">
        <v>44673</v>
      </c>
      <c r="G856" s="12">
        <v>44760</v>
      </c>
      <c r="H856" s="11" t="s">
        <v>3863</v>
      </c>
      <c r="I856" s="11" t="s">
        <v>3361</v>
      </c>
      <c r="J856" s="13" t="str" cm="1">
        <f t="array" ref="J856">_xlfn.IFS(
  OR(ISBLANK(A856),ISBLANK(B856),ISBLANK(H856),ISBLANK(D856),ISBLANK(E856)),"Missing Value",
  D856&lt;=0,"Review – Out of Range (Coverage)",
  E856&lt;=0,"Review – Out of Range (Premium)",
  TRUE,"OK"
)</f>
        <v>OK</v>
      </c>
    </row>
    <row r="857" spans="1:10" ht="16.8" x14ac:dyDescent="0.3">
      <c r="A857" s="14" t="s">
        <v>4496</v>
      </c>
      <c r="B857" s="14" t="s">
        <v>2337</v>
      </c>
      <c r="C857" s="14" t="s">
        <v>3371</v>
      </c>
      <c r="D857" s="14">
        <v>451117.36</v>
      </c>
      <c r="E857" s="14">
        <v>13550.57</v>
      </c>
      <c r="F857" s="15">
        <v>44097</v>
      </c>
      <c r="G857" s="15">
        <v>44368</v>
      </c>
      <c r="H857" s="14" t="s">
        <v>3511</v>
      </c>
      <c r="I857" s="14" t="s">
        <v>3365</v>
      </c>
      <c r="J857" s="13" t="str" cm="1">
        <f t="array" ref="J857">_xlfn.IFS(
  OR(ISBLANK(A857),ISBLANK(B857),ISBLANK(H857),ISBLANK(D857),ISBLANK(E857)),"Missing Value",
  D857&lt;=0,"Review – Out of Range (Coverage)",
  E857&lt;=0,"Review – Out of Range (Premium)",
  TRUE,"OK"
)</f>
        <v>OK</v>
      </c>
    </row>
    <row r="858" spans="1:10" ht="16.8" x14ac:dyDescent="0.3">
      <c r="A858" s="11" t="s">
        <v>4497</v>
      </c>
      <c r="B858" s="11" t="s">
        <v>3092</v>
      </c>
      <c r="C858" s="11" t="s">
        <v>3377</v>
      </c>
      <c r="D858" s="11">
        <v>914901.42</v>
      </c>
      <c r="E858" s="11">
        <v>10024.34</v>
      </c>
      <c r="F858" s="12">
        <v>44496</v>
      </c>
      <c r="G858" s="12">
        <v>45265</v>
      </c>
      <c r="H858" s="11" t="s">
        <v>3735</v>
      </c>
      <c r="I858" s="11" t="s">
        <v>3373</v>
      </c>
      <c r="J858" s="13" t="str" cm="1">
        <f t="array" ref="J858">_xlfn.IFS(
  OR(ISBLANK(A858),ISBLANK(B858),ISBLANK(H858),ISBLANK(D858),ISBLANK(E858)),"Missing Value",
  D858&lt;=0,"Review – Out of Range (Coverage)",
  E858&lt;=0,"Review – Out of Range (Premium)",
  TRUE,"OK"
)</f>
        <v>OK</v>
      </c>
    </row>
    <row r="859" spans="1:10" ht="16.8" x14ac:dyDescent="0.3">
      <c r="A859" s="14" t="s">
        <v>4498</v>
      </c>
      <c r="B859" s="14" t="s">
        <v>3011</v>
      </c>
      <c r="C859" s="14" t="s">
        <v>3380</v>
      </c>
      <c r="D859" s="14">
        <v>961340.74</v>
      </c>
      <c r="E859" s="14">
        <v>39203.129999999997</v>
      </c>
      <c r="F859" s="15">
        <v>45012</v>
      </c>
      <c r="G859" s="15">
        <v>45369</v>
      </c>
      <c r="H859" s="14" t="s">
        <v>3709</v>
      </c>
      <c r="I859" s="14" t="s">
        <v>3361</v>
      </c>
      <c r="J859" s="13" t="str" cm="1">
        <f t="array" ref="J859">_xlfn.IFS(
  OR(ISBLANK(A859),ISBLANK(B859),ISBLANK(H859),ISBLANK(D859),ISBLANK(E859)),"Missing Value",
  D859&lt;=0,"Review – Out of Range (Coverage)",
  E859&lt;=0,"Review – Out of Range (Premium)",
  TRUE,"OK"
)</f>
        <v>OK</v>
      </c>
    </row>
    <row r="860" spans="1:10" ht="16.8" x14ac:dyDescent="0.3">
      <c r="A860" s="11" t="s">
        <v>4499</v>
      </c>
      <c r="B860" s="11" t="s">
        <v>2021</v>
      </c>
      <c r="C860" s="11" t="s">
        <v>3359</v>
      </c>
      <c r="D860" s="11">
        <v>925629.29</v>
      </c>
      <c r="E860" s="11">
        <v>26622.62</v>
      </c>
      <c r="F860" s="12">
        <v>44687</v>
      </c>
      <c r="G860" s="12">
        <v>45719</v>
      </c>
      <c r="H860" s="11" t="s">
        <v>3429</v>
      </c>
      <c r="I860" s="11" t="s">
        <v>3365</v>
      </c>
      <c r="J860" s="13" t="str" cm="1">
        <f t="array" ref="J860">_xlfn.IFS(
  OR(ISBLANK(A860),ISBLANK(B860),ISBLANK(H860),ISBLANK(D860),ISBLANK(E860)),"Missing Value",
  D860&lt;=0,"Review – Out of Range (Coverage)",
  E860&lt;=0,"Review – Out of Range (Premium)",
  TRUE,"OK"
)</f>
        <v>OK</v>
      </c>
    </row>
    <row r="861" spans="1:10" ht="16.8" x14ac:dyDescent="0.3">
      <c r="A861" s="14" t="s">
        <v>4500</v>
      </c>
      <c r="B861" s="14" t="s">
        <v>897</v>
      </c>
      <c r="C861" s="14" t="s">
        <v>3363</v>
      </c>
      <c r="D861" s="14">
        <v>189947.99</v>
      </c>
      <c r="E861" s="14">
        <v>11731.71</v>
      </c>
      <c r="F861" s="15">
        <v>45049</v>
      </c>
      <c r="G861" s="15">
        <v>45393</v>
      </c>
      <c r="H861" s="14" t="s">
        <v>3517</v>
      </c>
      <c r="I861" s="14" t="s">
        <v>3365</v>
      </c>
      <c r="J861" s="13" t="str" cm="1">
        <f t="array" ref="J861">_xlfn.IFS(
  OR(ISBLANK(A861),ISBLANK(B861),ISBLANK(H861),ISBLANK(D861),ISBLANK(E861)),"Missing Value",
  D861&lt;=0,"Review – Out of Range (Coverage)",
  E861&lt;=0,"Review – Out of Range (Premium)",
  TRUE,"OK"
)</f>
        <v>OK</v>
      </c>
    </row>
    <row r="862" spans="1:10" ht="16.8" x14ac:dyDescent="0.3">
      <c r="A862" s="11" t="s">
        <v>4501</v>
      </c>
      <c r="B862" s="11" t="s">
        <v>3098</v>
      </c>
      <c r="C862" s="11" t="s">
        <v>3380</v>
      </c>
      <c r="D862" s="11">
        <v>257098.23</v>
      </c>
      <c r="E862" s="11">
        <v>13792.43</v>
      </c>
      <c r="F862" s="12">
        <v>45370</v>
      </c>
      <c r="G862" s="12">
        <v>45619</v>
      </c>
      <c r="H862" s="11" t="s">
        <v>3601</v>
      </c>
      <c r="I862" s="11" t="s">
        <v>3365</v>
      </c>
      <c r="J862" s="13" t="str" cm="1">
        <f t="array" ref="J862">_xlfn.IFS(
  OR(ISBLANK(A862),ISBLANK(B862),ISBLANK(H862),ISBLANK(D862),ISBLANK(E862)),"Missing Value",
  D862&lt;=0,"Review – Out of Range (Coverage)",
  E862&lt;=0,"Review – Out of Range (Premium)",
  TRUE,"OK"
)</f>
        <v>OK</v>
      </c>
    </row>
    <row r="863" spans="1:10" ht="16.8" x14ac:dyDescent="0.3">
      <c r="A863" s="14" t="s">
        <v>4502</v>
      </c>
      <c r="B863" s="14" t="s">
        <v>1787</v>
      </c>
      <c r="C863" s="14" t="s">
        <v>3380</v>
      </c>
      <c r="D863" s="14">
        <v>738974.64</v>
      </c>
      <c r="E863" s="14">
        <v>3477.48</v>
      </c>
      <c r="F863" s="15">
        <v>45125</v>
      </c>
      <c r="G863" s="15">
        <v>45563</v>
      </c>
      <c r="H863" s="14" t="s">
        <v>3809</v>
      </c>
      <c r="I863" s="14" t="s">
        <v>3365</v>
      </c>
      <c r="J863" s="13" t="str" cm="1">
        <f t="array" ref="J863">_xlfn.IFS(
  OR(ISBLANK(A863),ISBLANK(B863),ISBLANK(H863),ISBLANK(D863),ISBLANK(E863)),"Missing Value",
  D863&lt;=0,"Review – Out of Range (Coverage)",
  E863&lt;=0,"Review – Out of Range (Premium)",
  TRUE,"OK"
)</f>
        <v>OK</v>
      </c>
    </row>
    <row r="864" spans="1:10" ht="16.8" x14ac:dyDescent="0.3">
      <c r="A864" s="11" t="s">
        <v>4503</v>
      </c>
      <c r="B864" s="11" t="s">
        <v>276</v>
      </c>
      <c r="C864" s="11" t="s">
        <v>3377</v>
      </c>
      <c r="D864" s="11">
        <v>553419.17000000004</v>
      </c>
      <c r="E864" s="11">
        <v>6377.88</v>
      </c>
      <c r="F864" s="12">
        <v>45107</v>
      </c>
      <c r="G864" s="12">
        <v>45561</v>
      </c>
      <c r="H864" s="11" t="s">
        <v>3564</v>
      </c>
      <c r="I864" s="11" t="s">
        <v>3361</v>
      </c>
      <c r="J864" s="13" t="str" cm="1">
        <f t="array" ref="J864">_xlfn.IFS(
  OR(ISBLANK(A864),ISBLANK(B864),ISBLANK(H864),ISBLANK(D864),ISBLANK(E864)),"Missing Value",
  D864&lt;=0,"Review – Out of Range (Coverage)",
  E864&lt;=0,"Review – Out of Range (Premium)",
  TRUE,"OK"
)</f>
        <v>OK</v>
      </c>
    </row>
    <row r="865" spans="1:10" ht="16.8" x14ac:dyDescent="0.3">
      <c r="A865" s="14" t="s">
        <v>4504</v>
      </c>
      <c r="B865" s="14" t="s">
        <v>1167</v>
      </c>
      <c r="C865" s="14" t="s">
        <v>3371</v>
      </c>
      <c r="D865" s="14">
        <v>168983.89</v>
      </c>
      <c r="E865" s="14">
        <v>48048.19</v>
      </c>
      <c r="F865" s="15">
        <v>44746</v>
      </c>
      <c r="G865" s="15">
        <v>45320</v>
      </c>
      <c r="H865" s="14" t="s">
        <v>4423</v>
      </c>
      <c r="I865" s="14" t="s">
        <v>3373</v>
      </c>
      <c r="J865" s="13" t="str" cm="1">
        <f t="array" ref="J865">_xlfn.IFS(
  OR(ISBLANK(A865),ISBLANK(B865),ISBLANK(H865),ISBLANK(D865),ISBLANK(E865)),"Missing Value",
  D865&lt;=0,"Review – Out of Range (Coverage)",
  E865&lt;=0,"Review – Out of Range (Premium)",
  TRUE,"OK"
)</f>
        <v>OK</v>
      </c>
    </row>
    <row r="866" spans="1:10" ht="16.8" x14ac:dyDescent="0.3">
      <c r="A866" s="11" t="s">
        <v>4505</v>
      </c>
      <c r="B866" s="11" t="s">
        <v>2865</v>
      </c>
      <c r="C866" s="11" t="s">
        <v>3363</v>
      </c>
      <c r="D866" s="11">
        <v>862502.12</v>
      </c>
      <c r="E866" s="11">
        <v>20076.39</v>
      </c>
      <c r="F866" s="12">
        <v>44904</v>
      </c>
      <c r="G866" s="12">
        <v>44940</v>
      </c>
      <c r="H866" s="11" t="s">
        <v>3399</v>
      </c>
      <c r="I866" s="11" t="s">
        <v>3361</v>
      </c>
      <c r="J866" s="13" t="str" cm="1">
        <f t="array" ref="J866">_xlfn.IFS(
  OR(ISBLANK(A866),ISBLANK(B866),ISBLANK(H866),ISBLANK(D866),ISBLANK(E866)),"Missing Value",
  D866&lt;=0,"Review – Out of Range (Coverage)",
  E866&lt;=0,"Review – Out of Range (Premium)",
  TRUE,"OK"
)</f>
        <v>OK</v>
      </c>
    </row>
    <row r="867" spans="1:10" ht="16.8" x14ac:dyDescent="0.3">
      <c r="A867" s="14" t="s">
        <v>4506</v>
      </c>
      <c r="B867" s="14" t="s">
        <v>1597</v>
      </c>
      <c r="C867" s="14" t="s">
        <v>3371</v>
      </c>
      <c r="D867" s="14">
        <v>913972.01</v>
      </c>
      <c r="E867" s="14">
        <v>47570.02</v>
      </c>
      <c r="F867" s="15">
        <v>45204</v>
      </c>
      <c r="G867" s="15">
        <v>45795</v>
      </c>
      <c r="H867" s="14" t="s">
        <v>3947</v>
      </c>
      <c r="I867" s="14" t="s">
        <v>3361</v>
      </c>
      <c r="J867" s="13" t="str" cm="1">
        <f t="array" ref="J867">_xlfn.IFS(
  OR(ISBLANK(A867),ISBLANK(B867),ISBLANK(H867),ISBLANK(D867),ISBLANK(E867)),"Missing Value",
  D867&lt;=0,"Review – Out of Range (Coverage)",
  E867&lt;=0,"Review – Out of Range (Premium)",
  TRUE,"OK"
)</f>
        <v>OK</v>
      </c>
    </row>
    <row r="868" spans="1:10" ht="16.8" x14ac:dyDescent="0.3">
      <c r="A868" s="11" t="s">
        <v>4507</v>
      </c>
      <c r="B868" s="11" t="s">
        <v>374</v>
      </c>
      <c r="C868" s="11" t="s">
        <v>3363</v>
      </c>
      <c r="D868" s="11">
        <v>572715.43000000005</v>
      </c>
      <c r="E868" s="11">
        <v>26138.78</v>
      </c>
      <c r="F868" s="12">
        <v>44996</v>
      </c>
      <c r="G868" s="12">
        <v>45330</v>
      </c>
      <c r="H868" s="11" t="s">
        <v>3744</v>
      </c>
      <c r="I868" s="11" t="s">
        <v>3365</v>
      </c>
      <c r="J868" s="13" t="str" cm="1">
        <f t="array" ref="J868">_xlfn.IFS(
  OR(ISBLANK(A868),ISBLANK(B868),ISBLANK(H868),ISBLANK(D868),ISBLANK(E868)),"Missing Value",
  D868&lt;=0,"Review – Out of Range (Coverage)",
  E868&lt;=0,"Review – Out of Range (Premium)",
  TRUE,"OK"
)</f>
        <v>OK</v>
      </c>
    </row>
    <row r="869" spans="1:10" ht="16.8" x14ac:dyDescent="0.3">
      <c r="A869" s="14" t="s">
        <v>4508</v>
      </c>
      <c r="B869" s="14" t="s">
        <v>739</v>
      </c>
      <c r="C869" s="14" t="s">
        <v>3377</v>
      </c>
      <c r="D869" s="14">
        <v>556829.41</v>
      </c>
      <c r="E869" s="14">
        <v>7116.99</v>
      </c>
      <c r="F869" s="15">
        <v>45070</v>
      </c>
      <c r="G869" s="15">
        <v>45652</v>
      </c>
      <c r="H869" s="14" t="s">
        <v>3868</v>
      </c>
      <c r="I869" s="14" t="s">
        <v>3365</v>
      </c>
      <c r="J869" s="13" t="str" cm="1">
        <f t="array" ref="J869">_xlfn.IFS(
  OR(ISBLANK(A869),ISBLANK(B869),ISBLANK(H869),ISBLANK(D869),ISBLANK(E869)),"Missing Value",
  D869&lt;=0,"Review – Out of Range (Coverage)",
  E869&lt;=0,"Review – Out of Range (Premium)",
  TRUE,"OK"
)</f>
        <v>OK</v>
      </c>
    </row>
    <row r="870" spans="1:10" ht="16.8" x14ac:dyDescent="0.3">
      <c r="A870" s="11" t="s">
        <v>4509</v>
      </c>
      <c r="B870" s="11" t="s">
        <v>575</v>
      </c>
      <c r="C870" s="11" t="s">
        <v>3359</v>
      </c>
      <c r="D870" s="11">
        <v>275849.12</v>
      </c>
      <c r="E870" s="11">
        <v>3097.49</v>
      </c>
      <c r="F870" s="12">
        <v>44907</v>
      </c>
      <c r="G870" s="12">
        <v>45857</v>
      </c>
      <c r="H870" s="11" t="s">
        <v>3360</v>
      </c>
      <c r="I870" s="11" t="s">
        <v>3361</v>
      </c>
      <c r="J870" s="13" t="str" cm="1">
        <f t="array" ref="J870">_xlfn.IFS(
  OR(ISBLANK(A870),ISBLANK(B870),ISBLANK(H870),ISBLANK(D870),ISBLANK(E870)),"Missing Value",
  D870&lt;=0,"Review – Out of Range (Coverage)",
  E870&lt;=0,"Review – Out of Range (Premium)",
  TRUE,"OK"
)</f>
        <v>OK</v>
      </c>
    </row>
    <row r="871" spans="1:10" ht="16.8" x14ac:dyDescent="0.3">
      <c r="A871" s="14" t="s">
        <v>4510</v>
      </c>
      <c r="B871" s="14" t="s">
        <v>2543</v>
      </c>
      <c r="C871" s="14" t="s">
        <v>3363</v>
      </c>
      <c r="D871" s="14">
        <v>363767.25</v>
      </c>
      <c r="E871" s="14">
        <v>3340.75</v>
      </c>
      <c r="F871" s="15">
        <v>44954</v>
      </c>
      <c r="G871" s="15">
        <v>45555</v>
      </c>
      <c r="H871" s="14" t="s">
        <v>4511</v>
      </c>
      <c r="I871" s="14" t="s">
        <v>3361</v>
      </c>
      <c r="J871" s="13" t="str" cm="1">
        <f t="array" ref="J871">_xlfn.IFS(
  OR(ISBLANK(A871),ISBLANK(B871),ISBLANK(H871),ISBLANK(D871),ISBLANK(E871)),"Missing Value",
  D871&lt;=0,"Review – Out of Range (Coverage)",
  E871&lt;=0,"Review – Out of Range (Premium)",
  TRUE,"OK"
)</f>
        <v>OK</v>
      </c>
    </row>
    <row r="872" spans="1:10" ht="16.8" x14ac:dyDescent="0.3">
      <c r="A872" s="11" t="s">
        <v>4512</v>
      </c>
      <c r="B872" s="11" t="s">
        <v>3022</v>
      </c>
      <c r="C872" s="11" t="s">
        <v>3371</v>
      </c>
      <c r="D872" s="11">
        <v>188458.81</v>
      </c>
      <c r="E872" s="11">
        <v>10251.25</v>
      </c>
      <c r="F872" s="12">
        <v>45423</v>
      </c>
      <c r="G872" s="12">
        <v>45738</v>
      </c>
      <c r="H872" s="11" t="s">
        <v>4378</v>
      </c>
      <c r="I872" s="11" t="s">
        <v>3373</v>
      </c>
      <c r="J872" s="13" t="str" cm="1">
        <f t="array" ref="J872">_xlfn.IFS(
  OR(ISBLANK(A872),ISBLANK(B872),ISBLANK(H872),ISBLANK(D872),ISBLANK(E872)),"Missing Value",
  D872&lt;=0,"Review – Out of Range (Coverage)",
  E872&lt;=0,"Review – Out of Range (Premium)",
  TRUE,"OK"
)</f>
        <v>OK</v>
      </c>
    </row>
    <row r="873" spans="1:10" ht="16.8" x14ac:dyDescent="0.3">
      <c r="A873" s="14" t="s">
        <v>4513</v>
      </c>
      <c r="B873" s="14" t="s">
        <v>2831</v>
      </c>
      <c r="C873" s="14" t="s">
        <v>3371</v>
      </c>
      <c r="D873" s="14">
        <v>183759.6</v>
      </c>
      <c r="E873" s="14">
        <v>11744.49</v>
      </c>
      <c r="F873" s="15">
        <v>44969</v>
      </c>
      <c r="G873" s="15">
        <v>45464</v>
      </c>
      <c r="H873" s="14" t="s">
        <v>3939</v>
      </c>
      <c r="I873" s="14" t="s">
        <v>3365</v>
      </c>
      <c r="J873" s="13" t="str" cm="1">
        <f t="array" ref="J873">_xlfn.IFS(
  OR(ISBLANK(A873),ISBLANK(B873),ISBLANK(H873),ISBLANK(D873),ISBLANK(E873)),"Missing Value",
  D873&lt;=0,"Review – Out of Range (Coverage)",
  E873&lt;=0,"Review – Out of Range (Premium)",
  TRUE,"OK"
)</f>
        <v>OK</v>
      </c>
    </row>
    <row r="874" spans="1:10" ht="16.8" x14ac:dyDescent="0.3">
      <c r="A874" s="11" t="s">
        <v>4514</v>
      </c>
      <c r="B874" s="11" t="s">
        <v>1297</v>
      </c>
      <c r="C874" s="11" t="s">
        <v>3363</v>
      </c>
      <c r="D874" s="11">
        <v>434330.78</v>
      </c>
      <c r="E874" s="11">
        <v>15247.02</v>
      </c>
      <c r="F874" s="12">
        <v>45020</v>
      </c>
      <c r="G874" s="12">
        <v>45816</v>
      </c>
      <c r="H874" s="11" t="s">
        <v>3399</v>
      </c>
      <c r="I874" s="11" t="s">
        <v>3361</v>
      </c>
      <c r="J874" s="13" t="str" cm="1">
        <f t="array" ref="J874">_xlfn.IFS(
  OR(ISBLANK(A874),ISBLANK(B874),ISBLANK(H874),ISBLANK(D874),ISBLANK(E874)),"Missing Value",
  D874&lt;=0,"Review – Out of Range (Coverage)",
  E874&lt;=0,"Review – Out of Range (Premium)",
  TRUE,"OK"
)</f>
        <v>OK</v>
      </c>
    </row>
    <row r="875" spans="1:10" ht="16.8" x14ac:dyDescent="0.3">
      <c r="A875" s="14" t="s">
        <v>4515</v>
      </c>
      <c r="B875" s="14" t="s">
        <v>3344</v>
      </c>
      <c r="C875" s="14" t="s">
        <v>3371</v>
      </c>
      <c r="D875" s="14">
        <v>197078.92</v>
      </c>
      <c r="E875" s="14">
        <v>37500.76</v>
      </c>
      <c r="F875" s="15">
        <v>44461</v>
      </c>
      <c r="G875" s="15">
        <v>44677</v>
      </c>
      <c r="H875" s="14" t="s">
        <v>4006</v>
      </c>
      <c r="I875" s="14" t="s">
        <v>3365</v>
      </c>
      <c r="J875" s="13" t="str" cm="1">
        <f t="array" ref="J875">_xlfn.IFS(
  OR(ISBLANK(A875),ISBLANK(B875),ISBLANK(H875),ISBLANK(D875),ISBLANK(E875)),"Missing Value",
  D875&lt;=0,"Review – Out of Range (Coverage)",
  E875&lt;=0,"Review – Out of Range (Premium)",
  TRUE,"OK"
)</f>
        <v>OK</v>
      </c>
    </row>
    <row r="876" spans="1:10" ht="16.8" x14ac:dyDescent="0.3">
      <c r="A876" s="11" t="s">
        <v>4516</v>
      </c>
      <c r="B876" s="11" t="s">
        <v>2241</v>
      </c>
      <c r="C876" s="11" t="s">
        <v>3377</v>
      </c>
      <c r="D876" s="11">
        <v>953147.52</v>
      </c>
      <c r="E876" s="11">
        <v>29775.25</v>
      </c>
      <c r="F876" s="12">
        <v>44319</v>
      </c>
      <c r="G876" s="12">
        <v>44644</v>
      </c>
      <c r="H876" s="11" t="s">
        <v>3451</v>
      </c>
      <c r="I876" s="11" t="s">
        <v>3365</v>
      </c>
      <c r="J876" s="13" t="str" cm="1">
        <f t="array" ref="J876">_xlfn.IFS(
  OR(ISBLANK(A876),ISBLANK(B876),ISBLANK(H876),ISBLANK(D876),ISBLANK(E876)),"Missing Value",
  D876&lt;=0,"Review – Out of Range (Coverage)",
  E876&lt;=0,"Review – Out of Range (Premium)",
  TRUE,"OK"
)</f>
        <v>OK</v>
      </c>
    </row>
    <row r="877" spans="1:10" ht="16.8" x14ac:dyDescent="0.3">
      <c r="A877" s="14" t="s">
        <v>4517</v>
      </c>
      <c r="B877" s="14" t="s">
        <v>1997</v>
      </c>
      <c r="C877" s="14" t="s">
        <v>3363</v>
      </c>
      <c r="D877" s="14">
        <v>975164.98</v>
      </c>
      <c r="E877" s="14">
        <v>44582.239999999998</v>
      </c>
      <c r="F877" s="15">
        <v>44650</v>
      </c>
      <c r="G877" s="15">
        <v>44671</v>
      </c>
      <c r="H877" s="14" t="s">
        <v>3911</v>
      </c>
      <c r="I877" s="14" t="s">
        <v>3373</v>
      </c>
      <c r="J877" s="13" t="str" cm="1">
        <f t="array" ref="J877">_xlfn.IFS(
  OR(ISBLANK(A877),ISBLANK(B877),ISBLANK(H877),ISBLANK(D877),ISBLANK(E877)),"Missing Value",
  D877&lt;=0,"Review – Out of Range (Coverage)",
  E877&lt;=0,"Review – Out of Range (Premium)",
  TRUE,"OK"
)</f>
        <v>OK</v>
      </c>
    </row>
    <row r="878" spans="1:10" ht="16.8" x14ac:dyDescent="0.3">
      <c r="A878" s="11" t="s">
        <v>4518</v>
      </c>
      <c r="B878" s="11" t="s">
        <v>1021</v>
      </c>
      <c r="C878" s="11" t="s">
        <v>3363</v>
      </c>
      <c r="D878" s="11">
        <v>572998.38</v>
      </c>
      <c r="E878" s="11">
        <v>9554.9599999999991</v>
      </c>
      <c r="F878" s="12">
        <v>44790</v>
      </c>
      <c r="G878" s="12">
        <v>45570</v>
      </c>
      <c r="H878" s="11" t="s">
        <v>3886</v>
      </c>
      <c r="I878" s="11" t="s">
        <v>3365</v>
      </c>
      <c r="J878" s="13" t="str" cm="1">
        <f t="array" ref="J878">_xlfn.IFS(
  OR(ISBLANK(A878),ISBLANK(B878),ISBLANK(H878),ISBLANK(D878),ISBLANK(E878)),"Missing Value",
  D878&lt;=0,"Review – Out of Range (Coverage)",
  E878&lt;=0,"Review – Out of Range (Premium)",
  TRUE,"OK"
)</f>
        <v>OK</v>
      </c>
    </row>
    <row r="879" spans="1:10" ht="16.8" x14ac:dyDescent="0.3">
      <c r="A879" s="14" t="s">
        <v>4519</v>
      </c>
      <c r="B879" s="14" t="s">
        <v>3128</v>
      </c>
      <c r="C879" s="14" t="s">
        <v>3377</v>
      </c>
      <c r="D879" s="14">
        <v>350412.41</v>
      </c>
      <c r="E879" s="14">
        <v>43557.919999999998</v>
      </c>
      <c r="F879" s="15">
        <v>45077</v>
      </c>
      <c r="G879" s="15">
        <v>45099</v>
      </c>
      <c r="H879" s="14" t="s">
        <v>3425</v>
      </c>
      <c r="I879" s="14" t="s">
        <v>3365</v>
      </c>
      <c r="J879" s="13" t="str" cm="1">
        <f t="array" ref="J879">_xlfn.IFS(
  OR(ISBLANK(A879),ISBLANK(B879),ISBLANK(H879),ISBLANK(D879),ISBLANK(E879)),"Missing Value",
  D879&lt;=0,"Review – Out of Range (Coverage)",
  E879&lt;=0,"Review – Out of Range (Premium)",
  TRUE,"OK"
)</f>
        <v>OK</v>
      </c>
    </row>
    <row r="880" spans="1:10" ht="16.8" x14ac:dyDescent="0.3">
      <c r="A880" s="11" t="s">
        <v>4520</v>
      </c>
      <c r="B880" s="11" t="s">
        <v>1817</v>
      </c>
      <c r="C880" s="11" t="s">
        <v>3380</v>
      </c>
      <c r="D880" s="11">
        <v>655438.65</v>
      </c>
      <c r="E880" s="11">
        <v>27872.560000000001</v>
      </c>
      <c r="F880" s="12">
        <v>44816</v>
      </c>
      <c r="G880" s="12">
        <v>44868</v>
      </c>
      <c r="H880" s="11" t="s">
        <v>3409</v>
      </c>
      <c r="I880" s="11" t="s">
        <v>3361</v>
      </c>
      <c r="J880" s="13" t="str" cm="1">
        <f t="array" ref="J880">_xlfn.IFS(
  OR(ISBLANK(A880),ISBLANK(B880),ISBLANK(H880),ISBLANK(D880),ISBLANK(E880)),"Missing Value",
  D880&lt;=0,"Review – Out of Range (Coverage)",
  E880&lt;=0,"Review – Out of Range (Premium)",
  TRUE,"OK"
)</f>
        <v>OK</v>
      </c>
    </row>
    <row r="881" spans="1:10" ht="16.8" x14ac:dyDescent="0.3">
      <c r="A881" s="14" t="s">
        <v>4521</v>
      </c>
      <c r="B881" s="14" t="s">
        <v>753</v>
      </c>
      <c r="C881" s="14" t="s">
        <v>3380</v>
      </c>
      <c r="D881" s="14">
        <v>916486.27</v>
      </c>
      <c r="E881" s="14">
        <v>44019.14</v>
      </c>
      <c r="F881" s="15">
        <v>44621</v>
      </c>
      <c r="G881" s="15">
        <v>45172</v>
      </c>
      <c r="H881" s="14" t="s">
        <v>4244</v>
      </c>
      <c r="I881" s="14" t="s">
        <v>3373</v>
      </c>
      <c r="J881" s="13" t="str" cm="1">
        <f t="array" ref="J881">_xlfn.IFS(
  OR(ISBLANK(A881),ISBLANK(B881),ISBLANK(H881),ISBLANK(D881),ISBLANK(E881)),"Missing Value",
  D881&lt;=0,"Review – Out of Range (Coverage)",
  E881&lt;=0,"Review – Out of Range (Premium)",
  TRUE,"OK"
)</f>
        <v>OK</v>
      </c>
    </row>
    <row r="882" spans="1:10" ht="16.8" x14ac:dyDescent="0.3">
      <c r="A882" s="11" t="s">
        <v>4522</v>
      </c>
      <c r="B882" s="11" t="s">
        <v>1977</v>
      </c>
      <c r="C882" s="11" t="s">
        <v>3371</v>
      </c>
      <c r="D882" s="11">
        <v>554683.16</v>
      </c>
      <c r="E882" s="11">
        <v>5323.88</v>
      </c>
      <c r="F882" s="12">
        <v>45328</v>
      </c>
      <c r="G882" s="12">
        <v>45735</v>
      </c>
      <c r="H882" s="11" t="s">
        <v>3444</v>
      </c>
      <c r="I882" s="11" t="s">
        <v>3361</v>
      </c>
      <c r="J882" s="13" t="str" cm="1">
        <f t="array" ref="J882">_xlfn.IFS(
  OR(ISBLANK(A882),ISBLANK(B882),ISBLANK(H882),ISBLANK(D882),ISBLANK(E882)),"Missing Value",
  D882&lt;=0,"Review – Out of Range (Coverage)",
  E882&lt;=0,"Review – Out of Range (Premium)",
  TRUE,"OK"
)</f>
        <v>OK</v>
      </c>
    </row>
    <row r="883" spans="1:10" ht="16.8" x14ac:dyDescent="0.3">
      <c r="A883" s="14" t="s">
        <v>4523</v>
      </c>
      <c r="B883" s="14" t="s">
        <v>1907</v>
      </c>
      <c r="C883" s="14" t="s">
        <v>3363</v>
      </c>
      <c r="D883" s="14">
        <v>618278.39</v>
      </c>
      <c r="E883" s="14">
        <v>38249.730000000003</v>
      </c>
      <c r="F883" s="15">
        <v>44579</v>
      </c>
      <c r="G883" s="15">
        <v>45403</v>
      </c>
      <c r="H883" s="14" t="s">
        <v>3767</v>
      </c>
      <c r="I883" s="14" t="s">
        <v>3373</v>
      </c>
      <c r="J883" s="13" t="str" cm="1">
        <f t="array" ref="J883">_xlfn.IFS(
  OR(ISBLANK(A883),ISBLANK(B883),ISBLANK(H883),ISBLANK(D883),ISBLANK(E883)),"Missing Value",
  D883&lt;=0,"Review – Out of Range (Coverage)",
  E883&lt;=0,"Review – Out of Range (Premium)",
  TRUE,"OK"
)</f>
        <v>OK</v>
      </c>
    </row>
    <row r="884" spans="1:10" ht="16.8" x14ac:dyDescent="0.3">
      <c r="A884" s="11" t="s">
        <v>4524</v>
      </c>
      <c r="B884" s="11" t="s">
        <v>1841</v>
      </c>
      <c r="C884" s="11" t="s">
        <v>3363</v>
      </c>
      <c r="D884" s="11">
        <v>935499.41</v>
      </c>
      <c r="E884" s="11">
        <v>36025.11</v>
      </c>
      <c r="F884" s="12">
        <v>44838</v>
      </c>
      <c r="G884" s="12">
        <v>45260</v>
      </c>
      <c r="H884" s="11" t="s">
        <v>3571</v>
      </c>
      <c r="I884" s="11" t="s">
        <v>3365</v>
      </c>
      <c r="J884" s="13" t="str" cm="1">
        <f t="array" ref="J884">_xlfn.IFS(
  OR(ISBLANK(A884),ISBLANK(B884),ISBLANK(H884),ISBLANK(D884),ISBLANK(E884)),"Missing Value",
  D884&lt;=0,"Review – Out of Range (Coverage)",
  E884&lt;=0,"Review – Out of Range (Premium)",
  TRUE,"OK"
)</f>
        <v>OK</v>
      </c>
    </row>
    <row r="885" spans="1:10" ht="16.8" x14ac:dyDescent="0.3">
      <c r="A885" s="14" t="s">
        <v>4525</v>
      </c>
      <c r="B885" s="14" t="s">
        <v>1437</v>
      </c>
      <c r="C885" s="14" t="s">
        <v>3377</v>
      </c>
      <c r="D885" s="14">
        <v>391962.64</v>
      </c>
      <c r="E885" s="14">
        <v>28012.65</v>
      </c>
      <c r="F885" s="15">
        <v>45339</v>
      </c>
      <c r="G885" s="15">
        <v>45475</v>
      </c>
      <c r="H885" s="14" t="s">
        <v>3636</v>
      </c>
      <c r="I885" s="14" t="s">
        <v>3365</v>
      </c>
      <c r="J885" s="13" t="str" cm="1">
        <f t="array" ref="J885">_xlfn.IFS(
  OR(ISBLANK(A885),ISBLANK(B885),ISBLANK(H885),ISBLANK(D885),ISBLANK(E885)),"Missing Value",
  D885&lt;=0,"Review – Out of Range (Coverage)",
  E885&lt;=0,"Review – Out of Range (Premium)",
  TRUE,"OK"
)</f>
        <v>OK</v>
      </c>
    </row>
    <row r="886" spans="1:10" ht="16.8" x14ac:dyDescent="0.3">
      <c r="A886" s="11" t="s">
        <v>4526</v>
      </c>
      <c r="B886" s="11" t="s">
        <v>1129</v>
      </c>
      <c r="C886" s="11" t="s">
        <v>3377</v>
      </c>
      <c r="D886" s="11">
        <v>821992.7</v>
      </c>
      <c r="E886" s="11">
        <v>43648.65</v>
      </c>
      <c r="F886" s="12">
        <v>45415</v>
      </c>
      <c r="G886" s="12">
        <v>45585</v>
      </c>
      <c r="H886" s="11" t="s">
        <v>4240</v>
      </c>
      <c r="I886" s="11" t="s">
        <v>3373</v>
      </c>
      <c r="J886" s="13" t="str" cm="1">
        <f t="array" ref="J886">_xlfn.IFS(
  OR(ISBLANK(A886),ISBLANK(B886),ISBLANK(H886),ISBLANK(D886),ISBLANK(E886)),"Missing Value",
  D886&lt;=0,"Review – Out of Range (Coverage)",
  E886&lt;=0,"Review – Out of Range (Premium)",
  TRUE,"OK"
)</f>
        <v>OK</v>
      </c>
    </row>
    <row r="887" spans="1:10" ht="16.8" x14ac:dyDescent="0.3">
      <c r="A887" s="14" t="s">
        <v>4527</v>
      </c>
      <c r="B887" s="14" t="s">
        <v>1097</v>
      </c>
      <c r="C887" s="14" t="s">
        <v>3363</v>
      </c>
      <c r="D887" s="14">
        <v>193563.65</v>
      </c>
      <c r="E887" s="14">
        <v>36106.300000000003</v>
      </c>
      <c r="F887" s="15">
        <v>44789</v>
      </c>
      <c r="G887" s="15">
        <v>45238</v>
      </c>
      <c r="H887" s="14" t="s">
        <v>3507</v>
      </c>
      <c r="I887" s="14" t="s">
        <v>3361</v>
      </c>
      <c r="J887" s="13" t="str" cm="1">
        <f t="array" ref="J887">_xlfn.IFS(
  OR(ISBLANK(A887),ISBLANK(B887),ISBLANK(H887),ISBLANK(D887),ISBLANK(E887)),"Missing Value",
  D887&lt;=0,"Review – Out of Range (Coverage)",
  E887&lt;=0,"Review – Out of Range (Premium)",
  TRUE,"OK"
)</f>
        <v>OK</v>
      </c>
    </row>
    <row r="888" spans="1:10" ht="16.8" x14ac:dyDescent="0.3">
      <c r="A888" s="11" t="s">
        <v>4528</v>
      </c>
      <c r="B888" s="11" t="s">
        <v>2051</v>
      </c>
      <c r="C888" s="11" t="s">
        <v>3363</v>
      </c>
      <c r="D888" s="11">
        <v>205971.9</v>
      </c>
      <c r="E888" s="11">
        <v>18218.669999999998</v>
      </c>
      <c r="F888" s="12">
        <v>44554</v>
      </c>
      <c r="G888" s="12">
        <v>44613</v>
      </c>
      <c r="H888" s="11" t="s">
        <v>3551</v>
      </c>
      <c r="I888" s="11" t="s">
        <v>3361</v>
      </c>
      <c r="J888" s="13" t="str" cm="1">
        <f t="array" ref="J888">_xlfn.IFS(
  OR(ISBLANK(A888),ISBLANK(B888),ISBLANK(H888),ISBLANK(D888),ISBLANK(E888)),"Missing Value",
  D888&lt;=0,"Review – Out of Range (Coverage)",
  E888&lt;=0,"Review – Out of Range (Premium)",
  TRUE,"OK"
)</f>
        <v>OK</v>
      </c>
    </row>
    <row r="889" spans="1:10" ht="16.8" x14ac:dyDescent="0.3">
      <c r="A889" s="14" t="s">
        <v>4529</v>
      </c>
      <c r="B889" s="14" t="s">
        <v>3230</v>
      </c>
      <c r="C889" s="14" t="s">
        <v>3359</v>
      </c>
      <c r="D889" s="14">
        <v>738362.44</v>
      </c>
      <c r="E889" s="14">
        <v>36263</v>
      </c>
      <c r="F889" s="15">
        <v>45014</v>
      </c>
      <c r="G889" s="15">
        <v>45690</v>
      </c>
      <c r="H889" s="14" t="s">
        <v>3447</v>
      </c>
      <c r="I889" s="14" t="s">
        <v>3361</v>
      </c>
      <c r="J889" s="13" t="str" cm="1">
        <f t="array" ref="J889">_xlfn.IFS(
  OR(ISBLANK(A889),ISBLANK(B889),ISBLANK(H889),ISBLANK(D889),ISBLANK(E889)),"Missing Value",
  D889&lt;=0,"Review – Out of Range (Coverage)",
  E889&lt;=0,"Review – Out of Range (Premium)",
  TRUE,"OK"
)</f>
        <v>OK</v>
      </c>
    </row>
    <row r="890" spans="1:10" ht="16.8" x14ac:dyDescent="0.3">
      <c r="A890" s="11" t="s">
        <v>4530</v>
      </c>
      <c r="B890" s="11" t="s">
        <v>1821</v>
      </c>
      <c r="C890" s="11" t="s">
        <v>3380</v>
      </c>
      <c r="D890" s="11">
        <v>945570.84</v>
      </c>
      <c r="E890" s="11">
        <v>18401.04</v>
      </c>
      <c r="F890" s="12">
        <v>45236</v>
      </c>
      <c r="G890" s="12">
        <v>45366</v>
      </c>
      <c r="H890" s="11" t="s">
        <v>3911</v>
      </c>
      <c r="I890" s="11" t="s">
        <v>3373</v>
      </c>
      <c r="J890" s="13" t="str" cm="1">
        <f t="array" ref="J890">_xlfn.IFS(
  OR(ISBLANK(A890),ISBLANK(B890),ISBLANK(H890),ISBLANK(D890),ISBLANK(E890)),"Missing Value",
  D890&lt;=0,"Review – Out of Range (Coverage)",
  E890&lt;=0,"Review – Out of Range (Premium)",
  TRUE,"OK"
)</f>
        <v>OK</v>
      </c>
    </row>
    <row r="891" spans="1:10" ht="16.8" x14ac:dyDescent="0.3">
      <c r="A891" s="14" t="s">
        <v>4531</v>
      </c>
      <c r="B891" s="14" t="s">
        <v>763</v>
      </c>
      <c r="C891" s="14" t="s">
        <v>3363</v>
      </c>
      <c r="D891" s="14">
        <v>854430.76</v>
      </c>
      <c r="E891" s="14">
        <v>27364.1</v>
      </c>
      <c r="F891" s="15">
        <v>44480</v>
      </c>
      <c r="G891" s="15">
        <v>45761</v>
      </c>
      <c r="H891" s="14" t="s">
        <v>3591</v>
      </c>
      <c r="I891" s="14" t="s">
        <v>3361</v>
      </c>
      <c r="J891" s="13" t="str" cm="1">
        <f t="array" ref="J891">_xlfn.IFS(
  OR(ISBLANK(A891),ISBLANK(B891),ISBLANK(H891),ISBLANK(D891),ISBLANK(E891)),"Missing Value",
  D891&lt;=0,"Review – Out of Range (Coverage)",
  E891&lt;=0,"Review – Out of Range (Premium)",
  TRUE,"OK"
)</f>
        <v>OK</v>
      </c>
    </row>
    <row r="892" spans="1:10" ht="16.8" x14ac:dyDescent="0.3">
      <c r="A892" s="11" t="s">
        <v>4532</v>
      </c>
      <c r="B892" s="11" t="s">
        <v>516</v>
      </c>
      <c r="C892" s="11" t="s">
        <v>3363</v>
      </c>
      <c r="D892" s="11">
        <v>411903.05</v>
      </c>
      <c r="E892" s="11">
        <v>20745.88</v>
      </c>
      <c r="F892" s="12">
        <v>44167</v>
      </c>
      <c r="G892" s="12">
        <v>44249</v>
      </c>
      <c r="H892" s="11" t="s">
        <v>3658</v>
      </c>
      <c r="I892" s="11" t="s">
        <v>3365</v>
      </c>
      <c r="J892" s="13" t="str" cm="1">
        <f t="array" ref="J892">_xlfn.IFS(
  OR(ISBLANK(A892),ISBLANK(B892),ISBLANK(H892),ISBLANK(D892),ISBLANK(E892)),"Missing Value",
  D892&lt;=0,"Review – Out of Range (Coverage)",
  E892&lt;=0,"Review – Out of Range (Premium)",
  TRUE,"OK"
)</f>
        <v>OK</v>
      </c>
    </row>
    <row r="893" spans="1:10" ht="16.8" x14ac:dyDescent="0.3">
      <c r="A893" s="14" t="s">
        <v>4533</v>
      </c>
      <c r="B893" s="14" t="s">
        <v>2921</v>
      </c>
      <c r="C893" s="14" t="s">
        <v>3377</v>
      </c>
      <c r="D893" s="14">
        <v>936027.22</v>
      </c>
      <c r="E893" s="14">
        <v>40648.199999999997</v>
      </c>
      <c r="F893" s="15">
        <v>44951</v>
      </c>
      <c r="G893" s="15">
        <v>45351</v>
      </c>
      <c r="H893" s="14" t="s">
        <v>4439</v>
      </c>
      <c r="I893" s="14" t="s">
        <v>3365</v>
      </c>
      <c r="J893" s="13" t="str" cm="1">
        <f t="array" ref="J893">_xlfn.IFS(
  OR(ISBLANK(A893),ISBLANK(B893),ISBLANK(H893),ISBLANK(D893),ISBLANK(E893)),"Missing Value",
  D893&lt;=0,"Review – Out of Range (Coverage)",
  E893&lt;=0,"Review – Out of Range (Premium)",
  TRUE,"OK"
)</f>
        <v>OK</v>
      </c>
    </row>
    <row r="894" spans="1:10" ht="16.8" x14ac:dyDescent="0.3">
      <c r="A894" s="11" t="s">
        <v>4534</v>
      </c>
      <c r="B894" s="11" t="s">
        <v>3070</v>
      </c>
      <c r="C894" s="11" t="s">
        <v>3380</v>
      </c>
      <c r="D894" s="11">
        <v>564199.63</v>
      </c>
      <c r="E894" s="11">
        <v>6834.94</v>
      </c>
      <c r="F894" s="12">
        <v>44896</v>
      </c>
      <c r="G894" s="12">
        <v>45037</v>
      </c>
      <c r="H894" s="11" t="s">
        <v>3593</v>
      </c>
      <c r="I894" s="11" t="s">
        <v>3365</v>
      </c>
      <c r="J894" s="13" t="str" cm="1">
        <f t="array" ref="J894">_xlfn.IFS(
  OR(ISBLANK(A894),ISBLANK(B894),ISBLANK(H894),ISBLANK(D894),ISBLANK(E894)),"Missing Value",
  D894&lt;=0,"Review – Out of Range (Coverage)",
  E894&lt;=0,"Review – Out of Range (Premium)",
  TRUE,"OK"
)</f>
        <v>OK</v>
      </c>
    </row>
    <row r="895" spans="1:10" ht="16.8" x14ac:dyDescent="0.3">
      <c r="A895" s="14" t="s">
        <v>4535</v>
      </c>
      <c r="B895" s="14" t="s">
        <v>378</v>
      </c>
      <c r="C895" s="14" t="s">
        <v>3377</v>
      </c>
      <c r="D895" s="14">
        <v>962426.68</v>
      </c>
      <c r="E895" s="14">
        <v>15921.79</v>
      </c>
      <c r="F895" s="15">
        <v>44810</v>
      </c>
      <c r="G895" s="15">
        <v>45823</v>
      </c>
      <c r="H895" s="14" t="s">
        <v>3649</v>
      </c>
      <c r="I895" s="14" t="s">
        <v>3373</v>
      </c>
      <c r="J895" s="13" t="str" cm="1">
        <f t="array" ref="J895">_xlfn.IFS(
  OR(ISBLANK(A895),ISBLANK(B895),ISBLANK(H895),ISBLANK(D895),ISBLANK(E895)),"Missing Value",
  D895&lt;=0,"Review – Out of Range (Coverage)",
  E895&lt;=0,"Review – Out of Range (Premium)",
  TRUE,"OK"
)</f>
        <v>OK</v>
      </c>
    </row>
    <row r="896" spans="1:10" ht="16.8" x14ac:dyDescent="0.3">
      <c r="A896" s="11" t="s">
        <v>4536</v>
      </c>
      <c r="B896" s="11" t="s">
        <v>809</v>
      </c>
      <c r="C896" s="11" t="s">
        <v>3380</v>
      </c>
      <c r="D896" s="11">
        <v>789968</v>
      </c>
      <c r="E896" s="11">
        <v>4230.8999999999996</v>
      </c>
      <c r="F896" s="12">
        <v>44663</v>
      </c>
      <c r="G896" s="12">
        <v>45573</v>
      </c>
      <c r="H896" s="11" t="s">
        <v>3610</v>
      </c>
      <c r="I896" s="11" t="s">
        <v>3365</v>
      </c>
      <c r="J896" s="13" t="str" cm="1">
        <f t="array" ref="J896">_xlfn.IFS(
  OR(ISBLANK(A896),ISBLANK(B896),ISBLANK(H896),ISBLANK(D896),ISBLANK(E896)),"Missing Value",
  D896&lt;=0,"Review – Out of Range (Coverage)",
  E896&lt;=0,"Review – Out of Range (Premium)",
  TRUE,"OK"
)</f>
        <v>OK</v>
      </c>
    </row>
    <row r="897" spans="1:10" ht="16.8" x14ac:dyDescent="0.3">
      <c r="A897" s="14" t="s">
        <v>4537</v>
      </c>
      <c r="B897" s="14" t="s">
        <v>1257</v>
      </c>
      <c r="C897" s="14" t="s">
        <v>3377</v>
      </c>
      <c r="D897" s="14">
        <v>304642.34999999998</v>
      </c>
      <c r="E897" s="14">
        <v>4984.41</v>
      </c>
      <c r="F897" s="15">
        <v>44349</v>
      </c>
      <c r="G897" s="15">
        <v>45516</v>
      </c>
      <c r="H897" s="14" t="s">
        <v>3918</v>
      </c>
      <c r="I897" s="14" t="s">
        <v>3361</v>
      </c>
      <c r="J897" s="13" t="str" cm="1">
        <f t="array" ref="J897">_xlfn.IFS(
  OR(ISBLANK(A897),ISBLANK(B897),ISBLANK(H897),ISBLANK(D897),ISBLANK(E897)),"Missing Value",
  D897&lt;=0,"Review – Out of Range (Coverage)",
  E897&lt;=0,"Review – Out of Range (Premium)",
  TRUE,"OK"
)</f>
        <v>OK</v>
      </c>
    </row>
    <row r="898" spans="1:10" ht="16.8" x14ac:dyDescent="0.3">
      <c r="A898" s="11" t="s">
        <v>4538</v>
      </c>
      <c r="B898" s="11" t="s">
        <v>3118</v>
      </c>
      <c r="C898" s="11" t="s">
        <v>3359</v>
      </c>
      <c r="D898" s="11">
        <v>782239.87</v>
      </c>
      <c r="E898" s="11">
        <v>28484.16</v>
      </c>
      <c r="F898" s="12">
        <v>45064</v>
      </c>
      <c r="G898" s="12">
        <v>45449</v>
      </c>
      <c r="H898" s="11" t="s">
        <v>3447</v>
      </c>
      <c r="I898" s="11" t="s">
        <v>3361</v>
      </c>
      <c r="J898" s="13" t="str" cm="1">
        <f t="array" ref="J898">_xlfn.IFS(
  OR(ISBLANK(A898),ISBLANK(B898),ISBLANK(H898),ISBLANK(D898),ISBLANK(E898)),"Missing Value",
  D898&lt;=0,"Review – Out of Range (Coverage)",
  E898&lt;=0,"Review – Out of Range (Premium)",
  TRUE,"OK"
)</f>
        <v>OK</v>
      </c>
    </row>
    <row r="899" spans="1:10" ht="16.8" x14ac:dyDescent="0.3">
      <c r="A899" s="14" t="s">
        <v>4539</v>
      </c>
      <c r="B899" s="14" t="s">
        <v>2715</v>
      </c>
      <c r="C899" s="14" t="s">
        <v>3359</v>
      </c>
      <c r="D899" s="14">
        <v>184141.3</v>
      </c>
      <c r="E899" s="14">
        <v>48378.35</v>
      </c>
      <c r="F899" s="15">
        <v>44390</v>
      </c>
      <c r="G899" s="15">
        <v>45387</v>
      </c>
      <c r="H899" s="14" t="s">
        <v>3401</v>
      </c>
      <c r="I899" s="14" t="s">
        <v>3365</v>
      </c>
      <c r="J899" s="13" t="str" cm="1">
        <f t="array" ref="J899">_xlfn.IFS(
  OR(ISBLANK(A899),ISBLANK(B899),ISBLANK(H899),ISBLANK(D899),ISBLANK(E899)),"Missing Value",
  D899&lt;=0,"Review – Out of Range (Coverage)",
  E899&lt;=0,"Review – Out of Range (Premium)",
  TRUE,"OK"
)</f>
        <v>OK</v>
      </c>
    </row>
    <row r="900" spans="1:10" ht="16.8" x14ac:dyDescent="0.3">
      <c r="A900" s="11" t="s">
        <v>4540</v>
      </c>
      <c r="B900" s="11" t="s">
        <v>1605</v>
      </c>
      <c r="C900" s="11" t="s">
        <v>3377</v>
      </c>
      <c r="D900" s="11">
        <v>714085.83</v>
      </c>
      <c r="E900" s="11">
        <v>35787.800000000003</v>
      </c>
      <c r="F900" s="12">
        <v>44851</v>
      </c>
      <c r="G900" s="12">
        <v>44960</v>
      </c>
      <c r="H900" s="11" t="s">
        <v>3640</v>
      </c>
      <c r="I900" s="11" t="s">
        <v>3361</v>
      </c>
      <c r="J900" s="13" t="str" cm="1">
        <f t="array" ref="J900">_xlfn.IFS(
  OR(ISBLANK(A900),ISBLANK(B900),ISBLANK(H900),ISBLANK(D900),ISBLANK(E900)),"Missing Value",
  D900&lt;=0,"Review – Out of Range (Coverage)",
  E900&lt;=0,"Review – Out of Range (Premium)",
  TRUE,"OK"
)</f>
        <v>OK</v>
      </c>
    </row>
    <row r="901" spans="1:10" ht="16.8" x14ac:dyDescent="0.3">
      <c r="A901" s="14" t="s">
        <v>4541</v>
      </c>
      <c r="B901" s="14" t="s">
        <v>1351</v>
      </c>
      <c r="C901" s="14" t="s">
        <v>3363</v>
      </c>
      <c r="D901" s="14">
        <v>590474.99</v>
      </c>
      <c r="E901" s="14">
        <v>30811.19</v>
      </c>
      <c r="F901" s="15">
        <v>45180</v>
      </c>
      <c r="G901" s="15">
        <v>45754</v>
      </c>
      <c r="H901" s="14" t="s">
        <v>4511</v>
      </c>
      <c r="I901" s="14" t="s">
        <v>3373</v>
      </c>
      <c r="J901" s="13" t="str" cm="1">
        <f t="array" ref="J901">_xlfn.IFS(
  OR(ISBLANK(A901),ISBLANK(B901),ISBLANK(H901),ISBLANK(D901),ISBLANK(E901)),"Missing Value",
  D901&lt;=0,"Review – Out of Range (Coverage)",
  E901&lt;=0,"Review – Out of Range (Premium)",
  TRUE,"OK"
)</f>
        <v>OK</v>
      </c>
    </row>
    <row r="902" spans="1:10" ht="16.8" x14ac:dyDescent="0.3">
      <c r="A902" s="11" t="s">
        <v>4542</v>
      </c>
      <c r="B902" s="11" t="s">
        <v>1121</v>
      </c>
      <c r="C902" s="11" t="s">
        <v>3359</v>
      </c>
      <c r="D902" s="11">
        <v>792788.07</v>
      </c>
      <c r="E902" s="11">
        <v>42354.65</v>
      </c>
      <c r="F902" s="12">
        <v>45281</v>
      </c>
      <c r="G902" s="12">
        <v>45364</v>
      </c>
      <c r="H902" s="11" t="s">
        <v>3488</v>
      </c>
      <c r="I902" s="11" t="s">
        <v>3361</v>
      </c>
      <c r="J902" s="13" t="str" cm="1">
        <f t="array" ref="J902">_xlfn.IFS(
  OR(ISBLANK(A902),ISBLANK(B902),ISBLANK(H902),ISBLANK(D902),ISBLANK(E902)),"Missing Value",
  D902&lt;=0,"Review – Out of Range (Coverage)",
  E902&lt;=0,"Review – Out of Range (Premium)",
  TRUE,"OK"
)</f>
        <v>OK</v>
      </c>
    </row>
    <row r="903" spans="1:10" ht="16.8" x14ac:dyDescent="0.3">
      <c r="A903" s="14" t="s">
        <v>4543</v>
      </c>
      <c r="B903" s="14" t="s">
        <v>3268</v>
      </c>
      <c r="C903" s="14" t="s">
        <v>3359</v>
      </c>
      <c r="D903" s="14">
        <v>307728.94</v>
      </c>
      <c r="E903" s="14">
        <v>40562.07</v>
      </c>
      <c r="F903" s="15">
        <v>45008</v>
      </c>
      <c r="G903" s="15">
        <v>45126</v>
      </c>
      <c r="H903" s="14" t="s">
        <v>3438</v>
      </c>
      <c r="I903" s="14" t="s">
        <v>3373</v>
      </c>
      <c r="J903" s="13" t="str" cm="1">
        <f t="array" ref="J903">_xlfn.IFS(
  OR(ISBLANK(A903),ISBLANK(B903),ISBLANK(H903),ISBLANK(D903),ISBLANK(E903)),"Missing Value",
  D903&lt;=0,"Review – Out of Range (Coverage)",
  E903&lt;=0,"Review – Out of Range (Premium)",
  TRUE,"OK"
)</f>
        <v>OK</v>
      </c>
    </row>
    <row r="904" spans="1:10" ht="16.8" x14ac:dyDescent="0.3">
      <c r="A904" s="11" t="s">
        <v>4544</v>
      </c>
      <c r="B904" s="11" t="s">
        <v>3250</v>
      </c>
      <c r="C904" s="11" t="s">
        <v>3371</v>
      </c>
      <c r="D904" s="11">
        <v>935364.18</v>
      </c>
      <c r="E904" s="11">
        <v>37924.19</v>
      </c>
      <c r="F904" s="12">
        <v>44584</v>
      </c>
      <c r="G904" s="12">
        <v>45631</v>
      </c>
      <c r="H904" s="11" t="s">
        <v>3903</v>
      </c>
      <c r="I904" s="11" t="s">
        <v>3361</v>
      </c>
      <c r="J904" s="13" t="str" cm="1">
        <f t="array" ref="J904">_xlfn.IFS(
  OR(ISBLANK(A904),ISBLANK(B904),ISBLANK(H904),ISBLANK(D904),ISBLANK(E904)),"Missing Value",
  D904&lt;=0,"Review – Out of Range (Coverage)",
  E904&lt;=0,"Review – Out of Range (Premium)",
  TRUE,"OK"
)</f>
        <v>OK</v>
      </c>
    </row>
    <row r="905" spans="1:10" ht="16.8" x14ac:dyDescent="0.3">
      <c r="A905" s="14" t="s">
        <v>4545</v>
      </c>
      <c r="B905" s="14" t="s">
        <v>2375</v>
      </c>
      <c r="C905" s="14" t="s">
        <v>3371</v>
      </c>
      <c r="D905" s="14">
        <v>733470.44</v>
      </c>
      <c r="E905" s="14">
        <v>7705.23</v>
      </c>
      <c r="F905" s="15">
        <v>44529</v>
      </c>
      <c r="G905" s="15">
        <v>44560</v>
      </c>
      <c r="H905" s="14" t="s">
        <v>4090</v>
      </c>
      <c r="I905" s="14" t="s">
        <v>3365</v>
      </c>
      <c r="J905" s="13" t="str" cm="1">
        <f t="array" ref="J905">_xlfn.IFS(
  OR(ISBLANK(A905),ISBLANK(B905),ISBLANK(H905),ISBLANK(D905),ISBLANK(E905)),"Missing Value",
  D905&lt;=0,"Review – Out of Range (Coverage)",
  E905&lt;=0,"Review – Out of Range (Premium)",
  TRUE,"OK"
)</f>
        <v>OK</v>
      </c>
    </row>
    <row r="906" spans="1:10" ht="16.8" x14ac:dyDescent="0.3">
      <c r="A906" s="11" t="s">
        <v>4546</v>
      </c>
      <c r="B906" s="11" t="s">
        <v>1241</v>
      </c>
      <c r="C906" s="11" t="s">
        <v>3371</v>
      </c>
      <c r="D906" s="11">
        <v>802428.95</v>
      </c>
      <c r="E906" s="11">
        <v>6597.88</v>
      </c>
      <c r="F906" s="12">
        <v>44898</v>
      </c>
      <c r="G906" s="12">
        <v>44928</v>
      </c>
      <c r="H906" s="11" t="s">
        <v>3670</v>
      </c>
      <c r="I906" s="11" t="s">
        <v>3365</v>
      </c>
      <c r="J906" s="13" t="str" cm="1">
        <f t="array" ref="J906">_xlfn.IFS(
  OR(ISBLANK(A906),ISBLANK(B906),ISBLANK(H906),ISBLANK(D906),ISBLANK(E906)),"Missing Value",
  D906&lt;=0,"Review – Out of Range (Coverage)",
  E906&lt;=0,"Review – Out of Range (Premium)",
  TRUE,"OK"
)</f>
        <v>OK</v>
      </c>
    </row>
    <row r="907" spans="1:10" ht="16.8" x14ac:dyDescent="0.3">
      <c r="A907" s="14" t="s">
        <v>4547</v>
      </c>
      <c r="B907" s="14" t="s">
        <v>1707</v>
      </c>
      <c r="C907" s="14" t="s">
        <v>3380</v>
      </c>
      <c r="D907" s="14">
        <v>421655.27</v>
      </c>
      <c r="E907" s="14">
        <v>48514.07</v>
      </c>
      <c r="F907" s="15">
        <v>45488</v>
      </c>
      <c r="G907" s="15">
        <v>45758</v>
      </c>
      <c r="H907" s="14" t="s">
        <v>3617</v>
      </c>
      <c r="I907" s="14" t="s">
        <v>3365</v>
      </c>
      <c r="J907" s="13" t="str" cm="1">
        <f t="array" ref="J907">_xlfn.IFS(
  OR(ISBLANK(A907),ISBLANK(B907),ISBLANK(H907),ISBLANK(D907),ISBLANK(E907)),"Missing Value",
  D907&lt;=0,"Review – Out of Range (Coverage)",
  E907&lt;=0,"Review – Out of Range (Premium)",
  TRUE,"OK"
)</f>
        <v>OK</v>
      </c>
    </row>
    <row r="908" spans="1:10" ht="16.8" x14ac:dyDescent="0.3">
      <c r="A908" s="11" t="s">
        <v>4548</v>
      </c>
      <c r="B908" s="11" t="s">
        <v>831</v>
      </c>
      <c r="C908" s="11" t="s">
        <v>3377</v>
      </c>
      <c r="D908" s="11">
        <v>537969.98</v>
      </c>
      <c r="E908" s="11">
        <v>18918.62</v>
      </c>
      <c r="F908" s="12">
        <v>45009</v>
      </c>
      <c r="G908" s="12">
        <v>45510</v>
      </c>
      <c r="H908" s="11" t="s">
        <v>3721</v>
      </c>
      <c r="I908" s="11" t="s">
        <v>3373</v>
      </c>
      <c r="J908" s="13" t="str" cm="1">
        <f t="array" ref="J908">_xlfn.IFS(
  OR(ISBLANK(A908),ISBLANK(B908),ISBLANK(H908),ISBLANK(D908),ISBLANK(E908)),"Missing Value",
  D908&lt;=0,"Review – Out of Range (Coverage)",
  E908&lt;=0,"Review – Out of Range (Premium)",
  TRUE,"OK"
)</f>
        <v>OK</v>
      </c>
    </row>
    <row r="909" spans="1:10" ht="16.8" x14ac:dyDescent="0.3">
      <c r="A909" s="14" t="s">
        <v>4549</v>
      </c>
      <c r="B909" s="14" t="s">
        <v>929</v>
      </c>
      <c r="C909" s="14" t="s">
        <v>3371</v>
      </c>
      <c r="D909" s="14">
        <v>215407.9</v>
      </c>
      <c r="E909" s="14">
        <v>22591.41</v>
      </c>
      <c r="F909" s="15">
        <v>44841</v>
      </c>
      <c r="G909" s="15">
        <v>45054</v>
      </c>
      <c r="H909" s="14" t="s">
        <v>4170</v>
      </c>
      <c r="I909" s="14" t="s">
        <v>3365</v>
      </c>
      <c r="J909" s="13" t="str" cm="1">
        <f t="array" ref="J909">_xlfn.IFS(
  OR(ISBLANK(A909),ISBLANK(B909),ISBLANK(H909),ISBLANK(D909),ISBLANK(E909)),"Missing Value",
  D909&lt;=0,"Review – Out of Range (Coverage)",
  E909&lt;=0,"Review – Out of Range (Premium)",
  TRUE,"OK"
)</f>
        <v>OK</v>
      </c>
    </row>
    <row r="910" spans="1:10" ht="16.8" x14ac:dyDescent="0.3">
      <c r="A910" s="11" t="s">
        <v>4550</v>
      </c>
      <c r="B910" s="11" t="s">
        <v>2319</v>
      </c>
      <c r="C910" s="11" t="s">
        <v>3363</v>
      </c>
      <c r="D910" s="11">
        <v>953230.23</v>
      </c>
      <c r="E910" s="11">
        <v>25029</v>
      </c>
      <c r="F910" s="12">
        <v>45273</v>
      </c>
      <c r="G910" s="12">
        <v>45510</v>
      </c>
      <c r="H910" s="11" t="s">
        <v>3955</v>
      </c>
      <c r="I910" s="11" t="s">
        <v>3365</v>
      </c>
      <c r="J910" s="13" t="str" cm="1">
        <f t="array" ref="J910">_xlfn.IFS(
  OR(ISBLANK(A910),ISBLANK(B910),ISBLANK(H910),ISBLANK(D910),ISBLANK(E910)),"Missing Value",
  D910&lt;=0,"Review – Out of Range (Coverage)",
  E910&lt;=0,"Review – Out of Range (Premium)",
  TRUE,"OK"
)</f>
        <v>OK</v>
      </c>
    </row>
    <row r="911" spans="1:10" ht="16.8" x14ac:dyDescent="0.3">
      <c r="A911" s="14" t="s">
        <v>4551</v>
      </c>
      <c r="B911" s="14" t="s">
        <v>917</v>
      </c>
      <c r="C911" s="14" t="s">
        <v>3371</v>
      </c>
      <c r="D911" s="14">
        <v>298646.14</v>
      </c>
      <c r="E911" s="14">
        <v>4689.1899999999996</v>
      </c>
      <c r="F911" s="15">
        <v>44706</v>
      </c>
      <c r="G911" s="15">
        <v>45308</v>
      </c>
      <c r="H911" s="14" t="s">
        <v>3385</v>
      </c>
      <c r="I911" s="14" t="s">
        <v>3361</v>
      </c>
      <c r="J911" s="13" t="str" cm="1">
        <f t="array" ref="J911">_xlfn.IFS(
  OR(ISBLANK(A911),ISBLANK(B911),ISBLANK(H911),ISBLANK(D911),ISBLANK(E911)),"Missing Value",
  D911&lt;=0,"Review – Out of Range (Coverage)",
  E911&lt;=0,"Review – Out of Range (Premium)",
  TRUE,"OK"
)</f>
        <v>OK</v>
      </c>
    </row>
    <row r="912" spans="1:10" ht="16.8" x14ac:dyDescent="0.3">
      <c r="A912" s="11" t="s">
        <v>4552</v>
      </c>
      <c r="B912" s="11" t="s">
        <v>358</v>
      </c>
      <c r="C912" s="11" t="s">
        <v>3380</v>
      </c>
      <c r="D912" s="11">
        <v>684370.46</v>
      </c>
      <c r="E912" s="11">
        <v>19488.080000000002</v>
      </c>
      <c r="F912" s="12">
        <v>44735</v>
      </c>
      <c r="G912" s="12">
        <v>45084</v>
      </c>
      <c r="H912" s="11" t="s">
        <v>3421</v>
      </c>
      <c r="I912" s="11" t="s">
        <v>3373</v>
      </c>
      <c r="J912" s="13" t="str" cm="1">
        <f t="array" ref="J912">_xlfn.IFS(
  OR(ISBLANK(A912),ISBLANK(B912),ISBLANK(H912),ISBLANK(D912),ISBLANK(E912)),"Missing Value",
  D912&lt;=0,"Review – Out of Range (Coverage)",
  E912&lt;=0,"Review – Out of Range (Premium)",
  TRUE,"OK"
)</f>
        <v>OK</v>
      </c>
    </row>
    <row r="913" spans="1:10" ht="16.8" x14ac:dyDescent="0.3">
      <c r="A913" s="14" t="s">
        <v>4553</v>
      </c>
      <c r="B913" s="14" t="s">
        <v>2047</v>
      </c>
      <c r="C913" s="14" t="s">
        <v>3363</v>
      </c>
      <c r="D913" s="14">
        <v>289815.59000000003</v>
      </c>
      <c r="E913" s="14">
        <v>9279.1299999999992</v>
      </c>
      <c r="F913" s="15">
        <v>45165</v>
      </c>
      <c r="G913" s="15">
        <v>45206</v>
      </c>
      <c r="H913" s="14" t="s">
        <v>4404</v>
      </c>
      <c r="I913" s="14" t="s">
        <v>3361</v>
      </c>
      <c r="J913" s="13" t="str" cm="1">
        <f t="array" ref="J913">_xlfn.IFS(
  OR(ISBLANK(A913),ISBLANK(B913),ISBLANK(H913),ISBLANK(D913),ISBLANK(E913)),"Missing Value",
  D913&lt;=0,"Review – Out of Range (Coverage)",
  E913&lt;=0,"Review – Out of Range (Premium)",
  TRUE,"OK"
)</f>
        <v>OK</v>
      </c>
    </row>
    <row r="914" spans="1:10" ht="16.8" x14ac:dyDescent="0.3">
      <c r="A914" s="11" t="s">
        <v>4554</v>
      </c>
      <c r="B914" s="11" t="s">
        <v>142</v>
      </c>
      <c r="C914" s="11" t="s">
        <v>3377</v>
      </c>
      <c r="D914" s="11">
        <v>115980.31</v>
      </c>
      <c r="E914" s="11">
        <v>13705.21</v>
      </c>
      <c r="F914" s="12">
        <v>44080</v>
      </c>
      <c r="G914" s="12">
        <v>44221</v>
      </c>
      <c r="H914" s="11" t="s">
        <v>3395</v>
      </c>
      <c r="I914" s="11" t="s">
        <v>3373</v>
      </c>
      <c r="J914" s="13" t="str" cm="1">
        <f t="array" ref="J914">_xlfn.IFS(
  OR(ISBLANK(A914),ISBLANK(B914),ISBLANK(H914),ISBLANK(D914),ISBLANK(E914)),"Missing Value",
  D914&lt;=0,"Review – Out of Range (Coverage)",
  E914&lt;=0,"Review – Out of Range (Premium)",
  TRUE,"OK"
)</f>
        <v>OK</v>
      </c>
    </row>
    <row r="915" spans="1:10" ht="16.8" x14ac:dyDescent="0.3">
      <c r="A915" s="14" t="s">
        <v>4555</v>
      </c>
      <c r="B915" s="14" t="s">
        <v>1577</v>
      </c>
      <c r="C915" s="14" t="s">
        <v>3380</v>
      </c>
      <c r="D915" s="14">
        <v>363486.29</v>
      </c>
      <c r="E915" s="14">
        <v>28713.87</v>
      </c>
      <c r="F915" s="15">
        <v>45477</v>
      </c>
      <c r="G915" s="15">
        <v>45667</v>
      </c>
      <c r="H915" s="14" t="s">
        <v>4556</v>
      </c>
      <c r="I915" s="14" t="s">
        <v>3361</v>
      </c>
      <c r="J915" s="13" t="str" cm="1">
        <f t="array" ref="J915">_xlfn.IFS(
  OR(ISBLANK(A915),ISBLANK(B915),ISBLANK(H915),ISBLANK(D915),ISBLANK(E915)),"Missing Value",
  D915&lt;=0,"Review – Out of Range (Coverage)",
  E915&lt;=0,"Review – Out of Range (Premium)",
  TRUE,"OK"
)</f>
        <v>OK</v>
      </c>
    </row>
    <row r="916" spans="1:10" ht="16.8" x14ac:dyDescent="0.3">
      <c r="A916" s="11" t="s">
        <v>4557</v>
      </c>
      <c r="B916" s="11" t="s">
        <v>74</v>
      </c>
      <c r="C916" s="11" t="s">
        <v>3363</v>
      </c>
      <c r="D916" s="11">
        <v>876930.89</v>
      </c>
      <c r="E916" s="11">
        <v>5841.72</v>
      </c>
      <c r="F916" s="12">
        <v>45459</v>
      </c>
      <c r="G916" s="12">
        <v>45571</v>
      </c>
      <c r="H916" s="11" t="s">
        <v>3397</v>
      </c>
      <c r="I916" s="11" t="s">
        <v>3365</v>
      </c>
      <c r="J916" s="13" t="str" cm="1">
        <f t="array" ref="J916">_xlfn.IFS(
  OR(ISBLANK(A916),ISBLANK(B916),ISBLANK(H916),ISBLANK(D916),ISBLANK(E916)),"Missing Value",
  D916&lt;=0,"Review – Out of Range (Coverage)",
  E916&lt;=0,"Review – Out of Range (Premium)",
  TRUE,"OK"
)</f>
        <v>OK</v>
      </c>
    </row>
    <row r="917" spans="1:10" ht="16.8" x14ac:dyDescent="0.3">
      <c r="A917" s="14" t="s">
        <v>4558</v>
      </c>
      <c r="B917" s="14" t="s">
        <v>216</v>
      </c>
      <c r="C917" s="14" t="s">
        <v>3377</v>
      </c>
      <c r="D917" s="14">
        <v>980505.84</v>
      </c>
      <c r="E917" s="14">
        <v>23157.56</v>
      </c>
      <c r="F917" s="15">
        <v>44676</v>
      </c>
      <c r="G917" s="15">
        <v>45350</v>
      </c>
      <c r="H917" s="14" t="s">
        <v>3698</v>
      </c>
      <c r="I917" s="14" t="s">
        <v>3373</v>
      </c>
      <c r="J917" s="13" t="str" cm="1">
        <f t="array" ref="J917">_xlfn.IFS(
  OR(ISBLANK(A917),ISBLANK(B917),ISBLANK(H917),ISBLANK(D917),ISBLANK(E917)),"Missing Value",
  D917&lt;=0,"Review – Out of Range (Coverage)",
  E917&lt;=0,"Review – Out of Range (Premium)",
  TRUE,"OK"
)</f>
        <v>OK</v>
      </c>
    </row>
    <row r="918" spans="1:10" ht="16.8" x14ac:dyDescent="0.3">
      <c r="A918" s="11" t="s">
        <v>4559</v>
      </c>
      <c r="B918" s="11" t="s">
        <v>1075</v>
      </c>
      <c r="C918" s="11" t="s">
        <v>3380</v>
      </c>
      <c r="D918" s="11">
        <v>252745.61</v>
      </c>
      <c r="E918" s="11">
        <v>7650.28</v>
      </c>
      <c r="F918" s="12">
        <v>45442</v>
      </c>
      <c r="G918" s="12">
        <v>45616</v>
      </c>
      <c r="H918" s="11" t="s">
        <v>3992</v>
      </c>
      <c r="I918" s="11" t="s">
        <v>3373</v>
      </c>
      <c r="J918" s="13" t="str" cm="1">
        <f t="array" ref="J918">_xlfn.IFS(
  OR(ISBLANK(A918),ISBLANK(B918),ISBLANK(H918),ISBLANK(D918),ISBLANK(E918)),"Missing Value",
  D918&lt;=0,"Review – Out of Range (Coverage)",
  E918&lt;=0,"Review – Out of Range (Premium)",
  TRUE,"OK"
)</f>
        <v>OK</v>
      </c>
    </row>
    <row r="919" spans="1:10" ht="16.8" x14ac:dyDescent="0.3">
      <c r="A919" s="14" t="s">
        <v>4560</v>
      </c>
      <c r="B919" s="14" t="s">
        <v>2993</v>
      </c>
      <c r="C919" s="14" t="s">
        <v>3359</v>
      </c>
      <c r="D919" s="14">
        <v>732227.04</v>
      </c>
      <c r="E919" s="14">
        <v>29443.94</v>
      </c>
      <c r="F919" s="15">
        <v>45483</v>
      </c>
      <c r="G919" s="15">
        <v>45640</v>
      </c>
      <c r="H919" s="14" t="s">
        <v>3626</v>
      </c>
      <c r="I919" s="14" t="s">
        <v>3373</v>
      </c>
      <c r="J919" s="13" t="str" cm="1">
        <f t="array" ref="J919">_xlfn.IFS(
  OR(ISBLANK(A919),ISBLANK(B919),ISBLANK(H919),ISBLANK(D919),ISBLANK(E919)),"Missing Value",
  D919&lt;=0,"Review – Out of Range (Coverage)",
  E919&lt;=0,"Review – Out of Range (Premium)",
  TRUE,"OK"
)</f>
        <v>OK</v>
      </c>
    </row>
    <row r="920" spans="1:10" ht="16.8" x14ac:dyDescent="0.3">
      <c r="A920" s="11" t="s">
        <v>4561</v>
      </c>
      <c r="B920" s="11" t="s">
        <v>1745</v>
      </c>
      <c r="C920" s="11" t="s">
        <v>3377</v>
      </c>
      <c r="D920" s="11">
        <v>917582.19</v>
      </c>
      <c r="E920" s="11">
        <v>30788.79</v>
      </c>
      <c r="F920" s="12">
        <v>44603</v>
      </c>
      <c r="G920" s="12">
        <v>45248</v>
      </c>
      <c r="H920" s="11" t="s">
        <v>3781</v>
      </c>
      <c r="I920" s="11" t="s">
        <v>3373</v>
      </c>
      <c r="J920" s="13" t="str" cm="1">
        <f t="array" ref="J920">_xlfn.IFS(
  OR(ISBLANK(A920),ISBLANK(B920),ISBLANK(H920),ISBLANK(D920),ISBLANK(E920)),"Missing Value",
  D920&lt;=0,"Review – Out of Range (Coverage)",
  E920&lt;=0,"Review – Out of Range (Premium)",
  TRUE,"OK"
)</f>
        <v>OK</v>
      </c>
    </row>
    <row r="921" spans="1:10" ht="16.8" x14ac:dyDescent="0.3">
      <c r="A921" s="14" t="s">
        <v>4562</v>
      </c>
      <c r="B921" s="14" t="s">
        <v>2949</v>
      </c>
      <c r="C921" s="14" t="s">
        <v>3371</v>
      </c>
      <c r="D921" s="14">
        <v>312453.68</v>
      </c>
      <c r="E921" s="14">
        <v>36452.269999999997</v>
      </c>
      <c r="F921" s="15">
        <v>44182</v>
      </c>
      <c r="G921" s="15">
        <v>45200</v>
      </c>
      <c r="H921" s="14" t="s">
        <v>3859</v>
      </c>
      <c r="I921" s="14" t="s">
        <v>3373</v>
      </c>
      <c r="J921" s="13" t="str" cm="1">
        <f t="array" ref="J921">_xlfn.IFS(
  OR(ISBLANK(A921),ISBLANK(B921),ISBLANK(H921),ISBLANK(D921),ISBLANK(E921)),"Missing Value",
  D921&lt;=0,"Review – Out of Range (Coverage)",
  E921&lt;=0,"Review – Out of Range (Premium)",
  TRUE,"OK"
)</f>
        <v>OK</v>
      </c>
    </row>
    <row r="922" spans="1:10" ht="16.8" x14ac:dyDescent="0.3">
      <c r="A922" s="11" t="s">
        <v>4563</v>
      </c>
      <c r="B922" s="11" t="s">
        <v>1417</v>
      </c>
      <c r="C922" s="11" t="s">
        <v>3377</v>
      </c>
      <c r="D922" s="11">
        <v>816489.45</v>
      </c>
      <c r="E922" s="11">
        <v>37677.06</v>
      </c>
      <c r="F922" s="12">
        <v>44588</v>
      </c>
      <c r="G922" s="12">
        <v>44773</v>
      </c>
      <c r="H922" s="11" t="s">
        <v>3632</v>
      </c>
      <c r="I922" s="11" t="s">
        <v>3361</v>
      </c>
      <c r="J922" s="13" t="str" cm="1">
        <f t="array" ref="J922">_xlfn.IFS(
  OR(ISBLANK(A922),ISBLANK(B922),ISBLANK(H922),ISBLANK(D922),ISBLANK(E922)),"Missing Value",
  D922&lt;=0,"Review – Out of Range (Coverage)",
  E922&lt;=0,"Review – Out of Range (Premium)",
  TRUE,"OK"
)</f>
        <v>OK</v>
      </c>
    </row>
    <row r="923" spans="1:10" ht="16.8" x14ac:dyDescent="0.3">
      <c r="A923" s="14" t="s">
        <v>4564</v>
      </c>
      <c r="B923" s="14" t="s">
        <v>190</v>
      </c>
      <c r="C923" s="14" t="s">
        <v>3377</v>
      </c>
      <c r="D923" s="14">
        <v>324533.53999999998</v>
      </c>
      <c r="E923" s="14">
        <v>42561.760000000002</v>
      </c>
      <c r="F923" s="15">
        <v>44279</v>
      </c>
      <c r="G923" s="15">
        <v>44674</v>
      </c>
      <c r="H923" s="14" t="s">
        <v>3575</v>
      </c>
      <c r="I923" s="14" t="s">
        <v>3361</v>
      </c>
      <c r="J923" s="13" t="str" cm="1">
        <f t="array" ref="J923">_xlfn.IFS(
  OR(ISBLANK(A923),ISBLANK(B923),ISBLANK(H923),ISBLANK(D923),ISBLANK(E923)),"Missing Value",
  D923&lt;=0,"Review – Out of Range (Coverage)",
  E923&lt;=0,"Review – Out of Range (Premium)",
  TRUE,"OK"
)</f>
        <v>OK</v>
      </c>
    </row>
    <row r="924" spans="1:10" ht="16.8" x14ac:dyDescent="0.3">
      <c r="A924" s="11" t="s">
        <v>4565</v>
      </c>
      <c r="B924" s="11" t="s">
        <v>927</v>
      </c>
      <c r="C924" s="11" t="s">
        <v>3380</v>
      </c>
      <c r="D924" s="11">
        <v>452069.12</v>
      </c>
      <c r="E924" s="11">
        <v>19389.09</v>
      </c>
      <c r="F924" s="12">
        <v>45123</v>
      </c>
      <c r="G924" s="12">
        <v>45457</v>
      </c>
      <c r="H924" s="11" t="s">
        <v>4374</v>
      </c>
      <c r="I924" s="11" t="s">
        <v>3365</v>
      </c>
      <c r="J924" s="13" t="str" cm="1">
        <f t="array" ref="J924">_xlfn.IFS(
  OR(ISBLANK(A924),ISBLANK(B924),ISBLANK(H924),ISBLANK(D924),ISBLANK(E924)),"Missing Value",
  D924&lt;=0,"Review – Out of Range (Coverage)",
  E924&lt;=0,"Review – Out of Range (Premium)",
  TRUE,"OK"
)</f>
        <v>OK</v>
      </c>
    </row>
    <row r="925" spans="1:10" ht="16.8" x14ac:dyDescent="0.3">
      <c r="A925" s="14" t="s">
        <v>4566</v>
      </c>
      <c r="B925" s="14" t="s">
        <v>2303</v>
      </c>
      <c r="C925" s="14" t="s">
        <v>3380</v>
      </c>
      <c r="D925" s="14">
        <v>871098.34</v>
      </c>
      <c r="E925" s="14">
        <v>44658.78</v>
      </c>
      <c r="F925" s="15">
        <v>45275</v>
      </c>
      <c r="G925" s="15">
        <v>45836</v>
      </c>
      <c r="H925" s="14" t="s">
        <v>4108</v>
      </c>
      <c r="I925" s="14" t="s">
        <v>3373</v>
      </c>
      <c r="J925" s="13" t="str" cm="1">
        <f t="array" ref="J925">_xlfn.IFS(
  OR(ISBLANK(A925),ISBLANK(B925),ISBLANK(H925),ISBLANK(D925),ISBLANK(E925)),"Missing Value",
  D925&lt;=0,"Review – Out of Range (Coverage)",
  E925&lt;=0,"Review – Out of Range (Premium)",
  TRUE,"OK"
)</f>
        <v>OK</v>
      </c>
    </row>
    <row r="926" spans="1:10" ht="16.8" x14ac:dyDescent="0.3">
      <c r="A926" s="11" t="s">
        <v>4567</v>
      </c>
      <c r="B926" s="11" t="s">
        <v>1251</v>
      </c>
      <c r="C926" s="11" t="s">
        <v>3380</v>
      </c>
      <c r="D926" s="11">
        <v>588243.34</v>
      </c>
      <c r="E926" s="11">
        <v>47919.74</v>
      </c>
      <c r="F926" s="12">
        <v>44306</v>
      </c>
      <c r="G926" s="12">
        <v>44428</v>
      </c>
      <c r="H926" s="11" t="s">
        <v>4231</v>
      </c>
      <c r="I926" s="11" t="s">
        <v>3373</v>
      </c>
      <c r="J926" s="13" t="str" cm="1">
        <f t="array" ref="J926">_xlfn.IFS(
  OR(ISBLANK(A926),ISBLANK(B926),ISBLANK(H926),ISBLANK(D926),ISBLANK(E926)),"Missing Value",
  D926&lt;=0,"Review – Out of Range (Coverage)",
  E926&lt;=0,"Review – Out of Range (Premium)",
  TRUE,"OK"
)</f>
        <v>OK</v>
      </c>
    </row>
    <row r="927" spans="1:10" ht="16.8" x14ac:dyDescent="0.3">
      <c r="A927" s="14" t="s">
        <v>4568</v>
      </c>
      <c r="B927" s="14" t="s">
        <v>3094</v>
      </c>
      <c r="C927" s="14" t="s">
        <v>3377</v>
      </c>
      <c r="D927" s="14">
        <v>856798.89</v>
      </c>
      <c r="E927" s="14">
        <v>13669.61</v>
      </c>
      <c r="F927" s="15">
        <v>44100</v>
      </c>
      <c r="G927" s="15">
        <v>44562</v>
      </c>
      <c r="H927" s="14" t="s">
        <v>3545</v>
      </c>
      <c r="I927" s="14" t="s">
        <v>3361</v>
      </c>
      <c r="J927" s="13" t="str" cm="1">
        <f t="array" ref="J927">_xlfn.IFS(
  OR(ISBLANK(A927),ISBLANK(B927),ISBLANK(H927),ISBLANK(D927),ISBLANK(E927)),"Missing Value",
  D927&lt;=0,"Review – Out of Range (Coverage)",
  E927&lt;=0,"Review – Out of Range (Premium)",
  TRUE,"OK"
)</f>
        <v>OK</v>
      </c>
    </row>
    <row r="928" spans="1:10" ht="16.8" x14ac:dyDescent="0.3">
      <c r="A928" s="11" t="s">
        <v>4569</v>
      </c>
      <c r="B928" s="11" t="s">
        <v>2963</v>
      </c>
      <c r="C928" s="11" t="s">
        <v>3371</v>
      </c>
      <c r="D928" s="11">
        <v>666719.62</v>
      </c>
      <c r="E928" s="11">
        <v>30186.05</v>
      </c>
      <c r="F928" s="12">
        <v>45385</v>
      </c>
      <c r="G928" s="12">
        <v>45792</v>
      </c>
      <c r="H928" s="11" t="s">
        <v>3497</v>
      </c>
      <c r="I928" s="11" t="s">
        <v>3373</v>
      </c>
      <c r="J928" s="13" t="str" cm="1">
        <f t="array" ref="J928">_xlfn.IFS(
  OR(ISBLANK(A928),ISBLANK(B928),ISBLANK(H928),ISBLANK(D928),ISBLANK(E928)),"Missing Value",
  D928&lt;=0,"Review – Out of Range (Coverage)",
  E928&lt;=0,"Review – Out of Range (Premium)",
  TRUE,"OK"
)</f>
        <v>OK</v>
      </c>
    </row>
    <row r="929" spans="1:10" ht="16.8" x14ac:dyDescent="0.3">
      <c r="A929" s="14" t="s">
        <v>4570</v>
      </c>
      <c r="B929" s="14" t="s">
        <v>1285</v>
      </c>
      <c r="C929" s="14" t="s">
        <v>3371</v>
      </c>
      <c r="D929" s="14">
        <v>999777.49</v>
      </c>
      <c r="E929" s="14">
        <v>20819.62</v>
      </c>
      <c r="F929" s="15">
        <v>44279</v>
      </c>
      <c r="G929" s="15">
        <v>45645</v>
      </c>
      <c r="H929" s="14" t="s">
        <v>3813</v>
      </c>
      <c r="I929" s="14" t="s">
        <v>3365</v>
      </c>
      <c r="J929" s="13" t="str" cm="1">
        <f t="array" ref="J929">_xlfn.IFS(
  OR(ISBLANK(A929),ISBLANK(B929),ISBLANK(H929),ISBLANK(D929),ISBLANK(E929)),"Missing Value",
  D929&lt;=0,"Review – Out of Range (Coverage)",
  E929&lt;=0,"Review – Out of Range (Premium)",
  TRUE,"OK"
)</f>
        <v>OK</v>
      </c>
    </row>
    <row r="930" spans="1:10" ht="16.8" x14ac:dyDescent="0.3">
      <c r="A930" s="11" t="s">
        <v>4571</v>
      </c>
      <c r="B930" s="11" t="s">
        <v>502</v>
      </c>
      <c r="C930" s="11" t="s">
        <v>3380</v>
      </c>
      <c r="D930" s="11">
        <v>809492.19</v>
      </c>
      <c r="E930" s="11">
        <v>44150.47</v>
      </c>
      <c r="F930" s="12">
        <v>45326</v>
      </c>
      <c r="G930" s="12">
        <v>45332</v>
      </c>
      <c r="H930" s="11" t="s">
        <v>3569</v>
      </c>
      <c r="I930" s="11" t="s">
        <v>3365</v>
      </c>
      <c r="J930" s="13" t="str" cm="1">
        <f t="array" ref="J930">_xlfn.IFS(
  OR(ISBLANK(A930),ISBLANK(B930),ISBLANK(H930),ISBLANK(D930),ISBLANK(E930)),"Missing Value",
  D930&lt;=0,"Review – Out of Range (Coverage)",
  E930&lt;=0,"Review – Out of Range (Premium)",
  TRUE,"OK"
)</f>
        <v>OK</v>
      </c>
    </row>
    <row r="931" spans="1:10" ht="16.8" x14ac:dyDescent="0.3">
      <c r="A931" s="14" t="s">
        <v>4572</v>
      </c>
      <c r="B931" s="14" t="s">
        <v>1849</v>
      </c>
      <c r="C931" s="14" t="s">
        <v>3377</v>
      </c>
      <c r="D931" s="14">
        <v>643232.63</v>
      </c>
      <c r="E931" s="14">
        <v>13412.44</v>
      </c>
      <c r="F931" s="15">
        <v>44883</v>
      </c>
      <c r="G931" s="15">
        <v>45361</v>
      </c>
      <c r="H931" s="14" t="s">
        <v>3515</v>
      </c>
      <c r="I931" s="14" t="s">
        <v>3373</v>
      </c>
      <c r="J931" s="13" t="str" cm="1">
        <f t="array" ref="J931">_xlfn.IFS(
  OR(ISBLANK(A931),ISBLANK(B931),ISBLANK(H931),ISBLANK(D931),ISBLANK(E931)),"Missing Value",
  D931&lt;=0,"Review – Out of Range (Coverage)",
  E931&lt;=0,"Review – Out of Range (Premium)",
  TRUE,"OK"
)</f>
        <v>OK</v>
      </c>
    </row>
    <row r="932" spans="1:10" ht="16.8" x14ac:dyDescent="0.3">
      <c r="A932" s="11" t="s">
        <v>4573</v>
      </c>
      <c r="B932" s="11" t="s">
        <v>981</v>
      </c>
      <c r="C932" s="11" t="s">
        <v>3380</v>
      </c>
      <c r="D932" s="11">
        <v>262044.02</v>
      </c>
      <c r="E932" s="11">
        <v>41764.639999999999</v>
      </c>
      <c r="F932" s="12">
        <v>44845</v>
      </c>
      <c r="G932" s="12">
        <v>45630</v>
      </c>
      <c r="H932" s="11" t="s">
        <v>4136</v>
      </c>
      <c r="I932" s="11" t="s">
        <v>3361</v>
      </c>
      <c r="J932" s="13" t="str" cm="1">
        <f t="array" ref="J932">_xlfn.IFS(
  OR(ISBLANK(A932),ISBLANK(B932),ISBLANK(H932),ISBLANK(D932),ISBLANK(E932)),"Missing Value",
  D932&lt;=0,"Review – Out of Range (Coverage)",
  E932&lt;=0,"Review – Out of Range (Premium)",
  TRUE,"OK"
)</f>
        <v>OK</v>
      </c>
    </row>
    <row r="933" spans="1:10" ht="16.8" x14ac:dyDescent="0.3">
      <c r="A933" s="14" t="s">
        <v>4574</v>
      </c>
      <c r="B933" s="14" t="s">
        <v>1101</v>
      </c>
      <c r="C933" s="14" t="s">
        <v>3371</v>
      </c>
      <c r="D933" s="14">
        <v>272153.64</v>
      </c>
      <c r="E933" s="14">
        <v>38043.800000000003</v>
      </c>
      <c r="F933" s="15">
        <v>44746</v>
      </c>
      <c r="G933" s="15">
        <v>45432</v>
      </c>
      <c r="H933" s="14" t="s">
        <v>4575</v>
      </c>
      <c r="I933" s="14" t="s">
        <v>3373</v>
      </c>
      <c r="J933" s="13" t="str" cm="1">
        <f t="array" ref="J933">_xlfn.IFS(
  OR(ISBLANK(A933),ISBLANK(B933),ISBLANK(H933),ISBLANK(D933),ISBLANK(E933)),"Missing Value",
  D933&lt;=0,"Review – Out of Range (Coverage)",
  E933&lt;=0,"Review – Out of Range (Premium)",
  TRUE,"OK"
)</f>
        <v>OK</v>
      </c>
    </row>
    <row r="934" spans="1:10" ht="16.8" x14ac:dyDescent="0.3">
      <c r="A934" s="11" t="s">
        <v>4576</v>
      </c>
      <c r="B934" s="11" t="s">
        <v>1257</v>
      </c>
      <c r="C934" s="11" t="s">
        <v>3363</v>
      </c>
      <c r="D934" s="11">
        <v>106549.94</v>
      </c>
      <c r="E934" s="11">
        <v>18097.2</v>
      </c>
      <c r="F934" s="12">
        <v>44889</v>
      </c>
      <c r="G934" s="12">
        <v>45261</v>
      </c>
      <c r="H934" s="11" t="s">
        <v>3918</v>
      </c>
      <c r="I934" s="11" t="s">
        <v>3361</v>
      </c>
      <c r="J934" s="13" t="str" cm="1">
        <f t="array" ref="J934">_xlfn.IFS(
  OR(ISBLANK(A934),ISBLANK(B934),ISBLANK(H934),ISBLANK(D934),ISBLANK(E934)),"Missing Value",
  D934&lt;=0,"Review – Out of Range (Coverage)",
  E934&lt;=0,"Review – Out of Range (Premium)",
  TRUE,"OK"
)</f>
        <v>OK</v>
      </c>
    </row>
    <row r="935" spans="1:10" ht="16.8" x14ac:dyDescent="0.3">
      <c r="A935" s="14" t="s">
        <v>4577</v>
      </c>
      <c r="B935" s="14" t="s">
        <v>2307</v>
      </c>
      <c r="C935" s="14" t="s">
        <v>3371</v>
      </c>
      <c r="D935" s="14">
        <v>577640.84</v>
      </c>
      <c r="E935" s="14">
        <v>36466.79</v>
      </c>
      <c r="F935" s="15">
        <v>44319</v>
      </c>
      <c r="G935" s="15">
        <v>44447</v>
      </c>
      <c r="H935" s="14" t="s">
        <v>4006</v>
      </c>
      <c r="I935" s="14" t="s">
        <v>3365</v>
      </c>
      <c r="J935" s="13" t="str" cm="1">
        <f t="array" ref="J935">_xlfn.IFS(
  OR(ISBLANK(A935),ISBLANK(B935),ISBLANK(H935),ISBLANK(D935),ISBLANK(E935)),"Missing Value",
  D935&lt;=0,"Review – Out of Range (Coverage)",
  E935&lt;=0,"Review – Out of Range (Premium)",
  TRUE,"OK"
)</f>
        <v>OK</v>
      </c>
    </row>
    <row r="936" spans="1:10" ht="16.8" x14ac:dyDescent="0.3">
      <c r="A936" s="11" t="s">
        <v>4578</v>
      </c>
      <c r="B936" s="11" t="s">
        <v>1561</v>
      </c>
      <c r="C936" s="11" t="s">
        <v>3377</v>
      </c>
      <c r="D936" s="11">
        <v>479976.79</v>
      </c>
      <c r="E936" s="11">
        <v>18739.5</v>
      </c>
      <c r="F936" s="12">
        <v>44508</v>
      </c>
      <c r="G936" s="12">
        <v>45256</v>
      </c>
      <c r="H936" s="11" t="s">
        <v>4006</v>
      </c>
      <c r="I936" s="11" t="s">
        <v>3365</v>
      </c>
      <c r="J936" s="13" t="str" cm="1">
        <f t="array" ref="J936">_xlfn.IFS(
  OR(ISBLANK(A936),ISBLANK(B936),ISBLANK(H936),ISBLANK(D936),ISBLANK(E936)),"Missing Value",
  D936&lt;=0,"Review – Out of Range (Coverage)",
  E936&lt;=0,"Review – Out of Range (Premium)",
  TRUE,"OK"
)</f>
        <v>OK</v>
      </c>
    </row>
    <row r="937" spans="1:10" ht="16.8" x14ac:dyDescent="0.3">
      <c r="A937" s="14" t="s">
        <v>4579</v>
      </c>
      <c r="B937" s="14" t="s">
        <v>1603</v>
      </c>
      <c r="C937" s="14" t="s">
        <v>3363</v>
      </c>
      <c r="D937" s="14">
        <v>682781.45</v>
      </c>
      <c r="E937" s="14">
        <v>44002.98</v>
      </c>
      <c r="F937" s="15">
        <v>45223</v>
      </c>
      <c r="G937" s="15">
        <v>45772</v>
      </c>
      <c r="H937" s="14" t="s">
        <v>3507</v>
      </c>
      <c r="I937" s="14" t="s">
        <v>3365</v>
      </c>
      <c r="J937" s="13" t="str" cm="1">
        <f t="array" ref="J937">_xlfn.IFS(
  OR(ISBLANK(A937),ISBLANK(B937),ISBLANK(H937),ISBLANK(D937),ISBLANK(E937)),"Missing Value",
  D937&lt;=0,"Review – Out of Range (Coverage)",
  E937&lt;=0,"Review – Out of Range (Premium)",
  TRUE,"OK"
)</f>
        <v>OK</v>
      </c>
    </row>
    <row r="938" spans="1:10" ht="16.8" x14ac:dyDescent="0.3">
      <c r="A938" s="11" t="s">
        <v>4580</v>
      </c>
      <c r="B938" s="11" t="s">
        <v>1903</v>
      </c>
      <c r="C938" s="11" t="s">
        <v>3363</v>
      </c>
      <c r="D938" s="11">
        <v>656683.88</v>
      </c>
      <c r="E938" s="11">
        <v>28364.46</v>
      </c>
      <c r="F938" s="12">
        <v>44416</v>
      </c>
      <c r="G938" s="12">
        <v>45220</v>
      </c>
      <c r="H938" s="11" t="s">
        <v>4003</v>
      </c>
      <c r="I938" s="11" t="s">
        <v>3373</v>
      </c>
      <c r="J938" s="13" t="str" cm="1">
        <f t="array" ref="J938">_xlfn.IFS(
  OR(ISBLANK(A938),ISBLANK(B938),ISBLANK(H938),ISBLANK(D938),ISBLANK(E938)),"Missing Value",
  D938&lt;=0,"Review – Out of Range (Coverage)",
  E938&lt;=0,"Review – Out of Range (Premium)",
  TRUE,"OK"
)</f>
        <v>OK</v>
      </c>
    </row>
    <row r="939" spans="1:10" ht="16.8" x14ac:dyDescent="0.3">
      <c r="A939" s="14" t="s">
        <v>4581</v>
      </c>
      <c r="B939" s="14" t="s">
        <v>1077</v>
      </c>
      <c r="C939" s="14" t="s">
        <v>3363</v>
      </c>
      <c r="D939" s="14">
        <v>678084.76</v>
      </c>
      <c r="E939" s="14">
        <v>9252.7099999999991</v>
      </c>
      <c r="F939" s="15">
        <v>44403</v>
      </c>
      <c r="G939" s="15">
        <v>45198</v>
      </c>
      <c r="H939" s="14" t="s">
        <v>3738</v>
      </c>
      <c r="I939" s="14" t="s">
        <v>3361</v>
      </c>
      <c r="J939" s="13" t="str" cm="1">
        <f t="array" ref="J939">_xlfn.IFS(
  OR(ISBLANK(A939),ISBLANK(B939),ISBLANK(H939),ISBLANK(D939),ISBLANK(E939)),"Missing Value",
  D939&lt;=0,"Review – Out of Range (Coverage)",
  E939&lt;=0,"Review – Out of Range (Premium)",
  TRUE,"OK"
)</f>
        <v>OK</v>
      </c>
    </row>
    <row r="940" spans="1:10" ht="16.8" x14ac:dyDescent="0.3">
      <c r="A940" s="11" t="s">
        <v>4582</v>
      </c>
      <c r="B940" s="11" t="s">
        <v>1765</v>
      </c>
      <c r="C940" s="11" t="s">
        <v>3363</v>
      </c>
      <c r="D940" s="11">
        <v>444270.9</v>
      </c>
      <c r="E940" s="11">
        <v>4756.1899999999996</v>
      </c>
      <c r="F940" s="12">
        <v>44097</v>
      </c>
      <c r="G940" s="12">
        <v>45763</v>
      </c>
      <c r="H940" s="11" t="s">
        <v>3964</v>
      </c>
      <c r="I940" s="11" t="s">
        <v>3373</v>
      </c>
      <c r="J940" s="13" t="str" cm="1">
        <f t="array" ref="J940">_xlfn.IFS(
  OR(ISBLANK(A940),ISBLANK(B940),ISBLANK(H940),ISBLANK(D940),ISBLANK(E940)),"Missing Value",
  D940&lt;=0,"Review – Out of Range (Coverage)",
  E940&lt;=0,"Review – Out of Range (Premium)",
  TRUE,"OK"
)</f>
        <v>OK</v>
      </c>
    </row>
    <row r="941" spans="1:10" ht="16.8" x14ac:dyDescent="0.3">
      <c r="A941" s="14" t="s">
        <v>4583</v>
      </c>
      <c r="B941" s="14" t="s">
        <v>1857</v>
      </c>
      <c r="C941" s="14" t="s">
        <v>3377</v>
      </c>
      <c r="D941" s="14">
        <v>372084</v>
      </c>
      <c r="E941" s="14">
        <v>17863.439999999999</v>
      </c>
      <c r="F941" s="15">
        <v>45260</v>
      </c>
      <c r="G941" s="15">
        <v>45786</v>
      </c>
      <c r="H941" s="14" t="s">
        <v>3459</v>
      </c>
      <c r="I941" s="14" t="s">
        <v>3373</v>
      </c>
      <c r="J941" s="13" t="str" cm="1">
        <f t="array" ref="J941">_xlfn.IFS(
  OR(ISBLANK(A941),ISBLANK(B941),ISBLANK(H941),ISBLANK(D941),ISBLANK(E941)),"Missing Value",
  D941&lt;=0,"Review – Out of Range (Coverage)",
  E941&lt;=0,"Review – Out of Range (Premium)",
  TRUE,"OK"
)</f>
        <v>OK</v>
      </c>
    </row>
    <row r="942" spans="1:10" ht="16.8" x14ac:dyDescent="0.3">
      <c r="A942" s="11" t="s">
        <v>4584</v>
      </c>
      <c r="B942" s="11" t="s">
        <v>629</v>
      </c>
      <c r="C942" s="11" t="s">
        <v>3371</v>
      </c>
      <c r="D942" s="11">
        <v>264514.94</v>
      </c>
      <c r="E942" s="11">
        <v>38265.11</v>
      </c>
      <c r="F942" s="12">
        <v>45371</v>
      </c>
      <c r="G942" s="12">
        <v>45386</v>
      </c>
      <c r="H942" s="11" t="s">
        <v>3393</v>
      </c>
      <c r="I942" s="11" t="s">
        <v>3365</v>
      </c>
      <c r="J942" s="13" t="str" cm="1">
        <f t="array" ref="J942">_xlfn.IFS(
  OR(ISBLANK(A942),ISBLANK(B942),ISBLANK(H942),ISBLANK(D942),ISBLANK(E942)),"Missing Value",
  D942&lt;=0,"Review – Out of Range (Coverage)",
  E942&lt;=0,"Review – Out of Range (Premium)",
  TRUE,"OK"
)</f>
        <v>OK</v>
      </c>
    </row>
    <row r="943" spans="1:10" ht="16.8" x14ac:dyDescent="0.3">
      <c r="A943" s="14" t="s">
        <v>4585</v>
      </c>
      <c r="B943" s="14" t="s">
        <v>1733</v>
      </c>
      <c r="C943" s="14" t="s">
        <v>3359</v>
      </c>
      <c r="D943" s="14">
        <v>703060.12</v>
      </c>
      <c r="E943" s="14">
        <v>25140.39</v>
      </c>
      <c r="F943" s="15">
        <v>45381</v>
      </c>
      <c r="G943" s="15">
        <v>45761</v>
      </c>
      <c r="H943" s="14" t="s">
        <v>3918</v>
      </c>
      <c r="I943" s="14" t="s">
        <v>3365</v>
      </c>
      <c r="J943" s="13" t="str" cm="1">
        <f t="array" ref="J943">_xlfn.IFS(
  OR(ISBLANK(A943),ISBLANK(B943),ISBLANK(H943),ISBLANK(D943),ISBLANK(E943)),"Missing Value",
  D943&lt;=0,"Review – Out of Range (Coverage)",
  E943&lt;=0,"Review – Out of Range (Premium)",
  TRUE,"OK"
)</f>
        <v>OK</v>
      </c>
    </row>
    <row r="944" spans="1:10" ht="16.8" x14ac:dyDescent="0.3">
      <c r="A944" s="11" t="s">
        <v>4586</v>
      </c>
      <c r="B944" s="11" t="s">
        <v>3236</v>
      </c>
      <c r="C944" s="11" t="s">
        <v>3377</v>
      </c>
      <c r="D944" s="11">
        <v>760529.12</v>
      </c>
      <c r="E944" s="11">
        <v>42440.49</v>
      </c>
      <c r="F944" s="12">
        <v>44919</v>
      </c>
      <c r="G944" s="12">
        <v>45153</v>
      </c>
      <c r="H944" s="11" t="s">
        <v>3846</v>
      </c>
      <c r="I944" s="11" t="s">
        <v>3361</v>
      </c>
      <c r="J944" s="13" t="str" cm="1">
        <f t="array" ref="J944">_xlfn.IFS(
  OR(ISBLANK(A944),ISBLANK(B944),ISBLANK(H944),ISBLANK(D944),ISBLANK(E944)),"Missing Value",
  D944&lt;=0,"Review – Out of Range (Coverage)",
  E944&lt;=0,"Review – Out of Range (Premium)",
  TRUE,"OK"
)</f>
        <v>OK</v>
      </c>
    </row>
    <row r="945" spans="1:10" ht="16.8" x14ac:dyDescent="0.3">
      <c r="A945" s="14" t="s">
        <v>4587</v>
      </c>
      <c r="B945" s="14" t="s">
        <v>1837</v>
      </c>
      <c r="C945" s="14" t="s">
        <v>3377</v>
      </c>
      <c r="D945" s="14">
        <v>387475.68</v>
      </c>
      <c r="E945" s="14">
        <v>44483.99</v>
      </c>
      <c r="F945" s="15">
        <v>44875</v>
      </c>
      <c r="G945" s="15">
        <v>44881</v>
      </c>
      <c r="H945" s="14" t="s">
        <v>4398</v>
      </c>
      <c r="I945" s="14" t="s">
        <v>3373</v>
      </c>
      <c r="J945" s="13" t="str" cm="1">
        <f t="array" ref="J945">_xlfn.IFS(
  OR(ISBLANK(A945),ISBLANK(B945),ISBLANK(H945),ISBLANK(D945),ISBLANK(E945)),"Missing Value",
  D945&lt;=0,"Review – Out of Range (Coverage)",
  E945&lt;=0,"Review – Out of Range (Premium)",
  TRUE,"OK"
)</f>
        <v>OK</v>
      </c>
    </row>
    <row r="946" spans="1:10" ht="16.8" x14ac:dyDescent="0.3">
      <c r="A946" s="11" t="s">
        <v>4588</v>
      </c>
      <c r="B946" s="11" t="s">
        <v>631</v>
      </c>
      <c r="C946" s="11" t="s">
        <v>3377</v>
      </c>
      <c r="D946" s="11">
        <v>215484.11</v>
      </c>
      <c r="E946" s="11">
        <v>23875.66</v>
      </c>
      <c r="F946" s="12">
        <v>44161</v>
      </c>
      <c r="G946" s="12">
        <v>44610</v>
      </c>
      <c r="H946" s="11" t="s">
        <v>3735</v>
      </c>
      <c r="I946" s="11" t="s">
        <v>3373</v>
      </c>
      <c r="J946" s="13" t="str" cm="1">
        <f t="array" ref="J946">_xlfn.IFS(
  OR(ISBLANK(A946),ISBLANK(B946),ISBLANK(H946),ISBLANK(D946),ISBLANK(E946)),"Missing Value",
  D946&lt;=0,"Review – Out of Range (Coverage)",
  E946&lt;=0,"Review – Out of Range (Premium)",
  TRUE,"OK"
)</f>
        <v>OK</v>
      </c>
    </row>
    <row r="947" spans="1:10" ht="16.8" x14ac:dyDescent="0.3">
      <c r="A947" s="14" t="s">
        <v>4589</v>
      </c>
      <c r="B947" s="14" t="s">
        <v>641</v>
      </c>
      <c r="C947" s="14" t="s">
        <v>3359</v>
      </c>
      <c r="D947" s="14">
        <v>517101.15</v>
      </c>
      <c r="E947" s="14">
        <v>21992.99</v>
      </c>
      <c r="F947" s="15">
        <v>45396</v>
      </c>
      <c r="G947" s="15">
        <v>45764</v>
      </c>
      <c r="H947" s="14" t="s">
        <v>3774</v>
      </c>
      <c r="I947" s="14" t="s">
        <v>3365</v>
      </c>
      <c r="J947" s="13" t="str" cm="1">
        <f t="array" ref="J947">_xlfn.IFS(
  OR(ISBLANK(A947),ISBLANK(B947),ISBLANK(H947),ISBLANK(D947),ISBLANK(E947)),"Missing Value",
  D947&lt;=0,"Review – Out of Range (Coverage)",
  E947&lt;=0,"Review – Out of Range (Premium)",
  TRUE,"OK"
)</f>
        <v>OK</v>
      </c>
    </row>
    <row r="948" spans="1:10" ht="16.8" x14ac:dyDescent="0.3">
      <c r="A948" s="11" t="s">
        <v>4590</v>
      </c>
      <c r="B948" s="11" t="s">
        <v>3148</v>
      </c>
      <c r="C948" s="11" t="s">
        <v>3363</v>
      </c>
      <c r="D948" s="11">
        <v>823182.32</v>
      </c>
      <c r="E948" s="11">
        <v>46130.91</v>
      </c>
      <c r="F948" s="12">
        <v>45312</v>
      </c>
      <c r="G948" s="12">
        <v>45625</v>
      </c>
      <c r="H948" s="11" t="s">
        <v>3593</v>
      </c>
      <c r="I948" s="11" t="s">
        <v>3365</v>
      </c>
      <c r="J948" s="13" t="str" cm="1">
        <f t="array" ref="J948">_xlfn.IFS(
  OR(ISBLANK(A948),ISBLANK(B948),ISBLANK(H948),ISBLANK(D948),ISBLANK(E948)),"Missing Value",
  D948&lt;=0,"Review – Out of Range (Coverage)",
  E948&lt;=0,"Review – Out of Range (Premium)",
  TRUE,"OK"
)</f>
        <v>OK</v>
      </c>
    </row>
    <row r="949" spans="1:10" ht="16.8" x14ac:dyDescent="0.3">
      <c r="A949" s="14" t="s">
        <v>4591</v>
      </c>
      <c r="B949" s="14" t="s">
        <v>1667</v>
      </c>
      <c r="C949" s="14" t="s">
        <v>3377</v>
      </c>
      <c r="D949" s="14">
        <v>855755.73</v>
      </c>
      <c r="E949" s="14">
        <v>23352.55</v>
      </c>
      <c r="F949" s="15">
        <v>45124</v>
      </c>
      <c r="G949" s="15">
        <v>45738</v>
      </c>
      <c r="H949" s="14" t="s">
        <v>3505</v>
      </c>
      <c r="I949" s="14" t="s">
        <v>3365</v>
      </c>
      <c r="J949" s="13" t="str" cm="1">
        <f t="array" ref="J949">_xlfn.IFS(
  OR(ISBLANK(A949),ISBLANK(B949),ISBLANK(H949),ISBLANK(D949),ISBLANK(E949)),"Missing Value",
  D949&lt;=0,"Review – Out of Range (Coverage)",
  E949&lt;=0,"Review – Out of Range (Premium)",
  TRUE,"OK"
)</f>
        <v>OK</v>
      </c>
    </row>
    <row r="950" spans="1:10" ht="16.8" x14ac:dyDescent="0.3">
      <c r="A950" s="11" t="s">
        <v>4592</v>
      </c>
      <c r="B950" s="11" t="s">
        <v>344</v>
      </c>
      <c r="C950" s="11" t="s">
        <v>3359</v>
      </c>
      <c r="D950" s="11">
        <v>289645.07</v>
      </c>
      <c r="E950" s="11">
        <v>4666</v>
      </c>
      <c r="F950" s="12">
        <v>45227</v>
      </c>
      <c r="G950" s="12">
        <v>45739</v>
      </c>
      <c r="H950" s="11" t="s">
        <v>3624</v>
      </c>
      <c r="I950" s="11" t="s">
        <v>3373</v>
      </c>
      <c r="J950" s="13" t="str" cm="1">
        <f t="array" ref="J950">_xlfn.IFS(
  OR(ISBLANK(A950),ISBLANK(B950),ISBLANK(H950),ISBLANK(D950),ISBLANK(E950)),"Missing Value",
  D950&lt;=0,"Review – Out of Range (Coverage)",
  E950&lt;=0,"Review – Out of Range (Premium)",
  TRUE,"OK"
)</f>
        <v>OK</v>
      </c>
    </row>
    <row r="951" spans="1:10" ht="16.8" x14ac:dyDescent="0.3">
      <c r="A951" s="14" t="s">
        <v>4593</v>
      </c>
      <c r="B951" s="14" t="s">
        <v>2123</v>
      </c>
      <c r="C951" s="14" t="s">
        <v>3359</v>
      </c>
      <c r="D951" s="14">
        <v>324869.03000000003</v>
      </c>
      <c r="E951" s="14">
        <v>22909.33</v>
      </c>
      <c r="F951" s="15">
        <v>44936</v>
      </c>
      <c r="G951" s="15">
        <v>45616</v>
      </c>
      <c r="H951" s="14" t="s">
        <v>3522</v>
      </c>
      <c r="I951" s="14" t="s">
        <v>3365</v>
      </c>
      <c r="J951" s="13" t="str" cm="1">
        <f t="array" ref="J951">_xlfn.IFS(
  OR(ISBLANK(A951),ISBLANK(B951),ISBLANK(H951),ISBLANK(D951),ISBLANK(E951)),"Missing Value",
  D951&lt;=0,"Review – Out of Range (Coverage)",
  E951&lt;=0,"Review – Out of Range (Premium)",
  TRUE,"OK"
)</f>
        <v>OK</v>
      </c>
    </row>
    <row r="952" spans="1:10" ht="16.8" x14ac:dyDescent="0.3">
      <c r="A952" s="11" t="s">
        <v>4594</v>
      </c>
      <c r="B952" s="11" t="s">
        <v>2397</v>
      </c>
      <c r="C952" s="11" t="s">
        <v>3377</v>
      </c>
      <c r="D952" s="11">
        <v>926712.35</v>
      </c>
      <c r="E952" s="11">
        <v>31079.99</v>
      </c>
      <c r="F952" s="12">
        <v>45274</v>
      </c>
      <c r="G952" s="12">
        <v>45497</v>
      </c>
      <c r="H952" s="11" t="s">
        <v>3503</v>
      </c>
      <c r="I952" s="11" t="s">
        <v>3365</v>
      </c>
      <c r="J952" s="13" t="str" cm="1">
        <f t="array" ref="J952">_xlfn.IFS(
  OR(ISBLANK(A952),ISBLANK(B952),ISBLANK(H952),ISBLANK(D952),ISBLANK(E952)),"Missing Value",
  D952&lt;=0,"Review – Out of Range (Coverage)",
  E952&lt;=0,"Review – Out of Range (Premium)",
  TRUE,"OK"
)</f>
        <v>OK</v>
      </c>
    </row>
    <row r="953" spans="1:10" ht="16.8" x14ac:dyDescent="0.3">
      <c r="A953" s="14" t="s">
        <v>4595</v>
      </c>
      <c r="B953" s="14" t="s">
        <v>3040</v>
      </c>
      <c r="C953" s="14" t="s">
        <v>3363</v>
      </c>
      <c r="D953" s="14">
        <v>470900.52</v>
      </c>
      <c r="E953" s="14">
        <v>30741.05</v>
      </c>
      <c r="F953" s="15">
        <v>44998</v>
      </c>
      <c r="G953" s="15">
        <v>45516</v>
      </c>
      <c r="H953" s="14" t="s">
        <v>4596</v>
      </c>
      <c r="I953" s="14" t="s">
        <v>3365</v>
      </c>
      <c r="J953" s="13" t="str" cm="1">
        <f t="array" ref="J953">_xlfn.IFS(
  OR(ISBLANK(A953),ISBLANK(B953),ISBLANK(H953),ISBLANK(D953),ISBLANK(E953)),"Missing Value",
  D953&lt;=0,"Review – Out of Range (Coverage)",
  E953&lt;=0,"Review – Out of Range (Premium)",
  TRUE,"OK"
)</f>
        <v>OK</v>
      </c>
    </row>
    <row r="954" spans="1:10" ht="16.8" x14ac:dyDescent="0.3">
      <c r="A954" s="11" t="s">
        <v>4597</v>
      </c>
      <c r="B954" s="11" t="s">
        <v>2917</v>
      </c>
      <c r="C954" s="11" t="s">
        <v>3380</v>
      </c>
      <c r="D954" s="11">
        <v>223719.85</v>
      </c>
      <c r="E954" s="11">
        <v>44819.45</v>
      </c>
      <c r="F954" s="12">
        <v>45334</v>
      </c>
      <c r="G954" s="12">
        <v>45718</v>
      </c>
      <c r="H954" s="11" t="s">
        <v>4198</v>
      </c>
      <c r="I954" s="11" t="s">
        <v>3373</v>
      </c>
      <c r="J954" s="13" t="str" cm="1">
        <f t="array" ref="J954">_xlfn.IFS(
  OR(ISBLANK(A954),ISBLANK(B954),ISBLANK(H954),ISBLANK(D954),ISBLANK(E954)),"Missing Value",
  D954&lt;=0,"Review – Out of Range (Coverage)",
  E954&lt;=0,"Review – Out of Range (Premium)",
  TRUE,"OK"
)</f>
        <v>OK</v>
      </c>
    </row>
    <row r="955" spans="1:10" ht="16.8" x14ac:dyDescent="0.3">
      <c r="A955" s="14" t="s">
        <v>4598</v>
      </c>
      <c r="B955" s="14" t="s">
        <v>1785</v>
      </c>
      <c r="C955" s="14" t="s">
        <v>3380</v>
      </c>
      <c r="D955" s="14">
        <v>507511.03999999998</v>
      </c>
      <c r="E955" s="14">
        <v>26473.48</v>
      </c>
      <c r="F955" s="15">
        <v>44634</v>
      </c>
      <c r="G955" s="15">
        <v>45313</v>
      </c>
      <c r="H955" s="14" t="s">
        <v>3698</v>
      </c>
      <c r="I955" s="14" t="s">
        <v>3373</v>
      </c>
      <c r="J955" s="13" t="str" cm="1">
        <f t="array" ref="J955">_xlfn.IFS(
  OR(ISBLANK(A955),ISBLANK(B955),ISBLANK(H955),ISBLANK(D955),ISBLANK(E955)),"Missing Value",
  D955&lt;=0,"Review – Out of Range (Coverage)",
  E955&lt;=0,"Review – Out of Range (Premium)",
  TRUE,"OK"
)</f>
        <v>OK</v>
      </c>
    </row>
    <row r="956" spans="1:10" ht="16.8" x14ac:dyDescent="0.3">
      <c r="A956" s="11" t="s">
        <v>4599</v>
      </c>
      <c r="B956" s="11" t="s">
        <v>2503</v>
      </c>
      <c r="C956" s="11" t="s">
        <v>3363</v>
      </c>
      <c r="D956" s="11">
        <v>138557.82</v>
      </c>
      <c r="E956" s="11">
        <v>32355.35</v>
      </c>
      <c r="F956" s="12">
        <v>45172</v>
      </c>
      <c r="G956" s="12">
        <v>45372</v>
      </c>
      <c r="H956" s="11" t="s">
        <v>4600</v>
      </c>
      <c r="I956" s="11" t="s">
        <v>3365</v>
      </c>
      <c r="J956" s="13" t="str" cm="1">
        <f t="array" ref="J956">_xlfn.IFS(
  OR(ISBLANK(A956),ISBLANK(B956),ISBLANK(H956),ISBLANK(D956),ISBLANK(E956)),"Missing Value",
  D956&lt;=0,"Review – Out of Range (Coverage)",
  E956&lt;=0,"Review – Out of Range (Premium)",
  TRUE,"OK"
)</f>
        <v>OK</v>
      </c>
    </row>
    <row r="957" spans="1:10" ht="16.8" x14ac:dyDescent="0.3">
      <c r="A957" s="14" t="s">
        <v>4601</v>
      </c>
      <c r="B957" s="14" t="s">
        <v>1061</v>
      </c>
      <c r="C957" s="14" t="s">
        <v>3377</v>
      </c>
      <c r="D957" s="14">
        <v>199123.37</v>
      </c>
      <c r="E957" s="14">
        <v>12275.47</v>
      </c>
      <c r="F957" s="15">
        <v>45452</v>
      </c>
      <c r="G957" s="15">
        <v>45542</v>
      </c>
      <c r="H957" s="14" t="s">
        <v>4190</v>
      </c>
      <c r="I957" s="14" t="s">
        <v>3365</v>
      </c>
      <c r="J957" s="13" t="str" cm="1">
        <f t="array" ref="J957">_xlfn.IFS(
  OR(ISBLANK(A957),ISBLANK(B957),ISBLANK(H957),ISBLANK(D957),ISBLANK(E957)),"Missing Value",
  D957&lt;=0,"Review – Out of Range (Coverage)",
  E957&lt;=0,"Review – Out of Range (Premium)",
  TRUE,"OK"
)</f>
        <v>OK</v>
      </c>
    </row>
    <row r="958" spans="1:10" ht="16.8" x14ac:dyDescent="0.3">
      <c r="A958" s="11" t="s">
        <v>4602</v>
      </c>
      <c r="B958" s="11" t="s">
        <v>2251</v>
      </c>
      <c r="C958" s="11" t="s">
        <v>3371</v>
      </c>
      <c r="D958" s="11">
        <v>905471.37</v>
      </c>
      <c r="E958" s="11">
        <v>4436.38</v>
      </c>
      <c r="F958" s="12">
        <v>45286</v>
      </c>
      <c r="G958" s="12">
        <v>45652</v>
      </c>
      <c r="H958" s="11" t="s">
        <v>3584</v>
      </c>
      <c r="I958" s="11" t="s">
        <v>3365</v>
      </c>
      <c r="J958" s="13" t="str" cm="1">
        <f t="array" ref="J958">_xlfn.IFS(
  OR(ISBLANK(A958),ISBLANK(B958),ISBLANK(H958),ISBLANK(D958),ISBLANK(E958)),"Missing Value",
  D958&lt;=0,"Review – Out of Range (Coverage)",
  E958&lt;=0,"Review – Out of Range (Premium)",
  TRUE,"OK"
)</f>
        <v>OK</v>
      </c>
    </row>
    <row r="959" spans="1:10" ht="16.8" x14ac:dyDescent="0.3">
      <c r="A959" s="14" t="s">
        <v>4603</v>
      </c>
      <c r="B959" s="14" t="s">
        <v>3224</v>
      </c>
      <c r="C959" s="14" t="s">
        <v>3371</v>
      </c>
      <c r="D959" s="14">
        <v>842277.62</v>
      </c>
      <c r="E959" s="14">
        <v>18322.099999999999</v>
      </c>
      <c r="F959" s="15">
        <v>44536</v>
      </c>
      <c r="G959" s="15">
        <v>44650</v>
      </c>
      <c r="H959" s="14" t="s">
        <v>3824</v>
      </c>
      <c r="I959" s="14" t="s">
        <v>3373</v>
      </c>
      <c r="J959" s="13" t="str" cm="1">
        <f t="array" ref="J959">_xlfn.IFS(
  OR(ISBLANK(A959),ISBLANK(B959),ISBLANK(H959),ISBLANK(D959),ISBLANK(E959)),"Missing Value",
  D959&lt;=0,"Review – Out of Range (Coverage)",
  E959&lt;=0,"Review – Out of Range (Premium)",
  TRUE,"OK"
)</f>
        <v>OK</v>
      </c>
    </row>
    <row r="960" spans="1:10" ht="16.8" x14ac:dyDescent="0.3">
      <c r="A960" s="11" t="s">
        <v>4604</v>
      </c>
      <c r="B960" s="11" t="s">
        <v>2213</v>
      </c>
      <c r="C960" s="11" t="s">
        <v>3363</v>
      </c>
      <c r="D960" s="11">
        <v>978720.76</v>
      </c>
      <c r="E960" s="11">
        <v>33428.620000000003</v>
      </c>
      <c r="F960" s="12">
        <v>45065</v>
      </c>
      <c r="G960" s="12">
        <v>45190</v>
      </c>
      <c r="H960" s="11" t="s">
        <v>4003</v>
      </c>
      <c r="I960" s="11" t="s">
        <v>3361</v>
      </c>
      <c r="J960" s="13" t="str" cm="1">
        <f t="array" ref="J960">_xlfn.IFS(
  OR(ISBLANK(A960),ISBLANK(B960),ISBLANK(H960),ISBLANK(D960),ISBLANK(E960)),"Missing Value",
  D960&lt;=0,"Review – Out of Range (Coverage)",
  E960&lt;=0,"Review – Out of Range (Premium)",
  TRUE,"OK"
)</f>
        <v>OK</v>
      </c>
    </row>
    <row r="961" spans="1:10" ht="16.8" x14ac:dyDescent="0.3">
      <c r="A961" s="14" t="s">
        <v>4605</v>
      </c>
      <c r="B961" s="14" t="s">
        <v>1141</v>
      </c>
      <c r="C961" s="14" t="s">
        <v>3377</v>
      </c>
      <c r="D961" s="14">
        <v>635054.74</v>
      </c>
      <c r="E961" s="14">
        <v>27245.52</v>
      </c>
      <c r="F961" s="15">
        <v>44966</v>
      </c>
      <c r="G961" s="15">
        <v>45365</v>
      </c>
      <c r="H961" s="14" t="s">
        <v>3649</v>
      </c>
      <c r="I961" s="14" t="s">
        <v>3361</v>
      </c>
      <c r="J961" s="13" t="str" cm="1">
        <f t="array" ref="J961">_xlfn.IFS(
  OR(ISBLANK(A961),ISBLANK(B961),ISBLANK(H961),ISBLANK(D961),ISBLANK(E961)),"Missing Value",
  D961&lt;=0,"Review – Out of Range (Coverage)",
  E961&lt;=0,"Review – Out of Range (Premium)",
  TRUE,"OK"
)</f>
        <v>OK</v>
      </c>
    </row>
    <row r="962" spans="1:10" ht="16.8" x14ac:dyDescent="0.3">
      <c r="A962" s="11" t="s">
        <v>4606</v>
      </c>
      <c r="B962" s="11" t="s">
        <v>2029</v>
      </c>
      <c r="C962" s="11" t="s">
        <v>3371</v>
      </c>
      <c r="D962" s="11">
        <v>497136.95</v>
      </c>
      <c r="E962" s="11">
        <v>19646.79</v>
      </c>
      <c r="F962" s="12">
        <v>44894</v>
      </c>
      <c r="G962" s="12">
        <v>44896</v>
      </c>
      <c r="H962" s="11" t="s">
        <v>3551</v>
      </c>
      <c r="I962" s="11" t="s">
        <v>3373</v>
      </c>
      <c r="J962" s="13" t="str" cm="1">
        <f t="array" ref="J962">_xlfn.IFS(
  OR(ISBLANK(A962),ISBLANK(B962),ISBLANK(H962),ISBLANK(D962),ISBLANK(E962)),"Missing Value",
  D962&lt;=0,"Review – Out of Range (Coverage)",
  E962&lt;=0,"Review – Out of Range (Premium)",
  TRUE,"OK"
)</f>
        <v>OK</v>
      </c>
    </row>
    <row r="963" spans="1:10" ht="16.8" x14ac:dyDescent="0.3">
      <c r="A963" s="14" t="s">
        <v>4607</v>
      </c>
      <c r="B963" s="14" t="s">
        <v>166</v>
      </c>
      <c r="C963" s="14" t="s">
        <v>3363</v>
      </c>
      <c r="D963" s="14">
        <v>930700.58</v>
      </c>
      <c r="E963" s="14">
        <v>23584.86</v>
      </c>
      <c r="F963" s="15">
        <v>44492</v>
      </c>
      <c r="G963" s="15">
        <v>44544</v>
      </c>
      <c r="H963" s="14" t="s">
        <v>3480</v>
      </c>
      <c r="I963" s="14" t="s">
        <v>3361</v>
      </c>
      <c r="J963" s="13" t="str" cm="1">
        <f t="array" ref="J963">_xlfn.IFS(
  OR(ISBLANK(A963),ISBLANK(B963),ISBLANK(H963),ISBLANK(D963),ISBLANK(E963)),"Missing Value",
  D963&lt;=0,"Review – Out of Range (Coverage)",
  E963&lt;=0,"Review – Out of Range (Premium)",
  TRUE,"OK"
)</f>
        <v>OK</v>
      </c>
    </row>
    <row r="964" spans="1:10" ht="16.8" x14ac:dyDescent="0.3">
      <c r="A964" s="11" t="s">
        <v>4608</v>
      </c>
      <c r="B964" s="11" t="s">
        <v>1451</v>
      </c>
      <c r="C964" s="11" t="s">
        <v>3363</v>
      </c>
      <c r="D964" s="11">
        <v>836267.84</v>
      </c>
      <c r="E964" s="11">
        <v>21344.66</v>
      </c>
      <c r="F964" s="12">
        <v>45125</v>
      </c>
      <c r="G964" s="12">
        <v>45710</v>
      </c>
      <c r="H964" s="11" t="s">
        <v>3620</v>
      </c>
      <c r="I964" s="11" t="s">
        <v>3373</v>
      </c>
      <c r="J964" s="13" t="str" cm="1">
        <f t="array" ref="J964">_xlfn.IFS(
  OR(ISBLANK(A964),ISBLANK(B964),ISBLANK(H964),ISBLANK(D964),ISBLANK(E964)),"Missing Value",
  D964&lt;=0,"Review – Out of Range (Coverage)",
  E964&lt;=0,"Review – Out of Range (Premium)",
  TRUE,"OK"
)</f>
        <v>OK</v>
      </c>
    </row>
    <row r="965" spans="1:10" ht="16.8" x14ac:dyDescent="0.3">
      <c r="A965" s="14" t="s">
        <v>4609</v>
      </c>
      <c r="B965" s="14" t="s">
        <v>56</v>
      </c>
      <c r="C965" s="14" t="s">
        <v>3359</v>
      </c>
      <c r="D965" s="14">
        <v>554365.97</v>
      </c>
      <c r="E965" s="14">
        <v>46974.400000000001</v>
      </c>
      <c r="F965" s="15">
        <v>45215</v>
      </c>
      <c r="G965" s="15">
        <v>45800</v>
      </c>
      <c r="H965" s="14" t="s">
        <v>4045</v>
      </c>
      <c r="I965" s="14" t="s">
        <v>3361</v>
      </c>
      <c r="J965" s="13" t="str" cm="1">
        <f t="array" ref="J965">_xlfn.IFS(
  OR(ISBLANK(A965),ISBLANK(B965),ISBLANK(H965),ISBLANK(D965),ISBLANK(E965)),"Missing Value",
  D965&lt;=0,"Review – Out of Range (Coverage)",
  E965&lt;=0,"Review – Out of Range (Premium)",
  TRUE,"OK"
)</f>
        <v>OK</v>
      </c>
    </row>
    <row r="966" spans="1:10" ht="16.8" x14ac:dyDescent="0.3">
      <c r="A966" s="11" t="s">
        <v>4610</v>
      </c>
      <c r="B966" s="11" t="s">
        <v>1697</v>
      </c>
      <c r="C966" s="11" t="s">
        <v>3371</v>
      </c>
      <c r="D966" s="11">
        <v>544255.21</v>
      </c>
      <c r="E966" s="11">
        <v>24559</v>
      </c>
      <c r="F966" s="12">
        <v>44699</v>
      </c>
      <c r="G966" s="12">
        <v>45043</v>
      </c>
      <c r="H966" s="11" t="s">
        <v>3419</v>
      </c>
      <c r="I966" s="11" t="s">
        <v>3373</v>
      </c>
      <c r="J966" s="13" t="str" cm="1">
        <f t="array" ref="J966">_xlfn.IFS(
  OR(ISBLANK(A966),ISBLANK(B966),ISBLANK(H966),ISBLANK(D966),ISBLANK(E966)),"Missing Value",
  D966&lt;=0,"Review – Out of Range (Coverage)",
  E966&lt;=0,"Review – Out of Range (Premium)",
  TRUE,"OK"
)</f>
        <v>OK</v>
      </c>
    </row>
    <row r="967" spans="1:10" ht="16.8" x14ac:dyDescent="0.3">
      <c r="A967" s="14" t="s">
        <v>4611</v>
      </c>
      <c r="B967" s="14" t="s">
        <v>2359</v>
      </c>
      <c r="C967" s="14" t="s">
        <v>3363</v>
      </c>
      <c r="D967" s="14">
        <v>267301.89</v>
      </c>
      <c r="E967" s="14">
        <v>23720.07</v>
      </c>
      <c r="F967" s="15">
        <v>45231</v>
      </c>
      <c r="G967" s="15">
        <v>45521</v>
      </c>
      <c r="H967" s="14" t="s">
        <v>3677</v>
      </c>
      <c r="I967" s="14" t="s">
        <v>3361</v>
      </c>
      <c r="J967" s="13" t="str" cm="1">
        <f t="array" ref="J967">_xlfn.IFS(
  OR(ISBLANK(A967),ISBLANK(B967),ISBLANK(H967),ISBLANK(D967),ISBLANK(E967)),"Missing Value",
  D967&lt;=0,"Review – Out of Range (Coverage)",
  E967&lt;=0,"Review – Out of Range (Premium)",
  TRUE,"OK"
)</f>
        <v>OK</v>
      </c>
    </row>
    <row r="968" spans="1:10" ht="16.8" x14ac:dyDescent="0.3">
      <c r="A968" s="11" t="s">
        <v>4612</v>
      </c>
      <c r="B968" s="11" t="s">
        <v>2207</v>
      </c>
      <c r="C968" s="11" t="s">
        <v>3371</v>
      </c>
      <c r="D968" s="11">
        <v>843681.51</v>
      </c>
      <c r="E968" s="11">
        <v>15318.59</v>
      </c>
      <c r="F968" s="12">
        <v>44347</v>
      </c>
      <c r="G968" s="12">
        <v>44380</v>
      </c>
      <c r="H968" s="11" t="s">
        <v>3868</v>
      </c>
      <c r="I968" s="11" t="s">
        <v>3373</v>
      </c>
      <c r="J968" s="13" t="str" cm="1">
        <f t="array" ref="J968">_xlfn.IFS(
  OR(ISBLANK(A968),ISBLANK(B968),ISBLANK(H968),ISBLANK(D968),ISBLANK(E968)),"Missing Value",
  D968&lt;=0,"Review – Out of Range (Coverage)",
  E968&lt;=0,"Review – Out of Range (Premium)",
  TRUE,"OK"
)</f>
        <v>OK</v>
      </c>
    </row>
    <row r="969" spans="1:10" ht="16.8" x14ac:dyDescent="0.3">
      <c r="A969" s="14" t="s">
        <v>4613</v>
      </c>
      <c r="B969" s="14" t="s">
        <v>1965</v>
      </c>
      <c r="C969" s="14" t="s">
        <v>3377</v>
      </c>
      <c r="D969" s="14">
        <v>787024.08</v>
      </c>
      <c r="E969" s="14">
        <v>39212.46</v>
      </c>
      <c r="F969" s="15">
        <v>44189</v>
      </c>
      <c r="G969" s="15">
        <v>45544</v>
      </c>
      <c r="H969" s="14" t="s">
        <v>3830</v>
      </c>
      <c r="I969" s="14" t="s">
        <v>3361</v>
      </c>
      <c r="J969" s="13" t="str" cm="1">
        <f t="array" ref="J969">_xlfn.IFS(
  OR(ISBLANK(A969),ISBLANK(B969),ISBLANK(H969),ISBLANK(D969),ISBLANK(E969)),"Missing Value",
  D969&lt;=0,"Review – Out of Range (Coverage)",
  E969&lt;=0,"Review – Out of Range (Premium)",
  TRUE,"OK"
)</f>
        <v>OK</v>
      </c>
    </row>
    <row r="970" spans="1:10" ht="16.8" x14ac:dyDescent="0.3">
      <c r="A970" s="11" t="s">
        <v>4614</v>
      </c>
      <c r="B970" s="11" t="s">
        <v>1559</v>
      </c>
      <c r="C970" s="11" t="s">
        <v>3380</v>
      </c>
      <c r="D970" s="11">
        <v>255292.93</v>
      </c>
      <c r="E970" s="11">
        <v>24221.16</v>
      </c>
      <c r="F970" s="12">
        <v>44553</v>
      </c>
      <c r="G970" s="12">
        <v>45746</v>
      </c>
      <c r="H970" s="11" t="s">
        <v>3449</v>
      </c>
      <c r="I970" s="11" t="s">
        <v>3365</v>
      </c>
      <c r="J970" s="13" t="str" cm="1">
        <f t="array" ref="J970">_xlfn.IFS(
  OR(ISBLANK(A970),ISBLANK(B970),ISBLANK(H970),ISBLANK(D970),ISBLANK(E970)),"Missing Value",
  D970&lt;=0,"Review – Out of Range (Coverage)",
  E970&lt;=0,"Review – Out of Range (Premium)",
  TRUE,"OK"
)</f>
        <v>OK</v>
      </c>
    </row>
    <row r="971" spans="1:10" ht="16.8" x14ac:dyDescent="0.3">
      <c r="A971" s="14" t="s">
        <v>4615</v>
      </c>
      <c r="B971" s="14" t="s">
        <v>3018</v>
      </c>
      <c r="C971" s="14" t="s">
        <v>3371</v>
      </c>
      <c r="D971" s="14">
        <v>293812.87</v>
      </c>
      <c r="E971" s="14">
        <v>45576.2</v>
      </c>
      <c r="F971" s="15">
        <v>44434</v>
      </c>
      <c r="G971" s="15">
        <v>45111</v>
      </c>
      <c r="H971" s="14" t="s">
        <v>3709</v>
      </c>
      <c r="I971" s="14" t="s">
        <v>3361</v>
      </c>
      <c r="J971" s="13" t="str" cm="1">
        <f t="array" ref="J971">_xlfn.IFS(
  OR(ISBLANK(A971),ISBLANK(B971),ISBLANK(H971),ISBLANK(D971),ISBLANK(E971)),"Missing Value",
  D971&lt;=0,"Review – Out of Range (Coverage)",
  E971&lt;=0,"Review – Out of Range (Premium)",
  TRUE,"OK"
)</f>
        <v>OK</v>
      </c>
    </row>
    <row r="972" spans="1:10" ht="16.8" x14ac:dyDescent="0.3">
      <c r="A972" s="11" t="s">
        <v>4616</v>
      </c>
      <c r="B972" s="11" t="s">
        <v>422</v>
      </c>
      <c r="C972" s="11" t="s">
        <v>3363</v>
      </c>
      <c r="D972" s="11">
        <v>613105.61</v>
      </c>
      <c r="E972" s="11">
        <v>35139.410000000003</v>
      </c>
      <c r="F972" s="12">
        <v>45419</v>
      </c>
      <c r="G972" s="12">
        <v>45486</v>
      </c>
      <c r="H972" s="11" t="s">
        <v>3976</v>
      </c>
      <c r="I972" s="11" t="s">
        <v>3365</v>
      </c>
      <c r="J972" s="13" t="str" cm="1">
        <f t="array" ref="J972">_xlfn.IFS(
  OR(ISBLANK(A972),ISBLANK(B972),ISBLANK(H972),ISBLANK(D972),ISBLANK(E972)),"Missing Value",
  D972&lt;=0,"Review – Out of Range (Coverage)",
  E972&lt;=0,"Review – Out of Range (Premium)",
  TRUE,"OK"
)</f>
        <v>OK</v>
      </c>
    </row>
    <row r="973" spans="1:10" ht="16.8" x14ac:dyDescent="0.3">
      <c r="A973" s="14" t="s">
        <v>4617</v>
      </c>
      <c r="B973" s="14" t="s">
        <v>1307</v>
      </c>
      <c r="C973" s="14" t="s">
        <v>3371</v>
      </c>
      <c r="D973" s="14">
        <v>615174.43000000005</v>
      </c>
      <c r="E973" s="14">
        <v>12883.65</v>
      </c>
      <c r="F973" s="15">
        <v>44913</v>
      </c>
      <c r="G973" s="15">
        <v>45664</v>
      </c>
      <c r="H973" s="14" t="s">
        <v>4056</v>
      </c>
      <c r="I973" s="14" t="s">
        <v>3361</v>
      </c>
      <c r="J973" s="13" t="str" cm="1">
        <f t="array" ref="J973">_xlfn.IFS(
  OR(ISBLANK(A973),ISBLANK(B973),ISBLANK(H973),ISBLANK(D973),ISBLANK(E973)),"Missing Value",
  D973&lt;=0,"Review – Out of Range (Coverage)",
  E973&lt;=0,"Review – Out of Range (Premium)",
  TRUE,"OK"
)</f>
        <v>OK</v>
      </c>
    </row>
    <row r="974" spans="1:10" ht="16.8" x14ac:dyDescent="0.3">
      <c r="A974" s="11" t="s">
        <v>4618</v>
      </c>
      <c r="B974" s="11" t="s">
        <v>2653</v>
      </c>
      <c r="C974" s="11" t="s">
        <v>3380</v>
      </c>
      <c r="D974" s="11">
        <v>661612.81000000006</v>
      </c>
      <c r="E974" s="11">
        <v>31106.13</v>
      </c>
      <c r="F974" s="12">
        <v>44362</v>
      </c>
      <c r="G974" s="12">
        <v>45650</v>
      </c>
      <c r="H974" s="11" t="s">
        <v>3507</v>
      </c>
      <c r="I974" s="11" t="s">
        <v>3365</v>
      </c>
      <c r="J974" s="13" t="str" cm="1">
        <f t="array" ref="J974">_xlfn.IFS(
  OR(ISBLANK(A974),ISBLANK(B974),ISBLANK(H974),ISBLANK(D974),ISBLANK(E974)),"Missing Value",
  D974&lt;=0,"Review – Out of Range (Coverage)",
  E974&lt;=0,"Review – Out of Range (Premium)",
  TRUE,"OK"
)</f>
        <v>OK</v>
      </c>
    </row>
    <row r="975" spans="1:10" ht="16.8" x14ac:dyDescent="0.3">
      <c r="A975" s="14" t="s">
        <v>4619</v>
      </c>
      <c r="B975" s="14" t="s">
        <v>408</v>
      </c>
      <c r="C975" s="14" t="s">
        <v>3380</v>
      </c>
      <c r="D975" s="14">
        <v>569509.85</v>
      </c>
      <c r="E975" s="14">
        <v>14210.63</v>
      </c>
      <c r="F975" s="15">
        <v>45406</v>
      </c>
      <c r="G975" s="15">
        <v>45527</v>
      </c>
      <c r="H975" s="14" t="s">
        <v>3898</v>
      </c>
      <c r="I975" s="14" t="s">
        <v>3361</v>
      </c>
      <c r="J975" s="13" t="str" cm="1">
        <f t="array" ref="J975">_xlfn.IFS(
  OR(ISBLANK(A975),ISBLANK(B975),ISBLANK(H975),ISBLANK(D975),ISBLANK(E975)),"Missing Value",
  D975&lt;=0,"Review – Out of Range (Coverage)",
  E975&lt;=0,"Review – Out of Range (Premium)",
  TRUE,"OK"
)</f>
        <v>OK</v>
      </c>
    </row>
    <row r="976" spans="1:10" ht="16.8" x14ac:dyDescent="0.3">
      <c r="A976" s="11" t="s">
        <v>4620</v>
      </c>
      <c r="B976" s="11" t="s">
        <v>2501</v>
      </c>
      <c r="C976" s="11" t="s">
        <v>3380</v>
      </c>
      <c r="D976" s="11">
        <v>660597.14</v>
      </c>
      <c r="E976" s="11">
        <v>9621.5400000000009</v>
      </c>
      <c r="F976" s="12">
        <v>44940</v>
      </c>
      <c r="G976" s="12">
        <v>45476</v>
      </c>
      <c r="H976" s="11" t="s">
        <v>3461</v>
      </c>
      <c r="I976" s="11" t="s">
        <v>3373</v>
      </c>
      <c r="J976" s="13" t="str" cm="1">
        <f t="array" ref="J976">_xlfn.IFS(
  OR(ISBLANK(A976),ISBLANK(B976),ISBLANK(H976),ISBLANK(D976),ISBLANK(E976)),"Missing Value",
  D976&lt;=0,"Review – Out of Range (Coverage)",
  E976&lt;=0,"Review – Out of Range (Premium)",
  TRUE,"OK"
)</f>
        <v>OK</v>
      </c>
    </row>
    <row r="977" spans="1:10" ht="16.8" x14ac:dyDescent="0.3">
      <c r="A977" s="14" t="s">
        <v>4621</v>
      </c>
      <c r="B977" s="14" t="s">
        <v>3166</v>
      </c>
      <c r="C977" s="14" t="s">
        <v>3377</v>
      </c>
      <c r="D977" s="14">
        <v>569792.86</v>
      </c>
      <c r="E977" s="14">
        <v>27009.15</v>
      </c>
      <c r="F977" s="15">
        <v>45382</v>
      </c>
      <c r="G977" s="15">
        <v>45635</v>
      </c>
      <c r="H977" s="14" t="s">
        <v>4391</v>
      </c>
      <c r="I977" s="14" t="s">
        <v>3373</v>
      </c>
      <c r="J977" s="13" t="str" cm="1">
        <f t="array" ref="J977">_xlfn.IFS(
  OR(ISBLANK(A977),ISBLANK(B977),ISBLANK(H977),ISBLANK(D977),ISBLANK(E977)),"Missing Value",
  D977&lt;=0,"Review – Out of Range (Coverage)",
  E977&lt;=0,"Review – Out of Range (Premium)",
  TRUE,"OK"
)</f>
        <v>OK</v>
      </c>
    </row>
    <row r="978" spans="1:10" ht="16.8" x14ac:dyDescent="0.3">
      <c r="A978" s="11" t="s">
        <v>4622</v>
      </c>
      <c r="B978" s="11" t="s">
        <v>2483</v>
      </c>
      <c r="C978" s="11" t="s">
        <v>3371</v>
      </c>
      <c r="D978" s="11">
        <v>493529.62</v>
      </c>
      <c r="E978" s="11">
        <v>17797.34</v>
      </c>
      <c r="F978" s="12">
        <v>44397</v>
      </c>
      <c r="G978" s="12">
        <v>44553</v>
      </c>
      <c r="H978" s="11" t="s">
        <v>4623</v>
      </c>
      <c r="I978" s="11" t="s">
        <v>3361</v>
      </c>
      <c r="J978" s="13" t="str" cm="1">
        <f t="array" ref="J978">_xlfn.IFS(
  OR(ISBLANK(A978),ISBLANK(B978),ISBLANK(H978),ISBLANK(D978),ISBLANK(E978)),"Missing Value",
  D978&lt;=0,"Review – Out of Range (Coverage)",
  E978&lt;=0,"Review – Out of Range (Premium)",
  TRUE,"OK"
)</f>
        <v>OK</v>
      </c>
    </row>
    <row r="979" spans="1:10" ht="16.8" x14ac:dyDescent="0.3">
      <c r="A979" s="14" t="s">
        <v>4624</v>
      </c>
      <c r="B979" s="14" t="s">
        <v>1931</v>
      </c>
      <c r="C979" s="14" t="s">
        <v>3380</v>
      </c>
      <c r="D979" s="14">
        <v>693726.74</v>
      </c>
      <c r="E979" s="14">
        <v>37252.480000000003</v>
      </c>
      <c r="F979" s="15">
        <v>44371</v>
      </c>
      <c r="G979" s="15">
        <v>45487</v>
      </c>
      <c r="H979" s="14" t="s">
        <v>3759</v>
      </c>
      <c r="I979" s="14" t="s">
        <v>3373</v>
      </c>
      <c r="J979" s="13" t="str" cm="1">
        <f t="array" ref="J979">_xlfn.IFS(
  OR(ISBLANK(A979),ISBLANK(B979),ISBLANK(H979),ISBLANK(D979),ISBLANK(E979)),"Missing Value",
  D979&lt;=0,"Review – Out of Range (Coverage)",
  E979&lt;=0,"Review – Out of Range (Premium)",
  TRUE,"OK"
)</f>
        <v>OK</v>
      </c>
    </row>
    <row r="980" spans="1:10" ht="16.8" x14ac:dyDescent="0.3">
      <c r="A980" s="11" t="s">
        <v>4625</v>
      </c>
      <c r="B980" s="11" t="s">
        <v>2799</v>
      </c>
      <c r="C980" s="11" t="s">
        <v>3363</v>
      </c>
      <c r="D980" s="11">
        <v>547603.41</v>
      </c>
      <c r="E980" s="11">
        <v>3671.09</v>
      </c>
      <c r="F980" s="12">
        <v>45496</v>
      </c>
      <c r="G980" s="12">
        <v>45602</v>
      </c>
      <c r="H980" s="11" t="s">
        <v>3774</v>
      </c>
      <c r="I980" s="11" t="s">
        <v>3373</v>
      </c>
      <c r="J980" s="13" t="str" cm="1">
        <f t="array" ref="J980">_xlfn.IFS(
  OR(ISBLANK(A980),ISBLANK(B980),ISBLANK(H980),ISBLANK(D980),ISBLANK(E980)),"Missing Value",
  D980&lt;=0,"Review – Out of Range (Coverage)",
  E980&lt;=0,"Review – Out of Range (Premium)",
  TRUE,"OK"
)</f>
        <v>OK</v>
      </c>
    </row>
    <row r="981" spans="1:10" ht="16.8" x14ac:dyDescent="0.3">
      <c r="A981" s="14" t="s">
        <v>4626</v>
      </c>
      <c r="B981" s="14" t="s">
        <v>250</v>
      </c>
      <c r="C981" s="14" t="s">
        <v>3377</v>
      </c>
      <c r="D981" s="14">
        <v>257827.54</v>
      </c>
      <c r="E981" s="14">
        <v>25656.04</v>
      </c>
      <c r="F981" s="15">
        <v>44308</v>
      </c>
      <c r="G981" s="15">
        <v>45288</v>
      </c>
      <c r="H981" s="14" t="s">
        <v>3383</v>
      </c>
      <c r="I981" s="14" t="s">
        <v>3373</v>
      </c>
      <c r="J981" s="13" t="str" cm="1">
        <f t="array" ref="J981">_xlfn.IFS(
  OR(ISBLANK(A981),ISBLANK(B981),ISBLANK(H981),ISBLANK(D981),ISBLANK(E981)),"Missing Value",
  D981&lt;=0,"Review – Out of Range (Coverage)",
  E981&lt;=0,"Review – Out of Range (Premium)",
  TRUE,"OK"
)</f>
        <v>OK</v>
      </c>
    </row>
    <row r="982" spans="1:10" ht="16.8" x14ac:dyDescent="0.3">
      <c r="A982" s="11" t="s">
        <v>4627</v>
      </c>
      <c r="B982" s="11" t="s">
        <v>2627</v>
      </c>
      <c r="C982" s="11" t="s">
        <v>3380</v>
      </c>
      <c r="D982" s="11">
        <v>257332.72</v>
      </c>
      <c r="E982" s="11">
        <v>27410.42</v>
      </c>
      <c r="F982" s="12">
        <v>45444</v>
      </c>
      <c r="G982" s="12">
        <v>45473</v>
      </c>
      <c r="H982" s="11" t="s">
        <v>3636</v>
      </c>
      <c r="I982" s="11" t="s">
        <v>3373</v>
      </c>
      <c r="J982" s="13" t="str" cm="1">
        <f t="array" ref="J982">_xlfn.IFS(
  OR(ISBLANK(A982),ISBLANK(B982),ISBLANK(H982),ISBLANK(D982),ISBLANK(E982)),"Missing Value",
  D982&lt;=0,"Review – Out of Range (Coverage)",
  E982&lt;=0,"Review – Out of Range (Premium)",
  TRUE,"OK"
)</f>
        <v>OK</v>
      </c>
    </row>
    <row r="983" spans="1:10" ht="16.8" x14ac:dyDescent="0.3">
      <c r="A983" s="14" t="s">
        <v>4628</v>
      </c>
      <c r="B983" s="14" t="s">
        <v>735</v>
      </c>
      <c r="C983" s="14" t="s">
        <v>3359</v>
      </c>
      <c r="D983" s="14">
        <v>909237.91</v>
      </c>
      <c r="E983" s="14">
        <v>43927.82</v>
      </c>
      <c r="F983" s="15">
        <v>45254</v>
      </c>
      <c r="G983" s="15">
        <v>45264</v>
      </c>
      <c r="H983" s="14" t="s">
        <v>3503</v>
      </c>
      <c r="I983" s="14" t="s">
        <v>3365</v>
      </c>
      <c r="J983" s="13" t="str" cm="1">
        <f t="array" ref="J983">_xlfn.IFS(
  OR(ISBLANK(A983),ISBLANK(B983),ISBLANK(H983),ISBLANK(D983),ISBLANK(E983)),"Missing Value",
  D983&lt;=0,"Review – Out of Range (Coverage)",
  E983&lt;=0,"Review – Out of Range (Premium)",
  TRUE,"OK"
)</f>
        <v>OK</v>
      </c>
    </row>
    <row r="984" spans="1:10" ht="16.8" x14ac:dyDescent="0.3">
      <c r="A984" s="11" t="s">
        <v>4629</v>
      </c>
      <c r="B984" s="11" t="s">
        <v>114</v>
      </c>
      <c r="C984" s="11" t="s">
        <v>3380</v>
      </c>
      <c r="D984" s="11">
        <v>905938.59</v>
      </c>
      <c r="E984" s="11">
        <v>49972.81</v>
      </c>
      <c r="F984" s="12">
        <v>44695</v>
      </c>
      <c r="G984" s="12">
        <v>44968</v>
      </c>
      <c r="H984" s="11" t="s">
        <v>4630</v>
      </c>
      <c r="I984" s="11" t="s">
        <v>3373</v>
      </c>
      <c r="J984" s="13" t="str" cm="1">
        <f t="array" ref="J984">_xlfn.IFS(
  OR(ISBLANK(A984),ISBLANK(B984),ISBLANK(H984),ISBLANK(D984),ISBLANK(E984)),"Missing Value",
  D984&lt;=0,"Review – Out of Range (Coverage)",
  E984&lt;=0,"Review – Out of Range (Premium)",
  TRUE,"OK"
)</f>
        <v>OK</v>
      </c>
    </row>
    <row r="985" spans="1:10" ht="16.8" x14ac:dyDescent="0.3">
      <c r="A985" s="14" t="s">
        <v>4631</v>
      </c>
      <c r="B985" s="14" t="s">
        <v>2709</v>
      </c>
      <c r="C985" s="14" t="s">
        <v>3363</v>
      </c>
      <c r="D985" s="14">
        <v>161139.01</v>
      </c>
      <c r="E985" s="14">
        <v>27340.38</v>
      </c>
      <c r="F985" s="15">
        <v>44132</v>
      </c>
      <c r="G985" s="15">
        <v>45250</v>
      </c>
      <c r="H985" s="14" t="s">
        <v>3781</v>
      </c>
      <c r="I985" s="14" t="s">
        <v>3373</v>
      </c>
      <c r="J985" s="13" t="str" cm="1">
        <f t="array" ref="J985">_xlfn.IFS(
  OR(ISBLANK(A985),ISBLANK(B985),ISBLANK(H985),ISBLANK(D985),ISBLANK(E985)),"Missing Value",
  D985&lt;=0,"Review – Out of Range (Coverage)",
  E985&lt;=0,"Review – Out of Range (Premium)",
  TRUE,"OK"
)</f>
        <v>OK</v>
      </c>
    </row>
    <row r="986" spans="1:10" ht="16.8" x14ac:dyDescent="0.3">
      <c r="A986" s="11" t="s">
        <v>4632</v>
      </c>
      <c r="B986" s="11" t="s">
        <v>2175</v>
      </c>
      <c r="C986" s="11" t="s">
        <v>3377</v>
      </c>
      <c r="D986" s="11">
        <v>799873.51</v>
      </c>
      <c r="E986" s="11">
        <v>5670.97</v>
      </c>
      <c r="F986" s="12">
        <v>45421</v>
      </c>
      <c r="G986" s="12">
        <v>45527</v>
      </c>
      <c r="H986" s="11" t="s">
        <v>3774</v>
      </c>
      <c r="I986" s="11" t="s">
        <v>3373</v>
      </c>
      <c r="J986" s="13" t="str" cm="1">
        <f t="array" ref="J986">_xlfn.IFS(
  OR(ISBLANK(A986),ISBLANK(B986),ISBLANK(H986),ISBLANK(D986),ISBLANK(E986)),"Missing Value",
  D986&lt;=0,"Review – Out of Range (Coverage)",
  E986&lt;=0,"Review – Out of Range (Premium)",
  TRUE,"OK"
)</f>
        <v>OK</v>
      </c>
    </row>
    <row r="987" spans="1:10" ht="16.8" x14ac:dyDescent="0.3">
      <c r="A987" s="14" t="s">
        <v>4633</v>
      </c>
      <c r="B987" s="14" t="s">
        <v>1753</v>
      </c>
      <c r="C987" s="14" t="s">
        <v>3359</v>
      </c>
      <c r="D987" s="14">
        <v>481726.27</v>
      </c>
      <c r="E987" s="14">
        <v>41533.980000000003</v>
      </c>
      <c r="F987" s="15">
        <v>45038</v>
      </c>
      <c r="G987" s="15">
        <v>45067</v>
      </c>
      <c r="H987" s="14" t="s">
        <v>4045</v>
      </c>
      <c r="I987" s="14" t="s">
        <v>3365</v>
      </c>
      <c r="J987" s="13" t="str" cm="1">
        <f t="array" ref="J987">_xlfn.IFS(
  OR(ISBLANK(A987),ISBLANK(B987),ISBLANK(H987),ISBLANK(D987),ISBLANK(E987)),"Missing Value",
  D987&lt;=0,"Review – Out of Range (Coverage)",
  E987&lt;=0,"Review – Out of Range (Premium)",
  TRUE,"OK"
)</f>
        <v>OK</v>
      </c>
    </row>
    <row r="988" spans="1:10" ht="16.8" x14ac:dyDescent="0.3">
      <c r="A988" s="11" t="s">
        <v>4634</v>
      </c>
      <c r="B988" s="11" t="s">
        <v>2455</v>
      </c>
      <c r="C988" s="11" t="s">
        <v>3371</v>
      </c>
      <c r="D988" s="11">
        <v>157559.19</v>
      </c>
      <c r="E988" s="11">
        <v>39021.040000000001</v>
      </c>
      <c r="F988" s="12">
        <v>44631</v>
      </c>
      <c r="G988" s="12">
        <v>44747</v>
      </c>
      <c r="H988" s="11" t="s">
        <v>3484</v>
      </c>
      <c r="I988" s="11" t="s">
        <v>3365</v>
      </c>
      <c r="J988" s="13" t="str" cm="1">
        <f t="array" ref="J988">_xlfn.IFS(
  OR(ISBLANK(A988),ISBLANK(B988),ISBLANK(H988),ISBLANK(D988),ISBLANK(E988)),"Missing Value",
  D988&lt;=0,"Review – Out of Range (Coverage)",
  E988&lt;=0,"Review – Out of Range (Premium)",
  TRUE,"OK"
)</f>
        <v>OK</v>
      </c>
    </row>
    <row r="989" spans="1:10" ht="16.8" x14ac:dyDescent="0.3">
      <c r="A989" s="14" t="s">
        <v>4635</v>
      </c>
      <c r="B989" s="14" t="s">
        <v>330</v>
      </c>
      <c r="C989" s="14" t="s">
        <v>3377</v>
      </c>
      <c r="D989" s="14">
        <v>778078.03</v>
      </c>
      <c r="E989" s="14">
        <v>12412.78</v>
      </c>
      <c r="F989" s="15">
        <v>44604</v>
      </c>
      <c r="G989" s="15">
        <v>44967</v>
      </c>
      <c r="H989" s="14" t="s">
        <v>4378</v>
      </c>
      <c r="I989" s="14" t="s">
        <v>3361</v>
      </c>
      <c r="J989" s="13" t="str" cm="1">
        <f t="array" ref="J989">_xlfn.IFS(
  OR(ISBLANK(A989),ISBLANK(B989),ISBLANK(H989),ISBLANK(D989),ISBLANK(E989)),"Missing Value",
  D989&lt;=0,"Review – Out of Range (Coverage)",
  E989&lt;=0,"Review – Out of Range (Premium)",
  TRUE,"OK"
)</f>
        <v>OK</v>
      </c>
    </row>
    <row r="990" spans="1:10" ht="16.8" x14ac:dyDescent="0.3">
      <c r="A990" s="11" t="s">
        <v>4636</v>
      </c>
      <c r="B990" s="11" t="s">
        <v>356</v>
      </c>
      <c r="C990" s="11" t="s">
        <v>3359</v>
      </c>
      <c r="D990" s="11">
        <v>678468.61</v>
      </c>
      <c r="E990" s="11">
        <v>40210.94</v>
      </c>
      <c r="F990" s="12">
        <v>45425</v>
      </c>
      <c r="G990" s="12">
        <v>45600</v>
      </c>
      <c r="H990" s="11" t="s">
        <v>3391</v>
      </c>
      <c r="I990" s="11" t="s">
        <v>3365</v>
      </c>
      <c r="J990" s="13" t="str" cm="1">
        <f t="array" ref="J990">_xlfn.IFS(
  OR(ISBLANK(A990),ISBLANK(B990),ISBLANK(H990),ISBLANK(D990),ISBLANK(E990)),"Missing Value",
  D990&lt;=0,"Review – Out of Range (Coverage)",
  E990&lt;=0,"Review – Out of Range (Premium)",
  TRUE,"OK"
)</f>
        <v>OK</v>
      </c>
    </row>
    <row r="991" spans="1:10" ht="16.8" x14ac:dyDescent="0.3">
      <c r="A991" s="14" t="s">
        <v>4637</v>
      </c>
      <c r="B991" s="14" t="s">
        <v>725</v>
      </c>
      <c r="C991" s="14" t="s">
        <v>3359</v>
      </c>
      <c r="D991" s="14">
        <v>103284.71</v>
      </c>
      <c r="E991" s="14">
        <v>21502.85</v>
      </c>
      <c r="F991" s="15">
        <v>44912</v>
      </c>
      <c r="G991" s="15">
        <v>45746</v>
      </c>
      <c r="H991" s="14" t="s">
        <v>3573</v>
      </c>
      <c r="I991" s="14" t="s">
        <v>3361</v>
      </c>
      <c r="J991" s="13" t="str" cm="1">
        <f t="array" ref="J991">_xlfn.IFS(
  OR(ISBLANK(A991),ISBLANK(B991),ISBLANK(H991),ISBLANK(D991),ISBLANK(E991)),"Missing Value",
  D991&lt;=0,"Review – Out of Range (Coverage)",
  E991&lt;=0,"Review – Out of Range (Premium)",
  TRUE,"OK"
)</f>
        <v>OK</v>
      </c>
    </row>
    <row r="992" spans="1:10" ht="16.8" x14ac:dyDescent="0.3">
      <c r="A992" s="11" t="s">
        <v>4638</v>
      </c>
      <c r="B992" s="11" t="s">
        <v>140</v>
      </c>
      <c r="C992" s="11" t="s">
        <v>3371</v>
      </c>
      <c r="D992" s="11">
        <v>214646.24</v>
      </c>
      <c r="E992" s="11">
        <v>18512.62</v>
      </c>
      <c r="F992" s="12">
        <v>44890</v>
      </c>
      <c r="G992" s="12">
        <v>45395</v>
      </c>
      <c r="H992" s="11" t="s">
        <v>4236</v>
      </c>
      <c r="I992" s="11" t="s">
        <v>3361</v>
      </c>
      <c r="J992" s="13" t="str" cm="1">
        <f t="array" ref="J992">_xlfn.IFS(
  OR(ISBLANK(A992),ISBLANK(B992),ISBLANK(H992),ISBLANK(D992),ISBLANK(E992)),"Missing Value",
  D992&lt;=0,"Review – Out of Range (Coverage)",
  E992&lt;=0,"Review – Out of Range (Premium)",
  TRUE,"OK"
)</f>
        <v>OK</v>
      </c>
    </row>
    <row r="993" spans="1:10" ht="16.8" x14ac:dyDescent="0.3">
      <c r="A993" s="14" t="s">
        <v>4639</v>
      </c>
      <c r="B993" s="14" t="s">
        <v>1025</v>
      </c>
      <c r="C993" s="14" t="s">
        <v>3380</v>
      </c>
      <c r="D993" s="14">
        <v>905719.25</v>
      </c>
      <c r="E993" s="14">
        <v>8076.84</v>
      </c>
      <c r="F993" s="15">
        <v>44433</v>
      </c>
      <c r="G993" s="15">
        <v>44794</v>
      </c>
      <c r="H993" s="14" t="s">
        <v>3748</v>
      </c>
      <c r="I993" s="14" t="s">
        <v>3365</v>
      </c>
      <c r="J993" s="13" t="str" cm="1">
        <f t="array" ref="J993">_xlfn.IFS(
  OR(ISBLANK(A993),ISBLANK(B993),ISBLANK(H993),ISBLANK(D993),ISBLANK(E993)),"Missing Value",
  D993&lt;=0,"Review – Out of Range (Coverage)",
  E993&lt;=0,"Review – Out of Range (Premium)",
  TRUE,"OK"
)</f>
        <v>OK</v>
      </c>
    </row>
    <row r="994" spans="1:10" ht="16.8" x14ac:dyDescent="0.3">
      <c r="A994" s="11" t="s">
        <v>4640</v>
      </c>
      <c r="B994" s="11" t="s">
        <v>2541</v>
      </c>
      <c r="C994" s="11" t="s">
        <v>3380</v>
      </c>
      <c r="D994" s="11">
        <v>584481.53</v>
      </c>
      <c r="E994" s="11">
        <v>27687.7</v>
      </c>
      <c r="F994" s="12">
        <v>44138</v>
      </c>
      <c r="G994" s="12">
        <v>44158</v>
      </c>
      <c r="H994" s="11" t="s">
        <v>3423</v>
      </c>
      <c r="I994" s="11" t="s">
        <v>3361</v>
      </c>
      <c r="J994" s="13" t="str" cm="1">
        <f t="array" ref="J994">_xlfn.IFS(
  OR(ISBLANK(A994),ISBLANK(B994),ISBLANK(H994),ISBLANK(D994),ISBLANK(E994)),"Missing Value",
  D994&lt;=0,"Review – Out of Range (Coverage)",
  E994&lt;=0,"Review – Out of Range (Premium)",
  TRUE,"OK"
)</f>
        <v>OK</v>
      </c>
    </row>
    <row r="995" spans="1:10" ht="16.8" x14ac:dyDescent="0.3">
      <c r="A995" s="14" t="s">
        <v>4641</v>
      </c>
      <c r="B995" s="14" t="s">
        <v>1947</v>
      </c>
      <c r="C995" s="14" t="s">
        <v>3359</v>
      </c>
      <c r="D995" s="14">
        <v>256569.58</v>
      </c>
      <c r="E995" s="14">
        <v>28455.71</v>
      </c>
      <c r="F995" s="15">
        <v>44986</v>
      </c>
      <c r="G995" s="15">
        <v>45341</v>
      </c>
      <c r="H995" s="14" t="s">
        <v>3459</v>
      </c>
      <c r="I995" s="14" t="s">
        <v>3365</v>
      </c>
      <c r="J995" s="13" t="str" cm="1">
        <f t="array" ref="J995">_xlfn.IFS(
  OR(ISBLANK(A995),ISBLANK(B995),ISBLANK(H995),ISBLANK(D995),ISBLANK(E995)),"Missing Value",
  D995&lt;=0,"Review – Out of Range (Coverage)",
  E995&lt;=0,"Review – Out of Range (Premium)",
  TRUE,"OK"
)</f>
        <v>OK</v>
      </c>
    </row>
    <row r="996" spans="1:10" ht="16.8" x14ac:dyDescent="0.3">
      <c r="A996" s="11" t="s">
        <v>4642</v>
      </c>
      <c r="B996" s="11" t="s">
        <v>1655</v>
      </c>
      <c r="C996" s="11" t="s">
        <v>3380</v>
      </c>
      <c r="D996" s="11">
        <v>749057.15</v>
      </c>
      <c r="E996" s="11">
        <v>7494.85</v>
      </c>
      <c r="F996" s="12">
        <v>44192</v>
      </c>
      <c r="G996" s="12">
        <v>45844</v>
      </c>
      <c r="H996" s="11" t="s">
        <v>3709</v>
      </c>
      <c r="I996" s="11" t="s">
        <v>3361</v>
      </c>
      <c r="J996" s="13" t="str" cm="1">
        <f t="array" ref="J996">_xlfn.IFS(
  OR(ISBLANK(A996),ISBLANK(B996),ISBLANK(H996),ISBLANK(D996),ISBLANK(E996)),"Missing Value",
  D996&lt;=0,"Review – Out of Range (Coverage)",
  E996&lt;=0,"Review – Out of Range (Premium)",
  TRUE,"OK"
)</f>
        <v>OK</v>
      </c>
    </row>
    <row r="997" spans="1:10" ht="16.8" x14ac:dyDescent="0.3">
      <c r="A997" s="14" t="s">
        <v>4643</v>
      </c>
      <c r="B997" s="14" t="s">
        <v>1859</v>
      </c>
      <c r="C997" s="14" t="s">
        <v>3363</v>
      </c>
      <c r="D997" s="14">
        <v>235625.71</v>
      </c>
      <c r="E997" s="14">
        <v>28792.35</v>
      </c>
      <c r="F997" s="15">
        <v>45383</v>
      </c>
      <c r="G997" s="15">
        <v>45602</v>
      </c>
      <c r="H997" s="14" t="s">
        <v>4170</v>
      </c>
      <c r="I997" s="14" t="s">
        <v>3365</v>
      </c>
      <c r="J997" s="13" t="str" cm="1">
        <f t="array" ref="J997">_xlfn.IFS(
  OR(ISBLANK(A997),ISBLANK(B997),ISBLANK(H997),ISBLANK(D997),ISBLANK(E997)),"Missing Value",
  D997&lt;=0,"Review – Out of Range (Coverage)",
  E997&lt;=0,"Review – Out of Range (Premium)",
  TRUE,"OK"
)</f>
        <v>OK</v>
      </c>
    </row>
    <row r="998" spans="1:10" ht="16.8" x14ac:dyDescent="0.3">
      <c r="A998" s="11" t="s">
        <v>4644</v>
      </c>
      <c r="B998" s="11" t="s">
        <v>1999</v>
      </c>
      <c r="C998" s="11" t="s">
        <v>3363</v>
      </c>
      <c r="D998" s="11">
        <v>171913.24</v>
      </c>
      <c r="E998" s="11">
        <v>10842.86</v>
      </c>
      <c r="F998" s="12">
        <v>44721</v>
      </c>
      <c r="G998" s="12">
        <v>45582</v>
      </c>
      <c r="H998" s="11" t="s">
        <v>3665</v>
      </c>
      <c r="I998" s="11" t="s">
        <v>3365</v>
      </c>
      <c r="J998" s="13" t="str" cm="1">
        <f t="array" ref="J998">_xlfn.IFS(
  OR(ISBLANK(A998),ISBLANK(B998),ISBLANK(H998),ISBLANK(D998),ISBLANK(E998)),"Missing Value",
  D998&lt;=0,"Review – Out of Range (Coverage)",
  E998&lt;=0,"Review – Out of Range (Premium)",
  TRUE,"OK"
)</f>
        <v>OK</v>
      </c>
    </row>
    <row r="999" spans="1:10" ht="16.8" x14ac:dyDescent="0.3">
      <c r="A999" s="14" t="s">
        <v>4645</v>
      </c>
      <c r="B999" s="14" t="s">
        <v>633</v>
      </c>
      <c r="C999" s="14" t="s">
        <v>3371</v>
      </c>
      <c r="D999" s="14">
        <v>673600.96</v>
      </c>
      <c r="E999" s="14">
        <v>26040.02</v>
      </c>
      <c r="F999" s="15">
        <v>44686</v>
      </c>
      <c r="G999" s="15">
        <v>45804</v>
      </c>
      <c r="H999" s="14" t="s">
        <v>4143</v>
      </c>
      <c r="I999" s="14" t="s">
        <v>3365</v>
      </c>
      <c r="J999" s="13" t="str" cm="1">
        <f t="array" ref="J999">_xlfn.IFS(
  OR(ISBLANK(A999),ISBLANK(B999),ISBLANK(H999),ISBLANK(D999),ISBLANK(E999)),"Missing Value",
  D999&lt;=0,"Review – Out of Range (Coverage)",
  E999&lt;=0,"Review – Out of Range (Premium)",
  TRUE,"OK"
)</f>
        <v>OK</v>
      </c>
    </row>
    <row r="1000" spans="1:10" ht="16.8" x14ac:dyDescent="0.3">
      <c r="A1000" s="11" t="s">
        <v>4646</v>
      </c>
      <c r="B1000" s="11" t="s">
        <v>1123</v>
      </c>
      <c r="C1000" s="11" t="s">
        <v>3363</v>
      </c>
      <c r="D1000" s="11">
        <v>397620.25</v>
      </c>
      <c r="E1000" s="11">
        <v>37149.64</v>
      </c>
      <c r="F1000" s="12">
        <v>45154</v>
      </c>
      <c r="G1000" s="12">
        <v>45311</v>
      </c>
      <c r="H1000" s="11" t="s">
        <v>4240</v>
      </c>
      <c r="I1000" s="11" t="s">
        <v>3361</v>
      </c>
      <c r="J1000" s="13" t="str" cm="1">
        <f t="array" ref="J1000">_xlfn.IFS(
  OR(ISBLANK(A1000),ISBLANK(B1000),ISBLANK(H1000),ISBLANK(D1000),ISBLANK(E1000)),"Missing Value",
  D1000&lt;=0,"Review – Out of Range (Coverage)",
  E1000&lt;=0,"Review – Out of Range (Premium)",
  TRUE,"OK"
)</f>
        <v>OK</v>
      </c>
    </row>
    <row r="1001" spans="1:10" ht="16.8" x14ac:dyDescent="0.3">
      <c r="A1001" s="14" t="s">
        <v>4647</v>
      </c>
      <c r="B1001" s="14" t="s">
        <v>2489</v>
      </c>
      <c r="C1001" s="14" t="s">
        <v>3363</v>
      </c>
      <c r="D1001" s="14">
        <v>246085.74</v>
      </c>
      <c r="E1001" s="14">
        <v>29724.29</v>
      </c>
      <c r="F1001" s="15">
        <v>44738</v>
      </c>
      <c r="G1001" s="15">
        <v>45384</v>
      </c>
      <c r="H1001" s="14" t="s">
        <v>3774</v>
      </c>
      <c r="I1001" s="14" t="s">
        <v>3365</v>
      </c>
      <c r="J1001" s="13" t="str" cm="1">
        <f t="array" ref="J1001">_xlfn.IFS(
  OR(ISBLANK(A1001),ISBLANK(B1001),ISBLANK(H1001),ISBLANK(D1001),ISBLANK(E1001)),"Missing Value",
  D1001&lt;=0,"Review – Out of Range (Coverage)",
  E1001&lt;=0,"Review – Out of Range (Premium)",
  TRUE,"OK"
)</f>
        <v>OK</v>
      </c>
    </row>
    <row r="1002" spans="1:10" ht="16.8" x14ac:dyDescent="0.3">
      <c r="A1002" s="11" t="s">
        <v>4648</v>
      </c>
      <c r="B1002" s="11" t="s">
        <v>891</v>
      </c>
      <c r="C1002" s="11" t="s">
        <v>3359</v>
      </c>
      <c r="D1002" s="11">
        <v>623490.93999999994</v>
      </c>
      <c r="E1002" s="11">
        <v>22110.400000000001</v>
      </c>
      <c r="F1002" s="12">
        <v>45145</v>
      </c>
      <c r="G1002" s="12">
        <v>45743</v>
      </c>
      <c r="H1002" s="11" t="s">
        <v>3486</v>
      </c>
      <c r="I1002" s="11" t="s">
        <v>3373</v>
      </c>
      <c r="J1002" s="13" t="str" cm="1">
        <f t="array" ref="J1002">_xlfn.IFS(
  OR(ISBLANK(A1002),ISBLANK(B1002),ISBLANK(H1002),ISBLANK(D1002),ISBLANK(E1002)),"Missing Value",
  D1002&lt;=0,"Review – Out of Range (Coverage)",
  E1002&lt;=0,"Review – Out of Range (Premium)",
  TRUE,"OK"
)</f>
        <v>OK</v>
      </c>
    </row>
    <row r="1003" spans="1:10" ht="16.8" x14ac:dyDescent="0.3">
      <c r="A1003" s="14" t="s">
        <v>4649</v>
      </c>
      <c r="B1003" s="14" t="s">
        <v>987</v>
      </c>
      <c r="C1003" s="14" t="s">
        <v>3377</v>
      </c>
      <c r="D1003" s="14">
        <v>342365.7</v>
      </c>
      <c r="E1003" s="14">
        <v>10195.379999999999</v>
      </c>
      <c r="F1003" s="15">
        <v>45487</v>
      </c>
      <c r="G1003" s="15">
        <v>45591</v>
      </c>
      <c r="H1003" s="14" t="s">
        <v>4650</v>
      </c>
      <c r="I1003" s="14" t="s">
        <v>3373</v>
      </c>
      <c r="J1003" s="13" t="str" cm="1">
        <f t="array" ref="J1003">_xlfn.IFS(
  OR(ISBLANK(A1003),ISBLANK(B1003),ISBLANK(H1003),ISBLANK(D1003),ISBLANK(E1003)),"Missing Value",
  D1003&lt;=0,"Review – Out of Range (Coverage)",
  E1003&lt;=0,"Review – Out of Range (Premium)",
  TRUE,"OK"
)</f>
        <v>OK</v>
      </c>
    </row>
    <row r="1004" spans="1:10" ht="16.8" x14ac:dyDescent="0.3">
      <c r="A1004" s="11" t="s">
        <v>4651</v>
      </c>
      <c r="B1004" s="11" t="s">
        <v>3202</v>
      </c>
      <c r="C1004" s="11" t="s">
        <v>3377</v>
      </c>
      <c r="D1004" s="11">
        <v>131667.62</v>
      </c>
      <c r="E1004" s="11">
        <v>40906.6</v>
      </c>
      <c r="F1004" s="12">
        <v>45417</v>
      </c>
      <c r="G1004" s="12">
        <v>45779</v>
      </c>
      <c r="H1004" s="11" t="s">
        <v>3607</v>
      </c>
      <c r="I1004" s="11" t="s">
        <v>3365</v>
      </c>
      <c r="J1004" s="13" t="str" cm="1">
        <f t="array" ref="J1004">_xlfn.IFS(
  OR(ISBLANK(A1004),ISBLANK(B1004),ISBLANK(H1004),ISBLANK(D1004),ISBLANK(E1004)),"Missing Value",
  D1004&lt;=0,"Review – Out of Range (Coverage)",
  E1004&lt;=0,"Review – Out of Range (Premium)",
  TRUE,"OK"
)</f>
        <v>OK</v>
      </c>
    </row>
    <row r="1005" spans="1:10" ht="16.8" x14ac:dyDescent="0.3">
      <c r="A1005" s="14" t="s">
        <v>4652</v>
      </c>
      <c r="B1005" s="14" t="s">
        <v>460</v>
      </c>
      <c r="C1005" s="14" t="s">
        <v>3380</v>
      </c>
      <c r="D1005" s="14">
        <v>756052.68</v>
      </c>
      <c r="E1005" s="14">
        <v>4913.24</v>
      </c>
      <c r="F1005" s="15">
        <v>44525</v>
      </c>
      <c r="G1005" s="15">
        <v>45317</v>
      </c>
      <c r="H1005" s="14" t="s">
        <v>3636</v>
      </c>
      <c r="I1005" s="14" t="s">
        <v>3365</v>
      </c>
      <c r="J1005" s="13" t="str" cm="1">
        <f t="array" ref="J1005">_xlfn.IFS(
  OR(ISBLANK(A1005),ISBLANK(B1005),ISBLANK(H1005),ISBLANK(D1005),ISBLANK(E1005)),"Missing Value",
  D1005&lt;=0,"Review – Out of Range (Coverage)",
  E1005&lt;=0,"Review – Out of Range (Premium)",
  TRUE,"OK"
)</f>
        <v>OK</v>
      </c>
    </row>
    <row r="1006" spans="1:10" ht="16.8" x14ac:dyDescent="0.3">
      <c r="A1006" s="11" t="s">
        <v>4653</v>
      </c>
      <c r="B1006" s="11" t="s">
        <v>1949</v>
      </c>
      <c r="C1006" s="11" t="s">
        <v>3363</v>
      </c>
      <c r="D1006" s="11">
        <v>659348.68000000005</v>
      </c>
      <c r="E1006" s="11">
        <v>12032.59</v>
      </c>
      <c r="F1006" s="12">
        <v>44691</v>
      </c>
      <c r="G1006" s="12">
        <v>44957</v>
      </c>
      <c r="H1006" s="11" t="s">
        <v>3632</v>
      </c>
      <c r="I1006" s="11" t="s">
        <v>3365</v>
      </c>
      <c r="J1006" s="13" t="str" cm="1">
        <f t="array" ref="J1006">_xlfn.IFS(
  OR(ISBLANK(A1006),ISBLANK(B1006),ISBLANK(H1006),ISBLANK(D1006),ISBLANK(E1006)),"Missing Value",
  D1006&lt;=0,"Review – Out of Range (Coverage)",
  E1006&lt;=0,"Review – Out of Range (Premium)",
  TRUE,"OK"
)</f>
        <v>OK</v>
      </c>
    </row>
    <row r="1007" spans="1:10" ht="16.8" x14ac:dyDescent="0.3">
      <c r="A1007" s="14" t="s">
        <v>4654</v>
      </c>
      <c r="B1007" s="14" t="s">
        <v>1513</v>
      </c>
      <c r="C1007" s="14" t="s">
        <v>3380</v>
      </c>
      <c r="D1007" s="14">
        <v>828605.39</v>
      </c>
      <c r="E1007" s="14">
        <v>28326.67</v>
      </c>
      <c r="F1007" s="15">
        <v>44377</v>
      </c>
      <c r="G1007" s="15">
        <v>45361</v>
      </c>
      <c r="H1007" s="14" t="s">
        <v>3806</v>
      </c>
      <c r="I1007" s="14" t="s">
        <v>3361</v>
      </c>
      <c r="J1007" s="13" t="str" cm="1">
        <f t="array" ref="J1007">_xlfn.IFS(
  OR(ISBLANK(A1007),ISBLANK(B1007),ISBLANK(H1007),ISBLANK(D1007),ISBLANK(E1007)),"Missing Value",
  D1007&lt;=0,"Review – Out of Range (Coverage)",
  E1007&lt;=0,"Review – Out of Range (Premium)",
  TRUE,"OK"
)</f>
        <v>OK</v>
      </c>
    </row>
    <row r="1008" spans="1:10" ht="16.8" x14ac:dyDescent="0.3">
      <c r="A1008" s="11" t="s">
        <v>4655</v>
      </c>
      <c r="B1008" s="11" t="s">
        <v>957</v>
      </c>
      <c r="C1008" s="11" t="s">
        <v>3363</v>
      </c>
      <c r="D1008" s="11">
        <v>263496.40999999997</v>
      </c>
      <c r="E1008" s="11">
        <v>35168.99</v>
      </c>
      <c r="F1008" s="12">
        <v>44479</v>
      </c>
      <c r="G1008" s="12">
        <v>45261</v>
      </c>
      <c r="H1008" s="11" t="s">
        <v>3841</v>
      </c>
      <c r="I1008" s="11" t="s">
        <v>3361</v>
      </c>
      <c r="J1008" s="13" t="str" cm="1">
        <f t="array" ref="J1008">_xlfn.IFS(
  OR(ISBLANK(A1008),ISBLANK(B1008),ISBLANK(H1008),ISBLANK(D1008),ISBLANK(E1008)),"Missing Value",
  D1008&lt;=0,"Review – Out of Range (Coverage)",
  E1008&lt;=0,"Review – Out of Range (Premium)",
  TRUE,"OK"
)</f>
        <v>OK</v>
      </c>
    </row>
    <row r="1009" spans="1:10" ht="16.8" x14ac:dyDescent="0.3">
      <c r="A1009" s="14" t="s">
        <v>4656</v>
      </c>
      <c r="B1009" s="14" t="s">
        <v>2627</v>
      </c>
      <c r="C1009" s="14" t="s">
        <v>3380</v>
      </c>
      <c r="D1009" s="14">
        <v>373042.44</v>
      </c>
      <c r="E1009" s="14">
        <v>49280.2</v>
      </c>
      <c r="F1009" s="15">
        <v>44537</v>
      </c>
      <c r="G1009" s="15">
        <v>45784</v>
      </c>
      <c r="H1009" s="14" t="s">
        <v>3827</v>
      </c>
      <c r="I1009" s="14" t="s">
        <v>3373</v>
      </c>
      <c r="J1009" s="13" t="str" cm="1">
        <f t="array" ref="J1009">_xlfn.IFS(
  OR(ISBLANK(A1009),ISBLANK(B1009),ISBLANK(H1009),ISBLANK(D1009),ISBLANK(E1009)),"Missing Value",
  D1009&lt;=0,"Review – Out of Range (Coverage)",
  E1009&lt;=0,"Review – Out of Range (Premium)",
  TRUE,"OK"
)</f>
        <v>OK</v>
      </c>
    </row>
    <row r="1010" spans="1:10" ht="16.8" x14ac:dyDescent="0.3">
      <c r="A1010" s="11" t="s">
        <v>4657</v>
      </c>
      <c r="B1010" s="11" t="s">
        <v>1029</v>
      </c>
      <c r="C1010" s="11" t="s">
        <v>3363</v>
      </c>
      <c r="D1010" s="11">
        <v>821445.2</v>
      </c>
      <c r="E1010" s="11">
        <v>37165.61</v>
      </c>
      <c r="F1010" s="12">
        <v>44738</v>
      </c>
      <c r="G1010" s="12">
        <v>45503</v>
      </c>
      <c r="H1010" s="11" t="s">
        <v>4114</v>
      </c>
      <c r="I1010" s="11" t="s">
        <v>3365</v>
      </c>
      <c r="J1010" s="13" t="str" cm="1">
        <f t="array" ref="J1010">_xlfn.IFS(
  OR(ISBLANK(A1010),ISBLANK(B1010),ISBLANK(H1010),ISBLANK(D1010),ISBLANK(E1010)),"Missing Value",
  D1010&lt;=0,"Review – Out of Range (Coverage)",
  E1010&lt;=0,"Review – Out of Range (Premium)",
  TRUE,"OK"
)</f>
        <v>OK</v>
      </c>
    </row>
    <row r="1011" spans="1:10" ht="16.8" x14ac:dyDescent="0.3">
      <c r="A1011" s="14" t="s">
        <v>4658</v>
      </c>
      <c r="B1011" s="14" t="s">
        <v>2383</v>
      </c>
      <c r="C1011" s="14" t="s">
        <v>3377</v>
      </c>
      <c r="D1011" s="14">
        <v>197729.69</v>
      </c>
      <c r="E1011" s="14">
        <v>17688.59</v>
      </c>
      <c r="F1011" s="15">
        <v>45232</v>
      </c>
      <c r="G1011" s="15">
        <v>45691</v>
      </c>
      <c r="H1011" s="14" t="s">
        <v>3482</v>
      </c>
      <c r="I1011" s="14" t="s">
        <v>3365</v>
      </c>
      <c r="J1011" s="13" t="str" cm="1">
        <f t="array" ref="J1011">_xlfn.IFS(
  OR(ISBLANK(A1011),ISBLANK(B1011),ISBLANK(H1011),ISBLANK(D1011),ISBLANK(E1011)),"Missing Value",
  D1011&lt;=0,"Review – Out of Range (Coverage)",
  E1011&lt;=0,"Review – Out of Range (Premium)",
  TRUE,"OK"
)</f>
        <v>OK</v>
      </c>
    </row>
    <row r="1012" spans="1:10" ht="16.8" x14ac:dyDescent="0.3">
      <c r="A1012" s="11" t="s">
        <v>4659</v>
      </c>
      <c r="B1012" s="11" t="s">
        <v>769</v>
      </c>
      <c r="C1012" s="11" t="s">
        <v>3377</v>
      </c>
      <c r="D1012" s="11">
        <v>865458.99</v>
      </c>
      <c r="E1012" s="11">
        <v>34465.379999999997</v>
      </c>
      <c r="F1012" s="12">
        <v>44563</v>
      </c>
      <c r="G1012" s="12">
        <v>45742</v>
      </c>
      <c r="H1012" s="11" t="s">
        <v>4660</v>
      </c>
      <c r="I1012" s="11" t="s">
        <v>3361</v>
      </c>
      <c r="J1012" s="13" t="str" cm="1">
        <f t="array" ref="J1012">_xlfn.IFS(
  OR(ISBLANK(A1012),ISBLANK(B1012),ISBLANK(H1012),ISBLANK(D1012),ISBLANK(E1012)),"Missing Value",
  D1012&lt;=0,"Review – Out of Range (Coverage)",
  E1012&lt;=0,"Review – Out of Range (Premium)",
  TRUE,"OK"
)</f>
        <v>OK</v>
      </c>
    </row>
    <row r="1013" spans="1:10" ht="16.8" x14ac:dyDescent="0.3">
      <c r="A1013" s="14" t="s">
        <v>4661</v>
      </c>
      <c r="B1013" s="14" t="s">
        <v>2675</v>
      </c>
      <c r="C1013" s="14" t="s">
        <v>3363</v>
      </c>
      <c r="D1013" s="14">
        <v>625945.42000000004</v>
      </c>
      <c r="E1013" s="14">
        <v>43279.95</v>
      </c>
      <c r="F1013" s="15">
        <v>45317</v>
      </c>
      <c r="G1013" s="15">
        <v>45731</v>
      </c>
      <c r="H1013" s="14" t="s">
        <v>4208</v>
      </c>
      <c r="I1013" s="14" t="s">
        <v>3373</v>
      </c>
      <c r="J1013" s="13" t="str" cm="1">
        <f t="array" ref="J1013">_xlfn.IFS(
  OR(ISBLANK(A1013),ISBLANK(B1013),ISBLANK(H1013),ISBLANK(D1013),ISBLANK(E1013)),"Missing Value",
  D1013&lt;=0,"Review – Out of Range (Coverage)",
  E1013&lt;=0,"Review – Out of Range (Premium)",
  TRUE,"OK"
)</f>
        <v>OK</v>
      </c>
    </row>
    <row r="1014" spans="1:10" ht="16.8" x14ac:dyDescent="0.3">
      <c r="A1014" s="11" t="s">
        <v>4662</v>
      </c>
      <c r="B1014" s="11" t="s">
        <v>2577</v>
      </c>
      <c r="C1014" s="11" t="s">
        <v>3371</v>
      </c>
      <c r="D1014" s="11">
        <v>648902.17000000004</v>
      </c>
      <c r="E1014" s="11">
        <v>38879.68</v>
      </c>
      <c r="F1014" s="12">
        <v>44892</v>
      </c>
      <c r="G1014" s="12">
        <v>45067</v>
      </c>
      <c r="H1014" s="11" t="s">
        <v>3819</v>
      </c>
      <c r="I1014" s="11" t="s">
        <v>3365</v>
      </c>
      <c r="J1014" s="13" t="str" cm="1">
        <f t="array" ref="J1014">_xlfn.IFS(
  OR(ISBLANK(A1014),ISBLANK(B1014),ISBLANK(H1014),ISBLANK(D1014),ISBLANK(E1014)),"Missing Value",
  D1014&lt;=0,"Review – Out of Range (Coverage)",
  E1014&lt;=0,"Review – Out of Range (Premium)",
  TRUE,"OK"
)</f>
        <v>OK</v>
      </c>
    </row>
    <row r="1015" spans="1:10" ht="16.8" x14ac:dyDescent="0.3">
      <c r="A1015" s="14" t="s">
        <v>4663</v>
      </c>
      <c r="B1015" s="14" t="s">
        <v>1407</v>
      </c>
      <c r="C1015" s="14" t="s">
        <v>3359</v>
      </c>
      <c r="D1015" s="14">
        <v>930294.85</v>
      </c>
      <c r="E1015" s="14">
        <v>31903.43</v>
      </c>
      <c r="F1015" s="15">
        <v>44952</v>
      </c>
      <c r="G1015" s="15">
        <v>45845</v>
      </c>
      <c r="H1015" s="14" t="s">
        <v>3718</v>
      </c>
      <c r="I1015" s="14" t="s">
        <v>3373</v>
      </c>
      <c r="J1015" s="13" t="str" cm="1">
        <f t="array" ref="J1015">_xlfn.IFS(
  OR(ISBLANK(A1015),ISBLANK(B1015),ISBLANK(H1015),ISBLANK(D1015),ISBLANK(E1015)),"Missing Value",
  D1015&lt;=0,"Review – Out of Range (Coverage)",
  E1015&lt;=0,"Review – Out of Range (Premium)",
  TRUE,"OK"
)</f>
        <v>OK</v>
      </c>
    </row>
    <row r="1016" spans="1:10" ht="16.8" x14ac:dyDescent="0.3">
      <c r="A1016" s="11" t="s">
        <v>4664</v>
      </c>
      <c r="B1016" s="11" t="s">
        <v>799</v>
      </c>
      <c r="C1016" s="11" t="s">
        <v>3359</v>
      </c>
      <c r="D1016" s="11">
        <v>250136.84</v>
      </c>
      <c r="E1016" s="11">
        <v>17048.099999999999</v>
      </c>
      <c r="F1016" s="12">
        <v>44200</v>
      </c>
      <c r="G1016" s="12">
        <v>45430</v>
      </c>
      <c r="H1016" s="11" t="s">
        <v>4660</v>
      </c>
      <c r="I1016" s="11" t="s">
        <v>3361</v>
      </c>
      <c r="J1016" s="13" t="str" cm="1">
        <f t="array" ref="J1016">_xlfn.IFS(
  OR(ISBLANK(A1016),ISBLANK(B1016),ISBLANK(H1016),ISBLANK(D1016),ISBLANK(E1016)),"Missing Value",
  D1016&lt;=0,"Review – Out of Range (Coverage)",
  E1016&lt;=0,"Review – Out of Range (Premium)",
  TRUE,"OK"
)</f>
        <v>OK</v>
      </c>
    </row>
    <row r="1017" spans="1:10" ht="16.8" x14ac:dyDescent="0.3">
      <c r="A1017" s="14" t="s">
        <v>4665</v>
      </c>
      <c r="B1017" s="14" t="s">
        <v>1099</v>
      </c>
      <c r="C1017" s="14" t="s">
        <v>3377</v>
      </c>
      <c r="D1017" s="14">
        <v>362805.56</v>
      </c>
      <c r="E1017" s="14">
        <v>4531.8999999999996</v>
      </c>
      <c r="F1017" s="15">
        <v>44734</v>
      </c>
      <c r="G1017" s="15">
        <v>45673</v>
      </c>
      <c r="H1017" s="14" t="s">
        <v>3567</v>
      </c>
      <c r="I1017" s="14" t="s">
        <v>3361</v>
      </c>
      <c r="J1017" s="13" t="str" cm="1">
        <f t="array" ref="J1017">_xlfn.IFS(
  OR(ISBLANK(A1017),ISBLANK(B1017),ISBLANK(H1017),ISBLANK(D1017),ISBLANK(E1017)),"Missing Value",
  D1017&lt;=0,"Review – Out of Range (Coverage)",
  E1017&lt;=0,"Review – Out of Range (Premium)",
  TRUE,"OK"
)</f>
        <v>OK</v>
      </c>
    </row>
    <row r="1018" spans="1:10" ht="16.8" x14ac:dyDescent="0.3">
      <c r="A1018" s="11" t="s">
        <v>4666</v>
      </c>
      <c r="B1018" s="11" t="s">
        <v>236</v>
      </c>
      <c r="C1018" s="11" t="s">
        <v>3377</v>
      </c>
      <c r="D1018" s="11">
        <v>614623.22</v>
      </c>
      <c r="E1018" s="11">
        <v>32435.59</v>
      </c>
      <c r="F1018" s="12">
        <v>44380</v>
      </c>
      <c r="G1018" s="12">
        <v>45855</v>
      </c>
      <c r="H1018" s="11" t="s">
        <v>3624</v>
      </c>
      <c r="I1018" s="11" t="s">
        <v>3373</v>
      </c>
      <c r="J1018" s="13" t="str" cm="1">
        <f t="array" ref="J1018">_xlfn.IFS(
  OR(ISBLANK(A1018),ISBLANK(B1018),ISBLANK(H1018),ISBLANK(D1018),ISBLANK(E1018)),"Missing Value",
  D1018&lt;=0,"Review – Out of Range (Coverage)",
  E1018&lt;=0,"Review – Out of Range (Premium)",
  TRUE,"OK"
)</f>
        <v>OK</v>
      </c>
    </row>
    <row r="1019" spans="1:10" ht="16.8" x14ac:dyDescent="0.3">
      <c r="A1019" s="14" t="s">
        <v>4667</v>
      </c>
      <c r="B1019" s="14" t="s">
        <v>164</v>
      </c>
      <c r="C1019" s="14" t="s">
        <v>3377</v>
      </c>
      <c r="D1019" s="14">
        <v>453118.36</v>
      </c>
      <c r="E1019" s="14">
        <v>43379.42</v>
      </c>
      <c r="F1019" s="15">
        <v>45370</v>
      </c>
      <c r="G1019" s="15">
        <v>45504</v>
      </c>
      <c r="H1019" s="14" t="s">
        <v>4208</v>
      </c>
      <c r="I1019" s="14" t="s">
        <v>3361</v>
      </c>
      <c r="J1019" s="13" t="str" cm="1">
        <f t="array" ref="J1019">_xlfn.IFS(
  OR(ISBLANK(A1019),ISBLANK(B1019),ISBLANK(H1019),ISBLANK(D1019),ISBLANK(E1019)),"Missing Value",
  D1019&lt;=0,"Review – Out of Range (Coverage)",
  E1019&lt;=0,"Review – Out of Range (Premium)",
  TRUE,"OK"
)</f>
        <v>OK</v>
      </c>
    </row>
    <row r="1020" spans="1:10" ht="16.8" x14ac:dyDescent="0.3">
      <c r="A1020" s="11" t="s">
        <v>4668</v>
      </c>
      <c r="B1020" s="11" t="s">
        <v>1877</v>
      </c>
      <c r="C1020" s="11" t="s">
        <v>3377</v>
      </c>
      <c r="D1020" s="11">
        <v>144736.56</v>
      </c>
      <c r="E1020" s="11">
        <v>43974.47</v>
      </c>
      <c r="F1020" s="12">
        <v>44760</v>
      </c>
      <c r="G1020" s="12">
        <v>45557</v>
      </c>
      <c r="H1020" s="11" t="s">
        <v>3547</v>
      </c>
      <c r="I1020" s="11" t="s">
        <v>3373</v>
      </c>
      <c r="J1020" s="13" t="str" cm="1">
        <f t="array" ref="J1020">_xlfn.IFS(
  OR(ISBLANK(A1020),ISBLANK(B1020),ISBLANK(H1020),ISBLANK(D1020),ISBLANK(E1020)),"Missing Value",
  D1020&lt;=0,"Review – Out of Range (Coverage)",
  E1020&lt;=0,"Review – Out of Range (Premium)",
  TRUE,"OK"
)</f>
        <v>OK</v>
      </c>
    </row>
    <row r="1021" spans="1:10" ht="16.8" x14ac:dyDescent="0.3">
      <c r="A1021" s="14" t="s">
        <v>4669</v>
      </c>
      <c r="B1021" s="14" t="s">
        <v>809</v>
      </c>
      <c r="C1021" s="14" t="s">
        <v>3377</v>
      </c>
      <c r="D1021" s="14">
        <v>440912.47</v>
      </c>
      <c r="E1021" s="14">
        <v>28084.7</v>
      </c>
      <c r="F1021" s="15">
        <v>45394</v>
      </c>
      <c r="G1021" s="15">
        <v>45486</v>
      </c>
      <c r="H1021" s="14" t="s">
        <v>3517</v>
      </c>
      <c r="I1021" s="14" t="s">
        <v>3361</v>
      </c>
      <c r="J1021" s="13" t="str" cm="1">
        <f t="array" ref="J1021">_xlfn.IFS(
  OR(ISBLANK(A1021),ISBLANK(B1021),ISBLANK(H1021),ISBLANK(D1021),ISBLANK(E1021)),"Missing Value",
  D1021&lt;=0,"Review – Out of Range (Coverage)",
  E1021&lt;=0,"Review – Out of Range (Premium)",
  TRUE,"OK"
)</f>
        <v>OK</v>
      </c>
    </row>
    <row r="1022" spans="1:10" ht="16.8" x14ac:dyDescent="0.3">
      <c r="A1022" s="11" t="s">
        <v>4670</v>
      </c>
      <c r="B1022" s="11" t="s">
        <v>2485</v>
      </c>
      <c r="C1022" s="11" t="s">
        <v>3377</v>
      </c>
      <c r="D1022" s="11">
        <v>227130.92</v>
      </c>
      <c r="E1022" s="11">
        <v>26470.47</v>
      </c>
      <c r="F1022" s="12">
        <v>45127</v>
      </c>
      <c r="G1022" s="12">
        <v>45539</v>
      </c>
      <c r="H1022" s="11" t="s">
        <v>4671</v>
      </c>
      <c r="I1022" s="11" t="s">
        <v>3361</v>
      </c>
      <c r="J1022" s="13" t="str" cm="1">
        <f t="array" ref="J1022">_xlfn.IFS(
  OR(ISBLANK(A1022),ISBLANK(B1022),ISBLANK(H1022),ISBLANK(D1022),ISBLANK(E1022)),"Missing Value",
  D1022&lt;=0,"Review – Out of Range (Coverage)",
  E1022&lt;=0,"Review – Out of Range (Premium)",
  TRUE,"OK"
)</f>
        <v>OK</v>
      </c>
    </row>
    <row r="1023" spans="1:10" ht="16.8" x14ac:dyDescent="0.3">
      <c r="A1023" s="14" t="s">
        <v>4672</v>
      </c>
      <c r="B1023" s="14" t="s">
        <v>222</v>
      </c>
      <c r="C1023" s="14" t="s">
        <v>3363</v>
      </c>
      <c r="D1023" s="14">
        <v>533040.74</v>
      </c>
      <c r="E1023" s="14">
        <v>4379.92</v>
      </c>
      <c r="F1023" s="15">
        <v>45290</v>
      </c>
      <c r="G1023" s="15">
        <v>45846</v>
      </c>
      <c r="H1023" s="14" t="s">
        <v>3581</v>
      </c>
      <c r="I1023" s="14" t="s">
        <v>3365</v>
      </c>
      <c r="J1023" s="13" t="str" cm="1">
        <f t="array" ref="J1023">_xlfn.IFS(
  OR(ISBLANK(A1023),ISBLANK(B1023),ISBLANK(H1023),ISBLANK(D1023),ISBLANK(E1023)),"Missing Value",
  D1023&lt;=0,"Review – Out of Range (Coverage)",
  E1023&lt;=0,"Review – Out of Range (Premium)",
  TRUE,"OK"
)</f>
        <v>OK</v>
      </c>
    </row>
    <row r="1024" spans="1:10" ht="16.8" x14ac:dyDescent="0.3">
      <c r="A1024" s="11" t="s">
        <v>4673</v>
      </c>
      <c r="B1024" s="11" t="s">
        <v>1157</v>
      </c>
      <c r="C1024" s="11" t="s">
        <v>3359</v>
      </c>
      <c r="D1024" s="11">
        <v>113567.14</v>
      </c>
      <c r="E1024" s="11">
        <v>39512.82</v>
      </c>
      <c r="F1024" s="12">
        <v>44392</v>
      </c>
      <c r="G1024" s="12">
        <v>45307</v>
      </c>
      <c r="H1024" s="11" t="s">
        <v>3505</v>
      </c>
      <c r="I1024" s="11" t="s">
        <v>3373</v>
      </c>
      <c r="J1024" s="13" t="str" cm="1">
        <f t="array" ref="J1024">_xlfn.IFS(
  OR(ISBLANK(A1024),ISBLANK(B1024),ISBLANK(H1024),ISBLANK(D1024),ISBLANK(E1024)),"Missing Value",
  D1024&lt;=0,"Review – Out of Range (Coverage)",
  E1024&lt;=0,"Review – Out of Range (Premium)",
  TRUE,"OK"
)</f>
        <v>OK</v>
      </c>
    </row>
    <row r="1025" spans="1:10" ht="16.8" x14ac:dyDescent="0.3">
      <c r="A1025" s="14" t="s">
        <v>4674</v>
      </c>
      <c r="B1025" s="14" t="s">
        <v>1017</v>
      </c>
      <c r="C1025" s="14" t="s">
        <v>3371</v>
      </c>
      <c r="D1025" s="14">
        <v>275703.84000000003</v>
      </c>
      <c r="E1025" s="14">
        <v>45536.07</v>
      </c>
      <c r="F1025" s="15">
        <v>45301</v>
      </c>
      <c r="G1025" s="15">
        <v>45671</v>
      </c>
      <c r="H1025" s="14" t="s">
        <v>4675</v>
      </c>
      <c r="I1025" s="14" t="s">
        <v>3365</v>
      </c>
      <c r="J1025" s="13" t="str" cm="1">
        <f t="array" ref="J1025">_xlfn.IFS(
  OR(ISBLANK(A1025),ISBLANK(B1025),ISBLANK(H1025),ISBLANK(D1025),ISBLANK(E1025)),"Missing Value",
  D1025&lt;=0,"Review – Out of Range (Coverage)",
  E1025&lt;=0,"Review – Out of Range (Premium)",
  TRUE,"OK"
)</f>
        <v>OK</v>
      </c>
    </row>
    <row r="1026" spans="1:10" ht="16.8" x14ac:dyDescent="0.3">
      <c r="A1026" s="11" t="s">
        <v>4676</v>
      </c>
      <c r="B1026" s="11" t="s">
        <v>1089</v>
      </c>
      <c r="C1026" s="11" t="s">
        <v>3380</v>
      </c>
      <c r="D1026" s="11">
        <v>232444.62</v>
      </c>
      <c r="E1026" s="11">
        <v>14486.23</v>
      </c>
      <c r="F1026" s="12">
        <v>45484</v>
      </c>
      <c r="G1026" s="12">
        <v>45848</v>
      </c>
      <c r="H1026" s="11" t="s">
        <v>4161</v>
      </c>
      <c r="I1026" s="11" t="s">
        <v>3361</v>
      </c>
      <c r="J1026" s="13" t="str" cm="1">
        <f t="array" ref="J1026">_xlfn.IFS(
  OR(ISBLANK(A1026),ISBLANK(B1026),ISBLANK(H1026),ISBLANK(D1026),ISBLANK(E1026)),"Missing Value",
  D1026&lt;=0,"Review – Out of Range (Coverage)",
  E1026&lt;=0,"Review – Out of Range (Premium)",
  TRUE,"OK"
)</f>
        <v>OK</v>
      </c>
    </row>
    <row r="1027" spans="1:10" ht="16.8" x14ac:dyDescent="0.3">
      <c r="A1027" s="14" t="s">
        <v>4677</v>
      </c>
      <c r="B1027" s="14" t="s">
        <v>1245</v>
      </c>
      <c r="C1027" s="14" t="s">
        <v>3377</v>
      </c>
      <c r="D1027" s="14">
        <v>997375.09</v>
      </c>
      <c r="E1027" s="14">
        <v>5358.35</v>
      </c>
      <c r="F1027" s="15">
        <v>45377</v>
      </c>
      <c r="G1027" s="15">
        <v>45567</v>
      </c>
      <c r="H1027" s="14" t="s">
        <v>3528</v>
      </c>
      <c r="I1027" s="14" t="s">
        <v>3373</v>
      </c>
      <c r="J1027" s="13" t="str" cm="1">
        <f t="array" ref="J1027">_xlfn.IFS(
  OR(ISBLANK(A1027),ISBLANK(B1027),ISBLANK(H1027),ISBLANK(D1027),ISBLANK(E1027)),"Missing Value",
  D1027&lt;=0,"Review – Out of Range (Coverage)",
  E1027&lt;=0,"Review – Out of Range (Premium)",
  TRUE,"OK"
)</f>
        <v>OK</v>
      </c>
    </row>
    <row r="1028" spans="1:10" ht="16.8" x14ac:dyDescent="0.3">
      <c r="A1028" s="11" t="s">
        <v>4678</v>
      </c>
      <c r="B1028" s="11" t="s">
        <v>446</v>
      </c>
      <c r="C1028" s="11" t="s">
        <v>3359</v>
      </c>
      <c r="D1028" s="11">
        <v>224683.41</v>
      </c>
      <c r="E1028" s="11">
        <v>31309.46</v>
      </c>
      <c r="F1028" s="12">
        <v>45406</v>
      </c>
      <c r="G1028" s="12">
        <v>45603</v>
      </c>
      <c r="H1028" s="11" t="s">
        <v>4671</v>
      </c>
      <c r="I1028" s="11" t="s">
        <v>3361</v>
      </c>
      <c r="J1028" s="13" t="str" cm="1">
        <f t="array" ref="J1028">_xlfn.IFS(
  OR(ISBLANK(A1028),ISBLANK(B1028),ISBLANK(H1028),ISBLANK(D1028),ISBLANK(E1028)),"Missing Value",
  D1028&lt;=0,"Review – Out of Range (Coverage)",
  E1028&lt;=0,"Review – Out of Range (Premium)",
  TRUE,"OK"
)</f>
        <v>OK</v>
      </c>
    </row>
    <row r="1029" spans="1:10" ht="16.8" x14ac:dyDescent="0.3">
      <c r="A1029" s="14" t="s">
        <v>4679</v>
      </c>
      <c r="B1029" s="14" t="s">
        <v>1003</v>
      </c>
      <c r="C1029" s="14" t="s">
        <v>3359</v>
      </c>
      <c r="D1029" s="14">
        <v>423213.01</v>
      </c>
      <c r="E1029" s="14">
        <v>48094.68</v>
      </c>
      <c r="F1029" s="15">
        <v>45241</v>
      </c>
      <c r="G1029" s="15">
        <v>45529</v>
      </c>
      <c r="H1029" s="14" t="s">
        <v>4247</v>
      </c>
      <c r="I1029" s="14" t="s">
        <v>3365</v>
      </c>
      <c r="J1029" s="13" t="str" cm="1">
        <f t="array" ref="J1029">_xlfn.IFS(
  OR(ISBLANK(A1029),ISBLANK(B1029),ISBLANK(H1029),ISBLANK(D1029),ISBLANK(E1029)),"Missing Value",
  D1029&lt;=0,"Review – Out of Range (Coverage)",
  E1029&lt;=0,"Review – Out of Range (Premium)",
  TRUE,"OK"
)</f>
        <v>OK</v>
      </c>
    </row>
    <row r="1030" spans="1:10" ht="16.8" x14ac:dyDescent="0.3">
      <c r="A1030" s="11" t="s">
        <v>4680</v>
      </c>
      <c r="B1030" s="11" t="s">
        <v>212</v>
      </c>
      <c r="C1030" s="11" t="s">
        <v>3363</v>
      </c>
      <c r="D1030" s="11">
        <v>935988.74</v>
      </c>
      <c r="E1030" s="11">
        <v>37602.980000000003</v>
      </c>
      <c r="F1030" s="12">
        <v>44220</v>
      </c>
      <c r="G1030" s="12">
        <v>45668</v>
      </c>
      <c r="H1030" s="11" t="s">
        <v>3549</v>
      </c>
      <c r="I1030" s="11" t="s">
        <v>3361</v>
      </c>
      <c r="J1030" s="13" t="str" cm="1">
        <f t="array" ref="J1030">_xlfn.IFS(
  OR(ISBLANK(A1030),ISBLANK(B1030),ISBLANK(H1030),ISBLANK(D1030),ISBLANK(E1030)),"Missing Value",
  D1030&lt;=0,"Review – Out of Range (Coverage)",
  E1030&lt;=0,"Review – Out of Range (Premium)",
  TRUE,"OK"
)</f>
        <v>OK</v>
      </c>
    </row>
    <row r="1031" spans="1:10" ht="16.8" x14ac:dyDescent="0.3">
      <c r="A1031" s="14" t="s">
        <v>4681</v>
      </c>
      <c r="B1031" s="14" t="s">
        <v>1243</v>
      </c>
      <c r="C1031" s="14" t="s">
        <v>3371</v>
      </c>
      <c r="D1031" s="14">
        <v>509788.98</v>
      </c>
      <c r="E1031" s="14">
        <v>29944.57</v>
      </c>
      <c r="F1031" s="15">
        <v>44214</v>
      </c>
      <c r="G1031" s="15">
        <v>44438</v>
      </c>
      <c r="H1031" s="14" t="s">
        <v>4080</v>
      </c>
      <c r="I1031" s="14" t="s">
        <v>3365</v>
      </c>
      <c r="J1031" s="13" t="str" cm="1">
        <f t="array" ref="J1031">_xlfn.IFS(
  OR(ISBLANK(A1031),ISBLANK(B1031),ISBLANK(H1031),ISBLANK(D1031),ISBLANK(E1031)),"Missing Value",
  D1031&lt;=0,"Review – Out of Range (Coverage)",
  E1031&lt;=0,"Review – Out of Range (Premium)",
  TRUE,"OK"
)</f>
        <v>OK</v>
      </c>
    </row>
    <row r="1032" spans="1:10" ht="16.8" x14ac:dyDescent="0.3">
      <c r="A1032" s="11" t="s">
        <v>4682</v>
      </c>
      <c r="B1032" s="11" t="s">
        <v>128</v>
      </c>
      <c r="C1032" s="11" t="s">
        <v>3371</v>
      </c>
      <c r="D1032" s="11">
        <v>314619.93</v>
      </c>
      <c r="E1032" s="11">
        <v>11334.91</v>
      </c>
      <c r="F1032" s="12">
        <v>44072</v>
      </c>
      <c r="G1032" s="12">
        <v>45321</v>
      </c>
      <c r="H1032" s="11" t="s">
        <v>3696</v>
      </c>
      <c r="I1032" s="11" t="s">
        <v>3361</v>
      </c>
      <c r="J1032" s="13" t="str" cm="1">
        <f t="array" ref="J1032">_xlfn.IFS(
  OR(ISBLANK(A1032),ISBLANK(B1032),ISBLANK(H1032),ISBLANK(D1032),ISBLANK(E1032)),"Missing Value",
  D1032&lt;=0,"Review – Out of Range (Coverage)",
  E1032&lt;=0,"Review – Out of Range (Premium)",
  TRUE,"OK"
)</f>
        <v>OK</v>
      </c>
    </row>
    <row r="1033" spans="1:10" ht="16.8" x14ac:dyDescent="0.3">
      <c r="A1033" s="14" t="s">
        <v>4683</v>
      </c>
      <c r="B1033" s="14" t="s">
        <v>1383</v>
      </c>
      <c r="C1033" s="14" t="s">
        <v>3359</v>
      </c>
      <c r="D1033" s="14">
        <v>277279.82</v>
      </c>
      <c r="E1033" s="14">
        <v>47299.46</v>
      </c>
      <c r="F1033" s="15">
        <v>44895</v>
      </c>
      <c r="G1033" s="15">
        <v>45488</v>
      </c>
      <c r="H1033" s="14" t="s">
        <v>4198</v>
      </c>
      <c r="I1033" s="14" t="s">
        <v>3365</v>
      </c>
      <c r="J1033" s="13" t="str" cm="1">
        <f t="array" ref="J1033">_xlfn.IFS(
  OR(ISBLANK(A1033),ISBLANK(B1033),ISBLANK(H1033),ISBLANK(D1033),ISBLANK(E1033)),"Missing Value",
  D1033&lt;=0,"Review – Out of Range (Coverage)",
  E1033&lt;=0,"Review – Out of Range (Premium)",
  TRUE,"OK"
)</f>
        <v>OK</v>
      </c>
    </row>
    <row r="1034" spans="1:10" ht="16.8" x14ac:dyDescent="0.3">
      <c r="A1034" s="11" t="s">
        <v>4684</v>
      </c>
      <c r="B1034" s="11" t="s">
        <v>1087</v>
      </c>
      <c r="C1034" s="11" t="s">
        <v>3380</v>
      </c>
      <c r="D1034" s="11">
        <v>561956.85</v>
      </c>
      <c r="E1034" s="11">
        <v>44218.59</v>
      </c>
      <c r="F1034" s="12">
        <v>45402</v>
      </c>
      <c r="G1034" s="12">
        <v>45573</v>
      </c>
      <c r="H1034" s="11" t="s">
        <v>3691</v>
      </c>
      <c r="I1034" s="11" t="s">
        <v>3365</v>
      </c>
      <c r="J1034" s="13" t="str" cm="1">
        <f t="array" ref="J1034">_xlfn.IFS(
  OR(ISBLANK(A1034),ISBLANK(B1034),ISBLANK(H1034),ISBLANK(D1034),ISBLANK(E1034)),"Missing Value",
  D1034&lt;=0,"Review – Out of Range (Coverage)",
  E1034&lt;=0,"Review – Out of Range (Premium)",
  TRUE,"OK"
)</f>
        <v>OK</v>
      </c>
    </row>
    <row r="1035" spans="1:10" ht="16.8" x14ac:dyDescent="0.3">
      <c r="A1035" s="14" t="s">
        <v>4685</v>
      </c>
      <c r="B1035" s="14" t="s">
        <v>3104</v>
      </c>
      <c r="C1035" s="14" t="s">
        <v>3380</v>
      </c>
      <c r="D1035" s="14">
        <v>734665.73</v>
      </c>
      <c r="E1035" s="14">
        <v>18545.78</v>
      </c>
      <c r="F1035" s="15">
        <v>44421</v>
      </c>
      <c r="G1035" s="15">
        <v>44857</v>
      </c>
      <c r="H1035" s="14" t="s">
        <v>4032</v>
      </c>
      <c r="I1035" s="14" t="s">
        <v>3361</v>
      </c>
      <c r="J1035" s="13" t="str" cm="1">
        <f t="array" ref="J1035">_xlfn.IFS(
  OR(ISBLANK(A1035),ISBLANK(B1035),ISBLANK(H1035),ISBLANK(D1035),ISBLANK(E1035)),"Missing Value",
  D1035&lt;=0,"Review – Out of Range (Coverage)",
  E1035&lt;=0,"Review – Out of Range (Premium)",
  TRUE,"OK"
)</f>
        <v>OK</v>
      </c>
    </row>
    <row r="1036" spans="1:10" ht="16.8" x14ac:dyDescent="0.3">
      <c r="A1036" s="11" t="s">
        <v>4686</v>
      </c>
      <c r="B1036" s="11" t="s">
        <v>1959</v>
      </c>
      <c r="C1036" s="11" t="s">
        <v>3380</v>
      </c>
      <c r="D1036" s="11">
        <v>885124.4</v>
      </c>
      <c r="E1036" s="11">
        <v>12290.54</v>
      </c>
      <c r="F1036" s="12">
        <v>45050</v>
      </c>
      <c r="G1036" s="12">
        <v>45414</v>
      </c>
      <c r="H1036" s="11" t="s">
        <v>3417</v>
      </c>
      <c r="I1036" s="11" t="s">
        <v>3365</v>
      </c>
      <c r="J1036" s="13" t="str" cm="1">
        <f t="array" ref="J1036">_xlfn.IFS(
  OR(ISBLANK(A1036),ISBLANK(B1036),ISBLANK(H1036),ISBLANK(D1036),ISBLANK(E1036)),"Missing Value",
  D1036&lt;=0,"Review – Out of Range (Coverage)",
  E1036&lt;=0,"Review – Out of Range (Premium)",
  TRUE,"OK"
)</f>
        <v>OK</v>
      </c>
    </row>
    <row r="1037" spans="1:10" ht="16.8" x14ac:dyDescent="0.3">
      <c r="A1037" s="14" t="s">
        <v>4687</v>
      </c>
      <c r="B1037" s="14" t="s">
        <v>2521</v>
      </c>
      <c r="C1037" s="14" t="s">
        <v>3377</v>
      </c>
      <c r="D1037" s="14">
        <v>785320.95999999996</v>
      </c>
      <c r="E1037" s="14">
        <v>48285.22</v>
      </c>
      <c r="F1037" s="15">
        <v>44185</v>
      </c>
      <c r="G1037" s="15">
        <v>44681</v>
      </c>
      <c r="H1037" s="14" t="s">
        <v>3735</v>
      </c>
      <c r="I1037" s="14" t="s">
        <v>3373</v>
      </c>
      <c r="J1037" s="13" t="str" cm="1">
        <f t="array" ref="J1037">_xlfn.IFS(
  OR(ISBLANK(A1037),ISBLANK(B1037),ISBLANK(H1037),ISBLANK(D1037),ISBLANK(E1037)),"Missing Value",
  D1037&lt;=0,"Review – Out of Range (Coverage)",
  E1037&lt;=0,"Review – Out of Range (Premium)",
  TRUE,"OK"
)</f>
        <v>OK</v>
      </c>
    </row>
    <row r="1038" spans="1:10" ht="16.8" x14ac:dyDescent="0.3">
      <c r="A1038" s="11" t="s">
        <v>4688</v>
      </c>
      <c r="B1038" s="11" t="s">
        <v>1627</v>
      </c>
      <c r="C1038" s="11" t="s">
        <v>3359</v>
      </c>
      <c r="D1038" s="11">
        <v>692379.22</v>
      </c>
      <c r="E1038" s="11">
        <v>9182.18</v>
      </c>
      <c r="F1038" s="12">
        <v>45464</v>
      </c>
      <c r="G1038" s="12">
        <v>45722</v>
      </c>
      <c r="H1038" s="11" t="s">
        <v>3992</v>
      </c>
      <c r="I1038" s="11" t="s">
        <v>3373</v>
      </c>
      <c r="J1038" s="13" t="str" cm="1">
        <f t="array" ref="J1038">_xlfn.IFS(
  OR(ISBLANK(A1038),ISBLANK(B1038),ISBLANK(H1038),ISBLANK(D1038),ISBLANK(E1038)),"Missing Value",
  D1038&lt;=0,"Review – Out of Range (Coverage)",
  E1038&lt;=0,"Review – Out of Range (Premium)",
  TRUE,"OK"
)</f>
        <v>OK</v>
      </c>
    </row>
    <row r="1039" spans="1:10" ht="16.8" x14ac:dyDescent="0.3">
      <c r="A1039" s="14" t="s">
        <v>4689</v>
      </c>
      <c r="B1039" s="14" t="s">
        <v>1901</v>
      </c>
      <c r="C1039" s="14" t="s">
        <v>3380</v>
      </c>
      <c r="D1039" s="14">
        <v>859924.68</v>
      </c>
      <c r="E1039" s="14">
        <v>8094.05</v>
      </c>
      <c r="F1039" s="15">
        <v>44563</v>
      </c>
      <c r="G1039" s="15">
        <v>44569</v>
      </c>
      <c r="H1039" s="14" t="s">
        <v>3603</v>
      </c>
      <c r="I1039" s="14" t="s">
        <v>3373</v>
      </c>
      <c r="J1039" s="13" t="str" cm="1">
        <f t="array" ref="J1039">_xlfn.IFS(
  OR(ISBLANK(A1039),ISBLANK(B1039),ISBLANK(H1039),ISBLANK(D1039),ISBLANK(E1039)),"Missing Value",
  D1039&lt;=0,"Review – Out of Range (Coverage)",
  E1039&lt;=0,"Review – Out of Range (Premium)",
  TRUE,"OK"
)</f>
        <v>OK</v>
      </c>
    </row>
    <row r="1040" spans="1:10" ht="16.8" x14ac:dyDescent="0.3">
      <c r="A1040" s="11" t="s">
        <v>4690</v>
      </c>
      <c r="B1040" s="11" t="s">
        <v>1539</v>
      </c>
      <c r="C1040" s="11" t="s">
        <v>3359</v>
      </c>
      <c r="D1040" s="11">
        <v>233103.44</v>
      </c>
      <c r="E1040" s="11">
        <v>24828.81</v>
      </c>
      <c r="F1040" s="12">
        <v>45313</v>
      </c>
      <c r="G1040" s="12">
        <v>45643</v>
      </c>
      <c r="H1040" s="11" t="s">
        <v>3581</v>
      </c>
      <c r="I1040" s="11" t="s">
        <v>3361</v>
      </c>
      <c r="J1040" s="13" t="str" cm="1">
        <f t="array" ref="J1040">_xlfn.IFS(
  OR(ISBLANK(A1040),ISBLANK(B1040),ISBLANK(H1040),ISBLANK(D1040),ISBLANK(E1040)),"Missing Value",
  D1040&lt;=0,"Review – Out of Range (Coverage)",
  E1040&lt;=0,"Review – Out of Range (Premium)",
  TRUE,"OK"
)</f>
        <v>OK</v>
      </c>
    </row>
    <row r="1041" spans="1:10" ht="16.8" x14ac:dyDescent="0.3">
      <c r="A1041" s="14" t="s">
        <v>4691</v>
      </c>
      <c r="B1041" s="14" t="s">
        <v>1367</v>
      </c>
      <c r="C1041" s="14" t="s">
        <v>3377</v>
      </c>
      <c r="D1041" s="14">
        <v>608981.89</v>
      </c>
      <c r="E1041" s="14">
        <v>13758.12</v>
      </c>
      <c r="F1041" s="15">
        <v>44383</v>
      </c>
      <c r="G1041" s="15">
        <v>45362</v>
      </c>
      <c r="H1041" s="14" t="s">
        <v>3789</v>
      </c>
      <c r="I1041" s="14" t="s">
        <v>3373</v>
      </c>
      <c r="J1041" s="13" t="str" cm="1">
        <f t="array" ref="J1041">_xlfn.IFS(
  OR(ISBLANK(A1041),ISBLANK(B1041),ISBLANK(H1041),ISBLANK(D1041),ISBLANK(E1041)),"Missing Value",
  D1041&lt;=0,"Review – Out of Range (Coverage)",
  E1041&lt;=0,"Review – Out of Range (Premium)",
  TRUE,"OK"
)</f>
        <v>OK</v>
      </c>
    </row>
    <row r="1042" spans="1:10" ht="16.8" x14ac:dyDescent="0.3">
      <c r="A1042" s="11" t="s">
        <v>4692</v>
      </c>
      <c r="B1042" s="11" t="s">
        <v>1393</v>
      </c>
      <c r="C1042" s="11" t="s">
        <v>3371</v>
      </c>
      <c r="D1042" s="11">
        <v>795456.71</v>
      </c>
      <c r="E1042" s="11">
        <v>16540.93</v>
      </c>
      <c r="F1042" s="12">
        <v>44731</v>
      </c>
      <c r="G1042" s="12">
        <v>45682</v>
      </c>
      <c r="H1042" s="11" t="s">
        <v>4630</v>
      </c>
      <c r="I1042" s="11" t="s">
        <v>3365</v>
      </c>
      <c r="J1042" s="13" t="str" cm="1">
        <f t="array" ref="J1042">_xlfn.IFS(
  OR(ISBLANK(A1042),ISBLANK(B1042),ISBLANK(H1042),ISBLANK(D1042),ISBLANK(E1042)),"Missing Value",
  D1042&lt;=0,"Review – Out of Range (Coverage)",
  E1042&lt;=0,"Review – Out of Range (Premium)",
  TRUE,"OK"
)</f>
        <v>OK</v>
      </c>
    </row>
    <row r="1043" spans="1:10" ht="16.8" x14ac:dyDescent="0.3">
      <c r="A1043" s="14" t="s">
        <v>4693</v>
      </c>
      <c r="B1043" s="14" t="s">
        <v>755</v>
      </c>
      <c r="C1043" s="14" t="s">
        <v>3377</v>
      </c>
      <c r="D1043" s="14">
        <v>466841.34</v>
      </c>
      <c r="E1043" s="14">
        <v>18248.36</v>
      </c>
      <c r="F1043" s="15">
        <v>44889</v>
      </c>
      <c r="G1043" s="15">
        <v>45036</v>
      </c>
      <c r="H1043" s="14" t="s">
        <v>3490</v>
      </c>
      <c r="I1043" s="14" t="s">
        <v>3365</v>
      </c>
      <c r="J1043" s="13" t="str" cm="1">
        <f t="array" ref="J1043">_xlfn.IFS(
  OR(ISBLANK(A1043),ISBLANK(B1043),ISBLANK(H1043),ISBLANK(D1043),ISBLANK(E1043)),"Missing Value",
  D1043&lt;=0,"Review – Out of Range (Coverage)",
  E1043&lt;=0,"Review – Out of Range (Premium)",
  TRUE,"OK"
)</f>
        <v>OK</v>
      </c>
    </row>
    <row r="1044" spans="1:10" ht="16.8" x14ac:dyDescent="0.3">
      <c r="A1044" s="11" t="s">
        <v>4694</v>
      </c>
      <c r="B1044" s="11" t="s">
        <v>1871</v>
      </c>
      <c r="C1044" s="11" t="s">
        <v>3380</v>
      </c>
      <c r="D1044" s="11">
        <v>447943.01</v>
      </c>
      <c r="E1044" s="11">
        <v>23984.37</v>
      </c>
      <c r="F1044" s="12">
        <v>44507</v>
      </c>
      <c r="G1044" s="12">
        <v>45327</v>
      </c>
      <c r="H1044" s="11" t="s">
        <v>4045</v>
      </c>
      <c r="I1044" s="11" t="s">
        <v>3373</v>
      </c>
      <c r="J1044" s="13" t="str" cm="1">
        <f t="array" ref="J1044">_xlfn.IFS(
  OR(ISBLANK(A1044),ISBLANK(B1044),ISBLANK(H1044),ISBLANK(D1044),ISBLANK(E1044)),"Missing Value",
  D1044&lt;=0,"Review – Out of Range (Coverage)",
  E1044&lt;=0,"Review – Out of Range (Premium)",
  TRUE,"OK"
)</f>
        <v>OK</v>
      </c>
    </row>
    <row r="1045" spans="1:10" ht="16.8" x14ac:dyDescent="0.3">
      <c r="A1045" s="14" t="s">
        <v>4695</v>
      </c>
      <c r="B1045" s="14" t="s">
        <v>1165</v>
      </c>
      <c r="C1045" s="14" t="s">
        <v>3363</v>
      </c>
      <c r="D1045" s="14">
        <v>930189.41</v>
      </c>
      <c r="E1045" s="14">
        <v>46170.69</v>
      </c>
      <c r="F1045" s="15">
        <v>45282</v>
      </c>
      <c r="G1045" s="15">
        <v>45313</v>
      </c>
      <c r="H1045" s="14" t="s">
        <v>3928</v>
      </c>
      <c r="I1045" s="14" t="s">
        <v>3361</v>
      </c>
      <c r="J1045" s="13" t="str" cm="1">
        <f t="array" ref="J1045">_xlfn.IFS(
  OR(ISBLANK(A1045),ISBLANK(B1045),ISBLANK(H1045),ISBLANK(D1045),ISBLANK(E1045)),"Missing Value",
  D1045&lt;=0,"Review – Out of Range (Coverage)",
  E1045&lt;=0,"Review – Out of Range (Premium)",
  TRUE,"OK"
)</f>
        <v>OK</v>
      </c>
    </row>
    <row r="1046" spans="1:10" ht="16.8" x14ac:dyDescent="0.3">
      <c r="A1046" s="11" t="s">
        <v>4696</v>
      </c>
      <c r="B1046" s="11" t="s">
        <v>2127</v>
      </c>
      <c r="C1046" s="11" t="s">
        <v>3363</v>
      </c>
      <c r="D1046" s="11">
        <v>735617.68</v>
      </c>
      <c r="E1046" s="11">
        <v>19249.650000000001</v>
      </c>
      <c r="F1046" s="12">
        <v>44071</v>
      </c>
      <c r="G1046" s="12">
        <v>45727</v>
      </c>
      <c r="H1046" s="11" t="s">
        <v>3752</v>
      </c>
      <c r="I1046" s="11" t="s">
        <v>3373</v>
      </c>
      <c r="J1046" s="13" t="str" cm="1">
        <f t="array" ref="J1046">_xlfn.IFS(
  OR(ISBLANK(A1046),ISBLANK(B1046),ISBLANK(H1046),ISBLANK(D1046),ISBLANK(E1046)),"Missing Value",
  D1046&lt;=0,"Review – Out of Range (Coverage)",
  E1046&lt;=0,"Review – Out of Range (Premium)",
  TRUE,"OK"
)</f>
        <v>OK</v>
      </c>
    </row>
    <row r="1047" spans="1:10" ht="16.8" x14ac:dyDescent="0.3">
      <c r="A1047" s="14" t="s">
        <v>4697</v>
      </c>
      <c r="B1047" s="14" t="s">
        <v>1521</v>
      </c>
      <c r="C1047" s="14" t="s">
        <v>3380</v>
      </c>
      <c r="D1047" s="14">
        <v>371811.66</v>
      </c>
      <c r="E1047" s="14">
        <v>39561.94</v>
      </c>
      <c r="F1047" s="15">
        <v>45437</v>
      </c>
      <c r="G1047" s="15">
        <v>45786</v>
      </c>
      <c r="H1047" s="14" t="s">
        <v>3409</v>
      </c>
      <c r="I1047" s="14" t="s">
        <v>3373</v>
      </c>
      <c r="J1047" s="13" t="str" cm="1">
        <f t="array" ref="J1047">_xlfn.IFS(
  OR(ISBLANK(A1047),ISBLANK(B1047),ISBLANK(H1047),ISBLANK(D1047),ISBLANK(E1047)),"Missing Value",
  D1047&lt;=0,"Review – Out of Range (Coverage)",
  E1047&lt;=0,"Review – Out of Range (Premium)",
  TRUE,"OK"
)</f>
        <v>OK</v>
      </c>
    </row>
    <row r="1048" spans="1:10" ht="16.8" x14ac:dyDescent="0.3">
      <c r="A1048" s="11" t="s">
        <v>4698</v>
      </c>
      <c r="B1048" s="11" t="s">
        <v>943</v>
      </c>
      <c r="C1048" s="11" t="s">
        <v>3377</v>
      </c>
      <c r="D1048" s="11">
        <v>331361.08</v>
      </c>
      <c r="E1048" s="11">
        <v>24812.240000000002</v>
      </c>
      <c r="F1048" s="12">
        <v>45011</v>
      </c>
      <c r="G1048" s="12">
        <v>45650</v>
      </c>
      <c r="H1048" s="11" t="s">
        <v>4244</v>
      </c>
      <c r="I1048" s="11" t="s">
        <v>3361</v>
      </c>
      <c r="J1048" s="13" t="str" cm="1">
        <f t="array" ref="J1048">_xlfn.IFS(
  OR(ISBLANK(A1048),ISBLANK(B1048),ISBLANK(H1048),ISBLANK(D1048),ISBLANK(E1048)),"Missing Value",
  D1048&lt;=0,"Review – Out of Range (Coverage)",
  E1048&lt;=0,"Review – Out of Range (Premium)",
  TRUE,"OK"
)</f>
        <v>OK</v>
      </c>
    </row>
    <row r="1049" spans="1:10" ht="16.8" x14ac:dyDescent="0.3">
      <c r="A1049" s="14" t="s">
        <v>4699</v>
      </c>
      <c r="B1049" s="14" t="s">
        <v>1781</v>
      </c>
      <c r="C1049" s="14" t="s">
        <v>3380</v>
      </c>
      <c r="D1049" s="14">
        <v>843912.24</v>
      </c>
      <c r="E1049" s="14">
        <v>15183.23</v>
      </c>
      <c r="F1049" s="15">
        <v>44158</v>
      </c>
      <c r="G1049" s="15">
        <v>44715</v>
      </c>
      <c r="H1049" s="14" t="s">
        <v>3499</v>
      </c>
      <c r="I1049" s="14" t="s">
        <v>3361</v>
      </c>
      <c r="J1049" s="13" t="str" cm="1">
        <f t="array" ref="J1049">_xlfn.IFS(
  OR(ISBLANK(A1049),ISBLANK(B1049),ISBLANK(H1049),ISBLANK(D1049),ISBLANK(E1049)),"Missing Value",
  D1049&lt;=0,"Review – Out of Range (Coverage)",
  E1049&lt;=0,"Review – Out of Range (Premium)",
  TRUE,"OK"
)</f>
        <v>OK</v>
      </c>
    </row>
    <row r="1050" spans="1:10" ht="16.8" x14ac:dyDescent="0.3">
      <c r="A1050" s="11" t="s">
        <v>4700</v>
      </c>
      <c r="B1050" s="11" t="s">
        <v>981</v>
      </c>
      <c r="C1050" s="11" t="s">
        <v>3371</v>
      </c>
      <c r="D1050" s="11">
        <v>834973.92</v>
      </c>
      <c r="E1050" s="11">
        <v>44188.99</v>
      </c>
      <c r="F1050" s="12">
        <v>44144</v>
      </c>
      <c r="G1050" s="12">
        <v>44265</v>
      </c>
      <c r="H1050" s="11" t="s">
        <v>3955</v>
      </c>
      <c r="I1050" s="11" t="s">
        <v>3373</v>
      </c>
      <c r="J1050" s="13" t="str" cm="1">
        <f t="array" ref="J1050">_xlfn.IFS(
  OR(ISBLANK(A1050),ISBLANK(B1050),ISBLANK(H1050),ISBLANK(D1050),ISBLANK(E1050)),"Missing Value",
  D1050&lt;=0,"Review – Out of Range (Coverage)",
  E1050&lt;=0,"Review – Out of Range (Premium)",
  TRUE,"OK"
)</f>
        <v>OK</v>
      </c>
    </row>
    <row r="1051" spans="1:10" ht="16.8" x14ac:dyDescent="0.3">
      <c r="A1051" s="14" t="s">
        <v>4701</v>
      </c>
      <c r="B1051" s="14" t="s">
        <v>1013</v>
      </c>
      <c r="C1051" s="14" t="s">
        <v>3359</v>
      </c>
      <c r="D1051" s="14">
        <v>826714.29</v>
      </c>
      <c r="E1051" s="14">
        <v>32613.85</v>
      </c>
      <c r="F1051" s="15">
        <v>44892</v>
      </c>
      <c r="G1051" s="15">
        <v>45079</v>
      </c>
      <c r="H1051" s="14" t="s">
        <v>3577</v>
      </c>
      <c r="I1051" s="14" t="s">
        <v>3361</v>
      </c>
      <c r="J1051" s="13" t="str" cm="1">
        <f t="array" ref="J1051">_xlfn.IFS(
  OR(ISBLANK(A1051),ISBLANK(B1051),ISBLANK(H1051),ISBLANK(D1051),ISBLANK(E1051)),"Missing Value",
  D1051&lt;=0,"Review – Out of Range (Coverage)",
  E1051&lt;=0,"Review – Out of Range (Premium)",
  TRUE,"OK"
)</f>
        <v>OK</v>
      </c>
    </row>
    <row r="1052" spans="1:10" ht="16.8" x14ac:dyDescent="0.3">
      <c r="A1052" s="11" t="s">
        <v>4702</v>
      </c>
      <c r="B1052" s="11" t="s">
        <v>855</v>
      </c>
      <c r="C1052" s="11" t="s">
        <v>3359</v>
      </c>
      <c r="D1052" s="11">
        <v>428899.09</v>
      </c>
      <c r="E1052" s="11">
        <v>7192.03</v>
      </c>
      <c r="F1052" s="12">
        <v>45163</v>
      </c>
      <c r="G1052" s="12">
        <v>45600</v>
      </c>
      <c r="H1052" s="11" t="s">
        <v>3764</v>
      </c>
      <c r="I1052" s="11" t="s">
        <v>3365</v>
      </c>
      <c r="J1052" s="13" t="str" cm="1">
        <f t="array" ref="J1052">_xlfn.IFS(
  OR(ISBLANK(A1052),ISBLANK(B1052),ISBLANK(H1052),ISBLANK(D1052),ISBLANK(E1052)),"Missing Value",
  D1052&lt;=0,"Review – Out of Range (Coverage)",
  E1052&lt;=0,"Review – Out of Range (Premium)",
  TRUE,"OK"
)</f>
        <v>OK</v>
      </c>
    </row>
    <row r="1053" spans="1:10" ht="16.8" x14ac:dyDescent="0.3">
      <c r="A1053" s="14" t="s">
        <v>4703</v>
      </c>
      <c r="B1053" s="14" t="s">
        <v>1989</v>
      </c>
      <c r="C1053" s="14" t="s">
        <v>3359</v>
      </c>
      <c r="D1053" s="14">
        <v>116325.04</v>
      </c>
      <c r="E1053" s="14">
        <v>10767.27</v>
      </c>
      <c r="F1053" s="15">
        <v>44165</v>
      </c>
      <c r="G1053" s="15">
        <v>44557</v>
      </c>
      <c r="H1053" s="14" t="s">
        <v>3405</v>
      </c>
      <c r="I1053" s="14" t="s">
        <v>3365</v>
      </c>
      <c r="J1053" s="13" t="str" cm="1">
        <f t="array" ref="J1053">_xlfn.IFS(
  OR(ISBLANK(A1053),ISBLANK(B1053),ISBLANK(H1053),ISBLANK(D1053),ISBLANK(E1053)),"Missing Value",
  D1053&lt;=0,"Review – Out of Range (Coverage)",
  E1053&lt;=0,"Review – Out of Range (Premium)",
  TRUE,"OK"
)</f>
        <v>OK</v>
      </c>
    </row>
    <row r="1054" spans="1:10" ht="16.8" x14ac:dyDescent="0.3">
      <c r="A1054" s="11" t="s">
        <v>4704</v>
      </c>
      <c r="B1054" s="11" t="s">
        <v>47</v>
      </c>
      <c r="C1054" s="11" t="s">
        <v>3371</v>
      </c>
      <c r="D1054" s="11">
        <v>956149.14</v>
      </c>
      <c r="E1054" s="11">
        <v>31061.17</v>
      </c>
      <c r="F1054" s="12">
        <v>44105</v>
      </c>
      <c r="G1054" s="12">
        <v>45406</v>
      </c>
      <c r="H1054" s="11" t="s">
        <v>4231</v>
      </c>
      <c r="I1054" s="11" t="s">
        <v>3365</v>
      </c>
      <c r="J1054" s="13" t="str" cm="1">
        <f t="array" ref="J1054">_xlfn.IFS(
  OR(ISBLANK(A1054),ISBLANK(B1054),ISBLANK(H1054),ISBLANK(D1054),ISBLANK(E1054)),"Missing Value",
  D1054&lt;=0,"Review – Out of Range (Coverage)",
  E1054&lt;=0,"Review – Out of Range (Premium)",
  TRUE,"OK"
)</f>
        <v>OK</v>
      </c>
    </row>
    <row r="1055" spans="1:10" ht="16.8" x14ac:dyDescent="0.3">
      <c r="A1055" s="14" t="s">
        <v>4705</v>
      </c>
      <c r="B1055" s="14" t="s">
        <v>607</v>
      </c>
      <c r="C1055" s="14" t="s">
        <v>3380</v>
      </c>
      <c r="D1055" s="14">
        <v>566110.61</v>
      </c>
      <c r="E1055" s="14">
        <v>5059.46</v>
      </c>
      <c r="F1055" s="15">
        <v>44319</v>
      </c>
      <c r="G1055" s="15">
        <v>45637</v>
      </c>
      <c r="H1055" s="14" t="s">
        <v>3712</v>
      </c>
      <c r="I1055" s="14" t="s">
        <v>3361</v>
      </c>
      <c r="J1055" s="13" t="str" cm="1">
        <f t="array" ref="J1055">_xlfn.IFS(
  OR(ISBLANK(A1055),ISBLANK(B1055),ISBLANK(H1055),ISBLANK(D1055),ISBLANK(E1055)),"Missing Value",
  D1055&lt;=0,"Review – Out of Range (Coverage)",
  E1055&lt;=0,"Review – Out of Range (Premium)",
  TRUE,"OK"
)</f>
        <v>OK</v>
      </c>
    </row>
    <row r="1056" spans="1:10" ht="16.8" x14ac:dyDescent="0.3">
      <c r="A1056" s="11" t="s">
        <v>4706</v>
      </c>
      <c r="B1056" s="11" t="s">
        <v>949</v>
      </c>
      <c r="C1056" s="11" t="s">
        <v>3371</v>
      </c>
      <c r="D1056" s="11">
        <v>999774.48</v>
      </c>
      <c r="E1056" s="11">
        <v>16535.61</v>
      </c>
      <c r="F1056" s="12">
        <v>45010</v>
      </c>
      <c r="G1056" s="12">
        <v>45330</v>
      </c>
      <c r="H1056" s="11" t="s">
        <v>3646</v>
      </c>
      <c r="I1056" s="11" t="s">
        <v>3361</v>
      </c>
      <c r="J1056" s="13" t="str" cm="1">
        <f t="array" ref="J1056">_xlfn.IFS(
  OR(ISBLANK(A1056),ISBLANK(B1056),ISBLANK(H1056),ISBLANK(D1056),ISBLANK(E1056)),"Missing Value",
  D1056&lt;=0,"Review – Out of Range (Coverage)",
  E1056&lt;=0,"Review – Out of Range (Premium)",
  TRUE,"OK"
)</f>
        <v>OK</v>
      </c>
    </row>
    <row r="1057" spans="1:10" ht="16.8" x14ac:dyDescent="0.3">
      <c r="A1057" s="14" t="s">
        <v>4707</v>
      </c>
      <c r="B1057" s="14" t="s">
        <v>2049</v>
      </c>
      <c r="C1057" s="14" t="s">
        <v>3359</v>
      </c>
      <c r="D1057" s="14">
        <v>758322.78</v>
      </c>
      <c r="E1057" s="14">
        <v>39397.19</v>
      </c>
      <c r="F1057" s="15">
        <v>44874</v>
      </c>
      <c r="G1057" s="15">
        <v>44924</v>
      </c>
      <c r="H1057" s="14" t="s">
        <v>3830</v>
      </c>
      <c r="I1057" s="14" t="s">
        <v>3365</v>
      </c>
      <c r="J1057" s="13" t="str" cm="1">
        <f t="array" ref="J1057">_xlfn.IFS(
  OR(ISBLANK(A1057),ISBLANK(B1057),ISBLANK(H1057),ISBLANK(D1057),ISBLANK(E1057)),"Missing Value",
  D1057&lt;=0,"Review – Out of Range (Coverage)",
  E1057&lt;=0,"Review – Out of Range (Premium)",
  TRUE,"OK"
)</f>
        <v>OK</v>
      </c>
    </row>
    <row r="1058" spans="1:10" ht="16.8" x14ac:dyDescent="0.3">
      <c r="A1058" s="11" t="s">
        <v>4708</v>
      </c>
      <c r="B1058" s="11" t="s">
        <v>322</v>
      </c>
      <c r="C1058" s="11" t="s">
        <v>3371</v>
      </c>
      <c r="D1058" s="11">
        <v>357186.27</v>
      </c>
      <c r="E1058" s="11">
        <v>38277.51</v>
      </c>
      <c r="F1058" s="12">
        <v>45031</v>
      </c>
      <c r="G1058" s="12">
        <v>45822</v>
      </c>
      <c r="H1058" s="11" t="s">
        <v>3798</v>
      </c>
      <c r="I1058" s="11" t="s">
        <v>3361</v>
      </c>
      <c r="J1058" s="13" t="str" cm="1">
        <f t="array" ref="J1058">_xlfn.IFS(
  OR(ISBLANK(A1058),ISBLANK(B1058),ISBLANK(H1058),ISBLANK(D1058),ISBLANK(E1058)),"Missing Value",
  D1058&lt;=0,"Review – Out of Range (Coverage)",
  E1058&lt;=0,"Review – Out of Range (Premium)",
  TRUE,"OK"
)</f>
        <v>OK</v>
      </c>
    </row>
    <row r="1059" spans="1:10" ht="16.8" x14ac:dyDescent="0.3">
      <c r="A1059" s="14" t="s">
        <v>4709</v>
      </c>
      <c r="B1059" s="14" t="s">
        <v>1507</v>
      </c>
      <c r="C1059" s="14" t="s">
        <v>3377</v>
      </c>
      <c r="D1059" s="14">
        <v>142458.23000000001</v>
      </c>
      <c r="E1059" s="14">
        <v>49847.09</v>
      </c>
      <c r="F1059" s="15">
        <v>45371</v>
      </c>
      <c r="G1059" s="15">
        <v>45775</v>
      </c>
      <c r="H1059" s="14" t="s">
        <v>4208</v>
      </c>
      <c r="I1059" s="14" t="s">
        <v>3361</v>
      </c>
      <c r="J1059" s="13" t="str" cm="1">
        <f t="array" ref="J1059">_xlfn.IFS(
  OR(ISBLANK(A1059),ISBLANK(B1059),ISBLANK(H1059),ISBLANK(D1059),ISBLANK(E1059)),"Missing Value",
  D1059&lt;=0,"Review – Out of Range (Coverage)",
  E1059&lt;=0,"Review – Out of Range (Premium)",
  TRUE,"OK"
)</f>
        <v>OK</v>
      </c>
    </row>
    <row r="1060" spans="1:10" ht="16.8" x14ac:dyDescent="0.3">
      <c r="A1060" s="11" t="s">
        <v>4710</v>
      </c>
      <c r="B1060" s="11" t="s">
        <v>3214</v>
      </c>
      <c r="C1060" s="11" t="s">
        <v>3371</v>
      </c>
      <c r="D1060" s="11">
        <v>297988.67</v>
      </c>
      <c r="E1060" s="11">
        <v>4078.16</v>
      </c>
      <c r="F1060" s="12">
        <v>45282</v>
      </c>
      <c r="G1060" s="12">
        <v>45560</v>
      </c>
      <c r="H1060" s="11" t="s">
        <v>3610</v>
      </c>
      <c r="I1060" s="11" t="s">
        <v>3365</v>
      </c>
      <c r="J1060" s="13" t="str" cm="1">
        <f t="array" ref="J1060">_xlfn.IFS(
  OR(ISBLANK(A1060),ISBLANK(B1060),ISBLANK(H1060),ISBLANK(D1060),ISBLANK(E1060)),"Missing Value",
  D1060&lt;=0,"Review – Out of Range (Coverage)",
  E1060&lt;=0,"Review – Out of Range (Premium)",
  TRUE,"OK"
)</f>
        <v>OK</v>
      </c>
    </row>
    <row r="1061" spans="1:10" ht="16.8" x14ac:dyDescent="0.3">
      <c r="A1061" s="14" t="s">
        <v>4711</v>
      </c>
      <c r="B1061" s="14" t="s">
        <v>3090</v>
      </c>
      <c r="C1061" s="14" t="s">
        <v>3363</v>
      </c>
      <c r="D1061" s="14">
        <v>624422.81999999995</v>
      </c>
      <c r="E1061" s="14">
        <v>16051.08</v>
      </c>
      <c r="F1061" s="15">
        <v>44324</v>
      </c>
      <c r="G1061" s="15">
        <v>45759</v>
      </c>
      <c r="H1061" s="14" t="s">
        <v>4032</v>
      </c>
      <c r="I1061" s="14" t="s">
        <v>3361</v>
      </c>
      <c r="J1061" s="13" t="str" cm="1">
        <f t="array" ref="J1061">_xlfn.IFS(
  OR(ISBLANK(A1061),ISBLANK(B1061),ISBLANK(H1061),ISBLANK(D1061),ISBLANK(E1061)),"Missing Value",
  D1061&lt;=0,"Review – Out of Range (Coverage)",
  E1061&lt;=0,"Review – Out of Range (Premium)",
  TRUE,"OK"
)</f>
        <v>OK</v>
      </c>
    </row>
    <row r="1062" spans="1:10" ht="16.8" x14ac:dyDescent="0.3">
      <c r="A1062" s="11" t="s">
        <v>4712</v>
      </c>
      <c r="B1062" s="11" t="s">
        <v>3316</v>
      </c>
      <c r="C1062" s="11" t="s">
        <v>3377</v>
      </c>
      <c r="D1062" s="11">
        <v>158654.81</v>
      </c>
      <c r="E1062" s="11">
        <v>13687.61</v>
      </c>
      <c r="F1062" s="12">
        <v>44144</v>
      </c>
      <c r="G1062" s="12">
        <v>44597</v>
      </c>
      <c r="H1062" s="11" t="s">
        <v>3813</v>
      </c>
      <c r="I1062" s="11" t="s">
        <v>3365</v>
      </c>
      <c r="J1062" s="13" t="str" cm="1">
        <f t="array" ref="J1062">_xlfn.IFS(
  OR(ISBLANK(A1062),ISBLANK(B1062),ISBLANK(H1062),ISBLANK(D1062),ISBLANK(E1062)),"Missing Value",
  D1062&lt;=0,"Review – Out of Range (Coverage)",
  E1062&lt;=0,"Review – Out of Range (Premium)",
  TRUE,"OK"
)</f>
        <v>OK</v>
      </c>
    </row>
    <row r="1063" spans="1:10" ht="16.8" x14ac:dyDescent="0.3">
      <c r="A1063" s="14" t="s">
        <v>4713</v>
      </c>
      <c r="B1063" s="14" t="s">
        <v>2907</v>
      </c>
      <c r="C1063" s="14" t="s">
        <v>3371</v>
      </c>
      <c r="D1063" s="14">
        <v>117164.05</v>
      </c>
      <c r="E1063" s="14">
        <v>20592.54</v>
      </c>
      <c r="F1063" s="15">
        <v>45025</v>
      </c>
      <c r="G1063" s="15">
        <v>45816</v>
      </c>
      <c r="H1063" s="14" t="s">
        <v>4575</v>
      </c>
      <c r="I1063" s="14" t="s">
        <v>3365</v>
      </c>
      <c r="J1063" s="13" t="str" cm="1">
        <f t="array" ref="J1063">_xlfn.IFS(
  OR(ISBLANK(A1063),ISBLANK(B1063),ISBLANK(H1063),ISBLANK(D1063),ISBLANK(E1063)),"Missing Value",
  D1063&lt;=0,"Review – Out of Range (Coverage)",
  E1063&lt;=0,"Review – Out of Range (Premium)",
  TRUE,"OK"
)</f>
        <v>OK</v>
      </c>
    </row>
    <row r="1064" spans="1:10" ht="16.8" x14ac:dyDescent="0.3">
      <c r="A1064" s="11" t="s">
        <v>4714</v>
      </c>
      <c r="B1064" s="11" t="s">
        <v>755</v>
      </c>
      <c r="C1064" s="11" t="s">
        <v>3359</v>
      </c>
      <c r="D1064" s="11">
        <v>559706.32999999996</v>
      </c>
      <c r="E1064" s="11">
        <v>44077.58</v>
      </c>
      <c r="F1064" s="12">
        <v>44718</v>
      </c>
      <c r="G1064" s="12">
        <v>45437</v>
      </c>
      <c r="H1064" s="11" t="s">
        <v>4062</v>
      </c>
      <c r="I1064" s="11" t="s">
        <v>3361</v>
      </c>
      <c r="J1064" s="13" t="str" cm="1">
        <f t="array" ref="J1064">_xlfn.IFS(
  OR(ISBLANK(A1064),ISBLANK(B1064),ISBLANK(H1064),ISBLANK(D1064),ISBLANK(E1064)),"Missing Value",
  D1064&lt;=0,"Review – Out of Range (Coverage)",
  E1064&lt;=0,"Review – Out of Range (Premium)",
  TRUE,"OK"
)</f>
        <v>OK</v>
      </c>
    </row>
    <row r="1065" spans="1:10" ht="16.8" x14ac:dyDescent="0.3">
      <c r="A1065" s="14" t="s">
        <v>4715</v>
      </c>
      <c r="B1065" s="14" t="s">
        <v>1775</v>
      </c>
      <c r="C1065" s="14" t="s">
        <v>3380</v>
      </c>
      <c r="D1065" s="14">
        <v>931716.29</v>
      </c>
      <c r="E1065" s="14">
        <v>18324.439999999999</v>
      </c>
      <c r="F1065" s="15">
        <v>45353</v>
      </c>
      <c r="G1065" s="15">
        <v>45538</v>
      </c>
      <c r="H1065" s="14" t="s">
        <v>4716</v>
      </c>
      <c r="I1065" s="14" t="s">
        <v>3365</v>
      </c>
      <c r="J1065" s="13" t="str" cm="1">
        <f t="array" ref="J1065">_xlfn.IFS(
  OR(ISBLANK(A1065),ISBLANK(B1065),ISBLANK(H1065),ISBLANK(D1065),ISBLANK(E1065)),"Missing Value",
  D1065&lt;=0,"Review – Out of Range (Coverage)",
  E1065&lt;=0,"Review – Out of Range (Premium)",
  TRUE,"OK"
)</f>
        <v>OK</v>
      </c>
    </row>
    <row r="1066" spans="1:10" ht="16.8" x14ac:dyDescent="0.3">
      <c r="A1066" s="11" t="s">
        <v>4717</v>
      </c>
      <c r="B1066" s="11" t="s">
        <v>1193</v>
      </c>
      <c r="C1066" s="11" t="s">
        <v>3380</v>
      </c>
      <c r="D1066" s="11">
        <v>977654.5</v>
      </c>
      <c r="E1066" s="11">
        <v>28514.47</v>
      </c>
      <c r="F1066" s="12">
        <v>44500</v>
      </c>
      <c r="G1066" s="12">
        <v>45071</v>
      </c>
      <c r="H1066" s="11" t="s">
        <v>3918</v>
      </c>
      <c r="I1066" s="11" t="s">
        <v>3361</v>
      </c>
      <c r="J1066" s="13" t="str" cm="1">
        <f t="array" ref="J1066">_xlfn.IFS(
  OR(ISBLANK(A1066),ISBLANK(B1066),ISBLANK(H1066),ISBLANK(D1066),ISBLANK(E1066)),"Missing Value",
  D1066&lt;=0,"Review – Out of Range (Coverage)",
  E1066&lt;=0,"Review – Out of Range (Premium)",
  TRUE,"OK"
)</f>
        <v>OK</v>
      </c>
    </row>
    <row r="1067" spans="1:10" ht="16.8" x14ac:dyDescent="0.3">
      <c r="A1067" s="14" t="s">
        <v>4718</v>
      </c>
      <c r="B1067" s="14" t="s">
        <v>1511</v>
      </c>
      <c r="C1067" s="14" t="s">
        <v>3377</v>
      </c>
      <c r="D1067" s="14">
        <v>757570.34</v>
      </c>
      <c r="E1067" s="14">
        <v>41705.360000000001</v>
      </c>
      <c r="F1067" s="15">
        <v>44922</v>
      </c>
      <c r="G1067" s="15">
        <v>45041</v>
      </c>
      <c r="H1067" s="14" t="s">
        <v>3617</v>
      </c>
      <c r="I1067" s="14" t="s">
        <v>3361</v>
      </c>
      <c r="J1067" s="13" t="str" cm="1">
        <f t="array" ref="J1067">_xlfn.IFS(
  OR(ISBLANK(A1067),ISBLANK(B1067),ISBLANK(H1067),ISBLANK(D1067),ISBLANK(E1067)),"Missing Value",
  D1067&lt;=0,"Review – Out of Range (Coverage)",
  E1067&lt;=0,"Review – Out of Range (Premium)",
  TRUE,"OK"
)</f>
        <v>OK</v>
      </c>
    </row>
    <row r="1068" spans="1:10" ht="16.8" x14ac:dyDescent="0.3">
      <c r="A1068" s="11" t="s">
        <v>4719</v>
      </c>
      <c r="B1068" s="11" t="s">
        <v>442</v>
      </c>
      <c r="C1068" s="11" t="s">
        <v>3371</v>
      </c>
      <c r="D1068" s="11">
        <v>975248.12</v>
      </c>
      <c r="E1068" s="11">
        <v>9119.66</v>
      </c>
      <c r="F1068" s="12">
        <v>44956</v>
      </c>
      <c r="G1068" s="12">
        <v>45841</v>
      </c>
      <c r="H1068" s="11" t="s">
        <v>4295</v>
      </c>
      <c r="I1068" s="11" t="s">
        <v>3365</v>
      </c>
      <c r="J1068" s="13" t="str" cm="1">
        <f t="array" ref="J1068">_xlfn.IFS(
  OR(ISBLANK(A1068),ISBLANK(B1068),ISBLANK(H1068),ISBLANK(D1068),ISBLANK(E1068)),"Missing Value",
  D1068&lt;=0,"Review – Out of Range (Coverage)",
  E1068&lt;=0,"Review – Out of Range (Premium)",
  TRUE,"OK"
)</f>
        <v>OK</v>
      </c>
    </row>
    <row r="1069" spans="1:10" ht="16.8" x14ac:dyDescent="0.3">
      <c r="A1069" s="14" t="s">
        <v>4720</v>
      </c>
      <c r="B1069" s="14" t="s">
        <v>1117</v>
      </c>
      <c r="C1069" s="14" t="s">
        <v>3359</v>
      </c>
      <c r="D1069" s="14">
        <v>203649.78</v>
      </c>
      <c r="E1069" s="14">
        <v>34842.17</v>
      </c>
      <c r="F1069" s="15">
        <v>44313</v>
      </c>
      <c r="G1069" s="15">
        <v>44719</v>
      </c>
      <c r="H1069" s="14" t="s">
        <v>3632</v>
      </c>
      <c r="I1069" s="14" t="s">
        <v>3365</v>
      </c>
      <c r="J1069" s="13" t="str" cm="1">
        <f t="array" ref="J1069">_xlfn.IFS(
  OR(ISBLANK(A1069),ISBLANK(B1069),ISBLANK(H1069),ISBLANK(D1069),ISBLANK(E1069)),"Missing Value",
  D1069&lt;=0,"Review – Out of Range (Coverage)",
  E1069&lt;=0,"Review – Out of Range (Premium)",
  TRUE,"OK"
)</f>
        <v>OK</v>
      </c>
    </row>
    <row r="1070" spans="1:10" ht="16.8" x14ac:dyDescent="0.3">
      <c r="A1070" s="11" t="s">
        <v>4721</v>
      </c>
      <c r="B1070" s="11" t="s">
        <v>492</v>
      </c>
      <c r="C1070" s="11" t="s">
        <v>3371</v>
      </c>
      <c r="D1070" s="11">
        <v>647547.59</v>
      </c>
      <c r="E1070" s="11">
        <v>16670.009999999998</v>
      </c>
      <c r="F1070" s="12">
        <v>44207</v>
      </c>
      <c r="G1070" s="12">
        <v>45247</v>
      </c>
      <c r="H1070" s="11" t="s">
        <v>3573</v>
      </c>
      <c r="I1070" s="11" t="s">
        <v>3361</v>
      </c>
      <c r="J1070" s="13" t="str" cm="1">
        <f t="array" ref="J1070">_xlfn.IFS(
  OR(ISBLANK(A1070),ISBLANK(B1070),ISBLANK(H1070),ISBLANK(D1070),ISBLANK(E1070)),"Missing Value",
  D1070&lt;=0,"Review – Out of Range (Coverage)",
  E1070&lt;=0,"Review – Out of Range (Premium)",
  TRUE,"OK"
)</f>
        <v>OK</v>
      </c>
    </row>
    <row r="1071" spans="1:10" ht="16.8" x14ac:dyDescent="0.3">
      <c r="A1071" s="14" t="s">
        <v>4722</v>
      </c>
      <c r="B1071" s="14" t="s">
        <v>2237</v>
      </c>
      <c r="C1071" s="14" t="s">
        <v>3359</v>
      </c>
      <c r="D1071" s="14">
        <v>810654.48</v>
      </c>
      <c r="E1071" s="14">
        <v>41364.44</v>
      </c>
      <c r="F1071" s="15">
        <v>44924</v>
      </c>
      <c r="G1071" s="15">
        <v>45322</v>
      </c>
      <c r="H1071" s="14" t="s">
        <v>4575</v>
      </c>
      <c r="I1071" s="14" t="s">
        <v>3373</v>
      </c>
      <c r="J1071" s="13" t="str" cm="1">
        <f t="array" ref="J1071">_xlfn.IFS(
  OR(ISBLANK(A1071),ISBLANK(B1071),ISBLANK(H1071),ISBLANK(D1071),ISBLANK(E1071)),"Missing Value",
  D1071&lt;=0,"Review – Out of Range (Coverage)",
  E1071&lt;=0,"Review – Out of Range (Premium)",
  TRUE,"OK"
)</f>
        <v>OK</v>
      </c>
    </row>
    <row r="1072" spans="1:10" ht="16.8" x14ac:dyDescent="0.3">
      <c r="A1072" s="11" t="s">
        <v>4723</v>
      </c>
      <c r="B1072" s="11" t="s">
        <v>3156</v>
      </c>
      <c r="C1072" s="11" t="s">
        <v>3380</v>
      </c>
      <c r="D1072" s="11">
        <v>727818.39</v>
      </c>
      <c r="E1072" s="11">
        <v>34585.379999999997</v>
      </c>
      <c r="F1072" s="12">
        <v>44927</v>
      </c>
      <c r="G1072" s="12">
        <v>44988</v>
      </c>
      <c r="H1072" s="11" t="s">
        <v>4045</v>
      </c>
      <c r="I1072" s="11" t="s">
        <v>3361</v>
      </c>
      <c r="J1072" s="13" t="str" cm="1">
        <f t="array" ref="J1072">_xlfn.IFS(
  OR(ISBLANK(A1072),ISBLANK(B1072),ISBLANK(H1072),ISBLANK(D1072),ISBLANK(E1072)),"Missing Value",
  D1072&lt;=0,"Review – Out of Range (Coverage)",
  E1072&lt;=0,"Review – Out of Range (Premium)",
  TRUE,"OK"
)</f>
        <v>OK</v>
      </c>
    </row>
    <row r="1073" spans="1:10" ht="16.8" x14ac:dyDescent="0.3">
      <c r="A1073" s="14" t="s">
        <v>4724</v>
      </c>
      <c r="B1073" s="14" t="s">
        <v>899</v>
      </c>
      <c r="C1073" s="14" t="s">
        <v>3380</v>
      </c>
      <c r="D1073" s="14">
        <v>356827.93</v>
      </c>
      <c r="E1073" s="14">
        <v>48600.51</v>
      </c>
      <c r="F1073" s="15">
        <v>45275</v>
      </c>
      <c r="G1073" s="15">
        <v>45530</v>
      </c>
      <c r="H1073" s="14" t="s">
        <v>3754</v>
      </c>
      <c r="I1073" s="14" t="s">
        <v>3365</v>
      </c>
      <c r="J1073" s="13" t="str" cm="1">
        <f t="array" ref="J1073">_xlfn.IFS(
  OR(ISBLANK(A1073),ISBLANK(B1073),ISBLANK(H1073),ISBLANK(D1073),ISBLANK(E1073)),"Missing Value",
  D1073&lt;=0,"Review – Out of Range (Coverage)",
  E1073&lt;=0,"Review – Out of Range (Premium)",
  TRUE,"OK"
)</f>
        <v>OK</v>
      </c>
    </row>
    <row r="1074" spans="1:10" ht="16.8" x14ac:dyDescent="0.3">
      <c r="A1074" s="11" t="s">
        <v>4725</v>
      </c>
      <c r="B1074" s="11" t="s">
        <v>2469</v>
      </c>
      <c r="C1074" s="11" t="s">
        <v>3377</v>
      </c>
      <c r="D1074" s="11">
        <v>747527.91</v>
      </c>
      <c r="E1074" s="11">
        <v>14545.6</v>
      </c>
      <c r="F1074" s="12">
        <v>44058</v>
      </c>
      <c r="G1074" s="12">
        <v>44498</v>
      </c>
      <c r="H1074" s="11" t="s">
        <v>4650</v>
      </c>
      <c r="I1074" s="11" t="s">
        <v>3365</v>
      </c>
      <c r="J1074" s="13" t="str" cm="1">
        <f t="array" ref="J1074">_xlfn.IFS(
  OR(ISBLANK(A1074),ISBLANK(B1074),ISBLANK(H1074),ISBLANK(D1074),ISBLANK(E1074)),"Missing Value",
  D1074&lt;=0,"Review – Out of Range (Coverage)",
  E1074&lt;=0,"Review – Out of Range (Premium)",
  TRUE,"OK"
)</f>
        <v>OK</v>
      </c>
    </row>
    <row r="1075" spans="1:10" ht="16.8" x14ac:dyDescent="0.3">
      <c r="A1075" s="14" t="s">
        <v>4726</v>
      </c>
      <c r="B1075" s="14" t="s">
        <v>3300</v>
      </c>
      <c r="C1075" s="14" t="s">
        <v>3380</v>
      </c>
      <c r="D1075" s="14">
        <v>416379.04</v>
      </c>
      <c r="E1075" s="14">
        <v>15812.41</v>
      </c>
      <c r="F1075" s="15">
        <v>44366</v>
      </c>
      <c r="G1075" s="15">
        <v>45230</v>
      </c>
      <c r="H1075" s="14" t="s">
        <v>3459</v>
      </c>
      <c r="I1075" s="14" t="s">
        <v>3361</v>
      </c>
      <c r="J1075" s="13" t="str" cm="1">
        <f t="array" ref="J1075">_xlfn.IFS(
  OR(ISBLANK(A1075),ISBLANK(B1075),ISBLANK(H1075),ISBLANK(D1075),ISBLANK(E1075)),"Missing Value",
  D1075&lt;=0,"Review – Out of Range (Coverage)",
  E1075&lt;=0,"Review – Out of Range (Premium)",
  TRUE,"OK"
)</f>
        <v>OK</v>
      </c>
    </row>
    <row r="1076" spans="1:10" ht="16.8" x14ac:dyDescent="0.3">
      <c r="A1076" s="11" t="s">
        <v>4727</v>
      </c>
      <c r="B1076" s="11" t="s">
        <v>791</v>
      </c>
      <c r="C1076" s="11" t="s">
        <v>3359</v>
      </c>
      <c r="D1076" s="11">
        <v>346401.35</v>
      </c>
      <c r="E1076" s="11">
        <v>44186.93</v>
      </c>
      <c r="F1076" s="12">
        <v>44370</v>
      </c>
      <c r="G1076" s="12">
        <v>44638</v>
      </c>
      <c r="H1076" s="11" t="s">
        <v>4236</v>
      </c>
      <c r="I1076" s="11" t="s">
        <v>3365</v>
      </c>
      <c r="J1076" s="13" t="str" cm="1">
        <f t="array" ref="J1076">_xlfn.IFS(
  OR(ISBLANK(A1076),ISBLANK(B1076),ISBLANK(H1076),ISBLANK(D1076),ISBLANK(E1076)),"Missing Value",
  D1076&lt;=0,"Review – Out of Range (Coverage)",
  E1076&lt;=0,"Review – Out of Range (Premium)",
  TRUE,"OK"
)</f>
        <v>OK</v>
      </c>
    </row>
    <row r="1077" spans="1:10" ht="16.8" x14ac:dyDescent="0.3">
      <c r="A1077" s="14" t="s">
        <v>4728</v>
      </c>
      <c r="B1077" s="14" t="s">
        <v>2631</v>
      </c>
      <c r="C1077" s="14" t="s">
        <v>3359</v>
      </c>
      <c r="D1077" s="14">
        <v>901899.35</v>
      </c>
      <c r="E1077" s="14">
        <v>44561.64</v>
      </c>
      <c r="F1077" s="15">
        <v>44538</v>
      </c>
      <c r="G1077" s="15">
        <v>45583</v>
      </c>
      <c r="H1077" s="14" t="s">
        <v>3591</v>
      </c>
      <c r="I1077" s="14" t="s">
        <v>3373</v>
      </c>
      <c r="J1077" s="13" t="str" cm="1">
        <f t="array" ref="J1077">_xlfn.IFS(
  OR(ISBLANK(A1077),ISBLANK(B1077),ISBLANK(H1077),ISBLANK(D1077),ISBLANK(E1077)),"Missing Value",
  D1077&lt;=0,"Review – Out of Range (Coverage)",
  E1077&lt;=0,"Review – Out of Range (Premium)",
  TRUE,"OK"
)</f>
        <v>OK</v>
      </c>
    </row>
    <row r="1078" spans="1:10" ht="16.8" x14ac:dyDescent="0.3">
      <c r="A1078" s="11" t="s">
        <v>4729</v>
      </c>
      <c r="B1078" s="11" t="s">
        <v>2715</v>
      </c>
      <c r="C1078" s="11" t="s">
        <v>3380</v>
      </c>
      <c r="D1078" s="11">
        <v>566924.6</v>
      </c>
      <c r="E1078" s="11">
        <v>30785.48</v>
      </c>
      <c r="F1078" s="12">
        <v>44964</v>
      </c>
      <c r="G1078" s="12">
        <v>45326</v>
      </c>
      <c r="H1078" s="11" t="s">
        <v>3974</v>
      </c>
      <c r="I1078" s="11" t="s">
        <v>3361</v>
      </c>
      <c r="J1078" s="13" t="str" cm="1">
        <f t="array" ref="J1078">_xlfn.IFS(
  OR(ISBLANK(A1078),ISBLANK(B1078),ISBLANK(H1078),ISBLANK(D1078),ISBLANK(E1078)),"Missing Value",
  D1078&lt;=0,"Review – Out of Range (Coverage)",
  E1078&lt;=0,"Review – Out of Range (Premium)",
  TRUE,"OK"
)</f>
        <v>OK</v>
      </c>
    </row>
    <row r="1079" spans="1:10" ht="16.8" x14ac:dyDescent="0.3">
      <c r="A1079" s="14" t="s">
        <v>4730</v>
      </c>
      <c r="B1079" s="14" t="s">
        <v>146</v>
      </c>
      <c r="C1079" s="14" t="s">
        <v>3359</v>
      </c>
      <c r="D1079" s="14">
        <v>688342.05</v>
      </c>
      <c r="E1079" s="14">
        <v>11468.67</v>
      </c>
      <c r="F1079" s="15">
        <v>44592</v>
      </c>
      <c r="G1079" s="15">
        <v>45358</v>
      </c>
      <c r="H1079" s="14" t="s">
        <v>3571</v>
      </c>
      <c r="I1079" s="14" t="s">
        <v>3361</v>
      </c>
      <c r="J1079" s="13" t="str" cm="1">
        <f t="array" ref="J1079">_xlfn.IFS(
  OR(ISBLANK(A1079),ISBLANK(B1079),ISBLANK(H1079),ISBLANK(D1079),ISBLANK(E1079)),"Missing Value",
  D1079&lt;=0,"Review – Out of Range (Coverage)",
  E1079&lt;=0,"Review – Out of Range (Premium)",
  TRUE,"OK"
)</f>
        <v>OK</v>
      </c>
    </row>
    <row r="1080" spans="1:10" ht="16.8" x14ac:dyDescent="0.3">
      <c r="A1080" s="11" t="s">
        <v>4731</v>
      </c>
      <c r="B1080" s="11" t="s">
        <v>2829</v>
      </c>
      <c r="C1080" s="11" t="s">
        <v>3377</v>
      </c>
      <c r="D1080" s="11">
        <v>842629.1</v>
      </c>
      <c r="E1080" s="11">
        <v>10125.299999999999</v>
      </c>
      <c r="F1080" s="12">
        <v>44710</v>
      </c>
      <c r="G1080" s="12">
        <v>45010</v>
      </c>
      <c r="H1080" s="11" t="s">
        <v>4732</v>
      </c>
      <c r="I1080" s="11" t="s">
        <v>3373</v>
      </c>
      <c r="J1080" s="13" t="str" cm="1">
        <f t="array" ref="J1080">_xlfn.IFS(
  OR(ISBLANK(A1080),ISBLANK(B1080),ISBLANK(H1080),ISBLANK(D1080),ISBLANK(E1080)),"Missing Value",
  D1080&lt;=0,"Review – Out of Range (Coverage)",
  E1080&lt;=0,"Review – Out of Range (Premium)",
  TRUE,"OK"
)</f>
        <v>OK</v>
      </c>
    </row>
    <row r="1081" spans="1:10" ht="16.8" x14ac:dyDescent="0.3">
      <c r="A1081" s="14" t="s">
        <v>4733</v>
      </c>
      <c r="B1081" s="14" t="s">
        <v>61</v>
      </c>
      <c r="C1081" s="14" t="s">
        <v>3371</v>
      </c>
      <c r="D1081" s="14">
        <v>889686.52</v>
      </c>
      <c r="E1081" s="14">
        <v>21228.23</v>
      </c>
      <c r="F1081" s="15">
        <v>45272</v>
      </c>
      <c r="G1081" s="15">
        <v>45608</v>
      </c>
      <c r="H1081" s="14" t="s">
        <v>3612</v>
      </c>
      <c r="I1081" s="14" t="s">
        <v>3365</v>
      </c>
      <c r="J1081" s="13" t="str" cm="1">
        <f t="array" ref="J1081">_xlfn.IFS(
  OR(ISBLANK(A1081),ISBLANK(B1081),ISBLANK(H1081),ISBLANK(D1081),ISBLANK(E1081)),"Missing Value",
  D1081&lt;=0,"Review – Out of Range (Coverage)",
  E1081&lt;=0,"Review – Out of Range (Premium)",
  TRUE,"OK"
)</f>
        <v>OK</v>
      </c>
    </row>
    <row r="1082" spans="1:10" ht="16.8" x14ac:dyDescent="0.3">
      <c r="A1082" s="11" t="s">
        <v>4734</v>
      </c>
      <c r="B1082" s="11" t="s">
        <v>2629</v>
      </c>
      <c r="C1082" s="11" t="s">
        <v>3363</v>
      </c>
      <c r="D1082" s="11">
        <v>335718.49</v>
      </c>
      <c r="E1082" s="11">
        <v>21125.1</v>
      </c>
      <c r="F1082" s="12">
        <v>45272</v>
      </c>
      <c r="G1082" s="12">
        <v>45369</v>
      </c>
      <c r="H1082" s="11" t="s">
        <v>3834</v>
      </c>
      <c r="I1082" s="11" t="s">
        <v>3373</v>
      </c>
      <c r="J1082" s="13" t="str" cm="1">
        <f t="array" ref="J1082">_xlfn.IFS(
  OR(ISBLANK(A1082),ISBLANK(B1082),ISBLANK(H1082),ISBLANK(D1082),ISBLANK(E1082)),"Missing Value",
  D1082&lt;=0,"Review – Out of Range (Coverage)",
  E1082&lt;=0,"Review – Out of Range (Premium)",
  TRUE,"OK"
)</f>
        <v>OK</v>
      </c>
    </row>
    <row r="1083" spans="1:10" ht="16.8" x14ac:dyDescent="0.3">
      <c r="A1083" s="14" t="s">
        <v>4735</v>
      </c>
      <c r="B1083" s="14" t="s">
        <v>2465</v>
      </c>
      <c r="C1083" s="14" t="s">
        <v>3363</v>
      </c>
      <c r="D1083" s="14">
        <v>162169.99</v>
      </c>
      <c r="E1083" s="14">
        <v>16510.73</v>
      </c>
      <c r="F1083" s="15">
        <v>44309</v>
      </c>
      <c r="G1083" s="15">
        <v>44596</v>
      </c>
      <c r="H1083" s="14" t="s">
        <v>3740</v>
      </c>
      <c r="I1083" s="14" t="s">
        <v>3361</v>
      </c>
      <c r="J1083" s="13" t="str" cm="1">
        <f t="array" ref="J1083">_xlfn.IFS(
  OR(ISBLANK(A1083),ISBLANK(B1083),ISBLANK(H1083),ISBLANK(D1083),ISBLANK(E1083)),"Missing Value",
  D1083&lt;=0,"Review – Out of Range (Coverage)",
  E1083&lt;=0,"Review – Out of Range (Premium)",
  TRUE,"OK"
)</f>
        <v>OK</v>
      </c>
    </row>
    <row r="1084" spans="1:10" ht="16.8" x14ac:dyDescent="0.3">
      <c r="A1084" s="11" t="s">
        <v>4736</v>
      </c>
      <c r="B1084" s="11" t="s">
        <v>1715</v>
      </c>
      <c r="C1084" s="11" t="s">
        <v>3380</v>
      </c>
      <c r="D1084" s="11">
        <v>413245.78</v>
      </c>
      <c r="E1084" s="11">
        <v>16664.57</v>
      </c>
      <c r="F1084" s="12">
        <v>44414</v>
      </c>
      <c r="G1084" s="12">
        <v>45405</v>
      </c>
      <c r="H1084" s="11" t="s">
        <v>3634</v>
      </c>
      <c r="I1084" s="11" t="s">
        <v>3373</v>
      </c>
      <c r="J1084" s="13" t="str" cm="1">
        <f t="array" ref="J1084">_xlfn.IFS(
  OR(ISBLANK(A1084),ISBLANK(B1084),ISBLANK(H1084),ISBLANK(D1084),ISBLANK(E1084)),"Missing Value",
  D1084&lt;=0,"Review – Out of Range (Coverage)",
  E1084&lt;=0,"Review – Out of Range (Premium)",
  TRUE,"OK"
)</f>
        <v>OK</v>
      </c>
    </row>
    <row r="1085" spans="1:10" ht="16.8" x14ac:dyDescent="0.3">
      <c r="A1085" s="14" t="s">
        <v>4737</v>
      </c>
      <c r="B1085" s="14" t="s">
        <v>2611</v>
      </c>
      <c r="C1085" s="14" t="s">
        <v>3377</v>
      </c>
      <c r="D1085" s="14">
        <v>457504.88</v>
      </c>
      <c r="E1085" s="14">
        <v>30580.400000000001</v>
      </c>
      <c r="F1085" s="15">
        <v>44443</v>
      </c>
      <c r="G1085" s="15">
        <v>45809</v>
      </c>
      <c r="H1085" s="14" t="s">
        <v>3463</v>
      </c>
      <c r="I1085" s="14" t="s">
        <v>3361</v>
      </c>
      <c r="J1085" s="13" t="str" cm="1">
        <f t="array" ref="J1085">_xlfn.IFS(
  OR(ISBLANK(A1085),ISBLANK(B1085),ISBLANK(H1085),ISBLANK(D1085),ISBLANK(E1085)),"Missing Value",
  D1085&lt;=0,"Review – Out of Range (Coverage)",
  E1085&lt;=0,"Review – Out of Range (Premium)",
  TRUE,"OK"
)</f>
        <v>OK</v>
      </c>
    </row>
    <row r="1086" spans="1:10" ht="16.8" x14ac:dyDescent="0.3">
      <c r="A1086" s="11" t="s">
        <v>4738</v>
      </c>
      <c r="B1086" s="11" t="s">
        <v>1247</v>
      </c>
      <c r="C1086" s="11" t="s">
        <v>3380</v>
      </c>
      <c r="D1086" s="11">
        <v>114750.75</v>
      </c>
      <c r="E1086" s="11">
        <v>17243.919999999998</v>
      </c>
      <c r="F1086" s="12">
        <v>45207</v>
      </c>
      <c r="G1086" s="12">
        <v>45697</v>
      </c>
      <c r="H1086" s="11" t="s">
        <v>3649</v>
      </c>
      <c r="I1086" s="11" t="s">
        <v>3365</v>
      </c>
      <c r="J1086" s="13" t="str" cm="1">
        <f t="array" ref="J1086">_xlfn.IFS(
  OR(ISBLANK(A1086),ISBLANK(B1086),ISBLANK(H1086),ISBLANK(D1086),ISBLANK(E1086)),"Missing Value",
  D1086&lt;=0,"Review – Out of Range (Coverage)",
  E1086&lt;=0,"Review – Out of Range (Premium)",
  TRUE,"OK"
)</f>
        <v>OK</v>
      </c>
    </row>
    <row r="1087" spans="1:10" ht="16.8" x14ac:dyDescent="0.3">
      <c r="A1087" s="14" t="s">
        <v>4739</v>
      </c>
      <c r="B1087" s="14" t="s">
        <v>2305</v>
      </c>
      <c r="C1087" s="14" t="s">
        <v>3363</v>
      </c>
      <c r="D1087" s="14">
        <v>759044.46</v>
      </c>
      <c r="E1087" s="14">
        <v>31300.720000000001</v>
      </c>
      <c r="F1087" s="15">
        <v>44664</v>
      </c>
      <c r="G1087" s="15">
        <v>45508</v>
      </c>
      <c r="H1087" s="14" t="s">
        <v>3553</v>
      </c>
      <c r="I1087" s="14" t="s">
        <v>3365</v>
      </c>
      <c r="J1087" s="13" t="str" cm="1">
        <f t="array" ref="J1087">_xlfn.IFS(
  OR(ISBLANK(A1087),ISBLANK(B1087),ISBLANK(H1087),ISBLANK(D1087),ISBLANK(E1087)),"Missing Value",
  D1087&lt;=0,"Review – Out of Range (Coverage)",
  E1087&lt;=0,"Review – Out of Range (Premium)",
  TRUE,"OK"
)</f>
        <v>OK</v>
      </c>
    </row>
    <row r="1088" spans="1:10" ht="16.8" x14ac:dyDescent="0.3">
      <c r="A1088" s="11" t="s">
        <v>4740</v>
      </c>
      <c r="B1088" s="11" t="s">
        <v>348</v>
      </c>
      <c r="C1088" s="11" t="s">
        <v>3363</v>
      </c>
      <c r="D1088" s="11">
        <v>348501.08</v>
      </c>
      <c r="E1088" s="11">
        <v>20181.23</v>
      </c>
      <c r="F1088" s="12">
        <v>44829</v>
      </c>
      <c r="G1088" s="12">
        <v>45354</v>
      </c>
      <c r="H1088" s="11" t="s">
        <v>3779</v>
      </c>
      <c r="I1088" s="11" t="s">
        <v>3361</v>
      </c>
      <c r="J1088" s="13" t="str" cm="1">
        <f t="array" ref="J1088">_xlfn.IFS(
  OR(ISBLANK(A1088),ISBLANK(B1088),ISBLANK(H1088),ISBLANK(D1088),ISBLANK(E1088)),"Missing Value",
  D1088&lt;=0,"Review – Out of Range (Coverage)",
  E1088&lt;=0,"Review – Out of Range (Premium)",
  TRUE,"OK"
)</f>
        <v>OK</v>
      </c>
    </row>
    <row r="1089" spans="1:10" ht="16.8" x14ac:dyDescent="0.3">
      <c r="A1089" s="14" t="s">
        <v>4741</v>
      </c>
      <c r="B1089" s="14" t="s">
        <v>1005</v>
      </c>
      <c r="C1089" s="14" t="s">
        <v>3363</v>
      </c>
      <c r="D1089" s="14">
        <v>966843.54</v>
      </c>
      <c r="E1089" s="14">
        <v>26133.96</v>
      </c>
      <c r="F1089" s="15">
        <v>45311</v>
      </c>
      <c r="G1089" s="15">
        <v>45799</v>
      </c>
      <c r="H1089" s="14" t="s">
        <v>3562</v>
      </c>
      <c r="I1089" s="14" t="s">
        <v>3361</v>
      </c>
      <c r="J1089" s="13" t="str" cm="1">
        <f t="array" ref="J1089">_xlfn.IFS(
  OR(ISBLANK(A1089),ISBLANK(B1089),ISBLANK(H1089),ISBLANK(D1089),ISBLANK(E1089)),"Missing Value",
  D1089&lt;=0,"Review – Out of Range (Coverage)",
  E1089&lt;=0,"Review – Out of Range (Premium)",
  TRUE,"OK"
)</f>
        <v>OK</v>
      </c>
    </row>
    <row r="1090" spans="1:10" ht="16.8" x14ac:dyDescent="0.3">
      <c r="A1090" s="11" t="s">
        <v>4742</v>
      </c>
      <c r="B1090" s="11" t="s">
        <v>214</v>
      </c>
      <c r="C1090" s="11" t="s">
        <v>3363</v>
      </c>
      <c r="D1090" s="11">
        <v>411057.11</v>
      </c>
      <c r="E1090" s="11">
        <v>44406.48</v>
      </c>
      <c r="F1090" s="12">
        <v>44145</v>
      </c>
      <c r="G1090" s="12">
        <v>45491</v>
      </c>
      <c r="H1090" s="11" t="s">
        <v>3881</v>
      </c>
      <c r="I1090" s="11" t="s">
        <v>3365</v>
      </c>
      <c r="J1090" s="13" t="str" cm="1">
        <f t="array" ref="J1090">_xlfn.IFS(
  OR(ISBLANK(A1090),ISBLANK(B1090),ISBLANK(H1090),ISBLANK(D1090),ISBLANK(E1090)),"Missing Value",
  D1090&lt;=0,"Review – Out of Range (Coverage)",
  E1090&lt;=0,"Review – Out of Range (Premium)",
  TRUE,"OK"
)</f>
        <v>OK</v>
      </c>
    </row>
    <row r="1091" spans="1:10" ht="16.8" x14ac:dyDescent="0.3">
      <c r="A1091" s="14" t="s">
        <v>4743</v>
      </c>
      <c r="B1091" s="14" t="s">
        <v>2385</v>
      </c>
      <c r="C1091" s="14" t="s">
        <v>3380</v>
      </c>
      <c r="D1091" s="14">
        <v>296452.88</v>
      </c>
      <c r="E1091" s="14">
        <v>29469.93</v>
      </c>
      <c r="F1091" s="15">
        <v>44796</v>
      </c>
      <c r="G1091" s="15">
        <v>45138</v>
      </c>
      <c r="H1091" s="14" t="s">
        <v>3419</v>
      </c>
      <c r="I1091" s="14" t="s">
        <v>3361</v>
      </c>
      <c r="J1091" s="13" t="str" cm="1">
        <f t="array" ref="J1091">_xlfn.IFS(
  OR(ISBLANK(A1091),ISBLANK(B1091),ISBLANK(H1091),ISBLANK(D1091),ISBLANK(E1091)),"Missing Value",
  D1091&lt;=0,"Review – Out of Range (Coverage)",
  E1091&lt;=0,"Review – Out of Range (Premium)",
  TRUE,"OK"
)</f>
        <v>OK</v>
      </c>
    </row>
    <row r="1092" spans="1:10" ht="16.8" x14ac:dyDescent="0.3">
      <c r="A1092" s="11" t="s">
        <v>4744</v>
      </c>
      <c r="B1092" s="11" t="s">
        <v>729</v>
      </c>
      <c r="C1092" s="11" t="s">
        <v>3359</v>
      </c>
      <c r="D1092" s="11">
        <v>540768.74</v>
      </c>
      <c r="E1092" s="11">
        <v>16714.72</v>
      </c>
      <c r="F1092" s="12">
        <v>44524</v>
      </c>
      <c r="G1092" s="12">
        <v>45465</v>
      </c>
      <c r="H1092" s="11" t="s">
        <v>4247</v>
      </c>
      <c r="I1092" s="11" t="s">
        <v>3361</v>
      </c>
      <c r="J1092" s="13" t="str" cm="1">
        <f t="array" ref="J1092">_xlfn.IFS(
  OR(ISBLANK(A1092),ISBLANK(B1092),ISBLANK(H1092),ISBLANK(D1092),ISBLANK(E1092)),"Missing Value",
  D1092&lt;=0,"Review – Out of Range (Coverage)",
  E1092&lt;=0,"Review – Out of Range (Premium)",
  TRUE,"OK"
)</f>
        <v>OK</v>
      </c>
    </row>
    <row r="1093" spans="1:10" ht="16.8" x14ac:dyDescent="0.3">
      <c r="A1093" s="14" t="s">
        <v>4745</v>
      </c>
      <c r="B1093" s="14" t="s">
        <v>154</v>
      </c>
      <c r="C1093" s="14" t="s">
        <v>3363</v>
      </c>
      <c r="D1093" s="14">
        <v>405778.87</v>
      </c>
      <c r="E1093" s="14">
        <v>4708.7299999999996</v>
      </c>
      <c r="F1093" s="15">
        <v>45051</v>
      </c>
      <c r="G1093" s="15">
        <v>45677</v>
      </c>
      <c r="H1093" s="14" t="s">
        <v>3721</v>
      </c>
      <c r="I1093" s="14" t="s">
        <v>3373</v>
      </c>
      <c r="J1093" s="13" t="str" cm="1">
        <f t="array" ref="J1093">_xlfn.IFS(
  OR(ISBLANK(A1093),ISBLANK(B1093),ISBLANK(H1093),ISBLANK(D1093),ISBLANK(E1093)),"Missing Value",
  D1093&lt;=0,"Review – Out of Range (Coverage)",
  E1093&lt;=0,"Review – Out of Range (Premium)",
  TRUE,"OK"
)</f>
        <v>OK</v>
      </c>
    </row>
    <row r="1094" spans="1:10" ht="16.8" x14ac:dyDescent="0.3">
      <c r="A1094" s="11" t="s">
        <v>4746</v>
      </c>
      <c r="B1094" s="11" t="s">
        <v>1457</v>
      </c>
      <c r="C1094" s="11" t="s">
        <v>3380</v>
      </c>
      <c r="D1094" s="11">
        <v>846353.12</v>
      </c>
      <c r="E1094" s="11">
        <v>36650.29</v>
      </c>
      <c r="F1094" s="12">
        <v>45366</v>
      </c>
      <c r="G1094" s="12">
        <v>45713</v>
      </c>
      <c r="H1094" s="11" t="s">
        <v>3469</v>
      </c>
      <c r="I1094" s="11" t="s">
        <v>3373</v>
      </c>
      <c r="J1094" s="13" t="str" cm="1">
        <f t="array" ref="J1094">_xlfn.IFS(
  OR(ISBLANK(A1094),ISBLANK(B1094),ISBLANK(H1094),ISBLANK(D1094),ISBLANK(E1094)),"Missing Value",
  D1094&lt;=0,"Review – Out of Range (Coverage)",
  E1094&lt;=0,"Review – Out of Range (Premium)",
  TRUE,"OK"
)</f>
        <v>OK</v>
      </c>
    </row>
    <row r="1095" spans="1:10" ht="16.8" x14ac:dyDescent="0.3">
      <c r="A1095" s="14" t="s">
        <v>4747</v>
      </c>
      <c r="B1095" s="14" t="s">
        <v>601</v>
      </c>
      <c r="C1095" s="14" t="s">
        <v>3371</v>
      </c>
      <c r="D1095" s="14">
        <v>558638.53</v>
      </c>
      <c r="E1095" s="14">
        <v>19537.419999999998</v>
      </c>
      <c r="F1095" s="15">
        <v>45079</v>
      </c>
      <c r="G1095" s="15">
        <v>45288</v>
      </c>
      <c r="H1095" s="14" t="s">
        <v>3567</v>
      </c>
      <c r="I1095" s="14" t="s">
        <v>3361</v>
      </c>
      <c r="J1095" s="13" t="str" cm="1">
        <f t="array" ref="J1095">_xlfn.IFS(
  OR(ISBLANK(A1095),ISBLANK(B1095),ISBLANK(H1095),ISBLANK(D1095),ISBLANK(E1095)),"Missing Value",
  D1095&lt;=0,"Review – Out of Range (Coverage)",
  E1095&lt;=0,"Review – Out of Range (Premium)",
  TRUE,"OK"
)</f>
        <v>OK</v>
      </c>
    </row>
    <row r="1096" spans="1:10" ht="16.8" x14ac:dyDescent="0.3">
      <c r="A1096" s="11" t="s">
        <v>4748</v>
      </c>
      <c r="B1096" s="11" t="s">
        <v>1041</v>
      </c>
      <c r="C1096" s="11" t="s">
        <v>3377</v>
      </c>
      <c r="D1096" s="11">
        <v>318508.63</v>
      </c>
      <c r="E1096" s="11">
        <v>35504.67</v>
      </c>
      <c r="F1096" s="12">
        <v>44607</v>
      </c>
      <c r="G1096" s="12">
        <v>44902</v>
      </c>
      <c r="H1096" s="11" t="s">
        <v>4749</v>
      </c>
      <c r="I1096" s="11" t="s">
        <v>3365</v>
      </c>
      <c r="J1096" s="13" t="str" cm="1">
        <f t="array" ref="J1096">_xlfn.IFS(
  OR(ISBLANK(A1096),ISBLANK(B1096),ISBLANK(H1096),ISBLANK(D1096),ISBLANK(E1096)),"Missing Value",
  D1096&lt;=0,"Review – Out of Range (Coverage)",
  E1096&lt;=0,"Review – Out of Range (Premium)",
  TRUE,"OK"
)</f>
        <v>OK</v>
      </c>
    </row>
    <row r="1097" spans="1:10" ht="16.8" x14ac:dyDescent="0.3">
      <c r="A1097" s="14" t="s">
        <v>4750</v>
      </c>
      <c r="B1097" s="14" t="s">
        <v>563</v>
      </c>
      <c r="C1097" s="14" t="s">
        <v>3359</v>
      </c>
      <c r="D1097" s="14">
        <v>688829.59</v>
      </c>
      <c r="E1097" s="14">
        <v>35927.83</v>
      </c>
      <c r="F1097" s="15">
        <v>45331</v>
      </c>
      <c r="G1097" s="15">
        <v>45846</v>
      </c>
      <c r="H1097" s="14" t="s">
        <v>3911</v>
      </c>
      <c r="I1097" s="14" t="s">
        <v>3365</v>
      </c>
      <c r="J1097" s="13" t="str" cm="1">
        <f t="array" ref="J1097">_xlfn.IFS(
  OR(ISBLANK(A1097),ISBLANK(B1097),ISBLANK(H1097),ISBLANK(D1097),ISBLANK(E1097)),"Missing Value",
  D1097&lt;=0,"Review – Out of Range (Coverage)",
  E1097&lt;=0,"Review – Out of Range (Premium)",
  TRUE,"OK"
)</f>
        <v>OK</v>
      </c>
    </row>
    <row r="1098" spans="1:10" ht="16.8" x14ac:dyDescent="0.3">
      <c r="A1098" s="11" t="s">
        <v>4751</v>
      </c>
      <c r="B1098" s="11" t="s">
        <v>1279</v>
      </c>
      <c r="C1098" s="11" t="s">
        <v>3363</v>
      </c>
      <c r="D1098" s="11">
        <v>573501.47</v>
      </c>
      <c r="E1098" s="11">
        <v>37158.31</v>
      </c>
      <c r="F1098" s="12">
        <v>44614</v>
      </c>
      <c r="G1098" s="12">
        <v>44642</v>
      </c>
      <c r="H1098" s="11" t="s">
        <v>4596</v>
      </c>
      <c r="I1098" s="11" t="s">
        <v>3365</v>
      </c>
      <c r="J1098" s="13" t="str" cm="1">
        <f t="array" ref="J1098">_xlfn.IFS(
  OR(ISBLANK(A1098),ISBLANK(B1098),ISBLANK(H1098),ISBLANK(D1098),ISBLANK(E1098)),"Missing Value",
  D1098&lt;=0,"Review – Out of Range (Coverage)",
  E1098&lt;=0,"Review – Out of Range (Premium)",
  TRUE,"OK"
)</f>
        <v>OK</v>
      </c>
    </row>
    <row r="1099" spans="1:10" ht="16.8" x14ac:dyDescent="0.3">
      <c r="A1099" s="14" t="s">
        <v>4752</v>
      </c>
      <c r="B1099" s="14" t="s">
        <v>591</v>
      </c>
      <c r="C1099" s="14" t="s">
        <v>3359</v>
      </c>
      <c r="D1099" s="14">
        <v>519085.96</v>
      </c>
      <c r="E1099" s="14">
        <v>4099.3</v>
      </c>
      <c r="F1099" s="15">
        <v>44046</v>
      </c>
      <c r="G1099" s="15">
        <v>45177</v>
      </c>
      <c r="H1099" s="14" t="s">
        <v>3744</v>
      </c>
      <c r="I1099" s="14" t="s">
        <v>3361</v>
      </c>
      <c r="J1099" s="13" t="str" cm="1">
        <f t="array" ref="J1099">_xlfn.IFS(
  OR(ISBLANK(A1099),ISBLANK(B1099),ISBLANK(H1099),ISBLANK(D1099),ISBLANK(E1099)),"Missing Value",
  D1099&lt;=0,"Review – Out of Range (Coverage)",
  E1099&lt;=0,"Review – Out of Range (Premium)",
  TRUE,"OK"
)</f>
        <v>OK</v>
      </c>
    </row>
    <row r="1100" spans="1:10" ht="16.8" x14ac:dyDescent="0.3">
      <c r="A1100" s="11" t="s">
        <v>4753</v>
      </c>
      <c r="B1100" s="11" t="s">
        <v>1525</v>
      </c>
      <c r="C1100" s="11" t="s">
        <v>3371</v>
      </c>
      <c r="D1100" s="11">
        <v>594513.46</v>
      </c>
      <c r="E1100" s="11">
        <v>49064.47</v>
      </c>
      <c r="F1100" s="12">
        <v>44540</v>
      </c>
      <c r="G1100" s="12">
        <v>45359</v>
      </c>
      <c r="H1100" s="11" t="s">
        <v>3397</v>
      </c>
      <c r="I1100" s="11" t="s">
        <v>3361</v>
      </c>
      <c r="J1100" s="13" t="str" cm="1">
        <f t="array" ref="J1100">_xlfn.IFS(
  OR(ISBLANK(A1100),ISBLANK(B1100),ISBLANK(H1100),ISBLANK(D1100),ISBLANK(E1100)),"Missing Value",
  D1100&lt;=0,"Review – Out of Range (Coverage)",
  E1100&lt;=0,"Review – Out of Range (Premium)",
  TRUE,"OK"
)</f>
        <v>OK</v>
      </c>
    </row>
    <row r="1101" spans="1:10" ht="16.8" x14ac:dyDescent="0.3">
      <c r="A1101" s="14" t="s">
        <v>4754</v>
      </c>
      <c r="B1101" s="14" t="s">
        <v>2925</v>
      </c>
      <c r="C1101" s="14" t="s">
        <v>3371</v>
      </c>
      <c r="D1101" s="14">
        <v>124011.04</v>
      </c>
      <c r="E1101" s="14">
        <v>29845.439999999999</v>
      </c>
      <c r="F1101" s="15">
        <v>44866</v>
      </c>
      <c r="G1101" s="15">
        <v>45354</v>
      </c>
      <c r="H1101" s="14" t="s">
        <v>3505</v>
      </c>
      <c r="I1101" s="14" t="s">
        <v>3373</v>
      </c>
      <c r="J1101" s="13" t="str" cm="1">
        <f t="array" ref="J1101">_xlfn.IFS(
  OR(ISBLANK(A1101),ISBLANK(B1101),ISBLANK(H1101),ISBLANK(D1101),ISBLANK(E1101)),"Missing Value",
  D1101&lt;=0,"Review – Out of Range (Coverage)",
  E1101&lt;=0,"Review – Out of Range (Premium)",
  TRUE,"OK"
)</f>
        <v>OK</v>
      </c>
    </row>
    <row r="1102" spans="1:10" ht="16.8" x14ac:dyDescent="0.3">
      <c r="A1102" s="11" t="s">
        <v>4755</v>
      </c>
      <c r="B1102" s="11" t="s">
        <v>1769</v>
      </c>
      <c r="C1102" s="11" t="s">
        <v>3380</v>
      </c>
      <c r="D1102" s="11">
        <v>474798.99</v>
      </c>
      <c r="E1102" s="11">
        <v>49619.59</v>
      </c>
      <c r="F1102" s="12">
        <v>45161</v>
      </c>
      <c r="G1102" s="12">
        <v>45668</v>
      </c>
      <c r="H1102" s="11" t="s">
        <v>4006</v>
      </c>
      <c r="I1102" s="11" t="s">
        <v>3361</v>
      </c>
      <c r="J1102" s="13" t="str" cm="1">
        <f t="array" ref="J1102">_xlfn.IFS(
  OR(ISBLANK(A1102),ISBLANK(B1102),ISBLANK(H1102),ISBLANK(D1102),ISBLANK(E1102)),"Missing Value",
  D1102&lt;=0,"Review – Out of Range (Coverage)",
  E1102&lt;=0,"Review – Out of Range (Premium)",
  TRUE,"OK"
)</f>
        <v>OK</v>
      </c>
    </row>
    <row r="1103" spans="1:10" ht="16.8" x14ac:dyDescent="0.3">
      <c r="A1103" s="14" t="s">
        <v>4756</v>
      </c>
      <c r="B1103" s="14" t="s">
        <v>3064</v>
      </c>
      <c r="C1103" s="14" t="s">
        <v>3377</v>
      </c>
      <c r="D1103" s="14">
        <v>663998.13</v>
      </c>
      <c r="E1103" s="14">
        <v>40211.94</v>
      </c>
      <c r="F1103" s="15">
        <v>45454</v>
      </c>
      <c r="G1103" s="15">
        <v>45780</v>
      </c>
      <c r="H1103" s="14" t="s">
        <v>3477</v>
      </c>
      <c r="I1103" s="14" t="s">
        <v>3361</v>
      </c>
      <c r="J1103" s="13" t="str" cm="1">
        <f t="array" ref="J1103">_xlfn.IFS(
  OR(ISBLANK(A1103),ISBLANK(B1103),ISBLANK(H1103),ISBLANK(D1103),ISBLANK(E1103)),"Missing Value",
  D1103&lt;=0,"Review – Out of Range (Coverage)",
  E1103&lt;=0,"Review – Out of Range (Premium)",
  TRUE,"OK"
)</f>
        <v>OK</v>
      </c>
    </row>
    <row r="1104" spans="1:10" ht="16.8" x14ac:dyDescent="0.3">
      <c r="A1104" s="11" t="s">
        <v>4757</v>
      </c>
      <c r="B1104" s="11" t="s">
        <v>168</v>
      </c>
      <c r="C1104" s="11" t="s">
        <v>3363</v>
      </c>
      <c r="D1104" s="11">
        <v>272160.33</v>
      </c>
      <c r="E1104" s="11">
        <v>15653.81</v>
      </c>
      <c r="F1104" s="12">
        <v>45464</v>
      </c>
      <c r="G1104" s="12">
        <v>45805</v>
      </c>
      <c r="H1104" s="11" t="s">
        <v>4240</v>
      </c>
      <c r="I1104" s="11" t="s">
        <v>3365</v>
      </c>
      <c r="J1104" s="13" t="str" cm="1">
        <f t="array" ref="J1104">_xlfn.IFS(
  OR(ISBLANK(A1104),ISBLANK(B1104),ISBLANK(H1104),ISBLANK(D1104),ISBLANK(E1104)),"Missing Value",
  D1104&lt;=0,"Review – Out of Range (Coverage)",
  E1104&lt;=0,"Review – Out of Range (Premium)",
  TRUE,"OK"
)</f>
        <v>OK</v>
      </c>
    </row>
    <row r="1105" spans="1:10" ht="16.8" x14ac:dyDescent="0.3">
      <c r="A1105" s="14" t="s">
        <v>4758</v>
      </c>
      <c r="B1105" s="14" t="s">
        <v>2347</v>
      </c>
      <c r="C1105" s="14" t="s">
        <v>3359</v>
      </c>
      <c r="D1105" s="14">
        <v>328478.93</v>
      </c>
      <c r="E1105" s="14">
        <v>25048.23</v>
      </c>
      <c r="F1105" s="15">
        <v>44498</v>
      </c>
      <c r="G1105" s="15">
        <v>44970</v>
      </c>
      <c r="H1105" s="14" t="s">
        <v>3558</v>
      </c>
      <c r="I1105" s="14" t="s">
        <v>3373</v>
      </c>
      <c r="J1105" s="13" t="str" cm="1">
        <f t="array" ref="J1105">_xlfn.IFS(
  OR(ISBLANK(A1105),ISBLANK(B1105),ISBLANK(H1105),ISBLANK(D1105),ISBLANK(E1105)),"Missing Value",
  D1105&lt;=0,"Review – Out of Range (Coverage)",
  E1105&lt;=0,"Review – Out of Range (Premium)",
  TRUE,"OK"
)</f>
        <v>OK</v>
      </c>
    </row>
    <row r="1106" spans="1:10" ht="16.8" x14ac:dyDescent="0.3">
      <c r="A1106" s="11" t="s">
        <v>4759</v>
      </c>
      <c r="B1106" s="11" t="s">
        <v>935</v>
      </c>
      <c r="C1106" s="11" t="s">
        <v>3359</v>
      </c>
      <c r="D1106" s="11">
        <v>271810.40000000002</v>
      </c>
      <c r="E1106" s="11">
        <v>28085.59</v>
      </c>
      <c r="F1106" s="12">
        <v>44861</v>
      </c>
      <c r="G1106" s="12">
        <v>45506</v>
      </c>
      <c r="H1106" s="11" t="s">
        <v>3614</v>
      </c>
      <c r="I1106" s="11" t="s">
        <v>3361</v>
      </c>
      <c r="J1106" s="13" t="str" cm="1">
        <f t="array" ref="J1106">_xlfn.IFS(
  OR(ISBLANK(A1106),ISBLANK(B1106),ISBLANK(H1106),ISBLANK(D1106),ISBLANK(E1106)),"Missing Value",
  D1106&lt;=0,"Review – Out of Range (Coverage)",
  E1106&lt;=0,"Review – Out of Range (Premium)",
  TRUE,"OK"
)</f>
        <v>OK</v>
      </c>
    </row>
    <row r="1107" spans="1:10" ht="16.8" x14ac:dyDescent="0.3">
      <c r="A1107" s="14" t="s">
        <v>4760</v>
      </c>
      <c r="B1107" s="14" t="s">
        <v>112</v>
      </c>
      <c r="C1107" s="14" t="s">
        <v>3359</v>
      </c>
      <c r="D1107" s="14">
        <v>213177.14</v>
      </c>
      <c r="E1107" s="14">
        <v>25587.96</v>
      </c>
      <c r="F1107" s="15">
        <v>44250</v>
      </c>
      <c r="G1107" s="15">
        <v>45411</v>
      </c>
      <c r="H1107" s="14" t="s">
        <v>3738</v>
      </c>
      <c r="I1107" s="14" t="s">
        <v>3365</v>
      </c>
      <c r="J1107" s="13" t="str" cm="1">
        <f t="array" ref="J1107">_xlfn.IFS(
  OR(ISBLANK(A1107),ISBLANK(B1107),ISBLANK(H1107),ISBLANK(D1107),ISBLANK(E1107)),"Missing Value",
  D1107&lt;=0,"Review – Out of Range (Coverage)",
  E1107&lt;=0,"Review – Out of Range (Premium)",
  TRUE,"OK"
)</f>
        <v>OK</v>
      </c>
    </row>
    <row r="1108" spans="1:10" ht="16.8" x14ac:dyDescent="0.3">
      <c r="A1108" s="11" t="s">
        <v>4761</v>
      </c>
      <c r="B1108" s="11" t="s">
        <v>2885</v>
      </c>
      <c r="C1108" s="11" t="s">
        <v>3359</v>
      </c>
      <c r="D1108" s="11">
        <v>208791.58</v>
      </c>
      <c r="E1108" s="11">
        <v>40176.050000000003</v>
      </c>
      <c r="F1108" s="12">
        <v>45479</v>
      </c>
      <c r="G1108" s="12">
        <v>45849</v>
      </c>
      <c r="H1108" s="11" t="s">
        <v>3463</v>
      </c>
      <c r="I1108" s="11" t="s">
        <v>3361</v>
      </c>
      <c r="J1108" s="13" t="str" cm="1">
        <f t="array" ref="J1108">_xlfn.IFS(
  OR(ISBLANK(A1108),ISBLANK(B1108),ISBLANK(H1108),ISBLANK(D1108),ISBLANK(E1108)),"Missing Value",
  D1108&lt;=0,"Review – Out of Range (Coverage)",
  E1108&lt;=0,"Review – Out of Range (Premium)",
  TRUE,"OK"
)</f>
        <v>OK</v>
      </c>
    </row>
    <row r="1109" spans="1:10" ht="16.8" x14ac:dyDescent="0.3">
      <c r="A1109" s="14" t="s">
        <v>4762</v>
      </c>
      <c r="B1109" s="14" t="s">
        <v>1043</v>
      </c>
      <c r="C1109" s="14" t="s">
        <v>3377</v>
      </c>
      <c r="D1109" s="14">
        <v>411480.5</v>
      </c>
      <c r="E1109" s="14">
        <v>6813.47</v>
      </c>
      <c r="F1109" s="15">
        <v>44807</v>
      </c>
      <c r="G1109" s="15">
        <v>44963</v>
      </c>
      <c r="H1109" s="14" t="s">
        <v>4114</v>
      </c>
      <c r="I1109" s="14" t="s">
        <v>3373</v>
      </c>
      <c r="J1109" s="13" t="str" cm="1">
        <f t="array" ref="J1109">_xlfn.IFS(
  OR(ISBLANK(A1109),ISBLANK(B1109),ISBLANK(H1109),ISBLANK(D1109),ISBLANK(E1109)),"Missing Value",
  D1109&lt;=0,"Review – Out of Range (Coverage)",
  E1109&lt;=0,"Review – Out of Range (Premium)",
  TRUE,"OK"
)</f>
        <v>OK</v>
      </c>
    </row>
    <row r="1110" spans="1:10" ht="16.8" x14ac:dyDescent="0.3">
      <c r="A1110" s="11" t="s">
        <v>4763</v>
      </c>
      <c r="B1110" s="11" t="s">
        <v>3080</v>
      </c>
      <c r="C1110" s="11" t="s">
        <v>3371</v>
      </c>
      <c r="D1110" s="11">
        <v>318593.77</v>
      </c>
      <c r="E1110" s="11">
        <v>14405.69</v>
      </c>
      <c r="F1110" s="12">
        <v>44713</v>
      </c>
      <c r="G1110" s="12">
        <v>45209</v>
      </c>
      <c r="H1110" s="11" t="s">
        <v>3721</v>
      </c>
      <c r="I1110" s="11" t="s">
        <v>3373</v>
      </c>
      <c r="J1110" s="13" t="str" cm="1">
        <f t="array" ref="J1110">_xlfn.IFS(
  OR(ISBLANK(A1110),ISBLANK(B1110),ISBLANK(H1110),ISBLANK(D1110),ISBLANK(E1110)),"Missing Value",
  D1110&lt;=0,"Review – Out of Range (Coverage)",
  E1110&lt;=0,"Review – Out of Range (Premium)",
  TRUE,"OK"
)</f>
        <v>OK</v>
      </c>
    </row>
    <row r="1111" spans="1:10" ht="16.8" x14ac:dyDescent="0.3">
      <c r="A1111" s="14" t="s">
        <v>4764</v>
      </c>
      <c r="B1111" s="14" t="s">
        <v>2529</v>
      </c>
      <c r="C1111" s="14" t="s">
        <v>3380</v>
      </c>
      <c r="D1111" s="14">
        <v>421926.77</v>
      </c>
      <c r="E1111" s="14">
        <v>42793.69</v>
      </c>
      <c r="F1111" s="15">
        <v>44188</v>
      </c>
      <c r="G1111" s="15">
        <v>44799</v>
      </c>
      <c r="H1111" s="14" t="s">
        <v>3675</v>
      </c>
      <c r="I1111" s="14" t="s">
        <v>3373</v>
      </c>
      <c r="J1111" s="13" t="str" cm="1">
        <f t="array" ref="J1111">_xlfn.IFS(
  OR(ISBLANK(A1111),ISBLANK(B1111),ISBLANK(H1111),ISBLANK(D1111),ISBLANK(E1111)),"Missing Value",
  D1111&lt;=0,"Review – Out of Range (Coverage)",
  E1111&lt;=0,"Review – Out of Range (Premium)",
  TRUE,"OK"
)</f>
        <v>OK</v>
      </c>
    </row>
    <row r="1112" spans="1:10" ht="16.8" x14ac:dyDescent="0.3">
      <c r="A1112" s="11" t="s">
        <v>4765</v>
      </c>
      <c r="B1112" s="11" t="s">
        <v>2461</v>
      </c>
      <c r="C1112" s="11" t="s">
        <v>3380</v>
      </c>
      <c r="D1112" s="11">
        <v>997255.96</v>
      </c>
      <c r="E1112" s="11">
        <v>33294.550000000003</v>
      </c>
      <c r="F1112" s="12">
        <v>44848</v>
      </c>
      <c r="G1112" s="12">
        <v>45589</v>
      </c>
      <c r="H1112" s="11" t="s">
        <v>4766</v>
      </c>
      <c r="I1112" s="11" t="s">
        <v>3361</v>
      </c>
      <c r="J1112" s="13" t="str" cm="1">
        <f t="array" ref="J1112">_xlfn.IFS(
  OR(ISBLANK(A1112),ISBLANK(B1112),ISBLANK(H1112),ISBLANK(D1112),ISBLANK(E1112)),"Missing Value",
  D1112&lt;=0,"Review – Out of Range (Coverage)",
  E1112&lt;=0,"Review – Out of Range (Premium)",
  TRUE,"OK"
)</f>
        <v>OK</v>
      </c>
    </row>
    <row r="1113" spans="1:10" ht="16.8" x14ac:dyDescent="0.3">
      <c r="A1113" s="14" t="s">
        <v>4767</v>
      </c>
      <c r="B1113" s="14" t="s">
        <v>2647</v>
      </c>
      <c r="C1113" s="14" t="s">
        <v>3377</v>
      </c>
      <c r="D1113" s="14">
        <v>551250.19999999995</v>
      </c>
      <c r="E1113" s="14">
        <v>45784.52</v>
      </c>
      <c r="F1113" s="15">
        <v>44271</v>
      </c>
      <c r="G1113" s="15">
        <v>44602</v>
      </c>
      <c r="H1113" s="14" t="s">
        <v>4198</v>
      </c>
      <c r="I1113" s="14" t="s">
        <v>3373</v>
      </c>
      <c r="J1113" s="13" t="str" cm="1">
        <f t="array" ref="J1113">_xlfn.IFS(
  OR(ISBLANK(A1113),ISBLANK(B1113),ISBLANK(H1113),ISBLANK(D1113),ISBLANK(E1113)),"Missing Value",
  D1113&lt;=0,"Review – Out of Range (Coverage)",
  E1113&lt;=0,"Review – Out of Range (Premium)",
  TRUE,"OK"
)</f>
        <v>OK</v>
      </c>
    </row>
    <row r="1114" spans="1:10" ht="16.8" x14ac:dyDescent="0.3">
      <c r="A1114" s="11" t="s">
        <v>4768</v>
      </c>
      <c r="B1114" s="11" t="s">
        <v>3118</v>
      </c>
      <c r="C1114" s="11" t="s">
        <v>3371</v>
      </c>
      <c r="D1114" s="11">
        <v>181210.84</v>
      </c>
      <c r="E1114" s="11">
        <v>21275.86</v>
      </c>
      <c r="F1114" s="12">
        <v>45200</v>
      </c>
      <c r="G1114" s="12">
        <v>45560</v>
      </c>
      <c r="H1114" s="11" t="s">
        <v>3534</v>
      </c>
      <c r="I1114" s="11" t="s">
        <v>3373</v>
      </c>
      <c r="J1114" s="13" t="str" cm="1">
        <f t="array" ref="J1114">_xlfn.IFS(
  OR(ISBLANK(A1114),ISBLANK(B1114),ISBLANK(H1114),ISBLANK(D1114),ISBLANK(E1114)),"Missing Value",
  D1114&lt;=0,"Review – Out of Range (Coverage)",
  E1114&lt;=0,"Review – Out of Range (Premium)",
  TRUE,"OK"
)</f>
        <v>OK</v>
      </c>
    </row>
    <row r="1115" spans="1:10" ht="16.8" x14ac:dyDescent="0.3">
      <c r="A1115" s="14" t="s">
        <v>4769</v>
      </c>
      <c r="B1115" s="14" t="s">
        <v>2859</v>
      </c>
      <c r="C1115" s="14" t="s">
        <v>3359</v>
      </c>
      <c r="D1115" s="14">
        <v>557551.5</v>
      </c>
      <c r="E1115" s="14">
        <v>12824.35</v>
      </c>
      <c r="F1115" s="15">
        <v>44279</v>
      </c>
      <c r="G1115" s="15">
        <v>44679</v>
      </c>
      <c r="H1115" s="14" t="s">
        <v>3863</v>
      </c>
      <c r="I1115" s="14" t="s">
        <v>3365</v>
      </c>
      <c r="J1115" s="13" t="str" cm="1">
        <f t="array" ref="J1115">_xlfn.IFS(
  OR(ISBLANK(A1115),ISBLANK(B1115),ISBLANK(H1115),ISBLANK(D1115),ISBLANK(E1115)),"Missing Value",
  D1115&lt;=0,"Review – Out of Range (Coverage)",
  E1115&lt;=0,"Review – Out of Range (Premium)",
  TRUE,"OK"
)</f>
        <v>OK</v>
      </c>
    </row>
    <row r="1116" spans="1:10" ht="16.8" x14ac:dyDescent="0.3">
      <c r="A1116" s="11" t="s">
        <v>4770</v>
      </c>
      <c r="B1116" s="11" t="s">
        <v>434</v>
      </c>
      <c r="C1116" s="11" t="s">
        <v>3363</v>
      </c>
      <c r="D1116" s="11">
        <v>314395.03000000003</v>
      </c>
      <c r="E1116" s="11">
        <v>20471.13</v>
      </c>
      <c r="F1116" s="12">
        <v>44968</v>
      </c>
      <c r="G1116" s="12">
        <v>45092</v>
      </c>
      <c r="H1116" s="11" t="s">
        <v>3360</v>
      </c>
      <c r="I1116" s="11" t="s">
        <v>3373</v>
      </c>
      <c r="J1116" s="13" t="str" cm="1">
        <f t="array" ref="J1116">_xlfn.IFS(
  OR(ISBLANK(A1116),ISBLANK(B1116),ISBLANK(H1116),ISBLANK(D1116),ISBLANK(E1116)),"Missing Value",
  D1116&lt;=0,"Review – Out of Range (Coverage)",
  E1116&lt;=0,"Review – Out of Range (Premium)",
  TRUE,"OK"
)</f>
        <v>OK</v>
      </c>
    </row>
    <row r="1117" spans="1:10" ht="16.8" x14ac:dyDescent="0.3">
      <c r="A1117" s="14" t="s">
        <v>4771</v>
      </c>
      <c r="B1117" s="14" t="s">
        <v>2249</v>
      </c>
      <c r="C1117" s="14" t="s">
        <v>3359</v>
      </c>
      <c r="D1117" s="14">
        <v>969590.4</v>
      </c>
      <c r="E1117" s="14">
        <v>15774.23</v>
      </c>
      <c r="F1117" s="15">
        <v>44718</v>
      </c>
      <c r="G1117" s="15">
        <v>45819</v>
      </c>
      <c r="H1117" s="14" t="s">
        <v>3397</v>
      </c>
      <c r="I1117" s="14" t="s">
        <v>3365</v>
      </c>
      <c r="J1117" s="13" t="str" cm="1">
        <f t="array" ref="J1117">_xlfn.IFS(
  OR(ISBLANK(A1117),ISBLANK(B1117),ISBLANK(H1117),ISBLANK(D1117),ISBLANK(E1117)),"Missing Value",
  D1117&lt;=0,"Review – Out of Range (Coverage)",
  E1117&lt;=0,"Review – Out of Range (Premium)",
  TRUE,"OK"
)</f>
        <v>OK</v>
      </c>
    </row>
    <row r="1118" spans="1:10" ht="16.8" x14ac:dyDescent="0.3">
      <c r="A1118" s="11" t="s">
        <v>4772</v>
      </c>
      <c r="B1118" s="11" t="s">
        <v>3106</v>
      </c>
      <c r="C1118" s="11" t="s">
        <v>3380</v>
      </c>
      <c r="D1118" s="11">
        <v>910853.56</v>
      </c>
      <c r="E1118" s="11">
        <v>23504.43</v>
      </c>
      <c r="F1118" s="12">
        <v>45262</v>
      </c>
      <c r="G1118" s="12">
        <v>45365</v>
      </c>
      <c r="H1118" s="11" t="s">
        <v>3841</v>
      </c>
      <c r="I1118" s="11" t="s">
        <v>3361</v>
      </c>
      <c r="J1118" s="13" t="str" cm="1">
        <f t="array" ref="J1118">_xlfn.IFS(
  OR(ISBLANK(A1118),ISBLANK(B1118),ISBLANK(H1118),ISBLANK(D1118),ISBLANK(E1118)),"Missing Value",
  D1118&lt;=0,"Review – Out of Range (Coverage)",
  E1118&lt;=0,"Review – Out of Range (Premium)",
  TRUE,"OK"
)</f>
        <v>OK</v>
      </c>
    </row>
    <row r="1119" spans="1:10" ht="16.8" x14ac:dyDescent="0.3">
      <c r="A1119" s="14" t="s">
        <v>4773</v>
      </c>
      <c r="B1119" s="14" t="s">
        <v>3218</v>
      </c>
      <c r="C1119" s="14" t="s">
        <v>3359</v>
      </c>
      <c r="D1119" s="14">
        <v>184847.61</v>
      </c>
      <c r="E1119" s="14">
        <v>31750.26</v>
      </c>
      <c r="F1119" s="15">
        <v>45034</v>
      </c>
      <c r="G1119" s="15">
        <v>45467</v>
      </c>
      <c r="H1119" s="14" t="s">
        <v>3459</v>
      </c>
      <c r="I1119" s="14" t="s">
        <v>3361</v>
      </c>
      <c r="J1119" s="13" t="str" cm="1">
        <f t="array" ref="J1119">_xlfn.IFS(
  OR(ISBLANK(A1119),ISBLANK(B1119),ISBLANK(H1119),ISBLANK(D1119),ISBLANK(E1119)),"Missing Value",
  D1119&lt;=0,"Review – Out of Range (Coverage)",
  E1119&lt;=0,"Review – Out of Range (Premium)",
  TRUE,"OK"
)</f>
        <v>OK</v>
      </c>
    </row>
    <row r="1120" spans="1:10" ht="16.8" x14ac:dyDescent="0.3">
      <c r="A1120" s="11" t="s">
        <v>4774</v>
      </c>
      <c r="B1120" s="11" t="s">
        <v>537</v>
      </c>
      <c r="C1120" s="11" t="s">
        <v>3359</v>
      </c>
      <c r="D1120" s="11">
        <v>728715.44</v>
      </c>
      <c r="E1120" s="11">
        <v>20122.22</v>
      </c>
      <c r="F1120" s="12">
        <v>44333</v>
      </c>
      <c r="G1120" s="12">
        <v>44595</v>
      </c>
      <c r="H1120" s="11" t="s">
        <v>3718</v>
      </c>
      <c r="I1120" s="11" t="s">
        <v>3361</v>
      </c>
      <c r="J1120" s="13" t="str" cm="1">
        <f t="array" ref="J1120">_xlfn.IFS(
  OR(ISBLANK(A1120),ISBLANK(B1120),ISBLANK(H1120),ISBLANK(D1120),ISBLANK(E1120)),"Missing Value",
  D1120&lt;=0,"Review – Out of Range (Coverage)",
  E1120&lt;=0,"Review – Out of Range (Premium)",
  TRUE,"OK"
)</f>
        <v>OK</v>
      </c>
    </row>
    <row r="1121" spans="1:10" ht="16.8" x14ac:dyDescent="0.3">
      <c r="A1121" s="14" t="s">
        <v>4775</v>
      </c>
      <c r="B1121" s="14" t="s">
        <v>1297</v>
      </c>
      <c r="C1121" s="14" t="s">
        <v>3363</v>
      </c>
      <c r="D1121" s="14">
        <v>544746.51</v>
      </c>
      <c r="E1121" s="14">
        <v>19415.669999999998</v>
      </c>
      <c r="F1121" s="15">
        <v>44681</v>
      </c>
      <c r="G1121" s="15">
        <v>45528</v>
      </c>
      <c r="H1121" s="14" t="s">
        <v>4650</v>
      </c>
      <c r="I1121" s="14" t="s">
        <v>3373</v>
      </c>
      <c r="J1121" s="13" t="str" cm="1">
        <f t="array" ref="J1121">_xlfn.IFS(
  OR(ISBLANK(A1121),ISBLANK(B1121),ISBLANK(H1121),ISBLANK(D1121),ISBLANK(E1121)),"Missing Value",
  D1121&lt;=0,"Review – Out of Range (Coverage)",
  E1121&lt;=0,"Review – Out of Range (Premium)",
  TRUE,"OK"
)</f>
        <v>OK</v>
      </c>
    </row>
    <row r="1122" spans="1:10" ht="16.8" x14ac:dyDescent="0.3">
      <c r="A1122" s="11" t="s">
        <v>4776</v>
      </c>
      <c r="B1122" s="11" t="s">
        <v>1491</v>
      </c>
      <c r="C1122" s="11" t="s">
        <v>3380</v>
      </c>
      <c r="D1122" s="11">
        <v>281963.31</v>
      </c>
      <c r="E1122" s="11">
        <v>26201.88</v>
      </c>
      <c r="F1122" s="12">
        <v>45471</v>
      </c>
      <c r="G1122" s="12">
        <v>45770</v>
      </c>
      <c r="H1122" s="11" t="s">
        <v>3997</v>
      </c>
      <c r="I1122" s="11" t="s">
        <v>3365</v>
      </c>
      <c r="J1122" s="13" t="str" cm="1">
        <f t="array" ref="J1122">_xlfn.IFS(
  OR(ISBLANK(A1122),ISBLANK(B1122),ISBLANK(H1122),ISBLANK(D1122),ISBLANK(E1122)),"Missing Value",
  D1122&lt;=0,"Review – Out of Range (Coverage)",
  E1122&lt;=0,"Review – Out of Range (Premium)",
  TRUE,"OK"
)</f>
        <v>OK</v>
      </c>
    </row>
    <row r="1123" spans="1:10" ht="16.8" x14ac:dyDescent="0.3">
      <c r="A1123" s="14" t="s">
        <v>4777</v>
      </c>
      <c r="B1123" s="14" t="s">
        <v>2517</v>
      </c>
      <c r="C1123" s="14" t="s">
        <v>3371</v>
      </c>
      <c r="D1123" s="14">
        <v>161248.38</v>
      </c>
      <c r="E1123" s="14">
        <v>27574.61</v>
      </c>
      <c r="F1123" s="15">
        <v>44461</v>
      </c>
      <c r="G1123" s="15">
        <v>44950</v>
      </c>
      <c r="H1123" s="14" t="s">
        <v>3591</v>
      </c>
      <c r="I1123" s="14" t="s">
        <v>3373</v>
      </c>
      <c r="J1123" s="13" t="str" cm="1">
        <f t="array" ref="J1123">_xlfn.IFS(
  OR(ISBLANK(A1123),ISBLANK(B1123),ISBLANK(H1123),ISBLANK(D1123),ISBLANK(E1123)),"Missing Value",
  D1123&lt;=0,"Review – Out of Range (Coverage)",
  E1123&lt;=0,"Review – Out of Range (Premium)",
  TRUE,"OK"
)</f>
        <v>OK</v>
      </c>
    </row>
    <row r="1124" spans="1:10" ht="16.8" x14ac:dyDescent="0.3">
      <c r="A1124" s="11" t="s">
        <v>4778</v>
      </c>
      <c r="B1124" s="11" t="s">
        <v>1545</v>
      </c>
      <c r="C1124" s="11" t="s">
        <v>3371</v>
      </c>
      <c r="D1124" s="11">
        <v>867534.09</v>
      </c>
      <c r="E1124" s="11">
        <v>23930.44</v>
      </c>
      <c r="F1124" s="12">
        <v>44305</v>
      </c>
      <c r="G1124" s="12">
        <v>45040</v>
      </c>
      <c r="H1124" s="11" t="s">
        <v>3567</v>
      </c>
      <c r="I1124" s="11" t="s">
        <v>3361</v>
      </c>
      <c r="J1124" s="13" t="str" cm="1">
        <f t="array" ref="J1124">_xlfn.IFS(
  OR(ISBLANK(A1124),ISBLANK(B1124),ISBLANK(H1124),ISBLANK(D1124),ISBLANK(E1124)),"Missing Value",
  D1124&lt;=0,"Review – Out of Range (Coverage)",
  E1124&lt;=0,"Review – Out of Range (Premium)",
  TRUE,"OK"
)</f>
        <v>OK</v>
      </c>
    </row>
    <row r="1125" spans="1:10" ht="16.8" x14ac:dyDescent="0.3">
      <c r="A1125" s="14" t="s">
        <v>4779</v>
      </c>
      <c r="B1125" s="14" t="s">
        <v>573</v>
      </c>
      <c r="C1125" s="14" t="s">
        <v>3377</v>
      </c>
      <c r="D1125" s="14">
        <v>287678.09999999998</v>
      </c>
      <c r="E1125" s="14">
        <v>47699.5</v>
      </c>
      <c r="F1125" s="15">
        <v>45271</v>
      </c>
      <c r="G1125" s="15">
        <v>45597</v>
      </c>
      <c r="H1125" s="14" t="s">
        <v>3477</v>
      </c>
      <c r="I1125" s="14" t="s">
        <v>3361</v>
      </c>
      <c r="J1125" s="13" t="str" cm="1">
        <f t="array" ref="J1125">_xlfn.IFS(
  OR(ISBLANK(A1125),ISBLANK(B1125),ISBLANK(H1125),ISBLANK(D1125),ISBLANK(E1125)),"Missing Value",
  D1125&lt;=0,"Review – Out of Range (Coverage)",
  E1125&lt;=0,"Review – Out of Range (Premium)",
  TRUE,"OK"
)</f>
        <v>OK</v>
      </c>
    </row>
    <row r="1126" spans="1:10" ht="16.8" x14ac:dyDescent="0.3">
      <c r="A1126" s="11" t="s">
        <v>4780</v>
      </c>
      <c r="B1126" s="11" t="s">
        <v>2645</v>
      </c>
      <c r="C1126" s="11" t="s">
        <v>3359</v>
      </c>
      <c r="D1126" s="11">
        <v>364136.95</v>
      </c>
      <c r="E1126" s="11">
        <v>23700.11</v>
      </c>
      <c r="F1126" s="12">
        <v>44238</v>
      </c>
      <c r="G1126" s="12">
        <v>45002</v>
      </c>
      <c r="H1126" s="11" t="s">
        <v>3721</v>
      </c>
      <c r="I1126" s="11" t="s">
        <v>3361</v>
      </c>
      <c r="J1126" s="13" t="str" cm="1">
        <f t="array" ref="J1126">_xlfn.IFS(
  OR(ISBLANK(A1126),ISBLANK(B1126),ISBLANK(H1126),ISBLANK(D1126),ISBLANK(E1126)),"Missing Value",
  D1126&lt;=0,"Review – Out of Range (Coverage)",
  E1126&lt;=0,"Review – Out of Range (Premium)",
  TRUE,"OK"
)</f>
        <v>OK</v>
      </c>
    </row>
    <row r="1127" spans="1:10" ht="16.8" x14ac:dyDescent="0.3">
      <c r="A1127" s="14" t="s">
        <v>4781</v>
      </c>
      <c r="B1127" s="14" t="s">
        <v>480</v>
      </c>
      <c r="C1127" s="14" t="s">
        <v>3377</v>
      </c>
      <c r="D1127" s="14">
        <v>142883.26999999999</v>
      </c>
      <c r="E1127" s="14">
        <v>29012.27</v>
      </c>
      <c r="F1127" s="15">
        <v>45249</v>
      </c>
      <c r="G1127" s="15">
        <v>45291</v>
      </c>
      <c r="H1127" s="14" t="s">
        <v>3405</v>
      </c>
      <c r="I1127" s="14" t="s">
        <v>3365</v>
      </c>
      <c r="J1127" s="13" t="str" cm="1">
        <f t="array" ref="J1127">_xlfn.IFS(
  OR(ISBLANK(A1127),ISBLANK(B1127),ISBLANK(H1127),ISBLANK(D1127),ISBLANK(E1127)),"Missing Value",
  D1127&lt;=0,"Review – Out of Range (Coverage)",
  E1127&lt;=0,"Review – Out of Range (Premium)",
  TRUE,"OK"
)</f>
        <v>OK</v>
      </c>
    </row>
    <row r="1128" spans="1:10" ht="16.8" x14ac:dyDescent="0.3">
      <c r="A1128" s="11" t="s">
        <v>4782</v>
      </c>
      <c r="B1128" s="11" t="s">
        <v>2005</v>
      </c>
      <c r="C1128" s="11" t="s">
        <v>3377</v>
      </c>
      <c r="D1128" s="11">
        <v>128004.97</v>
      </c>
      <c r="E1128" s="11">
        <v>3182.21</v>
      </c>
      <c r="F1128" s="12">
        <v>45033</v>
      </c>
      <c r="G1128" s="12">
        <v>45166</v>
      </c>
      <c r="H1128" s="11" t="s">
        <v>3399</v>
      </c>
      <c r="I1128" s="11" t="s">
        <v>3361</v>
      </c>
      <c r="J1128" s="13" t="str" cm="1">
        <f t="array" ref="J1128">_xlfn.IFS(
  OR(ISBLANK(A1128),ISBLANK(B1128),ISBLANK(H1128),ISBLANK(D1128),ISBLANK(E1128)),"Missing Value",
  D1128&lt;=0,"Review – Out of Range (Coverage)",
  E1128&lt;=0,"Review – Out of Range (Premium)",
  TRUE,"OK"
)</f>
        <v>OK</v>
      </c>
    </row>
    <row r="1129" spans="1:10" ht="16.8" x14ac:dyDescent="0.3">
      <c r="A1129" s="14" t="s">
        <v>4783</v>
      </c>
      <c r="B1129" s="14" t="s">
        <v>101</v>
      </c>
      <c r="C1129" s="14" t="s">
        <v>3377</v>
      </c>
      <c r="D1129" s="14">
        <v>962892.87</v>
      </c>
      <c r="E1129" s="14">
        <v>26138.11</v>
      </c>
      <c r="F1129" s="15">
        <v>44932</v>
      </c>
      <c r="G1129" s="15">
        <v>45332</v>
      </c>
      <c r="H1129" s="14" t="s">
        <v>4231</v>
      </c>
      <c r="I1129" s="14" t="s">
        <v>3361</v>
      </c>
      <c r="J1129" s="13" t="str" cm="1">
        <f t="array" ref="J1129">_xlfn.IFS(
  OR(ISBLANK(A1129),ISBLANK(B1129),ISBLANK(H1129),ISBLANK(D1129),ISBLANK(E1129)),"Missing Value",
  D1129&lt;=0,"Review – Out of Range (Coverage)",
  E1129&lt;=0,"Review – Out of Range (Premium)",
  TRUE,"OK"
)</f>
        <v>OK</v>
      </c>
    </row>
    <row r="1130" spans="1:10" ht="16.8" x14ac:dyDescent="0.3">
      <c r="A1130" s="11" t="s">
        <v>4784</v>
      </c>
      <c r="B1130" s="11" t="s">
        <v>2467</v>
      </c>
      <c r="C1130" s="11" t="s">
        <v>3371</v>
      </c>
      <c r="D1130" s="11">
        <v>465618.83</v>
      </c>
      <c r="E1130" s="11">
        <v>3843.19</v>
      </c>
      <c r="F1130" s="12">
        <v>45334</v>
      </c>
      <c r="G1130" s="12">
        <v>45667</v>
      </c>
      <c r="H1130" s="11" t="s">
        <v>3444</v>
      </c>
      <c r="I1130" s="11" t="s">
        <v>3365</v>
      </c>
      <c r="J1130" s="13" t="str" cm="1">
        <f t="array" ref="J1130">_xlfn.IFS(
  OR(ISBLANK(A1130),ISBLANK(B1130),ISBLANK(H1130),ISBLANK(D1130),ISBLANK(E1130)),"Missing Value",
  D1130&lt;=0,"Review – Out of Range (Coverage)",
  E1130&lt;=0,"Review – Out of Range (Premium)",
  TRUE,"OK"
)</f>
        <v>OK</v>
      </c>
    </row>
    <row r="1131" spans="1:10" ht="16.8" x14ac:dyDescent="0.3">
      <c r="A1131" s="14" t="s">
        <v>4785</v>
      </c>
      <c r="B1131" s="14" t="s">
        <v>1789</v>
      </c>
      <c r="C1131" s="14" t="s">
        <v>3363</v>
      </c>
      <c r="D1131" s="14">
        <v>262040.57</v>
      </c>
      <c r="E1131" s="14">
        <v>20079.939999999999</v>
      </c>
      <c r="F1131" s="15">
        <v>44513</v>
      </c>
      <c r="G1131" s="15">
        <v>44725</v>
      </c>
      <c r="H1131" s="14" t="s">
        <v>3852</v>
      </c>
      <c r="I1131" s="14" t="s">
        <v>3365</v>
      </c>
      <c r="J1131" s="13" t="str" cm="1">
        <f t="array" ref="J1131">_xlfn.IFS(
  OR(ISBLANK(A1131),ISBLANK(B1131),ISBLANK(H1131),ISBLANK(D1131),ISBLANK(E1131)),"Missing Value",
  D1131&lt;=0,"Review – Out of Range (Coverage)",
  E1131&lt;=0,"Review – Out of Range (Premium)",
  TRUE,"OK"
)</f>
        <v>OK</v>
      </c>
    </row>
    <row r="1132" spans="1:10" ht="16.8" x14ac:dyDescent="0.3">
      <c r="A1132" s="11" t="s">
        <v>4786</v>
      </c>
      <c r="B1132" s="11" t="s">
        <v>827</v>
      </c>
      <c r="C1132" s="11" t="s">
        <v>3377</v>
      </c>
      <c r="D1132" s="11">
        <v>964859.23</v>
      </c>
      <c r="E1132" s="11">
        <v>22791.3</v>
      </c>
      <c r="F1132" s="12">
        <v>45105</v>
      </c>
      <c r="G1132" s="12">
        <v>45353</v>
      </c>
      <c r="H1132" s="11" t="s">
        <v>3447</v>
      </c>
      <c r="I1132" s="11" t="s">
        <v>3373</v>
      </c>
      <c r="J1132" s="13" t="str" cm="1">
        <f t="array" ref="J1132">_xlfn.IFS(
  OR(ISBLANK(A1132),ISBLANK(B1132),ISBLANK(H1132),ISBLANK(D1132),ISBLANK(E1132)),"Missing Value",
  D1132&lt;=0,"Review – Out of Range (Coverage)",
  E1132&lt;=0,"Review – Out of Range (Premium)",
  TRUE,"OK"
)</f>
        <v>OK</v>
      </c>
    </row>
    <row r="1133" spans="1:10" ht="16.8" x14ac:dyDescent="0.3">
      <c r="A1133" s="14" t="s">
        <v>4787</v>
      </c>
      <c r="B1133" s="14" t="s">
        <v>318</v>
      </c>
      <c r="C1133" s="14" t="s">
        <v>3371</v>
      </c>
      <c r="D1133" s="14">
        <v>521987.97</v>
      </c>
      <c r="E1133" s="14">
        <v>45295.13</v>
      </c>
      <c r="F1133" s="15">
        <v>44522</v>
      </c>
      <c r="G1133" s="15">
        <v>45440</v>
      </c>
      <c r="H1133" s="14" t="s">
        <v>3411</v>
      </c>
      <c r="I1133" s="14" t="s">
        <v>3365</v>
      </c>
      <c r="J1133" s="13" t="str" cm="1">
        <f t="array" ref="J1133">_xlfn.IFS(
  OR(ISBLANK(A1133),ISBLANK(B1133),ISBLANK(H1133),ISBLANK(D1133),ISBLANK(E1133)),"Missing Value",
  D1133&lt;=0,"Review – Out of Range (Coverage)",
  E1133&lt;=0,"Review – Out of Range (Premium)",
  TRUE,"OK"
)</f>
        <v>OK</v>
      </c>
    </row>
    <row r="1134" spans="1:10" ht="16.8" x14ac:dyDescent="0.3">
      <c r="A1134" s="11" t="s">
        <v>4788</v>
      </c>
      <c r="B1134" s="11" t="s">
        <v>1215</v>
      </c>
      <c r="C1134" s="11" t="s">
        <v>3377</v>
      </c>
      <c r="D1134" s="11">
        <v>970649</v>
      </c>
      <c r="E1134" s="11">
        <v>17862.330000000002</v>
      </c>
      <c r="F1134" s="12">
        <v>45329</v>
      </c>
      <c r="G1134" s="12">
        <v>45346</v>
      </c>
      <c r="H1134" s="11" t="s">
        <v>4158</v>
      </c>
      <c r="I1134" s="11" t="s">
        <v>3361</v>
      </c>
      <c r="J1134" s="13" t="str" cm="1">
        <f t="array" ref="J1134">_xlfn.IFS(
  OR(ISBLANK(A1134),ISBLANK(B1134),ISBLANK(H1134),ISBLANK(D1134),ISBLANK(E1134)),"Missing Value",
  D1134&lt;=0,"Review – Out of Range (Coverage)",
  E1134&lt;=0,"Review – Out of Range (Premium)",
  TRUE,"OK"
)</f>
        <v>OK</v>
      </c>
    </row>
    <row r="1135" spans="1:10" ht="16.8" x14ac:dyDescent="0.3">
      <c r="A1135" s="14" t="s">
        <v>4789</v>
      </c>
      <c r="B1135" s="14" t="s">
        <v>366</v>
      </c>
      <c r="C1135" s="14" t="s">
        <v>3363</v>
      </c>
      <c r="D1135" s="14">
        <v>267065.83</v>
      </c>
      <c r="E1135" s="14">
        <v>21772.240000000002</v>
      </c>
      <c r="F1135" s="15">
        <v>44822</v>
      </c>
      <c r="G1135" s="15">
        <v>45088</v>
      </c>
      <c r="H1135" s="14" t="s">
        <v>4102</v>
      </c>
      <c r="I1135" s="14" t="s">
        <v>3373</v>
      </c>
      <c r="J1135" s="13" t="str" cm="1">
        <f t="array" ref="J1135">_xlfn.IFS(
  OR(ISBLANK(A1135),ISBLANK(B1135),ISBLANK(H1135),ISBLANK(D1135),ISBLANK(E1135)),"Missing Value",
  D1135&lt;=0,"Review – Out of Range (Coverage)",
  E1135&lt;=0,"Review – Out of Range (Premium)",
  TRUE,"OK"
)</f>
        <v>OK</v>
      </c>
    </row>
    <row r="1136" spans="1:10" ht="16.8" x14ac:dyDescent="0.3">
      <c r="A1136" s="11" t="s">
        <v>4790</v>
      </c>
      <c r="B1136" s="11" t="s">
        <v>1673</v>
      </c>
      <c r="C1136" s="11" t="s">
        <v>3359</v>
      </c>
      <c r="D1136" s="11">
        <v>535975.48</v>
      </c>
      <c r="E1136" s="11">
        <v>25276.240000000002</v>
      </c>
      <c r="F1136" s="12">
        <v>44225</v>
      </c>
      <c r="G1136" s="12">
        <v>44928</v>
      </c>
      <c r="H1136" s="11" t="s">
        <v>3725</v>
      </c>
      <c r="I1136" s="11" t="s">
        <v>3373</v>
      </c>
      <c r="J1136" s="13" t="str" cm="1">
        <f t="array" ref="J1136">_xlfn.IFS(
  OR(ISBLANK(A1136),ISBLANK(B1136),ISBLANK(H1136),ISBLANK(D1136),ISBLANK(E1136)),"Missing Value",
  D1136&lt;=0,"Review – Out of Range (Coverage)",
  E1136&lt;=0,"Review – Out of Range (Premium)",
  TRUE,"OK"
)</f>
        <v>OK</v>
      </c>
    </row>
    <row r="1137" spans="1:10" ht="16.8" x14ac:dyDescent="0.3">
      <c r="A1137" s="14" t="s">
        <v>4791</v>
      </c>
      <c r="B1137" s="14" t="s">
        <v>1371</v>
      </c>
      <c r="C1137" s="14" t="s">
        <v>3359</v>
      </c>
      <c r="D1137" s="14">
        <v>296162.77</v>
      </c>
      <c r="E1137" s="14">
        <v>21586.94</v>
      </c>
      <c r="F1137" s="15">
        <v>44289</v>
      </c>
      <c r="G1137" s="15">
        <v>45375</v>
      </c>
      <c r="H1137" s="14" t="s">
        <v>3997</v>
      </c>
      <c r="I1137" s="14" t="s">
        <v>3365</v>
      </c>
      <c r="J1137" s="13" t="str" cm="1">
        <f t="array" ref="J1137">_xlfn.IFS(
  OR(ISBLANK(A1137),ISBLANK(B1137),ISBLANK(H1137),ISBLANK(D1137),ISBLANK(E1137)),"Missing Value",
  D1137&lt;=0,"Review – Out of Range (Coverage)",
  E1137&lt;=0,"Review – Out of Range (Premium)",
  TRUE,"OK"
)</f>
        <v>OK</v>
      </c>
    </row>
    <row r="1138" spans="1:10" ht="16.8" x14ac:dyDescent="0.3">
      <c r="A1138" s="11" t="s">
        <v>4792</v>
      </c>
      <c r="B1138" s="11" t="s">
        <v>717</v>
      </c>
      <c r="C1138" s="11" t="s">
        <v>3377</v>
      </c>
      <c r="D1138" s="11">
        <v>313234.90999999997</v>
      </c>
      <c r="E1138" s="11">
        <v>20254.84</v>
      </c>
      <c r="F1138" s="12">
        <v>45492</v>
      </c>
      <c r="G1138" s="12">
        <v>45542</v>
      </c>
      <c r="H1138" s="11" t="s">
        <v>4749</v>
      </c>
      <c r="I1138" s="11" t="s">
        <v>3373</v>
      </c>
      <c r="J1138" s="13" t="str" cm="1">
        <f t="array" ref="J1138">_xlfn.IFS(
  OR(ISBLANK(A1138),ISBLANK(B1138),ISBLANK(H1138),ISBLANK(D1138),ISBLANK(E1138)),"Missing Value",
  D1138&lt;=0,"Review – Out of Range (Coverage)",
  E1138&lt;=0,"Review – Out of Range (Premium)",
  TRUE,"OK"
)</f>
        <v>OK</v>
      </c>
    </row>
    <row r="1139" spans="1:10" ht="16.8" x14ac:dyDescent="0.3">
      <c r="A1139" s="14" t="s">
        <v>4793</v>
      </c>
      <c r="B1139" s="14" t="s">
        <v>1187</v>
      </c>
      <c r="C1139" s="14" t="s">
        <v>3359</v>
      </c>
      <c r="D1139" s="14">
        <v>930436.04</v>
      </c>
      <c r="E1139" s="14">
        <v>33184.269999999997</v>
      </c>
      <c r="F1139" s="15">
        <v>44388</v>
      </c>
      <c r="G1139" s="15">
        <v>44444</v>
      </c>
      <c r="H1139" s="14" t="s">
        <v>3610</v>
      </c>
      <c r="I1139" s="14" t="s">
        <v>3373</v>
      </c>
      <c r="J1139" s="13" t="str" cm="1">
        <f t="array" ref="J1139">_xlfn.IFS(
  OR(ISBLANK(A1139),ISBLANK(B1139),ISBLANK(H1139),ISBLANK(D1139),ISBLANK(E1139)),"Missing Value",
  D1139&lt;=0,"Review – Out of Range (Coverage)",
  E1139&lt;=0,"Review – Out of Range (Premium)",
  TRUE,"OK"
)</f>
        <v>OK</v>
      </c>
    </row>
    <row r="1140" spans="1:10" ht="16.8" x14ac:dyDescent="0.3">
      <c r="A1140" s="11" t="s">
        <v>4794</v>
      </c>
      <c r="B1140" s="11" t="s">
        <v>1415</v>
      </c>
      <c r="C1140" s="11" t="s">
        <v>3377</v>
      </c>
      <c r="D1140" s="11">
        <v>155478.48000000001</v>
      </c>
      <c r="E1140" s="11">
        <v>23301.31</v>
      </c>
      <c r="F1140" s="12">
        <v>45126</v>
      </c>
      <c r="G1140" s="12">
        <v>45516</v>
      </c>
      <c r="H1140" s="11" t="s">
        <v>3530</v>
      </c>
      <c r="I1140" s="11" t="s">
        <v>3373</v>
      </c>
      <c r="J1140" s="13" t="str" cm="1">
        <f t="array" ref="J1140">_xlfn.IFS(
  OR(ISBLANK(A1140),ISBLANK(B1140),ISBLANK(H1140),ISBLANK(D1140),ISBLANK(E1140)),"Missing Value",
  D1140&lt;=0,"Review – Out of Range (Coverage)",
  E1140&lt;=0,"Review – Out of Range (Premium)",
  TRUE,"OK"
)</f>
        <v>OK</v>
      </c>
    </row>
    <row r="1141" spans="1:10" ht="16.8" x14ac:dyDescent="0.3">
      <c r="A1141" s="14" t="s">
        <v>4795</v>
      </c>
      <c r="B1141" s="14" t="s">
        <v>3150</v>
      </c>
      <c r="C1141" s="14" t="s">
        <v>3371</v>
      </c>
      <c r="D1141" s="14">
        <v>435310.02</v>
      </c>
      <c r="E1141" s="14">
        <v>32802.36</v>
      </c>
      <c r="F1141" s="15">
        <v>45015</v>
      </c>
      <c r="G1141" s="15">
        <v>45594</v>
      </c>
      <c r="H1141" s="14" t="s">
        <v>4164</v>
      </c>
      <c r="I1141" s="14" t="s">
        <v>3361</v>
      </c>
      <c r="J1141" s="13" t="str" cm="1">
        <f t="array" ref="J1141">_xlfn.IFS(
  OR(ISBLANK(A1141),ISBLANK(B1141),ISBLANK(H1141),ISBLANK(D1141),ISBLANK(E1141)),"Missing Value",
  D1141&lt;=0,"Review – Out of Range (Coverage)",
  E1141&lt;=0,"Review – Out of Range (Premium)",
  TRUE,"OK"
)</f>
        <v>OK</v>
      </c>
    </row>
    <row r="1142" spans="1:10" ht="16.8" x14ac:dyDescent="0.3">
      <c r="A1142" s="11" t="s">
        <v>4796</v>
      </c>
      <c r="B1142" s="11" t="s">
        <v>2565</v>
      </c>
      <c r="C1142" s="11" t="s">
        <v>3359</v>
      </c>
      <c r="D1142" s="11">
        <v>197753.27</v>
      </c>
      <c r="E1142" s="11">
        <v>36769.51</v>
      </c>
      <c r="F1142" s="12">
        <v>45318</v>
      </c>
      <c r="G1142" s="12">
        <v>45667</v>
      </c>
      <c r="H1142" s="11" t="s">
        <v>3454</v>
      </c>
      <c r="I1142" s="11" t="s">
        <v>3373</v>
      </c>
      <c r="J1142" s="13" t="str" cm="1">
        <f t="array" ref="J1142">_xlfn.IFS(
  OR(ISBLANK(A1142),ISBLANK(B1142),ISBLANK(H1142),ISBLANK(D1142),ISBLANK(E1142)),"Missing Value",
  D1142&lt;=0,"Review – Out of Range (Coverage)",
  E1142&lt;=0,"Review – Out of Range (Premium)",
  TRUE,"OK"
)</f>
        <v>OK</v>
      </c>
    </row>
    <row r="1143" spans="1:10" ht="16.8" x14ac:dyDescent="0.3">
      <c r="A1143" s="14" t="s">
        <v>4797</v>
      </c>
      <c r="B1143" s="14" t="s">
        <v>1811</v>
      </c>
      <c r="C1143" s="14" t="s">
        <v>3359</v>
      </c>
      <c r="D1143" s="14">
        <v>759646.33</v>
      </c>
      <c r="E1143" s="14">
        <v>25651.08</v>
      </c>
      <c r="F1143" s="15">
        <v>45215</v>
      </c>
      <c r="G1143" s="15">
        <v>45587</v>
      </c>
      <c r="H1143" s="14" t="s">
        <v>4295</v>
      </c>
      <c r="I1143" s="14" t="s">
        <v>3361</v>
      </c>
      <c r="J1143" s="13" t="str" cm="1">
        <f t="array" ref="J1143">_xlfn.IFS(
  OR(ISBLANK(A1143),ISBLANK(B1143),ISBLANK(H1143),ISBLANK(D1143),ISBLANK(E1143)),"Missing Value",
  D1143&lt;=0,"Review – Out of Range (Coverage)",
  E1143&lt;=0,"Review – Out of Range (Premium)",
  TRUE,"OK"
)</f>
        <v>OK</v>
      </c>
    </row>
    <row r="1144" spans="1:10" ht="16.8" x14ac:dyDescent="0.3">
      <c r="A1144" s="11" t="s">
        <v>4798</v>
      </c>
      <c r="B1144" s="11" t="s">
        <v>675</v>
      </c>
      <c r="C1144" s="11" t="s">
        <v>3377</v>
      </c>
      <c r="D1144" s="11">
        <v>952180.97</v>
      </c>
      <c r="E1144" s="11">
        <v>5224.33</v>
      </c>
      <c r="F1144" s="12">
        <v>45469</v>
      </c>
      <c r="G1144" s="12">
        <v>45772</v>
      </c>
      <c r="H1144" s="11" t="s">
        <v>3886</v>
      </c>
      <c r="I1144" s="11" t="s">
        <v>3373</v>
      </c>
      <c r="J1144" s="13" t="str" cm="1">
        <f t="array" ref="J1144">_xlfn.IFS(
  OR(ISBLANK(A1144),ISBLANK(B1144),ISBLANK(H1144),ISBLANK(D1144),ISBLANK(E1144)),"Missing Value",
  D1144&lt;=0,"Review – Out of Range (Coverage)",
  E1144&lt;=0,"Review – Out of Range (Premium)",
  TRUE,"OK"
)</f>
        <v>OK</v>
      </c>
    </row>
    <row r="1145" spans="1:10" ht="16.8" x14ac:dyDescent="0.3">
      <c r="A1145" s="14" t="s">
        <v>4799</v>
      </c>
      <c r="B1145" s="14" t="s">
        <v>128</v>
      </c>
      <c r="C1145" s="14" t="s">
        <v>3371</v>
      </c>
      <c r="D1145" s="14">
        <v>239750.91</v>
      </c>
      <c r="E1145" s="14">
        <v>20428.71</v>
      </c>
      <c r="F1145" s="15">
        <v>44081</v>
      </c>
      <c r="G1145" s="15">
        <v>45161</v>
      </c>
      <c r="H1145" s="14" t="s">
        <v>3423</v>
      </c>
      <c r="I1145" s="14" t="s">
        <v>3373</v>
      </c>
      <c r="J1145" s="13" t="str" cm="1">
        <f t="array" ref="J1145">_xlfn.IFS(
  OR(ISBLANK(A1145),ISBLANK(B1145),ISBLANK(H1145),ISBLANK(D1145),ISBLANK(E1145)),"Missing Value",
  D1145&lt;=0,"Review – Out of Range (Coverage)",
  E1145&lt;=0,"Review – Out of Range (Premium)",
  TRUE,"OK"
)</f>
        <v>OK</v>
      </c>
    </row>
    <row r="1146" spans="1:10" ht="16.8" x14ac:dyDescent="0.3">
      <c r="A1146" s="11" t="s">
        <v>4800</v>
      </c>
      <c r="B1146" s="11" t="s">
        <v>228</v>
      </c>
      <c r="C1146" s="11" t="s">
        <v>3371</v>
      </c>
      <c r="D1146" s="11">
        <v>583950.81000000006</v>
      </c>
      <c r="E1146" s="11">
        <v>7342.53</v>
      </c>
      <c r="F1146" s="12">
        <v>45309</v>
      </c>
      <c r="G1146" s="12">
        <v>45702</v>
      </c>
      <c r="H1146" s="11" t="s">
        <v>3715</v>
      </c>
      <c r="I1146" s="11" t="s">
        <v>3365</v>
      </c>
      <c r="J1146" s="13" t="str" cm="1">
        <f t="array" ref="J1146">_xlfn.IFS(
  OR(ISBLANK(A1146),ISBLANK(B1146),ISBLANK(H1146),ISBLANK(D1146),ISBLANK(E1146)),"Missing Value",
  D1146&lt;=0,"Review – Out of Range (Coverage)",
  E1146&lt;=0,"Review – Out of Range (Premium)",
  TRUE,"OK"
)</f>
        <v>OK</v>
      </c>
    </row>
    <row r="1147" spans="1:10" ht="16.8" x14ac:dyDescent="0.3">
      <c r="A1147" s="14" t="s">
        <v>4801</v>
      </c>
      <c r="B1147" s="14" t="s">
        <v>1719</v>
      </c>
      <c r="C1147" s="14" t="s">
        <v>3371</v>
      </c>
      <c r="D1147" s="14">
        <v>276921.42</v>
      </c>
      <c r="E1147" s="14">
        <v>24452.240000000002</v>
      </c>
      <c r="F1147" s="15">
        <v>45351</v>
      </c>
      <c r="G1147" s="15">
        <v>45569</v>
      </c>
      <c r="H1147" s="14" t="s">
        <v>3409</v>
      </c>
      <c r="I1147" s="14" t="s">
        <v>3361</v>
      </c>
      <c r="J1147" s="13" t="str" cm="1">
        <f t="array" ref="J1147">_xlfn.IFS(
  OR(ISBLANK(A1147),ISBLANK(B1147),ISBLANK(H1147),ISBLANK(D1147),ISBLANK(E1147)),"Missing Value",
  D1147&lt;=0,"Review – Out of Range (Coverage)",
  E1147&lt;=0,"Review – Out of Range (Premium)",
  TRUE,"OK"
)</f>
        <v>OK</v>
      </c>
    </row>
    <row r="1148" spans="1:10" ht="16.8" x14ac:dyDescent="0.3">
      <c r="A1148" s="11" t="s">
        <v>4802</v>
      </c>
      <c r="B1148" s="11" t="s">
        <v>2333</v>
      </c>
      <c r="C1148" s="11" t="s">
        <v>3371</v>
      </c>
      <c r="D1148" s="11">
        <v>325207.48</v>
      </c>
      <c r="E1148" s="11">
        <v>30265.919999999998</v>
      </c>
      <c r="F1148" s="12">
        <v>44600</v>
      </c>
      <c r="G1148" s="12">
        <v>45305</v>
      </c>
      <c r="H1148" s="11" t="s">
        <v>3511</v>
      </c>
      <c r="I1148" s="11" t="s">
        <v>3361</v>
      </c>
      <c r="J1148" s="13" t="str" cm="1">
        <f t="array" ref="J1148">_xlfn.IFS(
  OR(ISBLANK(A1148),ISBLANK(B1148),ISBLANK(H1148),ISBLANK(D1148),ISBLANK(E1148)),"Missing Value",
  D1148&lt;=0,"Review – Out of Range (Coverage)",
  E1148&lt;=0,"Review – Out of Range (Premium)",
  TRUE,"OK"
)</f>
        <v>OK</v>
      </c>
    </row>
    <row r="1149" spans="1:10" ht="16.8" x14ac:dyDescent="0.3">
      <c r="A1149" s="14" t="s">
        <v>4803</v>
      </c>
      <c r="B1149" s="14" t="s">
        <v>3194</v>
      </c>
      <c r="C1149" s="14" t="s">
        <v>3371</v>
      </c>
      <c r="D1149" s="14">
        <v>312759.5</v>
      </c>
      <c r="E1149" s="14">
        <v>13986.28</v>
      </c>
      <c r="F1149" s="15">
        <v>45098</v>
      </c>
      <c r="G1149" s="15">
        <v>45332</v>
      </c>
      <c r="H1149" s="14" t="s">
        <v>4423</v>
      </c>
      <c r="I1149" s="14" t="s">
        <v>3373</v>
      </c>
      <c r="J1149" s="13" t="str" cm="1">
        <f t="array" ref="J1149">_xlfn.IFS(
  OR(ISBLANK(A1149),ISBLANK(B1149),ISBLANK(H1149),ISBLANK(D1149),ISBLANK(E1149)),"Missing Value",
  D1149&lt;=0,"Review – Out of Range (Coverage)",
  E1149&lt;=0,"Review – Out of Range (Premium)",
  TRUE,"OK"
)</f>
        <v>OK</v>
      </c>
    </row>
    <row r="1150" spans="1:10" ht="16.8" x14ac:dyDescent="0.3">
      <c r="A1150" s="11" t="s">
        <v>4804</v>
      </c>
      <c r="B1150" s="11" t="s">
        <v>2043</v>
      </c>
      <c r="C1150" s="11" t="s">
        <v>3371</v>
      </c>
      <c r="D1150" s="11">
        <v>386710.67</v>
      </c>
      <c r="E1150" s="11">
        <v>27535.39</v>
      </c>
      <c r="F1150" s="12">
        <v>44408</v>
      </c>
      <c r="G1150" s="12">
        <v>44813</v>
      </c>
      <c r="H1150" s="11" t="s">
        <v>4660</v>
      </c>
      <c r="I1150" s="11" t="s">
        <v>3373</v>
      </c>
      <c r="J1150" s="13" t="str" cm="1">
        <f t="array" ref="J1150">_xlfn.IFS(
  OR(ISBLANK(A1150),ISBLANK(B1150),ISBLANK(H1150),ISBLANK(D1150),ISBLANK(E1150)),"Missing Value",
  D1150&lt;=0,"Review – Out of Range (Coverage)",
  E1150&lt;=0,"Review – Out of Range (Premium)",
  TRUE,"OK"
)</f>
        <v>OK</v>
      </c>
    </row>
    <row r="1151" spans="1:10" ht="16.8" x14ac:dyDescent="0.3">
      <c r="A1151" s="14" t="s">
        <v>4805</v>
      </c>
      <c r="B1151" s="14" t="s">
        <v>2625</v>
      </c>
      <c r="C1151" s="14" t="s">
        <v>3363</v>
      </c>
      <c r="D1151" s="14">
        <v>794952.61</v>
      </c>
      <c r="E1151" s="14">
        <v>15635.34</v>
      </c>
      <c r="F1151" s="15">
        <v>44460</v>
      </c>
      <c r="G1151" s="15">
        <v>45491</v>
      </c>
      <c r="H1151" s="14" t="s">
        <v>3492</v>
      </c>
      <c r="I1151" s="14" t="s">
        <v>3365</v>
      </c>
      <c r="J1151" s="13" t="str" cm="1">
        <f t="array" ref="J1151">_xlfn.IFS(
  OR(ISBLANK(A1151),ISBLANK(B1151),ISBLANK(H1151),ISBLANK(D1151),ISBLANK(E1151)),"Missing Value",
  D1151&lt;=0,"Review – Out of Range (Coverage)",
  E1151&lt;=0,"Review – Out of Range (Premium)",
  TRUE,"OK"
)</f>
        <v>OK</v>
      </c>
    </row>
    <row r="1152" spans="1:10" ht="16.8" x14ac:dyDescent="0.3">
      <c r="A1152" s="11" t="s">
        <v>4806</v>
      </c>
      <c r="B1152" s="11" t="s">
        <v>657</v>
      </c>
      <c r="C1152" s="11" t="s">
        <v>3377</v>
      </c>
      <c r="D1152" s="11">
        <v>921584.11</v>
      </c>
      <c r="E1152" s="11">
        <v>24188.49</v>
      </c>
      <c r="F1152" s="12">
        <v>45101</v>
      </c>
      <c r="G1152" s="12">
        <v>45173</v>
      </c>
      <c r="H1152" s="11" t="s">
        <v>3914</v>
      </c>
      <c r="I1152" s="11" t="s">
        <v>3365</v>
      </c>
      <c r="J1152" s="13" t="str" cm="1">
        <f t="array" ref="J1152">_xlfn.IFS(
  OR(ISBLANK(A1152),ISBLANK(B1152),ISBLANK(H1152),ISBLANK(D1152),ISBLANK(E1152)),"Missing Value",
  D1152&lt;=0,"Review – Out of Range (Coverage)",
  E1152&lt;=0,"Review – Out of Range (Premium)",
  TRUE,"OK"
)</f>
        <v>OK</v>
      </c>
    </row>
    <row r="1153" spans="1:10" ht="16.8" x14ac:dyDescent="0.3">
      <c r="A1153" s="14" t="s">
        <v>4807</v>
      </c>
      <c r="B1153" s="14" t="s">
        <v>2397</v>
      </c>
      <c r="C1153" s="14" t="s">
        <v>3371</v>
      </c>
      <c r="D1153" s="14">
        <v>326925.62</v>
      </c>
      <c r="E1153" s="14">
        <v>35370.910000000003</v>
      </c>
      <c r="F1153" s="15">
        <v>44631</v>
      </c>
      <c r="G1153" s="15">
        <v>44806</v>
      </c>
      <c r="H1153" s="14" t="s">
        <v>3463</v>
      </c>
      <c r="I1153" s="14" t="s">
        <v>3365</v>
      </c>
      <c r="J1153" s="13" t="str" cm="1">
        <f t="array" ref="J1153">_xlfn.IFS(
  OR(ISBLANK(A1153),ISBLANK(B1153),ISBLANK(H1153),ISBLANK(D1153),ISBLANK(E1153)),"Missing Value",
  D1153&lt;=0,"Review – Out of Range (Coverage)",
  E1153&lt;=0,"Review – Out of Range (Premium)",
  TRUE,"OK"
)</f>
        <v>OK</v>
      </c>
    </row>
    <row r="1154" spans="1:10" ht="16.8" x14ac:dyDescent="0.3">
      <c r="A1154" s="11" t="s">
        <v>4808</v>
      </c>
      <c r="B1154" s="11" t="s">
        <v>2259</v>
      </c>
      <c r="C1154" s="11" t="s">
        <v>3359</v>
      </c>
      <c r="D1154" s="11">
        <v>722977.21</v>
      </c>
      <c r="E1154" s="11">
        <v>28520.78</v>
      </c>
      <c r="F1154" s="12">
        <v>45418</v>
      </c>
      <c r="G1154" s="12">
        <v>45788</v>
      </c>
      <c r="H1154" s="11" t="s">
        <v>4011</v>
      </c>
      <c r="I1154" s="11" t="s">
        <v>3373</v>
      </c>
      <c r="J1154" s="13" t="str" cm="1">
        <f t="array" ref="J1154">_xlfn.IFS(
  OR(ISBLANK(A1154),ISBLANK(B1154),ISBLANK(H1154),ISBLANK(D1154),ISBLANK(E1154)),"Missing Value",
  D1154&lt;=0,"Review – Out of Range (Coverage)",
  E1154&lt;=0,"Review – Out of Range (Premium)",
  TRUE,"OK"
)</f>
        <v>OK</v>
      </c>
    </row>
    <row r="1155" spans="1:10" ht="16.8" x14ac:dyDescent="0.3">
      <c r="A1155" s="14" t="s">
        <v>4809</v>
      </c>
      <c r="B1155" s="14" t="s">
        <v>1351</v>
      </c>
      <c r="C1155" s="14" t="s">
        <v>3371</v>
      </c>
      <c r="D1155" s="14">
        <v>226657.88</v>
      </c>
      <c r="E1155" s="14">
        <v>32643.88</v>
      </c>
      <c r="F1155" s="15">
        <v>44561</v>
      </c>
      <c r="G1155" s="15">
        <v>44975</v>
      </c>
      <c r="H1155" s="14" t="s">
        <v>3515</v>
      </c>
      <c r="I1155" s="14" t="s">
        <v>3365</v>
      </c>
      <c r="J1155" s="13" t="str" cm="1">
        <f t="array" ref="J1155">_xlfn.IFS(
  OR(ISBLANK(A1155),ISBLANK(B1155),ISBLANK(H1155),ISBLANK(D1155),ISBLANK(E1155)),"Missing Value",
  D1155&lt;=0,"Review – Out of Range (Coverage)",
  E1155&lt;=0,"Review – Out of Range (Premium)",
  TRUE,"OK"
)</f>
        <v>OK</v>
      </c>
    </row>
    <row r="1156" spans="1:10" ht="16.8" x14ac:dyDescent="0.3">
      <c r="A1156" s="11" t="s">
        <v>4810</v>
      </c>
      <c r="B1156" s="11" t="s">
        <v>2499</v>
      </c>
      <c r="C1156" s="11" t="s">
        <v>3371</v>
      </c>
      <c r="D1156" s="11">
        <v>805367.89</v>
      </c>
      <c r="E1156" s="11">
        <v>34736</v>
      </c>
      <c r="F1156" s="12">
        <v>44063</v>
      </c>
      <c r="G1156" s="12">
        <v>45161</v>
      </c>
      <c r="H1156" s="11" t="s">
        <v>4575</v>
      </c>
      <c r="I1156" s="11" t="s">
        <v>3365</v>
      </c>
      <c r="J1156" s="13" t="str" cm="1">
        <f t="array" ref="J1156">_xlfn.IFS(
  OR(ISBLANK(A1156),ISBLANK(B1156),ISBLANK(H1156),ISBLANK(D1156),ISBLANK(E1156)),"Missing Value",
  D1156&lt;=0,"Review – Out of Range (Coverage)",
  E1156&lt;=0,"Review – Out of Range (Premium)",
  TRUE,"OK"
)</f>
        <v>OK</v>
      </c>
    </row>
    <row r="1157" spans="1:10" ht="16.8" x14ac:dyDescent="0.3">
      <c r="A1157" s="14" t="s">
        <v>4811</v>
      </c>
      <c r="B1157" s="14" t="s">
        <v>921</v>
      </c>
      <c r="C1157" s="14" t="s">
        <v>3380</v>
      </c>
      <c r="D1157" s="14">
        <v>996707.47</v>
      </c>
      <c r="E1157" s="14">
        <v>18158.91</v>
      </c>
      <c r="F1157" s="15">
        <v>45214</v>
      </c>
      <c r="G1157" s="15">
        <v>45613</v>
      </c>
      <c r="H1157" s="14" t="s">
        <v>3986</v>
      </c>
      <c r="I1157" s="14" t="s">
        <v>3365</v>
      </c>
      <c r="J1157" s="13" t="str" cm="1">
        <f t="array" ref="J1157">_xlfn.IFS(
  OR(ISBLANK(A1157),ISBLANK(B1157),ISBLANK(H1157),ISBLANK(D1157),ISBLANK(E1157)),"Missing Value",
  D1157&lt;=0,"Review – Out of Range (Coverage)",
  E1157&lt;=0,"Review – Out of Range (Premium)",
  TRUE,"OK"
)</f>
        <v>OK</v>
      </c>
    </row>
    <row r="1158" spans="1:10" ht="16.8" x14ac:dyDescent="0.3">
      <c r="A1158" s="11" t="s">
        <v>4812</v>
      </c>
      <c r="B1158" s="11" t="s">
        <v>1871</v>
      </c>
      <c r="C1158" s="11" t="s">
        <v>3380</v>
      </c>
      <c r="D1158" s="11">
        <v>361153.87</v>
      </c>
      <c r="E1158" s="11">
        <v>47744.99</v>
      </c>
      <c r="F1158" s="12">
        <v>45466</v>
      </c>
      <c r="G1158" s="12">
        <v>45631</v>
      </c>
      <c r="H1158" s="11" t="s">
        <v>4136</v>
      </c>
      <c r="I1158" s="11" t="s">
        <v>3365</v>
      </c>
      <c r="J1158" s="13" t="str" cm="1">
        <f t="array" ref="J1158">_xlfn.IFS(
  OR(ISBLANK(A1158),ISBLANK(B1158),ISBLANK(H1158),ISBLANK(D1158),ISBLANK(E1158)),"Missing Value",
  D1158&lt;=0,"Review – Out of Range (Coverage)",
  E1158&lt;=0,"Review – Out of Range (Premium)",
  TRUE,"OK"
)</f>
        <v>OK</v>
      </c>
    </row>
    <row r="1159" spans="1:10" ht="16.8" x14ac:dyDescent="0.3">
      <c r="A1159" s="14" t="s">
        <v>4813</v>
      </c>
      <c r="B1159" s="14" t="s">
        <v>2027</v>
      </c>
      <c r="C1159" s="14" t="s">
        <v>3377</v>
      </c>
      <c r="D1159" s="14">
        <v>531459.48</v>
      </c>
      <c r="E1159" s="14">
        <v>30167</v>
      </c>
      <c r="F1159" s="15">
        <v>45104</v>
      </c>
      <c r="G1159" s="15">
        <v>45691</v>
      </c>
      <c r="H1159" s="14" t="s">
        <v>3403</v>
      </c>
      <c r="I1159" s="14" t="s">
        <v>3361</v>
      </c>
      <c r="J1159" s="13" t="str" cm="1">
        <f t="array" ref="J1159">_xlfn.IFS(
  OR(ISBLANK(A1159),ISBLANK(B1159),ISBLANK(H1159),ISBLANK(D1159),ISBLANK(E1159)),"Missing Value",
  D1159&lt;=0,"Review – Out of Range (Coverage)",
  E1159&lt;=0,"Review – Out of Range (Premium)",
  TRUE,"OK"
)</f>
        <v>OK</v>
      </c>
    </row>
    <row r="1160" spans="1:10" ht="16.8" x14ac:dyDescent="0.3">
      <c r="A1160" s="11" t="s">
        <v>4814</v>
      </c>
      <c r="B1160" s="11" t="s">
        <v>2169</v>
      </c>
      <c r="C1160" s="11" t="s">
        <v>3363</v>
      </c>
      <c r="D1160" s="11">
        <v>445653.11</v>
      </c>
      <c r="E1160" s="11">
        <v>11545.39</v>
      </c>
      <c r="F1160" s="12">
        <v>45071</v>
      </c>
      <c r="G1160" s="12">
        <v>45366</v>
      </c>
      <c r="H1160" s="11" t="s">
        <v>3685</v>
      </c>
      <c r="I1160" s="11" t="s">
        <v>3361</v>
      </c>
      <c r="J1160" s="13" t="str" cm="1">
        <f t="array" ref="J1160">_xlfn.IFS(
  OR(ISBLANK(A1160),ISBLANK(B1160),ISBLANK(H1160),ISBLANK(D1160),ISBLANK(E1160)),"Missing Value",
  D1160&lt;=0,"Review – Out of Range (Coverage)",
  E1160&lt;=0,"Review – Out of Range (Premium)",
  TRUE,"OK"
)</f>
        <v>OK</v>
      </c>
    </row>
    <row r="1161" spans="1:10" ht="16.8" x14ac:dyDescent="0.3">
      <c r="A1161" s="14" t="s">
        <v>4815</v>
      </c>
      <c r="B1161" s="14" t="s">
        <v>2957</v>
      </c>
      <c r="C1161" s="14" t="s">
        <v>3363</v>
      </c>
      <c r="D1161" s="14">
        <v>612675.43000000005</v>
      </c>
      <c r="E1161" s="14">
        <v>31529.55</v>
      </c>
      <c r="F1161" s="15">
        <v>45056</v>
      </c>
      <c r="G1161" s="15">
        <v>45618</v>
      </c>
      <c r="H1161" s="14" t="s">
        <v>3601</v>
      </c>
      <c r="I1161" s="14" t="s">
        <v>3373</v>
      </c>
      <c r="J1161" s="13" t="str" cm="1">
        <f t="array" ref="J1161">_xlfn.IFS(
  OR(ISBLANK(A1161),ISBLANK(B1161),ISBLANK(H1161),ISBLANK(D1161),ISBLANK(E1161)),"Missing Value",
  D1161&lt;=0,"Review – Out of Range (Coverage)",
  E1161&lt;=0,"Review – Out of Range (Premium)",
  TRUE,"OK"
)</f>
        <v>OK</v>
      </c>
    </row>
    <row r="1162" spans="1:10" ht="16.8" x14ac:dyDescent="0.3">
      <c r="A1162" s="11" t="s">
        <v>4816</v>
      </c>
      <c r="B1162" s="11" t="s">
        <v>1883</v>
      </c>
      <c r="C1162" s="11" t="s">
        <v>3363</v>
      </c>
      <c r="D1162" s="11">
        <v>510703.88</v>
      </c>
      <c r="E1162" s="11">
        <v>32334.7</v>
      </c>
      <c r="F1162" s="12">
        <v>44844</v>
      </c>
      <c r="G1162" s="12">
        <v>44892</v>
      </c>
      <c r="H1162" s="11" t="s">
        <v>3636</v>
      </c>
      <c r="I1162" s="11" t="s">
        <v>3373</v>
      </c>
      <c r="J1162" s="13" t="str" cm="1">
        <f t="array" ref="J1162">_xlfn.IFS(
  OR(ISBLANK(A1162),ISBLANK(B1162),ISBLANK(H1162),ISBLANK(D1162),ISBLANK(E1162)),"Missing Value",
  D1162&lt;=0,"Review – Out of Range (Coverage)",
  E1162&lt;=0,"Review – Out of Range (Premium)",
  TRUE,"OK"
)</f>
        <v>OK</v>
      </c>
    </row>
    <row r="1163" spans="1:10" ht="16.8" x14ac:dyDescent="0.3">
      <c r="A1163" s="14" t="s">
        <v>4817</v>
      </c>
      <c r="B1163" s="14" t="s">
        <v>3076</v>
      </c>
      <c r="C1163" s="14" t="s">
        <v>3371</v>
      </c>
      <c r="D1163" s="14">
        <v>224389.32</v>
      </c>
      <c r="E1163" s="14">
        <v>29071.040000000001</v>
      </c>
      <c r="F1163" s="15">
        <v>45474</v>
      </c>
      <c r="G1163" s="15">
        <v>45726</v>
      </c>
      <c r="H1163" s="14" t="s">
        <v>3911</v>
      </c>
      <c r="I1163" s="14" t="s">
        <v>3361</v>
      </c>
      <c r="J1163" s="13" t="str" cm="1">
        <f t="array" ref="J1163">_xlfn.IFS(
  OR(ISBLANK(A1163),ISBLANK(B1163),ISBLANK(H1163),ISBLANK(D1163),ISBLANK(E1163)),"Missing Value",
  D1163&lt;=0,"Review – Out of Range (Coverage)",
  E1163&lt;=0,"Review – Out of Range (Premium)",
  TRUE,"OK"
)</f>
        <v>OK</v>
      </c>
    </row>
    <row r="1164" spans="1:10" ht="16.8" x14ac:dyDescent="0.3">
      <c r="A1164" s="11" t="s">
        <v>4818</v>
      </c>
      <c r="B1164" s="11" t="s">
        <v>2305</v>
      </c>
      <c r="C1164" s="11" t="s">
        <v>3359</v>
      </c>
      <c r="D1164" s="11">
        <v>647467.02</v>
      </c>
      <c r="E1164" s="11">
        <v>4829.9399999999996</v>
      </c>
      <c r="F1164" s="12">
        <v>44966</v>
      </c>
      <c r="G1164" s="12">
        <v>45177</v>
      </c>
      <c r="H1164" s="11" t="s">
        <v>3914</v>
      </c>
      <c r="I1164" s="11" t="s">
        <v>3373</v>
      </c>
      <c r="J1164" s="13" t="str" cm="1">
        <f t="array" ref="J1164">_xlfn.IFS(
  OR(ISBLANK(A1164),ISBLANK(B1164),ISBLANK(H1164),ISBLANK(D1164),ISBLANK(E1164)),"Missing Value",
  D1164&lt;=0,"Review – Out of Range (Coverage)",
  E1164&lt;=0,"Review – Out of Range (Premium)",
  TRUE,"OK"
)</f>
        <v>OK</v>
      </c>
    </row>
    <row r="1165" spans="1:10" ht="16.8" x14ac:dyDescent="0.3">
      <c r="A1165" s="14" t="s">
        <v>4819</v>
      </c>
      <c r="B1165" s="14" t="s">
        <v>1075</v>
      </c>
      <c r="C1165" s="14" t="s">
        <v>3377</v>
      </c>
      <c r="D1165" s="14">
        <v>552037.79</v>
      </c>
      <c r="E1165" s="14">
        <v>20560.189999999999</v>
      </c>
      <c r="F1165" s="15">
        <v>45382</v>
      </c>
      <c r="G1165" s="15">
        <v>45738</v>
      </c>
      <c r="H1165" s="14" t="s">
        <v>3846</v>
      </c>
      <c r="I1165" s="14" t="s">
        <v>3365</v>
      </c>
      <c r="J1165" s="13" t="str" cm="1">
        <f t="array" ref="J1165">_xlfn.IFS(
  OR(ISBLANK(A1165),ISBLANK(B1165),ISBLANK(H1165),ISBLANK(D1165),ISBLANK(E1165)),"Missing Value",
  D1165&lt;=0,"Review – Out of Range (Coverage)",
  E1165&lt;=0,"Review – Out of Range (Premium)",
  TRUE,"OK"
)</f>
        <v>OK</v>
      </c>
    </row>
    <row r="1166" spans="1:10" ht="16.8" x14ac:dyDescent="0.3">
      <c r="A1166" s="11" t="s">
        <v>4820</v>
      </c>
      <c r="B1166" s="11" t="s">
        <v>2739</v>
      </c>
      <c r="C1166" s="11" t="s">
        <v>3380</v>
      </c>
      <c r="D1166" s="11">
        <v>531389.06000000006</v>
      </c>
      <c r="E1166" s="11">
        <v>9076.26</v>
      </c>
      <c r="F1166" s="12">
        <v>45431</v>
      </c>
      <c r="G1166" s="12">
        <v>45799</v>
      </c>
      <c r="H1166" s="11" t="s">
        <v>3819</v>
      </c>
      <c r="I1166" s="11" t="s">
        <v>3361</v>
      </c>
      <c r="J1166" s="13" t="str" cm="1">
        <f t="array" ref="J1166">_xlfn.IFS(
  OR(ISBLANK(A1166),ISBLANK(B1166),ISBLANK(H1166),ISBLANK(D1166),ISBLANK(E1166)),"Missing Value",
  D1166&lt;=0,"Review – Out of Range (Coverage)",
  E1166&lt;=0,"Review – Out of Range (Premium)",
  TRUE,"OK"
)</f>
        <v>OK</v>
      </c>
    </row>
    <row r="1167" spans="1:10" ht="16.8" x14ac:dyDescent="0.3">
      <c r="A1167" s="14" t="s">
        <v>4821</v>
      </c>
      <c r="B1167" s="14" t="s">
        <v>1373</v>
      </c>
      <c r="C1167" s="14" t="s">
        <v>3380</v>
      </c>
      <c r="D1167" s="14">
        <v>413102.28</v>
      </c>
      <c r="E1167" s="14">
        <v>24697.34</v>
      </c>
      <c r="F1167" s="15">
        <v>45308</v>
      </c>
      <c r="G1167" s="15">
        <v>45418</v>
      </c>
      <c r="H1167" s="14" t="s">
        <v>3947</v>
      </c>
      <c r="I1167" s="14" t="s">
        <v>3361</v>
      </c>
      <c r="J1167" s="13" t="str" cm="1">
        <f t="array" ref="J1167">_xlfn.IFS(
  OR(ISBLANK(A1167),ISBLANK(B1167),ISBLANK(H1167),ISBLANK(D1167),ISBLANK(E1167)),"Missing Value",
  D1167&lt;=0,"Review – Out of Range (Coverage)",
  E1167&lt;=0,"Review – Out of Range (Premium)",
  TRUE,"OK"
)</f>
        <v>OK</v>
      </c>
    </row>
    <row r="1168" spans="1:10" ht="16.8" x14ac:dyDescent="0.3">
      <c r="A1168" s="11" t="s">
        <v>4822</v>
      </c>
      <c r="B1168" s="11" t="s">
        <v>1805</v>
      </c>
      <c r="C1168" s="11" t="s">
        <v>3380</v>
      </c>
      <c r="D1168" s="11">
        <v>164637.47</v>
      </c>
      <c r="E1168" s="11">
        <v>11814.8</v>
      </c>
      <c r="F1168" s="12">
        <v>45171</v>
      </c>
      <c r="G1168" s="12">
        <v>45737</v>
      </c>
      <c r="H1168" s="11" t="s">
        <v>4671</v>
      </c>
      <c r="I1168" s="11" t="s">
        <v>3365</v>
      </c>
      <c r="J1168" s="13" t="str" cm="1">
        <f t="array" ref="J1168">_xlfn.IFS(
  OR(ISBLANK(A1168),ISBLANK(B1168),ISBLANK(H1168),ISBLANK(D1168),ISBLANK(E1168)),"Missing Value",
  D1168&lt;=0,"Review – Out of Range (Coverage)",
  E1168&lt;=0,"Review – Out of Range (Premium)",
  TRUE,"OK"
)</f>
        <v>OK</v>
      </c>
    </row>
    <row r="1169" spans="1:10" ht="16.8" x14ac:dyDescent="0.3">
      <c r="A1169" s="14" t="s">
        <v>4823</v>
      </c>
      <c r="B1169" s="14" t="s">
        <v>166</v>
      </c>
      <c r="C1169" s="14" t="s">
        <v>3371</v>
      </c>
      <c r="D1169" s="14">
        <v>849710.39</v>
      </c>
      <c r="E1169" s="14">
        <v>26661.71</v>
      </c>
      <c r="F1169" s="15">
        <v>45256</v>
      </c>
      <c r="G1169" s="15">
        <v>45537</v>
      </c>
      <c r="H1169" s="14" t="s">
        <v>3545</v>
      </c>
      <c r="I1169" s="14" t="s">
        <v>3365</v>
      </c>
      <c r="J1169" s="13" t="str" cm="1">
        <f t="array" ref="J1169">_xlfn.IFS(
  OR(ISBLANK(A1169),ISBLANK(B1169),ISBLANK(H1169),ISBLANK(D1169),ISBLANK(E1169)),"Missing Value",
  D1169&lt;=0,"Review – Out of Range (Coverage)",
  E1169&lt;=0,"Review – Out of Range (Premium)",
  TRUE,"OK"
)</f>
        <v>OK</v>
      </c>
    </row>
    <row r="1170" spans="1:10" ht="16.8" x14ac:dyDescent="0.3">
      <c r="A1170" s="11" t="s">
        <v>4824</v>
      </c>
      <c r="B1170" s="11" t="s">
        <v>1411</v>
      </c>
      <c r="C1170" s="11" t="s">
        <v>3371</v>
      </c>
      <c r="D1170" s="11">
        <v>756059.7</v>
      </c>
      <c r="E1170" s="11">
        <v>18725.849999999999</v>
      </c>
      <c r="F1170" s="12">
        <v>45065</v>
      </c>
      <c r="G1170" s="12">
        <v>45506</v>
      </c>
      <c r="H1170" s="11" t="s">
        <v>3698</v>
      </c>
      <c r="I1170" s="11" t="s">
        <v>3361</v>
      </c>
      <c r="J1170" s="13" t="str" cm="1">
        <f t="array" ref="J1170">_xlfn.IFS(
  OR(ISBLANK(A1170),ISBLANK(B1170),ISBLANK(H1170),ISBLANK(D1170),ISBLANK(E1170)),"Missing Value",
  D1170&lt;=0,"Review – Out of Range (Coverage)",
  E1170&lt;=0,"Review – Out of Range (Premium)",
  TRUE,"OK"
)</f>
        <v>OK</v>
      </c>
    </row>
    <row r="1171" spans="1:10" ht="16.8" x14ac:dyDescent="0.3">
      <c r="A1171" s="14" t="s">
        <v>4825</v>
      </c>
      <c r="B1171" s="14" t="s">
        <v>1551</v>
      </c>
      <c r="C1171" s="14" t="s">
        <v>3380</v>
      </c>
      <c r="D1171" s="14">
        <v>829328.06</v>
      </c>
      <c r="E1171" s="14">
        <v>21039.56</v>
      </c>
      <c r="F1171" s="15">
        <v>44157</v>
      </c>
      <c r="G1171" s="15">
        <v>44916</v>
      </c>
      <c r="H1171" s="14" t="s">
        <v>3484</v>
      </c>
      <c r="I1171" s="14" t="s">
        <v>3373</v>
      </c>
      <c r="J1171" s="13" t="str" cm="1">
        <f t="array" ref="J1171">_xlfn.IFS(
  OR(ISBLANK(A1171),ISBLANK(B1171),ISBLANK(H1171),ISBLANK(D1171),ISBLANK(E1171)),"Missing Value",
  D1171&lt;=0,"Review – Out of Range (Coverage)",
  E1171&lt;=0,"Review – Out of Range (Premium)",
  TRUE,"OK"
)</f>
        <v>OK</v>
      </c>
    </row>
    <row r="1172" spans="1:10" ht="16.8" x14ac:dyDescent="0.3">
      <c r="A1172" s="11" t="s">
        <v>4826</v>
      </c>
      <c r="B1172" s="11" t="s">
        <v>1057</v>
      </c>
      <c r="C1172" s="11" t="s">
        <v>3359</v>
      </c>
      <c r="D1172" s="11">
        <v>278326.65000000002</v>
      </c>
      <c r="E1172" s="11">
        <v>43788.160000000003</v>
      </c>
      <c r="F1172" s="12">
        <v>44813</v>
      </c>
      <c r="G1172" s="12">
        <v>44832</v>
      </c>
      <c r="H1172" s="11" t="s">
        <v>4231</v>
      </c>
      <c r="I1172" s="11" t="s">
        <v>3373</v>
      </c>
      <c r="J1172" s="13" t="str" cm="1">
        <f t="array" ref="J1172">_xlfn.IFS(
  OR(ISBLANK(A1172),ISBLANK(B1172),ISBLANK(H1172),ISBLANK(D1172),ISBLANK(E1172)),"Missing Value",
  D1172&lt;=0,"Review – Out of Range (Coverage)",
  E1172&lt;=0,"Review – Out of Range (Premium)",
  TRUE,"OK"
)</f>
        <v>OK</v>
      </c>
    </row>
    <row r="1173" spans="1:10" ht="16.8" x14ac:dyDescent="0.3">
      <c r="A1173" s="14" t="s">
        <v>4827</v>
      </c>
      <c r="B1173" s="14" t="s">
        <v>2255</v>
      </c>
      <c r="C1173" s="14" t="s">
        <v>3377</v>
      </c>
      <c r="D1173" s="14">
        <v>233038.57</v>
      </c>
      <c r="E1173" s="14">
        <v>9652.92</v>
      </c>
      <c r="F1173" s="15">
        <v>44384</v>
      </c>
      <c r="G1173" s="15">
        <v>44760</v>
      </c>
      <c r="H1173" s="14" t="s">
        <v>3597</v>
      </c>
      <c r="I1173" s="14" t="s">
        <v>3373</v>
      </c>
      <c r="J1173" s="13" t="str" cm="1">
        <f t="array" ref="J1173">_xlfn.IFS(
  OR(ISBLANK(A1173),ISBLANK(B1173),ISBLANK(H1173),ISBLANK(D1173),ISBLANK(E1173)),"Missing Value",
  D1173&lt;=0,"Review – Out of Range (Coverage)",
  E1173&lt;=0,"Review – Out of Range (Premium)",
  TRUE,"OK"
)</f>
        <v>OK</v>
      </c>
    </row>
    <row r="1174" spans="1:10" ht="16.8" x14ac:dyDescent="0.3">
      <c r="A1174" s="11" t="s">
        <v>4828</v>
      </c>
      <c r="B1174" s="11" t="s">
        <v>3013</v>
      </c>
      <c r="C1174" s="11" t="s">
        <v>3377</v>
      </c>
      <c r="D1174" s="11">
        <v>970921.95</v>
      </c>
      <c r="E1174" s="11">
        <v>28437.17</v>
      </c>
      <c r="F1174" s="12">
        <v>45445</v>
      </c>
      <c r="G1174" s="12">
        <v>45781</v>
      </c>
      <c r="H1174" s="11" t="s">
        <v>3903</v>
      </c>
      <c r="I1174" s="11" t="s">
        <v>3361</v>
      </c>
      <c r="J1174" s="13" t="str" cm="1">
        <f t="array" ref="J1174">_xlfn.IFS(
  OR(ISBLANK(A1174),ISBLANK(B1174),ISBLANK(H1174),ISBLANK(D1174),ISBLANK(E1174)),"Missing Value",
  D1174&lt;=0,"Review – Out of Range (Coverage)",
  E1174&lt;=0,"Review – Out of Range (Premium)",
  TRUE,"OK"
)</f>
        <v>OK</v>
      </c>
    </row>
    <row r="1175" spans="1:10" ht="16.8" x14ac:dyDescent="0.3">
      <c r="A1175" s="14" t="s">
        <v>4829</v>
      </c>
      <c r="B1175" s="14" t="s">
        <v>1359</v>
      </c>
      <c r="C1175" s="14" t="s">
        <v>3359</v>
      </c>
      <c r="D1175" s="14">
        <v>973074.15</v>
      </c>
      <c r="E1175" s="14">
        <v>34126.559999999998</v>
      </c>
      <c r="F1175" s="15">
        <v>44816</v>
      </c>
      <c r="G1175" s="15">
        <v>45651</v>
      </c>
      <c r="H1175" s="14" t="s">
        <v>3886</v>
      </c>
      <c r="I1175" s="14" t="s">
        <v>3373</v>
      </c>
      <c r="J1175" s="13" t="str" cm="1">
        <f t="array" ref="J1175">_xlfn.IFS(
  OR(ISBLANK(A1175),ISBLANK(B1175),ISBLANK(H1175),ISBLANK(D1175),ISBLANK(E1175)),"Missing Value",
  D1175&lt;=0,"Review – Out of Range (Coverage)",
  E1175&lt;=0,"Review – Out of Range (Premium)",
  TRUE,"OK"
)</f>
        <v>OK</v>
      </c>
    </row>
    <row r="1176" spans="1:10" ht="16.8" x14ac:dyDescent="0.3">
      <c r="A1176" s="11" t="s">
        <v>4830</v>
      </c>
      <c r="B1176" s="11" t="s">
        <v>1335</v>
      </c>
      <c r="C1176" s="11" t="s">
        <v>3359</v>
      </c>
      <c r="D1176" s="11">
        <v>986343.92</v>
      </c>
      <c r="E1176" s="11">
        <v>47623.79</v>
      </c>
      <c r="F1176" s="12">
        <v>44667</v>
      </c>
      <c r="G1176" s="12">
        <v>45623</v>
      </c>
      <c r="H1176" s="11" t="s">
        <v>4114</v>
      </c>
      <c r="I1176" s="11" t="s">
        <v>3373</v>
      </c>
      <c r="J1176" s="13" t="str" cm="1">
        <f t="array" ref="J1176">_xlfn.IFS(
  OR(ISBLANK(A1176),ISBLANK(B1176),ISBLANK(H1176),ISBLANK(D1176),ISBLANK(E1176)),"Missing Value",
  D1176&lt;=0,"Review – Out of Range (Coverage)",
  E1176&lt;=0,"Review – Out of Range (Premium)",
  TRUE,"OK"
)</f>
        <v>OK</v>
      </c>
    </row>
    <row r="1177" spans="1:10" ht="16.8" x14ac:dyDescent="0.3">
      <c r="A1177" s="14" t="s">
        <v>4831</v>
      </c>
      <c r="B1177" s="14" t="s">
        <v>1393</v>
      </c>
      <c r="C1177" s="14" t="s">
        <v>3371</v>
      </c>
      <c r="D1177" s="14">
        <v>854555.86</v>
      </c>
      <c r="E1177" s="14">
        <v>36029.93</v>
      </c>
      <c r="F1177" s="15">
        <v>45278</v>
      </c>
      <c r="G1177" s="15">
        <v>45459</v>
      </c>
      <c r="H1177" s="14" t="s">
        <v>4158</v>
      </c>
      <c r="I1177" s="14" t="s">
        <v>3373</v>
      </c>
      <c r="J1177" s="13" t="str" cm="1">
        <f t="array" ref="J1177">_xlfn.IFS(
  OR(ISBLANK(A1177),ISBLANK(B1177),ISBLANK(H1177),ISBLANK(D1177),ISBLANK(E1177)),"Missing Value",
  D1177&lt;=0,"Review – Out of Range (Coverage)",
  E1177&lt;=0,"Review – Out of Range (Premium)",
  TRUE,"OK"
)</f>
        <v>OK</v>
      </c>
    </row>
    <row r="1178" spans="1:10" ht="16.8" x14ac:dyDescent="0.3">
      <c r="A1178" s="11" t="s">
        <v>4832</v>
      </c>
      <c r="B1178" s="11" t="s">
        <v>1759</v>
      </c>
      <c r="C1178" s="11" t="s">
        <v>3380</v>
      </c>
      <c r="D1178" s="11">
        <v>207358.16</v>
      </c>
      <c r="E1178" s="11">
        <v>15567.45</v>
      </c>
      <c r="F1178" s="12">
        <v>45353</v>
      </c>
      <c r="G1178" s="12">
        <v>45444</v>
      </c>
      <c r="H1178" s="11" t="s">
        <v>3492</v>
      </c>
      <c r="I1178" s="11" t="s">
        <v>3361</v>
      </c>
      <c r="J1178" s="13" t="str" cm="1">
        <f t="array" ref="J1178">_xlfn.IFS(
  OR(ISBLANK(A1178),ISBLANK(B1178),ISBLANK(H1178),ISBLANK(D1178),ISBLANK(E1178)),"Missing Value",
  D1178&lt;=0,"Review – Out of Range (Coverage)",
  E1178&lt;=0,"Review – Out of Range (Premium)",
  TRUE,"OK"
)</f>
        <v>OK</v>
      </c>
    </row>
    <row r="1179" spans="1:10" ht="16.8" x14ac:dyDescent="0.3">
      <c r="A1179" s="14" t="s">
        <v>4833</v>
      </c>
      <c r="B1179" s="14" t="s">
        <v>3003</v>
      </c>
      <c r="C1179" s="14" t="s">
        <v>3363</v>
      </c>
      <c r="D1179" s="14">
        <v>863131.95</v>
      </c>
      <c r="E1179" s="14">
        <v>4306.8900000000003</v>
      </c>
      <c r="F1179" s="15">
        <v>45485</v>
      </c>
      <c r="G1179" s="15">
        <v>45568</v>
      </c>
      <c r="H1179" s="14" t="s">
        <v>3540</v>
      </c>
      <c r="I1179" s="14" t="s">
        <v>3365</v>
      </c>
      <c r="J1179" s="13" t="str" cm="1">
        <f t="array" ref="J1179">_xlfn.IFS(
  OR(ISBLANK(A1179),ISBLANK(B1179),ISBLANK(H1179),ISBLANK(D1179),ISBLANK(E1179)),"Missing Value",
  D1179&lt;=0,"Review – Out of Range (Coverage)",
  E1179&lt;=0,"Review – Out of Range (Premium)",
  TRUE,"OK"
)</f>
        <v>OK</v>
      </c>
    </row>
    <row r="1180" spans="1:10" ht="16.8" x14ac:dyDescent="0.3">
      <c r="A1180" s="11" t="s">
        <v>4834</v>
      </c>
      <c r="B1180" s="11" t="s">
        <v>1045</v>
      </c>
      <c r="C1180" s="11" t="s">
        <v>3380</v>
      </c>
      <c r="D1180" s="11">
        <v>498993.55</v>
      </c>
      <c r="E1180" s="11">
        <v>23630.66</v>
      </c>
      <c r="F1180" s="12">
        <v>45435</v>
      </c>
      <c r="G1180" s="12">
        <v>45575</v>
      </c>
      <c r="H1180" s="11" t="s">
        <v>3421</v>
      </c>
      <c r="I1180" s="11" t="s">
        <v>3361</v>
      </c>
      <c r="J1180" s="13" t="str" cm="1">
        <f t="array" ref="J1180">_xlfn.IFS(
  OR(ISBLANK(A1180),ISBLANK(B1180),ISBLANK(H1180),ISBLANK(D1180),ISBLANK(E1180)),"Missing Value",
  D1180&lt;=0,"Review – Out of Range (Coverage)",
  E1180&lt;=0,"Review – Out of Range (Premium)",
  TRUE,"OK"
)</f>
        <v>OK</v>
      </c>
    </row>
    <row r="1181" spans="1:10" ht="16.8" x14ac:dyDescent="0.3">
      <c r="A1181" s="14" t="s">
        <v>4835</v>
      </c>
      <c r="B1181" s="14" t="s">
        <v>3340</v>
      </c>
      <c r="C1181" s="14" t="s">
        <v>3377</v>
      </c>
      <c r="D1181" s="14">
        <v>189220.5</v>
      </c>
      <c r="E1181" s="14">
        <v>17225.64</v>
      </c>
      <c r="F1181" s="15">
        <v>45048</v>
      </c>
      <c r="G1181" s="15">
        <v>45288</v>
      </c>
      <c r="H1181" s="14" t="s">
        <v>3560</v>
      </c>
      <c r="I1181" s="14" t="s">
        <v>3373</v>
      </c>
      <c r="J1181" s="13" t="str" cm="1">
        <f t="array" ref="J1181">_xlfn.IFS(
  OR(ISBLANK(A1181),ISBLANK(B1181),ISBLANK(H1181),ISBLANK(D1181),ISBLANK(E1181)),"Missing Value",
  D1181&lt;=0,"Review – Out of Range (Coverage)",
  E1181&lt;=0,"Review – Out of Range (Premium)",
  TRUE,"OK"
)</f>
        <v>OK</v>
      </c>
    </row>
    <row r="1182" spans="1:10" ht="16.8" x14ac:dyDescent="0.3">
      <c r="A1182" s="11" t="s">
        <v>4836</v>
      </c>
      <c r="B1182" s="11" t="s">
        <v>3340</v>
      </c>
      <c r="C1182" s="11" t="s">
        <v>3363</v>
      </c>
      <c r="D1182" s="11">
        <v>842508.62</v>
      </c>
      <c r="E1182" s="11">
        <v>28480.13</v>
      </c>
      <c r="F1182" s="12">
        <v>45104</v>
      </c>
      <c r="G1182" s="12">
        <v>45557</v>
      </c>
      <c r="H1182" s="11" t="s">
        <v>3360</v>
      </c>
      <c r="I1182" s="11" t="s">
        <v>3373</v>
      </c>
      <c r="J1182" s="13" t="str" cm="1">
        <f t="array" ref="J1182">_xlfn.IFS(
  OR(ISBLANK(A1182),ISBLANK(B1182),ISBLANK(H1182),ISBLANK(D1182),ISBLANK(E1182)),"Missing Value",
  D1182&lt;=0,"Review – Out of Range (Coverage)",
  E1182&lt;=0,"Review – Out of Range (Premium)",
  TRUE,"OK"
)</f>
        <v>OK</v>
      </c>
    </row>
    <row r="1183" spans="1:10" ht="16.8" x14ac:dyDescent="0.3">
      <c r="A1183" s="14" t="s">
        <v>4837</v>
      </c>
      <c r="B1183" s="14" t="s">
        <v>2365</v>
      </c>
      <c r="C1183" s="14" t="s">
        <v>3363</v>
      </c>
      <c r="D1183" s="14">
        <v>138944.57</v>
      </c>
      <c r="E1183" s="14">
        <v>30137.23</v>
      </c>
      <c r="F1183" s="15">
        <v>45196</v>
      </c>
      <c r="G1183" s="15">
        <v>45572</v>
      </c>
      <c r="H1183" s="14" t="s">
        <v>3503</v>
      </c>
      <c r="I1183" s="14" t="s">
        <v>3361</v>
      </c>
      <c r="J1183" s="13" t="str" cm="1">
        <f t="array" ref="J1183">_xlfn.IFS(
  OR(ISBLANK(A1183),ISBLANK(B1183),ISBLANK(H1183),ISBLANK(D1183),ISBLANK(E1183)),"Missing Value",
  D1183&lt;=0,"Review – Out of Range (Coverage)",
  E1183&lt;=0,"Review – Out of Range (Premium)",
  TRUE,"OK"
)</f>
        <v>OK</v>
      </c>
    </row>
    <row r="1184" spans="1:10" ht="16.8" x14ac:dyDescent="0.3">
      <c r="A1184" s="11" t="s">
        <v>4838</v>
      </c>
      <c r="B1184" s="11" t="s">
        <v>1935</v>
      </c>
      <c r="C1184" s="11" t="s">
        <v>3380</v>
      </c>
      <c r="D1184" s="11">
        <v>964479.31</v>
      </c>
      <c r="E1184" s="11">
        <v>13633.51</v>
      </c>
      <c r="F1184" s="12">
        <v>44684</v>
      </c>
      <c r="G1184" s="12">
        <v>45209</v>
      </c>
      <c r="H1184" s="11" t="s">
        <v>3423</v>
      </c>
      <c r="I1184" s="11" t="s">
        <v>3373</v>
      </c>
      <c r="J1184" s="13" t="str" cm="1">
        <f t="array" ref="J1184">_xlfn.IFS(
  OR(ISBLANK(A1184),ISBLANK(B1184),ISBLANK(H1184),ISBLANK(D1184),ISBLANK(E1184)),"Missing Value",
  D1184&lt;=0,"Review – Out of Range (Coverage)",
  E1184&lt;=0,"Review – Out of Range (Premium)",
  TRUE,"OK"
)</f>
        <v>OK</v>
      </c>
    </row>
    <row r="1185" spans="1:10" ht="16.8" x14ac:dyDescent="0.3">
      <c r="A1185" s="14" t="s">
        <v>4839</v>
      </c>
      <c r="B1185" s="14" t="s">
        <v>2137</v>
      </c>
      <c r="C1185" s="14" t="s">
        <v>3380</v>
      </c>
      <c r="D1185" s="14">
        <v>901674.77</v>
      </c>
      <c r="E1185" s="14">
        <v>7981.74</v>
      </c>
      <c r="F1185" s="15">
        <v>44912</v>
      </c>
      <c r="G1185" s="15">
        <v>45847</v>
      </c>
      <c r="H1185" s="14" t="s">
        <v>3575</v>
      </c>
      <c r="I1185" s="14" t="s">
        <v>3373</v>
      </c>
      <c r="J1185" s="13" t="str" cm="1">
        <f t="array" ref="J1185">_xlfn.IFS(
  OR(ISBLANK(A1185),ISBLANK(B1185),ISBLANK(H1185),ISBLANK(D1185),ISBLANK(E1185)),"Missing Value",
  D1185&lt;=0,"Review – Out of Range (Coverage)",
  E1185&lt;=0,"Review – Out of Range (Premium)",
  TRUE,"OK"
)</f>
        <v>OK</v>
      </c>
    </row>
    <row r="1186" spans="1:10" ht="16.8" x14ac:dyDescent="0.3">
      <c r="A1186" s="11" t="s">
        <v>4840</v>
      </c>
      <c r="B1186" s="11" t="s">
        <v>1757</v>
      </c>
      <c r="C1186" s="11" t="s">
        <v>3371</v>
      </c>
      <c r="D1186" s="11">
        <v>552953.97</v>
      </c>
      <c r="E1186" s="11">
        <v>19027.16</v>
      </c>
      <c r="F1186" s="12">
        <v>45184</v>
      </c>
      <c r="G1186" s="12">
        <v>45856</v>
      </c>
      <c r="H1186" s="11" t="s">
        <v>3886</v>
      </c>
      <c r="I1186" s="11" t="s">
        <v>3373</v>
      </c>
      <c r="J1186" s="13" t="str" cm="1">
        <f t="array" ref="J1186">_xlfn.IFS(
  OR(ISBLANK(A1186),ISBLANK(B1186),ISBLANK(H1186),ISBLANK(D1186),ISBLANK(E1186)),"Missing Value",
  D1186&lt;=0,"Review – Out of Range (Coverage)",
  E1186&lt;=0,"Review – Out of Range (Premium)",
  TRUE,"OK"
)</f>
        <v>OK</v>
      </c>
    </row>
    <row r="1187" spans="1:10" ht="16.8" x14ac:dyDescent="0.3">
      <c r="A1187" s="14" t="s">
        <v>4841</v>
      </c>
      <c r="B1187" s="14" t="s">
        <v>310</v>
      </c>
      <c r="C1187" s="14" t="s">
        <v>3380</v>
      </c>
      <c r="D1187" s="14">
        <v>959334.56</v>
      </c>
      <c r="E1187" s="14">
        <v>36220.300000000003</v>
      </c>
      <c r="F1187" s="15">
        <v>45202</v>
      </c>
      <c r="G1187" s="15">
        <v>45349</v>
      </c>
      <c r="H1187" s="14" t="s">
        <v>3733</v>
      </c>
      <c r="I1187" s="14" t="s">
        <v>3361</v>
      </c>
      <c r="J1187" s="13" t="str" cm="1">
        <f t="array" ref="J1187">_xlfn.IFS(
  OR(ISBLANK(A1187),ISBLANK(B1187),ISBLANK(H1187),ISBLANK(D1187),ISBLANK(E1187)),"Missing Value",
  D1187&lt;=0,"Review – Out of Range (Coverage)",
  E1187&lt;=0,"Review – Out of Range (Premium)",
  TRUE,"OK"
)</f>
        <v>OK</v>
      </c>
    </row>
    <row r="1188" spans="1:10" ht="16.8" x14ac:dyDescent="0.3">
      <c r="A1188" s="11" t="s">
        <v>4842</v>
      </c>
      <c r="B1188" s="11" t="s">
        <v>2635</v>
      </c>
      <c r="C1188" s="11" t="s">
        <v>3371</v>
      </c>
      <c r="D1188" s="11">
        <v>187334.78</v>
      </c>
      <c r="E1188" s="11">
        <v>13751.91</v>
      </c>
      <c r="F1188" s="12">
        <v>45072</v>
      </c>
      <c r="G1188" s="12">
        <v>45672</v>
      </c>
      <c r="H1188" s="11" t="s">
        <v>3764</v>
      </c>
      <c r="I1188" s="11" t="s">
        <v>3361</v>
      </c>
      <c r="J1188" s="13" t="str" cm="1">
        <f t="array" ref="J1188">_xlfn.IFS(
  OR(ISBLANK(A1188),ISBLANK(B1188),ISBLANK(H1188),ISBLANK(D1188),ISBLANK(E1188)),"Missing Value",
  D1188&lt;=0,"Review – Out of Range (Coverage)",
  E1188&lt;=0,"Review – Out of Range (Premium)",
  TRUE,"OK"
)</f>
        <v>OK</v>
      </c>
    </row>
    <row r="1189" spans="1:10" ht="16.8" x14ac:dyDescent="0.3">
      <c r="A1189" s="14" t="s">
        <v>4843</v>
      </c>
      <c r="B1189" s="14" t="s">
        <v>831</v>
      </c>
      <c r="C1189" s="14" t="s">
        <v>3377</v>
      </c>
      <c r="D1189" s="14">
        <v>937201.49</v>
      </c>
      <c r="E1189" s="14">
        <v>9035.34</v>
      </c>
      <c r="F1189" s="15">
        <v>44720</v>
      </c>
      <c r="G1189" s="15">
        <v>45831</v>
      </c>
      <c r="H1189" s="14" t="s">
        <v>3372</v>
      </c>
      <c r="I1189" s="14" t="s">
        <v>3361</v>
      </c>
      <c r="J1189" s="13" t="str" cm="1">
        <f t="array" ref="J1189">_xlfn.IFS(
  OR(ISBLANK(A1189),ISBLANK(B1189),ISBLANK(H1189),ISBLANK(D1189),ISBLANK(E1189)),"Missing Value",
  D1189&lt;=0,"Review – Out of Range (Coverage)",
  E1189&lt;=0,"Review – Out of Range (Premium)",
  TRUE,"OK"
)</f>
        <v>OK</v>
      </c>
    </row>
    <row r="1190" spans="1:10" ht="16.8" x14ac:dyDescent="0.3">
      <c r="A1190" s="11" t="s">
        <v>4844</v>
      </c>
      <c r="B1190" s="11" t="s">
        <v>1927</v>
      </c>
      <c r="C1190" s="11" t="s">
        <v>3380</v>
      </c>
      <c r="D1190" s="11">
        <v>412694.31</v>
      </c>
      <c r="E1190" s="11">
        <v>7645.02</v>
      </c>
      <c r="F1190" s="12">
        <v>44682</v>
      </c>
      <c r="G1190" s="12">
        <v>44977</v>
      </c>
      <c r="H1190" s="11" t="s">
        <v>4067</v>
      </c>
      <c r="I1190" s="11" t="s">
        <v>3361</v>
      </c>
      <c r="J1190" s="13" t="str" cm="1">
        <f t="array" ref="J1190">_xlfn.IFS(
  OR(ISBLANK(A1190),ISBLANK(B1190),ISBLANK(H1190),ISBLANK(D1190),ISBLANK(E1190)),"Missing Value",
  D1190&lt;=0,"Review – Out of Range (Coverage)",
  E1190&lt;=0,"Review – Out of Range (Premium)",
  TRUE,"OK"
)</f>
        <v>OK</v>
      </c>
    </row>
    <row r="1191" spans="1:10" ht="16.8" x14ac:dyDescent="0.3">
      <c r="A1191" s="14" t="s">
        <v>4845</v>
      </c>
      <c r="B1191" s="14" t="s">
        <v>2537</v>
      </c>
      <c r="C1191" s="14" t="s">
        <v>3371</v>
      </c>
      <c r="D1191" s="14">
        <v>570831.65</v>
      </c>
      <c r="E1191" s="14">
        <v>27243.79</v>
      </c>
      <c r="F1191" s="15">
        <v>44165</v>
      </c>
      <c r="G1191" s="15">
        <v>44826</v>
      </c>
      <c r="H1191" s="14" t="s">
        <v>4032</v>
      </c>
      <c r="I1191" s="14" t="s">
        <v>3365</v>
      </c>
      <c r="J1191" s="13" t="str" cm="1">
        <f t="array" ref="J1191">_xlfn.IFS(
  OR(ISBLANK(A1191),ISBLANK(B1191),ISBLANK(H1191),ISBLANK(D1191),ISBLANK(E1191)),"Missing Value",
  D1191&lt;=0,"Review – Out of Range (Coverage)",
  E1191&lt;=0,"Review – Out of Range (Premium)",
  TRUE,"OK"
)</f>
        <v>OK</v>
      </c>
    </row>
    <row r="1192" spans="1:10" ht="16.8" x14ac:dyDescent="0.3">
      <c r="A1192" s="11" t="s">
        <v>4846</v>
      </c>
      <c r="B1192" s="11" t="s">
        <v>2901</v>
      </c>
      <c r="C1192" s="11" t="s">
        <v>3359</v>
      </c>
      <c r="D1192" s="11">
        <v>142379.07999999999</v>
      </c>
      <c r="E1192" s="11">
        <v>49545.75</v>
      </c>
      <c r="F1192" s="12">
        <v>45277</v>
      </c>
      <c r="G1192" s="12">
        <v>45845</v>
      </c>
      <c r="H1192" s="11" t="s">
        <v>3715</v>
      </c>
      <c r="I1192" s="11" t="s">
        <v>3365</v>
      </c>
      <c r="J1192" s="13" t="str" cm="1">
        <f t="array" ref="J1192">_xlfn.IFS(
  OR(ISBLANK(A1192),ISBLANK(B1192),ISBLANK(H1192),ISBLANK(D1192),ISBLANK(E1192)),"Missing Value",
  D1192&lt;=0,"Review – Out of Range (Coverage)",
  E1192&lt;=0,"Review – Out of Range (Premium)",
  TRUE,"OK"
)</f>
        <v>OK</v>
      </c>
    </row>
    <row r="1193" spans="1:10" ht="16.8" x14ac:dyDescent="0.3">
      <c r="A1193" s="14" t="s">
        <v>4847</v>
      </c>
      <c r="B1193" s="14" t="s">
        <v>2621</v>
      </c>
      <c r="C1193" s="14" t="s">
        <v>3377</v>
      </c>
      <c r="D1193" s="14">
        <v>947457.24</v>
      </c>
      <c r="E1193" s="14">
        <v>9717.1299999999992</v>
      </c>
      <c r="F1193" s="15">
        <v>44870</v>
      </c>
      <c r="G1193" s="15">
        <v>45776</v>
      </c>
      <c r="H1193" s="14" t="s">
        <v>3830</v>
      </c>
      <c r="I1193" s="14" t="s">
        <v>3373</v>
      </c>
      <c r="J1193" s="13" t="str" cm="1">
        <f t="array" ref="J1193">_xlfn.IFS(
  OR(ISBLANK(A1193),ISBLANK(B1193),ISBLANK(H1193),ISBLANK(D1193),ISBLANK(E1193)),"Missing Value",
  D1193&lt;=0,"Review – Out of Range (Coverage)",
  E1193&lt;=0,"Review – Out of Range (Premium)",
  TRUE,"OK"
)</f>
        <v>OK</v>
      </c>
    </row>
    <row r="1194" spans="1:10" ht="16.8" x14ac:dyDescent="0.3">
      <c r="A1194" s="11" t="s">
        <v>4848</v>
      </c>
      <c r="B1194" s="11" t="s">
        <v>1193</v>
      </c>
      <c r="C1194" s="11" t="s">
        <v>3380</v>
      </c>
      <c r="D1194" s="11">
        <v>686977.24</v>
      </c>
      <c r="E1194" s="11">
        <v>49505.26</v>
      </c>
      <c r="F1194" s="12">
        <v>45320</v>
      </c>
      <c r="G1194" s="12">
        <v>45678</v>
      </c>
      <c r="H1194" s="11" t="s">
        <v>3507</v>
      </c>
      <c r="I1194" s="11" t="s">
        <v>3365</v>
      </c>
      <c r="J1194" s="13" t="str" cm="1">
        <f t="array" ref="J1194">_xlfn.IFS(
  OR(ISBLANK(A1194),ISBLANK(B1194),ISBLANK(H1194),ISBLANK(D1194),ISBLANK(E1194)),"Missing Value",
  D1194&lt;=0,"Review – Out of Range (Coverage)",
  E1194&lt;=0,"Review – Out of Range (Premium)",
  TRUE,"OK"
)</f>
        <v>OK</v>
      </c>
    </row>
    <row r="1195" spans="1:10" ht="16.8" x14ac:dyDescent="0.3">
      <c r="A1195" s="14" t="s">
        <v>4849</v>
      </c>
      <c r="B1195" s="14" t="s">
        <v>2185</v>
      </c>
      <c r="C1195" s="14" t="s">
        <v>3359</v>
      </c>
      <c r="D1195" s="14">
        <v>233713.65</v>
      </c>
      <c r="E1195" s="14">
        <v>36639.94</v>
      </c>
      <c r="F1195" s="15">
        <v>45445</v>
      </c>
      <c r="G1195" s="15">
        <v>45521</v>
      </c>
      <c r="H1195" s="14" t="s">
        <v>3863</v>
      </c>
      <c r="I1195" s="14" t="s">
        <v>3361</v>
      </c>
      <c r="J1195" s="13" t="str" cm="1">
        <f t="array" ref="J1195">_xlfn.IFS(
  OR(ISBLANK(A1195),ISBLANK(B1195),ISBLANK(H1195),ISBLANK(D1195),ISBLANK(E1195)),"Missing Value",
  D1195&lt;=0,"Review – Out of Range (Coverage)",
  E1195&lt;=0,"Review – Out of Range (Premium)",
  TRUE,"OK"
)</f>
        <v>OK</v>
      </c>
    </row>
    <row r="1196" spans="1:10" ht="16.8" x14ac:dyDescent="0.3">
      <c r="A1196" s="11" t="s">
        <v>4850</v>
      </c>
      <c r="B1196" s="11" t="s">
        <v>1965</v>
      </c>
      <c r="C1196" s="11" t="s">
        <v>3380</v>
      </c>
      <c r="D1196" s="11">
        <v>328702.73</v>
      </c>
      <c r="E1196" s="11">
        <v>18321.23</v>
      </c>
      <c r="F1196" s="12">
        <v>45171</v>
      </c>
      <c r="G1196" s="12">
        <v>45310</v>
      </c>
      <c r="H1196" s="11" t="s">
        <v>3419</v>
      </c>
      <c r="I1196" s="11" t="s">
        <v>3361</v>
      </c>
      <c r="J1196" s="13" t="str" cm="1">
        <f t="array" ref="J1196">_xlfn.IFS(
  OR(ISBLANK(A1196),ISBLANK(B1196),ISBLANK(H1196),ISBLANK(D1196),ISBLANK(E1196)),"Missing Value",
  D1196&lt;=0,"Review – Out of Range (Coverage)",
  E1196&lt;=0,"Review – Out of Range (Premium)",
  TRUE,"OK"
)</f>
        <v>OK</v>
      </c>
    </row>
    <row r="1197" spans="1:10" ht="16.8" x14ac:dyDescent="0.3">
      <c r="A1197" s="14" t="s">
        <v>4851</v>
      </c>
      <c r="B1197" s="14" t="s">
        <v>1807</v>
      </c>
      <c r="C1197" s="14" t="s">
        <v>3363</v>
      </c>
      <c r="D1197" s="14">
        <v>594638.34</v>
      </c>
      <c r="E1197" s="14">
        <v>18463.599999999999</v>
      </c>
      <c r="F1197" s="15">
        <v>45073</v>
      </c>
      <c r="G1197" s="15">
        <v>45543</v>
      </c>
      <c r="H1197" s="14" t="s">
        <v>3863</v>
      </c>
      <c r="I1197" s="14" t="s">
        <v>3365</v>
      </c>
      <c r="J1197" s="13" t="str" cm="1">
        <f t="array" ref="J1197">_xlfn.IFS(
  OR(ISBLANK(A1197),ISBLANK(B1197),ISBLANK(H1197),ISBLANK(D1197),ISBLANK(E1197)),"Missing Value",
  D1197&lt;=0,"Review – Out of Range (Coverage)",
  E1197&lt;=0,"Review – Out of Range (Premium)",
  TRUE,"OK"
)</f>
        <v>OK</v>
      </c>
    </row>
    <row r="1198" spans="1:10" ht="16.8" x14ac:dyDescent="0.3">
      <c r="A1198" s="11" t="s">
        <v>4852</v>
      </c>
      <c r="B1198" s="11" t="s">
        <v>1855</v>
      </c>
      <c r="C1198" s="11" t="s">
        <v>3363</v>
      </c>
      <c r="D1198" s="11">
        <v>884269.14</v>
      </c>
      <c r="E1198" s="11">
        <v>11682.79</v>
      </c>
      <c r="F1198" s="12">
        <v>44586</v>
      </c>
      <c r="G1198" s="12">
        <v>44595</v>
      </c>
      <c r="H1198" s="11" t="s">
        <v>3813</v>
      </c>
      <c r="I1198" s="11" t="s">
        <v>3361</v>
      </c>
      <c r="J1198" s="13" t="str" cm="1">
        <f t="array" ref="J1198">_xlfn.IFS(
  OR(ISBLANK(A1198),ISBLANK(B1198),ISBLANK(H1198),ISBLANK(D1198),ISBLANK(E1198)),"Missing Value",
  D1198&lt;=0,"Review – Out of Range (Coverage)",
  E1198&lt;=0,"Review – Out of Range (Premium)",
  TRUE,"OK"
)</f>
        <v>OK</v>
      </c>
    </row>
    <row r="1199" spans="1:10" ht="16.8" x14ac:dyDescent="0.3">
      <c r="A1199" s="14" t="s">
        <v>4853</v>
      </c>
      <c r="B1199" s="14" t="s">
        <v>3134</v>
      </c>
      <c r="C1199" s="14" t="s">
        <v>3363</v>
      </c>
      <c r="D1199" s="14">
        <v>166918.21</v>
      </c>
      <c r="E1199" s="14">
        <v>36218.58</v>
      </c>
      <c r="F1199" s="15">
        <v>44787</v>
      </c>
      <c r="G1199" s="15">
        <v>45080</v>
      </c>
      <c r="H1199" s="14" t="s">
        <v>3614</v>
      </c>
      <c r="I1199" s="14" t="s">
        <v>3373</v>
      </c>
      <c r="J1199" s="13" t="str" cm="1">
        <f t="array" ref="J1199">_xlfn.IFS(
  OR(ISBLANK(A1199),ISBLANK(B1199),ISBLANK(H1199),ISBLANK(D1199),ISBLANK(E1199)),"Missing Value",
  D1199&lt;=0,"Review – Out of Range (Coverage)",
  E1199&lt;=0,"Review – Out of Range (Premium)",
  TRUE,"OK"
)</f>
        <v>OK</v>
      </c>
    </row>
    <row r="1200" spans="1:10" ht="16.8" x14ac:dyDescent="0.3">
      <c r="A1200" s="11" t="s">
        <v>4854</v>
      </c>
      <c r="B1200" s="11" t="s">
        <v>1007</v>
      </c>
      <c r="C1200" s="11" t="s">
        <v>3363</v>
      </c>
      <c r="D1200" s="11">
        <v>649503.98</v>
      </c>
      <c r="E1200" s="11">
        <v>6183.98</v>
      </c>
      <c r="F1200" s="12">
        <v>44226</v>
      </c>
      <c r="G1200" s="12">
        <v>45057</v>
      </c>
      <c r="H1200" s="11" t="s">
        <v>3718</v>
      </c>
      <c r="I1200" s="11" t="s">
        <v>3361</v>
      </c>
      <c r="J1200" s="13" t="str" cm="1">
        <f t="array" ref="J1200">_xlfn.IFS(
  OR(ISBLANK(A1200),ISBLANK(B1200),ISBLANK(H1200),ISBLANK(D1200),ISBLANK(E1200)),"Missing Value",
  D1200&lt;=0,"Review – Out of Range (Coverage)",
  E1200&lt;=0,"Review – Out of Range (Premium)",
  TRUE,"OK"
)</f>
        <v>OK</v>
      </c>
    </row>
    <row r="1201" spans="1:10" ht="16.8" x14ac:dyDescent="0.3">
      <c r="A1201" s="14" t="s">
        <v>4855</v>
      </c>
      <c r="B1201" s="14" t="s">
        <v>3320</v>
      </c>
      <c r="C1201" s="14" t="s">
        <v>3377</v>
      </c>
      <c r="D1201" s="14">
        <v>879422.07</v>
      </c>
      <c r="E1201" s="14">
        <v>29437.68</v>
      </c>
      <c r="F1201" s="15">
        <v>44881</v>
      </c>
      <c r="G1201" s="15">
        <v>45388</v>
      </c>
      <c r="H1201" s="14" t="s">
        <v>3827</v>
      </c>
      <c r="I1201" s="14" t="s">
        <v>3361</v>
      </c>
      <c r="J1201" s="13" t="str" cm="1">
        <f t="array" ref="J1201">_xlfn.IFS(
  OR(ISBLANK(A1201),ISBLANK(B1201),ISBLANK(H1201),ISBLANK(D1201),ISBLANK(E1201)),"Missing Value",
  D1201&lt;=0,"Review – Out of Range (Coverage)",
  E1201&lt;=0,"Review – Out of Range (Premium)",
  TRUE,"OK"
)</f>
        <v>OK</v>
      </c>
    </row>
    <row r="1202" spans="1:10" ht="16.8" x14ac:dyDescent="0.3">
      <c r="A1202" s="11" t="s">
        <v>4856</v>
      </c>
      <c r="B1202" s="11" t="s">
        <v>919</v>
      </c>
      <c r="C1202" s="11" t="s">
        <v>3363</v>
      </c>
      <c r="D1202" s="11">
        <v>265601.5</v>
      </c>
      <c r="E1202" s="11">
        <v>36382.18</v>
      </c>
      <c r="F1202" s="12">
        <v>44939</v>
      </c>
      <c r="G1202" s="12">
        <v>45149</v>
      </c>
      <c r="H1202" s="11" t="s">
        <v>3417</v>
      </c>
      <c r="I1202" s="11" t="s">
        <v>3365</v>
      </c>
      <c r="J1202" s="13" t="str" cm="1">
        <f t="array" ref="J1202">_xlfn.IFS(
  OR(ISBLANK(A1202),ISBLANK(B1202),ISBLANK(H1202),ISBLANK(D1202),ISBLANK(E1202)),"Missing Value",
  D1202&lt;=0,"Review – Out of Range (Coverage)",
  E1202&lt;=0,"Review – Out of Range (Premium)",
  TRUE,"OK"
)</f>
        <v>OK</v>
      </c>
    </row>
    <row r="1203" spans="1:10" ht="16.8" x14ac:dyDescent="0.3">
      <c r="A1203" s="14" t="s">
        <v>4857</v>
      </c>
      <c r="B1203" s="14" t="s">
        <v>2497</v>
      </c>
      <c r="C1203" s="14" t="s">
        <v>3359</v>
      </c>
      <c r="D1203" s="14">
        <v>554358.18999999994</v>
      </c>
      <c r="E1203" s="14">
        <v>48814.43</v>
      </c>
      <c r="F1203" s="15">
        <v>45040</v>
      </c>
      <c r="G1203" s="15">
        <v>45798</v>
      </c>
      <c r="H1203" s="14" t="s">
        <v>3397</v>
      </c>
      <c r="I1203" s="14" t="s">
        <v>3365</v>
      </c>
      <c r="J1203" s="13" t="str" cm="1">
        <f t="array" ref="J1203">_xlfn.IFS(
  OR(ISBLANK(A1203),ISBLANK(B1203),ISBLANK(H1203),ISBLANK(D1203),ISBLANK(E1203)),"Missing Value",
  D1203&lt;=0,"Review – Out of Range (Coverage)",
  E1203&lt;=0,"Review – Out of Range (Premium)",
  TRUE,"OK"
)</f>
        <v>OK</v>
      </c>
    </row>
    <row r="1204" spans="1:10" ht="16.8" x14ac:dyDescent="0.3">
      <c r="A1204" s="11" t="s">
        <v>4858</v>
      </c>
      <c r="B1204" s="11" t="s">
        <v>967</v>
      </c>
      <c r="C1204" s="11" t="s">
        <v>3371</v>
      </c>
      <c r="D1204" s="11">
        <v>952432.81</v>
      </c>
      <c r="E1204" s="11">
        <v>39907.089999999997</v>
      </c>
      <c r="F1204" s="12">
        <v>45118</v>
      </c>
      <c r="G1204" s="12">
        <v>45675</v>
      </c>
      <c r="H1204" s="11" t="s">
        <v>3759</v>
      </c>
      <c r="I1204" s="11" t="s">
        <v>3365</v>
      </c>
      <c r="J1204" s="13" t="str" cm="1">
        <f t="array" ref="J1204">_xlfn.IFS(
  OR(ISBLANK(A1204),ISBLANK(B1204),ISBLANK(H1204),ISBLANK(D1204),ISBLANK(E1204)),"Missing Value",
  D1204&lt;=0,"Review – Out of Range (Coverage)",
  E1204&lt;=0,"Review – Out of Range (Premium)",
  TRUE,"OK"
)</f>
        <v>OK</v>
      </c>
    </row>
    <row r="1205" spans="1:10" ht="16.8" x14ac:dyDescent="0.3">
      <c r="A1205" s="14" t="s">
        <v>4859</v>
      </c>
      <c r="B1205" s="14" t="s">
        <v>543</v>
      </c>
      <c r="C1205" s="14" t="s">
        <v>3380</v>
      </c>
      <c r="D1205" s="14">
        <v>586379.06000000006</v>
      </c>
      <c r="E1205" s="14">
        <v>4088.97</v>
      </c>
      <c r="F1205" s="15">
        <v>45104</v>
      </c>
      <c r="G1205" s="15">
        <v>45538</v>
      </c>
      <c r="H1205" s="14" t="s">
        <v>3459</v>
      </c>
      <c r="I1205" s="14" t="s">
        <v>3361</v>
      </c>
      <c r="J1205" s="13" t="str" cm="1">
        <f t="array" ref="J1205">_xlfn.IFS(
  OR(ISBLANK(A1205),ISBLANK(B1205),ISBLANK(H1205),ISBLANK(D1205),ISBLANK(E1205)),"Missing Value",
  D1205&lt;=0,"Review – Out of Range (Coverage)",
  E1205&lt;=0,"Review – Out of Range (Premium)",
  TRUE,"OK"
)</f>
        <v>OK</v>
      </c>
    </row>
    <row r="1206" spans="1:10" ht="16.8" x14ac:dyDescent="0.3">
      <c r="A1206" s="11" t="s">
        <v>4860</v>
      </c>
      <c r="B1206" s="11" t="s">
        <v>1633</v>
      </c>
      <c r="C1206" s="11" t="s">
        <v>3359</v>
      </c>
      <c r="D1206" s="11">
        <v>639397.15</v>
      </c>
      <c r="E1206" s="11">
        <v>44201.31</v>
      </c>
      <c r="F1206" s="12">
        <v>45140</v>
      </c>
      <c r="G1206" s="12">
        <v>45486</v>
      </c>
      <c r="H1206" s="11" t="s">
        <v>4630</v>
      </c>
      <c r="I1206" s="11" t="s">
        <v>3373</v>
      </c>
      <c r="J1206" s="13" t="str" cm="1">
        <f t="array" ref="J1206">_xlfn.IFS(
  OR(ISBLANK(A1206),ISBLANK(B1206),ISBLANK(H1206),ISBLANK(D1206),ISBLANK(E1206)),"Missing Value",
  D1206&lt;=0,"Review – Out of Range (Coverage)",
  E1206&lt;=0,"Review – Out of Range (Premium)",
  TRUE,"OK"
)</f>
        <v>OK</v>
      </c>
    </row>
    <row r="1207" spans="1:10" ht="16.8" x14ac:dyDescent="0.3">
      <c r="A1207" s="14" t="s">
        <v>4861</v>
      </c>
      <c r="B1207" s="14" t="s">
        <v>107</v>
      </c>
      <c r="C1207" s="14" t="s">
        <v>3359</v>
      </c>
      <c r="D1207" s="14">
        <v>596678.19999999995</v>
      </c>
      <c r="E1207" s="14">
        <v>13606.75</v>
      </c>
      <c r="F1207" s="15">
        <v>45328</v>
      </c>
      <c r="G1207" s="15">
        <v>45781</v>
      </c>
      <c r="H1207" s="14" t="s">
        <v>3581</v>
      </c>
      <c r="I1207" s="14" t="s">
        <v>3365</v>
      </c>
      <c r="J1207" s="13" t="str" cm="1">
        <f t="array" ref="J1207">_xlfn.IFS(
  OR(ISBLANK(A1207),ISBLANK(B1207),ISBLANK(H1207),ISBLANK(D1207),ISBLANK(E1207)),"Missing Value",
  D1207&lt;=0,"Review – Out of Range (Coverage)",
  E1207&lt;=0,"Review – Out of Range (Premium)",
  TRUE,"OK"
)</f>
        <v>OK</v>
      </c>
    </row>
    <row r="1208" spans="1:10" ht="16.8" x14ac:dyDescent="0.3">
      <c r="A1208" s="11" t="s">
        <v>4862</v>
      </c>
      <c r="B1208" s="11" t="s">
        <v>2363</v>
      </c>
      <c r="C1208" s="11" t="s">
        <v>3363</v>
      </c>
      <c r="D1208" s="11">
        <v>182524.41</v>
      </c>
      <c r="E1208" s="11">
        <v>22778.27</v>
      </c>
      <c r="F1208" s="12">
        <v>45361</v>
      </c>
      <c r="G1208" s="12">
        <v>45526</v>
      </c>
      <c r="H1208" s="11" t="s">
        <v>3762</v>
      </c>
      <c r="I1208" s="11" t="s">
        <v>3361</v>
      </c>
      <c r="J1208" s="13" t="str" cm="1">
        <f t="array" ref="J1208">_xlfn.IFS(
  OR(ISBLANK(A1208),ISBLANK(B1208),ISBLANK(H1208),ISBLANK(D1208),ISBLANK(E1208)),"Missing Value",
  D1208&lt;=0,"Review – Out of Range (Coverage)",
  E1208&lt;=0,"Review – Out of Range (Premium)",
  TRUE,"OK"
)</f>
        <v>OK</v>
      </c>
    </row>
    <row r="1209" spans="1:10" ht="16.8" x14ac:dyDescent="0.3">
      <c r="A1209" s="14" t="s">
        <v>4863</v>
      </c>
      <c r="B1209" s="14" t="s">
        <v>3216</v>
      </c>
      <c r="C1209" s="14" t="s">
        <v>3363</v>
      </c>
      <c r="D1209" s="14">
        <v>860796.79</v>
      </c>
      <c r="E1209" s="14">
        <v>3315</v>
      </c>
      <c r="F1209" s="15">
        <v>44612</v>
      </c>
      <c r="G1209" s="15">
        <v>44672</v>
      </c>
      <c r="H1209" s="14" t="s">
        <v>3381</v>
      </c>
      <c r="I1209" s="14" t="s">
        <v>3361</v>
      </c>
      <c r="J1209" s="13" t="str" cm="1">
        <f t="array" ref="J1209">_xlfn.IFS(
  OR(ISBLANK(A1209),ISBLANK(B1209),ISBLANK(H1209),ISBLANK(D1209),ISBLANK(E1209)),"Missing Value",
  D1209&lt;=0,"Review – Out of Range (Coverage)",
  E1209&lt;=0,"Review – Out of Range (Premium)",
  TRUE,"OK"
)</f>
        <v>OK</v>
      </c>
    </row>
    <row r="1210" spans="1:10" ht="16.8" x14ac:dyDescent="0.3">
      <c r="A1210" s="11" t="s">
        <v>4864</v>
      </c>
      <c r="B1210" s="11" t="s">
        <v>1271</v>
      </c>
      <c r="C1210" s="11" t="s">
        <v>3377</v>
      </c>
      <c r="D1210" s="11">
        <v>266908.53000000003</v>
      </c>
      <c r="E1210" s="11">
        <v>30051.85</v>
      </c>
      <c r="F1210" s="12">
        <v>45181</v>
      </c>
      <c r="G1210" s="12">
        <v>45760</v>
      </c>
      <c r="H1210" s="11" t="s">
        <v>3750</v>
      </c>
      <c r="I1210" s="11" t="s">
        <v>3365</v>
      </c>
      <c r="J1210" s="13" t="str" cm="1">
        <f t="array" ref="J1210">_xlfn.IFS(
  OR(ISBLANK(A1210),ISBLANK(B1210),ISBLANK(H1210),ISBLANK(D1210),ISBLANK(E1210)),"Missing Value",
  D1210&lt;=0,"Review – Out of Range (Coverage)",
  E1210&lt;=0,"Review – Out of Range (Premium)",
  TRUE,"OK"
)</f>
        <v>OK</v>
      </c>
    </row>
    <row r="1211" spans="1:10" ht="16.8" x14ac:dyDescent="0.3">
      <c r="A1211" s="14" t="s">
        <v>4865</v>
      </c>
      <c r="B1211" s="14" t="s">
        <v>2773</v>
      </c>
      <c r="C1211" s="14" t="s">
        <v>3359</v>
      </c>
      <c r="D1211" s="14">
        <v>308100.55</v>
      </c>
      <c r="E1211" s="14">
        <v>38053.410000000003</v>
      </c>
      <c r="F1211" s="15">
        <v>44345</v>
      </c>
      <c r="G1211" s="15">
        <v>45372</v>
      </c>
      <c r="H1211" s="14" t="s">
        <v>4114</v>
      </c>
      <c r="I1211" s="14" t="s">
        <v>3365</v>
      </c>
      <c r="J1211" s="13" t="str" cm="1">
        <f t="array" ref="J1211">_xlfn.IFS(
  OR(ISBLANK(A1211),ISBLANK(B1211),ISBLANK(H1211),ISBLANK(D1211),ISBLANK(E1211)),"Missing Value",
  D1211&lt;=0,"Review – Out of Range (Coverage)",
  E1211&lt;=0,"Review – Out of Range (Premium)",
  TRUE,"OK"
)</f>
        <v>OK</v>
      </c>
    </row>
    <row r="1212" spans="1:10" ht="16.8" x14ac:dyDescent="0.3">
      <c r="A1212" s="11" t="s">
        <v>4866</v>
      </c>
      <c r="B1212" s="11" t="s">
        <v>3272</v>
      </c>
      <c r="C1212" s="11" t="s">
        <v>3380</v>
      </c>
      <c r="D1212" s="11">
        <v>761070.7</v>
      </c>
      <c r="E1212" s="11">
        <v>26673.94</v>
      </c>
      <c r="F1212" s="12">
        <v>45130</v>
      </c>
      <c r="G1212" s="12">
        <v>45777</v>
      </c>
      <c r="H1212" s="11" t="s">
        <v>3721</v>
      </c>
      <c r="I1212" s="11" t="s">
        <v>3365</v>
      </c>
      <c r="J1212" s="13" t="str" cm="1">
        <f t="array" ref="J1212">_xlfn.IFS(
  OR(ISBLANK(A1212),ISBLANK(B1212),ISBLANK(H1212),ISBLANK(D1212),ISBLANK(E1212)),"Missing Value",
  D1212&lt;=0,"Review – Out of Range (Coverage)",
  E1212&lt;=0,"Review – Out of Range (Premium)",
  TRUE,"OK"
)</f>
        <v>OK</v>
      </c>
    </row>
    <row r="1213" spans="1:10" ht="16.8" x14ac:dyDescent="0.3">
      <c r="A1213" s="14" t="s">
        <v>4867</v>
      </c>
      <c r="B1213" s="14" t="s">
        <v>162</v>
      </c>
      <c r="C1213" s="14" t="s">
        <v>3363</v>
      </c>
      <c r="D1213" s="14">
        <v>405243.12</v>
      </c>
      <c r="E1213" s="14">
        <v>20418.98</v>
      </c>
      <c r="F1213" s="15">
        <v>45025</v>
      </c>
      <c r="G1213" s="15">
        <v>45765</v>
      </c>
      <c r="H1213" s="14" t="s">
        <v>3838</v>
      </c>
      <c r="I1213" s="14" t="s">
        <v>3361</v>
      </c>
      <c r="J1213" s="13" t="str" cm="1">
        <f t="array" ref="J1213">_xlfn.IFS(
  OR(ISBLANK(A1213),ISBLANK(B1213),ISBLANK(H1213),ISBLANK(D1213),ISBLANK(E1213)),"Missing Value",
  D1213&lt;=0,"Review – Out of Range (Coverage)",
  E1213&lt;=0,"Review – Out of Range (Premium)",
  TRUE,"OK"
)</f>
        <v>OK</v>
      </c>
    </row>
    <row r="1214" spans="1:10" ht="16.8" x14ac:dyDescent="0.3">
      <c r="A1214" s="11" t="s">
        <v>4868</v>
      </c>
      <c r="B1214" s="11" t="s">
        <v>939</v>
      </c>
      <c r="C1214" s="11" t="s">
        <v>3377</v>
      </c>
      <c r="D1214" s="11">
        <v>373562.11</v>
      </c>
      <c r="E1214" s="11">
        <v>8263.26</v>
      </c>
      <c r="F1214" s="12">
        <v>45294</v>
      </c>
      <c r="G1214" s="12">
        <v>45585</v>
      </c>
      <c r="H1214" s="11" t="s">
        <v>3772</v>
      </c>
      <c r="I1214" s="11" t="s">
        <v>3361</v>
      </c>
      <c r="J1214" s="13" t="str" cm="1">
        <f t="array" ref="J1214">_xlfn.IFS(
  OR(ISBLANK(A1214),ISBLANK(B1214),ISBLANK(H1214),ISBLANK(D1214),ISBLANK(E1214)),"Missing Value",
  D1214&lt;=0,"Review – Out of Range (Coverage)",
  E1214&lt;=0,"Review – Out of Range (Premium)",
  TRUE,"OK"
)</f>
        <v>OK</v>
      </c>
    </row>
    <row r="1215" spans="1:10" ht="16.8" x14ac:dyDescent="0.3">
      <c r="A1215" s="14" t="s">
        <v>4869</v>
      </c>
      <c r="B1215" s="14" t="s">
        <v>1025</v>
      </c>
      <c r="C1215" s="14" t="s">
        <v>3359</v>
      </c>
      <c r="D1215" s="14">
        <v>827715.12</v>
      </c>
      <c r="E1215" s="14">
        <v>10413.17</v>
      </c>
      <c r="F1215" s="15">
        <v>45166</v>
      </c>
      <c r="G1215" s="15">
        <v>45346</v>
      </c>
      <c r="H1215" s="14" t="s">
        <v>4108</v>
      </c>
      <c r="I1215" s="14" t="s">
        <v>3361</v>
      </c>
      <c r="J1215" s="13" t="str" cm="1">
        <f t="array" ref="J1215">_xlfn.IFS(
  OR(ISBLANK(A1215),ISBLANK(B1215),ISBLANK(H1215),ISBLANK(D1215),ISBLANK(E1215)),"Missing Value",
  D1215&lt;=0,"Review – Out of Range (Coverage)",
  E1215&lt;=0,"Review – Out of Range (Premium)",
  TRUE,"OK"
)</f>
        <v>OK</v>
      </c>
    </row>
    <row r="1216" spans="1:10" ht="16.8" x14ac:dyDescent="0.3">
      <c r="A1216" s="11" t="s">
        <v>4870</v>
      </c>
      <c r="B1216" s="11" t="s">
        <v>885</v>
      </c>
      <c r="C1216" s="11" t="s">
        <v>3371</v>
      </c>
      <c r="D1216" s="11">
        <v>615659.31000000006</v>
      </c>
      <c r="E1216" s="11">
        <v>18926.990000000002</v>
      </c>
      <c r="F1216" s="12">
        <v>45076</v>
      </c>
      <c r="G1216" s="12">
        <v>45782</v>
      </c>
      <c r="H1216" s="11" t="s">
        <v>3632</v>
      </c>
      <c r="I1216" s="11" t="s">
        <v>3361</v>
      </c>
      <c r="J1216" s="13" t="str" cm="1">
        <f t="array" ref="J1216">_xlfn.IFS(
  OR(ISBLANK(A1216),ISBLANK(B1216),ISBLANK(H1216),ISBLANK(D1216),ISBLANK(E1216)),"Missing Value",
  D1216&lt;=0,"Review – Out of Range (Coverage)",
  E1216&lt;=0,"Review – Out of Range (Premium)",
  TRUE,"OK"
)</f>
        <v>OK</v>
      </c>
    </row>
    <row r="1217" spans="1:10" ht="16.8" x14ac:dyDescent="0.3">
      <c r="A1217" s="14" t="s">
        <v>4871</v>
      </c>
      <c r="B1217" s="14" t="s">
        <v>931</v>
      </c>
      <c r="C1217" s="14" t="s">
        <v>3359</v>
      </c>
      <c r="D1217" s="14">
        <v>830582.82</v>
      </c>
      <c r="E1217" s="14">
        <v>20062.68</v>
      </c>
      <c r="F1217" s="15">
        <v>44936</v>
      </c>
      <c r="G1217" s="15">
        <v>45845</v>
      </c>
      <c r="H1217" s="14" t="s">
        <v>3417</v>
      </c>
      <c r="I1217" s="14" t="s">
        <v>3373</v>
      </c>
      <c r="J1217" s="13" t="str" cm="1">
        <f t="array" ref="J1217">_xlfn.IFS(
  OR(ISBLANK(A1217),ISBLANK(B1217),ISBLANK(H1217),ISBLANK(D1217),ISBLANK(E1217)),"Missing Value",
  D1217&lt;=0,"Review – Out of Range (Coverage)",
  E1217&lt;=0,"Review – Out of Range (Premium)",
  TRUE,"OK"
)</f>
        <v>OK</v>
      </c>
    </row>
    <row r="1218" spans="1:10" ht="16.8" x14ac:dyDescent="0.3">
      <c r="A1218" s="11" t="s">
        <v>4872</v>
      </c>
      <c r="B1218" s="11" t="s">
        <v>172</v>
      </c>
      <c r="C1218" s="11" t="s">
        <v>3359</v>
      </c>
      <c r="D1218" s="11">
        <v>471866.85</v>
      </c>
      <c r="E1218" s="11">
        <v>37289.199999999997</v>
      </c>
      <c r="F1218" s="12">
        <v>45278</v>
      </c>
      <c r="G1218" s="12">
        <v>45830</v>
      </c>
      <c r="H1218" s="11" t="s">
        <v>4164</v>
      </c>
      <c r="I1218" s="11" t="s">
        <v>3365</v>
      </c>
      <c r="J1218" s="13" t="str" cm="1">
        <f t="array" ref="J1218">_xlfn.IFS(
  OR(ISBLANK(A1218),ISBLANK(B1218),ISBLANK(H1218),ISBLANK(D1218),ISBLANK(E1218)),"Missing Value",
  D1218&lt;=0,"Review – Out of Range (Coverage)",
  E1218&lt;=0,"Review – Out of Range (Premium)",
  TRUE,"OK"
)</f>
        <v>OK</v>
      </c>
    </row>
    <row r="1219" spans="1:10" ht="16.8" x14ac:dyDescent="0.3">
      <c r="A1219" s="14" t="s">
        <v>4873</v>
      </c>
      <c r="B1219" s="14" t="s">
        <v>2969</v>
      </c>
      <c r="C1219" s="14" t="s">
        <v>3371</v>
      </c>
      <c r="D1219" s="14">
        <v>386083.89</v>
      </c>
      <c r="E1219" s="14">
        <v>18304.990000000002</v>
      </c>
      <c r="F1219" s="15">
        <v>44991</v>
      </c>
      <c r="G1219" s="15">
        <v>45250</v>
      </c>
      <c r="H1219" s="14" t="s">
        <v>4136</v>
      </c>
      <c r="I1219" s="14" t="s">
        <v>3361</v>
      </c>
      <c r="J1219" s="13" t="str" cm="1">
        <f t="array" ref="J1219">_xlfn.IFS(
  OR(ISBLANK(A1219),ISBLANK(B1219),ISBLANK(H1219),ISBLANK(D1219),ISBLANK(E1219)),"Missing Value",
  D1219&lt;=0,"Review – Out of Range (Coverage)",
  E1219&lt;=0,"Review – Out of Range (Premium)",
  TRUE,"OK"
)</f>
        <v>OK</v>
      </c>
    </row>
    <row r="1220" spans="1:10" ht="16.8" x14ac:dyDescent="0.3">
      <c r="A1220" s="11" t="s">
        <v>4874</v>
      </c>
      <c r="B1220" s="11" t="s">
        <v>2625</v>
      </c>
      <c r="C1220" s="11" t="s">
        <v>3363</v>
      </c>
      <c r="D1220" s="11">
        <v>900429.54</v>
      </c>
      <c r="E1220" s="11">
        <v>43962.43</v>
      </c>
      <c r="F1220" s="12">
        <v>44441</v>
      </c>
      <c r="G1220" s="12">
        <v>45099</v>
      </c>
      <c r="H1220" s="11" t="s">
        <v>3444</v>
      </c>
      <c r="I1220" s="11" t="s">
        <v>3361</v>
      </c>
      <c r="J1220" s="13" t="str" cm="1">
        <f t="array" ref="J1220">_xlfn.IFS(
  OR(ISBLANK(A1220),ISBLANK(B1220),ISBLANK(H1220),ISBLANK(D1220),ISBLANK(E1220)),"Missing Value",
  D1220&lt;=0,"Review – Out of Range (Coverage)",
  E1220&lt;=0,"Review – Out of Range (Premium)",
  TRUE,"OK"
)</f>
        <v>OK</v>
      </c>
    </row>
    <row r="1221" spans="1:10" ht="16.8" x14ac:dyDescent="0.3">
      <c r="A1221" s="14" t="s">
        <v>4875</v>
      </c>
      <c r="B1221" s="14" t="s">
        <v>1585</v>
      </c>
      <c r="C1221" s="14" t="s">
        <v>3363</v>
      </c>
      <c r="D1221" s="14">
        <v>879959.57</v>
      </c>
      <c r="E1221" s="14">
        <v>40205.08</v>
      </c>
      <c r="F1221" s="15">
        <v>45352</v>
      </c>
      <c r="G1221" s="15">
        <v>45689</v>
      </c>
      <c r="H1221" s="14" t="s">
        <v>3438</v>
      </c>
      <c r="I1221" s="14" t="s">
        <v>3373</v>
      </c>
      <c r="J1221" s="13" t="str" cm="1">
        <f t="array" ref="J1221">_xlfn.IFS(
  OR(ISBLANK(A1221),ISBLANK(B1221),ISBLANK(H1221),ISBLANK(D1221),ISBLANK(E1221)),"Missing Value",
  D1221&lt;=0,"Review – Out of Range (Coverage)",
  E1221&lt;=0,"Review – Out of Range (Premium)",
  TRUE,"OK"
)</f>
        <v>OK</v>
      </c>
    </row>
    <row r="1222" spans="1:10" ht="16.8" x14ac:dyDescent="0.3">
      <c r="A1222" s="11" t="s">
        <v>4876</v>
      </c>
      <c r="B1222" s="11" t="s">
        <v>3284</v>
      </c>
      <c r="C1222" s="11" t="s">
        <v>3363</v>
      </c>
      <c r="D1222" s="11">
        <v>596990.81999999995</v>
      </c>
      <c r="E1222" s="11">
        <v>6338.39</v>
      </c>
      <c r="F1222" s="12">
        <v>45307</v>
      </c>
      <c r="G1222" s="12">
        <v>45479</v>
      </c>
      <c r="H1222" s="11" t="s">
        <v>3381</v>
      </c>
      <c r="I1222" s="11" t="s">
        <v>3365</v>
      </c>
      <c r="J1222" s="13" t="str" cm="1">
        <f t="array" ref="J1222">_xlfn.IFS(
  OR(ISBLANK(A1222),ISBLANK(B1222),ISBLANK(H1222),ISBLANK(D1222),ISBLANK(E1222)),"Missing Value",
  D1222&lt;=0,"Review – Out of Range (Coverage)",
  E1222&lt;=0,"Review – Out of Range (Premium)",
  TRUE,"OK"
)</f>
        <v>OK</v>
      </c>
    </row>
    <row r="1223" spans="1:10" ht="16.8" x14ac:dyDescent="0.3">
      <c r="A1223" s="14" t="s">
        <v>4877</v>
      </c>
      <c r="B1223" s="14" t="s">
        <v>2053</v>
      </c>
      <c r="C1223" s="14" t="s">
        <v>3363</v>
      </c>
      <c r="D1223" s="14">
        <v>770631.14</v>
      </c>
      <c r="E1223" s="14">
        <v>17404.66</v>
      </c>
      <c r="F1223" s="15">
        <v>44697</v>
      </c>
      <c r="G1223" s="15">
        <v>45375</v>
      </c>
      <c r="H1223" s="14" t="s">
        <v>4170</v>
      </c>
      <c r="I1223" s="14" t="s">
        <v>3373</v>
      </c>
      <c r="J1223" s="13" t="str" cm="1">
        <f t="array" ref="J1223">_xlfn.IFS(
  OR(ISBLANK(A1223),ISBLANK(B1223),ISBLANK(H1223),ISBLANK(D1223),ISBLANK(E1223)),"Missing Value",
  D1223&lt;=0,"Review – Out of Range (Coverage)",
  E1223&lt;=0,"Review – Out of Range (Premium)",
  TRUE,"OK"
)</f>
        <v>OK</v>
      </c>
    </row>
    <row r="1224" spans="1:10" ht="16.8" x14ac:dyDescent="0.3">
      <c r="A1224" s="11" t="s">
        <v>4878</v>
      </c>
      <c r="B1224" s="11" t="s">
        <v>2875</v>
      </c>
      <c r="C1224" s="11" t="s">
        <v>3359</v>
      </c>
      <c r="D1224" s="11">
        <v>469169.11</v>
      </c>
      <c r="E1224" s="11">
        <v>11287.52</v>
      </c>
      <c r="F1224" s="12">
        <v>45247</v>
      </c>
      <c r="G1224" s="12">
        <v>45705</v>
      </c>
      <c r="H1224" s="11" t="s">
        <v>4043</v>
      </c>
      <c r="I1224" s="11" t="s">
        <v>3373</v>
      </c>
      <c r="J1224" s="13" t="str" cm="1">
        <f t="array" ref="J1224">_xlfn.IFS(
  OR(ISBLANK(A1224),ISBLANK(B1224),ISBLANK(H1224),ISBLANK(D1224),ISBLANK(E1224)),"Missing Value",
  D1224&lt;=0,"Review – Out of Range (Coverage)",
  E1224&lt;=0,"Review – Out of Range (Premium)",
  TRUE,"OK"
)</f>
        <v>OK</v>
      </c>
    </row>
    <row r="1225" spans="1:10" ht="16.8" x14ac:dyDescent="0.3">
      <c r="A1225" s="14" t="s">
        <v>4879</v>
      </c>
      <c r="B1225" s="14" t="s">
        <v>2325</v>
      </c>
      <c r="C1225" s="14" t="s">
        <v>3371</v>
      </c>
      <c r="D1225" s="14">
        <v>257260.5</v>
      </c>
      <c r="E1225" s="14">
        <v>18967.66</v>
      </c>
      <c r="F1225" s="15">
        <v>44234</v>
      </c>
      <c r="G1225" s="15">
        <v>45277</v>
      </c>
      <c r="H1225" s="14" t="s">
        <v>3603</v>
      </c>
      <c r="I1225" s="14" t="s">
        <v>3365</v>
      </c>
      <c r="J1225" s="13" t="str" cm="1">
        <f t="array" ref="J1225">_xlfn.IFS(
  OR(ISBLANK(A1225),ISBLANK(B1225),ISBLANK(H1225),ISBLANK(D1225),ISBLANK(E1225)),"Missing Value",
  D1225&lt;=0,"Review – Out of Range (Coverage)",
  E1225&lt;=0,"Review – Out of Range (Premium)",
  TRUE,"OK"
)</f>
        <v>OK</v>
      </c>
    </row>
    <row r="1226" spans="1:10" ht="16.8" x14ac:dyDescent="0.3">
      <c r="A1226" s="11" t="s">
        <v>4880</v>
      </c>
      <c r="B1226" s="11" t="s">
        <v>713</v>
      </c>
      <c r="C1226" s="11" t="s">
        <v>3359</v>
      </c>
      <c r="D1226" s="11">
        <v>485922.52</v>
      </c>
      <c r="E1226" s="11">
        <v>8040.2</v>
      </c>
      <c r="F1226" s="12">
        <v>45390</v>
      </c>
      <c r="G1226" s="12">
        <v>45524</v>
      </c>
      <c r="H1226" s="11" t="s">
        <v>3429</v>
      </c>
      <c r="I1226" s="11" t="s">
        <v>3361</v>
      </c>
      <c r="J1226" s="13" t="str" cm="1">
        <f t="array" ref="J1226">_xlfn.IFS(
  OR(ISBLANK(A1226),ISBLANK(B1226),ISBLANK(H1226),ISBLANK(D1226),ISBLANK(E1226)),"Missing Value",
  D1226&lt;=0,"Review – Out of Range (Coverage)",
  E1226&lt;=0,"Review – Out of Range (Premium)",
  TRUE,"OK"
)</f>
        <v>OK</v>
      </c>
    </row>
    <row r="1227" spans="1:10" ht="16.8" x14ac:dyDescent="0.3">
      <c r="A1227" s="14" t="s">
        <v>4881</v>
      </c>
      <c r="B1227" s="14" t="s">
        <v>216</v>
      </c>
      <c r="C1227" s="14" t="s">
        <v>3359</v>
      </c>
      <c r="D1227" s="14">
        <v>724192.93</v>
      </c>
      <c r="E1227" s="14">
        <v>36817.43</v>
      </c>
      <c r="F1227" s="15">
        <v>45250</v>
      </c>
      <c r="G1227" s="15">
        <v>45860</v>
      </c>
      <c r="H1227" s="14" t="s">
        <v>3644</v>
      </c>
      <c r="I1227" s="14" t="s">
        <v>3361</v>
      </c>
      <c r="J1227" s="13" t="str" cm="1">
        <f t="array" ref="J1227">_xlfn.IFS(
  OR(ISBLANK(A1227),ISBLANK(B1227),ISBLANK(H1227),ISBLANK(D1227),ISBLANK(E1227)),"Missing Value",
  D1227&lt;=0,"Review – Out of Range (Coverage)",
  E1227&lt;=0,"Review – Out of Range (Premium)",
  TRUE,"OK"
)</f>
        <v>OK</v>
      </c>
    </row>
    <row r="1228" spans="1:10" ht="16.8" x14ac:dyDescent="0.3">
      <c r="A1228" s="11" t="s">
        <v>4882</v>
      </c>
      <c r="B1228" s="11" t="s">
        <v>765</v>
      </c>
      <c r="C1228" s="11" t="s">
        <v>3377</v>
      </c>
      <c r="D1228" s="11">
        <v>301624.76</v>
      </c>
      <c r="E1228" s="11">
        <v>47198.43</v>
      </c>
      <c r="F1228" s="12">
        <v>44196</v>
      </c>
      <c r="G1228" s="12">
        <v>44848</v>
      </c>
      <c r="H1228" s="11" t="s">
        <v>3685</v>
      </c>
      <c r="I1228" s="11" t="s">
        <v>3365</v>
      </c>
      <c r="J1228" s="13" t="str" cm="1">
        <f t="array" ref="J1228">_xlfn.IFS(
  OR(ISBLANK(A1228),ISBLANK(B1228),ISBLANK(H1228),ISBLANK(D1228),ISBLANK(E1228)),"Missing Value",
  D1228&lt;=0,"Review – Out of Range (Coverage)",
  E1228&lt;=0,"Review – Out of Range (Premium)",
  TRUE,"OK"
)</f>
        <v>OK</v>
      </c>
    </row>
    <row r="1229" spans="1:10" ht="16.8" x14ac:dyDescent="0.3">
      <c r="A1229" s="14" t="s">
        <v>4883</v>
      </c>
      <c r="B1229" s="14" t="s">
        <v>2705</v>
      </c>
      <c r="C1229" s="14" t="s">
        <v>3380</v>
      </c>
      <c r="D1229" s="14">
        <v>266760.7</v>
      </c>
      <c r="E1229" s="14">
        <v>5760.73</v>
      </c>
      <c r="F1229" s="15">
        <v>45405</v>
      </c>
      <c r="G1229" s="15">
        <v>45741</v>
      </c>
      <c r="H1229" s="14" t="s">
        <v>3532</v>
      </c>
      <c r="I1229" s="14" t="s">
        <v>3365</v>
      </c>
      <c r="J1229" s="13" t="str" cm="1">
        <f t="array" ref="J1229">_xlfn.IFS(
  OR(ISBLANK(A1229),ISBLANK(B1229),ISBLANK(H1229),ISBLANK(D1229),ISBLANK(E1229)),"Missing Value",
  D1229&lt;=0,"Review – Out of Range (Coverage)",
  E1229&lt;=0,"Review – Out of Range (Premium)",
  TRUE,"OK"
)</f>
        <v>OK</v>
      </c>
    </row>
    <row r="1230" spans="1:10" ht="16.8" x14ac:dyDescent="0.3">
      <c r="A1230" s="11" t="s">
        <v>4884</v>
      </c>
      <c r="B1230" s="11" t="s">
        <v>751</v>
      </c>
      <c r="C1230" s="11" t="s">
        <v>3359</v>
      </c>
      <c r="D1230" s="11">
        <v>466833.91999999998</v>
      </c>
      <c r="E1230" s="11">
        <v>45983.03</v>
      </c>
      <c r="F1230" s="12">
        <v>44401</v>
      </c>
      <c r="G1230" s="12">
        <v>45249</v>
      </c>
      <c r="H1230" s="11" t="s">
        <v>3614</v>
      </c>
      <c r="I1230" s="11" t="s">
        <v>3365</v>
      </c>
      <c r="J1230" s="13" t="str" cm="1">
        <f t="array" ref="J1230">_xlfn.IFS(
  OR(ISBLANK(A1230),ISBLANK(B1230),ISBLANK(H1230),ISBLANK(D1230),ISBLANK(E1230)),"Missing Value",
  D1230&lt;=0,"Review – Out of Range (Coverage)",
  E1230&lt;=0,"Review – Out of Range (Premium)",
  TRUE,"OK"
)</f>
        <v>OK</v>
      </c>
    </row>
    <row r="1231" spans="1:10" ht="16.8" x14ac:dyDescent="0.3">
      <c r="A1231" s="14" t="s">
        <v>4885</v>
      </c>
      <c r="B1231" s="14" t="s">
        <v>725</v>
      </c>
      <c r="C1231" s="14" t="s">
        <v>3371</v>
      </c>
      <c r="D1231" s="14">
        <v>322991.08</v>
      </c>
      <c r="E1231" s="14">
        <v>9902.61</v>
      </c>
      <c r="F1231" s="15">
        <v>45380</v>
      </c>
      <c r="G1231" s="15">
        <v>45481</v>
      </c>
      <c r="H1231" s="14" t="s">
        <v>4102</v>
      </c>
      <c r="I1231" s="14" t="s">
        <v>3373</v>
      </c>
      <c r="J1231" s="13" t="str" cm="1">
        <f t="array" ref="J1231">_xlfn.IFS(
  OR(ISBLANK(A1231),ISBLANK(B1231),ISBLANK(H1231),ISBLANK(D1231),ISBLANK(E1231)),"Missing Value",
  D1231&lt;=0,"Review – Out of Range (Coverage)",
  E1231&lt;=0,"Review – Out of Range (Premium)",
  TRUE,"OK"
)</f>
        <v>OK</v>
      </c>
    </row>
    <row r="1232" spans="1:10" ht="16.8" x14ac:dyDescent="0.3">
      <c r="A1232" s="11" t="s">
        <v>4886</v>
      </c>
      <c r="B1232" s="11" t="s">
        <v>993</v>
      </c>
      <c r="C1232" s="11" t="s">
        <v>3380</v>
      </c>
      <c r="D1232" s="11">
        <v>193840.04</v>
      </c>
      <c r="E1232" s="11">
        <v>49075.01</v>
      </c>
      <c r="F1232" s="12">
        <v>44929</v>
      </c>
      <c r="G1232" s="12">
        <v>45236</v>
      </c>
      <c r="H1232" s="11" t="s">
        <v>4887</v>
      </c>
      <c r="I1232" s="11" t="s">
        <v>3361</v>
      </c>
      <c r="J1232" s="13" t="str" cm="1">
        <f t="array" ref="J1232">_xlfn.IFS(
  OR(ISBLANK(A1232),ISBLANK(B1232),ISBLANK(H1232),ISBLANK(D1232),ISBLANK(E1232)),"Missing Value",
  D1232&lt;=0,"Review – Out of Range (Coverage)",
  E1232&lt;=0,"Review – Out of Range (Premium)",
  TRUE,"OK"
)</f>
        <v>OK</v>
      </c>
    </row>
    <row r="1233" spans="1:10" ht="16.8" x14ac:dyDescent="0.3">
      <c r="A1233" s="14" t="s">
        <v>4888</v>
      </c>
      <c r="B1233" s="14" t="s">
        <v>2221</v>
      </c>
      <c r="C1233" s="14" t="s">
        <v>3380</v>
      </c>
      <c r="D1233" s="14">
        <v>657444.63</v>
      </c>
      <c r="E1233" s="14">
        <v>46304.01</v>
      </c>
      <c r="F1233" s="15">
        <v>44952</v>
      </c>
      <c r="G1233" s="15">
        <v>45600</v>
      </c>
      <c r="H1233" s="14" t="s">
        <v>3675</v>
      </c>
      <c r="I1233" s="14" t="s">
        <v>3365</v>
      </c>
      <c r="J1233" s="13" t="str" cm="1">
        <f t="array" ref="J1233">_xlfn.IFS(
  OR(ISBLANK(A1233),ISBLANK(B1233),ISBLANK(H1233),ISBLANK(D1233),ISBLANK(E1233)),"Missing Value",
  D1233&lt;=0,"Review – Out of Range (Coverage)",
  E1233&lt;=0,"Review – Out of Range (Premium)",
  TRUE,"OK"
)</f>
        <v>OK</v>
      </c>
    </row>
    <row r="1234" spans="1:10" ht="16.8" x14ac:dyDescent="0.3">
      <c r="A1234" s="11" t="s">
        <v>4889</v>
      </c>
      <c r="B1234" s="11" t="s">
        <v>1281</v>
      </c>
      <c r="C1234" s="11" t="s">
        <v>3371</v>
      </c>
      <c r="D1234" s="11">
        <v>698688.11</v>
      </c>
      <c r="E1234" s="11">
        <v>21002.36</v>
      </c>
      <c r="F1234" s="12">
        <v>44866</v>
      </c>
      <c r="G1234" s="12">
        <v>44920</v>
      </c>
      <c r="H1234" s="11" t="s">
        <v>3652</v>
      </c>
      <c r="I1234" s="11" t="s">
        <v>3365</v>
      </c>
      <c r="J1234" s="13" t="str" cm="1">
        <f t="array" ref="J1234">_xlfn.IFS(
  OR(ISBLANK(A1234),ISBLANK(B1234),ISBLANK(H1234),ISBLANK(D1234),ISBLANK(E1234)),"Missing Value",
  D1234&lt;=0,"Review – Out of Range (Coverage)",
  E1234&lt;=0,"Review – Out of Range (Premium)",
  TRUE,"OK"
)</f>
        <v>OK</v>
      </c>
    </row>
    <row r="1235" spans="1:10" ht="16.8" x14ac:dyDescent="0.3">
      <c r="A1235" s="14" t="s">
        <v>4890</v>
      </c>
      <c r="B1235" s="14" t="s">
        <v>2179</v>
      </c>
      <c r="C1235" s="14" t="s">
        <v>3359</v>
      </c>
      <c r="D1235" s="14">
        <v>338492.65</v>
      </c>
      <c r="E1235" s="14">
        <v>9779.86</v>
      </c>
      <c r="F1235" s="15">
        <v>45223</v>
      </c>
      <c r="G1235" s="15">
        <v>45674</v>
      </c>
      <c r="H1235" s="14" t="s">
        <v>4062</v>
      </c>
      <c r="I1235" s="14" t="s">
        <v>3361</v>
      </c>
      <c r="J1235" s="13" t="str" cm="1">
        <f t="array" ref="J1235">_xlfn.IFS(
  OR(ISBLANK(A1235),ISBLANK(B1235),ISBLANK(H1235),ISBLANK(D1235),ISBLANK(E1235)),"Missing Value",
  D1235&lt;=0,"Review – Out of Range (Coverage)",
  E1235&lt;=0,"Review – Out of Range (Premium)",
  TRUE,"OK"
)</f>
        <v>OK</v>
      </c>
    </row>
    <row r="1236" spans="1:10" ht="16.8" x14ac:dyDescent="0.3">
      <c r="A1236" s="11" t="s">
        <v>4891</v>
      </c>
      <c r="B1236" s="11" t="s">
        <v>2529</v>
      </c>
      <c r="C1236" s="11" t="s">
        <v>3359</v>
      </c>
      <c r="D1236" s="11">
        <v>591347.37</v>
      </c>
      <c r="E1236" s="11">
        <v>47554.03</v>
      </c>
      <c r="F1236" s="12">
        <v>44873</v>
      </c>
      <c r="G1236" s="12">
        <v>45298</v>
      </c>
      <c r="H1236" s="11" t="s">
        <v>4892</v>
      </c>
      <c r="I1236" s="11" t="s">
        <v>3361</v>
      </c>
      <c r="J1236" s="13" t="str" cm="1">
        <f t="array" ref="J1236">_xlfn.IFS(
  OR(ISBLANK(A1236),ISBLANK(B1236),ISBLANK(H1236),ISBLANK(D1236),ISBLANK(E1236)),"Missing Value",
  D1236&lt;=0,"Review – Out of Range (Coverage)",
  E1236&lt;=0,"Review – Out of Range (Premium)",
  TRUE,"OK"
)</f>
        <v>OK</v>
      </c>
    </row>
    <row r="1237" spans="1:10" ht="16.8" x14ac:dyDescent="0.3">
      <c r="A1237" s="14" t="s">
        <v>4893</v>
      </c>
      <c r="B1237" s="14" t="s">
        <v>1261</v>
      </c>
      <c r="C1237" s="14" t="s">
        <v>3359</v>
      </c>
      <c r="D1237" s="14">
        <v>463775.3</v>
      </c>
      <c r="E1237" s="14">
        <v>5895.73</v>
      </c>
      <c r="F1237" s="15">
        <v>44776</v>
      </c>
      <c r="G1237" s="15">
        <v>45117</v>
      </c>
      <c r="H1237" s="14" t="s">
        <v>4398</v>
      </c>
      <c r="I1237" s="14" t="s">
        <v>3373</v>
      </c>
      <c r="J1237" s="13" t="str" cm="1">
        <f t="array" ref="J1237">_xlfn.IFS(
  OR(ISBLANK(A1237),ISBLANK(B1237),ISBLANK(H1237),ISBLANK(D1237),ISBLANK(E1237)),"Missing Value",
  D1237&lt;=0,"Review – Out of Range (Coverage)",
  E1237&lt;=0,"Review – Out of Range (Premium)",
  TRUE,"OK"
)</f>
        <v>OK</v>
      </c>
    </row>
    <row r="1238" spans="1:10" ht="16.8" x14ac:dyDescent="0.3">
      <c r="A1238" s="11" t="s">
        <v>4894</v>
      </c>
      <c r="B1238" s="11" t="s">
        <v>2349</v>
      </c>
      <c r="C1238" s="11" t="s">
        <v>3363</v>
      </c>
      <c r="D1238" s="11">
        <v>363018.72</v>
      </c>
      <c r="E1238" s="11">
        <v>11037.38</v>
      </c>
      <c r="F1238" s="12">
        <v>44778</v>
      </c>
      <c r="G1238" s="12">
        <v>45020</v>
      </c>
      <c r="H1238" s="11" t="s">
        <v>3372</v>
      </c>
      <c r="I1238" s="11" t="s">
        <v>3365</v>
      </c>
      <c r="J1238" s="13" t="str" cm="1">
        <f t="array" ref="J1238">_xlfn.IFS(
  OR(ISBLANK(A1238),ISBLANK(B1238),ISBLANK(H1238),ISBLANK(D1238),ISBLANK(E1238)),"Missing Value",
  D1238&lt;=0,"Review – Out of Range (Coverage)",
  E1238&lt;=0,"Review – Out of Range (Premium)",
  TRUE,"OK"
)</f>
        <v>OK</v>
      </c>
    </row>
    <row r="1239" spans="1:10" ht="16.8" x14ac:dyDescent="0.3">
      <c r="A1239" s="14" t="s">
        <v>4895</v>
      </c>
      <c r="B1239" s="14" t="s">
        <v>727</v>
      </c>
      <c r="C1239" s="14" t="s">
        <v>3380</v>
      </c>
      <c r="D1239" s="14">
        <v>258231.79</v>
      </c>
      <c r="E1239" s="14">
        <v>36830.449999999997</v>
      </c>
      <c r="F1239" s="15">
        <v>45010</v>
      </c>
      <c r="G1239" s="15">
        <v>45690</v>
      </c>
      <c r="H1239" s="14" t="s">
        <v>4154</v>
      </c>
      <c r="I1239" s="14" t="s">
        <v>3361</v>
      </c>
      <c r="J1239" s="13" t="str" cm="1">
        <f t="array" ref="J1239">_xlfn.IFS(
  OR(ISBLANK(A1239),ISBLANK(B1239),ISBLANK(H1239),ISBLANK(D1239),ISBLANK(E1239)),"Missing Value",
  D1239&lt;=0,"Review – Out of Range (Coverage)",
  E1239&lt;=0,"Review – Out of Range (Premium)",
  TRUE,"OK"
)</f>
        <v>OK</v>
      </c>
    </row>
    <row r="1240" spans="1:10" ht="16.8" x14ac:dyDescent="0.3">
      <c r="A1240" s="11" t="s">
        <v>4896</v>
      </c>
      <c r="B1240" s="11" t="s">
        <v>2197</v>
      </c>
      <c r="C1240" s="11" t="s">
        <v>3380</v>
      </c>
      <c r="D1240" s="11">
        <v>193232.58</v>
      </c>
      <c r="E1240" s="11">
        <v>37419.919999999998</v>
      </c>
      <c r="F1240" s="12">
        <v>44489</v>
      </c>
      <c r="G1240" s="12">
        <v>45621</v>
      </c>
      <c r="H1240" s="11" t="s">
        <v>3914</v>
      </c>
      <c r="I1240" s="11" t="s">
        <v>3361</v>
      </c>
      <c r="J1240" s="13" t="str" cm="1">
        <f t="array" ref="J1240">_xlfn.IFS(
  OR(ISBLANK(A1240),ISBLANK(B1240),ISBLANK(H1240),ISBLANK(D1240),ISBLANK(E1240)),"Missing Value",
  D1240&lt;=0,"Review – Out of Range (Coverage)",
  E1240&lt;=0,"Review – Out of Range (Premium)",
  TRUE,"OK"
)</f>
        <v>OK</v>
      </c>
    </row>
    <row r="1241" spans="1:10" ht="16.8" x14ac:dyDescent="0.3">
      <c r="A1241" s="14" t="s">
        <v>4897</v>
      </c>
      <c r="B1241" s="14" t="s">
        <v>3080</v>
      </c>
      <c r="C1241" s="14" t="s">
        <v>3380</v>
      </c>
      <c r="D1241" s="14">
        <v>571221.43999999994</v>
      </c>
      <c r="E1241" s="14">
        <v>14064.71</v>
      </c>
      <c r="F1241" s="15">
        <v>45484</v>
      </c>
      <c r="G1241" s="15">
        <v>45741</v>
      </c>
      <c r="H1241" s="14" t="s">
        <v>3854</v>
      </c>
      <c r="I1241" s="14" t="s">
        <v>3365</v>
      </c>
      <c r="J1241" s="13" t="str" cm="1">
        <f t="array" ref="J1241">_xlfn.IFS(
  OR(ISBLANK(A1241),ISBLANK(B1241),ISBLANK(H1241),ISBLANK(D1241),ISBLANK(E1241)),"Missing Value",
  D1241&lt;=0,"Review – Out of Range (Coverage)",
  E1241&lt;=0,"Review – Out of Range (Premium)",
  TRUE,"OK"
)</f>
        <v>OK</v>
      </c>
    </row>
    <row r="1242" spans="1:10" ht="16.8" x14ac:dyDescent="0.3">
      <c r="A1242" s="11" t="s">
        <v>4898</v>
      </c>
      <c r="B1242" s="11" t="s">
        <v>3216</v>
      </c>
      <c r="C1242" s="11" t="s">
        <v>3377</v>
      </c>
      <c r="D1242" s="11">
        <v>120576.05</v>
      </c>
      <c r="E1242" s="11">
        <v>41401.97</v>
      </c>
      <c r="F1242" s="12">
        <v>44751</v>
      </c>
      <c r="G1242" s="12">
        <v>45814</v>
      </c>
      <c r="H1242" s="11" t="s">
        <v>3660</v>
      </c>
      <c r="I1242" s="11" t="s">
        <v>3373</v>
      </c>
      <c r="J1242" s="13" t="str" cm="1">
        <f t="array" ref="J1242">_xlfn.IFS(
  OR(ISBLANK(A1242),ISBLANK(B1242),ISBLANK(H1242),ISBLANK(D1242),ISBLANK(E1242)),"Missing Value",
  D1242&lt;=0,"Review – Out of Range (Coverage)",
  E1242&lt;=0,"Review – Out of Range (Premium)",
  TRUE,"OK"
)</f>
        <v>OK</v>
      </c>
    </row>
    <row r="1243" spans="1:10" ht="16.8" x14ac:dyDescent="0.3">
      <c r="A1243" s="14" t="s">
        <v>4899</v>
      </c>
      <c r="B1243" s="14" t="s">
        <v>2597</v>
      </c>
      <c r="C1243" s="14" t="s">
        <v>3380</v>
      </c>
      <c r="D1243" s="14">
        <v>754897.77</v>
      </c>
      <c r="E1243" s="14">
        <v>11368.52</v>
      </c>
      <c r="F1243" s="15">
        <v>44989</v>
      </c>
      <c r="G1243" s="15">
        <v>45074</v>
      </c>
      <c r="H1243" s="14" t="s">
        <v>4900</v>
      </c>
      <c r="I1243" s="14" t="s">
        <v>3361</v>
      </c>
      <c r="J1243" s="13" t="str" cm="1">
        <f t="array" ref="J1243">_xlfn.IFS(
  OR(ISBLANK(A1243),ISBLANK(B1243),ISBLANK(H1243),ISBLANK(D1243),ISBLANK(E1243)),"Missing Value",
  D1243&lt;=0,"Review – Out of Range (Coverage)",
  E1243&lt;=0,"Review – Out of Range (Premium)",
  TRUE,"OK"
)</f>
        <v>OK</v>
      </c>
    </row>
    <row r="1244" spans="1:10" ht="16.8" x14ac:dyDescent="0.3">
      <c r="A1244" s="11" t="s">
        <v>4901</v>
      </c>
      <c r="B1244" s="11" t="s">
        <v>2393</v>
      </c>
      <c r="C1244" s="11" t="s">
        <v>3380</v>
      </c>
      <c r="D1244" s="11">
        <v>577853.14</v>
      </c>
      <c r="E1244" s="11">
        <v>47102.63</v>
      </c>
      <c r="F1244" s="12">
        <v>45040</v>
      </c>
      <c r="G1244" s="12">
        <v>45423</v>
      </c>
      <c r="H1244" s="11" t="s">
        <v>4076</v>
      </c>
      <c r="I1244" s="11" t="s">
        <v>3365</v>
      </c>
      <c r="J1244" s="13" t="str" cm="1">
        <f t="array" ref="J1244">_xlfn.IFS(
  OR(ISBLANK(A1244),ISBLANK(B1244),ISBLANK(H1244),ISBLANK(D1244),ISBLANK(E1244)),"Missing Value",
  D1244&lt;=0,"Review – Out of Range (Coverage)",
  E1244&lt;=0,"Review – Out of Range (Premium)",
  TRUE,"OK"
)</f>
        <v>OK</v>
      </c>
    </row>
    <row r="1245" spans="1:10" ht="16.8" x14ac:dyDescent="0.3">
      <c r="A1245" s="14" t="s">
        <v>4902</v>
      </c>
      <c r="B1245" s="14" t="s">
        <v>1015</v>
      </c>
      <c r="C1245" s="14" t="s">
        <v>3380</v>
      </c>
      <c r="D1245" s="14">
        <v>155816.45000000001</v>
      </c>
      <c r="E1245" s="14">
        <v>9488.99</v>
      </c>
      <c r="F1245" s="15">
        <v>45435</v>
      </c>
      <c r="G1245" s="15">
        <v>45475</v>
      </c>
      <c r="H1245" s="14" t="s">
        <v>4170</v>
      </c>
      <c r="I1245" s="14" t="s">
        <v>3373</v>
      </c>
      <c r="J1245" s="13" t="str" cm="1">
        <f t="array" ref="J1245">_xlfn.IFS(
  OR(ISBLANK(A1245),ISBLANK(B1245),ISBLANK(H1245),ISBLANK(D1245),ISBLANK(E1245)),"Missing Value",
  D1245&lt;=0,"Review – Out of Range (Coverage)",
  E1245&lt;=0,"Review – Out of Range (Premium)",
  TRUE,"OK"
)</f>
        <v>OK</v>
      </c>
    </row>
    <row r="1246" spans="1:10" ht="16.8" x14ac:dyDescent="0.3">
      <c r="A1246" s="11" t="s">
        <v>4903</v>
      </c>
      <c r="B1246" s="11" t="s">
        <v>767</v>
      </c>
      <c r="C1246" s="11" t="s">
        <v>3377</v>
      </c>
      <c r="D1246" s="11">
        <v>401524.51</v>
      </c>
      <c r="E1246" s="11">
        <v>35574.42</v>
      </c>
      <c r="F1246" s="12">
        <v>45382</v>
      </c>
      <c r="G1246" s="12">
        <v>45688</v>
      </c>
      <c r="H1246" s="11" t="s">
        <v>3655</v>
      </c>
      <c r="I1246" s="11" t="s">
        <v>3365</v>
      </c>
      <c r="J1246" s="13" t="str" cm="1">
        <f t="array" ref="J1246">_xlfn.IFS(
  OR(ISBLANK(A1246),ISBLANK(B1246),ISBLANK(H1246),ISBLANK(D1246),ISBLANK(E1246)),"Missing Value",
  D1246&lt;=0,"Review – Out of Range (Coverage)",
  E1246&lt;=0,"Review – Out of Range (Premium)",
  TRUE,"OK"
)</f>
        <v>OK</v>
      </c>
    </row>
    <row r="1247" spans="1:10" ht="16.8" x14ac:dyDescent="0.3">
      <c r="A1247" s="14" t="s">
        <v>4904</v>
      </c>
      <c r="B1247" s="14" t="s">
        <v>2293</v>
      </c>
      <c r="C1247" s="14" t="s">
        <v>3380</v>
      </c>
      <c r="D1247" s="14">
        <v>700686.44</v>
      </c>
      <c r="E1247" s="14">
        <v>22441.54</v>
      </c>
      <c r="F1247" s="15">
        <v>44319</v>
      </c>
      <c r="G1247" s="15">
        <v>45334</v>
      </c>
      <c r="H1247" s="14" t="s">
        <v>4043</v>
      </c>
      <c r="I1247" s="14" t="s">
        <v>3365</v>
      </c>
      <c r="J1247" s="13" t="str" cm="1">
        <f t="array" ref="J1247">_xlfn.IFS(
  OR(ISBLANK(A1247),ISBLANK(B1247),ISBLANK(H1247),ISBLANK(D1247),ISBLANK(E1247)),"Missing Value",
  D1247&lt;=0,"Review – Out of Range (Coverage)",
  E1247&lt;=0,"Review – Out of Range (Premium)",
  TRUE,"OK"
)</f>
        <v>OK</v>
      </c>
    </row>
    <row r="1248" spans="1:10" ht="16.8" x14ac:dyDescent="0.3">
      <c r="A1248" s="11" t="s">
        <v>4905</v>
      </c>
      <c r="B1248" s="11" t="s">
        <v>1951</v>
      </c>
      <c r="C1248" s="11" t="s">
        <v>3377</v>
      </c>
      <c r="D1248" s="11">
        <v>303951.12</v>
      </c>
      <c r="E1248" s="11">
        <v>4395.38</v>
      </c>
      <c r="F1248" s="12">
        <v>44890</v>
      </c>
      <c r="G1248" s="12">
        <v>45034</v>
      </c>
      <c r="H1248" s="11" t="s">
        <v>3482</v>
      </c>
      <c r="I1248" s="11" t="s">
        <v>3365</v>
      </c>
      <c r="J1248" s="13" t="str" cm="1">
        <f t="array" ref="J1248">_xlfn.IFS(
  OR(ISBLANK(A1248),ISBLANK(B1248),ISBLANK(H1248),ISBLANK(D1248),ISBLANK(E1248)),"Missing Value",
  D1248&lt;=0,"Review – Out of Range (Coverage)",
  E1248&lt;=0,"Review – Out of Range (Premium)",
  TRUE,"OK"
)</f>
        <v>OK</v>
      </c>
    </row>
    <row r="1249" spans="1:10" ht="16.8" x14ac:dyDescent="0.3">
      <c r="A1249" s="14" t="s">
        <v>4906</v>
      </c>
      <c r="B1249" s="14" t="s">
        <v>1929</v>
      </c>
      <c r="C1249" s="14" t="s">
        <v>3363</v>
      </c>
      <c r="D1249" s="14">
        <v>581369.17000000004</v>
      </c>
      <c r="E1249" s="14">
        <v>5541.23</v>
      </c>
      <c r="F1249" s="15">
        <v>45358</v>
      </c>
      <c r="G1249" s="15">
        <v>45564</v>
      </c>
      <c r="H1249" s="14" t="s">
        <v>4067</v>
      </c>
      <c r="I1249" s="14" t="s">
        <v>3365</v>
      </c>
      <c r="J1249" s="13" t="str" cm="1">
        <f t="array" ref="J1249">_xlfn.IFS(
  OR(ISBLANK(A1249),ISBLANK(B1249),ISBLANK(H1249),ISBLANK(D1249),ISBLANK(E1249)),"Missing Value",
  D1249&lt;=0,"Review – Out of Range (Coverage)",
  E1249&lt;=0,"Review – Out of Range (Premium)",
  TRUE,"OK"
)</f>
        <v>OK</v>
      </c>
    </row>
    <row r="1250" spans="1:10" ht="16.8" x14ac:dyDescent="0.3">
      <c r="A1250" s="11" t="s">
        <v>4907</v>
      </c>
      <c r="B1250" s="11" t="s">
        <v>174</v>
      </c>
      <c r="C1250" s="11" t="s">
        <v>3359</v>
      </c>
      <c r="D1250" s="11">
        <v>672494.73</v>
      </c>
      <c r="E1250" s="11">
        <v>15966.01</v>
      </c>
      <c r="F1250" s="12">
        <v>44895</v>
      </c>
      <c r="G1250" s="12">
        <v>45224</v>
      </c>
      <c r="H1250" s="11" t="s">
        <v>4378</v>
      </c>
      <c r="I1250" s="11" t="s">
        <v>3365</v>
      </c>
      <c r="J1250" s="13" t="str" cm="1">
        <f t="array" ref="J1250">_xlfn.IFS(
  OR(ISBLANK(A1250),ISBLANK(B1250),ISBLANK(H1250),ISBLANK(D1250),ISBLANK(E1250)),"Missing Value",
  D1250&lt;=0,"Review – Out of Range (Coverage)",
  E1250&lt;=0,"Review – Out of Range (Premium)",
  TRUE,"OK"
)</f>
        <v>OK</v>
      </c>
    </row>
    <row r="1251" spans="1:10" ht="16.8" x14ac:dyDescent="0.3">
      <c r="A1251" s="14" t="s">
        <v>4908</v>
      </c>
      <c r="B1251" s="14" t="s">
        <v>1589</v>
      </c>
      <c r="C1251" s="14" t="s">
        <v>3359</v>
      </c>
      <c r="D1251" s="14">
        <v>106287.88</v>
      </c>
      <c r="E1251" s="14">
        <v>47312.61</v>
      </c>
      <c r="F1251" s="15">
        <v>45430</v>
      </c>
      <c r="G1251" s="15">
        <v>45574</v>
      </c>
      <c r="H1251" s="14" t="s">
        <v>4423</v>
      </c>
      <c r="I1251" s="14" t="s">
        <v>3373</v>
      </c>
      <c r="J1251" s="13" t="str" cm="1">
        <f t="array" ref="J1251">_xlfn.IFS(
  OR(ISBLANK(A1251),ISBLANK(B1251),ISBLANK(H1251),ISBLANK(D1251),ISBLANK(E1251)),"Missing Value",
  D1251&lt;=0,"Review – Out of Range (Coverage)",
  E1251&lt;=0,"Review – Out of Range (Premium)",
  TRUE,"OK"
)</f>
        <v>OK</v>
      </c>
    </row>
    <row r="1252" spans="1:10" ht="16.8" x14ac:dyDescent="0.3">
      <c r="A1252" s="11" t="s">
        <v>4909</v>
      </c>
      <c r="B1252" s="11" t="s">
        <v>2687</v>
      </c>
      <c r="C1252" s="11" t="s">
        <v>3359</v>
      </c>
      <c r="D1252" s="11">
        <v>119882.47</v>
      </c>
      <c r="E1252" s="11">
        <v>27198.66</v>
      </c>
      <c r="F1252" s="12">
        <v>45155</v>
      </c>
      <c r="G1252" s="12">
        <v>45671</v>
      </c>
      <c r="H1252" s="11" t="s">
        <v>4378</v>
      </c>
      <c r="I1252" s="11" t="s">
        <v>3365</v>
      </c>
      <c r="J1252" s="13" t="str" cm="1">
        <f t="array" ref="J1252">_xlfn.IFS(
  OR(ISBLANK(A1252),ISBLANK(B1252),ISBLANK(H1252),ISBLANK(D1252),ISBLANK(E1252)),"Missing Value",
  D1252&lt;=0,"Review – Out of Range (Coverage)",
  E1252&lt;=0,"Review – Out of Range (Premium)",
  TRUE,"OK"
)</f>
        <v>OK</v>
      </c>
    </row>
    <row r="1253" spans="1:10" ht="16.8" x14ac:dyDescent="0.3">
      <c r="A1253" s="14" t="s">
        <v>4910</v>
      </c>
      <c r="B1253" s="14" t="s">
        <v>2691</v>
      </c>
      <c r="C1253" s="14" t="s">
        <v>3363</v>
      </c>
      <c r="D1253" s="14">
        <v>517808.45</v>
      </c>
      <c r="E1253" s="14">
        <v>6367.34</v>
      </c>
      <c r="F1253" s="15">
        <v>45442</v>
      </c>
      <c r="G1253" s="15">
        <v>45834</v>
      </c>
      <c r="H1253" s="14" t="s">
        <v>3499</v>
      </c>
      <c r="I1253" s="14" t="s">
        <v>3361</v>
      </c>
      <c r="J1253" s="13" t="str" cm="1">
        <f t="array" ref="J1253">_xlfn.IFS(
  OR(ISBLANK(A1253),ISBLANK(B1253),ISBLANK(H1253),ISBLANK(D1253),ISBLANK(E1253)),"Missing Value",
  D1253&lt;=0,"Review – Out of Range (Coverage)",
  E1253&lt;=0,"Review – Out of Range (Premium)",
  TRUE,"OK"
)</f>
        <v>OK</v>
      </c>
    </row>
    <row r="1254" spans="1:10" ht="16.8" x14ac:dyDescent="0.3">
      <c r="A1254" s="11" t="s">
        <v>4911</v>
      </c>
      <c r="B1254" s="11" t="s">
        <v>1211</v>
      </c>
      <c r="C1254" s="11" t="s">
        <v>3377</v>
      </c>
      <c r="D1254" s="11">
        <v>903284.24</v>
      </c>
      <c r="E1254" s="11">
        <v>26077.78</v>
      </c>
      <c r="F1254" s="12">
        <v>45035</v>
      </c>
      <c r="G1254" s="12">
        <v>45360</v>
      </c>
      <c r="H1254" s="11" t="s">
        <v>3449</v>
      </c>
      <c r="I1254" s="11" t="s">
        <v>3373</v>
      </c>
      <c r="J1254" s="13" t="str" cm="1">
        <f t="array" ref="J1254">_xlfn.IFS(
  OR(ISBLANK(A1254),ISBLANK(B1254),ISBLANK(H1254),ISBLANK(D1254),ISBLANK(E1254)),"Missing Value",
  D1254&lt;=0,"Review – Out of Range (Coverage)",
  E1254&lt;=0,"Review – Out of Range (Premium)",
  TRUE,"OK"
)</f>
        <v>OK</v>
      </c>
    </row>
    <row r="1255" spans="1:10" ht="16.8" x14ac:dyDescent="0.3">
      <c r="A1255" s="14" t="s">
        <v>4912</v>
      </c>
      <c r="B1255" s="14" t="s">
        <v>3226</v>
      </c>
      <c r="C1255" s="14" t="s">
        <v>3371</v>
      </c>
      <c r="D1255" s="14">
        <v>556452.63</v>
      </c>
      <c r="E1255" s="14">
        <v>23680.12</v>
      </c>
      <c r="F1255" s="15">
        <v>44520</v>
      </c>
      <c r="G1255" s="15">
        <v>44679</v>
      </c>
      <c r="H1255" s="14" t="s">
        <v>3652</v>
      </c>
      <c r="I1255" s="14" t="s">
        <v>3373</v>
      </c>
      <c r="J1255" s="13" t="str" cm="1">
        <f t="array" ref="J1255">_xlfn.IFS(
  OR(ISBLANK(A1255),ISBLANK(B1255),ISBLANK(H1255),ISBLANK(D1255),ISBLANK(E1255)),"Missing Value",
  D1255&lt;=0,"Review – Out of Range (Coverage)",
  E1255&lt;=0,"Review – Out of Range (Premium)",
  TRUE,"OK"
)</f>
        <v>OK</v>
      </c>
    </row>
    <row r="1256" spans="1:10" ht="16.8" x14ac:dyDescent="0.3">
      <c r="A1256" s="11" t="s">
        <v>4913</v>
      </c>
      <c r="B1256" s="11" t="s">
        <v>887</v>
      </c>
      <c r="C1256" s="11" t="s">
        <v>3371</v>
      </c>
      <c r="D1256" s="11">
        <v>671147.98</v>
      </c>
      <c r="E1256" s="11">
        <v>48457.55</v>
      </c>
      <c r="F1256" s="12">
        <v>44947</v>
      </c>
      <c r="G1256" s="12">
        <v>45089</v>
      </c>
      <c r="H1256" s="11" t="s">
        <v>3698</v>
      </c>
      <c r="I1256" s="11" t="s">
        <v>3365</v>
      </c>
      <c r="J1256" s="13" t="str" cm="1">
        <f t="array" ref="J1256">_xlfn.IFS(
  OR(ISBLANK(A1256),ISBLANK(B1256),ISBLANK(H1256),ISBLANK(D1256),ISBLANK(E1256)),"Missing Value",
  D1256&lt;=0,"Review – Out of Range (Coverage)",
  E1256&lt;=0,"Review – Out of Range (Premium)",
  TRUE,"OK"
)</f>
        <v>OK</v>
      </c>
    </row>
    <row r="1257" spans="1:10" ht="16.8" x14ac:dyDescent="0.3">
      <c r="A1257" s="14" t="s">
        <v>4914</v>
      </c>
      <c r="B1257" s="14" t="s">
        <v>1343</v>
      </c>
      <c r="C1257" s="14" t="s">
        <v>3380</v>
      </c>
      <c r="D1257" s="14">
        <v>161231.57999999999</v>
      </c>
      <c r="E1257" s="14">
        <v>45829.59</v>
      </c>
      <c r="F1257" s="15">
        <v>44905</v>
      </c>
      <c r="G1257" s="15">
        <v>44956</v>
      </c>
      <c r="H1257" s="14" t="s">
        <v>4887</v>
      </c>
      <c r="I1257" s="14" t="s">
        <v>3373</v>
      </c>
      <c r="J1257" s="13" t="str" cm="1">
        <f t="array" ref="J1257">_xlfn.IFS(
  OR(ISBLANK(A1257),ISBLANK(B1257),ISBLANK(H1257),ISBLANK(D1257),ISBLANK(E1257)),"Missing Value",
  D1257&lt;=0,"Review – Out of Range (Coverage)",
  E1257&lt;=0,"Review – Out of Range (Premium)",
  TRUE,"OK"
)</f>
        <v>OK</v>
      </c>
    </row>
    <row r="1258" spans="1:10" ht="16.8" x14ac:dyDescent="0.3">
      <c r="A1258" s="11" t="s">
        <v>4915</v>
      </c>
      <c r="B1258" s="11" t="s">
        <v>753</v>
      </c>
      <c r="C1258" s="11" t="s">
        <v>3363</v>
      </c>
      <c r="D1258" s="11">
        <v>181101.38</v>
      </c>
      <c r="E1258" s="11">
        <v>11995.8</v>
      </c>
      <c r="F1258" s="12">
        <v>44241</v>
      </c>
      <c r="G1258" s="12">
        <v>44448</v>
      </c>
      <c r="H1258" s="11" t="s">
        <v>3543</v>
      </c>
      <c r="I1258" s="11" t="s">
        <v>3361</v>
      </c>
      <c r="J1258" s="13" t="str" cm="1">
        <f t="array" ref="J1258">_xlfn.IFS(
  OR(ISBLANK(A1258),ISBLANK(B1258),ISBLANK(H1258),ISBLANK(D1258),ISBLANK(E1258)),"Missing Value",
  D1258&lt;=0,"Review – Out of Range (Coverage)",
  E1258&lt;=0,"Review – Out of Range (Premium)",
  TRUE,"OK"
)</f>
        <v>OK</v>
      </c>
    </row>
    <row r="1259" spans="1:10" ht="16.8" x14ac:dyDescent="0.3">
      <c r="A1259" s="14" t="s">
        <v>4916</v>
      </c>
      <c r="B1259" s="14" t="s">
        <v>585</v>
      </c>
      <c r="C1259" s="14" t="s">
        <v>3377</v>
      </c>
      <c r="D1259" s="14">
        <v>674299.27</v>
      </c>
      <c r="E1259" s="14">
        <v>10923.88</v>
      </c>
      <c r="F1259" s="15">
        <v>44463</v>
      </c>
      <c r="G1259" s="15">
        <v>45572</v>
      </c>
      <c r="H1259" s="14" t="s">
        <v>3824</v>
      </c>
      <c r="I1259" s="14" t="s">
        <v>3373</v>
      </c>
      <c r="J1259" s="13" t="str" cm="1">
        <f t="array" ref="J1259">_xlfn.IFS(
  OR(ISBLANK(A1259),ISBLANK(B1259),ISBLANK(H1259),ISBLANK(D1259),ISBLANK(E1259)),"Missing Value",
  D1259&lt;=0,"Review – Out of Range (Coverage)",
  E1259&lt;=0,"Review – Out of Range (Premium)",
  TRUE,"OK"
)</f>
        <v>OK</v>
      </c>
    </row>
    <row r="1260" spans="1:10" ht="16.8" x14ac:dyDescent="0.3">
      <c r="A1260" s="11" t="s">
        <v>4917</v>
      </c>
      <c r="B1260" s="11" t="s">
        <v>3050</v>
      </c>
      <c r="C1260" s="11" t="s">
        <v>3380</v>
      </c>
      <c r="D1260" s="11">
        <v>724602.41</v>
      </c>
      <c r="E1260" s="11">
        <v>15798.31</v>
      </c>
      <c r="F1260" s="12">
        <v>45478</v>
      </c>
      <c r="G1260" s="12">
        <v>45494</v>
      </c>
      <c r="H1260" s="11" t="s">
        <v>4600</v>
      </c>
      <c r="I1260" s="11" t="s">
        <v>3373</v>
      </c>
      <c r="J1260" s="13" t="str" cm="1">
        <f t="array" ref="J1260">_xlfn.IFS(
  OR(ISBLANK(A1260),ISBLANK(B1260),ISBLANK(H1260),ISBLANK(D1260),ISBLANK(E1260)),"Missing Value",
  D1260&lt;=0,"Review – Out of Range (Coverage)",
  E1260&lt;=0,"Review – Out of Range (Premium)",
  TRUE,"OK"
)</f>
        <v>OK</v>
      </c>
    </row>
    <row r="1261" spans="1:10" ht="16.8" x14ac:dyDescent="0.3">
      <c r="A1261" s="14" t="s">
        <v>4918</v>
      </c>
      <c r="B1261" s="14" t="s">
        <v>3238</v>
      </c>
      <c r="C1261" s="14" t="s">
        <v>3359</v>
      </c>
      <c r="D1261" s="14">
        <v>738038.98</v>
      </c>
      <c r="E1261" s="14">
        <v>9446.4</v>
      </c>
      <c r="F1261" s="15">
        <v>45471</v>
      </c>
      <c r="G1261" s="15">
        <v>45485</v>
      </c>
      <c r="H1261" s="14" t="s">
        <v>3399</v>
      </c>
      <c r="I1261" s="14" t="s">
        <v>3365</v>
      </c>
      <c r="J1261" s="13" t="str" cm="1">
        <f t="array" ref="J1261">_xlfn.IFS(
  OR(ISBLANK(A1261),ISBLANK(B1261),ISBLANK(H1261),ISBLANK(D1261),ISBLANK(E1261)),"Missing Value",
  D1261&lt;=0,"Review – Out of Range (Coverage)",
  E1261&lt;=0,"Review – Out of Range (Premium)",
  TRUE,"OK"
)</f>
        <v>OK</v>
      </c>
    </row>
    <row r="1262" spans="1:10" ht="16.8" x14ac:dyDescent="0.3">
      <c r="A1262" s="11" t="s">
        <v>4919</v>
      </c>
      <c r="B1262" s="11" t="s">
        <v>2431</v>
      </c>
      <c r="C1262" s="11" t="s">
        <v>3363</v>
      </c>
      <c r="D1262" s="11">
        <v>924883.62</v>
      </c>
      <c r="E1262" s="11">
        <v>49626.73</v>
      </c>
      <c r="F1262" s="12">
        <v>44637</v>
      </c>
      <c r="G1262" s="12">
        <v>45214</v>
      </c>
      <c r="H1262" s="11" t="s">
        <v>3658</v>
      </c>
      <c r="I1262" s="11" t="s">
        <v>3361</v>
      </c>
      <c r="J1262" s="13" t="str" cm="1">
        <f t="array" ref="J1262">_xlfn.IFS(
  OR(ISBLANK(A1262),ISBLANK(B1262),ISBLANK(H1262),ISBLANK(D1262),ISBLANK(E1262)),"Missing Value",
  D1262&lt;=0,"Review – Out of Range (Coverage)",
  E1262&lt;=0,"Review – Out of Range (Premium)",
  TRUE,"OK"
)</f>
        <v>OK</v>
      </c>
    </row>
    <row r="1263" spans="1:10" ht="16.8" x14ac:dyDescent="0.3">
      <c r="A1263" s="14" t="s">
        <v>4920</v>
      </c>
      <c r="B1263" s="14" t="s">
        <v>1845</v>
      </c>
      <c r="C1263" s="14" t="s">
        <v>3359</v>
      </c>
      <c r="D1263" s="14">
        <v>337733.53</v>
      </c>
      <c r="E1263" s="14">
        <v>29994.63</v>
      </c>
      <c r="F1263" s="15">
        <v>45195</v>
      </c>
      <c r="G1263" s="15">
        <v>45572</v>
      </c>
      <c r="H1263" s="14" t="s">
        <v>3712</v>
      </c>
      <c r="I1263" s="14" t="s">
        <v>3361</v>
      </c>
      <c r="J1263" s="13" t="str" cm="1">
        <f t="array" ref="J1263">_xlfn.IFS(
  OR(ISBLANK(A1263),ISBLANK(B1263),ISBLANK(H1263),ISBLANK(D1263),ISBLANK(E1263)),"Missing Value",
  D1263&lt;=0,"Review – Out of Range (Coverage)",
  E1263&lt;=0,"Review – Out of Range (Premium)",
  TRUE,"OK"
)</f>
        <v>OK</v>
      </c>
    </row>
    <row r="1264" spans="1:10" ht="16.8" x14ac:dyDescent="0.3">
      <c r="A1264" s="11" t="s">
        <v>4921</v>
      </c>
      <c r="B1264" s="11" t="s">
        <v>2541</v>
      </c>
      <c r="C1264" s="11" t="s">
        <v>3359</v>
      </c>
      <c r="D1264" s="11">
        <v>953312.37</v>
      </c>
      <c r="E1264" s="11">
        <v>48166.06</v>
      </c>
      <c r="F1264" s="12">
        <v>45204</v>
      </c>
      <c r="G1264" s="12">
        <v>45731</v>
      </c>
      <c r="H1264" s="11" t="s">
        <v>3886</v>
      </c>
      <c r="I1264" s="11" t="s">
        <v>3373</v>
      </c>
      <c r="J1264" s="13" t="str" cm="1">
        <f t="array" ref="J1264">_xlfn.IFS(
  OR(ISBLANK(A1264),ISBLANK(B1264),ISBLANK(H1264),ISBLANK(D1264),ISBLANK(E1264)),"Missing Value",
  D1264&lt;=0,"Review – Out of Range (Coverage)",
  E1264&lt;=0,"Review – Out of Range (Premium)",
  TRUE,"OK"
)</f>
        <v>OK</v>
      </c>
    </row>
    <row r="1265" spans="1:10" ht="16.8" x14ac:dyDescent="0.3">
      <c r="A1265" s="14" t="s">
        <v>4922</v>
      </c>
      <c r="B1265" s="14" t="s">
        <v>2455</v>
      </c>
      <c r="C1265" s="14" t="s">
        <v>3363</v>
      </c>
      <c r="D1265" s="14">
        <v>175205.12</v>
      </c>
      <c r="E1265" s="14">
        <v>35404.769999999997</v>
      </c>
      <c r="F1265" s="15">
        <v>44842</v>
      </c>
      <c r="G1265" s="15">
        <v>45096</v>
      </c>
      <c r="H1265" s="14" t="s">
        <v>4011</v>
      </c>
      <c r="I1265" s="14" t="s">
        <v>3365</v>
      </c>
      <c r="J1265" s="13" t="str" cm="1">
        <f t="array" ref="J1265">_xlfn.IFS(
  OR(ISBLANK(A1265),ISBLANK(B1265),ISBLANK(H1265),ISBLANK(D1265),ISBLANK(E1265)),"Missing Value",
  D1265&lt;=0,"Review – Out of Range (Coverage)",
  E1265&lt;=0,"Review – Out of Range (Premium)",
  TRUE,"OK"
)</f>
        <v>OK</v>
      </c>
    </row>
    <row r="1266" spans="1:10" ht="16.8" x14ac:dyDescent="0.3">
      <c r="A1266" s="11" t="s">
        <v>4923</v>
      </c>
      <c r="B1266" s="11" t="s">
        <v>2037</v>
      </c>
      <c r="C1266" s="11" t="s">
        <v>3377</v>
      </c>
      <c r="D1266" s="11">
        <v>716535.32</v>
      </c>
      <c r="E1266" s="11">
        <v>41035.94</v>
      </c>
      <c r="F1266" s="12">
        <v>44964</v>
      </c>
      <c r="G1266" s="12">
        <v>45393</v>
      </c>
      <c r="H1266" s="11" t="s">
        <v>3597</v>
      </c>
      <c r="I1266" s="11" t="s">
        <v>3361</v>
      </c>
      <c r="J1266" s="13" t="str" cm="1">
        <f t="array" ref="J1266">_xlfn.IFS(
  OR(ISBLANK(A1266),ISBLANK(B1266),ISBLANK(H1266),ISBLANK(D1266),ISBLANK(E1266)),"Missing Value",
  D1266&lt;=0,"Review – Out of Range (Coverage)",
  E1266&lt;=0,"Review – Out of Range (Premium)",
  TRUE,"OK"
)</f>
        <v>OK</v>
      </c>
    </row>
    <row r="1267" spans="1:10" ht="16.8" x14ac:dyDescent="0.3">
      <c r="A1267" s="14" t="s">
        <v>4924</v>
      </c>
      <c r="B1267" s="14" t="s">
        <v>2081</v>
      </c>
      <c r="C1267" s="14" t="s">
        <v>3371</v>
      </c>
      <c r="D1267" s="14">
        <v>323917.52</v>
      </c>
      <c r="E1267" s="14">
        <v>16027.49</v>
      </c>
      <c r="F1267" s="15">
        <v>45107</v>
      </c>
      <c r="G1267" s="15">
        <v>45701</v>
      </c>
      <c r="H1267" s="14" t="s">
        <v>3505</v>
      </c>
      <c r="I1267" s="14" t="s">
        <v>3361</v>
      </c>
      <c r="J1267" s="13" t="str" cm="1">
        <f t="array" ref="J1267">_xlfn.IFS(
  OR(ISBLANK(A1267),ISBLANK(B1267),ISBLANK(H1267),ISBLANK(D1267),ISBLANK(E1267)),"Missing Value",
  D1267&lt;=0,"Review – Out of Range (Coverage)",
  E1267&lt;=0,"Review – Out of Range (Premium)",
  TRUE,"OK"
)</f>
        <v>OK</v>
      </c>
    </row>
    <row r="1268" spans="1:10" ht="16.8" x14ac:dyDescent="0.3">
      <c r="A1268" s="11" t="s">
        <v>4925</v>
      </c>
      <c r="B1268" s="11" t="s">
        <v>132</v>
      </c>
      <c r="C1268" s="11" t="s">
        <v>3363</v>
      </c>
      <c r="D1268" s="11">
        <v>565653.26</v>
      </c>
      <c r="E1268" s="11">
        <v>26351.73</v>
      </c>
      <c r="F1268" s="12">
        <v>45268</v>
      </c>
      <c r="G1268" s="12">
        <v>45461</v>
      </c>
      <c r="H1268" s="11" t="s">
        <v>3564</v>
      </c>
      <c r="I1268" s="11" t="s">
        <v>3365</v>
      </c>
      <c r="J1268" s="13" t="str" cm="1">
        <f t="array" ref="J1268">_xlfn.IFS(
  OR(ISBLANK(A1268),ISBLANK(B1268),ISBLANK(H1268),ISBLANK(D1268),ISBLANK(E1268)),"Missing Value",
  D1268&lt;=0,"Review – Out of Range (Coverage)",
  E1268&lt;=0,"Review – Out of Range (Premium)",
  TRUE,"OK"
)</f>
        <v>OK</v>
      </c>
    </row>
    <row r="1269" spans="1:10" ht="16.8" x14ac:dyDescent="0.3">
      <c r="A1269" s="14" t="s">
        <v>4926</v>
      </c>
      <c r="B1269" s="14" t="s">
        <v>2767</v>
      </c>
      <c r="C1269" s="14" t="s">
        <v>3359</v>
      </c>
      <c r="D1269" s="14">
        <v>802767.32</v>
      </c>
      <c r="E1269" s="14">
        <v>19499.86</v>
      </c>
      <c r="F1269" s="15">
        <v>44676</v>
      </c>
      <c r="G1269" s="15">
        <v>45157</v>
      </c>
      <c r="H1269" s="14" t="s">
        <v>4244</v>
      </c>
      <c r="I1269" s="14" t="s">
        <v>3373</v>
      </c>
      <c r="J1269" s="13" t="str" cm="1">
        <f t="array" ref="J1269">_xlfn.IFS(
  OR(ISBLANK(A1269),ISBLANK(B1269),ISBLANK(H1269),ISBLANK(D1269),ISBLANK(E1269)),"Missing Value",
  D1269&lt;=0,"Review – Out of Range (Coverage)",
  E1269&lt;=0,"Review – Out of Range (Premium)",
  TRUE,"OK"
)</f>
        <v>OK</v>
      </c>
    </row>
    <row r="1270" spans="1:10" ht="16.8" x14ac:dyDescent="0.3">
      <c r="A1270" s="11" t="s">
        <v>4927</v>
      </c>
      <c r="B1270" s="11" t="s">
        <v>2457</v>
      </c>
      <c r="C1270" s="11" t="s">
        <v>3377</v>
      </c>
      <c r="D1270" s="11">
        <v>536712.44999999995</v>
      </c>
      <c r="E1270" s="11">
        <v>36181.15</v>
      </c>
      <c r="F1270" s="12">
        <v>45360</v>
      </c>
      <c r="G1270" s="12">
        <v>45445</v>
      </c>
      <c r="H1270" s="11" t="s">
        <v>4398</v>
      </c>
      <c r="I1270" s="11" t="s">
        <v>3365</v>
      </c>
      <c r="J1270" s="13" t="str" cm="1">
        <f t="array" ref="J1270">_xlfn.IFS(
  OR(ISBLANK(A1270),ISBLANK(B1270),ISBLANK(H1270),ISBLANK(D1270),ISBLANK(E1270)),"Missing Value",
  D1270&lt;=0,"Review – Out of Range (Coverage)",
  E1270&lt;=0,"Review – Out of Range (Premium)",
  TRUE,"OK"
)</f>
        <v>OK</v>
      </c>
    </row>
    <row r="1271" spans="1:10" ht="16.8" x14ac:dyDescent="0.3">
      <c r="A1271" s="14" t="s">
        <v>4928</v>
      </c>
      <c r="B1271" s="14" t="s">
        <v>1163</v>
      </c>
      <c r="C1271" s="14" t="s">
        <v>3371</v>
      </c>
      <c r="D1271" s="14">
        <v>715140.81</v>
      </c>
      <c r="E1271" s="14">
        <v>10443.5</v>
      </c>
      <c r="F1271" s="15">
        <v>44985</v>
      </c>
      <c r="G1271" s="15">
        <v>45561</v>
      </c>
      <c r="H1271" s="14" t="s">
        <v>4378</v>
      </c>
      <c r="I1271" s="14" t="s">
        <v>3373</v>
      </c>
      <c r="J1271" s="13" t="str" cm="1">
        <f t="array" ref="J1271">_xlfn.IFS(
  OR(ISBLANK(A1271),ISBLANK(B1271),ISBLANK(H1271),ISBLANK(D1271),ISBLANK(E1271)),"Missing Value",
  D1271&lt;=0,"Review – Out of Range (Coverage)",
  E1271&lt;=0,"Review – Out of Range (Premium)",
  TRUE,"OK"
)</f>
        <v>OK</v>
      </c>
    </row>
    <row r="1272" spans="1:10" ht="16.8" x14ac:dyDescent="0.3">
      <c r="A1272" s="11" t="s">
        <v>4929</v>
      </c>
      <c r="B1272" s="11" t="s">
        <v>2623</v>
      </c>
      <c r="C1272" s="11" t="s">
        <v>3371</v>
      </c>
      <c r="D1272" s="11">
        <v>552028.79</v>
      </c>
      <c r="E1272" s="11">
        <v>26336.51</v>
      </c>
      <c r="F1272" s="12">
        <v>44960</v>
      </c>
      <c r="G1272" s="12">
        <v>45289</v>
      </c>
      <c r="H1272" s="11" t="s">
        <v>3712</v>
      </c>
      <c r="I1272" s="11" t="s">
        <v>3373</v>
      </c>
      <c r="J1272" s="13" t="str" cm="1">
        <f t="array" ref="J1272">_xlfn.IFS(
  OR(ISBLANK(A1272),ISBLANK(B1272),ISBLANK(H1272),ISBLANK(D1272),ISBLANK(E1272)),"Missing Value",
  D1272&lt;=0,"Review – Out of Range (Coverage)",
  E1272&lt;=0,"Review – Out of Range (Premium)",
  TRUE,"OK"
)</f>
        <v>OK</v>
      </c>
    </row>
    <row r="1273" spans="1:10" ht="16.8" x14ac:dyDescent="0.3">
      <c r="A1273" s="14" t="s">
        <v>4930</v>
      </c>
      <c r="B1273" s="14" t="s">
        <v>2175</v>
      </c>
      <c r="C1273" s="14" t="s">
        <v>3363</v>
      </c>
      <c r="D1273" s="14">
        <v>939484.44</v>
      </c>
      <c r="E1273" s="14">
        <v>49842.63</v>
      </c>
      <c r="F1273" s="15">
        <v>45052</v>
      </c>
      <c r="G1273" s="15">
        <v>45253</v>
      </c>
      <c r="H1273" s="14" t="s">
        <v>4170</v>
      </c>
      <c r="I1273" s="14" t="s">
        <v>3373</v>
      </c>
      <c r="J1273" s="13" t="str" cm="1">
        <f t="array" ref="J1273">_xlfn.IFS(
  OR(ISBLANK(A1273),ISBLANK(B1273),ISBLANK(H1273),ISBLANK(D1273),ISBLANK(E1273)),"Missing Value",
  D1273&lt;=0,"Review – Out of Range (Coverage)",
  E1273&lt;=0,"Review – Out of Range (Premium)",
  TRUE,"OK"
)</f>
        <v>OK</v>
      </c>
    </row>
    <row r="1274" spans="1:10" ht="16.8" x14ac:dyDescent="0.3">
      <c r="A1274" s="11" t="s">
        <v>4931</v>
      </c>
      <c r="B1274" s="11" t="s">
        <v>591</v>
      </c>
      <c r="C1274" s="11" t="s">
        <v>3380</v>
      </c>
      <c r="D1274" s="11">
        <v>243647.52</v>
      </c>
      <c r="E1274" s="11">
        <v>31461.96</v>
      </c>
      <c r="F1274" s="12">
        <v>44533</v>
      </c>
      <c r="G1274" s="12">
        <v>44976</v>
      </c>
      <c r="H1274" s="11" t="s">
        <v>3868</v>
      </c>
      <c r="I1274" s="11" t="s">
        <v>3361</v>
      </c>
      <c r="J1274" s="13" t="str" cm="1">
        <f t="array" ref="J1274">_xlfn.IFS(
  OR(ISBLANK(A1274),ISBLANK(B1274),ISBLANK(H1274),ISBLANK(D1274),ISBLANK(E1274)),"Missing Value",
  D1274&lt;=0,"Review – Out of Range (Coverage)",
  E1274&lt;=0,"Review – Out of Range (Premium)",
  TRUE,"OK"
)</f>
        <v>OK</v>
      </c>
    </row>
    <row r="1275" spans="1:10" ht="16.8" x14ac:dyDescent="0.3">
      <c r="A1275" s="14" t="s">
        <v>4932</v>
      </c>
      <c r="B1275" s="14" t="s">
        <v>2983</v>
      </c>
      <c r="C1275" s="14" t="s">
        <v>3377</v>
      </c>
      <c r="D1275" s="14">
        <v>685980.89</v>
      </c>
      <c r="E1275" s="14">
        <v>3834.91</v>
      </c>
      <c r="F1275" s="15">
        <v>44221</v>
      </c>
      <c r="G1275" s="15">
        <v>44891</v>
      </c>
      <c r="H1275" s="14" t="s">
        <v>3488</v>
      </c>
      <c r="I1275" s="14" t="s">
        <v>3373</v>
      </c>
      <c r="J1275" s="13" t="str" cm="1">
        <f t="array" ref="J1275">_xlfn.IFS(
  OR(ISBLANK(A1275),ISBLANK(B1275),ISBLANK(H1275),ISBLANK(D1275),ISBLANK(E1275)),"Missing Value",
  D1275&lt;=0,"Review – Out of Range (Coverage)",
  E1275&lt;=0,"Review – Out of Range (Premium)",
  TRUE,"OK"
)</f>
        <v>OK</v>
      </c>
    </row>
    <row r="1276" spans="1:10" ht="16.8" x14ac:dyDescent="0.3">
      <c r="A1276" s="11" t="s">
        <v>4933</v>
      </c>
      <c r="B1276" s="11" t="s">
        <v>2093</v>
      </c>
      <c r="C1276" s="11" t="s">
        <v>3377</v>
      </c>
      <c r="D1276" s="11">
        <v>517592.18</v>
      </c>
      <c r="E1276" s="11">
        <v>25032.2</v>
      </c>
      <c r="F1276" s="12">
        <v>45068</v>
      </c>
      <c r="G1276" s="12">
        <v>45409</v>
      </c>
      <c r="H1276" s="11" t="s">
        <v>3492</v>
      </c>
      <c r="I1276" s="11" t="s">
        <v>3373</v>
      </c>
      <c r="J1276" s="13" t="str" cm="1">
        <f t="array" ref="J1276">_xlfn.IFS(
  OR(ISBLANK(A1276),ISBLANK(B1276),ISBLANK(H1276),ISBLANK(D1276),ISBLANK(E1276)),"Missing Value",
  D1276&lt;=0,"Review – Out of Range (Coverage)",
  E1276&lt;=0,"Review – Out of Range (Premium)",
  TRUE,"OK"
)</f>
        <v>OK</v>
      </c>
    </row>
    <row r="1277" spans="1:10" ht="16.8" x14ac:dyDescent="0.3">
      <c r="A1277" s="14" t="s">
        <v>4934</v>
      </c>
      <c r="B1277" s="14" t="s">
        <v>2701</v>
      </c>
      <c r="C1277" s="14" t="s">
        <v>3377</v>
      </c>
      <c r="D1277" s="14">
        <v>636281.31000000006</v>
      </c>
      <c r="E1277" s="14">
        <v>40539.599999999999</v>
      </c>
      <c r="F1277" s="15">
        <v>44767</v>
      </c>
      <c r="G1277" s="15">
        <v>45301</v>
      </c>
      <c r="H1277" s="14" t="s">
        <v>3894</v>
      </c>
      <c r="I1277" s="14" t="s">
        <v>3361</v>
      </c>
      <c r="J1277" s="13" t="str" cm="1">
        <f t="array" ref="J1277">_xlfn.IFS(
  OR(ISBLANK(A1277),ISBLANK(B1277),ISBLANK(H1277),ISBLANK(D1277),ISBLANK(E1277)),"Missing Value",
  D1277&lt;=0,"Review – Out of Range (Coverage)",
  E1277&lt;=0,"Review – Out of Range (Premium)",
  TRUE,"OK"
)</f>
        <v>OK</v>
      </c>
    </row>
    <row r="1278" spans="1:10" ht="16.8" x14ac:dyDescent="0.3">
      <c r="A1278" s="11" t="s">
        <v>4935</v>
      </c>
      <c r="B1278" s="11" t="s">
        <v>2887</v>
      </c>
      <c r="C1278" s="11" t="s">
        <v>3377</v>
      </c>
      <c r="D1278" s="11">
        <v>702716.72</v>
      </c>
      <c r="E1278" s="11">
        <v>49358.15</v>
      </c>
      <c r="F1278" s="12">
        <v>44376</v>
      </c>
      <c r="G1278" s="12">
        <v>44579</v>
      </c>
      <c r="H1278" s="11" t="s">
        <v>3469</v>
      </c>
      <c r="I1278" s="11" t="s">
        <v>3373</v>
      </c>
      <c r="J1278" s="13" t="str" cm="1">
        <f t="array" ref="J1278">_xlfn.IFS(
  OR(ISBLANK(A1278),ISBLANK(B1278),ISBLANK(H1278),ISBLANK(D1278),ISBLANK(E1278)),"Missing Value",
  D1278&lt;=0,"Review – Out of Range (Coverage)",
  E1278&lt;=0,"Review – Out of Range (Premium)",
  TRUE,"OK"
)</f>
        <v>OK</v>
      </c>
    </row>
    <row r="1279" spans="1:10" ht="16.8" x14ac:dyDescent="0.3">
      <c r="A1279" s="14" t="s">
        <v>4936</v>
      </c>
      <c r="B1279" s="14" t="s">
        <v>651</v>
      </c>
      <c r="C1279" s="14" t="s">
        <v>3363</v>
      </c>
      <c r="D1279" s="14">
        <v>296438.06</v>
      </c>
      <c r="E1279" s="14">
        <v>24222.66</v>
      </c>
      <c r="F1279" s="15">
        <v>44635</v>
      </c>
      <c r="G1279" s="15">
        <v>45846</v>
      </c>
      <c r="H1279" s="14" t="s">
        <v>3731</v>
      </c>
      <c r="I1279" s="14" t="s">
        <v>3373</v>
      </c>
      <c r="J1279" s="13" t="str" cm="1">
        <f t="array" ref="J1279">_xlfn.IFS(
  OR(ISBLANK(A1279),ISBLANK(B1279),ISBLANK(H1279),ISBLANK(D1279),ISBLANK(E1279)),"Missing Value",
  D1279&lt;=0,"Review – Out of Range (Coverage)",
  E1279&lt;=0,"Review – Out of Range (Premium)",
  TRUE,"OK"
)</f>
        <v>OK</v>
      </c>
    </row>
    <row r="1280" spans="1:10" ht="16.8" x14ac:dyDescent="0.3">
      <c r="A1280" s="11" t="s">
        <v>4937</v>
      </c>
      <c r="B1280" s="11" t="s">
        <v>2445</v>
      </c>
      <c r="C1280" s="11" t="s">
        <v>3363</v>
      </c>
      <c r="D1280" s="11">
        <v>551088.56999999995</v>
      </c>
      <c r="E1280" s="11">
        <v>7609.93</v>
      </c>
      <c r="F1280" s="12">
        <v>44879</v>
      </c>
      <c r="G1280" s="12">
        <v>45470</v>
      </c>
      <c r="H1280" s="11" t="s">
        <v>3822</v>
      </c>
      <c r="I1280" s="11" t="s">
        <v>3373</v>
      </c>
      <c r="J1280" s="13" t="str" cm="1">
        <f t="array" ref="J1280">_xlfn.IFS(
  OR(ISBLANK(A1280),ISBLANK(B1280),ISBLANK(H1280),ISBLANK(D1280),ISBLANK(E1280)),"Missing Value",
  D1280&lt;=0,"Review – Out of Range (Coverage)",
  E1280&lt;=0,"Review – Out of Range (Premium)",
  TRUE,"OK"
)</f>
        <v>OK</v>
      </c>
    </row>
    <row r="1281" spans="1:10" ht="16.8" x14ac:dyDescent="0.3">
      <c r="A1281" s="14" t="s">
        <v>4938</v>
      </c>
      <c r="B1281" s="14" t="s">
        <v>817</v>
      </c>
      <c r="C1281" s="14" t="s">
        <v>3371</v>
      </c>
      <c r="D1281" s="14">
        <v>848530.84</v>
      </c>
      <c r="E1281" s="14">
        <v>31135.53</v>
      </c>
      <c r="F1281" s="15">
        <v>45051</v>
      </c>
      <c r="G1281" s="15">
        <v>45721</v>
      </c>
      <c r="H1281" s="14" t="s">
        <v>4190</v>
      </c>
      <c r="I1281" s="14" t="s">
        <v>3365</v>
      </c>
      <c r="J1281" s="13" t="str" cm="1">
        <f t="array" ref="J1281">_xlfn.IFS(
  OR(ISBLANK(A1281),ISBLANK(B1281),ISBLANK(H1281),ISBLANK(D1281),ISBLANK(E1281)),"Missing Value",
  D1281&lt;=0,"Review – Out of Range (Coverage)",
  E1281&lt;=0,"Review – Out of Range (Premium)",
  TRUE,"OK"
)</f>
        <v>OK</v>
      </c>
    </row>
    <row r="1282" spans="1:10" ht="16.8" x14ac:dyDescent="0.3">
      <c r="A1282" s="11" t="s">
        <v>4939</v>
      </c>
      <c r="B1282" s="11" t="s">
        <v>514</v>
      </c>
      <c r="C1282" s="11" t="s">
        <v>3371</v>
      </c>
      <c r="D1282" s="11">
        <v>116325.64</v>
      </c>
      <c r="E1282" s="11">
        <v>38148.51</v>
      </c>
      <c r="F1282" s="12">
        <v>44621</v>
      </c>
      <c r="G1282" s="12">
        <v>45089</v>
      </c>
      <c r="H1282" s="11" t="s">
        <v>3865</v>
      </c>
      <c r="I1282" s="11" t="s">
        <v>3365</v>
      </c>
      <c r="J1282" s="13" t="str" cm="1">
        <f t="array" ref="J1282">_xlfn.IFS(
  OR(ISBLANK(A1282),ISBLANK(B1282),ISBLANK(H1282),ISBLANK(D1282),ISBLANK(E1282)),"Missing Value",
  D1282&lt;=0,"Review – Out of Range (Coverage)",
  E1282&lt;=0,"Review – Out of Range (Premium)",
  TRUE,"OK"
)</f>
        <v>OK</v>
      </c>
    </row>
    <row r="1283" spans="1:10" ht="16.8" x14ac:dyDescent="0.3">
      <c r="A1283" s="14" t="s">
        <v>4940</v>
      </c>
      <c r="B1283" s="14" t="s">
        <v>1643</v>
      </c>
      <c r="C1283" s="14" t="s">
        <v>3363</v>
      </c>
      <c r="D1283" s="14">
        <v>307722.12</v>
      </c>
      <c r="E1283" s="14">
        <v>32837.01</v>
      </c>
      <c r="F1283" s="15">
        <v>45002</v>
      </c>
      <c r="G1283" s="15">
        <v>45708</v>
      </c>
      <c r="H1283" s="14" t="s">
        <v>4208</v>
      </c>
      <c r="I1283" s="14" t="s">
        <v>3373</v>
      </c>
      <c r="J1283" s="13" t="str" cm="1">
        <f t="array" ref="J1283">_xlfn.IFS(
  OR(ISBLANK(A1283),ISBLANK(B1283),ISBLANK(H1283),ISBLANK(D1283),ISBLANK(E1283)),"Missing Value",
  D1283&lt;=0,"Review – Out of Range (Coverage)",
  E1283&lt;=0,"Review – Out of Range (Premium)",
  TRUE,"OK"
)</f>
        <v>OK</v>
      </c>
    </row>
    <row r="1284" spans="1:10" ht="16.8" x14ac:dyDescent="0.3">
      <c r="A1284" s="11" t="s">
        <v>4941</v>
      </c>
      <c r="B1284" s="11" t="s">
        <v>132</v>
      </c>
      <c r="C1284" s="11" t="s">
        <v>3359</v>
      </c>
      <c r="D1284" s="11">
        <v>789228.38</v>
      </c>
      <c r="E1284" s="11">
        <v>4716.83</v>
      </c>
      <c r="F1284" s="12">
        <v>45336</v>
      </c>
      <c r="G1284" s="12">
        <v>45633</v>
      </c>
      <c r="H1284" s="11" t="s">
        <v>3497</v>
      </c>
      <c r="I1284" s="11" t="s">
        <v>3373</v>
      </c>
      <c r="J1284" s="13" t="str" cm="1">
        <f t="array" ref="J1284">_xlfn.IFS(
  OR(ISBLANK(A1284),ISBLANK(B1284),ISBLANK(H1284),ISBLANK(D1284),ISBLANK(E1284)),"Missing Value",
  D1284&lt;=0,"Review – Out of Range (Coverage)",
  E1284&lt;=0,"Review – Out of Range (Premium)",
  TRUE,"OK"
)</f>
        <v>OK</v>
      </c>
    </row>
    <row r="1285" spans="1:10" ht="16.8" x14ac:dyDescent="0.3">
      <c r="A1285" s="14" t="s">
        <v>4942</v>
      </c>
      <c r="B1285" s="14" t="s">
        <v>2533</v>
      </c>
      <c r="C1285" s="14" t="s">
        <v>3380</v>
      </c>
      <c r="D1285" s="14">
        <v>610314.61</v>
      </c>
      <c r="E1285" s="14">
        <v>42786.31</v>
      </c>
      <c r="F1285" s="15">
        <v>44255</v>
      </c>
      <c r="G1285" s="15">
        <v>45162</v>
      </c>
      <c r="H1285" s="14" t="s">
        <v>3968</v>
      </c>
      <c r="I1285" s="14" t="s">
        <v>3365</v>
      </c>
      <c r="J1285" s="13" t="str" cm="1">
        <f t="array" ref="J1285">_xlfn.IFS(
  OR(ISBLANK(A1285),ISBLANK(B1285),ISBLANK(H1285),ISBLANK(D1285),ISBLANK(E1285)),"Missing Value",
  D1285&lt;=0,"Review – Out of Range (Coverage)",
  E1285&lt;=0,"Review – Out of Range (Premium)",
  TRUE,"OK"
)</f>
        <v>OK</v>
      </c>
    </row>
    <row r="1286" spans="1:10" ht="16.8" x14ac:dyDescent="0.3">
      <c r="A1286" s="11" t="s">
        <v>4943</v>
      </c>
      <c r="B1286" s="11" t="s">
        <v>220</v>
      </c>
      <c r="C1286" s="11" t="s">
        <v>3377</v>
      </c>
      <c r="D1286" s="11">
        <v>494155.69</v>
      </c>
      <c r="E1286" s="11">
        <v>10479.08</v>
      </c>
      <c r="F1286" s="12">
        <v>44584</v>
      </c>
      <c r="G1286" s="12">
        <v>45015</v>
      </c>
      <c r="H1286" s="11" t="s">
        <v>3733</v>
      </c>
      <c r="I1286" s="11" t="s">
        <v>3361</v>
      </c>
      <c r="J1286" s="13" t="str" cm="1">
        <f t="array" ref="J1286">_xlfn.IFS(
  OR(ISBLANK(A1286),ISBLANK(B1286),ISBLANK(H1286),ISBLANK(D1286),ISBLANK(E1286)),"Missing Value",
  D1286&lt;=0,"Review – Out of Range (Coverage)",
  E1286&lt;=0,"Review – Out of Range (Premium)",
  TRUE,"OK"
)</f>
        <v>OK</v>
      </c>
    </row>
    <row r="1287" spans="1:10" ht="16.8" x14ac:dyDescent="0.3">
      <c r="A1287" s="14" t="s">
        <v>4944</v>
      </c>
      <c r="B1287" s="14" t="s">
        <v>757</v>
      </c>
      <c r="C1287" s="14" t="s">
        <v>3371</v>
      </c>
      <c r="D1287" s="14">
        <v>638807.30000000005</v>
      </c>
      <c r="E1287" s="14">
        <v>8611.9500000000007</v>
      </c>
      <c r="F1287" s="15">
        <v>45166</v>
      </c>
      <c r="G1287" s="15">
        <v>45191</v>
      </c>
      <c r="H1287" s="14" t="s">
        <v>3415</v>
      </c>
      <c r="I1287" s="14" t="s">
        <v>3365</v>
      </c>
      <c r="J1287" s="13" t="str" cm="1">
        <f t="array" ref="J1287">_xlfn.IFS(
  OR(ISBLANK(A1287),ISBLANK(B1287),ISBLANK(H1287),ISBLANK(D1287),ISBLANK(E1287)),"Missing Value",
  D1287&lt;=0,"Review – Out of Range (Coverage)",
  E1287&lt;=0,"Review – Out of Range (Premium)",
  TRUE,"OK"
)</f>
        <v>OK</v>
      </c>
    </row>
    <row r="1288" spans="1:10" ht="16.8" x14ac:dyDescent="0.3">
      <c r="A1288" s="11" t="s">
        <v>4945</v>
      </c>
      <c r="B1288" s="11" t="s">
        <v>266</v>
      </c>
      <c r="C1288" s="11" t="s">
        <v>3359</v>
      </c>
      <c r="D1288" s="11">
        <v>171865.27</v>
      </c>
      <c r="E1288" s="11">
        <v>34824.78</v>
      </c>
      <c r="F1288" s="12">
        <v>44976</v>
      </c>
      <c r="G1288" s="12">
        <v>45789</v>
      </c>
      <c r="H1288" s="11" t="s">
        <v>4011</v>
      </c>
      <c r="I1288" s="11" t="s">
        <v>3361</v>
      </c>
      <c r="J1288" s="13" t="str" cm="1">
        <f t="array" ref="J1288">_xlfn.IFS(
  OR(ISBLANK(A1288),ISBLANK(B1288),ISBLANK(H1288),ISBLANK(D1288),ISBLANK(E1288)),"Missing Value",
  D1288&lt;=0,"Review – Out of Range (Coverage)",
  E1288&lt;=0,"Review – Out of Range (Premium)",
  TRUE,"OK"
)</f>
        <v>OK</v>
      </c>
    </row>
    <row r="1289" spans="1:10" ht="16.8" x14ac:dyDescent="0.3">
      <c r="A1289" s="14" t="s">
        <v>4946</v>
      </c>
      <c r="B1289" s="14" t="s">
        <v>1447</v>
      </c>
      <c r="C1289" s="14" t="s">
        <v>3359</v>
      </c>
      <c r="D1289" s="14">
        <v>580604.62</v>
      </c>
      <c r="E1289" s="14">
        <v>38420.019999999997</v>
      </c>
      <c r="F1289" s="15">
        <v>45433</v>
      </c>
      <c r="G1289" s="15">
        <v>45725</v>
      </c>
      <c r="H1289" s="14" t="s">
        <v>4556</v>
      </c>
      <c r="I1289" s="14" t="s">
        <v>3373</v>
      </c>
      <c r="J1289" s="13" t="str" cm="1">
        <f t="array" ref="J1289">_xlfn.IFS(
  OR(ISBLANK(A1289),ISBLANK(B1289),ISBLANK(H1289),ISBLANK(D1289),ISBLANK(E1289)),"Missing Value",
  D1289&lt;=0,"Review – Out of Range (Coverage)",
  E1289&lt;=0,"Review – Out of Range (Premium)",
  TRUE,"OK"
)</f>
        <v>OK</v>
      </c>
    </row>
    <row r="1290" spans="1:10" ht="16.8" x14ac:dyDescent="0.3">
      <c r="A1290" s="11" t="s">
        <v>4947</v>
      </c>
      <c r="B1290" s="11" t="s">
        <v>2029</v>
      </c>
      <c r="C1290" s="11" t="s">
        <v>3380</v>
      </c>
      <c r="D1290" s="11">
        <v>438701.58</v>
      </c>
      <c r="E1290" s="11">
        <v>23552.45</v>
      </c>
      <c r="F1290" s="12">
        <v>44890</v>
      </c>
      <c r="G1290" s="12">
        <v>45093</v>
      </c>
      <c r="H1290" s="11" t="s">
        <v>3626</v>
      </c>
      <c r="I1290" s="11" t="s">
        <v>3361</v>
      </c>
      <c r="J1290" s="13" t="str" cm="1">
        <f t="array" ref="J1290">_xlfn.IFS(
  OR(ISBLANK(A1290),ISBLANK(B1290),ISBLANK(H1290),ISBLANK(D1290),ISBLANK(E1290)),"Missing Value",
  D1290&lt;=0,"Review – Out of Range (Coverage)",
  E1290&lt;=0,"Review – Out of Range (Premium)",
  TRUE,"OK"
)</f>
        <v>OK</v>
      </c>
    </row>
    <row r="1291" spans="1:10" ht="16.8" x14ac:dyDescent="0.3">
      <c r="A1291" s="14" t="s">
        <v>4948</v>
      </c>
      <c r="B1291" s="14" t="s">
        <v>553</v>
      </c>
      <c r="C1291" s="14" t="s">
        <v>3380</v>
      </c>
      <c r="D1291" s="14">
        <v>272247.82</v>
      </c>
      <c r="E1291" s="14">
        <v>45403.4</v>
      </c>
      <c r="F1291" s="15">
        <v>44488</v>
      </c>
      <c r="G1291" s="15">
        <v>44533</v>
      </c>
      <c r="H1291" s="14" t="s">
        <v>3403</v>
      </c>
      <c r="I1291" s="14" t="s">
        <v>3361</v>
      </c>
      <c r="J1291" s="13" t="str" cm="1">
        <f t="array" ref="J1291">_xlfn.IFS(
  OR(ISBLANK(A1291),ISBLANK(B1291),ISBLANK(H1291),ISBLANK(D1291),ISBLANK(E1291)),"Missing Value",
  D1291&lt;=0,"Review – Out of Range (Coverage)",
  E1291&lt;=0,"Review – Out of Range (Premium)",
  TRUE,"OK"
)</f>
        <v>OK</v>
      </c>
    </row>
    <row r="1292" spans="1:10" ht="16.8" x14ac:dyDescent="0.3">
      <c r="A1292" s="11" t="s">
        <v>4949</v>
      </c>
      <c r="B1292" s="11" t="s">
        <v>715</v>
      </c>
      <c r="C1292" s="11" t="s">
        <v>3359</v>
      </c>
      <c r="D1292" s="11">
        <v>237218.43</v>
      </c>
      <c r="E1292" s="11">
        <v>47767.85</v>
      </c>
      <c r="F1292" s="12">
        <v>44674</v>
      </c>
      <c r="G1292" s="12">
        <v>45239</v>
      </c>
      <c r="H1292" s="11" t="s">
        <v>4006</v>
      </c>
      <c r="I1292" s="11" t="s">
        <v>3365</v>
      </c>
      <c r="J1292" s="13" t="str" cm="1">
        <f t="array" ref="J1292">_xlfn.IFS(
  OR(ISBLANK(A1292),ISBLANK(B1292),ISBLANK(H1292),ISBLANK(D1292),ISBLANK(E1292)),"Missing Value",
  D1292&lt;=0,"Review – Out of Range (Coverage)",
  E1292&lt;=0,"Review – Out of Range (Premium)",
  TRUE,"OK"
)</f>
        <v>OK</v>
      </c>
    </row>
    <row r="1293" spans="1:10" ht="16.8" x14ac:dyDescent="0.3">
      <c r="A1293" s="14" t="s">
        <v>4950</v>
      </c>
      <c r="B1293" s="14" t="s">
        <v>643</v>
      </c>
      <c r="C1293" s="14" t="s">
        <v>3363</v>
      </c>
      <c r="D1293" s="14">
        <v>189737.01</v>
      </c>
      <c r="E1293" s="14">
        <v>5730.5</v>
      </c>
      <c r="F1293" s="15">
        <v>44276</v>
      </c>
      <c r="G1293" s="15">
        <v>44457</v>
      </c>
      <c r="H1293" s="14" t="s">
        <v>4439</v>
      </c>
      <c r="I1293" s="14" t="s">
        <v>3361</v>
      </c>
      <c r="J1293" s="13" t="str" cm="1">
        <f t="array" ref="J1293">_xlfn.IFS(
  OR(ISBLANK(A1293),ISBLANK(B1293),ISBLANK(H1293),ISBLANK(D1293),ISBLANK(E1293)),"Missing Value",
  D1293&lt;=0,"Review – Out of Range (Coverage)",
  E1293&lt;=0,"Review – Out of Range (Premium)",
  TRUE,"OK"
)</f>
        <v>OK</v>
      </c>
    </row>
    <row r="1294" spans="1:10" ht="16.8" x14ac:dyDescent="0.3">
      <c r="A1294" s="11" t="s">
        <v>4951</v>
      </c>
      <c r="B1294" s="11" t="s">
        <v>2241</v>
      </c>
      <c r="C1294" s="11" t="s">
        <v>3371</v>
      </c>
      <c r="D1294" s="11">
        <v>469105.08</v>
      </c>
      <c r="E1294" s="11">
        <v>27266.45</v>
      </c>
      <c r="F1294" s="12">
        <v>44303</v>
      </c>
      <c r="G1294" s="12">
        <v>44418</v>
      </c>
      <c r="H1294" s="11" t="s">
        <v>3617</v>
      </c>
      <c r="I1294" s="11" t="s">
        <v>3361</v>
      </c>
      <c r="J1294" s="13" t="str" cm="1">
        <f t="array" ref="J1294">_xlfn.IFS(
  OR(ISBLANK(A1294),ISBLANK(B1294),ISBLANK(H1294),ISBLANK(D1294),ISBLANK(E1294)),"Missing Value",
  D1294&lt;=0,"Review – Out of Range (Coverage)",
  E1294&lt;=0,"Review – Out of Range (Premium)",
  TRUE,"OK"
)</f>
        <v>OK</v>
      </c>
    </row>
    <row r="1295" spans="1:10" ht="16.8" x14ac:dyDescent="0.3">
      <c r="A1295" s="14" t="s">
        <v>4952</v>
      </c>
      <c r="B1295" s="14" t="s">
        <v>2111</v>
      </c>
      <c r="C1295" s="14" t="s">
        <v>3377</v>
      </c>
      <c r="D1295" s="14">
        <v>564634.17000000004</v>
      </c>
      <c r="E1295" s="14">
        <v>49948.95</v>
      </c>
      <c r="F1295" s="15">
        <v>44985</v>
      </c>
      <c r="G1295" s="15">
        <v>45587</v>
      </c>
      <c r="H1295" s="14" t="s">
        <v>3772</v>
      </c>
      <c r="I1295" s="14" t="s">
        <v>3365</v>
      </c>
      <c r="J1295" s="13" t="str" cm="1">
        <f t="array" ref="J1295">_xlfn.IFS(
  OR(ISBLANK(A1295),ISBLANK(B1295),ISBLANK(H1295),ISBLANK(D1295),ISBLANK(E1295)),"Missing Value",
  D1295&lt;=0,"Review – Out of Range (Coverage)",
  E1295&lt;=0,"Review – Out of Range (Premium)",
  TRUE,"OK"
)</f>
        <v>OK</v>
      </c>
    </row>
    <row r="1296" spans="1:10" ht="16.8" x14ac:dyDescent="0.3">
      <c r="A1296" s="11" t="s">
        <v>4953</v>
      </c>
      <c r="B1296" s="11" t="s">
        <v>436</v>
      </c>
      <c r="C1296" s="11" t="s">
        <v>3363</v>
      </c>
      <c r="D1296" s="11">
        <v>447023.15</v>
      </c>
      <c r="E1296" s="11">
        <v>40312.5</v>
      </c>
      <c r="F1296" s="12">
        <v>45139</v>
      </c>
      <c r="G1296" s="12">
        <v>45731</v>
      </c>
      <c r="H1296" s="11" t="s">
        <v>3614</v>
      </c>
      <c r="I1296" s="11" t="s">
        <v>3373</v>
      </c>
      <c r="J1296" s="13" t="str" cm="1">
        <f t="array" ref="J1296">_xlfn.IFS(
  OR(ISBLANK(A1296),ISBLANK(B1296),ISBLANK(H1296),ISBLANK(D1296),ISBLANK(E1296)),"Missing Value",
  D1296&lt;=0,"Review – Out of Range (Coverage)",
  E1296&lt;=0,"Review – Out of Range (Premium)",
  TRUE,"OK"
)</f>
        <v>OK</v>
      </c>
    </row>
    <row r="1297" spans="1:10" ht="16.8" x14ac:dyDescent="0.3">
      <c r="A1297" s="14" t="s">
        <v>4954</v>
      </c>
      <c r="B1297" s="14" t="s">
        <v>1115</v>
      </c>
      <c r="C1297" s="14" t="s">
        <v>3377</v>
      </c>
      <c r="D1297" s="14">
        <v>462300.08</v>
      </c>
      <c r="E1297" s="14">
        <v>13647.2</v>
      </c>
      <c r="F1297" s="15">
        <v>44896</v>
      </c>
      <c r="G1297" s="15">
        <v>45510</v>
      </c>
      <c r="H1297" s="14" t="s">
        <v>3748</v>
      </c>
      <c r="I1297" s="14" t="s">
        <v>3373</v>
      </c>
      <c r="J1297" s="13" t="str" cm="1">
        <f t="array" ref="J1297">_xlfn.IFS(
  OR(ISBLANK(A1297),ISBLANK(B1297),ISBLANK(H1297),ISBLANK(D1297),ISBLANK(E1297)),"Missing Value",
  D1297&lt;=0,"Review – Out of Range (Coverage)",
  E1297&lt;=0,"Review – Out of Range (Premium)",
  TRUE,"OK"
)</f>
        <v>OK</v>
      </c>
    </row>
    <row r="1298" spans="1:10" ht="16.8" x14ac:dyDescent="0.3">
      <c r="A1298" s="11" t="s">
        <v>4955</v>
      </c>
      <c r="B1298" s="11" t="s">
        <v>2391</v>
      </c>
      <c r="C1298" s="11" t="s">
        <v>3380</v>
      </c>
      <c r="D1298" s="11">
        <v>278470.44</v>
      </c>
      <c r="E1298" s="11">
        <v>41949.68</v>
      </c>
      <c r="F1298" s="12">
        <v>45262</v>
      </c>
      <c r="G1298" s="12">
        <v>45707</v>
      </c>
      <c r="H1298" s="11" t="s">
        <v>3923</v>
      </c>
      <c r="I1298" s="11" t="s">
        <v>3365</v>
      </c>
      <c r="J1298" s="13" t="str" cm="1">
        <f t="array" ref="J1298">_xlfn.IFS(
  OR(ISBLANK(A1298),ISBLANK(B1298),ISBLANK(H1298),ISBLANK(D1298),ISBLANK(E1298)),"Missing Value",
  D1298&lt;=0,"Review – Out of Range (Coverage)",
  E1298&lt;=0,"Review – Out of Range (Premium)",
  TRUE,"OK"
)</f>
        <v>OK</v>
      </c>
    </row>
    <row r="1299" spans="1:10" ht="16.8" x14ac:dyDescent="0.3">
      <c r="A1299" s="14" t="s">
        <v>4956</v>
      </c>
      <c r="B1299" s="14" t="s">
        <v>983</v>
      </c>
      <c r="C1299" s="14" t="s">
        <v>3371</v>
      </c>
      <c r="D1299" s="14">
        <v>467298.06</v>
      </c>
      <c r="E1299" s="14">
        <v>3749.91</v>
      </c>
      <c r="F1299" s="15">
        <v>45181</v>
      </c>
      <c r="G1299" s="15">
        <v>45597</v>
      </c>
      <c r="H1299" s="14" t="s">
        <v>3685</v>
      </c>
      <c r="I1299" s="14" t="s">
        <v>3361</v>
      </c>
      <c r="J1299" s="13" t="str" cm="1">
        <f t="array" ref="J1299">_xlfn.IFS(
  OR(ISBLANK(A1299),ISBLANK(B1299),ISBLANK(H1299),ISBLANK(D1299),ISBLANK(E1299)),"Missing Value",
  D1299&lt;=0,"Review – Out of Range (Coverage)",
  E1299&lt;=0,"Review – Out of Range (Premium)",
  TRUE,"OK"
)</f>
        <v>OK</v>
      </c>
    </row>
    <row r="1300" spans="1:10" ht="16.8" x14ac:dyDescent="0.3">
      <c r="A1300" s="11" t="s">
        <v>4957</v>
      </c>
      <c r="B1300" s="11" t="s">
        <v>1085</v>
      </c>
      <c r="C1300" s="11" t="s">
        <v>3359</v>
      </c>
      <c r="D1300" s="11">
        <v>193784.68</v>
      </c>
      <c r="E1300" s="11">
        <v>12807.08</v>
      </c>
      <c r="F1300" s="12">
        <v>44201</v>
      </c>
      <c r="G1300" s="12">
        <v>45614</v>
      </c>
      <c r="H1300" s="11" t="s">
        <v>3770</v>
      </c>
      <c r="I1300" s="11" t="s">
        <v>3361</v>
      </c>
      <c r="J1300" s="13" t="str" cm="1">
        <f t="array" ref="J1300">_xlfn.IFS(
  OR(ISBLANK(A1300),ISBLANK(B1300),ISBLANK(H1300),ISBLANK(D1300),ISBLANK(E1300)),"Missing Value",
  D1300&lt;=0,"Review – Out of Range (Coverage)",
  E1300&lt;=0,"Review – Out of Range (Premium)",
  TRUE,"OK"
)</f>
        <v>OK</v>
      </c>
    </row>
    <row r="1301" spans="1:10" ht="16.8" x14ac:dyDescent="0.3">
      <c r="A1301" s="14" t="s">
        <v>4958</v>
      </c>
      <c r="B1301" s="14" t="s">
        <v>1311</v>
      </c>
      <c r="C1301" s="14" t="s">
        <v>3371</v>
      </c>
      <c r="D1301" s="14">
        <v>143933.38</v>
      </c>
      <c r="E1301" s="14">
        <v>45922.86</v>
      </c>
      <c r="F1301" s="15">
        <v>44783</v>
      </c>
      <c r="G1301" s="15">
        <v>45488</v>
      </c>
      <c r="H1301" s="14" t="s">
        <v>4187</v>
      </c>
      <c r="I1301" s="14" t="s">
        <v>3361</v>
      </c>
      <c r="J1301" s="13" t="str" cm="1">
        <f t="array" ref="J1301">_xlfn.IFS(
  OR(ISBLANK(A1301),ISBLANK(B1301),ISBLANK(H1301),ISBLANK(D1301),ISBLANK(E1301)),"Missing Value",
  D1301&lt;=0,"Review – Out of Range (Coverage)",
  E1301&lt;=0,"Review – Out of Range (Premium)",
  TRUE,"OK"
)</f>
        <v>OK</v>
      </c>
    </row>
    <row r="1302" spans="1:10" ht="16.8" x14ac:dyDescent="0.3">
      <c r="A1302" s="11" t="s">
        <v>4959</v>
      </c>
      <c r="B1302" s="11" t="s">
        <v>2069</v>
      </c>
      <c r="C1302" s="11" t="s">
        <v>3371</v>
      </c>
      <c r="D1302" s="11">
        <v>259885.4</v>
      </c>
      <c r="E1302" s="11">
        <v>23865.39</v>
      </c>
      <c r="F1302" s="12">
        <v>44686</v>
      </c>
      <c r="G1302" s="12">
        <v>45015</v>
      </c>
      <c r="H1302" s="11" t="s">
        <v>3562</v>
      </c>
      <c r="I1302" s="11" t="s">
        <v>3373</v>
      </c>
      <c r="J1302" s="13" t="str" cm="1">
        <f t="array" ref="J1302">_xlfn.IFS(
  OR(ISBLANK(A1302),ISBLANK(B1302),ISBLANK(H1302),ISBLANK(D1302),ISBLANK(E1302)),"Missing Value",
  D1302&lt;=0,"Review – Out of Range (Coverage)",
  E1302&lt;=0,"Review – Out of Range (Premium)",
  TRUE,"OK"
)</f>
        <v>OK</v>
      </c>
    </row>
    <row r="1303" spans="1:10" ht="16.8" x14ac:dyDescent="0.3">
      <c r="A1303" s="14" t="s">
        <v>4960</v>
      </c>
      <c r="B1303" s="14" t="s">
        <v>815</v>
      </c>
      <c r="C1303" s="14" t="s">
        <v>3363</v>
      </c>
      <c r="D1303" s="14">
        <v>554410.43999999994</v>
      </c>
      <c r="E1303" s="14">
        <v>29929.24</v>
      </c>
      <c r="F1303" s="15">
        <v>44700</v>
      </c>
      <c r="G1303" s="15">
        <v>44763</v>
      </c>
      <c r="H1303" s="14" t="s">
        <v>3597</v>
      </c>
      <c r="I1303" s="14" t="s">
        <v>3373</v>
      </c>
      <c r="J1303" s="13" t="str" cm="1">
        <f t="array" ref="J1303">_xlfn.IFS(
  OR(ISBLANK(A1303),ISBLANK(B1303),ISBLANK(H1303),ISBLANK(D1303),ISBLANK(E1303)),"Missing Value",
  D1303&lt;=0,"Review – Out of Range (Coverage)",
  E1303&lt;=0,"Review – Out of Range (Premium)",
  TRUE,"OK"
)</f>
        <v>OK</v>
      </c>
    </row>
    <row r="1304" spans="1:10" ht="16.8" x14ac:dyDescent="0.3">
      <c r="A1304" s="11" t="s">
        <v>4961</v>
      </c>
      <c r="B1304" s="11" t="s">
        <v>3222</v>
      </c>
      <c r="C1304" s="11" t="s">
        <v>3371</v>
      </c>
      <c r="D1304" s="11">
        <v>357501.2</v>
      </c>
      <c r="E1304" s="11">
        <v>45229.99</v>
      </c>
      <c r="F1304" s="12">
        <v>44454</v>
      </c>
      <c r="G1304" s="12">
        <v>45243</v>
      </c>
      <c r="H1304" s="11" t="s">
        <v>3584</v>
      </c>
      <c r="I1304" s="11" t="s">
        <v>3373</v>
      </c>
      <c r="J1304" s="13" t="str" cm="1">
        <f t="array" ref="J1304">_xlfn.IFS(
  OR(ISBLANK(A1304),ISBLANK(B1304),ISBLANK(H1304),ISBLANK(D1304),ISBLANK(E1304)),"Missing Value",
  D1304&lt;=0,"Review – Out of Range (Coverage)",
  E1304&lt;=0,"Review – Out of Range (Premium)",
  TRUE,"OK"
)</f>
        <v>OK</v>
      </c>
    </row>
    <row r="1305" spans="1:10" ht="16.8" x14ac:dyDescent="0.3">
      <c r="A1305" s="14" t="s">
        <v>4962</v>
      </c>
      <c r="B1305" s="14" t="s">
        <v>1229</v>
      </c>
      <c r="C1305" s="14" t="s">
        <v>3380</v>
      </c>
      <c r="D1305" s="14">
        <v>998100.42</v>
      </c>
      <c r="E1305" s="14">
        <v>41380.67</v>
      </c>
      <c r="F1305" s="15">
        <v>44754</v>
      </c>
      <c r="G1305" s="15">
        <v>45355</v>
      </c>
      <c r="H1305" s="14" t="s">
        <v>3968</v>
      </c>
      <c r="I1305" s="14" t="s">
        <v>3373</v>
      </c>
      <c r="J1305" s="13" t="str" cm="1">
        <f t="array" ref="J1305">_xlfn.IFS(
  OR(ISBLANK(A1305),ISBLANK(B1305),ISBLANK(H1305),ISBLANK(D1305),ISBLANK(E1305)),"Missing Value",
  D1305&lt;=0,"Review – Out of Range (Coverage)",
  E1305&lt;=0,"Review – Out of Range (Premium)",
  TRUE,"OK"
)</f>
        <v>OK</v>
      </c>
    </row>
    <row r="1306" spans="1:10" ht="16.8" x14ac:dyDescent="0.3">
      <c r="A1306" s="11" t="s">
        <v>4963</v>
      </c>
      <c r="B1306" s="11" t="s">
        <v>1347</v>
      </c>
      <c r="C1306" s="11" t="s">
        <v>3377</v>
      </c>
      <c r="D1306" s="11">
        <v>833768.93</v>
      </c>
      <c r="E1306" s="11">
        <v>46655.13</v>
      </c>
      <c r="F1306" s="12">
        <v>45336</v>
      </c>
      <c r="G1306" s="12">
        <v>45752</v>
      </c>
      <c r="H1306" s="11" t="s">
        <v>3781</v>
      </c>
      <c r="I1306" s="11" t="s">
        <v>3361</v>
      </c>
      <c r="J1306" s="13" t="str" cm="1">
        <f t="array" ref="J1306">_xlfn.IFS(
  OR(ISBLANK(A1306),ISBLANK(B1306),ISBLANK(H1306),ISBLANK(D1306),ISBLANK(E1306)),"Missing Value",
  D1306&lt;=0,"Review – Out of Range (Coverage)",
  E1306&lt;=0,"Review – Out of Range (Premium)",
  TRUE,"OK"
)</f>
        <v>OK</v>
      </c>
    </row>
    <row r="1307" spans="1:10" ht="16.8" x14ac:dyDescent="0.3">
      <c r="A1307" s="14" t="s">
        <v>4964</v>
      </c>
      <c r="B1307" s="14" t="s">
        <v>891</v>
      </c>
      <c r="C1307" s="14" t="s">
        <v>3363</v>
      </c>
      <c r="D1307" s="14">
        <v>255689.63</v>
      </c>
      <c r="E1307" s="14">
        <v>29054.17</v>
      </c>
      <c r="F1307" s="15">
        <v>45338</v>
      </c>
      <c r="G1307" s="15">
        <v>45829</v>
      </c>
      <c r="H1307" s="14" t="s">
        <v>3852</v>
      </c>
      <c r="I1307" s="14" t="s">
        <v>3365</v>
      </c>
      <c r="J1307" s="13" t="str" cm="1">
        <f t="array" ref="J1307">_xlfn.IFS(
  OR(ISBLANK(A1307),ISBLANK(B1307),ISBLANK(H1307),ISBLANK(D1307),ISBLANK(E1307)),"Missing Value",
  D1307&lt;=0,"Review – Out of Range (Coverage)",
  E1307&lt;=0,"Review – Out of Range (Premium)",
  TRUE,"OK"
)</f>
        <v>OK</v>
      </c>
    </row>
    <row r="1308" spans="1:10" ht="16.8" x14ac:dyDescent="0.3">
      <c r="A1308" s="11" t="s">
        <v>4965</v>
      </c>
      <c r="B1308" s="11" t="s">
        <v>2375</v>
      </c>
      <c r="C1308" s="11" t="s">
        <v>3380</v>
      </c>
      <c r="D1308" s="11">
        <v>360817.6</v>
      </c>
      <c r="E1308" s="11">
        <v>32582.36</v>
      </c>
      <c r="F1308" s="12">
        <v>44127</v>
      </c>
      <c r="G1308" s="12">
        <v>44463</v>
      </c>
      <c r="H1308" s="11" t="s">
        <v>3658</v>
      </c>
      <c r="I1308" s="11" t="s">
        <v>3361</v>
      </c>
      <c r="J1308" s="13" t="str" cm="1">
        <f t="array" ref="J1308">_xlfn.IFS(
  OR(ISBLANK(A1308),ISBLANK(B1308),ISBLANK(H1308),ISBLANK(D1308),ISBLANK(E1308)),"Missing Value",
  D1308&lt;=0,"Review – Out of Range (Coverage)",
  E1308&lt;=0,"Review – Out of Range (Premium)",
  TRUE,"OK"
)</f>
        <v>OK</v>
      </c>
    </row>
    <row r="1309" spans="1:10" ht="16.8" x14ac:dyDescent="0.3">
      <c r="A1309" s="14" t="s">
        <v>4966</v>
      </c>
      <c r="B1309" s="14" t="s">
        <v>993</v>
      </c>
      <c r="C1309" s="14" t="s">
        <v>3380</v>
      </c>
      <c r="D1309" s="14">
        <v>299165.12</v>
      </c>
      <c r="E1309" s="14">
        <v>6025.99</v>
      </c>
      <c r="F1309" s="15">
        <v>44268</v>
      </c>
      <c r="G1309" s="15">
        <v>45321</v>
      </c>
      <c r="H1309" s="14" t="s">
        <v>3709</v>
      </c>
      <c r="I1309" s="14" t="s">
        <v>3373</v>
      </c>
      <c r="J1309" s="13" t="str" cm="1">
        <f t="array" ref="J1309">_xlfn.IFS(
  OR(ISBLANK(A1309),ISBLANK(B1309),ISBLANK(H1309),ISBLANK(D1309),ISBLANK(E1309)),"Missing Value",
  D1309&lt;=0,"Review – Out of Range (Coverage)",
  E1309&lt;=0,"Review – Out of Range (Premium)",
  TRUE,"OK"
)</f>
        <v>OK</v>
      </c>
    </row>
    <row r="1310" spans="1:10" ht="16.8" x14ac:dyDescent="0.3">
      <c r="A1310" s="11" t="s">
        <v>4967</v>
      </c>
      <c r="B1310" s="11" t="s">
        <v>148</v>
      </c>
      <c r="C1310" s="11" t="s">
        <v>3380</v>
      </c>
      <c r="D1310" s="11">
        <v>864395.47</v>
      </c>
      <c r="E1310" s="11">
        <v>31371.19</v>
      </c>
      <c r="F1310" s="12">
        <v>45250</v>
      </c>
      <c r="G1310" s="12">
        <v>45708</v>
      </c>
      <c r="H1310" s="11" t="s">
        <v>3964</v>
      </c>
      <c r="I1310" s="11" t="s">
        <v>3361</v>
      </c>
      <c r="J1310" s="13" t="str" cm="1">
        <f t="array" ref="J1310">_xlfn.IFS(
  OR(ISBLANK(A1310),ISBLANK(B1310),ISBLANK(H1310),ISBLANK(D1310),ISBLANK(E1310)),"Missing Value",
  D1310&lt;=0,"Review – Out of Range (Coverage)",
  E1310&lt;=0,"Review – Out of Range (Premium)",
  TRUE,"OK"
)</f>
        <v>OK</v>
      </c>
    </row>
    <row r="1311" spans="1:10" ht="16.8" x14ac:dyDescent="0.3">
      <c r="A1311" s="14" t="s">
        <v>4968</v>
      </c>
      <c r="B1311" s="14" t="s">
        <v>1117</v>
      </c>
      <c r="C1311" s="14" t="s">
        <v>3377</v>
      </c>
      <c r="D1311" s="14">
        <v>467881.47</v>
      </c>
      <c r="E1311" s="14">
        <v>45778.48</v>
      </c>
      <c r="F1311" s="15">
        <v>45493</v>
      </c>
      <c r="G1311" s="15">
        <v>45649</v>
      </c>
      <c r="H1311" s="14" t="s">
        <v>4463</v>
      </c>
      <c r="I1311" s="14" t="s">
        <v>3361</v>
      </c>
      <c r="J1311" s="13" t="str" cm="1">
        <f t="array" ref="J1311">_xlfn.IFS(
  OR(ISBLANK(A1311),ISBLANK(B1311),ISBLANK(H1311),ISBLANK(D1311),ISBLANK(E1311)),"Missing Value",
  D1311&lt;=0,"Review – Out of Range (Coverage)",
  E1311&lt;=0,"Review – Out of Range (Premium)",
  TRUE,"OK"
)</f>
        <v>OK</v>
      </c>
    </row>
    <row r="1312" spans="1:10" ht="16.8" x14ac:dyDescent="0.3">
      <c r="A1312" s="11" t="s">
        <v>4969</v>
      </c>
      <c r="B1312" s="11" t="s">
        <v>1793</v>
      </c>
      <c r="C1312" s="11" t="s">
        <v>3380</v>
      </c>
      <c r="D1312" s="11">
        <v>460668.6</v>
      </c>
      <c r="E1312" s="11">
        <v>37720.230000000003</v>
      </c>
      <c r="F1312" s="12">
        <v>44879</v>
      </c>
      <c r="G1312" s="12">
        <v>44931</v>
      </c>
      <c r="H1312" s="11" t="s">
        <v>3438</v>
      </c>
      <c r="I1312" s="11" t="s">
        <v>3373</v>
      </c>
      <c r="J1312" s="13" t="str" cm="1">
        <f t="array" ref="J1312">_xlfn.IFS(
  OR(ISBLANK(A1312),ISBLANK(B1312),ISBLANK(H1312),ISBLANK(D1312),ISBLANK(E1312)),"Missing Value",
  D1312&lt;=0,"Review – Out of Range (Coverage)",
  E1312&lt;=0,"Review – Out of Range (Premium)",
  TRUE,"OK"
)</f>
        <v>OK</v>
      </c>
    </row>
    <row r="1313" spans="1:10" ht="16.8" x14ac:dyDescent="0.3">
      <c r="A1313" s="14" t="s">
        <v>4970</v>
      </c>
      <c r="B1313" s="14" t="s">
        <v>2853</v>
      </c>
      <c r="C1313" s="14" t="s">
        <v>3377</v>
      </c>
      <c r="D1313" s="14">
        <v>324421.78999999998</v>
      </c>
      <c r="E1313" s="14">
        <v>42752.5</v>
      </c>
      <c r="F1313" s="15">
        <v>44649</v>
      </c>
      <c r="G1313" s="15">
        <v>45260</v>
      </c>
      <c r="H1313" s="14" t="s">
        <v>4415</v>
      </c>
      <c r="I1313" s="14" t="s">
        <v>3365</v>
      </c>
      <c r="J1313" s="13" t="str" cm="1">
        <f t="array" ref="J1313">_xlfn.IFS(
  OR(ISBLANK(A1313),ISBLANK(B1313),ISBLANK(H1313),ISBLANK(D1313),ISBLANK(E1313)),"Missing Value",
  D1313&lt;=0,"Review – Out of Range (Coverage)",
  E1313&lt;=0,"Review – Out of Range (Premium)",
  TRUE,"OK"
)</f>
        <v>OK</v>
      </c>
    </row>
    <row r="1314" spans="1:10" ht="16.8" x14ac:dyDescent="0.3">
      <c r="A1314" s="11" t="s">
        <v>4971</v>
      </c>
      <c r="B1314" s="11" t="s">
        <v>2389</v>
      </c>
      <c r="C1314" s="11" t="s">
        <v>3371</v>
      </c>
      <c r="D1314" s="11">
        <v>549955.74</v>
      </c>
      <c r="E1314" s="11">
        <v>30360.85</v>
      </c>
      <c r="F1314" s="12">
        <v>44432</v>
      </c>
      <c r="G1314" s="12">
        <v>45016</v>
      </c>
      <c r="H1314" s="11" t="s">
        <v>3558</v>
      </c>
      <c r="I1314" s="11" t="s">
        <v>3373</v>
      </c>
      <c r="J1314" s="13" t="str" cm="1">
        <f t="array" ref="J1314">_xlfn.IFS(
  OR(ISBLANK(A1314),ISBLANK(B1314),ISBLANK(H1314),ISBLANK(D1314),ISBLANK(E1314)),"Missing Value",
  D1314&lt;=0,"Review – Out of Range (Coverage)",
  E1314&lt;=0,"Review – Out of Range (Premium)",
  TRUE,"OK"
)</f>
        <v>OK</v>
      </c>
    </row>
    <row r="1315" spans="1:10" ht="16.8" x14ac:dyDescent="0.3">
      <c r="A1315" s="14" t="s">
        <v>4972</v>
      </c>
      <c r="B1315" s="14" t="s">
        <v>3200</v>
      </c>
      <c r="C1315" s="14" t="s">
        <v>3377</v>
      </c>
      <c r="D1315" s="14">
        <v>851496.78</v>
      </c>
      <c r="E1315" s="14">
        <v>26895.81</v>
      </c>
      <c r="F1315" s="15">
        <v>45271</v>
      </c>
      <c r="G1315" s="15">
        <v>45518</v>
      </c>
      <c r="H1315" s="14" t="s">
        <v>3540</v>
      </c>
      <c r="I1315" s="14" t="s">
        <v>3373</v>
      </c>
      <c r="J1315" s="13" t="str" cm="1">
        <f t="array" ref="J1315">_xlfn.IFS(
  OR(ISBLANK(A1315),ISBLANK(B1315),ISBLANK(H1315),ISBLANK(D1315),ISBLANK(E1315)),"Missing Value",
  D1315&lt;=0,"Review – Out of Range (Coverage)",
  E1315&lt;=0,"Review – Out of Range (Premium)",
  TRUE,"OK"
)</f>
        <v>OK</v>
      </c>
    </row>
    <row r="1316" spans="1:10" ht="16.8" x14ac:dyDescent="0.3">
      <c r="A1316" s="11" t="s">
        <v>4973</v>
      </c>
      <c r="B1316" s="11" t="s">
        <v>2677</v>
      </c>
      <c r="C1316" s="11" t="s">
        <v>3380</v>
      </c>
      <c r="D1316" s="11">
        <v>958605.63</v>
      </c>
      <c r="E1316" s="11">
        <v>29006.41</v>
      </c>
      <c r="F1316" s="12">
        <v>44424</v>
      </c>
      <c r="G1316" s="12">
        <v>44648</v>
      </c>
      <c r="H1316" s="11" t="s">
        <v>3389</v>
      </c>
      <c r="I1316" s="11" t="s">
        <v>3365</v>
      </c>
      <c r="J1316" s="13" t="str" cm="1">
        <f t="array" ref="J1316">_xlfn.IFS(
  OR(ISBLANK(A1316),ISBLANK(B1316),ISBLANK(H1316),ISBLANK(D1316),ISBLANK(E1316)),"Missing Value",
  D1316&lt;=0,"Review – Out of Range (Coverage)",
  E1316&lt;=0,"Review – Out of Range (Premium)",
  TRUE,"OK"
)</f>
        <v>OK</v>
      </c>
    </row>
    <row r="1317" spans="1:10" ht="16.8" x14ac:dyDescent="0.3">
      <c r="A1317" s="14" t="s">
        <v>4974</v>
      </c>
      <c r="B1317" s="14" t="s">
        <v>555</v>
      </c>
      <c r="C1317" s="14" t="s">
        <v>3380</v>
      </c>
      <c r="D1317" s="14">
        <v>814372.89</v>
      </c>
      <c r="E1317" s="14">
        <v>12716.71</v>
      </c>
      <c r="F1317" s="15">
        <v>44953</v>
      </c>
      <c r="G1317" s="15">
        <v>45788</v>
      </c>
      <c r="H1317" s="14" t="s">
        <v>3427</v>
      </c>
      <c r="I1317" s="14" t="s">
        <v>3365</v>
      </c>
      <c r="J1317" s="13" t="str" cm="1">
        <f t="array" ref="J1317">_xlfn.IFS(
  OR(ISBLANK(A1317),ISBLANK(B1317),ISBLANK(H1317),ISBLANK(D1317),ISBLANK(E1317)),"Missing Value",
  D1317&lt;=0,"Review – Out of Range (Coverage)",
  E1317&lt;=0,"Review – Out of Range (Premium)",
  TRUE,"OK"
)</f>
        <v>OK</v>
      </c>
    </row>
    <row r="1318" spans="1:10" ht="16.8" x14ac:dyDescent="0.3">
      <c r="A1318" s="11" t="s">
        <v>4975</v>
      </c>
      <c r="B1318" s="11" t="s">
        <v>2523</v>
      </c>
      <c r="C1318" s="11" t="s">
        <v>3371</v>
      </c>
      <c r="D1318" s="11">
        <v>990984.05</v>
      </c>
      <c r="E1318" s="11">
        <v>7889.09</v>
      </c>
      <c r="F1318" s="12">
        <v>45497</v>
      </c>
      <c r="G1318" s="12">
        <v>45561</v>
      </c>
      <c r="H1318" s="11" t="s">
        <v>3725</v>
      </c>
      <c r="I1318" s="11" t="s">
        <v>3365</v>
      </c>
      <c r="J1318" s="13" t="str" cm="1">
        <f t="array" ref="J1318">_xlfn.IFS(
  OR(ISBLANK(A1318),ISBLANK(B1318),ISBLANK(H1318),ISBLANK(D1318),ISBLANK(E1318)),"Missing Value",
  D1318&lt;=0,"Review – Out of Range (Coverage)",
  E1318&lt;=0,"Review – Out of Range (Premium)",
  TRUE,"OK"
)</f>
        <v>OK</v>
      </c>
    </row>
    <row r="1319" spans="1:10" ht="16.8" x14ac:dyDescent="0.3">
      <c r="A1319" s="14" t="s">
        <v>4976</v>
      </c>
      <c r="B1319" s="14" t="s">
        <v>154</v>
      </c>
      <c r="C1319" s="14" t="s">
        <v>3380</v>
      </c>
      <c r="D1319" s="14">
        <v>319882.64</v>
      </c>
      <c r="E1319" s="14">
        <v>13931.39</v>
      </c>
      <c r="F1319" s="15">
        <v>44710</v>
      </c>
      <c r="G1319" s="15">
        <v>45232</v>
      </c>
      <c r="H1319" s="14" t="s">
        <v>4170</v>
      </c>
      <c r="I1319" s="14" t="s">
        <v>3361</v>
      </c>
      <c r="J1319" s="13" t="str" cm="1">
        <f t="array" ref="J1319">_xlfn.IFS(
  OR(ISBLANK(A1319),ISBLANK(B1319),ISBLANK(H1319),ISBLANK(D1319),ISBLANK(E1319)),"Missing Value",
  D1319&lt;=0,"Review – Out of Range (Coverage)",
  E1319&lt;=0,"Review – Out of Range (Premium)",
  TRUE,"OK"
)</f>
        <v>OK</v>
      </c>
    </row>
    <row r="1320" spans="1:10" ht="16.8" x14ac:dyDescent="0.3">
      <c r="A1320" s="11" t="s">
        <v>4977</v>
      </c>
      <c r="B1320" s="11" t="s">
        <v>1455</v>
      </c>
      <c r="C1320" s="11" t="s">
        <v>3377</v>
      </c>
      <c r="D1320" s="11">
        <v>297711.93</v>
      </c>
      <c r="E1320" s="11">
        <v>11589.42</v>
      </c>
      <c r="F1320" s="12">
        <v>44759</v>
      </c>
      <c r="G1320" s="12">
        <v>45760</v>
      </c>
      <c r="H1320" s="11" t="s">
        <v>3381</v>
      </c>
      <c r="I1320" s="11" t="s">
        <v>3361</v>
      </c>
      <c r="J1320" s="13" t="str" cm="1">
        <f t="array" ref="J1320">_xlfn.IFS(
  OR(ISBLANK(A1320),ISBLANK(B1320),ISBLANK(H1320),ISBLANK(D1320),ISBLANK(E1320)),"Missing Value",
  D1320&lt;=0,"Review – Out of Range (Coverage)",
  E1320&lt;=0,"Review – Out of Range (Premium)",
  TRUE,"OK"
)</f>
        <v>OK</v>
      </c>
    </row>
    <row r="1321" spans="1:10" ht="16.8" x14ac:dyDescent="0.3">
      <c r="A1321" s="14" t="s">
        <v>4978</v>
      </c>
      <c r="B1321" s="14" t="s">
        <v>2545</v>
      </c>
      <c r="C1321" s="14" t="s">
        <v>3359</v>
      </c>
      <c r="D1321" s="14">
        <v>703378.82</v>
      </c>
      <c r="E1321" s="14">
        <v>18797.099999999999</v>
      </c>
      <c r="F1321" s="15">
        <v>45221</v>
      </c>
      <c r="G1321" s="15">
        <v>45670</v>
      </c>
      <c r="H1321" s="14" t="s">
        <v>4011</v>
      </c>
      <c r="I1321" s="14" t="s">
        <v>3361</v>
      </c>
      <c r="J1321" s="13" t="str" cm="1">
        <f t="array" ref="J1321">_xlfn.IFS(
  OR(ISBLANK(A1321),ISBLANK(B1321),ISBLANK(H1321),ISBLANK(D1321),ISBLANK(E1321)),"Missing Value",
  D1321&lt;=0,"Review – Out of Range (Coverage)",
  E1321&lt;=0,"Review – Out of Range (Premium)",
  TRUE,"OK"
)</f>
        <v>OK</v>
      </c>
    </row>
    <row r="1322" spans="1:10" ht="16.8" x14ac:dyDescent="0.3">
      <c r="A1322" s="11" t="s">
        <v>4979</v>
      </c>
      <c r="B1322" s="11" t="s">
        <v>1165</v>
      </c>
      <c r="C1322" s="11" t="s">
        <v>3377</v>
      </c>
      <c r="D1322" s="11">
        <v>520683.79</v>
      </c>
      <c r="E1322" s="11">
        <v>25028.13</v>
      </c>
      <c r="F1322" s="12">
        <v>44435</v>
      </c>
      <c r="G1322" s="12">
        <v>44889</v>
      </c>
      <c r="H1322" s="11" t="s">
        <v>3378</v>
      </c>
      <c r="I1322" s="11" t="s">
        <v>3361</v>
      </c>
      <c r="J1322" s="13" t="str" cm="1">
        <f t="array" ref="J1322">_xlfn.IFS(
  OR(ISBLANK(A1322),ISBLANK(B1322),ISBLANK(H1322),ISBLANK(D1322),ISBLANK(E1322)),"Missing Value",
  D1322&lt;=0,"Review – Out of Range (Coverage)",
  E1322&lt;=0,"Review – Out of Range (Premium)",
  TRUE,"OK"
)</f>
        <v>OK</v>
      </c>
    </row>
    <row r="1323" spans="1:10" ht="16.8" x14ac:dyDescent="0.3">
      <c r="A1323" s="14" t="s">
        <v>4980</v>
      </c>
      <c r="B1323" s="14" t="s">
        <v>516</v>
      </c>
      <c r="C1323" s="14" t="s">
        <v>3380</v>
      </c>
      <c r="D1323" s="14">
        <v>303771.53999999998</v>
      </c>
      <c r="E1323" s="14">
        <v>38102.449999999997</v>
      </c>
      <c r="F1323" s="15">
        <v>44244</v>
      </c>
      <c r="G1323" s="15">
        <v>45240</v>
      </c>
      <c r="H1323" s="14" t="s">
        <v>3607</v>
      </c>
      <c r="I1323" s="14" t="s">
        <v>3373</v>
      </c>
      <c r="J1323" s="13" t="str" cm="1">
        <f t="array" ref="J1323">_xlfn.IFS(
  OR(ISBLANK(A1323),ISBLANK(B1323),ISBLANK(H1323),ISBLANK(D1323),ISBLANK(E1323)),"Missing Value",
  D1323&lt;=0,"Review – Out of Range (Coverage)",
  E1323&lt;=0,"Review – Out of Range (Premium)",
  TRUE,"OK"
)</f>
        <v>OK</v>
      </c>
    </row>
    <row r="1324" spans="1:10" ht="16.8" x14ac:dyDescent="0.3">
      <c r="A1324" s="11" t="s">
        <v>4981</v>
      </c>
      <c r="B1324" s="11" t="s">
        <v>609</v>
      </c>
      <c r="C1324" s="11" t="s">
        <v>3359</v>
      </c>
      <c r="D1324" s="11">
        <v>843130.63</v>
      </c>
      <c r="E1324" s="11">
        <v>12911.39</v>
      </c>
      <c r="F1324" s="12">
        <v>44767</v>
      </c>
      <c r="G1324" s="12">
        <v>45264</v>
      </c>
      <c r="H1324" s="11" t="s">
        <v>3881</v>
      </c>
      <c r="I1324" s="11" t="s">
        <v>3373</v>
      </c>
      <c r="J1324" s="13" t="str" cm="1">
        <f t="array" ref="J1324">_xlfn.IFS(
  OR(ISBLANK(A1324),ISBLANK(B1324),ISBLANK(H1324),ISBLANK(D1324),ISBLANK(E1324)),"Missing Value",
  D1324&lt;=0,"Review – Out of Range (Coverage)",
  E1324&lt;=0,"Review – Out of Range (Premium)",
  TRUE,"OK"
)</f>
        <v>OK</v>
      </c>
    </row>
    <row r="1325" spans="1:10" ht="16.8" x14ac:dyDescent="0.3">
      <c r="A1325" s="14" t="s">
        <v>4982</v>
      </c>
      <c r="B1325" s="14" t="s">
        <v>1163</v>
      </c>
      <c r="C1325" s="14" t="s">
        <v>3380</v>
      </c>
      <c r="D1325" s="14">
        <v>180531.48</v>
      </c>
      <c r="E1325" s="14">
        <v>32933.33</v>
      </c>
      <c r="F1325" s="15">
        <v>45382</v>
      </c>
      <c r="G1325" s="15">
        <v>45645</v>
      </c>
      <c r="H1325" s="14" t="s">
        <v>4080</v>
      </c>
      <c r="I1325" s="14" t="s">
        <v>3373</v>
      </c>
      <c r="J1325" s="13" t="str" cm="1">
        <f t="array" ref="J1325">_xlfn.IFS(
  OR(ISBLANK(A1325),ISBLANK(B1325),ISBLANK(H1325),ISBLANK(D1325),ISBLANK(E1325)),"Missing Value",
  D1325&lt;=0,"Review – Out of Range (Coverage)",
  E1325&lt;=0,"Review – Out of Range (Premium)",
  TRUE,"OK"
)</f>
        <v>OK</v>
      </c>
    </row>
    <row r="1326" spans="1:10" ht="16.8" x14ac:dyDescent="0.3">
      <c r="A1326" s="11" t="s">
        <v>4983</v>
      </c>
      <c r="B1326" s="11" t="s">
        <v>991</v>
      </c>
      <c r="C1326" s="11" t="s">
        <v>3377</v>
      </c>
      <c r="D1326" s="11">
        <v>346594.25</v>
      </c>
      <c r="E1326" s="11">
        <v>29740.880000000001</v>
      </c>
      <c r="F1326" s="12">
        <v>45199</v>
      </c>
      <c r="G1326" s="12">
        <v>45289</v>
      </c>
      <c r="H1326" s="11" t="s">
        <v>3440</v>
      </c>
      <c r="I1326" s="11" t="s">
        <v>3361</v>
      </c>
      <c r="J1326" s="13" t="str" cm="1">
        <f t="array" ref="J1326">_xlfn.IFS(
  OR(ISBLANK(A1326),ISBLANK(B1326),ISBLANK(H1326),ISBLANK(D1326),ISBLANK(E1326)),"Missing Value",
  D1326&lt;=0,"Review – Out of Range (Coverage)",
  E1326&lt;=0,"Review – Out of Range (Premium)",
  TRUE,"OK"
)</f>
        <v>OK</v>
      </c>
    </row>
    <row r="1327" spans="1:10" ht="16.8" x14ac:dyDescent="0.3">
      <c r="A1327" s="14" t="s">
        <v>4984</v>
      </c>
      <c r="B1327" s="14" t="s">
        <v>1973</v>
      </c>
      <c r="C1327" s="14" t="s">
        <v>3363</v>
      </c>
      <c r="D1327" s="14">
        <v>750012.8</v>
      </c>
      <c r="E1327" s="14">
        <v>8764.41</v>
      </c>
      <c r="F1327" s="15">
        <v>45200</v>
      </c>
      <c r="G1327" s="15">
        <v>45297</v>
      </c>
      <c r="H1327" s="14" t="s">
        <v>3718</v>
      </c>
      <c r="I1327" s="14" t="s">
        <v>3361</v>
      </c>
      <c r="J1327" s="13" t="str" cm="1">
        <f t="array" ref="J1327">_xlfn.IFS(
  OR(ISBLANK(A1327),ISBLANK(B1327),ISBLANK(H1327),ISBLANK(D1327),ISBLANK(E1327)),"Missing Value",
  D1327&lt;=0,"Review – Out of Range (Coverage)",
  E1327&lt;=0,"Review – Out of Range (Premium)",
  TRUE,"OK"
)</f>
        <v>OK</v>
      </c>
    </row>
    <row r="1328" spans="1:10" ht="16.8" x14ac:dyDescent="0.3">
      <c r="A1328" s="11" t="s">
        <v>4985</v>
      </c>
      <c r="B1328" s="11" t="s">
        <v>1081</v>
      </c>
      <c r="C1328" s="11" t="s">
        <v>3363</v>
      </c>
      <c r="D1328" s="11">
        <v>519894.45</v>
      </c>
      <c r="E1328" s="11">
        <v>42909.73</v>
      </c>
      <c r="F1328" s="12">
        <v>44622</v>
      </c>
      <c r="G1328" s="12">
        <v>45515</v>
      </c>
      <c r="H1328" s="11" t="s">
        <v>3530</v>
      </c>
      <c r="I1328" s="11" t="s">
        <v>3365</v>
      </c>
      <c r="J1328" s="13" t="str" cm="1">
        <f t="array" ref="J1328">_xlfn.IFS(
  OR(ISBLANK(A1328),ISBLANK(B1328),ISBLANK(H1328),ISBLANK(D1328),ISBLANK(E1328)),"Missing Value",
  D1328&lt;=0,"Review – Out of Range (Coverage)",
  E1328&lt;=0,"Review – Out of Range (Premium)",
  TRUE,"OK"
)</f>
        <v>OK</v>
      </c>
    </row>
    <row r="1329" spans="1:10" ht="16.8" x14ac:dyDescent="0.3">
      <c r="A1329" s="14" t="s">
        <v>4986</v>
      </c>
      <c r="B1329" s="14" t="s">
        <v>599</v>
      </c>
      <c r="C1329" s="14" t="s">
        <v>3363</v>
      </c>
      <c r="D1329" s="14">
        <v>219836.21</v>
      </c>
      <c r="E1329" s="14">
        <v>33161.24</v>
      </c>
      <c r="F1329" s="15">
        <v>45070</v>
      </c>
      <c r="G1329" s="15">
        <v>45670</v>
      </c>
      <c r="H1329" s="14" t="s">
        <v>3360</v>
      </c>
      <c r="I1329" s="14" t="s">
        <v>3361</v>
      </c>
      <c r="J1329" s="13" t="str" cm="1">
        <f t="array" ref="J1329">_xlfn.IFS(
  OR(ISBLANK(A1329),ISBLANK(B1329),ISBLANK(H1329),ISBLANK(D1329),ISBLANK(E1329)),"Missing Value",
  D1329&lt;=0,"Review – Out of Range (Coverage)",
  E1329&lt;=0,"Review – Out of Range (Premium)",
  TRUE,"OK"
)</f>
        <v>OK</v>
      </c>
    </row>
    <row r="1330" spans="1:10" ht="16.8" x14ac:dyDescent="0.3">
      <c r="A1330" s="11" t="s">
        <v>4987</v>
      </c>
      <c r="B1330" s="11" t="s">
        <v>797</v>
      </c>
      <c r="C1330" s="11" t="s">
        <v>3380</v>
      </c>
      <c r="D1330" s="11">
        <v>322034.87</v>
      </c>
      <c r="E1330" s="11">
        <v>41621.589999999997</v>
      </c>
      <c r="F1330" s="12">
        <v>44412</v>
      </c>
      <c r="G1330" s="12">
        <v>45047</v>
      </c>
      <c r="H1330" s="11" t="s">
        <v>3838</v>
      </c>
      <c r="I1330" s="11" t="s">
        <v>3365</v>
      </c>
      <c r="J1330" s="13" t="str" cm="1">
        <f t="array" ref="J1330">_xlfn.IFS(
  OR(ISBLANK(A1330),ISBLANK(B1330),ISBLANK(H1330),ISBLANK(D1330),ISBLANK(E1330)),"Missing Value",
  D1330&lt;=0,"Review – Out of Range (Coverage)",
  E1330&lt;=0,"Review – Out of Range (Premium)",
  TRUE,"OK"
)</f>
        <v>OK</v>
      </c>
    </row>
    <row r="1331" spans="1:10" ht="16.8" x14ac:dyDescent="0.3">
      <c r="A1331" s="14" t="s">
        <v>4988</v>
      </c>
      <c r="B1331" s="14" t="s">
        <v>2375</v>
      </c>
      <c r="C1331" s="14" t="s">
        <v>3359</v>
      </c>
      <c r="D1331" s="14">
        <v>574591.42000000004</v>
      </c>
      <c r="E1331" s="14">
        <v>19863.63</v>
      </c>
      <c r="F1331" s="15">
        <v>44756</v>
      </c>
      <c r="G1331" s="15">
        <v>45471</v>
      </c>
      <c r="H1331" s="14" t="s">
        <v>3571</v>
      </c>
      <c r="I1331" s="14" t="s">
        <v>3365</v>
      </c>
      <c r="J1331" s="13" t="str" cm="1">
        <f t="array" ref="J1331">_xlfn.IFS(
  OR(ISBLANK(A1331),ISBLANK(B1331),ISBLANK(H1331),ISBLANK(D1331),ISBLANK(E1331)),"Missing Value",
  D1331&lt;=0,"Review – Out of Range (Coverage)",
  E1331&lt;=0,"Review – Out of Range (Premium)",
  TRUE,"OK"
)</f>
        <v>OK</v>
      </c>
    </row>
    <row r="1332" spans="1:10" ht="16.8" x14ac:dyDescent="0.3">
      <c r="A1332" s="11" t="s">
        <v>4989</v>
      </c>
      <c r="B1332" s="11" t="s">
        <v>2199</v>
      </c>
      <c r="C1332" s="11" t="s">
        <v>3371</v>
      </c>
      <c r="D1332" s="11">
        <v>120219.68</v>
      </c>
      <c r="E1332" s="11">
        <v>29149.62</v>
      </c>
      <c r="F1332" s="12">
        <v>45412</v>
      </c>
      <c r="G1332" s="12">
        <v>45427</v>
      </c>
      <c r="H1332" s="11" t="s">
        <v>3704</v>
      </c>
      <c r="I1332" s="11" t="s">
        <v>3373</v>
      </c>
      <c r="J1332" s="13" t="str" cm="1">
        <f t="array" ref="J1332">_xlfn.IFS(
  OR(ISBLANK(A1332),ISBLANK(B1332),ISBLANK(H1332),ISBLANK(D1332),ISBLANK(E1332)),"Missing Value",
  D1332&lt;=0,"Review – Out of Range (Coverage)",
  E1332&lt;=0,"Review – Out of Range (Premium)",
  TRUE,"OK"
)</f>
        <v>OK</v>
      </c>
    </row>
    <row r="1333" spans="1:10" ht="16.8" x14ac:dyDescent="0.3">
      <c r="A1333" s="14" t="s">
        <v>4990</v>
      </c>
      <c r="B1333" s="14" t="s">
        <v>679</v>
      </c>
      <c r="C1333" s="14" t="s">
        <v>3380</v>
      </c>
      <c r="D1333" s="14">
        <v>360251.58</v>
      </c>
      <c r="E1333" s="14">
        <v>44178.93</v>
      </c>
      <c r="F1333" s="15">
        <v>44602</v>
      </c>
      <c r="G1333" s="15">
        <v>45507</v>
      </c>
      <c r="H1333" s="14" t="s">
        <v>4575</v>
      </c>
      <c r="I1333" s="14" t="s">
        <v>3373</v>
      </c>
      <c r="J1333" s="13" t="str" cm="1">
        <f t="array" ref="J1333">_xlfn.IFS(
  OR(ISBLANK(A1333),ISBLANK(B1333),ISBLANK(H1333),ISBLANK(D1333),ISBLANK(E1333)),"Missing Value",
  D1333&lt;=0,"Review – Out of Range (Coverage)",
  E1333&lt;=0,"Review – Out of Range (Premium)",
  TRUE,"OK"
)</f>
        <v>OK</v>
      </c>
    </row>
    <row r="1334" spans="1:10" ht="16.8" x14ac:dyDescent="0.3">
      <c r="A1334" s="11" t="s">
        <v>4991</v>
      </c>
      <c r="B1334" s="11" t="s">
        <v>2845</v>
      </c>
      <c r="C1334" s="11" t="s">
        <v>3380</v>
      </c>
      <c r="D1334" s="11">
        <v>349204.33</v>
      </c>
      <c r="E1334" s="11">
        <v>40338.160000000003</v>
      </c>
      <c r="F1334" s="12">
        <v>44829</v>
      </c>
      <c r="G1334" s="12">
        <v>44839</v>
      </c>
      <c r="H1334" s="11" t="s">
        <v>3914</v>
      </c>
      <c r="I1334" s="11" t="s">
        <v>3365</v>
      </c>
      <c r="J1334" s="13" t="str" cm="1">
        <f t="array" ref="J1334">_xlfn.IFS(
  OR(ISBLANK(A1334),ISBLANK(B1334),ISBLANK(H1334),ISBLANK(D1334),ISBLANK(E1334)),"Missing Value",
  D1334&lt;=0,"Review – Out of Range (Coverage)",
  E1334&lt;=0,"Review – Out of Range (Premium)",
  TRUE,"OK"
)</f>
        <v>OK</v>
      </c>
    </row>
    <row r="1335" spans="1:10" ht="16.8" x14ac:dyDescent="0.3">
      <c r="A1335" s="14" t="s">
        <v>4992</v>
      </c>
      <c r="B1335" s="14" t="s">
        <v>2613</v>
      </c>
      <c r="C1335" s="14" t="s">
        <v>3363</v>
      </c>
      <c r="D1335" s="14">
        <v>412431.88</v>
      </c>
      <c r="E1335" s="14">
        <v>29127.33</v>
      </c>
      <c r="F1335" s="15">
        <v>45444</v>
      </c>
      <c r="G1335" s="15">
        <v>45612</v>
      </c>
      <c r="H1335" s="14" t="s">
        <v>4006</v>
      </c>
      <c r="I1335" s="14" t="s">
        <v>3365</v>
      </c>
      <c r="J1335" s="13" t="str" cm="1">
        <f t="array" ref="J1335">_xlfn.IFS(
  OR(ISBLANK(A1335),ISBLANK(B1335),ISBLANK(H1335),ISBLANK(D1335),ISBLANK(E1335)),"Missing Value",
  D1335&lt;=0,"Review – Out of Range (Coverage)",
  E1335&lt;=0,"Review – Out of Range (Premium)",
  TRUE,"OK"
)</f>
        <v>OK</v>
      </c>
    </row>
    <row r="1336" spans="1:10" ht="16.8" x14ac:dyDescent="0.3">
      <c r="A1336" s="11" t="s">
        <v>4993</v>
      </c>
      <c r="B1336" s="11" t="s">
        <v>1583</v>
      </c>
      <c r="C1336" s="11" t="s">
        <v>3363</v>
      </c>
      <c r="D1336" s="11">
        <v>151545.12</v>
      </c>
      <c r="E1336" s="11">
        <v>32666.15</v>
      </c>
      <c r="F1336" s="12">
        <v>44483</v>
      </c>
      <c r="G1336" s="12">
        <v>45134</v>
      </c>
      <c r="H1336" s="11" t="s">
        <v>3789</v>
      </c>
      <c r="I1336" s="11" t="s">
        <v>3365</v>
      </c>
      <c r="J1336" s="13" t="str" cm="1">
        <f t="array" ref="J1336">_xlfn.IFS(
  OR(ISBLANK(A1336),ISBLANK(B1336),ISBLANK(H1336),ISBLANK(D1336),ISBLANK(E1336)),"Missing Value",
  D1336&lt;=0,"Review – Out of Range (Coverage)",
  E1336&lt;=0,"Review – Out of Range (Premium)",
  TRUE,"OK"
)</f>
        <v>OK</v>
      </c>
    </row>
    <row r="1337" spans="1:10" ht="16.8" x14ac:dyDescent="0.3">
      <c r="A1337" s="14" t="s">
        <v>4994</v>
      </c>
      <c r="B1337" s="14" t="s">
        <v>1205</v>
      </c>
      <c r="C1337" s="14" t="s">
        <v>3380</v>
      </c>
      <c r="D1337" s="14">
        <v>192681.98</v>
      </c>
      <c r="E1337" s="14">
        <v>33742.94</v>
      </c>
      <c r="F1337" s="15">
        <v>45307</v>
      </c>
      <c r="G1337" s="15">
        <v>45773</v>
      </c>
      <c r="H1337" s="14" t="s">
        <v>3436</v>
      </c>
      <c r="I1337" s="14" t="s">
        <v>3365</v>
      </c>
      <c r="J1337" s="13" t="str" cm="1">
        <f t="array" ref="J1337">_xlfn.IFS(
  OR(ISBLANK(A1337),ISBLANK(B1337),ISBLANK(H1337),ISBLANK(D1337),ISBLANK(E1337)),"Missing Value",
  D1337&lt;=0,"Review – Out of Range (Coverage)",
  E1337&lt;=0,"Review – Out of Range (Premium)",
  TRUE,"OK"
)</f>
        <v>OK</v>
      </c>
    </row>
    <row r="1338" spans="1:10" ht="16.8" x14ac:dyDescent="0.3">
      <c r="A1338" s="11" t="s">
        <v>4995</v>
      </c>
      <c r="B1338" s="11" t="s">
        <v>555</v>
      </c>
      <c r="C1338" s="11" t="s">
        <v>3363</v>
      </c>
      <c r="D1338" s="11">
        <v>799689.45</v>
      </c>
      <c r="E1338" s="11">
        <v>48985.01</v>
      </c>
      <c r="F1338" s="12">
        <v>44888</v>
      </c>
      <c r="G1338" s="12">
        <v>45074</v>
      </c>
      <c r="H1338" s="11" t="s">
        <v>4324</v>
      </c>
      <c r="I1338" s="11" t="s">
        <v>3373</v>
      </c>
      <c r="J1338" s="13" t="str" cm="1">
        <f t="array" ref="J1338">_xlfn.IFS(
  OR(ISBLANK(A1338),ISBLANK(B1338),ISBLANK(H1338),ISBLANK(D1338),ISBLANK(E1338)),"Missing Value",
  D1338&lt;=0,"Review – Out of Range (Coverage)",
  E1338&lt;=0,"Review – Out of Range (Premium)",
  TRUE,"OK"
)</f>
        <v>OK</v>
      </c>
    </row>
    <row r="1339" spans="1:10" ht="16.8" x14ac:dyDescent="0.3">
      <c r="A1339" s="14" t="s">
        <v>4996</v>
      </c>
      <c r="B1339" s="14" t="s">
        <v>1359</v>
      </c>
      <c r="C1339" s="14" t="s">
        <v>3371</v>
      </c>
      <c r="D1339" s="14">
        <v>306880.07</v>
      </c>
      <c r="E1339" s="14">
        <v>5269.93</v>
      </c>
      <c r="F1339" s="15">
        <v>44217</v>
      </c>
      <c r="G1339" s="15">
        <v>44503</v>
      </c>
      <c r="H1339" s="14" t="s">
        <v>3968</v>
      </c>
      <c r="I1339" s="14" t="s">
        <v>3365</v>
      </c>
      <c r="J1339" s="13" t="str" cm="1">
        <f t="array" ref="J1339">_xlfn.IFS(
  OR(ISBLANK(A1339),ISBLANK(B1339),ISBLANK(H1339),ISBLANK(D1339),ISBLANK(E1339)),"Missing Value",
  D1339&lt;=0,"Review – Out of Range (Coverage)",
  E1339&lt;=0,"Review – Out of Range (Premium)",
  TRUE,"OK"
)</f>
        <v>OK</v>
      </c>
    </row>
    <row r="1340" spans="1:10" ht="16.8" x14ac:dyDescent="0.3">
      <c r="A1340" s="11" t="s">
        <v>4997</v>
      </c>
      <c r="B1340" s="11" t="s">
        <v>1915</v>
      </c>
      <c r="C1340" s="11" t="s">
        <v>3359</v>
      </c>
      <c r="D1340" s="11">
        <v>669712.77</v>
      </c>
      <c r="E1340" s="11">
        <v>20499.02</v>
      </c>
      <c r="F1340" s="12">
        <v>45149</v>
      </c>
      <c r="G1340" s="12">
        <v>45336</v>
      </c>
      <c r="H1340" s="11" t="s">
        <v>3822</v>
      </c>
      <c r="I1340" s="11" t="s">
        <v>3361</v>
      </c>
      <c r="J1340" s="13" t="str" cm="1">
        <f t="array" ref="J1340">_xlfn.IFS(
  OR(ISBLANK(A1340),ISBLANK(B1340),ISBLANK(H1340),ISBLANK(D1340),ISBLANK(E1340)),"Missing Value",
  D1340&lt;=0,"Review – Out of Range (Coverage)",
  E1340&lt;=0,"Review – Out of Range (Premium)",
  TRUE,"OK"
)</f>
        <v>OK</v>
      </c>
    </row>
    <row r="1341" spans="1:10" ht="16.8" x14ac:dyDescent="0.3">
      <c r="A1341" s="14" t="s">
        <v>4998</v>
      </c>
      <c r="B1341" s="14" t="s">
        <v>863</v>
      </c>
      <c r="C1341" s="14" t="s">
        <v>3363</v>
      </c>
      <c r="D1341" s="14">
        <v>306697.76</v>
      </c>
      <c r="E1341" s="14">
        <v>14725.98</v>
      </c>
      <c r="F1341" s="15">
        <v>44850</v>
      </c>
      <c r="G1341" s="15">
        <v>45216</v>
      </c>
      <c r="H1341" s="14" t="s">
        <v>3610</v>
      </c>
      <c r="I1341" s="14" t="s">
        <v>3361</v>
      </c>
      <c r="J1341" s="13" t="str" cm="1">
        <f t="array" ref="J1341">_xlfn.IFS(
  OR(ISBLANK(A1341),ISBLANK(B1341),ISBLANK(H1341),ISBLANK(D1341),ISBLANK(E1341)),"Missing Value",
  D1341&lt;=0,"Review – Out of Range (Coverage)",
  E1341&lt;=0,"Review – Out of Range (Premium)",
  TRUE,"OK"
)</f>
        <v>OK</v>
      </c>
    </row>
    <row r="1342" spans="1:10" ht="16.8" x14ac:dyDescent="0.3">
      <c r="A1342" s="11" t="s">
        <v>4999</v>
      </c>
      <c r="B1342" s="11" t="s">
        <v>1275</v>
      </c>
      <c r="C1342" s="11" t="s">
        <v>3380</v>
      </c>
      <c r="D1342" s="11">
        <v>144269.82999999999</v>
      </c>
      <c r="E1342" s="11">
        <v>8807.25</v>
      </c>
      <c r="F1342" s="12">
        <v>45473</v>
      </c>
      <c r="G1342" s="12">
        <v>45735</v>
      </c>
      <c r="H1342" s="11" t="s">
        <v>3982</v>
      </c>
      <c r="I1342" s="11" t="s">
        <v>3365</v>
      </c>
      <c r="J1342" s="13" t="str" cm="1">
        <f t="array" ref="J1342">_xlfn.IFS(
  OR(ISBLANK(A1342),ISBLANK(B1342),ISBLANK(H1342),ISBLANK(D1342),ISBLANK(E1342)),"Missing Value",
  D1342&lt;=0,"Review – Out of Range (Coverage)",
  E1342&lt;=0,"Review – Out of Range (Premium)",
  TRUE,"OK"
)</f>
        <v>OK</v>
      </c>
    </row>
    <row r="1343" spans="1:10" ht="16.8" x14ac:dyDescent="0.3">
      <c r="A1343" s="14" t="s">
        <v>5000</v>
      </c>
      <c r="B1343" s="14" t="s">
        <v>1487</v>
      </c>
      <c r="C1343" s="14" t="s">
        <v>3377</v>
      </c>
      <c r="D1343" s="14">
        <v>688221.68</v>
      </c>
      <c r="E1343" s="14">
        <v>45844.94</v>
      </c>
      <c r="F1343" s="15">
        <v>44431</v>
      </c>
      <c r="G1343" s="15">
        <v>45632</v>
      </c>
      <c r="H1343" s="14" t="s">
        <v>3992</v>
      </c>
      <c r="I1343" s="14" t="s">
        <v>3373</v>
      </c>
      <c r="J1343" s="13" t="str" cm="1">
        <f t="array" ref="J1343">_xlfn.IFS(
  OR(ISBLANK(A1343),ISBLANK(B1343),ISBLANK(H1343),ISBLANK(D1343),ISBLANK(E1343)),"Missing Value",
  D1343&lt;=0,"Review – Out of Range (Coverage)",
  E1343&lt;=0,"Review – Out of Range (Premium)",
  TRUE,"OK"
)</f>
        <v>OK</v>
      </c>
    </row>
    <row r="1344" spans="1:10" ht="16.8" x14ac:dyDescent="0.3">
      <c r="A1344" s="11" t="s">
        <v>5001</v>
      </c>
      <c r="B1344" s="11" t="s">
        <v>669</v>
      </c>
      <c r="C1344" s="11" t="s">
        <v>3380</v>
      </c>
      <c r="D1344" s="11">
        <v>505698.24</v>
      </c>
      <c r="E1344" s="11">
        <v>43709.97</v>
      </c>
      <c r="F1344" s="12">
        <v>45193</v>
      </c>
      <c r="G1344" s="12">
        <v>45249</v>
      </c>
      <c r="H1344" s="11" t="s">
        <v>3764</v>
      </c>
      <c r="I1344" s="11" t="s">
        <v>3365</v>
      </c>
      <c r="J1344" s="13" t="str" cm="1">
        <f t="array" ref="J1344">_xlfn.IFS(
  OR(ISBLANK(A1344),ISBLANK(B1344),ISBLANK(H1344),ISBLANK(D1344),ISBLANK(E1344)),"Missing Value",
  D1344&lt;=0,"Review – Out of Range (Coverage)",
  E1344&lt;=0,"Review – Out of Range (Premium)",
  TRUE,"OK"
)</f>
        <v>OK</v>
      </c>
    </row>
    <row r="1345" spans="1:10" ht="16.8" x14ac:dyDescent="0.3">
      <c r="A1345" s="14" t="s">
        <v>5002</v>
      </c>
      <c r="B1345" s="14" t="s">
        <v>1501</v>
      </c>
      <c r="C1345" s="14" t="s">
        <v>3377</v>
      </c>
      <c r="D1345" s="14">
        <v>878652.99</v>
      </c>
      <c r="E1345" s="14">
        <v>23775.73</v>
      </c>
      <c r="F1345" s="15">
        <v>44919</v>
      </c>
      <c r="G1345" s="15">
        <v>45842</v>
      </c>
      <c r="H1345" s="14" t="s">
        <v>3728</v>
      </c>
      <c r="I1345" s="14" t="s">
        <v>3365</v>
      </c>
      <c r="J1345" s="13" t="str" cm="1">
        <f t="array" ref="J1345">_xlfn.IFS(
  OR(ISBLANK(A1345),ISBLANK(B1345),ISBLANK(H1345),ISBLANK(D1345),ISBLANK(E1345)),"Missing Value",
  D1345&lt;=0,"Review – Out of Range (Coverage)",
  E1345&lt;=0,"Review – Out of Range (Premium)",
  TRUE,"OK"
)</f>
        <v>OK</v>
      </c>
    </row>
    <row r="1346" spans="1:10" ht="16.8" x14ac:dyDescent="0.3">
      <c r="A1346" s="11" t="s">
        <v>5003</v>
      </c>
      <c r="B1346" s="11" t="s">
        <v>2387</v>
      </c>
      <c r="C1346" s="11" t="s">
        <v>3371</v>
      </c>
      <c r="D1346" s="11">
        <v>479616.52</v>
      </c>
      <c r="E1346" s="11">
        <v>47239.53</v>
      </c>
      <c r="F1346" s="12">
        <v>45397</v>
      </c>
      <c r="G1346" s="12">
        <v>45452</v>
      </c>
      <c r="H1346" s="11" t="s">
        <v>3762</v>
      </c>
      <c r="I1346" s="11" t="s">
        <v>3373</v>
      </c>
      <c r="J1346" s="13" t="str" cm="1">
        <f t="array" ref="J1346">_xlfn.IFS(
  OR(ISBLANK(A1346),ISBLANK(B1346),ISBLANK(H1346),ISBLANK(D1346),ISBLANK(E1346)),"Missing Value",
  D1346&lt;=0,"Review – Out of Range (Coverage)",
  E1346&lt;=0,"Review – Out of Range (Premium)",
  TRUE,"OK"
)</f>
        <v>OK</v>
      </c>
    </row>
    <row r="1347" spans="1:10" ht="16.8" x14ac:dyDescent="0.3">
      <c r="A1347" s="14" t="s">
        <v>5004</v>
      </c>
      <c r="B1347" s="14" t="s">
        <v>1559</v>
      </c>
      <c r="C1347" s="14" t="s">
        <v>3363</v>
      </c>
      <c r="D1347" s="14">
        <v>367246</v>
      </c>
      <c r="E1347" s="14">
        <v>17486.46</v>
      </c>
      <c r="F1347" s="15">
        <v>44038</v>
      </c>
      <c r="G1347" s="15">
        <v>44977</v>
      </c>
      <c r="H1347" s="14" t="s">
        <v>3503</v>
      </c>
      <c r="I1347" s="14" t="s">
        <v>3361</v>
      </c>
      <c r="J1347" s="13" t="str" cm="1">
        <f t="array" ref="J1347">_xlfn.IFS(
  OR(ISBLANK(A1347),ISBLANK(B1347),ISBLANK(H1347),ISBLANK(D1347),ISBLANK(E1347)),"Missing Value",
  D1347&lt;=0,"Review – Out of Range (Coverage)",
  E1347&lt;=0,"Review – Out of Range (Premium)",
  TRUE,"OK"
)</f>
        <v>OK</v>
      </c>
    </row>
    <row r="1348" spans="1:10" ht="16.8" x14ac:dyDescent="0.3">
      <c r="A1348" s="11" t="s">
        <v>5005</v>
      </c>
      <c r="B1348" s="11" t="s">
        <v>1663</v>
      </c>
      <c r="C1348" s="11" t="s">
        <v>3377</v>
      </c>
      <c r="D1348" s="11">
        <v>928682.69</v>
      </c>
      <c r="E1348" s="11">
        <v>10021.15</v>
      </c>
      <c r="F1348" s="12">
        <v>45094</v>
      </c>
      <c r="G1348" s="12">
        <v>45402</v>
      </c>
      <c r="H1348" s="11" t="s">
        <v>3381</v>
      </c>
      <c r="I1348" s="11" t="s">
        <v>3365</v>
      </c>
      <c r="J1348" s="13" t="str" cm="1">
        <f t="array" ref="J1348">_xlfn.IFS(
  OR(ISBLANK(A1348),ISBLANK(B1348),ISBLANK(H1348),ISBLANK(D1348),ISBLANK(E1348)),"Missing Value",
  D1348&lt;=0,"Review – Out of Range (Coverage)",
  E1348&lt;=0,"Review – Out of Range (Premium)",
  TRUE,"OK"
)</f>
        <v>OK</v>
      </c>
    </row>
    <row r="1349" spans="1:10" ht="16.8" x14ac:dyDescent="0.3">
      <c r="A1349" s="14" t="s">
        <v>5006</v>
      </c>
      <c r="B1349" s="14" t="s">
        <v>330</v>
      </c>
      <c r="C1349" s="14" t="s">
        <v>3359</v>
      </c>
      <c r="D1349" s="14">
        <v>227532.6</v>
      </c>
      <c r="E1349" s="14">
        <v>48004.59</v>
      </c>
      <c r="F1349" s="15">
        <v>45311</v>
      </c>
      <c r="G1349" s="15">
        <v>45367</v>
      </c>
      <c r="H1349" s="14" t="s">
        <v>3429</v>
      </c>
      <c r="I1349" s="14" t="s">
        <v>3373</v>
      </c>
      <c r="J1349" s="13" t="str" cm="1">
        <f t="array" ref="J1349">_xlfn.IFS(
  OR(ISBLANK(A1349),ISBLANK(B1349),ISBLANK(H1349),ISBLANK(D1349),ISBLANK(E1349)),"Missing Value",
  D1349&lt;=0,"Review – Out of Range (Coverage)",
  E1349&lt;=0,"Review – Out of Range (Premium)",
  TRUE,"OK"
)</f>
        <v>OK</v>
      </c>
    </row>
    <row r="1350" spans="1:10" ht="16.8" x14ac:dyDescent="0.3">
      <c r="A1350" s="11" t="s">
        <v>5007</v>
      </c>
      <c r="B1350" s="11" t="s">
        <v>3188</v>
      </c>
      <c r="C1350" s="11" t="s">
        <v>3377</v>
      </c>
      <c r="D1350" s="11">
        <v>829408.33</v>
      </c>
      <c r="E1350" s="11">
        <v>45415.48</v>
      </c>
      <c r="F1350" s="12">
        <v>44286</v>
      </c>
      <c r="G1350" s="12">
        <v>45042</v>
      </c>
      <c r="H1350" s="11" t="s">
        <v>3378</v>
      </c>
      <c r="I1350" s="11" t="s">
        <v>3373</v>
      </c>
      <c r="J1350" s="13" t="str" cm="1">
        <f t="array" ref="J1350">_xlfn.IFS(
  OR(ISBLANK(A1350),ISBLANK(B1350),ISBLANK(H1350),ISBLANK(D1350),ISBLANK(E1350)),"Missing Value",
  D1350&lt;=0,"Review – Out of Range (Coverage)",
  E1350&lt;=0,"Review – Out of Range (Premium)",
  TRUE,"OK"
)</f>
        <v>OK</v>
      </c>
    </row>
    <row r="1351" spans="1:10" ht="16.8" x14ac:dyDescent="0.3">
      <c r="A1351" s="14" t="s">
        <v>5008</v>
      </c>
      <c r="B1351" s="14" t="s">
        <v>2287</v>
      </c>
      <c r="C1351" s="14" t="s">
        <v>3371</v>
      </c>
      <c r="D1351" s="14">
        <v>463559.36</v>
      </c>
      <c r="E1351" s="14">
        <v>38774.550000000003</v>
      </c>
      <c r="F1351" s="15">
        <v>44984</v>
      </c>
      <c r="G1351" s="15">
        <v>45621</v>
      </c>
      <c r="H1351" s="14" t="s">
        <v>3712</v>
      </c>
      <c r="I1351" s="14" t="s">
        <v>3361</v>
      </c>
      <c r="J1351" s="13" t="str" cm="1">
        <f t="array" ref="J1351">_xlfn.IFS(
  OR(ISBLANK(A1351),ISBLANK(B1351),ISBLANK(H1351),ISBLANK(D1351),ISBLANK(E1351)),"Missing Value",
  D1351&lt;=0,"Review – Out of Range (Coverage)",
  E1351&lt;=0,"Review – Out of Range (Premium)",
  TRUE,"OK"
)</f>
        <v>OK</v>
      </c>
    </row>
    <row r="1352" spans="1:10" ht="16.8" x14ac:dyDescent="0.3">
      <c r="A1352" s="11" t="s">
        <v>5009</v>
      </c>
      <c r="B1352" s="11" t="s">
        <v>1403</v>
      </c>
      <c r="C1352" s="11" t="s">
        <v>3359</v>
      </c>
      <c r="D1352" s="11">
        <v>693273.05</v>
      </c>
      <c r="E1352" s="11">
        <v>39056.83</v>
      </c>
      <c r="F1352" s="12">
        <v>44117</v>
      </c>
      <c r="G1352" s="12">
        <v>45561</v>
      </c>
      <c r="H1352" s="11" t="s">
        <v>3865</v>
      </c>
      <c r="I1352" s="11" t="s">
        <v>3373</v>
      </c>
      <c r="J1352" s="13" t="str" cm="1">
        <f t="array" ref="J1352">_xlfn.IFS(
  OR(ISBLANK(A1352),ISBLANK(B1352),ISBLANK(H1352),ISBLANK(D1352),ISBLANK(E1352)),"Missing Value",
  D1352&lt;=0,"Review – Out of Range (Coverage)",
  E1352&lt;=0,"Review – Out of Range (Premium)",
  TRUE,"OK"
)</f>
        <v>OK</v>
      </c>
    </row>
    <row r="1353" spans="1:10" ht="16.8" x14ac:dyDescent="0.3">
      <c r="A1353" s="14" t="s">
        <v>5010</v>
      </c>
      <c r="B1353" s="14" t="s">
        <v>3232</v>
      </c>
      <c r="C1353" s="14" t="s">
        <v>3380</v>
      </c>
      <c r="D1353" s="14">
        <v>129203.64</v>
      </c>
      <c r="E1353" s="14">
        <v>22059.56</v>
      </c>
      <c r="F1353" s="15">
        <v>44122</v>
      </c>
      <c r="G1353" s="15">
        <v>44515</v>
      </c>
      <c r="H1353" s="14" t="s">
        <v>3603</v>
      </c>
      <c r="I1353" s="14" t="s">
        <v>3365</v>
      </c>
      <c r="J1353" s="13" t="str" cm="1">
        <f t="array" ref="J1353">_xlfn.IFS(
  OR(ISBLANK(A1353),ISBLANK(B1353),ISBLANK(H1353),ISBLANK(D1353),ISBLANK(E1353)),"Missing Value",
  D1353&lt;=0,"Review – Out of Range (Coverage)",
  E1353&lt;=0,"Review – Out of Range (Premium)",
  TRUE,"OK"
)</f>
        <v>OK</v>
      </c>
    </row>
    <row r="1354" spans="1:10" ht="16.8" x14ac:dyDescent="0.3">
      <c r="A1354" s="11" t="s">
        <v>5011</v>
      </c>
      <c r="B1354" s="11" t="s">
        <v>2279</v>
      </c>
      <c r="C1354" s="11" t="s">
        <v>3363</v>
      </c>
      <c r="D1354" s="11">
        <v>882467.27</v>
      </c>
      <c r="E1354" s="11">
        <v>31889.07</v>
      </c>
      <c r="F1354" s="12">
        <v>44581</v>
      </c>
      <c r="G1354" s="12">
        <v>45148</v>
      </c>
      <c r="H1354" s="11" t="s">
        <v>3806</v>
      </c>
      <c r="I1354" s="11" t="s">
        <v>3365</v>
      </c>
      <c r="J1354" s="13" t="str" cm="1">
        <f t="array" ref="J1354">_xlfn.IFS(
  OR(ISBLANK(A1354),ISBLANK(B1354),ISBLANK(H1354),ISBLANK(D1354),ISBLANK(E1354)),"Missing Value",
  D1354&lt;=0,"Review – Out of Range (Coverage)",
  E1354&lt;=0,"Review – Out of Range (Premium)",
  TRUE,"OK"
)</f>
        <v>OK</v>
      </c>
    </row>
    <row r="1355" spans="1:10" ht="16.8" x14ac:dyDescent="0.3">
      <c r="A1355" s="14" t="s">
        <v>5012</v>
      </c>
      <c r="B1355" s="14" t="s">
        <v>2295</v>
      </c>
      <c r="C1355" s="14" t="s">
        <v>3371</v>
      </c>
      <c r="D1355" s="14">
        <v>121610.12</v>
      </c>
      <c r="E1355" s="14">
        <v>23257.26</v>
      </c>
      <c r="F1355" s="15">
        <v>44591</v>
      </c>
      <c r="G1355" s="15">
        <v>45481</v>
      </c>
      <c r="H1355" s="14" t="s">
        <v>3360</v>
      </c>
      <c r="I1355" s="14" t="s">
        <v>3373</v>
      </c>
      <c r="J1355" s="13" t="str" cm="1">
        <f t="array" ref="J1355">_xlfn.IFS(
  OR(ISBLANK(A1355),ISBLANK(B1355),ISBLANK(H1355),ISBLANK(D1355),ISBLANK(E1355)),"Missing Value",
  D1355&lt;=0,"Review – Out of Range (Coverage)",
  E1355&lt;=0,"Review – Out of Range (Premium)",
  TRUE,"OK"
)</f>
        <v>OK</v>
      </c>
    </row>
    <row r="1356" spans="1:10" ht="16.8" x14ac:dyDescent="0.3">
      <c r="A1356" s="11" t="s">
        <v>5013</v>
      </c>
      <c r="B1356" s="11" t="s">
        <v>416</v>
      </c>
      <c r="C1356" s="11" t="s">
        <v>3363</v>
      </c>
      <c r="D1356" s="11">
        <v>916941.41</v>
      </c>
      <c r="E1356" s="11">
        <v>35310.800000000003</v>
      </c>
      <c r="F1356" s="12">
        <v>44983</v>
      </c>
      <c r="G1356" s="12">
        <v>45241</v>
      </c>
      <c r="H1356" s="11" t="s">
        <v>3364</v>
      </c>
      <c r="I1356" s="11" t="s">
        <v>3365</v>
      </c>
      <c r="J1356" s="13" t="str" cm="1">
        <f t="array" ref="J1356">_xlfn.IFS(
  OR(ISBLANK(A1356),ISBLANK(B1356),ISBLANK(H1356),ISBLANK(D1356),ISBLANK(E1356)),"Missing Value",
  D1356&lt;=0,"Review – Out of Range (Coverage)",
  E1356&lt;=0,"Review – Out of Range (Premium)",
  TRUE,"OK"
)</f>
        <v>OK</v>
      </c>
    </row>
    <row r="1357" spans="1:10" ht="16.8" x14ac:dyDescent="0.3">
      <c r="A1357" s="14" t="s">
        <v>5014</v>
      </c>
      <c r="B1357" s="14" t="s">
        <v>1593</v>
      </c>
      <c r="C1357" s="14" t="s">
        <v>3380</v>
      </c>
      <c r="D1357" s="14">
        <v>352233.99</v>
      </c>
      <c r="E1357" s="14">
        <v>18711.27</v>
      </c>
      <c r="F1357" s="15">
        <v>45460</v>
      </c>
      <c r="G1357" s="15">
        <v>45497</v>
      </c>
      <c r="H1357" s="14" t="s">
        <v>3819</v>
      </c>
      <c r="I1357" s="14" t="s">
        <v>3373</v>
      </c>
      <c r="J1357" s="13" t="str" cm="1">
        <f t="array" ref="J1357">_xlfn.IFS(
  OR(ISBLANK(A1357),ISBLANK(B1357),ISBLANK(H1357),ISBLANK(D1357),ISBLANK(E1357)),"Missing Value",
  D1357&lt;=0,"Review – Out of Range (Coverage)",
  E1357&lt;=0,"Review – Out of Range (Premium)",
  TRUE,"OK"
)</f>
        <v>OK</v>
      </c>
    </row>
    <row r="1358" spans="1:10" ht="16.8" x14ac:dyDescent="0.3">
      <c r="A1358" s="11" t="s">
        <v>5015</v>
      </c>
      <c r="B1358" s="11" t="s">
        <v>1931</v>
      </c>
      <c r="C1358" s="11" t="s">
        <v>3363</v>
      </c>
      <c r="D1358" s="11">
        <v>422830.84</v>
      </c>
      <c r="E1358" s="11">
        <v>3498.49</v>
      </c>
      <c r="F1358" s="12">
        <v>45390</v>
      </c>
      <c r="G1358" s="12">
        <v>45660</v>
      </c>
      <c r="H1358" s="11" t="s">
        <v>3607</v>
      </c>
      <c r="I1358" s="11" t="s">
        <v>3373</v>
      </c>
      <c r="J1358" s="13" t="str" cm="1">
        <f t="array" ref="J1358">_xlfn.IFS(
  OR(ISBLANK(A1358),ISBLANK(B1358),ISBLANK(H1358),ISBLANK(D1358),ISBLANK(E1358)),"Missing Value",
  D1358&lt;=0,"Review – Out of Range (Coverage)",
  E1358&lt;=0,"Review – Out of Range (Premium)",
  TRUE,"OK"
)</f>
        <v>OK</v>
      </c>
    </row>
    <row r="1359" spans="1:10" ht="16.8" x14ac:dyDescent="0.3">
      <c r="A1359" s="14" t="s">
        <v>5016</v>
      </c>
      <c r="B1359" s="14" t="s">
        <v>2973</v>
      </c>
      <c r="C1359" s="14" t="s">
        <v>3359</v>
      </c>
      <c r="D1359" s="14">
        <v>173851.06</v>
      </c>
      <c r="E1359" s="14">
        <v>34598.43</v>
      </c>
      <c r="F1359" s="15">
        <v>44111</v>
      </c>
      <c r="G1359" s="15">
        <v>44297</v>
      </c>
      <c r="H1359" s="14" t="s">
        <v>3698</v>
      </c>
      <c r="I1359" s="14" t="s">
        <v>3373</v>
      </c>
      <c r="J1359" s="13" t="str" cm="1">
        <f t="array" ref="J1359">_xlfn.IFS(
  OR(ISBLANK(A1359),ISBLANK(B1359),ISBLANK(H1359),ISBLANK(D1359),ISBLANK(E1359)),"Missing Value",
  D1359&lt;=0,"Review – Out of Range (Coverage)",
  E1359&lt;=0,"Review – Out of Range (Premium)",
  TRUE,"OK"
)</f>
        <v>OK</v>
      </c>
    </row>
    <row r="1360" spans="1:10" ht="16.8" x14ac:dyDescent="0.3">
      <c r="A1360" s="11" t="s">
        <v>5017</v>
      </c>
      <c r="B1360" s="11" t="s">
        <v>502</v>
      </c>
      <c r="C1360" s="11" t="s">
        <v>3371</v>
      </c>
      <c r="D1360" s="11">
        <v>717855.27</v>
      </c>
      <c r="E1360" s="11">
        <v>11140.95</v>
      </c>
      <c r="F1360" s="12">
        <v>44848</v>
      </c>
      <c r="G1360" s="12">
        <v>45215</v>
      </c>
      <c r="H1360" s="11" t="s">
        <v>4056</v>
      </c>
      <c r="I1360" s="11" t="s">
        <v>3361</v>
      </c>
      <c r="J1360" s="13" t="str" cm="1">
        <f t="array" ref="J1360">_xlfn.IFS(
  OR(ISBLANK(A1360),ISBLANK(B1360),ISBLANK(H1360),ISBLANK(D1360),ISBLANK(E1360)),"Missing Value",
  D1360&lt;=0,"Review – Out of Range (Coverage)",
  E1360&lt;=0,"Review – Out of Range (Premium)",
  TRUE,"OK"
)</f>
        <v>OK</v>
      </c>
    </row>
    <row r="1361" spans="1:10" ht="16.8" x14ac:dyDescent="0.3">
      <c r="A1361" s="14" t="s">
        <v>5018</v>
      </c>
      <c r="B1361" s="14" t="s">
        <v>2931</v>
      </c>
      <c r="C1361" s="14" t="s">
        <v>3377</v>
      </c>
      <c r="D1361" s="14">
        <v>443027.18</v>
      </c>
      <c r="E1361" s="14">
        <v>18569.87</v>
      </c>
      <c r="F1361" s="15">
        <v>45098</v>
      </c>
      <c r="G1361" s="15">
        <v>45107</v>
      </c>
      <c r="H1361" s="14" t="s">
        <v>3581</v>
      </c>
      <c r="I1361" s="14" t="s">
        <v>3361</v>
      </c>
      <c r="J1361" s="13" t="str" cm="1">
        <f t="array" ref="J1361">_xlfn.IFS(
  OR(ISBLANK(A1361),ISBLANK(B1361),ISBLANK(H1361),ISBLANK(D1361),ISBLANK(E1361)),"Missing Value",
  D1361&lt;=0,"Review – Out of Range (Coverage)",
  E1361&lt;=0,"Review – Out of Range (Premium)",
  TRUE,"OK"
)</f>
        <v>OK</v>
      </c>
    </row>
    <row r="1362" spans="1:10" ht="16.8" x14ac:dyDescent="0.3">
      <c r="A1362" s="11" t="s">
        <v>5019</v>
      </c>
      <c r="B1362" s="11" t="s">
        <v>3178</v>
      </c>
      <c r="C1362" s="11" t="s">
        <v>3380</v>
      </c>
      <c r="D1362" s="11">
        <v>511204.5</v>
      </c>
      <c r="E1362" s="11">
        <v>45310.48</v>
      </c>
      <c r="F1362" s="12">
        <v>45039</v>
      </c>
      <c r="G1362" s="12">
        <v>45806</v>
      </c>
      <c r="H1362" s="11" t="s">
        <v>3528</v>
      </c>
      <c r="I1362" s="11" t="s">
        <v>3373</v>
      </c>
      <c r="J1362" s="13" t="str" cm="1">
        <f t="array" ref="J1362">_xlfn.IFS(
  OR(ISBLANK(A1362),ISBLANK(B1362),ISBLANK(H1362),ISBLANK(D1362),ISBLANK(E1362)),"Missing Value",
  D1362&lt;=0,"Review – Out of Range (Coverage)",
  E1362&lt;=0,"Review – Out of Range (Premium)",
  TRUE,"OK"
)</f>
        <v>OK</v>
      </c>
    </row>
    <row r="1363" spans="1:10" ht="16.8" x14ac:dyDescent="0.3">
      <c r="A1363" s="14" t="s">
        <v>5020</v>
      </c>
      <c r="B1363" s="14" t="s">
        <v>3114</v>
      </c>
      <c r="C1363" s="14" t="s">
        <v>3371</v>
      </c>
      <c r="D1363" s="14">
        <v>392216.27</v>
      </c>
      <c r="E1363" s="14">
        <v>21961.24</v>
      </c>
      <c r="F1363" s="15">
        <v>44293</v>
      </c>
      <c r="G1363" s="15">
        <v>44421</v>
      </c>
      <c r="H1363" s="14" t="s">
        <v>4249</v>
      </c>
      <c r="I1363" s="14" t="s">
        <v>3373</v>
      </c>
      <c r="J1363" s="13" t="str" cm="1">
        <f t="array" ref="J1363">_xlfn.IFS(
  OR(ISBLANK(A1363),ISBLANK(B1363),ISBLANK(H1363),ISBLANK(D1363),ISBLANK(E1363)),"Missing Value",
  D1363&lt;=0,"Review – Out of Range (Coverage)",
  E1363&lt;=0,"Review – Out of Range (Premium)",
  TRUE,"OK"
)</f>
        <v>OK</v>
      </c>
    </row>
    <row r="1364" spans="1:10" ht="16.8" x14ac:dyDescent="0.3">
      <c r="A1364" s="11" t="s">
        <v>5021</v>
      </c>
      <c r="B1364" s="11" t="s">
        <v>192</v>
      </c>
      <c r="C1364" s="11" t="s">
        <v>3359</v>
      </c>
      <c r="D1364" s="11">
        <v>574310.37</v>
      </c>
      <c r="E1364" s="11">
        <v>10796.16</v>
      </c>
      <c r="F1364" s="12">
        <v>45483</v>
      </c>
      <c r="G1364" s="12">
        <v>45548</v>
      </c>
      <c r="H1364" s="11" t="s">
        <v>3482</v>
      </c>
      <c r="I1364" s="11" t="s">
        <v>3365</v>
      </c>
      <c r="J1364" s="13" t="str" cm="1">
        <f t="array" ref="J1364">_xlfn.IFS(
  OR(ISBLANK(A1364),ISBLANK(B1364),ISBLANK(H1364),ISBLANK(D1364),ISBLANK(E1364)),"Missing Value",
  D1364&lt;=0,"Review – Out of Range (Coverage)",
  E1364&lt;=0,"Review – Out of Range (Premium)",
  TRUE,"OK"
)</f>
        <v>OK</v>
      </c>
    </row>
    <row r="1365" spans="1:10" ht="16.8" x14ac:dyDescent="0.3">
      <c r="A1365" s="14" t="s">
        <v>5022</v>
      </c>
      <c r="B1365" s="14" t="s">
        <v>2125</v>
      </c>
      <c r="C1365" s="14" t="s">
        <v>3359</v>
      </c>
      <c r="D1365" s="14">
        <v>412497.78</v>
      </c>
      <c r="E1365" s="14">
        <v>5641.75</v>
      </c>
      <c r="F1365" s="15">
        <v>45353</v>
      </c>
      <c r="G1365" s="15">
        <v>45593</v>
      </c>
      <c r="H1365" s="14" t="s">
        <v>4011</v>
      </c>
      <c r="I1365" s="14" t="s">
        <v>3365</v>
      </c>
      <c r="J1365" s="13" t="str" cm="1">
        <f t="array" ref="J1365">_xlfn.IFS(
  OR(ISBLANK(A1365),ISBLANK(B1365),ISBLANK(H1365),ISBLANK(D1365),ISBLANK(E1365)),"Missing Value",
  D1365&lt;=0,"Review – Out of Range (Coverage)",
  E1365&lt;=0,"Review – Out of Range (Premium)",
  TRUE,"OK"
)</f>
        <v>OK</v>
      </c>
    </row>
    <row r="1366" spans="1:10" ht="16.8" x14ac:dyDescent="0.3">
      <c r="A1366" s="11" t="s">
        <v>5023</v>
      </c>
      <c r="B1366" s="11" t="s">
        <v>1687</v>
      </c>
      <c r="C1366" s="11" t="s">
        <v>3380</v>
      </c>
      <c r="D1366" s="11">
        <v>218430.83</v>
      </c>
      <c r="E1366" s="11">
        <v>19279.05</v>
      </c>
      <c r="F1366" s="12">
        <v>45358</v>
      </c>
      <c r="G1366" s="12">
        <v>45758</v>
      </c>
      <c r="H1366" s="11" t="s">
        <v>3540</v>
      </c>
      <c r="I1366" s="11" t="s">
        <v>3373</v>
      </c>
      <c r="J1366" s="13" t="str" cm="1">
        <f t="array" ref="J1366">_xlfn.IFS(
  OR(ISBLANK(A1366),ISBLANK(B1366),ISBLANK(H1366),ISBLANK(D1366),ISBLANK(E1366)),"Missing Value",
  D1366&lt;=0,"Review – Out of Range (Coverage)",
  E1366&lt;=0,"Review – Out of Range (Premium)",
  TRUE,"OK"
)</f>
        <v>OK</v>
      </c>
    </row>
    <row r="1367" spans="1:10" ht="16.8" x14ac:dyDescent="0.3">
      <c r="A1367" s="14" t="s">
        <v>5024</v>
      </c>
      <c r="B1367" s="14" t="s">
        <v>2801</v>
      </c>
      <c r="C1367" s="14" t="s">
        <v>3363</v>
      </c>
      <c r="D1367" s="14">
        <v>716193.6</v>
      </c>
      <c r="E1367" s="14">
        <v>17454.490000000002</v>
      </c>
      <c r="F1367" s="15">
        <v>45293</v>
      </c>
      <c r="G1367" s="15">
        <v>45483</v>
      </c>
      <c r="H1367" s="14" t="s">
        <v>3997</v>
      </c>
      <c r="I1367" s="14" t="s">
        <v>3365</v>
      </c>
      <c r="J1367" s="13" t="str" cm="1">
        <f t="array" ref="J1367">_xlfn.IFS(
  OR(ISBLANK(A1367),ISBLANK(B1367),ISBLANK(H1367),ISBLANK(D1367),ISBLANK(E1367)),"Missing Value",
  D1367&lt;=0,"Review – Out of Range (Coverage)",
  E1367&lt;=0,"Review – Out of Range (Premium)",
  TRUE,"OK"
)</f>
        <v>OK</v>
      </c>
    </row>
    <row r="1368" spans="1:10" ht="16.8" x14ac:dyDescent="0.3">
      <c r="A1368" s="11" t="s">
        <v>5025</v>
      </c>
      <c r="B1368" s="11" t="s">
        <v>376</v>
      </c>
      <c r="C1368" s="11" t="s">
        <v>3371</v>
      </c>
      <c r="D1368" s="11">
        <v>727415.06</v>
      </c>
      <c r="E1368" s="11">
        <v>46296.68</v>
      </c>
      <c r="F1368" s="12">
        <v>44373</v>
      </c>
      <c r="G1368" s="12">
        <v>45266</v>
      </c>
      <c r="H1368" s="11" t="s">
        <v>3488</v>
      </c>
      <c r="I1368" s="11" t="s">
        <v>3365</v>
      </c>
      <c r="J1368" s="13" t="str" cm="1">
        <f t="array" ref="J1368">_xlfn.IFS(
  OR(ISBLANK(A1368),ISBLANK(B1368),ISBLANK(H1368),ISBLANK(D1368),ISBLANK(E1368)),"Missing Value",
  D1368&lt;=0,"Review – Out of Range (Coverage)",
  E1368&lt;=0,"Review – Out of Range (Premium)",
  TRUE,"OK"
)</f>
        <v>OK</v>
      </c>
    </row>
    <row r="1369" spans="1:10" ht="16.8" x14ac:dyDescent="0.3">
      <c r="A1369" s="14" t="s">
        <v>5026</v>
      </c>
      <c r="B1369" s="14" t="s">
        <v>3274</v>
      </c>
      <c r="C1369" s="14" t="s">
        <v>3363</v>
      </c>
      <c r="D1369" s="14">
        <v>437853.51</v>
      </c>
      <c r="E1369" s="14">
        <v>4378.91</v>
      </c>
      <c r="F1369" s="15">
        <v>44506</v>
      </c>
      <c r="G1369" s="15">
        <v>45683</v>
      </c>
      <c r="H1369" s="14" t="s">
        <v>3997</v>
      </c>
      <c r="I1369" s="14" t="s">
        <v>3373</v>
      </c>
      <c r="J1369" s="13" t="str" cm="1">
        <f t="array" ref="J1369">_xlfn.IFS(
  OR(ISBLANK(A1369),ISBLANK(B1369),ISBLANK(H1369),ISBLANK(D1369),ISBLANK(E1369)),"Missing Value",
  D1369&lt;=0,"Review – Out of Range (Coverage)",
  E1369&lt;=0,"Review – Out of Range (Premium)",
  TRUE,"OK"
)</f>
        <v>OK</v>
      </c>
    </row>
    <row r="1370" spans="1:10" ht="16.8" x14ac:dyDescent="0.3">
      <c r="A1370" s="11" t="s">
        <v>5027</v>
      </c>
      <c r="B1370" s="11" t="s">
        <v>3252</v>
      </c>
      <c r="C1370" s="11" t="s">
        <v>3359</v>
      </c>
      <c r="D1370" s="11">
        <v>316728.33</v>
      </c>
      <c r="E1370" s="11">
        <v>39551.760000000002</v>
      </c>
      <c r="F1370" s="12">
        <v>45480</v>
      </c>
      <c r="G1370" s="12">
        <v>45767</v>
      </c>
      <c r="H1370" s="11" t="s">
        <v>4244</v>
      </c>
      <c r="I1370" s="11" t="s">
        <v>3373</v>
      </c>
      <c r="J1370" s="13" t="str" cm="1">
        <f t="array" ref="J1370">_xlfn.IFS(
  OR(ISBLANK(A1370),ISBLANK(B1370),ISBLANK(H1370),ISBLANK(D1370),ISBLANK(E1370)),"Missing Value",
  D1370&lt;=0,"Review – Out of Range (Coverage)",
  E1370&lt;=0,"Review – Out of Range (Premium)",
  TRUE,"OK"
)</f>
        <v>OK</v>
      </c>
    </row>
    <row r="1371" spans="1:10" ht="16.8" x14ac:dyDescent="0.3">
      <c r="A1371" s="14" t="s">
        <v>5028</v>
      </c>
      <c r="B1371" s="14" t="s">
        <v>2857</v>
      </c>
      <c r="C1371" s="14" t="s">
        <v>3377</v>
      </c>
      <c r="D1371" s="14">
        <v>568787.12</v>
      </c>
      <c r="E1371" s="14">
        <v>45840.04</v>
      </c>
      <c r="F1371" s="15">
        <v>44543</v>
      </c>
      <c r="G1371" s="15">
        <v>45049</v>
      </c>
      <c r="H1371" s="14" t="s">
        <v>3399</v>
      </c>
      <c r="I1371" s="14" t="s">
        <v>3361</v>
      </c>
      <c r="J1371" s="13" t="str" cm="1">
        <f t="array" ref="J1371">_xlfn.IFS(
  OR(ISBLANK(A1371),ISBLANK(B1371),ISBLANK(H1371),ISBLANK(D1371),ISBLANK(E1371)),"Missing Value",
  D1371&lt;=0,"Review – Out of Range (Coverage)",
  E1371&lt;=0,"Review – Out of Range (Premium)",
  TRUE,"OK"
)</f>
        <v>OK</v>
      </c>
    </row>
    <row r="1372" spans="1:10" ht="16.8" x14ac:dyDescent="0.3">
      <c r="A1372" s="11" t="s">
        <v>5029</v>
      </c>
      <c r="B1372" s="11" t="s">
        <v>3164</v>
      </c>
      <c r="C1372" s="11" t="s">
        <v>3380</v>
      </c>
      <c r="D1372" s="11">
        <v>870577.92</v>
      </c>
      <c r="E1372" s="11">
        <v>29493.67</v>
      </c>
      <c r="F1372" s="12">
        <v>45027</v>
      </c>
      <c r="G1372" s="12">
        <v>45542</v>
      </c>
      <c r="H1372" s="11" t="s">
        <v>4108</v>
      </c>
      <c r="I1372" s="11" t="s">
        <v>3361</v>
      </c>
      <c r="J1372" s="13" t="str" cm="1">
        <f t="array" ref="J1372">_xlfn.IFS(
  OR(ISBLANK(A1372),ISBLANK(B1372),ISBLANK(H1372),ISBLANK(D1372),ISBLANK(E1372)),"Missing Value",
  D1372&lt;=0,"Review – Out of Range (Coverage)",
  E1372&lt;=0,"Review – Out of Range (Premium)",
  TRUE,"OK"
)</f>
        <v>OK</v>
      </c>
    </row>
    <row r="1373" spans="1:10" ht="16.8" x14ac:dyDescent="0.3">
      <c r="A1373" s="14" t="s">
        <v>5030</v>
      </c>
      <c r="B1373" s="14" t="s">
        <v>2723</v>
      </c>
      <c r="C1373" s="14" t="s">
        <v>3363</v>
      </c>
      <c r="D1373" s="14">
        <v>266137.01</v>
      </c>
      <c r="E1373" s="14">
        <v>18318.439999999999</v>
      </c>
      <c r="F1373" s="15">
        <v>45121</v>
      </c>
      <c r="G1373" s="15">
        <v>45618</v>
      </c>
      <c r="H1373" s="14" t="s">
        <v>3499</v>
      </c>
      <c r="I1373" s="14" t="s">
        <v>3373</v>
      </c>
      <c r="J1373" s="13" t="str" cm="1">
        <f t="array" ref="J1373">_xlfn.IFS(
  OR(ISBLANK(A1373),ISBLANK(B1373),ISBLANK(H1373),ISBLANK(D1373),ISBLANK(E1373)),"Missing Value",
  D1373&lt;=0,"Review – Out of Range (Coverage)",
  E1373&lt;=0,"Review – Out of Range (Premium)",
  TRUE,"OK"
)</f>
        <v>OK</v>
      </c>
    </row>
    <row r="1374" spans="1:10" ht="16.8" x14ac:dyDescent="0.3">
      <c r="A1374" s="11" t="s">
        <v>5031</v>
      </c>
      <c r="B1374" s="11" t="s">
        <v>306</v>
      </c>
      <c r="C1374" s="11" t="s">
        <v>3371</v>
      </c>
      <c r="D1374" s="11">
        <v>565676.53</v>
      </c>
      <c r="E1374" s="11">
        <v>48947.62</v>
      </c>
      <c r="F1374" s="12">
        <v>44463</v>
      </c>
      <c r="G1374" s="12">
        <v>45781</v>
      </c>
      <c r="H1374" s="11" t="s">
        <v>3646</v>
      </c>
      <c r="I1374" s="11" t="s">
        <v>3373</v>
      </c>
      <c r="J1374" s="13" t="str" cm="1">
        <f t="array" ref="J1374">_xlfn.IFS(
  OR(ISBLANK(A1374),ISBLANK(B1374),ISBLANK(H1374),ISBLANK(D1374),ISBLANK(E1374)),"Missing Value",
  D1374&lt;=0,"Review – Out of Range (Coverage)",
  E1374&lt;=0,"Review – Out of Range (Premium)",
  TRUE,"OK"
)</f>
        <v>OK</v>
      </c>
    </row>
    <row r="1375" spans="1:10" ht="16.8" x14ac:dyDescent="0.3">
      <c r="A1375" s="14" t="s">
        <v>5032</v>
      </c>
      <c r="B1375" s="14" t="s">
        <v>1251</v>
      </c>
      <c r="C1375" s="14" t="s">
        <v>3377</v>
      </c>
      <c r="D1375" s="14">
        <v>100768.84</v>
      </c>
      <c r="E1375" s="14">
        <v>47511.68</v>
      </c>
      <c r="F1375" s="15">
        <v>45186</v>
      </c>
      <c r="G1375" s="15">
        <v>45762</v>
      </c>
      <c r="H1375" s="14" t="s">
        <v>3584</v>
      </c>
      <c r="I1375" s="14" t="s">
        <v>3361</v>
      </c>
      <c r="J1375" s="13" t="str" cm="1">
        <f t="array" ref="J1375">_xlfn.IFS(
  OR(ISBLANK(A1375),ISBLANK(B1375),ISBLANK(H1375),ISBLANK(D1375),ISBLANK(E1375)),"Missing Value",
  D1375&lt;=0,"Review – Out of Range (Coverage)",
  E1375&lt;=0,"Review – Out of Range (Premium)",
  TRUE,"OK"
)</f>
        <v>OK</v>
      </c>
    </row>
    <row r="1376" spans="1:10" ht="16.8" x14ac:dyDescent="0.3">
      <c r="A1376" s="11" t="s">
        <v>5033</v>
      </c>
      <c r="B1376" s="11" t="s">
        <v>2329</v>
      </c>
      <c r="C1376" s="11" t="s">
        <v>3363</v>
      </c>
      <c r="D1376" s="11">
        <v>460744.47</v>
      </c>
      <c r="E1376" s="11">
        <v>46404.01</v>
      </c>
      <c r="F1376" s="12">
        <v>44311</v>
      </c>
      <c r="G1376" s="12">
        <v>45023</v>
      </c>
      <c r="H1376" s="11" t="s">
        <v>3599</v>
      </c>
      <c r="I1376" s="11" t="s">
        <v>3361</v>
      </c>
      <c r="J1376" s="13" t="str" cm="1">
        <f t="array" ref="J1376">_xlfn.IFS(
  OR(ISBLANK(A1376),ISBLANK(B1376),ISBLANK(H1376),ISBLANK(D1376),ISBLANK(E1376)),"Missing Value",
  D1376&lt;=0,"Review – Out of Range (Coverage)",
  E1376&lt;=0,"Review – Out of Range (Premium)",
  TRUE,"OK"
)</f>
        <v>OK</v>
      </c>
    </row>
    <row r="1377" spans="1:10" ht="16.8" x14ac:dyDescent="0.3">
      <c r="A1377" s="14" t="s">
        <v>5034</v>
      </c>
      <c r="B1377" s="14" t="s">
        <v>1657</v>
      </c>
      <c r="C1377" s="14" t="s">
        <v>3377</v>
      </c>
      <c r="D1377" s="14">
        <v>941813.14</v>
      </c>
      <c r="E1377" s="14">
        <v>12329.98</v>
      </c>
      <c r="F1377" s="15">
        <v>45178</v>
      </c>
      <c r="G1377" s="15">
        <v>45598</v>
      </c>
      <c r="H1377" s="14" t="s">
        <v>3744</v>
      </c>
      <c r="I1377" s="14" t="s">
        <v>3365</v>
      </c>
      <c r="J1377" s="13" t="str" cm="1">
        <f t="array" ref="J1377">_xlfn.IFS(
  OR(ISBLANK(A1377),ISBLANK(B1377),ISBLANK(H1377),ISBLANK(D1377),ISBLANK(E1377)),"Missing Value",
  D1377&lt;=0,"Review – Out of Range (Coverage)",
  E1377&lt;=0,"Review – Out of Range (Premium)",
  TRUE,"OK"
)</f>
        <v>OK</v>
      </c>
    </row>
    <row r="1378" spans="1:10" ht="16.8" x14ac:dyDescent="0.3">
      <c r="A1378" s="11" t="s">
        <v>5035</v>
      </c>
      <c r="B1378" s="11" t="s">
        <v>1625</v>
      </c>
      <c r="C1378" s="11" t="s">
        <v>3359</v>
      </c>
      <c r="D1378" s="11">
        <v>366328.11</v>
      </c>
      <c r="E1378" s="11">
        <v>21811.06</v>
      </c>
      <c r="F1378" s="12">
        <v>44372</v>
      </c>
      <c r="G1378" s="12">
        <v>45034</v>
      </c>
      <c r="H1378" s="11" t="s">
        <v>4240</v>
      </c>
      <c r="I1378" s="11" t="s">
        <v>3361</v>
      </c>
      <c r="J1378" s="13" t="str" cm="1">
        <f t="array" ref="J1378">_xlfn.IFS(
  OR(ISBLANK(A1378),ISBLANK(B1378),ISBLANK(H1378),ISBLANK(D1378),ISBLANK(E1378)),"Missing Value",
  D1378&lt;=0,"Review – Out of Range (Coverage)",
  E1378&lt;=0,"Review – Out of Range (Premium)",
  TRUE,"OK"
)</f>
        <v>OK</v>
      </c>
    </row>
    <row r="1379" spans="1:10" ht="16.8" x14ac:dyDescent="0.3">
      <c r="A1379" s="14" t="s">
        <v>5036</v>
      </c>
      <c r="B1379" s="14" t="s">
        <v>1147</v>
      </c>
      <c r="C1379" s="14" t="s">
        <v>3359</v>
      </c>
      <c r="D1379" s="14">
        <v>743613.45</v>
      </c>
      <c r="E1379" s="14">
        <v>17656.28</v>
      </c>
      <c r="F1379" s="15">
        <v>44656</v>
      </c>
      <c r="G1379" s="15">
        <v>45563</v>
      </c>
      <c r="H1379" s="14" t="s">
        <v>3806</v>
      </c>
      <c r="I1379" s="14" t="s">
        <v>3365</v>
      </c>
      <c r="J1379" s="13" t="str" cm="1">
        <f t="array" ref="J1379">_xlfn.IFS(
  OR(ISBLANK(A1379),ISBLANK(B1379),ISBLANK(H1379),ISBLANK(D1379),ISBLANK(E1379)),"Missing Value",
  D1379&lt;=0,"Review – Out of Range (Coverage)",
  E1379&lt;=0,"Review – Out of Range (Premium)",
  TRUE,"OK"
)</f>
        <v>OK</v>
      </c>
    </row>
    <row r="1380" spans="1:10" ht="16.8" x14ac:dyDescent="0.3">
      <c r="A1380" s="11" t="s">
        <v>5037</v>
      </c>
      <c r="B1380" s="11" t="s">
        <v>1543</v>
      </c>
      <c r="C1380" s="11" t="s">
        <v>3371</v>
      </c>
      <c r="D1380" s="11">
        <v>776797.61</v>
      </c>
      <c r="E1380" s="11">
        <v>4924.07</v>
      </c>
      <c r="F1380" s="12">
        <v>45040</v>
      </c>
      <c r="G1380" s="12">
        <v>45408</v>
      </c>
      <c r="H1380" s="11" t="s">
        <v>3698</v>
      </c>
      <c r="I1380" s="11" t="s">
        <v>3365</v>
      </c>
      <c r="J1380" s="13" t="str" cm="1">
        <f t="array" ref="J1380">_xlfn.IFS(
  OR(ISBLANK(A1380),ISBLANK(B1380),ISBLANK(H1380),ISBLANK(D1380),ISBLANK(E1380)),"Missing Value",
  D1380&lt;=0,"Review – Out of Range (Coverage)",
  E1380&lt;=0,"Review – Out of Range (Premium)",
  TRUE,"OK"
)</f>
        <v>OK</v>
      </c>
    </row>
    <row r="1381" spans="1:10" ht="16.8" x14ac:dyDescent="0.3">
      <c r="A1381" s="14" t="s">
        <v>5038</v>
      </c>
      <c r="B1381" s="14" t="s">
        <v>3192</v>
      </c>
      <c r="C1381" s="14" t="s">
        <v>3380</v>
      </c>
      <c r="D1381" s="14">
        <v>112633.88</v>
      </c>
      <c r="E1381" s="14">
        <v>7433.23</v>
      </c>
      <c r="F1381" s="15">
        <v>44816</v>
      </c>
      <c r="G1381" s="15">
        <v>45595</v>
      </c>
      <c r="H1381" s="14" t="s">
        <v>3718</v>
      </c>
      <c r="I1381" s="14" t="s">
        <v>3365</v>
      </c>
      <c r="J1381" s="13" t="str" cm="1">
        <f t="array" ref="J1381">_xlfn.IFS(
  OR(ISBLANK(A1381),ISBLANK(B1381),ISBLANK(H1381),ISBLANK(D1381),ISBLANK(E1381)),"Missing Value",
  D1381&lt;=0,"Review – Out of Range (Coverage)",
  E1381&lt;=0,"Review – Out of Range (Premium)",
  TRUE,"OK"
)</f>
        <v>OK</v>
      </c>
    </row>
    <row r="1382" spans="1:10" ht="16.8" x14ac:dyDescent="0.3">
      <c r="A1382" s="11" t="s">
        <v>5039</v>
      </c>
      <c r="B1382" s="11" t="s">
        <v>1113</v>
      </c>
      <c r="C1382" s="11" t="s">
        <v>3359</v>
      </c>
      <c r="D1382" s="11">
        <v>797168.82</v>
      </c>
      <c r="E1382" s="11">
        <v>12650.76</v>
      </c>
      <c r="F1382" s="12">
        <v>45352</v>
      </c>
      <c r="G1382" s="12">
        <v>45744</v>
      </c>
      <c r="H1382" s="11" t="s">
        <v>3551</v>
      </c>
      <c r="I1382" s="11" t="s">
        <v>3373</v>
      </c>
      <c r="J1382" s="13" t="str" cm="1">
        <f t="array" ref="J1382">_xlfn.IFS(
  OR(ISBLANK(A1382),ISBLANK(B1382),ISBLANK(H1382),ISBLANK(D1382),ISBLANK(E1382)),"Missing Value",
  D1382&lt;=0,"Review – Out of Range (Coverage)",
  E1382&lt;=0,"Review – Out of Range (Premium)",
  TRUE,"OK"
)</f>
        <v>OK</v>
      </c>
    </row>
    <row r="1383" spans="1:10" ht="16.8" x14ac:dyDescent="0.3">
      <c r="A1383" s="14" t="s">
        <v>5040</v>
      </c>
      <c r="B1383" s="14" t="s">
        <v>2811</v>
      </c>
      <c r="C1383" s="14" t="s">
        <v>3363</v>
      </c>
      <c r="D1383" s="14">
        <v>440980.04</v>
      </c>
      <c r="E1383" s="14">
        <v>7702.37</v>
      </c>
      <c r="F1383" s="15">
        <v>44044</v>
      </c>
      <c r="G1383" s="15">
        <v>45008</v>
      </c>
      <c r="H1383" s="14" t="s">
        <v>3484</v>
      </c>
      <c r="I1383" s="14" t="s">
        <v>3361</v>
      </c>
      <c r="J1383" s="13" t="str" cm="1">
        <f t="array" ref="J1383">_xlfn.IFS(
  OR(ISBLANK(A1383),ISBLANK(B1383),ISBLANK(H1383),ISBLANK(D1383),ISBLANK(E1383)),"Missing Value",
  D1383&lt;=0,"Review – Out of Range (Coverage)",
  E1383&lt;=0,"Review – Out of Range (Premium)",
  TRUE,"OK"
)</f>
        <v>OK</v>
      </c>
    </row>
    <row r="1384" spans="1:10" ht="16.8" x14ac:dyDescent="0.3">
      <c r="A1384" s="11" t="s">
        <v>5041</v>
      </c>
      <c r="B1384" s="11" t="s">
        <v>893</v>
      </c>
      <c r="C1384" s="11" t="s">
        <v>3363</v>
      </c>
      <c r="D1384" s="11">
        <v>931880.38</v>
      </c>
      <c r="E1384" s="11">
        <v>5820.67</v>
      </c>
      <c r="F1384" s="12">
        <v>44538</v>
      </c>
      <c r="G1384" s="12">
        <v>45554</v>
      </c>
      <c r="H1384" s="11" t="s">
        <v>3725</v>
      </c>
      <c r="I1384" s="11" t="s">
        <v>3373</v>
      </c>
      <c r="J1384" s="13" t="str" cm="1">
        <f t="array" ref="J1384">_xlfn.IFS(
  OR(ISBLANK(A1384),ISBLANK(B1384),ISBLANK(H1384),ISBLANK(D1384),ISBLANK(E1384)),"Missing Value",
  D1384&lt;=0,"Review – Out of Range (Coverage)",
  E1384&lt;=0,"Review – Out of Range (Premium)",
  TRUE,"OK"
)</f>
        <v>OK</v>
      </c>
    </row>
    <row r="1385" spans="1:10" ht="16.8" x14ac:dyDescent="0.3">
      <c r="A1385" s="14" t="s">
        <v>5042</v>
      </c>
      <c r="B1385" s="14" t="s">
        <v>2139</v>
      </c>
      <c r="C1385" s="14" t="s">
        <v>3380</v>
      </c>
      <c r="D1385" s="14">
        <v>891231.34</v>
      </c>
      <c r="E1385" s="14">
        <v>5138.71</v>
      </c>
      <c r="F1385" s="15">
        <v>45217</v>
      </c>
      <c r="G1385" s="15">
        <v>45513</v>
      </c>
      <c r="H1385" s="14" t="s">
        <v>3852</v>
      </c>
      <c r="I1385" s="14" t="s">
        <v>3361</v>
      </c>
      <c r="J1385" s="13" t="str" cm="1">
        <f t="array" ref="J1385">_xlfn.IFS(
  OR(ISBLANK(A1385),ISBLANK(B1385),ISBLANK(H1385),ISBLANK(D1385),ISBLANK(E1385)),"Missing Value",
  D1385&lt;=0,"Review – Out of Range (Coverage)",
  E1385&lt;=0,"Review – Out of Range (Premium)",
  TRUE,"OK"
)</f>
        <v>OK</v>
      </c>
    </row>
    <row r="1386" spans="1:10" ht="16.8" x14ac:dyDescent="0.3">
      <c r="A1386" s="11" t="s">
        <v>5043</v>
      </c>
      <c r="B1386" s="11" t="s">
        <v>869</v>
      </c>
      <c r="C1386" s="11" t="s">
        <v>3371</v>
      </c>
      <c r="D1386" s="11">
        <v>763804.52</v>
      </c>
      <c r="E1386" s="11">
        <v>30819.13</v>
      </c>
      <c r="F1386" s="12">
        <v>44911</v>
      </c>
      <c r="G1386" s="12">
        <v>44955</v>
      </c>
      <c r="H1386" s="11" t="s">
        <v>4006</v>
      </c>
      <c r="I1386" s="11" t="s">
        <v>3373</v>
      </c>
      <c r="J1386" s="13" t="str" cm="1">
        <f t="array" ref="J1386">_xlfn.IFS(
  OR(ISBLANK(A1386),ISBLANK(B1386),ISBLANK(H1386),ISBLANK(D1386),ISBLANK(E1386)),"Missing Value",
  D1386&lt;=0,"Review – Out of Range (Coverage)",
  E1386&lt;=0,"Review – Out of Range (Premium)",
  TRUE,"OK"
)</f>
        <v>OK</v>
      </c>
    </row>
    <row r="1387" spans="1:10" ht="16.8" x14ac:dyDescent="0.3">
      <c r="A1387" s="14" t="s">
        <v>5044</v>
      </c>
      <c r="B1387" s="14" t="s">
        <v>2801</v>
      </c>
      <c r="C1387" s="14" t="s">
        <v>3371</v>
      </c>
      <c r="D1387" s="14">
        <v>607326.89</v>
      </c>
      <c r="E1387" s="14">
        <v>11832.8</v>
      </c>
      <c r="F1387" s="15">
        <v>44567</v>
      </c>
      <c r="G1387" s="15">
        <v>44953</v>
      </c>
      <c r="H1387" s="14" t="s">
        <v>4102</v>
      </c>
      <c r="I1387" s="14" t="s">
        <v>3365</v>
      </c>
      <c r="J1387" s="13" t="str" cm="1">
        <f t="array" ref="J1387">_xlfn.IFS(
  OR(ISBLANK(A1387),ISBLANK(B1387),ISBLANK(H1387),ISBLANK(D1387),ISBLANK(E1387)),"Missing Value",
  D1387&lt;=0,"Review – Out of Range (Coverage)",
  E1387&lt;=0,"Review – Out of Range (Premium)",
  TRUE,"OK"
)</f>
        <v>OK</v>
      </c>
    </row>
    <row r="1388" spans="1:10" ht="16.8" x14ac:dyDescent="0.3">
      <c r="A1388" s="11" t="s">
        <v>5045</v>
      </c>
      <c r="B1388" s="11" t="s">
        <v>136</v>
      </c>
      <c r="C1388" s="11" t="s">
        <v>3363</v>
      </c>
      <c r="D1388" s="11">
        <v>915340.64</v>
      </c>
      <c r="E1388" s="11">
        <v>45115.040000000001</v>
      </c>
      <c r="F1388" s="12">
        <v>45094</v>
      </c>
      <c r="G1388" s="12">
        <v>45491</v>
      </c>
      <c r="H1388" s="11" t="s">
        <v>4154</v>
      </c>
      <c r="I1388" s="11" t="s">
        <v>3365</v>
      </c>
      <c r="J1388" s="13" t="str" cm="1">
        <f t="array" ref="J1388">_xlfn.IFS(
  OR(ISBLANK(A1388),ISBLANK(B1388),ISBLANK(H1388),ISBLANK(D1388),ISBLANK(E1388)),"Missing Value",
  D1388&lt;=0,"Review – Out of Range (Coverage)",
  E1388&lt;=0,"Review – Out of Range (Premium)",
  TRUE,"OK"
)</f>
        <v>OK</v>
      </c>
    </row>
    <row r="1389" spans="1:10" ht="16.8" x14ac:dyDescent="0.3">
      <c r="A1389" s="14" t="s">
        <v>5046</v>
      </c>
      <c r="B1389" s="14" t="s">
        <v>2051</v>
      </c>
      <c r="C1389" s="14" t="s">
        <v>3380</v>
      </c>
      <c r="D1389" s="14">
        <v>273899.76</v>
      </c>
      <c r="E1389" s="14">
        <v>13816.72</v>
      </c>
      <c r="F1389" s="15">
        <v>44931</v>
      </c>
      <c r="G1389" s="15">
        <v>45411</v>
      </c>
      <c r="H1389" s="14" t="s">
        <v>3436</v>
      </c>
      <c r="I1389" s="14" t="s">
        <v>3373</v>
      </c>
      <c r="J1389" s="13" t="str" cm="1">
        <f t="array" ref="J1389">_xlfn.IFS(
  OR(ISBLANK(A1389),ISBLANK(B1389),ISBLANK(H1389),ISBLANK(D1389),ISBLANK(E1389)),"Missing Value",
  D1389&lt;=0,"Review – Out of Range (Coverage)",
  E1389&lt;=0,"Review – Out of Range (Premium)",
  TRUE,"OK"
)</f>
        <v>OK</v>
      </c>
    </row>
    <row r="1390" spans="1:10" ht="16.8" x14ac:dyDescent="0.3">
      <c r="A1390" s="11" t="s">
        <v>5047</v>
      </c>
      <c r="B1390" s="11" t="s">
        <v>3056</v>
      </c>
      <c r="C1390" s="11" t="s">
        <v>3371</v>
      </c>
      <c r="D1390" s="11">
        <v>581009.5</v>
      </c>
      <c r="E1390" s="11">
        <v>6936.03</v>
      </c>
      <c r="F1390" s="12">
        <v>44345</v>
      </c>
      <c r="G1390" s="12">
        <v>45589</v>
      </c>
      <c r="H1390" s="11" t="s">
        <v>3601</v>
      </c>
      <c r="I1390" s="11" t="s">
        <v>3361</v>
      </c>
      <c r="J1390" s="13" t="str" cm="1">
        <f t="array" ref="J1390">_xlfn.IFS(
  OR(ISBLANK(A1390),ISBLANK(B1390),ISBLANK(H1390),ISBLANK(D1390),ISBLANK(E1390)),"Missing Value",
  D1390&lt;=0,"Review – Out of Range (Coverage)",
  E1390&lt;=0,"Review – Out of Range (Premium)",
  TRUE,"OK"
)</f>
        <v>OK</v>
      </c>
    </row>
    <row r="1391" spans="1:10" ht="16.8" x14ac:dyDescent="0.3">
      <c r="A1391" s="14" t="s">
        <v>5048</v>
      </c>
      <c r="B1391" s="14" t="s">
        <v>2585</v>
      </c>
      <c r="C1391" s="14" t="s">
        <v>3359</v>
      </c>
      <c r="D1391" s="14">
        <v>987798.71</v>
      </c>
      <c r="E1391" s="14">
        <v>12541.43</v>
      </c>
      <c r="F1391" s="15">
        <v>44681</v>
      </c>
      <c r="G1391" s="15">
        <v>45380</v>
      </c>
      <c r="H1391" s="14" t="s">
        <v>3571</v>
      </c>
      <c r="I1391" s="14" t="s">
        <v>3373</v>
      </c>
      <c r="J1391" s="13" t="str" cm="1">
        <f t="array" ref="J1391">_xlfn.IFS(
  OR(ISBLANK(A1391),ISBLANK(B1391),ISBLANK(H1391),ISBLANK(D1391),ISBLANK(E1391)),"Missing Value",
  D1391&lt;=0,"Review – Out of Range (Coverage)",
  E1391&lt;=0,"Review – Out of Range (Premium)",
  TRUE,"OK"
)</f>
        <v>OK</v>
      </c>
    </row>
    <row r="1392" spans="1:10" ht="16.8" x14ac:dyDescent="0.3">
      <c r="A1392" s="11" t="s">
        <v>5049</v>
      </c>
      <c r="B1392" s="11" t="s">
        <v>156</v>
      </c>
      <c r="C1392" s="11" t="s">
        <v>3380</v>
      </c>
      <c r="D1392" s="11">
        <v>486478.12</v>
      </c>
      <c r="E1392" s="11">
        <v>12741.34</v>
      </c>
      <c r="F1392" s="12">
        <v>45047</v>
      </c>
      <c r="G1392" s="12">
        <v>45093</v>
      </c>
      <c r="H1392" s="11" t="s">
        <v>3383</v>
      </c>
      <c r="I1392" s="11" t="s">
        <v>3361</v>
      </c>
      <c r="J1392" s="13" t="str" cm="1">
        <f t="array" ref="J1392">_xlfn.IFS(
  OR(ISBLANK(A1392),ISBLANK(B1392),ISBLANK(H1392),ISBLANK(D1392),ISBLANK(E1392)),"Missing Value",
  D1392&lt;=0,"Review – Out of Range (Coverage)",
  E1392&lt;=0,"Review – Out of Range (Premium)",
  TRUE,"OK"
)</f>
        <v>OK</v>
      </c>
    </row>
    <row r="1393" spans="1:10" ht="16.8" x14ac:dyDescent="0.3">
      <c r="A1393" s="14" t="s">
        <v>5050</v>
      </c>
      <c r="B1393" s="14" t="s">
        <v>2913</v>
      </c>
      <c r="C1393" s="14" t="s">
        <v>3363</v>
      </c>
      <c r="D1393" s="14">
        <v>543801.25</v>
      </c>
      <c r="E1393" s="14">
        <v>13407.58</v>
      </c>
      <c r="F1393" s="15">
        <v>45061</v>
      </c>
      <c r="G1393" s="15">
        <v>45359</v>
      </c>
      <c r="H1393" s="14" t="s">
        <v>3407</v>
      </c>
      <c r="I1393" s="14" t="s">
        <v>3361</v>
      </c>
      <c r="J1393" s="13" t="str" cm="1">
        <f t="array" ref="J1393">_xlfn.IFS(
  OR(ISBLANK(A1393),ISBLANK(B1393),ISBLANK(H1393),ISBLANK(D1393),ISBLANK(E1393)),"Missing Value",
  D1393&lt;=0,"Review – Out of Range (Coverage)",
  E1393&lt;=0,"Review – Out of Range (Premium)",
  TRUE,"OK"
)</f>
        <v>OK</v>
      </c>
    </row>
    <row r="1394" spans="1:10" ht="16.8" x14ac:dyDescent="0.3">
      <c r="A1394" s="11" t="s">
        <v>5051</v>
      </c>
      <c r="B1394" s="11" t="s">
        <v>3011</v>
      </c>
      <c r="C1394" s="11" t="s">
        <v>3380</v>
      </c>
      <c r="D1394" s="11">
        <v>429655.57</v>
      </c>
      <c r="E1394" s="11">
        <v>6129.16</v>
      </c>
      <c r="F1394" s="12">
        <v>45049</v>
      </c>
      <c r="G1394" s="12">
        <v>45106</v>
      </c>
      <c r="H1394" s="11" t="s">
        <v>4234</v>
      </c>
      <c r="I1394" s="11" t="s">
        <v>3365</v>
      </c>
      <c r="J1394" s="13" t="str" cm="1">
        <f t="array" ref="J1394">_xlfn.IFS(
  OR(ISBLANK(A1394),ISBLANK(B1394),ISBLANK(H1394),ISBLANK(D1394),ISBLANK(E1394)),"Missing Value",
  D1394&lt;=0,"Review – Out of Range (Coverage)",
  E1394&lt;=0,"Review – Out of Range (Premium)",
  TRUE,"OK"
)</f>
        <v>OK</v>
      </c>
    </row>
    <row r="1395" spans="1:10" ht="16.8" x14ac:dyDescent="0.3">
      <c r="A1395" s="14" t="s">
        <v>5052</v>
      </c>
      <c r="B1395" s="14" t="s">
        <v>2857</v>
      </c>
      <c r="C1395" s="14" t="s">
        <v>3377</v>
      </c>
      <c r="D1395" s="14">
        <v>279527.08</v>
      </c>
      <c r="E1395" s="14">
        <v>12759.78</v>
      </c>
      <c r="F1395" s="15">
        <v>44817</v>
      </c>
      <c r="G1395" s="15">
        <v>45246</v>
      </c>
      <c r="H1395" s="14" t="s">
        <v>3838</v>
      </c>
      <c r="I1395" s="14" t="s">
        <v>3361</v>
      </c>
      <c r="J1395" s="13" t="str" cm="1">
        <f t="array" ref="J1395">_xlfn.IFS(
  OR(ISBLANK(A1395),ISBLANK(B1395),ISBLANK(H1395),ISBLANK(D1395),ISBLANK(E1395)),"Missing Value",
  D1395&lt;=0,"Review – Out of Range (Coverage)",
  E1395&lt;=0,"Review – Out of Range (Premium)",
  TRUE,"OK"
)</f>
        <v>OK</v>
      </c>
    </row>
    <row r="1396" spans="1:10" ht="16.8" x14ac:dyDescent="0.3">
      <c r="A1396" s="11" t="s">
        <v>5053</v>
      </c>
      <c r="B1396" s="11" t="s">
        <v>735</v>
      </c>
      <c r="C1396" s="11" t="s">
        <v>3371</v>
      </c>
      <c r="D1396" s="11">
        <v>583237.01</v>
      </c>
      <c r="E1396" s="11">
        <v>45249.99</v>
      </c>
      <c r="F1396" s="12">
        <v>44656</v>
      </c>
      <c r="G1396" s="12">
        <v>45274</v>
      </c>
      <c r="H1396" s="11" t="s">
        <v>4511</v>
      </c>
      <c r="I1396" s="11" t="s">
        <v>3361</v>
      </c>
      <c r="J1396" s="13" t="str" cm="1">
        <f t="array" ref="J1396">_xlfn.IFS(
  OR(ISBLANK(A1396),ISBLANK(B1396),ISBLANK(H1396),ISBLANK(D1396),ISBLANK(E1396)),"Missing Value",
  D1396&lt;=0,"Review – Out of Range (Coverage)",
  E1396&lt;=0,"Review – Out of Range (Premium)",
  TRUE,"OK"
)</f>
        <v>OK</v>
      </c>
    </row>
    <row r="1397" spans="1:10" ht="16.8" x14ac:dyDescent="0.3">
      <c r="A1397" s="14" t="s">
        <v>5054</v>
      </c>
      <c r="B1397" s="14" t="s">
        <v>2261</v>
      </c>
      <c r="C1397" s="14" t="s">
        <v>3377</v>
      </c>
      <c r="D1397" s="14">
        <v>173745.22</v>
      </c>
      <c r="E1397" s="14">
        <v>21649.32</v>
      </c>
      <c r="F1397" s="15">
        <v>44846</v>
      </c>
      <c r="G1397" s="15">
        <v>45859</v>
      </c>
      <c r="H1397" s="14" t="s">
        <v>4575</v>
      </c>
      <c r="I1397" s="14" t="s">
        <v>3373</v>
      </c>
      <c r="J1397" s="13" t="str" cm="1">
        <f t="array" ref="J1397">_xlfn.IFS(
  OR(ISBLANK(A1397),ISBLANK(B1397),ISBLANK(H1397),ISBLANK(D1397),ISBLANK(E1397)),"Missing Value",
  D1397&lt;=0,"Review – Out of Range (Coverage)",
  E1397&lt;=0,"Review – Out of Range (Premium)",
  TRUE,"OK"
)</f>
        <v>OK</v>
      </c>
    </row>
    <row r="1398" spans="1:10" ht="16.8" x14ac:dyDescent="0.3">
      <c r="A1398" s="11" t="s">
        <v>5055</v>
      </c>
      <c r="B1398" s="11" t="s">
        <v>1387</v>
      </c>
      <c r="C1398" s="11" t="s">
        <v>3371</v>
      </c>
      <c r="D1398" s="11">
        <v>808387.33</v>
      </c>
      <c r="E1398" s="11">
        <v>19275.490000000002</v>
      </c>
      <c r="F1398" s="12">
        <v>44506</v>
      </c>
      <c r="G1398" s="12">
        <v>44807</v>
      </c>
      <c r="H1398" s="11" t="s">
        <v>3819</v>
      </c>
      <c r="I1398" s="11" t="s">
        <v>3361</v>
      </c>
      <c r="J1398" s="13" t="str" cm="1">
        <f t="array" ref="J1398">_xlfn.IFS(
  OR(ISBLANK(A1398),ISBLANK(B1398),ISBLANK(H1398),ISBLANK(D1398),ISBLANK(E1398)),"Missing Value",
  D1398&lt;=0,"Review – Out of Range (Coverage)",
  E1398&lt;=0,"Review – Out of Range (Premium)",
  TRUE,"OK"
)</f>
        <v>OK</v>
      </c>
    </row>
    <row r="1399" spans="1:10" ht="16.8" x14ac:dyDescent="0.3">
      <c r="A1399" s="14" t="s">
        <v>5056</v>
      </c>
      <c r="B1399" s="14" t="s">
        <v>1167</v>
      </c>
      <c r="C1399" s="14" t="s">
        <v>3377</v>
      </c>
      <c r="D1399" s="14">
        <v>708342.56</v>
      </c>
      <c r="E1399" s="14">
        <v>12666.1</v>
      </c>
      <c r="F1399" s="15">
        <v>44279</v>
      </c>
      <c r="G1399" s="15">
        <v>44663</v>
      </c>
      <c r="H1399" s="14" t="s">
        <v>4650</v>
      </c>
      <c r="I1399" s="14" t="s">
        <v>3365</v>
      </c>
      <c r="J1399" s="13" t="str" cm="1">
        <f t="array" ref="J1399">_xlfn.IFS(
  OR(ISBLANK(A1399),ISBLANK(B1399),ISBLANK(H1399),ISBLANK(D1399),ISBLANK(E1399)),"Missing Value",
  D1399&lt;=0,"Review – Out of Range (Coverage)",
  E1399&lt;=0,"Review – Out of Range (Premium)",
  TRUE,"OK"
)</f>
        <v>OK</v>
      </c>
    </row>
    <row r="1400" spans="1:10" ht="16.8" x14ac:dyDescent="0.3">
      <c r="A1400" s="11" t="s">
        <v>5057</v>
      </c>
      <c r="B1400" s="11" t="s">
        <v>2551</v>
      </c>
      <c r="C1400" s="11" t="s">
        <v>3371</v>
      </c>
      <c r="D1400" s="11">
        <v>172279.25</v>
      </c>
      <c r="E1400" s="11">
        <v>17747.38</v>
      </c>
      <c r="F1400" s="12">
        <v>45244</v>
      </c>
      <c r="G1400" s="12">
        <v>45499</v>
      </c>
      <c r="H1400" s="11" t="s">
        <v>3367</v>
      </c>
      <c r="I1400" s="11" t="s">
        <v>3365</v>
      </c>
      <c r="J1400" s="13" t="str" cm="1">
        <f t="array" ref="J1400">_xlfn.IFS(
  OR(ISBLANK(A1400),ISBLANK(B1400),ISBLANK(H1400),ISBLANK(D1400),ISBLANK(E1400)),"Missing Value",
  D1400&lt;=0,"Review – Out of Range (Coverage)",
  E1400&lt;=0,"Review – Out of Range (Premium)",
  TRUE,"OK"
)</f>
        <v>OK</v>
      </c>
    </row>
    <row r="1401" spans="1:10" ht="16.8" x14ac:dyDescent="0.3">
      <c r="A1401" s="14" t="s">
        <v>5058</v>
      </c>
      <c r="B1401" s="14" t="s">
        <v>2317</v>
      </c>
      <c r="C1401" s="14" t="s">
        <v>3371</v>
      </c>
      <c r="D1401" s="14">
        <v>195733.57</v>
      </c>
      <c r="E1401" s="14">
        <v>21700.98</v>
      </c>
      <c r="F1401" s="15">
        <v>44767</v>
      </c>
      <c r="G1401" s="15">
        <v>44996</v>
      </c>
      <c r="H1401" s="14" t="s">
        <v>4439</v>
      </c>
      <c r="I1401" s="14" t="s">
        <v>3361</v>
      </c>
      <c r="J1401" s="13" t="str" cm="1">
        <f t="array" ref="J1401">_xlfn.IFS(
  OR(ISBLANK(A1401),ISBLANK(B1401),ISBLANK(H1401),ISBLANK(D1401),ISBLANK(E1401)),"Missing Value",
  D1401&lt;=0,"Review – Out of Range (Coverage)",
  E1401&lt;=0,"Review – Out of Range (Premium)",
  TRUE,"OK"
)</f>
        <v>OK</v>
      </c>
    </row>
    <row r="1402" spans="1:10" ht="16.8" x14ac:dyDescent="0.3">
      <c r="A1402" s="11" t="s">
        <v>5059</v>
      </c>
      <c r="B1402" s="11" t="s">
        <v>2073</v>
      </c>
      <c r="C1402" s="11" t="s">
        <v>3377</v>
      </c>
      <c r="D1402" s="11">
        <v>910655.9</v>
      </c>
      <c r="E1402" s="11">
        <v>39278.800000000003</v>
      </c>
      <c r="F1402" s="12">
        <v>45233</v>
      </c>
      <c r="G1402" s="12">
        <v>45519</v>
      </c>
      <c r="H1402" s="11" t="s">
        <v>3859</v>
      </c>
      <c r="I1402" s="11" t="s">
        <v>3361</v>
      </c>
      <c r="J1402" s="13" t="str" cm="1">
        <f t="array" ref="J1402">_xlfn.IFS(
  OR(ISBLANK(A1402),ISBLANK(B1402),ISBLANK(H1402),ISBLANK(D1402),ISBLANK(E1402)),"Missing Value",
  D1402&lt;=0,"Review – Out of Range (Coverage)",
  E1402&lt;=0,"Review – Out of Range (Premium)",
  TRUE,"OK"
)</f>
        <v>OK</v>
      </c>
    </row>
    <row r="1403" spans="1:10" ht="16.8" x14ac:dyDescent="0.3">
      <c r="A1403" s="14" t="s">
        <v>5060</v>
      </c>
      <c r="B1403" s="14" t="s">
        <v>2429</v>
      </c>
      <c r="C1403" s="14" t="s">
        <v>3363</v>
      </c>
      <c r="D1403" s="14">
        <v>210020.97</v>
      </c>
      <c r="E1403" s="14">
        <v>12610.36</v>
      </c>
      <c r="F1403" s="15">
        <v>45051</v>
      </c>
      <c r="G1403" s="15">
        <v>45580</v>
      </c>
      <c r="H1403" s="14" t="s">
        <v>4234</v>
      </c>
      <c r="I1403" s="14" t="s">
        <v>3365</v>
      </c>
      <c r="J1403" s="13" t="str" cm="1">
        <f t="array" ref="J1403">_xlfn.IFS(
  OR(ISBLANK(A1403),ISBLANK(B1403),ISBLANK(H1403),ISBLANK(D1403),ISBLANK(E1403)),"Missing Value",
  D1403&lt;=0,"Review – Out of Range (Coverage)",
  E1403&lt;=0,"Review – Out of Range (Premium)",
  TRUE,"OK"
)</f>
        <v>OK</v>
      </c>
    </row>
    <row r="1404" spans="1:10" ht="16.8" x14ac:dyDescent="0.3">
      <c r="A1404" s="11" t="s">
        <v>5061</v>
      </c>
      <c r="B1404" s="11" t="s">
        <v>1655</v>
      </c>
      <c r="C1404" s="11" t="s">
        <v>3359</v>
      </c>
      <c r="D1404" s="11">
        <v>230773.31</v>
      </c>
      <c r="E1404" s="11">
        <v>34013.089999999997</v>
      </c>
      <c r="F1404" s="12">
        <v>45049</v>
      </c>
      <c r="G1404" s="12">
        <v>45742</v>
      </c>
      <c r="H1404" s="11" t="s">
        <v>3894</v>
      </c>
      <c r="I1404" s="11" t="s">
        <v>3361</v>
      </c>
      <c r="J1404" s="13" t="str" cm="1">
        <f t="array" ref="J1404">_xlfn.IFS(
  OR(ISBLANK(A1404),ISBLANK(B1404),ISBLANK(H1404),ISBLANK(D1404),ISBLANK(E1404)),"Missing Value",
  D1404&lt;=0,"Review – Out of Range (Coverage)",
  E1404&lt;=0,"Review – Out of Range (Premium)",
  TRUE,"OK"
)</f>
        <v>OK</v>
      </c>
    </row>
    <row r="1405" spans="1:10" ht="16.8" x14ac:dyDescent="0.3">
      <c r="A1405" s="14" t="s">
        <v>5062</v>
      </c>
      <c r="B1405" s="14" t="s">
        <v>2107</v>
      </c>
      <c r="C1405" s="14" t="s">
        <v>3359</v>
      </c>
      <c r="D1405" s="14">
        <v>255049.81</v>
      </c>
      <c r="E1405" s="14">
        <v>36750.79</v>
      </c>
      <c r="F1405" s="15">
        <v>45329</v>
      </c>
      <c r="G1405" s="15">
        <v>45408</v>
      </c>
      <c r="H1405" s="14" t="s">
        <v>3772</v>
      </c>
      <c r="I1405" s="14" t="s">
        <v>3373</v>
      </c>
      <c r="J1405" s="13" t="str" cm="1">
        <f t="array" ref="J1405">_xlfn.IFS(
  OR(ISBLANK(A1405),ISBLANK(B1405),ISBLANK(H1405),ISBLANK(D1405),ISBLANK(E1405)),"Missing Value",
  D1405&lt;=0,"Review – Out of Range (Coverage)",
  E1405&lt;=0,"Review – Out of Range (Premium)",
  TRUE,"OK"
)</f>
        <v>OK</v>
      </c>
    </row>
    <row r="1406" spans="1:10" ht="16.8" x14ac:dyDescent="0.3">
      <c r="A1406" s="11" t="s">
        <v>5063</v>
      </c>
      <c r="B1406" s="11" t="s">
        <v>1789</v>
      </c>
      <c r="C1406" s="11" t="s">
        <v>3380</v>
      </c>
      <c r="D1406" s="11">
        <v>152825.64000000001</v>
      </c>
      <c r="E1406" s="11">
        <v>17950.13</v>
      </c>
      <c r="F1406" s="12">
        <v>45291</v>
      </c>
      <c r="G1406" s="12">
        <v>45442</v>
      </c>
      <c r="H1406" s="11" t="s">
        <v>3524</v>
      </c>
      <c r="I1406" s="11" t="s">
        <v>3365</v>
      </c>
      <c r="J1406" s="13" t="str" cm="1">
        <f t="array" ref="J1406">_xlfn.IFS(
  OR(ISBLANK(A1406),ISBLANK(B1406),ISBLANK(H1406),ISBLANK(D1406),ISBLANK(E1406)),"Missing Value",
  D1406&lt;=0,"Review – Out of Range (Coverage)",
  E1406&lt;=0,"Review – Out of Range (Premium)",
  TRUE,"OK"
)</f>
        <v>OK</v>
      </c>
    </row>
    <row r="1407" spans="1:10" ht="16.8" x14ac:dyDescent="0.3">
      <c r="A1407" s="14" t="s">
        <v>5064</v>
      </c>
      <c r="B1407" s="14" t="s">
        <v>1041</v>
      </c>
      <c r="C1407" s="14" t="s">
        <v>3363</v>
      </c>
      <c r="D1407" s="14">
        <v>399417.86</v>
      </c>
      <c r="E1407" s="14">
        <v>23561.05</v>
      </c>
      <c r="F1407" s="15">
        <v>44760</v>
      </c>
      <c r="G1407" s="15">
        <v>45789</v>
      </c>
      <c r="H1407" s="14" t="s">
        <v>3473</v>
      </c>
      <c r="I1407" s="14" t="s">
        <v>3373</v>
      </c>
      <c r="J1407" s="13" t="str" cm="1">
        <f t="array" ref="J1407">_xlfn.IFS(
  OR(ISBLANK(A1407),ISBLANK(B1407),ISBLANK(H1407),ISBLANK(D1407),ISBLANK(E1407)),"Missing Value",
  D1407&lt;=0,"Review – Out of Range (Coverage)",
  E1407&lt;=0,"Review – Out of Range (Premium)",
  TRUE,"OK"
)</f>
        <v>OK</v>
      </c>
    </row>
    <row r="1408" spans="1:10" ht="16.8" x14ac:dyDescent="0.3">
      <c r="A1408" s="11" t="s">
        <v>5065</v>
      </c>
      <c r="B1408" s="11" t="s">
        <v>1765</v>
      </c>
      <c r="C1408" s="11" t="s">
        <v>3380</v>
      </c>
      <c r="D1408" s="11">
        <v>697837.19</v>
      </c>
      <c r="E1408" s="11">
        <v>31456.240000000002</v>
      </c>
      <c r="F1408" s="12">
        <v>44049</v>
      </c>
      <c r="G1408" s="12">
        <v>45594</v>
      </c>
      <c r="H1408" s="11" t="s">
        <v>3675</v>
      </c>
      <c r="I1408" s="11" t="s">
        <v>3361</v>
      </c>
      <c r="J1408" s="13" t="str" cm="1">
        <f t="array" ref="J1408">_xlfn.IFS(
  OR(ISBLANK(A1408),ISBLANK(B1408),ISBLANK(H1408),ISBLANK(D1408),ISBLANK(E1408)),"Missing Value",
  D1408&lt;=0,"Review – Out of Range (Coverage)",
  E1408&lt;=0,"Review – Out of Range (Premium)",
  TRUE,"OK"
)</f>
        <v>OK</v>
      </c>
    </row>
    <row r="1409" spans="1:10" ht="16.8" x14ac:dyDescent="0.3">
      <c r="A1409" s="14" t="s">
        <v>5066</v>
      </c>
      <c r="B1409" s="14" t="s">
        <v>504</v>
      </c>
      <c r="C1409" s="14" t="s">
        <v>3377</v>
      </c>
      <c r="D1409" s="14">
        <v>464294.95</v>
      </c>
      <c r="E1409" s="14">
        <v>18421.419999999998</v>
      </c>
      <c r="F1409" s="15">
        <v>45238</v>
      </c>
      <c r="G1409" s="15">
        <v>45561</v>
      </c>
      <c r="H1409" s="14" t="s">
        <v>3610</v>
      </c>
      <c r="I1409" s="14" t="s">
        <v>3361</v>
      </c>
      <c r="J1409" s="13" t="str" cm="1">
        <f t="array" ref="J1409">_xlfn.IFS(
  OR(ISBLANK(A1409),ISBLANK(B1409),ISBLANK(H1409),ISBLANK(D1409),ISBLANK(E1409)),"Missing Value",
  D1409&lt;=0,"Review – Out of Range (Coverage)",
  E1409&lt;=0,"Review – Out of Range (Premium)",
  TRUE,"OK"
)</f>
        <v>OK</v>
      </c>
    </row>
    <row r="1410" spans="1:10" ht="16.8" x14ac:dyDescent="0.3">
      <c r="A1410" s="11" t="s">
        <v>5067</v>
      </c>
      <c r="B1410" s="11" t="s">
        <v>3204</v>
      </c>
      <c r="C1410" s="11" t="s">
        <v>3359</v>
      </c>
      <c r="D1410" s="11">
        <v>282776.71000000002</v>
      </c>
      <c r="E1410" s="11">
        <v>10424</v>
      </c>
      <c r="F1410" s="12">
        <v>45329</v>
      </c>
      <c r="G1410" s="12">
        <v>45588</v>
      </c>
      <c r="H1410" s="11" t="s">
        <v>4556</v>
      </c>
      <c r="I1410" s="11" t="s">
        <v>3361</v>
      </c>
      <c r="J1410" s="13" t="str" cm="1">
        <f t="array" ref="J1410">_xlfn.IFS(
  OR(ISBLANK(A1410),ISBLANK(B1410),ISBLANK(H1410),ISBLANK(D1410),ISBLANK(E1410)),"Missing Value",
  D1410&lt;=0,"Review – Out of Range (Coverage)",
  E1410&lt;=0,"Review – Out of Range (Premium)",
  TRUE,"OK"
)</f>
        <v>OK</v>
      </c>
    </row>
    <row r="1411" spans="1:10" ht="16.8" x14ac:dyDescent="0.3">
      <c r="A1411" s="14" t="s">
        <v>5068</v>
      </c>
      <c r="B1411" s="14" t="s">
        <v>1159</v>
      </c>
      <c r="C1411" s="14" t="s">
        <v>3377</v>
      </c>
      <c r="D1411" s="14">
        <v>119226.42</v>
      </c>
      <c r="E1411" s="14">
        <v>33608.050000000003</v>
      </c>
      <c r="F1411" s="15">
        <v>45193</v>
      </c>
      <c r="G1411" s="15">
        <v>45773</v>
      </c>
      <c r="H1411" s="14" t="s">
        <v>3809</v>
      </c>
      <c r="I1411" s="14" t="s">
        <v>3365</v>
      </c>
      <c r="J1411" s="13" t="str" cm="1">
        <f t="array" ref="J1411">_xlfn.IFS(
  OR(ISBLANK(A1411),ISBLANK(B1411),ISBLANK(H1411),ISBLANK(D1411),ISBLANK(E1411)),"Missing Value",
  D1411&lt;=0,"Review – Out of Range (Coverage)",
  E1411&lt;=0,"Review – Out of Range (Premium)",
  TRUE,"OK"
)</f>
        <v>OK</v>
      </c>
    </row>
    <row r="1412" spans="1:10" ht="16.8" x14ac:dyDescent="0.3">
      <c r="A1412" s="11" t="s">
        <v>5069</v>
      </c>
      <c r="B1412" s="11" t="s">
        <v>3334</v>
      </c>
      <c r="C1412" s="11" t="s">
        <v>3371</v>
      </c>
      <c r="D1412" s="11">
        <v>928722.28</v>
      </c>
      <c r="E1412" s="11">
        <v>36167.160000000003</v>
      </c>
      <c r="F1412" s="12">
        <v>45086</v>
      </c>
      <c r="G1412" s="12">
        <v>45195</v>
      </c>
      <c r="H1412" s="11" t="s">
        <v>3545</v>
      </c>
      <c r="I1412" s="11" t="s">
        <v>3361</v>
      </c>
      <c r="J1412" s="13" t="str" cm="1">
        <f t="array" ref="J1412">_xlfn.IFS(
  OR(ISBLANK(A1412),ISBLANK(B1412),ISBLANK(H1412),ISBLANK(D1412),ISBLANK(E1412)),"Missing Value",
  D1412&lt;=0,"Review – Out of Range (Coverage)",
  E1412&lt;=0,"Review – Out of Range (Premium)",
  TRUE,"OK"
)</f>
        <v>OK</v>
      </c>
    </row>
    <row r="1413" spans="1:10" ht="16.8" x14ac:dyDescent="0.3">
      <c r="A1413" s="14" t="s">
        <v>5070</v>
      </c>
      <c r="B1413" s="14" t="s">
        <v>3212</v>
      </c>
      <c r="C1413" s="14" t="s">
        <v>3380</v>
      </c>
      <c r="D1413" s="14">
        <v>156268.41</v>
      </c>
      <c r="E1413" s="14">
        <v>33843.839999999997</v>
      </c>
      <c r="F1413" s="15">
        <v>44446</v>
      </c>
      <c r="G1413" s="15">
        <v>44878</v>
      </c>
      <c r="H1413" s="14" t="s">
        <v>3815</v>
      </c>
      <c r="I1413" s="14" t="s">
        <v>3365</v>
      </c>
      <c r="J1413" s="13" t="str" cm="1">
        <f t="array" ref="J1413">_xlfn.IFS(
  OR(ISBLANK(A1413),ISBLANK(B1413),ISBLANK(H1413),ISBLANK(D1413),ISBLANK(E1413)),"Missing Value",
  D1413&lt;=0,"Review – Out of Range (Coverage)",
  E1413&lt;=0,"Review – Out of Range (Premium)",
  TRUE,"OK"
)</f>
        <v>OK</v>
      </c>
    </row>
    <row r="1414" spans="1:10" ht="16.8" x14ac:dyDescent="0.3">
      <c r="A1414" s="11" t="s">
        <v>5071</v>
      </c>
      <c r="B1414" s="11" t="s">
        <v>2911</v>
      </c>
      <c r="C1414" s="11" t="s">
        <v>3359</v>
      </c>
      <c r="D1414" s="11">
        <v>942604.25</v>
      </c>
      <c r="E1414" s="11">
        <v>23050.59</v>
      </c>
      <c r="F1414" s="12">
        <v>45379</v>
      </c>
      <c r="G1414" s="12">
        <v>45709</v>
      </c>
      <c r="H1414" s="11" t="s">
        <v>3459</v>
      </c>
      <c r="I1414" s="11" t="s">
        <v>3365</v>
      </c>
      <c r="J1414" s="13" t="str" cm="1">
        <f t="array" ref="J1414">_xlfn.IFS(
  OR(ISBLANK(A1414),ISBLANK(B1414),ISBLANK(H1414),ISBLANK(D1414),ISBLANK(E1414)),"Missing Value",
  D1414&lt;=0,"Review – Out of Range (Coverage)",
  E1414&lt;=0,"Review – Out of Range (Premium)",
  TRUE,"OK"
)</f>
        <v>OK</v>
      </c>
    </row>
    <row r="1415" spans="1:10" ht="16.8" x14ac:dyDescent="0.3">
      <c r="A1415" s="14" t="s">
        <v>5072</v>
      </c>
      <c r="B1415" s="14" t="s">
        <v>1385</v>
      </c>
      <c r="C1415" s="14" t="s">
        <v>3371</v>
      </c>
      <c r="D1415" s="14">
        <v>330354.43</v>
      </c>
      <c r="E1415" s="14">
        <v>11697.6</v>
      </c>
      <c r="F1415" s="15">
        <v>45478</v>
      </c>
      <c r="G1415" s="15">
        <v>45817</v>
      </c>
      <c r="H1415" s="14" t="s">
        <v>3660</v>
      </c>
      <c r="I1415" s="14" t="s">
        <v>3365</v>
      </c>
      <c r="J1415" s="13" t="str" cm="1">
        <f t="array" ref="J1415">_xlfn.IFS(
  OR(ISBLANK(A1415),ISBLANK(B1415),ISBLANK(H1415),ISBLANK(D1415),ISBLANK(E1415)),"Missing Value",
  D1415&lt;=0,"Review – Out of Range (Coverage)",
  E1415&lt;=0,"Review – Out of Range (Premium)",
  TRUE,"OK"
)</f>
        <v>OK</v>
      </c>
    </row>
    <row r="1416" spans="1:10" ht="16.8" x14ac:dyDescent="0.3">
      <c r="A1416" s="11" t="s">
        <v>5073</v>
      </c>
      <c r="B1416" s="11" t="s">
        <v>2443</v>
      </c>
      <c r="C1416" s="11" t="s">
        <v>3359</v>
      </c>
      <c r="D1416" s="11">
        <v>289792.27</v>
      </c>
      <c r="E1416" s="11">
        <v>17733.669999999998</v>
      </c>
      <c r="F1416" s="12">
        <v>44706</v>
      </c>
      <c r="G1416" s="12">
        <v>45283</v>
      </c>
      <c r="H1416" s="11" t="s">
        <v>3459</v>
      </c>
      <c r="I1416" s="11" t="s">
        <v>3365</v>
      </c>
      <c r="J1416" s="13" t="str" cm="1">
        <f t="array" ref="J1416">_xlfn.IFS(
  OR(ISBLANK(A1416),ISBLANK(B1416),ISBLANK(H1416),ISBLANK(D1416),ISBLANK(E1416)),"Missing Value",
  D1416&lt;=0,"Review – Out of Range (Coverage)",
  E1416&lt;=0,"Review – Out of Range (Premium)",
  TRUE,"OK"
)</f>
        <v>OK</v>
      </c>
    </row>
    <row r="1417" spans="1:10" ht="16.8" x14ac:dyDescent="0.3">
      <c r="A1417" s="14" t="s">
        <v>5074</v>
      </c>
      <c r="B1417" s="14" t="s">
        <v>885</v>
      </c>
      <c r="C1417" s="14" t="s">
        <v>3380</v>
      </c>
      <c r="D1417" s="14">
        <v>985784.64</v>
      </c>
      <c r="E1417" s="14">
        <v>47946.7</v>
      </c>
      <c r="F1417" s="15">
        <v>44819</v>
      </c>
      <c r="G1417" s="15">
        <v>45664</v>
      </c>
      <c r="H1417" s="14" t="s">
        <v>3482</v>
      </c>
      <c r="I1417" s="14" t="s">
        <v>3361</v>
      </c>
      <c r="J1417" s="13" t="str" cm="1">
        <f t="array" ref="J1417">_xlfn.IFS(
  OR(ISBLANK(A1417),ISBLANK(B1417),ISBLANK(H1417),ISBLANK(D1417),ISBLANK(E1417)),"Missing Value",
  D1417&lt;=0,"Review – Out of Range (Coverage)",
  E1417&lt;=0,"Review – Out of Range (Premium)",
  TRUE,"OK"
)</f>
        <v>OK</v>
      </c>
    </row>
    <row r="1418" spans="1:10" ht="16.8" x14ac:dyDescent="0.3">
      <c r="A1418" s="11" t="s">
        <v>5075</v>
      </c>
      <c r="B1418" s="11" t="s">
        <v>2571</v>
      </c>
      <c r="C1418" s="11" t="s">
        <v>3377</v>
      </c>
      <c r="D1418" s="11">
        <v>453867.1</v>
      </c>
      <c r="E1418" s="11">
        <v>48052.02</v>
      </c>
      <c r="F1418" s="12">
        <v>44539</v>
      </c>
      <c r="G1418" s="12">
        <v>44729</v>
      </c>
      <c r="H1418" s="11" t="s">
        <v>3976</v>
      </c>
      <c r="I1418" s="11" t="s">
        <v>3365</v>
      </c>
      <c r="J1418" s="13" t="str" cm="1">
        <f t="array" ref="J1418">_xlfn.IFS(
  OR(ISBLANK(A1418),ISBLANK(B1418),ISBLANK(H1418),ISBLANK(D1418),ISBLANK(E1418)),"Missing Value",
  D1418&lt;=0,"Review – Out of Range (Coverage)",
  E1418&lt;=0,"Review – Out of Range (Premium)",
  TRUE,"OK"
)</f>
        <v>OK</v>
      </c>
    </row>
    <row r="1419" spans="1:10" ht="16.8" x14ac:dyDescent="0.3">
      <c r="A1419" s="14" t="s">
        <v>5076</v>
      </c>
      <c r="B1419" s="14" t="s">
        <v>2617</v>
      </c>
      <c r="C1419" s="14" t="s">
        <v>3380</v>
      </c>
      <c r="D1419" s="14">
        <v>755448.62</v>
      </c>
      <c r="E1419" s="14">
        <v>12577.35</v>
      </c>
      <c r="F1419" s="15">
        <v>45252</v>
      </c>
      <c r="G1419" s="15">
        <v>45362</v>
      </c>
      <c r="H1419" s="14" t="s">
        <v>3560</v>
      </c>
      <c r="I1419" s="14" t="s">
        <v>3373</v>
      </c>
      <c r="J1419" s="13" t="str" cm="1">
        <f t="array" ref="J1419">_xlfn.IFS(
  OR(ISBLANK(A1419),ISBLANK(B1419),ISBLANK(H1419),ISBLANK(D1419),ISBLANK(E1419)),"Missing Value",
  D1419&lt;=0,"Review – Out of Range (Coverage)",
  E1419&lt;=0,"Review – Out of Range (Premium)",
  TRUE,"OK"
)</f>
        <v>OK</v>
      </c>
    </row>
    <row r="1420" spans="1:10" ht="16.8" x14ac:dyDescent="0.3">
      <c r="A1420" s="11" t="s">
        <v>5077</v>
      </c>
      <c r="B1420" s="11" t="s">
        <v>1899</v>
      </c>
      <c r="C1420" s="11" t="s">
        <v>3359</v>
      </c>
      <c r="D1420" s="11">
        <v>209291.38</v>
      </c>
      <c r="E1420" s="11">
        <v>4338.5200000000004</v>
      </c>
      <c r="F1420" s="12">
        <v>44688</v>
      </c>
      <c r="G1420" s="12">
        <v>45796</v>
      </c>
      <c r="H1420" s="11" t="s">
        <v>3964</v>
      </c>
      <c r="I1420" s="11" t="s">
        <v>3373</v>
      </c>
      <c r="J1420" s="13" t="str" cm="1">
        <f t="array" ref="J1420">_xlfn.IFS(
  OR(ISBLANK(A1420),ISBLANK(B1420),ISBLANK(H1420),ISBLANK(D1420),ISBLANK(E1420)),"Missing Value",
  D1420&lt;=0,"Review – Out of Range (Coverage)",
  E1420&lt;=0,"Review – Out of Range (Premium)",
  TRUE,"OK"
)</f>
        <v>OK</v>
      </c>
    </row>
    <row r="1421" spans="1:10" ht="16.8" x14ac:dyDescent="0.3">
      <c r="A1421" s="14" t="s">
        <v>5078</v>
      </c>
      <c r="B1421" s="14" t="s">
        <v>847</v>
      </c>
      <c r="C1421" s="14" t="s">
        <v>3377</v>
      </c>
      <c r="D1421" s="14">
        <v>441843.45</v>
      </c>
      <c r="E1421" s="14">
        <v>9103.48</v>
      </c>
      <c r="F1421" s="15">
        <v>44794</v>
      </c>
      <c r="G1421" s="15">
        <v>45455</v>
      </c>
      <c r="H1421" s="14" t="s">
        <v>4234</v>
      </c>
      <c r="I1421" s="14" t="s">
        <v>3373</v>
      </c>
      <c r="J1421" s="13" t="str" cm="1">
        <f t="array" ref="J1421">_xlfn.IFS(
  OR(ISBLANK(A1421),ISBLANK(B1421),ISBLANK(H1421),ISBLANK(D1421),ISBLANK(E1421)),"Missing Value",
  D1421&lt;=0,"Review – Out of Range (Coverage)",
  E1421&lt;=0,"Review – Out of Range (Premium)",
  TRUE,"OK"
)</f>
        <v>OK</v>
      </c>
    </row>
    <row r="1422" spans="1:10" ht="16.8" x14ac:dyDescent="0.3">
      <c r="A1422" s="11" t="s">
        <v>5079</v>
      </c>
      <c r="B1422" s="11" t="s">
        <v>446</v>
      </c>
      <c r="C1422" s="11" t="s">
        <v>3371</v>
      </c>
      <c r="D1422" s="11">
        <v>975293.07</v>
      </c>
      <c r="E1422" s="11">
        <v>24671.4</v>
      </c>
      <c r="F1422" s="12">
        <v>44898</v>
      </c>
      <c r="G1422" s="12">
        <v>45421</v>
      </c>
      <c r="H1422" s="11" t="s">
        <v>3644</v>
      </c>
      <c r="I1422" s="11" t="s">
        <v>3365</v>
      </c>
      <c r="J1422" s="13" t="str" cm="1">
        <f t="array" ref="J1422">_xlfn.IFS(
  OR(ISBLANK(A1422),ISBLANK(B1422),ISBLANK(H1422),ISBLANK(D1422),ISBLANK(E1422)),"Missing Value",
  D1422&lt;=0,"Review – Out of Range (Coverage)",
  E1422&lt;=0,"Review – Out of Range (Premium)",
  TRUE,"OK"
)</f>
        <v>OK</v>
      </c>
    </row>
    <row r="1423" spans="1:10" ht="16.8" x14ac:dyDescent="0.3">
      <c r="A1423" s="14" t="s">
        <v>5080</v>
      </c>
      <c r="B1423" s="14" t="s">
        <v>2413</v>
      </c>
      <c r="C1423" s="14" t="s">
        <v>3371</v>
      </c>
      <c r="D1423" s="14">
        <v>149887.92000000001</v>
      </c>
      <c r="E1423" s="14">
        <v>13280.41</v>
      </c>
      <c r="F1423" s="15">
        <v>44465</v>
      </c>
      <c r="G1423" s="15">
        <v>44925</v>
      </c>
      <c r="H1423" s="14" t="s">
        <v>3555</v>
      </c>
      <c r="I1423" s="14" t="s">
        <v>3365</v>
      </c>
      <c r="J1423" s="13" t="str" cm="1">
        <f t="array" ref="J1423">_xlfn.IFS(
  OR(ISBLANK(A1423),ISBLANK(B1423),ISBLANK(H1423),ISBLANK(D1423),ISBLANK(E1423)),"Missing Value",
  D1423&lt;=0,"Review – Out of Range (Coverage)",
  E1423&lt;=0,"Review – Out of Range (Premium)",
  TRUE,"OK"
)</f>
        <v>OK</v>
      </c>
    </row>
    <row r="1424" spans="1:10" ht="16.8" x14ac:dyDescent="0.3">
      <c r="A1424" s="11" t="s">
        <v>5081</v>
      </c>
      <c r="B1424" s="11" t="s">
        <v>418</v>
      </c>
      <c r="C1424" s="11" t="s">
        <v>3363</v>
      </c>
      <c r="D1424" s="11">
        <v>287065.21999999997</v>
      </c>
      <c r="E1424" s="11">
        <v>24918.81</v>
      </c>
      <c r="F1424" s="12">
        <v>44928</v>
      </c>
      <c r="G1424" s="12">
        <v>45859</v>
      </c>
      <c r="H1424" s="11" t="s">
        <v>4067</v>
      </c>
      <c r="I1424" s="11" t="s">
        <v>3373</v>
      </c>
      <c r="J1424" s="13" t="str" cm="1">
        <f t="array" ref="J1424">_xlfn.IFS(
  OR(ISBLANK(A1424),ISBLANK(B1424),ISBLANK(H1424),ISBLANK(D1424),ISBLANK(E1424)),"Missing Value",
  D1424&lt;=0,"Review – Out of Range (Coverage)",
  E1424&lt;=0,"Review – Out of Range (Premium)",
  TRUE,"OK"
)</f>
        <v>OK</v>
      </c>
    </row>
    <row r="1425" spans="1:10" ht="16.8" x14ac:dyDescent="0.3">
      <c r="A1425" s="14" t="s">
        <v>5082</v>
      </c>
      <c r="B1425" s="14" t="s">
        <v>1845</v>
      </c>
      <c r="C1425" s="14" t="s">
        <v>3359</v>
      </c>
      <c r="D1425" s="14">
        <v>191494.75</v>
      </c>
      <c r="E1425" s="14">
        <v>19277.14</v>
      </c>
      <c r="F1425" s="15">
        <v>45091</v>
      </c>
      <c r="G1425" s="15">
        <v>45540</v>
      </c>
      <c r="H1425" s="14" t="s">
        <v>4102</v>
      </c>
      <c r="I1425" s="14" t="s">
        <v>3365</v>
      </c>
      <c r="J1425" s="13" t="str" cm="1">
        <f t="array" ref="J1425">_xlfn.IFS(
  OR(ISBLANK(A1425),ISBLANK(B1425),ISBLANK(H1425),ISBLANK(D1425),ISBLANK(E1425)),"Missing Value",
  D1425&lt;=0,"Review – Out of Range (Coverage)",
  E1425&lt;=0,"Review – Out of Range (Premium)",
  TRUE,"OK"
)</f>
        <v>OK</v>
      </c>
    </row>
    <row r="1426" spans="1:10" ht="16.8" x14ac:dyDescent="0.3">
      <c r="A1426" s="11" t="s">
        <v>5083</v>
      </c>
      <c r="B1426" s="11" t="s">
        <v>1255</v>
      </c>
      <c r="C1426" s="11" t="s">
        <v>3359</v>
      </c>
      <c r="D1426" s="11">
        <v>486322.96</v>
      </c>
      <c r="E1426" s="11">
        <v>31231.64</v>
      </c>
      <c r="F1426" s="12">
        <v>45047</v>
      </c>
      <c r="G1426" s="12">
        <v>45221</v>
      </c>
      <c r="H1426" s="11" t="s">
        <v>3986</v>
      </c>
      <c r="I1426" s="11" t="s">
        <v>3365</v>
      </c>
      <c r="J1426" s="13" t="str" cm="1">
        <f t="array" ref="J1426">_xlfn.IFS(
  OR(ISBLANK(A1426),ISBLANK(B1426),ISBLANK(H1426),ISBLANK(D1426),ISBLANK(E1426)),"Missing Value",
  D1426&lt;=0,"Review – Out of Range (Coverage)",
  E1426&lt;=0,"Review – Out of Range (Premium)",
  TRUE,"OK"
)</f>
        <v>OK</v>
      </c>
    </row>
    <row r="1427" spans="1:10" ht="16.8" x14ac:dyDescent="0.3">
      <c r="A1427" s="14" t="s">
        <v>5084</v>
      </c>
      <c r="B1427" s="14" t="s">
        <v>242</v>
      </c>
      <c r="C1427" s="14" t="s">
        <v>3371</v>
      </c>
      <c r="D1427" s="14">
        <v>851583.62</v>
      </c>
      <c r="E1427" s="14">
        <v>28611.99</v>
      </c>
      <c r="F1427" s="15">
        <v>45490</v>
      </c>
      <c r="G1427" s="15">
        <v>45832</v>
      </c>
      <c r="H1427" s="14" t="s">
        <v>3687</v>
      </c>
      <c r="I1427" s="14" t="s">
        <v>3365</v>
      </c>
      <c r="J1427" s="13" t="str" cm="1">
        <f t="array" ref="J1427">_xlfn.IFS(
  OR(ISBLANK(A1427),ISBLANK(B1427),ISBLANK(H1427),ISBLANK(D1427),ISBLANK(E1427)),"Missing Value",
  D1427&lt;=0,"Review – Out of Range (Coverage)",
  E1427&lt;=0,"Review – Out of Range (Premium)",
  TRUE,"OK"
)</f>
        <v>OK</v>
      </c>
    </row>
    <row r="1428" spans="1:10" ht="16.8" x14ac:dyDescent="0.3">
      <c r="A1428" s="11" t="s">
        <v>5085</v>
      </c>
      <c r="B1428" s="11" t="s">
        <v>2937</v>
      </c>
      <c r="C1428" s="11" t="s">
        <v>3371</v>
      </c>
      <c r="D1428" s="11">
        <v>554432.37</v>
      </c>
      <c r="E1428" s="11">
        <v>16775.34</v>
      </c>
      <c r="F1428" s="12">
        <v>45046</v>
      </c>
      <c r="G1428" s="12">
        <v>45833</v>
      </c>
      <c r="H1428" s="11" t="s">
        <v>3395</v>
      </c>
      <c r="I1428" s="11" t="s">
        <v>3373</v>
      </c>
      <c r="J1428" s="13" t="str" cm="1">
        <f t="array" ref="J1428">_xlfn.IFS(
  OR(ISBLANK(A1428),ISBLANK(B1428),ISBLANK(H1428),ISBLANK(D1428),ISBLANK(E1428)),"Missing Value",
  D1428&lt;=0,"Review – Out of Range (Coverage)",
  E1428&lt;=0,"Review – Out of Range (Premium)",
  TRUE,"OK"
)</f>
        <v>OK</v>
      </c>
    </row>
    <row r="1429" spans="1:10" ht="16.8" x14ac:dyDescent="0.3">
      <c r="A1429" s="14" t="s">
        <v>5086</v>
      </c>
      <c r="B1429" s="14" t="s">
        <v>1365</v>
      </c>
      <c r="C1429" s="14" t="s">
        <v>3380</v>
      </c>
      <c r="D1429" s="14">
        <v>135545.56</v>
      </c>
      <c r="E1429" s="14">
        <v>21169.919999999998</v>
      </c>
      <c r="F1429" s="15">
        <v>44672</v>
      </c>
      <c r="G1429" s="15">
        <v>45500</v>
      </c>
      <c r="H1429" s="14" t="s">
        <v>3721</v>
      </c>
      <c r="I1429" s="14" t="s">
        <v>3361</v>
      </c>
      <c r="J1429" s="13" t="str" cm="1">
        <f t="array" ref="J1429">_xlfn.IFS(
  OR(ISBLANK(A1429),ISBLANK(B1429),ISBLANK(H1429),ISBLANK(D1429),ISBLANK(E1429)),"Missing Value",
  D1429&lt;=0,"Review – Out of Range (Coverage)",
  E1429&lt;=0,"Review – Out of Range (Premium)",
  TRUE,"OK"
)</f>
        <v>OK</v>
      </c>
    </row>
    <row r="1430" spans="1:10" ht="16.8" x14ac:dyDescent="0.3">
      <c r="A1430" s="11" t="s">
        <v>5087</v>
      </c>
      <c r="B1430" s="11" t="s">
        <v>2123</v>
      </c>
      <c r="C1430" s="11" t="s">
        <v>3359</v>
      </c>
      <c r="D1430" s="11">
        <v>637002.04</v>
      </c>
      <c r="E1430" s="11">
        <v>7526.06</v>
      </c>
      <c r="F1430" s="12">
        <v>44523</v>
      </c>
      <c r="G1430" s="12">
        <v>45851</v>
      </c>
      <c r="H1430" s="11" t="s">
        <v>3405</v>
      </c>
      <c r="I1430" s="11" t="s">
        <v>3373</v>
      </c>
      <c r="J1430" s="13" t="str" cm="1">
        <f t="array" ref="J1430">_xlfn.IFS(
  OR(ISBLANK(A1430),ISBLANK(B1430),ISBLANK(H1430),ISBLANK(D1430),ISBLANK(E1430)),"Missing Value",
  D1430&lt;=0,"Review – Out of Range (Coverage)",
  E1430&lt;=0,"Review – Out of Range (Premium)",
  TRUE,"OK"
)</f>
        <v>OK</v>
      </c>
    </row>
    <row r="1431" spans="1:10" ht="16.8" x14ac:dyDescent="0.3">
      <c r="A1431" s="14" t="s">
        <v>5088</v>
      </c>
      <c r="B1431" s="14" t="s">
        <v>1993</v>
      </c>
      <c r="C1431" s="14" t="s">
        <v>3380</v>
      </c>
      <c r="D1431" s="14">
        <v>177350.66</v>
      </c>
      <c r="E1431" s="14">
        <v>36308.67</v>
      </c>
      <c r="F1431" s="15">
        <v>45480</v>
      </c>
      <c r="G1431" s="15">
        <v>45703</v>
      </c>
      <c r="H1431" s="14" t="s">
        <v>3467</v>
      </c>
      <c r="I1431" s="14" t="s">
        <v>3365</v>
      </c>
      <c r="J1431" s="13" t="str" cm="1">
        <f t="array" ref="J1431">_xlfn.IFS(
  OR(ISBLANK(A1431),ISBLANK(B1431),ISBLANK(H1431),ISBLANK(D1431),ISBLANK(E1431)),"Missing Value",
  D1431&lt;=0,"Review – Out of Range (Coverage)",
  E1431&lt;=0,"Review – Out of Range (Premium)",
  TRUE,"OK"
)</f>
        <v>OK</v>
      </c>
    </row>
    <row r="1432" spans="1:10" ht="16.8" x14ac:dyDescent="0.3">
      <c r="A1432" s="11" t="s">
        <v>5089</v>
      </c>
      <c r="B1432" s="11" t="s">
        <v>3276</v>
      </c>
      <c r="C1432" s="11" t="s">
        <v>3377</v>
      </c>
      <c r="D1432" s="11">
        <v>292565.96999999997</v>
      </c>
      <c r="E1432" s="11">
        <v>41469.06</v>
      </c>
      <c r="F1432" s="12">
        <v>44403</v>
      </c>
      <c r="G1432" s="12">
        <v>45711</v>
      </c>
      <c r="H1432" s="11" t="s">
        <v>4045</v>
      </c>
      <c r="I1432" s="11" t="s">
        <v>3361</v>
      </c>
      <c r="J1432" s="13" t="str" cm="1">
        <f t="array" ref="J1432">_xlfn.IFS(
  OR(ISBLANK(A1432),ISBLANK(B1432),ISBLANK(H1432),ISBLANK(D1432),ISBLANK(E1432)),"Missing Value",
  D1432&lt;=0,"Review – Out of Range (Coverage)",
  E1432&lt;=0,"Review – Out of Range (Premium)",
  TRUE,"OK"
)</f>
        <v>OK</v>
      </c>
    </row>
    <row r="1433" spans="1:10" ht="16.8" x14ac:dyDescent="0.3">
      <c r="A1433" s="14" t="s">
        <v>5090</v>
      </c>
      <c r="B1433" s="14" t="s">
        <v>843</v>
      </c>
      <c r="C1433" s="14" t="s">
        <v>3380</v>
      </c>
      <c r="D1433" s="14">
        <v>726888.64</v>
      </c>
      <c r="E1433" s="14">
        <v>11623.48</v>
      </c>
      <c r="F1433" s="15">
        <v>44790</v>
      </c>
      <c r="G1433" s="15">
        <v>44819</v>
      </c>
      <c r="H1433" s="14" t="s">
        <v>4045</v>
      </c>
      <c r="I1433" s="14" t="s">
        <v>3361</v>
      </c>
      <c r="J1433" s="13" t="str" cm="1">
        <f t="array" ref="J1433">_xlfn.IFS(
  OR(ISBLANK(A1433),ISBLANK(B1433),ISBLANK(H1433),ISBLANK(D1433),ISBLANK(E1433)),"Missing Value",
  D1433&lt;=0,"Review – Out of Range (Coverage)",
  E1433&lt;=0,"Review – Out of Range (Premium)",
  TRUE,"OK"
)</f>
        <v>OK</v>
      </c>
    </row>
    <row r="1434" spans="1:10" ht="16.8" x14ac:dyDescent="0.3">
      <c r="A1434" s="11" t="s">
        <v>5091</v>
      </c>
      <c r="B1434" s="11" t="s">
        <v>3268</v>
      </c>
      <c r="C1434" s="11" t="s">
        <v>3380</v>
      </c>
      <c r="D1434" s="11">
        <v>482749.81</v>
      </c>
      <c r="E1434" s="11">
        <v>44143.22</v>
      </c>
      <c r="F1434" s="12">
        <v>44260</v>
      </c>
      <c r="G1434" s="12">
        <v>44707</v>
      </c>
      <c r="H1434" s="11" t="s">
        <v>3447</v>
      </c>
      <c r="I1434" s="11" t="s">
        <v>3373</v>
      </c>
      <c r="J1434" s="13" t="str" cm="1">
        <f t="array" ref="J1434">_xlfn.IFS(
  OR(ISBLANK(A1434),ISBLANK(B1434),ISBLANK(H1434),ISBLANK(D1434),ISBLANK(E1434)),"Missing Value",
  D1434&lt;=0,"Review – Out of Range (Coverage)",
  E1434&lt;=0,"Review – Out of Range (Premium)",
  TRUE,"OK"
)</f>
        <v>OK</v>
      </c>
    </row>
    <row r="1435" spans="1:10" ht="16.8" x14ac:dyDescent="0.3">
      <c r="A1435" s="14" t="s">
        <v>5092</v>
      </c>
      <c r="B1435" s="14" t="s">
        <v>1579</v>
      </c>
      <c r="C1435" s="14" t="s">
        <v>3380</v>
      </c>
      <c r="D1435" s="14">
        <v>201498.8</v>
      </c>
      <c r="E1435" s="14">
        <v>15591.29</v>
      </c>
      <c r="F1435" s="15">
        <v>45465</v>
      </c>
      <c r="G1435" s="15">
        <v>45579</v>
      </c>
      <c r="H1435" s="14" t="s">
        <v>3581</v>
      </c>
      <c r="I1435" s="14" t="s">
        <v>3365</v>
      </c>
      <c r="J1435" s="13" t="str" cm="1">
        <f t="array" ref="J1435">_xlfn.IFS(
  OR(ISBLANK(A1435),ISBLANK(B1435),ISBLANK(H1435),ISBLANK(D1435),ISBLANK(E1435)),"Missing Value",
  D1435&lt;=0,"Review – Out of Range (Coverage)",
  E1435&lt;=0,"Review – Out of Range (Premium)",
  TRUE,"OK"
)</f>
        <v>OK</v>
      </c>
    </row>
    <row r="1436" spans="1:10" ht="16.8" x14ac:dyDescent="0.3">
      <c r="A1436" s="11" t="s">
        <v>5093</v>
      </c>
      <c r="B1436" s="11" t="s">
        <v>1593</v>
      </c>
      <c r="C1436" s="11" t="s">
        <v>3363</v>
      </c>
      <c r="D1436" s="11">
        <v>534530.74</v>
      </c>
      <c r="E1436" s="11">
        <v>45579.35</v>
      </c>
      <c r="F1436" s="12">
        <v>44467</v>
      </c>
      <c r="G1436" s="12">
        <v>45310</v>
      </c>
      <c r="H1436" s="11" t="s">
        <v>3620</v>
      </c>
      <c r="I1436" s="11" t="s">
        <v>3365</v>
      </c>
      <c r="J1436" s="13" t="str" cm="1">
        <f t="array" ref="J1436">_xlfn.IFS(
  OR(ISBLANK(A1436),ISBLANK(B1436),ISBLANK(H1436),ISBLANK(D1436),ISBLANK(E1436)),"Missing Value",
  D1436&lt;=0,"Review – Out of Range (Coverage)",
  E1436&lt;=0,"Review – Out of Range (Premium)",
  TRUE,"OK"
)</f>
        <v>OK</v>
      </c>
    </row>
    <row r="1437" spans="1:10" ht="16.8" x14ac:dyDescent="0.3">
      <c r="A1437" s="14" t="s">
        <v>5094</v>
      </c>
      <c r="B1437" s="14" t="s">
        <v>2549</v>
      </c>
      <c r="C1437" s="14" t="s">
        <v>3359</v>
      </c>
      <c r="D1437" s="14">
        <v>169952.31</v>
      </c>
      <c r="E1437" s="14">
        <v>40663.68</v>
      </c>
      <c r="F1437" s="15">
        <v>44653</v>
      </c>
      <c r="G1437" s="15">
        <v>45607</v>
      </c>
      <c r="H1437" s="14" t="s">
        <v>3704</v>
      </c>
      <c r="I1437" s="14" t="s">
        <v>3365</v>
      </c>
      <c r="J1437" s="13" t="str" cm="1">
        <f t="array" ref="J1437">_xlfn.IFS(
  OR(ISBLANK(A1437),ISBLANK(B1437),ISBLANK(H1437),ISBLANK(D1437),ISBLANK(E1437)),"Missing Value",
  D1437&lt;=0,"Review – Out of Range (Coverage)",
  E1437&lt;=0,"Review – Out of Range (Premium)",
  TRUE,"OK"
)</f>
        <v>OK</v>
      </c>
    </row>
    <row r="1438" spans="1:10" ht="16.8" x14ac:dyDescent="0.3">
      <c r="A1438" s="11" t="s">
        <v>5095</v>
      </c>
      <c r="B1438" s="11" t="s">
        <v>1745</v>
      </c>
      <c r="C1438" s="11" t="s">
        <v>3380</v>
      </c>
      <c r="D1438" s="11">
        <v>838108</v>
      </c>
      <c r="E1438" s="11">
        <v>21383.79</v>
      </c>
      <c r="F1438" s="12">
        <v>45333</v>
      </c>
      <c r="G1438" s="12">
        <v>45854</v>
      </c>
      <c r="H1438" s="11" t="s">
        <v>3440</v>
      </c>
      <c r="I1438" s="11" t="s">
        <v>3361</v>
      </c>
      <c r="J1438" s="13" t="str" cm="1">
        <f t="array" ref="J1438">_xlfn.IFS(
  OR(ISBLANK(A1438),ISBLANK(B1438),ISBLANK(H1438),ISBLANK(D1438),ISBLANK(E1438)),"Missing Value",
  D1438&lt;=0,"Review – Out of Range (Coverage)",
  E1438&lt;=0,"Review – Out of Range (Premium)",
  TRUE,"OK"
)</f>
        <v>OK</v>
      </c>
    </row>
    <row r="1439" spans="1:10" ht="16.8" x14ac:dyDescent="0.3">
      <c r="A1439" s="14" t="s">
        <v>5096</v>
      </c>
      <c r="B1439" s="14" t="s">
        <v>3204</v>
      </c>
      <c r="C1439" s="14" t="s">
        <v>3363</v>
      </c>
      <c r="D1439" s="14">
        <v>313621.62</v>
      </c>
      <c r="E1439" s="14">
        <v>26266.33</v>
      </c>
      <c r="F1439" s="15">
        <v>44635</v>
      </c>
      <c r="G1439" s="15">
        <v>45622</v>
      </c>
      <c r="H1439" s="14" t="s">
        <v>4887</v>
      </c>
      <c r="I1439" s="14" t="s">
        <v>3373</v>
      </c>
      <c r="J1439" s="13" t="str" cm="1">
        <f t="array" ref="J1439">_xlfn.IFS(
  OR(ISBLANK(A1439),ISBLANK(B1439),ISBLANK(H1439),ISBLANK(D1439),ISBLANK(E1439)),"Missing Value",
  D1439&lt;=0,"Review – Out of Range (Coverage)",
  E1439&lt;=0,"Review – Out of Range (Premium)",
  TRUE,"OK"
)</f>
        <v>OK</v>
      </c>
    </row>
    <row r="1440" spans="1:10" ht="16.8" x14ac:dyDescent="0.3">
      <c r="A1440" s="11" t="s">
        <v>5097</v>
      </c>
      <c r="B1440" s="11" t="s">
        <v>2477</v>
      </c>
      <c r="C1440" s="11" t="s">
        <v>3377</v>
      </c>
      <c r="D1440" s="11">
        <v>532164.48</v>
      </c>
      <c r="E1440" s="11">
        <v>19044.63</v>
      </c>
      <c r="F1440" s="12">
        <v>45383</v>
      </c>
      <c r="G1440" s="12">
        <v>45800</v>
      </c>
      <c r="H1440" s="11" t="s">
        <v>3473</v>
      </c>
      <c r="I1440" s="11" t="s">
        <v>3361</v>
      </c>
      <c r="J1440" s="13" t="str" cm="1">
        <f t="array" ref="J1440">_xlfn.IFS(
  OR(ISBLANK(A1440),ISBLANK(B1440),ISBLANK(H1440),ISBLANK(D1440),ISBLANK(E1440)),"Missing Value",
  D1440&lt;=0,"Review – Out of Range (Coverage)",
  E1440&lt;=0,"Review – Out of Range (Premium)",
  TRUE,"OK"
)</f>
        <v>OK</v>
      </c>
    </row>
    <row r="1441" spans="1:10" ht="16.8" x14ac:dyDescent="0.3">
      <c r="A1441" s="14" t="s">
        <v>5098</v>
      </c>
      <c r="B1441" s="14" t="s">
        <v>3206</v>
      </c>
      <c r="C1441" s="14" t="s">
        <v>3359</v>
      </c>
      <c r="D1441" s="14">
        <v>985237.75</v>
      </c>
      <c r="E1441" s="14">
        <v>11316.87</v>
      </c>
      <c r="F1441" s="15">
        <v>44716</v>
      </c>
      <c r="G1441" s="15">
        <v>45470</v>
      </c>
      <c r="H1441" s="14" t="s">
        <v>3852</v>
      </c>
      <c r="I1441" s="14" t="s">
        <v>3365</v>
      </c>
      <c r="J1441" s="13" t="str" cm="1">
        <f t="array" ref="J1441">_xlfn.IFS(
  OR(ISBLANK(A1441),ISBLANK(B1441),ISBLANK(H1441),ISBLANK(D1441),ISBLANK(E1441)),"Missing Value",
  D1441&lt;=0,"Review – Out of Range (Coverage)",
  E1441&lt;=0,"Review – Out of Range (Premium)",
  TRUE,"OK"
)</f>
        <v>OK</v>
      </c>
    </row>
    <row r="1442" spans="1:10" ht="16.8" x14ac:dyDescent="0.3">
      <c r="A1442" s="11" t="s">
        <v>5099</v>
      </c>
      <c r="B1442" s="11" t="s">
        <v>1507</v>
      </c>
      <c r="C1442" s="11" t="s">
        <v>3377</v>
      </c>
      <c r="D1442" s="11">
        <v>350270.54</v>
      </c>
      <c r="E1442" s="11">
        <v>27808.11</v>
      </c>
      <c r="F1442" s="12">
        <v>44376</v>
      </c>
      <c r="G1442" s="12">
        <v>44939</v>
      </c>
      <c r="H1442" s="11" t="s">
        <v>3449</v>
      </c>
      <c r="I1442" s="11" t="s">
        <v>3373</v>
      </c>
      <c r="J1442" s="13" t="str" cm="1">
        <f t="array" ref="J1442">_xlfn.IFS(
  OR(ISBLANK(A1442),ISBLANK(B1442),ISBLANK(H1442),ISBLANK(D1442),ISBLANK(E1442)),"Missing Value",
  D1442&lt;=0,"Review – Out of Range (Coverage)",
  E1442&lt;=0,"Review – Out of Range (Premium)",
  TRUE,"OK"
)</f>
        <v>OK</v>
      </c>
    </row>
    <row r="1443" spans="1:10" ht="16.8" x14ac:dyDescent="0.3">
      <c r="A1443" s="14" t="s">
        <v>5100</v>
      </c>
      <c r="B1443" s="14" t="s">
        <v>1683</v>
      </c>
      <c r="C1443" s="14" t="s">
        <v>3377</v>
      </c>
      <c r="D1443" s="14">
        <v>155464.4</v>
      </c>
      <c r="E1443" s="14">
        <v>47601.120000000003</v>
      </c>
      <c r="F1443" s="15">
        <v>44965</v>
      </c>
      <c r="G1443" s="15">
        <v>45234</v>
      </c>
      <c r="H1443" s="14" t="s">
        <v>3360</v>
      </c>
      <c r="I1443" s="14" t="s">
        <v>3365</v>
      </c>
      <c r="J1443" s="13" t="str" cm="1">
        <f t="array" ref="J1443">_xlfn.IFS(
  OR(ISBLANK(A1443),ISBLANK(B1443),ISBLANK(H1443),ISBLANK(D1443),ISBLANK(E1443)),"Missing Value",
  D1443&lt;=0,"Review – Out of Range (Coverage)",
  E1443&lt;=0,"Review – Out of Range (Premium)",
  TRUE,"OK"
)</f>
        <v>OK</v>
      </c>
    </row>
    <row r="1444" spans="1:10" ht="16.8" x14ac:dyDescent="0.3">
      <c r="A1444" s="11" t="s">
        <v>5101</v>
      </c>
      <c r="B1444" s="11" t="s">
        <v>336</v>
      </c>
      <c r="C1444" s="11" t="s">
        <v>3359</v>
      </c>
      <c r="D1444" s="11">
        <v>492797.53</v>
      </c>
      <c r="E1444" s="11">
        <v>42830.41</v>
      </c>
      <c r="F1444" s="12">
        <v>44679</v>
      </c>
      <c r="G1444" s="12">
        <v>45479</v>
      </c>
      <c r="H1444" s="11" t="s">
        <v>3597</v>
      </c>
      <c r="I1444" s="11" t="s">
        <v>3365</v>
      </c>
      <c r="J1444" s="13" t="str" cm="1">
        <f t="array" ref="J1444">_xlfn.IFS(
  OR(ISBLANK(A1444),ISBLANK(B1444),ISBLANK(H1444),ISBLANK(D1444),ISBLANK(E1444)),"Missing Value",
  D1444&lt;=0,"Review – Out of Range (Coverage)",
  E1444&lt;=0,"Review – Out of Range (Premium)",
  TRUE,"OK"
)</f>
        <v>OK</v>
      </c>
    </row>
    <row r="1445" spans="1:10" ht="16.8" x14ac:dyDescent="0.3">
      <c r="A1445" s="14" t="s">
        <v>5102</v>
      </c>
      <c r="B1445" s="14" t="s">
        <v>256</v>
      </c>
      <c r="C1445" s="14" t="s">
        <v>3377</v>
      </c>
      <c r="D1445" s="14">
        <v>293165.56</v>
      </c>
      <c r="E1445" s="14">
        <v>11362.84</v>
      </c>
      <c r="F1445" s="15">
        <v>44984</v>
      </c>
      <c r="G1445" s="15">
        <v>45234</v>
      </c>
      <c r="H1445" s="14" t="s">
        <v>3434</v>
      </c>
      <c r="I1445" s="14" t="s">
        <v>3361</v>
      </c>
      <c r="J1445" s="13" t="str" cm="1">
        <f t="array" ref="J1445">_xlfn.IFS(
  OR(ISBLANK(A1445),ISBLANK(B1445),ISBLANK(H1445),ISBLANK(D1445),ISBLANK(E1445)),"Missing Value",
  D1445&lt;=0,"Review – Out of Range (Coverage)",
  E1445&lt;=0,"Review – Out of Range (Premium)",
  TRUE,"OK"
)</f>
        <v>OK</v>
      </c>
    </row>
    <row r="1446" spans="1:10" ht="16.8" x14ac:dyDescent="0.3">
      <c r="A1446" s="11" t="s">
        <v>5103</v>
      </c>
      <c r="B1446" s="11" t="s">
        <v>3178</v>
      </c>
      <c r="C1446" s="11" t="s">
        <v>3363</v>
      </c>
      <c r="D1446" s="11">
        <v>359400.31</v>
      </c>
      <c r="E1446" s="11">
        <v>46180.22</v>
      </c>
      <c r="F1446" s="12">
        <v>44704</v>
      </c>
      <c r="G1446" s="12">
        <v>45718</v>
      </c>
      <c r="H1446" s="11" t="s">
        <v>4098</v>
      </c>
      <c r="I1446" s="11" t="s">
        <v>3365</v>
      </c>
      <c r="J1446" s="13" t="str" cm="1">
        <f t="array" ref="J1446">_xlfn.IFS(
  OR(ISBLANK(A1446),ISBLANK(B1446),ISBLANK(H1446),ISBLANK(D1446),ISBLANK(E1446)),"Missing Value",
  D1446&lt;=0,"Review – Out of Range (Coverage)",
  E1446&lt;=0,"Review – Out of Range (Premium)",
  TRUE,"OK"
)</f>
        <v>OK</v>
      </c>
    </row>
    <row r="1447" spans="1:10" ht="16.8" x14ac:dyDescent="0.3">
      <c r="A1447" s="14" t="s">
        <v>5104</v>
      </c>
      <c r="B1447" s="14" t="s">
        <v>797</v>
      </c>
      <c r="C1447" s="14" t="s">
        <v>3371</v>
      </c>
      <c r="D1447" s="14">
        <v>222082.32</v>
      </c>
      <c r="E1447" s="14">
        <v>44535.17</v>
      </c>
      <c r="F1447" s="15">
        <v>44648</v>
      </c>
      <c r="G1447" s="15">
        <v>45695</v>
      </c>
      <c r="H1447" s="14" t="s">
        <v>3746</v>
      </c>
      <c r="I1447" s="14" t="s">
        <v>3361</v>
      </c>
      <c r="J1447" s="13" t="str" cm="1">
        <f t="array" ref="J1447">_xlfn.IFS(
  OR(ISBLANK(A1447),ISBLANK(B1447),ISBLANK(H1447),ISBLANK(D1447),ISBLANK(E1447)),"Missing Value",
  D1447&lt;=0,"Review – Out of Range (Coverage)",
  E1447&lt;=0,"Review – Out of Range (Premium)",
  TRUE,"OK"
)</f>
        <v>OK</v>
      </c>
    </row>
    <row r="1448" spans="1:10" ht="16.8" x14ac:dyDescent="0.3">
      <c r="A1448" s="11" t="s">
        <v>5105</v>
      </c>
      <c r="B1448" s="11" t="s">
        <v>2615</v>
      </c>
      <c r="C1448" s="11" t="s">
        <v>3359</v>
      </c>
      <c r="D1448" s="11">
        <v>274608.13</v>
      </c>
      <c r="E1448" s="11">
        <v>18133.919999999998</v>
      </c>
      <c r="F1448" s="12">
        <v>45205</v>
      </c>
      <c r="G1448" s="12">
        <v>45274</v>
      </c>
      <c r="H1448" s="11" t="s">
        <v>4650</v>
      </c>
      <c r="I1448" s="11" t="s">
        <v>3373</v>
      </c>
      <c r="J1448" s="13" t="str" cm="1">
        <f t="array" ref="J1448">_xlfn.IFS(
  OR(ISBLANK(A1448),ISBLANK(B1448),ISBLANK(H1448),ISBLANK(D1448),ISBLANK(E1448)),"Missing Value",
  D1448&lt;=0,"Review – Out of Range (Coverage)",
  E1448&lt;=0,"Review – Out of Range (Premium)",
  TRUE,"OK"
)</f>
        <v>OK</v>
      </c>
    </row>
    <row r="1449" spans="1:10" ht="16.8" x14ac:dyDescent="0.3">
      <c r="A1449" s="14" t="s">
        <v>5106</v>
      </c>
      <c r="B1449" s="14" t="s">
        <v>1423</v>
      </c>
      <c r="C1449" s="14" t="s">
        <v>3371</v>
      </c>
      <c r="D1449" s="14">
        <v>683799.41</v>
      </c>
      <c r="E1449" s="14">
        <v>43472.38</v>
      </c>
      <c r="F1449" s="15">
        <v>44950</v>
      </c>
      <c r="G1449" s="15">
        <v>45141</v>
      </c>
      <c r="H1449" s="14" t="s">
        <v>4511</v>
      </c>
      <c r="I1449" s="14" t="s">
        <v>3361</v>
      </c>
      <c r="J1449" s="13" t="str" cm="1">
        <f t="array" ref="J1449">_xlfn.IFS(
  OR(ISBLANK(A1449),ISBLANK(B1449),ISBLANK(H1449),ISBLANK(D1449),ISBLANK(E1449)),"Missing Value",
  D1449&lt;=0,"Review – Out of Range (Coverage)",
  E1449&lt;=0,"Review – Out of Range (Premium)",
  TRUE,"OK"
)</f>
        <v>OK</v>
      </c>
    </row>
    <row r="1450" spans="1:10" ht="16.8" x14ac:dyDescent="0.3">
      <c r="A1450" s="11" t="s">
        <v>5107</v>
      </c>
      <c r="B1450" s="11" t="s">
        <v>2271</v>
      </c>
      <c r="C1450" s="11" t="s">
        <v>3380</v>
      </c>
      <c r="D1450" s="11">
        <v>126384.91</v>
      </c>
      <c r="E1450" s="11">
        <v>4192.42</v>
      </c>
      <c r="F1450" s="12">
        <v>45057</v>
      </c>
      <c r="G1450" s="12">
        <v>45453</v>
      </c>
      <c r="H1450" s="11" t="s">
        <v>4062</v>
      </c>
      <c r="I1450" s="11" t="s">
        <v>3365</v>
      </c>
      <c r="J1450" s="13" t="str" cm="1">
        <f t="array" ref="J1450">_xlfn.IFS(
  OR(ISBLANK(A1450),ISBLANK(B1450),ISBLANK(H1450),ISBLANK(D1450),ISBLANK(E1450)),"Missing Value",
  D1450&lt;=0,"Review – Out of Range (Coverage)",
  E1450&lt;=0,"Review – Out of Range (Premium)",
  TRUE,"OK"
)</f>
        <v>OK</v>
      </c>
    </row>
    <row r="1451" spans="1:10" ht="16.8" x14ac:dyDescent="0.3">
      <c r="A1451" s="14" t="s">
        <v>5108</v>
      </c>
      <c r="B1451" s="14" t="s">
        <v>410</v>
      </c>
      <c r="C1451" s="14" t="s">
        <v>3363</v>
      </c>
      <c r="D1451" s="14">
        <v>693942.83</v>
      </c>
      <c r="E1451" s="14">
        <v>16483.21</v>
      </c>
      <c r="F1451" s="15">
        <v>45275</v>
      </c>
      <c r="G1451" s="15">
        <v>45603</v>
      </c>
      <c r="H1451" s="14" t="s">
        <v>3389</v>
      </c>
      <c r="I1451" s="14" t="s">
        <v>3361</v>
      </c>
      <c r="J1451" s="13" t="str" cm="1">
        <f t="array" ref="J1451">_xlfn.IFS(
  OR(ISBLANK(A1451),ISBLANK(B1451),ISBLANK(H1451),ISBLANK(D1451),ISBLANK(E1451)),"Missing Value",
  D1451&lt;=0,"Review – Out of Range (Coverage)",
  E1451&lt;=0,"Review – Out of Range (Premium)",
  TRUE,"OK"
)</f>
        <v>OK</v>
      </c>
    </row>
    <row r="1452" spans="1:10" ht="16.8" x14ac:dyDescent="0.3">
      <c r="A1452" s="11" t="s">
        <v>5109</v>
      </c>
      <c r="B1452" s="11" t="s">
        <v>1475</v>
      </c>
      <c r="C1452" s="11" t="s">
        <v>3371</v>
      </c>
      <c r="D1452" s="11">
        <v>377684.26</v>
      </c>
      <c r="E1452" s="11">
        <v>5212.18</v>
      </c>
      <c r="F1452" s="12">
        <v>44106</v>
      </c>
      <c r="G1452" s="12">
        <v>44800</v>
      </c>
      <c r="H1452" s="11" t="s">
        <v>3923</v>
      </c>
      <c r="I1452" s="11" t="s">
        <v>3365</v>
      </c>
      <c r="J1452" s="13" t="str" cm="1">
        <f t="array" ref="J1452">_xlfn.IFS(
  OR(ISBLANK(A1452),ISBLANK(B1452),ISBLANK(H1452),ISBLANK(D1452),ISBLANK(E1452)),"Missing Value",
  D1452&lt;=0,"Review – Out of Range (Coverage)",
  E1452&lt;=0,"Review – Out of Range (Premium)",
  TRUE,"OK"
)</f>
        <v>OK</v>
      </c>
    </row>
    <row r="1453" spans="1:10" ht="16.8" x14ac:dyDescent="0.3">
      <c r="A1453" s="14" t="s">
        <v>5110</v>
      </c>
      <c r="B1453" s="14" t="s">
        <v>1051</v>
      </c>
      <c r="C1453" s="14" t="s">
        <v>3380</v>
      </c>
      <c r="D1453" s="14">
        <v>810766.09</v>
      </c>
      <c r="E1453" s="14">
        <v>42068.63</v>
      </c>
      <c r="F1453" s="15">
        <v>44150</v>
      </c>
      <c r="G1453" s="15">
        <v>45344</v>
      </c>
      <c r="H1453" s="14" t="s">
        <v>3770</v>
      </c>
      <c r="I1453" s="14" t="s">
        <v>3365</v>
      </c>
      <c r="J1453" s="13" t="str" cm="1">
        <f t="array" ref="J1453">_xlfn.IFS(
  OR(ISBLANK(A1453),ISBLANK(B1453),ISBLANK(H1453),ISBLANK(D1453),ISBLANK(E1453)),"Missing Value",
  D1453&lt;=0,"Review – Out of Range (Coverage)",
  E1453&lt;=0,"Review – Out of Range (Premium)",
  TRUE,"OK"
)</f>
        <v>OK</v>
      </c>
    </row>
    <row r="1454" spans="1:10" ht="16.8" x14ac:dyDescent="0.3">
      <c r="A1454" s="11" t="s">
        <v>5111</v>
      </c>
      <c r="B1454" s="11" t="s">
        <v>1979</v>
      </c>
      <c r="C1454" s="11" t="s">
        <v>3363</v>
      </c>
      <c r="D1454" s="11">
        <v>692017.53</v>
      </c>
      <c r="E1454" s="11">
        <v>43678.8</v>
      </c>
      <c r="F1454" s="12">
        <v>44473</v>
      </c>
      <c r="G1454" s="12">
        <v>45339</v>
      </c>
      <c r="H1454" s="11" t="s">
        <v>3696</v>
      </c>
      <c r="I1454" s="11" t="s">
        <v>3361</v>
      </c>
      <c r="J1454" s="13" t="str" cm="1">
        <f t="array" ref="J1454">_xlfn.IFS(
  OR(ISBLANK(A1454),ISBLANK(B1454),ISBLANK(H1454),ISBLANK(D1454),ISBLANK(E1454)),"Missing Value",
  D1454&lt;=0,"Review – Out of Range (Coverage)",
  E1454&lt;=0,"Review – Out of Range (Premium)",
  TRUE,"OK"
)</f>
        <v>OK</v>
      </c>
    </row>
    <row r="1455" spans="1:10" ht="16.8" x14ac:dyDescent="0.3">
      <c r="A1455" s="14" t="s">
        <v>5112</v>
      </c>
      <c r="B1455" s="14" t="s">
        <v>1865</v>
      </c>
      <c r="C1455" s="14" t="s">
        <v>3359</v>
      </c>
      <c r="D1455" s="14">
        <v>404226.19</v>
      </c>
      <c r="E1455" s="14">
        <v>29912</v>
      </c>
      <c r="F1455" s="15">
        <v>45031</v>
      </c>
      <c r="G1455" s="15">
        <v>45177</v>
      </c>
      <c r="H1455" s="14" t="s">
        <v>3982</v>
      </c>
      <c r="I1455" s="14" t="s">
        <v>3361</v>
      </c>
      <c r="J1455" s="13" t="str" cm="1">
        <f t="array" ref="J1455">_xlfn.IFS(
  OR(ISBLANK(A1455),ISBLANK(B1455),ISBLANK(H1455),ISBLANK(D1455),ISBLANK(E1455)),"Missing Value",
  D1455&lt;=0,"Review – Out of Range (Coverage)",
  E1455&lt;=0,"Review – Out of Range (Premium)",
  TRUE,"OK"
)</f>
        <v>OK</v>
      </c>
    </row>
    <row r="1456" spans="1:10" ht="16.8" x14ac:dyDescent="0.3">
      <c r="A1456" s="11" t="s">
        <v>5113</v>
      </c>
      <c r="B1456" s="11" t="s">
        <v>3015</v>
      </c>
      <c r="C1456" s="11" t="s">
        <v>3371</v>
      </c>
      <c r="D1456" s="11">
        <v>798494.7</v>
      </c>
      <c r="E1456" s="11">
        <v>47252.19</v>
      </c>
      <c r="F1456" s="12">
        <v>44240</v>
      </c>
      <c r="G1456" s="12">
        <v>45763</v>
      </c>
      <c r="H1456" s="11" t="s">
        <v>3624</v>
      </c>
      <c r="I1456" s="11" t="s">
        <v>3361</v>
      </c>
      <c r="J1456" s="13" t="str" cm="1">
        <f t="array" ref="J1456">_xlfn.IFS(
  OR(ISBLANK(A1456),ISBLANK(B1456),ISBLANK(H1456),ISBLANK(D1456),ISBLANK(E1456)),"Missing Value",
  D1456&lt;=0,"Review – Out of Range (Coverage)",
  E1456&lt;=0,"Review – Out of Range (Premium)",
  TRUE,"OK"
)</f>
        <v>OK</v>
      </c>
    </row>
    <row r="1457" spans="1:10" ht="16.8" x14ac:dyDescent="0.3">
      <c r="A1457" s="14" t="s">
        <v>5114</v>
      </c>
      <c r="B1457" s="14" t="s">
        <v>2145</v>
      </c>
      <c r="C1457" s="14" t="s">
        <v>3377</v>
      </c>
      <c r="D1457" s="14">
        <v>882582.05</v>
      </c>
      <c r="E1457" s="14">
        <v>33106.29</v>
      </c>
      <c r="F1457" s="15">
        <v>45373</v>
      </c>
      <c r="G1457" s="15">
        <v>45629</v>
      </c>
      <c r="H1457" s="14" t="s">
        <v>4892</v>
      </c>
      <c r="I1457" s="14" t="s">
        <v>3361</v>
      </c>
      <c r="J1457" s="13" t="str" cm="1">
        <f t="array" ref="J1457">_xlfn.IFS(
  OR(ISBLANK(A1457),ISBLANK(B1457),ISBLANK(H1457),ISBLANK(D1457),ISBLANK(E1457)),"Missing Value",
  D1457&lt;=0,"Review – Out of Range (Coverage)",
  E1457&lt;=0,"Review – Out of Range (Premium)",
  TRUE,"OK"
)</f>
        <v>OK</v>
      </c>
    </row>
    <row r="1458" spans="1:10" ht="16.8" x14ac:dyDescent="0.3">
      <c r="A1458" s="11" t="s">
        <v>5115</v>
      </c>
      <c r="B1458" s="11" t="s">
        <v>2567</v>
      </c>
      <c r="C1458" s="11" t="s">
        <v>3380</v>
      </c>
      <c r="D1458" s="11">
        <v>634913.5</v>
      </c>
      <c r="E1458" s="11">
        <v>40054.11</v>
      </c>
      <c r="F1458" s="12">
        <v>44826</v>
      </c>
      <c r="G1458" s="12">
        <v>45275</v>
      </c>
      <c r="H1458" s="11" t="s">
        <v>3429</v>
      </c>
      <c r="I1458" s="11" t="s">
        <v>3361</v>
      </c>
      <c r="J1458" s="13" t="str" cm="1">
        <f t="array" ref="J1458">_xlfn.IFS(
  OR(ISBLANK(A1458),ISBLANK(B1458),ISBLANK(H1458),ISBLANK(D1458),ISBLANK(E1458)),"Missing Value",
  D1458&lt;=0,"Review – Out of Range (Coverage)",
  E1458&lt;=0,"Review – Out of Range (Premium)",
  TRUE,"OK"
)</f>
        <v>OK</v>
      </c>
    </row>
    <row r="1459" spans="1:10" ht="16.8" x14ac:dyDescent="0.3">
      <c r="A1459" s="14" t="s">
        <v>5116</v>
      </c>
      <c r="B1459" s="14" t="s">
        <v>2601</v>
      </c>
      <c r="C1459" s="14" t="s">
        <v>3363</v>
      </c>
      <c r="D1459" s="14">
        <v>975051.26</v>
      </c>
      <c r="E1459" s="14">
        <v>26979.74</v>
      </c>
      <c r="F1459" s="15">
        <v>45255</v>
      </c>
      <c r="G1459" s="15">
        <v>45628</v>
      </c>
      <c r="H1459" s="14" t="s">
        <v>4732</v>
      </c>
      <c r="I1459" s="14" t="s">
        <v>3373</v>
      </c>
      <c r="J1459" s="13" t="str" cm="1">
        <f t="array" ref="J1459">_xlfn.IFS(
  OR(ISBLANK(A1459),ISBLANK(B1459),ISBLANK(H1459),ISBLANK(D1459),ISBLANK(E1459)),"Missing Value",
  D1459&lt;=0,"Review – Out of Range (Coverage)",
  E1459&lt;=0,"Review – Out of Range (Premium)",
  TRUE,"OK"
)</f>
        <v>OK</v>
      </c>
    </row>
    <row r="1460" spans="1:10" ht="16.8" x14ac:dyDescent="0.3">
      <c r="A1460" s="11" t="s">
        <v>5117</v>
      </c>
      <c r="B1460" s="11" t="s">
        <v>2827</v>
      </c>
      <c r="C1460" s="11" t="s">
        <v>3359</v>
      </c>
      <c r="D1460" s="11">
        <v>837139.72</v>
      </c>
      <c r="E1460" s="11">
        <v>18653.349999999999</v>
      </c>
      <c r="F1460" s="12">
        <v>44606</v>
      </c>
      <c r="G1460" s="12">
        <v>45766</v>
      </c>
      <c r="H1460" s="11" t="s">
        <v>3555</v>
      </c>
      <c r="I1460" s="11" t="s">
        <v>3365</v>
      </c>
      <c r="J1460" s="13" t="str" cm="1">
        <f t="array" ref="J1460">_xlfn.IFS(
  OR(ISBLANK(A1460),ISBLANK(B1460),ISBLANK(H1460),ISBLANK(D1460),ISBLANK(E1460)),"Missing Value",
  D1460&lt;=0,"Review – Out of Range (Coverage)",
  E1460&lt;=0,"Review – Out of Range (Premium)",
  TRUE,"OK"
)</f>
        <v>OK</v>
      </c>
    </row>
    <row r="1461" spans="1:10" ht="16.8" x14ac:dyDescent="0.3">
      <c r="A1461" s="14" t="s">
        <v>5118</v>
      </c>
      <c r="B1461" s="14" t="s">
        <v>1753</v>
      </c>
      <c r="C1461" s="14" t="s">
        <v>3363</v>
      </c>
      <c r="D1461" s="14">
        <v>532510.14</v>
      </c>
      <c r="E1461" s="14">
        <v>26456.38</v>
      </c>
      <c r="F1461" s="15">
        <v>44921</v>
      </c>
      <c r="G1461" s="15">
        <v>45638</v>
      </c>
      <c r="H1461" s="14" t="s">
        <v>3725</v>
      </c>
      <c r="I1461" s="14" t="s">
        <v>3361</v>
      </c>
      <c r="J1461" s="13" t="str" cm="1">
        <f t="array" ref="J1461">_xlfn.IFS(
  OR(ISBLANK(A1461),ISBLANK(B1461),ISBLANK(H1461),ISBLANK(D1461),ISBLANK(E1461)),"Missing Value",
  D1461&lt;=0,"Review – Out of Range (Coverage)",
  E1461&lt;=0,"Review – Out of Range (Premium)",
  TRUE,"OK"
)</f>
        <v>OK</v>
      </c>
    </row>
    <row r="1462" spans="1:10" ht="16.8" x14ac:dyDescent="0.3">
      <c r="A1462" s="11" t="s">
        <v>5119</v>
      </c>
      <c r="B1462" s="11" t="s">
        <v>3330</v>
      </c>
      <c r="C1462" s="11" t="s">
        <v>3377</v>
      </c>
      <c r="D1462" s="11">
        <v>887088.09</v>
      </c>
      <c r="E1462" s="11">
        <v>30996.83</v>
      </c>
      <c r="F1462" s="12">
        <v>44293</v>
      </c>
      <c r="G1462" s="12">
        <v>45080</v>
      </c>
      <c r="H1462" s="11" t="s">
        <v>4766</v>
      </c>
      <c r="I1462" s="11" t="s">
        <v>3373</v>
      </c>
      <c r="J1462" s="13" t="str" cm="1">
        <f t="array" ref="J1462">_xlfn.IFS(
  OR(ISBLANK(A1462),ISBLANK(B1462),ISBLANK(H1462),ISBLANK(D1462),ISBLANK(E1462)),"Missing Value",
  D1462&lt;=0,"Review – Out of Range (Coverage)",
  E1462&lt;=0,"Review – Out of Range (Premium)",
  TRUE,"OK"
)</f>
        <v>OK</v>
      </c>
    </row>
    <row r="1463" spans="1:10" ht="16.8" x14ac:dyDescent="0.3">
      <c r="A1463" s="14" t="s">
        <v>5120</v>
      </c>
      <c r="B1463" s="14" t="s">
        <v>2623</v>
      </c>
      <c r="C1463" s="14" t="s">
        <v>3380</v>
      </c>
      <c r="D1463" s="14">
        <v>158428.22</v>
      </c>
      <c r="E1463" s="14">
        <v>23909.24</v>
      </c>
      <c r="F1463" s="15">
        <v>44265</v>
      </c>
      <c r="G1463" s="15">
        <v>45372</v>
      </c>
      <c r="H1463" s="14" t="s">
        <v>3562</v>
      </c>
      <c r="I1463" s="14" t="s">
        <v>3373</v>
      </c>
      <c r="J1463" s="13" t="str" cm="1">
        <f t="array" ref="J1463">_xlfn.IFS(
  OR(ISBLANK(A1463),ISBLANK(B1463),ISBLANK(H1463),ISBLANK(D1463),ISBLANK(E1463)),"Missing Value",
  D1463&lt;=0,"Review – Out of Range (Coverage)",
  E1463&lt;=0,"Review – Out of Range (Premium)",
  TRUE,"OK"
)</f>
        <v>OK</v>
      </c>
    </row>
    <row r="1464" spans="1:10" ht="16.8" x14ac:dyDescent="0.3">
      <c r="A1464" s="11" t="s">
        <v>5121</v>
      </c>
      <c r="B1464" s="11" t="s">
        <v>240</v>
      </c>
      <c r="C1464" s="11" t="s">
        <v>3359</v>
      </c>
      <c r="D1464" s="11">
        <v>198922.5</v>
      </c>
      <c r="E1464" s="11">
        <v>47380.42</v>
      </c>
      <c r="F1464" s="12">
        <v>44815</v>
      </c>
      <c r="G1464" s="12">
        <v>45115</v>
      </c>
      <c r="H1464" s="11" t="s">
        <v>3575</v>
      </c>
      <c r="I1464" s="11" t="s">
        <v>3373</v>
      </c>
      <c r="J1464" s="13" t="str" cm="1">
        <f t="array" ref="J1464">_xlfn.IFS(
  OR(ISBLANK(A1464),ISBLANK(B1464),ISBLANK(H1464),ISBLANK(D1464),ISBLANK(E1464)),"Missing Value",
  D1464&lt;=0,"Review – Out of Range (Coverage)",
  E1464&lt;=0,"Review – Out of Range (Premium)",
  TRUE,"OK"
)</f>
        <v>OK</v>
      </c>
    </row>
    <row r="1465" spans="1:10" ht="16.8" x14ac:dyDescent="0.3">
      <c r="A1465" s="14" t="s">
        <v>5122</v>
      </c>
      <c r="B1465" s="14" t="s">
        <v>2613</v>
      </c>
      <c r="C1465" s="14" t="s">
        <v>3380</v>
      </c>
      <c r="D1465" s="14">
        <v>962452.92</v>
      </c>
      <c r="E1465" s="14">
        <v>37002.160000000003</v>
      </c>
      <c r="F1465" s="15">
        <v>45327</v>
      </c>
      <c r="G1465" s="15">
        <v>45503</v>
      </c>
      <c r="H1465" s="14" t="s">
        <v>3725</v>
      </c>
      <c r="I1465" s="14" t="s">
        <v>3373</v>
      </c>
      <c r="J1465" s="13" t="str" cm="1">
        <f t="array" ref="J1465">_xlfn.IFS(
  OR(ISBLANK(A1465),ISBLANK(B1465),ISBLANK(H1465),ISBLANK(D1465),ISBLANK(E1465)),"Missing Value",
  D1465&lt;=0,"Review – Out of Range (Coverage)",
  E1465&lt;=0,"Review – Out of Range (Premium)",
  TRUE,"OK"
)</f>
        <v>OK</v>
      </c>
    </row>
    <row r="1466" spans="1:10" ht="16.8" x14ac:dyDescent="0.3">
      <c r="A1466" s="11" t="s">
        <v>5123</v>
      </c>
      <c r="B1466" s="11" t="s">
        <v>1357</v>
      </c>
      <c r="C1466" s="11" t="s">
        <v>3377</v>
      </c>
      <c r="D1466" s="11">
        <v>642910.71999999997</v>
      </c>
      <c r="E1466" s="11">
        <v>37709.29</v>
      </c>
      <c r="F1466" s="12">
        <v>45226</v>
      </c>
      <c r="G1466" s="12">
        <v>45570</v>
      </c>
      <c r="H1466" s="11" t="s">
        <v>3750</v>
      </c>
      <c r="I1466" s="11" t="s">
        <v>3361</v>
      </c>
      <c r="J1466" s="13" t="str" cm="1">
        <f t="array" ref="J1466">_xlfn.IFS(
  OR(ISBLANK(A1466),ISBLANK(B1466),ISBLANK(H1466),ISBLANK(D1466),ISBLANK(E1466)),"Missing Value",
  D1466&lt;=0,"Review – Out of Range (Coverage)",
  E1466&lt;=0,"Review – Out of Range (Premium)",
  TRUE,"OK"
)</f>
        <v>OK</v>
      </c>
    </row>
    <row r="1467" spans="1:10" ht="16.8" x14ac:dyDescent="0.3">
      <c r="A1467" s="14" t="s">
        <v>5124</v>
      </c>
      <c r="B1467" s="14" t="s">
        <v>2299</v>
      </c>
      <c r="C1467" s="14" t="s">
        <v>3377</v>
      </c>
      <c r="D1467" s="14">
        <v>855505.86</v>
      </c>
      <c r="E1467" s="14">
        <v>30780.63</v>
      </c>
      <c r="F1467" s="15">
        <v>45303</v>
      </c>
      <c r="G1467" s="15">
        <v>45561</v>
      </c>
      <c r="H1467" s="14" t="s">
        <v>3480</v>
      </c>
      <c r="I1467" s="14" t="s">
        <v>3365</v>
      </c>
      <c r="J1467" s="13" t="str" cm="1">
        <f t="array" ref="J1467">_xlfn.IFS(
  OR(ISBLANK(A1467),ISBLANK(B1467),ISBLANK(H1467),ISBLANK(D1467),ISBLANK(E1467)),"Missing Value",
  D1467&lt;=0,"Review – Out of Range (Coverage)",
  E1467&lt;=0,"Review – Out of Range (Premium)",
  TRUE,"OK"
)</f>
        <v>OK</v>
      </c>
    </row>
    <row r="1468" spans="1:10" ht="16.8" x14ac:dyDescent="0.3">
      <c r="A1468" s="11" t="s">
        <v>5125</v>
      </c>
      <c r="B1468" s="11" t="s">
        <v>2919</v>
      </c>
      <c r="C1468" s="11" t="s">
        <v>3363</v>
      </c>
      <c r="D1468" s="11">
        <v>189841.13</v>
      </c>
      <c r="E1468" s="11">
        <v>5322.68</v>
      </c>
      <c r="F1468" s="12">
        <v>45195</v>
      </c>
      <c r="G1468" s="12">
        <v>45699</v>
      </c>
      <c r="H1468" s="11" t="s">
        <v>3725</v>
      </c>
      <c r="I1468" s="11" t="s">
        <v>3373</v>
      </c>
      <c r="J1468" s="13" t="str" cm="1">
        <f t="array" ref="J1468">_xlfn.IFS(
  OR(ISBLANK(A1468),ISBLANK(B1468),ISBLANK(H1468),ISBLANK(D1468),ISBLANK(E1468)),"Missing Value",
  D1468&lt;=0,"Review – Out of Range (Coverage)",
  E1468&lt;=0,"Review – Out of Range (Premium)",
  TRUE,"OK"
)</f>
        <v>OK</v>
      </c>
    </row>
    <row r="1469" spans="1:10" ht="16.8" x14ac:dyDescent="0.3">
      <c r="A1469" s="14" t="s">
        <v>5126</v>
      </c>
      <c r="B1469" s="14" t="s">
        <v>103</v>
      </c>
      <c r="C1469" s="14" t="s">
        <v>3377</v>
      </c>
      <c r="D1469" s="14">
        <v>294461.3</v>
      </c>
      <c r="E1469" s="14">
        <v>8011.67</v>
      </c>
      <c r="F1469" s="15">
        <v>44281</v>
      </c>
      <c r="G1469" s="15">
        <v>45461</v>
      </c>
      <c r="H1469" s="14" t="s">
        <v>4098</v>
      </c>
      <c r="I1469" s="14" t="s">
        <v>3373</v>
      </c>
      <c r="J1469" s="13" t="str" cm="1">
        <f t="array" ref="J1469">_xlfn.IFS(
  OR(ISBLANK(A1469),ISBLANK(B1469),ISBLANK(H1469),ISBLANK(D1469),ISBLANK(E1469)),"Missing Value",
  D1469&lt;=0,"Review – Out of Range (Coverage)",
  E1469&lt;=0,"Review – Out of Range (Premium)",
  TRUE,"OK"
)</f>
        <v>OK</v>
      </c>
    </row>
    <row r="1470" spans="1:10" ht="16.8" x14ac:dyDescent="0.3">
      <c r="A1470" s="11" t="s">
        <v>5127</v>
      </c>
      <c r="B1470" s="11" t="s">
        <v>3320</v>
      </c>
      <c r="C1470" s="11" t="s">
        <v>3380</v>
      </c>
      <c r="D1470" s="11">
        <v>581472.89</v>
      </c>
      <c r="E1470" s="11">
        <v>38414.879999999997</v>
      </c>
      <c r="F1470" s="12">
        <v>45378</v>
      </c>
      <c r="G1470" s="12">
        <v>45479</v>
      </c>
      <c r="H1470" s="11" t="s">
        <v>3754</v>
      </c>
      <c r="I1470" s="11" t="s">
        <v>3373</v>
      </c>
      <c r="J1470" s="13" t="str" cm="1">
        <f t="array" ref="J1470">_xlfn.IFS(
  OR(ISBLANK(A1470),ISBLANK(B1470),ISBLANK(H1470),ISBLANK(D1470),ISBLANK(E1470)),"Missing Value",
  D1470&lt;=0,"Review – Out of Range (Coverage)",
  E1470&lt;=0,"Review – Out of Range (Premium)",
  TRUE,"OK"
)</f>
        <v>OK</v>
      </c>
    </row>
    <row r="1471" spans="1:10" ht="16.8" x14ac:dyDescent="0.3">
      <c r="A1471" s="14" t="s">
        <v>5128</v>
      </c>
      <c r="B1471" s="14" t="s">
        <v>1041</v>
      </c>
      <c r="C1471" s="14" t="s">
        <v>3377</v>
      </c>
      <c r="D1471" s="14">
        <v>770922.55</v>
      </c>
      <c r="E1471" s="14">
        <v>10148.780000000001</v>
      </c>
      <c r="F1471" s="15">
        <v>44669</v>
      </c>
      <c r="G1471" s="15">
        <v>45125</v>
      </c>
      <c r="H1471" s="14" t="s">
        <v>3490</v>
      </c>
      <c r="I1471" s="14" t="s">
        <v>3361</v>
      </c>
      <c r="J1471" s="13" t="str" cm="1">
        <f t="array" ref="J1471">_xlfn.IFS(
  OR(ISBLANK(A1471),ISBLANK(B1471),ISBLANK(H1471),ISBLANK(D1471),ISBLANK(E1471)),"Missing Value",
  D1471&lt;=0,"Review – Out of Range (Coverage)",
  E1471&lt;=0,"Review – Out of Range (Premium)",
  TRUE,"OK"
)</f>
        <v>OK</v>
      </c>
    </row>
    <row r="1472" spans="1:10" ht="16.8" x14ac:dyDescent="0.3">
      <c r="A1472" s="11" t="s">
        <v>5129</v>
      </c>
      <c r="B1472" s="11" t="s">
        <v>3158</v>
      </c>
      <c r="C1472" s="11" t="s">
        <v>3363</v>
      </c>
      <c r="D1472" s="11">
        <v>574209.4</v>
      </c>
      <c r="E1472" s="11">
        <v>7667.63</v>
      </c>
      <c r="F1472" s="12">
        <v>44674</v>
      </c>
      <c r="G1472" s="12">
        <v>45022</v>
      </c>
      <c r="H1472" s="11" t="s">
        <v>3610</v>
      </c>
      <c r="I1472" s="11" t="s">
        <v>3365</v>
      </c>
      <c r="J1472" s="13" t="str" cm="1">
        <f t="array" ref="J1472">_xlfn.IFS(
  OR(ISBLANK(A1472),ISBLANK(B1472),ISBLANK(H1472),ISBLANK(D1472),ISBLANK(E1472)),"Missing Value",
  D1472&lt;=0,"Review – Out of Range (Coverage)",
  E1472&lt;=0,"Review – Out of Range (Premium)",
  TRUE,"OK"
)</f>
        <v>OK</v>
      </c>
    </row>
    <row r="1473" spans="1:10" ht="16.8" x14ac:dyDescent="0.3">
      <c r="A1473" s="14" t="s">
        <v>5130</v>
      </c>
      <c r="B1473" s="14" t="s">
        <v>837</v>
      </c>
      <c r="C1473" s="14" t="s">
        <v>3363</v>
      </c>
      <c r="D1473" s="14">
        <v>350795.28</v>
      </c>
      <c r="E1473" s="14">
        <v>7432.21</v>
      </c>
      <c r="F1473" s="15">
        <v>45187</v>
      </c>
      <c r="G1473" s="15">
        <v>45816</v>
      </c>
      <c r="H1473" s="14" t="s">
        <v>3482</v>
      </c>
      <c r="I1473" s="14" t="s">
        <v>3365</v>
      </c>
      <c r="J1473" s="13" t="str" cm="1">
        <f t="array" ref="J1473">_xlfn.IFS(
  OR(ISBLANK(A1473),ISBLANK(B1473),ISBLANK(H1473),ISBLANK(D1473),ISBLANK(E1473)),"Missing Value",
  D1473&lt;=0,"Review – Out of Range (Coverage)",
  E1473&lt;=0,"Review – Out of Range (Premium)",
  TRUE,"OK"
)</f>
        <v>OK</v>
      </c>
    </row>
    <row r="1474" spans="1:10" ht="16.8" x14ac:dyDescent="0.3">
      <c r="A1474" s="11" t="s">
        <v>5131</v>
      </c>
      <c r="B1474" s="11" t="s">
        <v>1389</v>
      </c>
      <c r="C1474" s="11" t="s">
        <v>3377</v>
      </c>
      <c r="D1474" s="11">
        <v>763203.46</v>
      </c>
      <c r="E1474" s="11">
        <v>40117.230000000003</v>
      </c>
      <c r="F1474" s="12">
        <v>45131</v>
      </c>
      <c r="G1474" s="12">
        <v>45530</v>
      </c>
      <c r="H1474" s="11" t="s">
        <v>3638</v>
      </c>
      <c r="I1474" s="11" t="s">
        <v>3361</v>
      </c>
      <c r="J1474" s="13" t="str" cm="1">
        <f t="array" ref="J1474">_xlfn.IFS(
  OR(ISBLANK(A1474),ISBLANK(B1474),ISBLANK(H1474),ISBLANK(D1474),ISBLANK(E1474)),"Missing Value",
  D1474&lt;=0,"Review – Out of Range (Coverage)",
  E1474&lt;=0,"Review – Out of Range (Premium)",
  TRUE,"OK"
)</f>
        <v>OK</v>
      </c>
    </row>
    <row r="1475" spans="1:10" ht="16.8" x14ac:dyDescent="0.3">
      <c r="A1475" s="14" t="s">
        <v>5132</v>
      </c>
      <c r="B1475" s="14" t="s">
        <v>1569</v>
      </c>
      <c r="C1475" s="14" t="s">
        <v>3359</v>
      </c>
      <c r="D1475" s="14">
        <v>944669.19</v>
      </c>
      <c r="E1475" s="14">
        <v>37179.79</v>
      </c>
      <c r="F1475" s="15">
        <v>44308</v>
      </c>
      <c r="G1475" s="15">
        <v>44532</v>
      </c>
      <c r="H1475" s="14" t="s">
        <v>3573</v>
      </c>
      <c r="I1475" s="14" t="s">
        <v>3365</v>
      </c>
      <c r="J1475" s="13" t="str" cm="1">
        <f t="array" ref="J1475">_xlfn.IFS(
  OR(ISBLANK(A1475),ISBLANK(B1475),ISBLANK(H1475),ISBLANK(D1475),ISBLANK(E1475)),"Missing Value",
  D1475&lt;=0,"Review – Out of Range (Coverage)",
  E1475&lt;=0,"Review – Out of Range (Premium)",
  TRUE,"OK"
)</f>
        <v>OK</v>
      </c>
    </row>
    <row r="1476" spans="1:10" ht="16.8" x14ac:dyDescent="0.3">
      <c r="A1476" s="11" t="s">
        <v>5133</v>
      </c>
      <c r="B1476" s="11" t="s">
        <v>2121</v>
      </c>
      <c r="C1476" s="11" t="s">
        <v>3380</v>
      </c>
      <c r="D1476" s="11">
        <v>730006.59</v>
      </c>
      <c r="E1476" s="11">
        <v>35530.06</v>
      </c>
      <c r="F1476" s="12">
        <v>44713</v>
      </c>
      <c r="G1476" s="12">
        <v>45148</v>
      </c>
      <c r="H1476" s="11" t="s">
        <v>3624</v>
      </c>
      <c r="I1476" s="11" t="s">
        <v>3365</v>
      </c>
      <c r="J1476" s="13" t="str" cm="1">
        <f t="array" ref="J1476">_xlfn.IFS(
  OR(ISBLANK(A1476),ISBLANK(B1476),ISBLANK(H1476),ISBLANK(D1476),ISBLANK(E1476)),"Missing Value",
  D1476&lt;=0,"Review – Out of Range (Coverage)",
  E1476&lt;=0,"Review – Out of Range (Premium)",
  TRUE,"OK"
)</f>
        <v>OK</v>
      </c>
    </row>
    <row r="1477" spans="1:10" ht="16.8" x14ac:dyDescent="0.3">
      <c r="A1477" s="14" t="s">
        <v>5134</v>
      </c>
      <c r="B1477" s="14" t="s">
        <v>1199</v>
      </c>
      <c r="C1477" s="14" t="s">
        <v>3371</v>
      </c>
      <c r="D1477" s="14">
        <v>729120.52</v>
      </c>
      <c r="E1477" s="14">
        <v>28769.8</v>
      </c>
      <c r="F1477" s="15">
        <v>44742</v>
      </c>
      <c r="G1477" s="15">
        <v>45371</v>
      </c>
      <c r="H1477" s="14" t="s">
        <v>3733</v>
      </c>
      <c r="I1477" s="14" t="s">
        <v>3361</v>
      </c>
      <c r="J1477" s="13" t="str" cm="1">
        <f t="array" ref="J1477">_xlfn.IFS(
  OR(ISBLANK(A1477),ISBLANK(B1477),ISBLANK(H1477),ISBLANK(D1477),ISBLANK(E1477)),"Missing Value",
  D1477&lt;=0,"Review – Out of Range (Coverage)",
  E1477&lt;=0,"Review – Out of Range (Premium)",
  TRUE,"OK"
)</f>
        <v>OK</v>
      </c>
    </row>
    <row r="1478" spans="1:10" ht="16.8" x14ac:dyDescent="0.3">
      <c r="A1478" s="11" t="s">
        <v>5135</v>
      </c>
      <c r="B1478" s="11" t="s">
        <v>997</v>
      </c>
      <c r="C1478" s="11" t="s">
        <v>3371</v>
      </c>
      <c r="D1478" s="11">
        <v>908476.24</v>
      </c>
      <c r="E1478" s="11">
        <v>46190.31</v>
      </c>
      <c r="F1478" s="12">
        <v>45251</v>
      </c>
      <c r="G1478" s="12">
        <v>45519</v>
      </c>
      <c r="H1478" s="11" t="s">
        <v>3593</v>
      </c>
      <c r="I1478" s="11" t="s">
        <v>3361</v>
      </c>
      <c r="J1478" s="13" t="str" cm="1">
        <f t="array" ref="J1478">_xlfn.IFS(
  OR(ISBLANK(A1478),ISBLANK(B1478),ISBLANK(H1478),ISBLANK(D1478),ISBLANK(E1478)),"Missing Value",
  D1478&lt;=0,"Review – Out of Range (Coverage)",
  E1478&lt;=0,"Review – Out of Range (Premium)",
  TRUE,"OK"
)</f>
        <v>OK</v>
      </c>
    </row>
    <row r="1479" spans="1:10" ht="16.8" x14ac:dyDescent="0.3">
      <c r="A1479" s="14" t="s">
        <v>5136</v>
      </c>
      <c r="B1479" s="14" t="s">
        <v>3124</v>
      </c>
      <c r="C1479" s="14" t="s">
        <v>3359</v>
      </c>
      <c r="D1479" s="14">
        <v>256000.56</v>
      </c>
      <c r="E1479" s="14">
        <v>6120.36</v>
      </c>
      <c r="F1479" s="15">
        <v>44631</v>
      </c>
      <c r="G1479" s="15">
        <v>45451</v>
      </c>
      <c r="H1479" s="14" t="s">
        <v>3526</v>
      </c>
      <c r="I1479" s="14" t="s">
        <v>3365</v>
      </c>
      <c r="J1479" s="13" t="str" cm="1">
        <f t="array" ref="J1479">_xlfn.IFS(
  OR(ISBLANK(A1479),ISBLANK(B1479),ISBLANK(H1479),ISBLANK(D1479),ISBLANK(E1479)),"Missing Value",
  D1479&lt;=0,"Review – Out of Range (Coverage)",
  E1479&lt;=0,"Review – Out of Range (Premium)",
  TRUE,"OK"
)</f>
        <v>OK</v>
      </c>
    </row>
    <row r="1480" spans="1:10" ht="16.8" x14ac:dyDescent="0.3">
      <c r="A1480" s="11" t="s">
        <v>5137</v>
      </c>
      <c r="B1480" s="11" t="s">
        <v>1143</v>
      </c>
      <c r="C1480" s="11" t="s">
        <v>3359</v>
      </c>
      <c r="D1480" s="11">
        <v>924089.08</v>
      </c>
      <c r="E1480" s="11">
        <v>42550.02</v>
      </c>
      <c r="F1480" s="12">
        <v>44369</v>
      </c>
      <c r="G1480" s="12">
        <v>44700</v>
      </c>
      <c r="H1480" s="11" t="s">
        <v>3495</v>
      </c>
      <c r="I1480" s="11" t="s">
        <v>3365</v>
      </c>
      <c r="J1480" s="13" t="str" cm="1">
        <f t="array" ref="J1480">_xlfn.IFS(
  OR(ISBLANK(A1480),ISBLANK(B1480),ISBLANK(H1480),ISBLANK(D1480),ISBLANK(E1480)),"Missing Value",
  D1480&lt;=0,"Review – Out of Range (Coverage)",
  E1480&lt;=0,"Review – Out of Range (Premium)",
  TRUE,"OK"
)</f>
        <v>OK</v>
      </c>
    </row>
    <row r="1481" spans="1:10" ht="16.8" x14ac:dyDescent="0.3">
      <c r="A1481" s="14" t="s">
        <v>5138</v>
      </c>
      <c r="B1481" s="14" t="s">
        <v>1849</v>
      </c>
      <c r="C1481" s="14" t="s">
        <v>3377</v>
      </c>
      <c r="D1481" s="14">
        <v>956313.04</v>
      </c>
      <c r="E1481" s="14">
        <v>14816.03</v>
      </c>
      <c r="F1481" s="15">
        <v>44968</v>
      </c>
      <c r="G1481" s="15">
        <v>45278</v>
      </c>
      <c r="H1481" s="14" t="s">
        <v>3405</v>
      </c>
      <c r="I1481" s="14" t="s">
        <v>3365</v>
      </c>
      <c r="J1481" s="13" t="str" cm="1">
        <f t="array" ref="J1481">_xlfn.IFS(
  OR(ISBLANK(A1481),ISBLANK(B1481),ISBLANK(H1481),ISBLANK(D1481),ISBLANK(E1481)),"Missing Value",
  D1481&lt;=0,"Review – Out of Range (Coverage)",
  E1481&lt;=0,"Review – Out of Range (Premium)",
  TRUE,"OK"
)</f>
        <v>OK</v>
      </c>
    </row>
    <row r="1482" spans="1:10" ht="16.8" x14ac:dyDescent="0.3">
      <c r="A1482" s="11" t="s">
        <v>5139</v>
      </c>
      <c r="B1482" s="11" t="s">
        <v>2497</v>
      </c>
      <c r="C1482" s="11" t="s">
        <v>3359</v>
      </c>
      <c r="D1482" s="11">
        <v>158301.26999999999</v>
      </c>
      <c r="E1482" s="11">
        <v>20671.509999999998</v>
      </c>
      <c r="F1482" s="12">
        <v>45308</v>
      </c>
      <c r="G1482" s="12">
        <v>45728</v>
      </c>
      <c r="H1482" s="11" t="s">
        <v>4062</v>
      </c>
      <c r="I1482" s="11" t="s">
        <v>3361</v>
      </c>
      <c r="J1482" s="13" t="str" cm="1">
        <f t="array" ref="J1482">_xlfn.IFS(
  OR(ISBLANK(A1482),ISBLANK(B1482),ISBLANK(H1482),ISBLANK(D1482),ISBLANK(E1482)),"Missing Value",
  D1482&lt;=0,"Review – Out of Range (Coverage)",
  E1482&lt;=0,"Review – Out of Range (Premium)",
  TRUE,"OK"
)</f>
        <v>OK</v>
      </c>
    </row>
    <row r="1483" spans="1:10" ht="16.8" x14ac:dyDescent="0.3">
      <c r="A1483" s="14" t="s">
        <v>5140</v>
      </c>
      <c r="B1483" s="14" t="s">
        <v>3252</v>
      </c>
      <c r="C1483" s="14" t="s">
        <v>3377</v>
      </c>
      <c r="D1483" s="14">
        <v>187615.08</v>
      </c>
      <c r="E1483" s="14">
        <v>32061.84</v>
      </c>
      <c r="F1483" s="15">
        <v>45433</v>
      </c>
      <c r="G1483" s="15">
        <v>45736</v>
      </c>
      <c r="H1483" s="14" t="s">
        <v>3477</v>
      </c>
      <c r="I1483" s="14" t="s">
        <v>3361</v>
      </c>
      <c r="J1483" s="13" t="str" cm="1">
        <f t="array" ref="J1483">_xlfn.IFS(
  OR(ISBLANK(A1483),ISBLANK(B1483),ISBLANK(H1483),ISBLANK(D1483),ISBLANK(E1483)),"Missing Value",
  D1483&lt;=0,"Review – Out of Range (Coverage)",
  E1483&lt;=0,"Review – Out of Range (Premium)",
  TRUE,"OK"
)</f>
        <v>OK</v>
      </c>
    </row>
    <row r="1484" spans="1:10" ht="16.8" x14ac:dyDescent="0.3">
      <c r="A1484" s="11" t="s">
        <v>5141</v>
      </c>
      <c r="B1484" s="11" t="s">
        <v>1065</v>
      </c>
      <c r="C1484" s="11" t="s">
        <v>3380</v>
      </c>
      <c r="D1484" s="11">
        <v>291415.13</v>
      </c>
      <c r="E1484" s="11">
        <v>9399.84</v>
      </c>
      <c r="F1484" s="12">
        <v>44738</v>
      </c>
      <c r="G1484" s="12">
        <v>45123</v>
      </c>
      <c r="H1484" s="11" t="s">
        <v>4062</v>
      </c>
      <c r="I1484" s="11" t="s">
        <v>3365</v>
      </c>
      <c r="J1484" s="13" t="str" cm="1">
        <f t="array" ref="J1484">_xlfn.IFS(
  OR(ISBLANK(A1484),ISBLANK(B1484),ISBLANK(H1484),ISBLANK(D1484),ISBLANK(E1484)),"Missing Value",
  D1484&lt;=0,"Review – Out of Range (Coverage)",
  E1484&lt;=0,"Review – Out of Range (Premium)",
  TRUE,"OK"
)</f>
        <v>OK</v>
      </c>
    </row>
    <row r="1485" spans="1:10" ht="16.8" x14ac:dyDescent="0.3">
      <c r="A1485" s="14" t="s">
        <v>5142</v>
      </c>
      <c r="B1485" s="14" t="s">
        <v>2897</v>
      </c>
      <c r="C1485" s="14" t="s">
        <v>3371</v>
      </c>
      <c r="D1485" s="14">
        <v>572626.44999999995</v>
      </c>
      <c r="E1485" s="14">
        <v>44637.05</v>
      </c>
      <c r="F1485" s="15">
        <v>44987</v>
      </c>
      <c r="G1485" s="15">
        <v>45740</v>
      </c>
      <c r="H1485" s="14" t="s">
        <v>3456</v>
      </c>
      <c r="I1485" s="14" t="s">
        <v>3361</v>
      </c>
      <c r="J1485" s="13" t="str" cm="1">
        <f t="array" ref="J1485">_xlfn.IFS(
  OR(ISBLANK(A1485),ISBLANK(B1485),ISBLANK(H1485),ISBLANK(D1485),ISBLANK(E1485)),"Missing Value",
  D1485&lt;=0,"Review – Out of Range (Coverage)",
  E1485&lt;=0,"Review – Out of Range (Premium)",
  TRUE,"OK"
)</f>
        <v>OK</v>
      </c>
    </row>
    <row r="1486" spans="1:10" ht="16.8" x14ac:dyDescent="0.3">
      <c r="A1486" s="11" t="s">
        <v>5143</v>
      </c>
      <c r="B1486" s="11" t="s">
        <v>2269</v>
      </c>
      <c r="C1486" s="11" t="s">
        <v>3363</v>
      </c>
      <c r="D1486" s="11">
        <v>541156.53</v>
      </c>
      <c r="E1486" s="11">
        <v>25920.28</v>
      </c>
      <c r="F1486" s="12">
        <v>45280</v>
      </c>
      <c r="G1486" s="12">
        <v>45544</v>
      </c>
      <c r="H1486" s="11" t="s">
        <v>4198</v>
      </c>
      <c r="I1486" s="11" t="s">
        <v>3373</v>
      </c>
      <c r="J1486" s="13" t="str" cm="1">
        <f t="array" ref="J1486">_xlfn.IFS(
  OR(ISBLANK(A1486),ISBLANK(B1486),ISBLANK(H1486),ISBLANK(D1486),ISBLANK(E1486)),"Missing Value",
  D1486&lt;=0,"Review – Out of Range (Coverage)",
  E1486&lt;=0,"Review – Out of Range (Premium)",
  TRUE,"OK"
)</f>
        <v>OK</v>
      </c>
    </row>
    <row r="1487" spans="1:10" ht="16.8" x14ac:dyDescent="0.3">
      <c r="A1487" s="14" t="s">
        <v>5144</v>
      </c>
      <c r="B1487" s="14" t="s">
        <v>2093</v>
      </c>
      <c r="C1487" s="14" t="s">
        <v>3371</v>
      </c>
      <c r="D1487" s="14">
        <v>876566.34</v>
      </c>
      <c r="E1487" s="14">
        <v>37182.29</v>
      </c>
      <c r="F1487" s="15">
        <v>44978</v>
      </c>
      <c r="G1487" s="15">
        <v>45657</v>
      </c>
      <c r="H1487" s="14" t="s">
        <v>4234</v>
      </c>
      <c r="I1487" s="14" t="s">
        <v>3365</v>
      </c>
      <c r="J1487" s="13" t="str" cm="1">
        <f t="array" ref="J1487">_xlfn.IFS(
  OR(ISBLANK(A1487),ISBLANK(B1487),ISBLANK(H1487),ISBLANK(D1487),ISBLANK(E1487)),"Missing Value",
  D1487&lt;=0,"Review – Out of Range (Coverage)",
  E1487&lt;=0,"Review – Out of Range (Premium)",
  TRUE,"OK"
)</f>
        <v>OK</v>
      </c>
    </row>
    <row r="1488" spans="1:10" ht="16.8" x14ac:dyDescent="0.3">
      <c r="A1488" s="11" t="s">
        <v>5145</v>
      </c>
      <c r="B1488" s="11" t="s">
        <v>2141</v>
      </c>
      <c r="C1488" s="11" t="s">
        <v>3371</v>
      </c>
      <c r="D1488" s="11">
        <v>691816.84</v>
      </c>
      <c r="E1488" s="11">
        <v>42664.01</v>
      </c>
      <c r="F1488" s="12">
        <v>44533</v>
      </c>
      <c r="G1488" s="12">
        <v>45007</v>
      </c>
      <c r="H1488" s="11" t="s">
        <v>4032</v>
      </c>
      <c r="I1488" s="11" t="s">
        <v>3373</v>
      </c>
      <c r="J1488" s="13" t="str" cm="1">
        <f t="array" ref="J1488">_xlfn.IFS(
  OR(ISBLANK(A1488),ISBLANK(B1488),ISBLANK(H1488),ISBLANK(D1488),ISBLANK(E1488)),"Missing Value",
  D1488&lt;=0,"Review – Out of Range (Coverage)",
  E1488&lt;=0,"Review – Out of Range (Premium)",
  TRUE,"OK"
)</f>
        <v>OK</v>
      </c>
    </row>
    <row r="1489" spans="1:10" ht="16.8" x14ac:dyDescent="0.3">
      <c r="A1489" s="14" t="s">
        <v>5146</v>
      </c>
      <c r="B1489" s="14" t="s">
        <v>2553</v>
      </c>
      <c r="C1489" s="14" t="s">
        <v>3380</v>
      </c>
      <c r="D1489" s="14">
        <v>412218.35</v>
      </c>
      <c r="E1489" s="14">
        <v>3464.82</v>
      </c>
      <c r="F1489" s="15">
        <v>44890</v>
      </c>
      <c r="G1489" s="15">
        <v>45102</v>
      </c>
      <c r="H1489" s="14" t="s">
        <v>3399</v>
      </c>
      <c r="I1489" s="14" t="s">
        <v>3365</v>
      </c>
      <c r="J1489" s="13" t="str" cm="1">
        <f t="array" ref="J1489">_xlfn.IFS(
  OR(ISBLANK(A1489),ISBLANK(B1489),ISBLANK(H1489),ISBLANK(D1489),ISBLANK(E1489)),"Missing Value",
  D1489&lt;=0,"Review – Out of Range (Coverage)",
  E1489&lt;=0,"Review – Out of Range (Premium)",
  TRUE,"OK"
)</f>
        <v>OK</v>
      </c>
    </row>
    <row r="1490" spans="1:10" ht="16.8" x14ac:dyDescent="0.3">
      <c r="A1490" s="11" t="s">
        <v>5147</v>
      </c>
      <c r="B1490" s="11" t="s">
        <v>2631</v>
      </c>
      <c r="C1490" s="11" t="s">
        <v>3377</v>
      </c>
      <c r="D1490" s="11">
        <v>350106.31</v>
      </c>
      <c r="E1490" s="11">
        <v>45218.76</v>
      </c>
      <c r="F1490" s="12">
        <v>45412</v>
      </c>
      <c r="G1490" s="12">
        <v>45762</v>
      </c>
      <c r="H1490" s="11" t="s">
        <v>5148</v>
      </c>
      <c r="I1490" s="11" t="s">
        <v>3373</v>
      </c>
      <c r="J1490" s="13" t="str" cm="1">
        <f t="array" ref="J1490">_xlfn.IFS(
  OR(ISBLANK(A1490),ISBLANK(B1490),ISBLANK(H1490),ISBLANK(D1490),ISBLANK(E1490)),"Missing Value",
  D1490&lt;=0,"Review – Out of Range (Coverage)",
  E1490&lt;=0,"Review – Out of Range (Premium)",
  TRUE,"OK"
)</f>
        <v>OK</v>
      </c>
    </row>
    <row r="1491" spans="1:10" ht="16.8" x14ac:dyDescent="0.3">
      <c r="A1491" s="14" t="s">
        <v>5149</v>
      </c>
      <c r="B1491" s="14" t="s">
        <v>2341</v>
      </c>
      <c r="C1491" s="14" t="s">
        <v>3363</v>
      </c>
      <c r="D1491" s="14">
        <v>306342.64</v>
      </c>
      <c r="E1491" s="14">
        <v>13602.88</v>
      </c>
      <c r="F1491" s="15">
        <v>44359</v>
      </c>
      <c r="G1491" s="15">
        <v>45316</v>
      </c>
      <c r="H1491" s="14" t="s">
        <v>3779</v>
      </c>
      <c r="I1491" s="14" t="s">
        <v>3365</v>
      </c>
      <c r="J1491" s="13" t="str" cm="1">
        <f t="array" ref="J1491">_xlfn.IFS(
  OR(ISBLANK(A1491),ISBLANK(B1491),ISBLANK(H1491),ISBLANK(D1491),ISBLANK(E1491)),"Missing Value",
  D1491&lt;=0,"Review – Out of Range (Coverage)",
  E1491&lt;=0,"Review – Out of Range (Premium)",
  TRUE,"OK"
)</f>
        <v>OK</v>
      </c>
    </row>
    <row r="1492" spans="1:10" ht="16.8" x14ac:dyDescent="0.3">
      <c r="A1492" s="11" t="s">
        <v>5150</v>
      </c>
      <c r="B1492" s="11" t="s">
        <v>1109</v>
      </c>
      <c r="C1492" s="11" t="s">
        <v>3363</v>
      </c>
      <c r="D1492" s="11">
        <v>398446.06</v>
      </c>
      <c r="E1492" s="11">
        <v>19083.080000000002</v>
      </c>
      <c r="F1492" s="12">
        <v>45242</v>
      </c>
      <c r="G1492" s="12">
        <v>45347</v>
      </c>
      <c r="H1492" s="11" t="s">
        <v>3813</v>
      </c>
      <c r="I1492" s="11" t="s">
        <v>3373</v>
      </c>
      <c r="J1492" s="13" t="str" cm="1">
        <f t="array" ref="J1492">_xlfn.IFS(
  OR(ISBLANK(A1492),ISBLANK(B1492),ISBLANK(H1492),ISBLANK(D1492),ISBLANK(E1492)),"Missing Value",
  D1492&lt;=0,"Review – Out of Range (Coverage)",
  E1492&lt;=0,"Review – Out of Range (Premium)",
  TRUE,"OK"
)</f>
        <v>OK</v>
      </c>
    </row>
    <row r="1493" spans="1:10" ht="16.8" x14ac:dyDescent="0.3">
      <c r="A1493" s="14" t="s">
        <v>5151</v>
      </c>
      <c r="B1493" s="14" t="s">
        <v>182</v>
      </c>
      <c r="C1493" s="14" t="s">
        <v>3371</v>
      </c>
      <c r="D1493" s="14">
        <v>455116.39</v>
      </c>
      <c r="E1493" s="14">
        <v>14856.05</v>
      </c>
      <c r="F1493" s="15">
        <v>44493</v>
      </c>
      <c r="G1493" s="15">
        <v>44716</v>
      </c>
      <c r="H1493" s="14" t="s">
        <v>3553</v>
      </c>
      <c r="I1493" s="14" t="s">
        <v>3361</v>
      </c>
      <c r="J1493" s="13" t="str" cm="1">
        <f t="array" ref="J1493">_xlfn.IFS(
  OR(ISBLANK(A1493),ISBLANK(B1493),ISBLANK(H1493),ISBLANK(D1493),ISBLANK(E1493)),"Missing Value",
  D1493&lt;=0,"Review – Out of Range (Coverage)",
  E1493&lt;=0,"Review – Out of Range (Premium)",
  TRUE,"OK"
)</f>
        <v>OK</v>
      </c>
    </row>
    <row r="1494" spans="1:10" ht="16.8" x14ac:dyDescent="0.3">
      <c r="A1494" s="11" t="s">
        <v>5152</v>
      </c>
      <c r="B1494" s="11" t="s">
        <v>2831</v>
      </c>
      <c r="C1494" s="11" t="s">
        <v>3377</v>
      </c>
      <c r="D1494" s="11">
        <v>118265.71</v>
      </c>
      <c r="E1494" s="11">
        <v>15211.18</v>
      </c>
      <c r="F1494" s="12">
        <v>44408</v>
      </c>
      <c r="G1494" s="12">
        <v>45519</v>
      </c>
      <c r="H1494" s="11" t="s">
        <v>3463</v>
      </c>
      <c r="I1494" s="11" t="s">
        <v>3361</v>
      </c>
      <c r="J1494" s="13" t="str" cm="1">
        <f t="array" ref="J1494">_xlfn.IFS(
  OR(ISBLANK(A1494),ISBLANK(B1494),ISBLANK(H1494),ISBLANK(D1494),ISBLANK(E1494)),"Missing Value",
  D1494&lt;=0,"Review – Out of Range (Coverage)",
  E1494&lt;=0,"Review – Out of Range (Premium)",
  TRUE,"OK"
)</f>
        <v>OK</v>
      </c>
    </row>
    <row r="1495" spans="1:10" ht="16.8" x14ac:dyDescent="0.3">
      <c r="A1495" s="14" t="s">
        <v>5153</v>
      </c>
      <c r="B1495" s="14" t="s">
        <v>1167</v>
      </c>
      <c r="C1495" s="14" t="s">
        <v>3363</v>
      </c>
      <c r="D1495" s="14">
        <v>393876.61</v>
      </c>
      <c r="E1495" s="14">
        <v>27430.01</v>
      </c>
      <c r="F1495" s="15">
        <v>45455</v>
      </c>
      <c r="G1495" s="15">
        <v>45590</v>
      </c>
      <c r="H1495" s="14" t="s">
        <v>3511</v>
      </c>
      <c r="I1495" s="14" t="s">
        <v>3365</v>
      </c>
      <c r="J1495" s="13" t="str" cm="1">
        <f t="array" ref="J1495">_xlfn.IFS(
  OR(ISBLANK(A1495),ISBLANK(B1495),ISBLANK(H1495),ISBLANK(D1495),ISBLANK(E1495)),"Missing Value",
  D1495&lt;=0,"Review – Out of Range (Coverage)",
  E1495&lt;=0,"Review – Out of Range (Premium)",
  TRUE,"OK"
)</f>
        <v>OK</v>
      </c>
    </row>
    <row r="1496" spans="1:10" ht="16.8" x14ac:dyDescent="0.3">
      <c r="A1496" s="11" t="s">
        <v>5154</v>
      </c>
      <c r="B1496" s="11" t="s">
        <v>1573</v>
      </c>
      <c r="C1496" s="11" t="s">
        <v>3380</v>
      </c>
      <c r="D1496" s="11">
        <v>184602.01</v>
      </c>
      <c r="E1496" s="11">
        <v>4184.1099999999997</v>
      </c>
      <c r="F1496" s="12">
        <v>44530</v>
      </c>
      <c r="G1496" s="12">
        <v>45741</v>
      </c>
      <c r="H1496" s="11" t="s">
        <v>4732</v>
      </c>
      <c r="I1496" s="11" t="s">
        <v>3365</v>
      </c>
      <c r="J1496" s="13" t="str" cm="1">
        <f t="array" ref="J1496">_xlfn.IFS(
  OR(ISBLANK(A1496),ISBLANK(B1496),ISBLANK(H1496),ISBLANK(D1496),ISBLANK(E1496)),"Missing Value",
  D1496&lt;=0,"Review – Out of Range (Coverage)",
  E1496&lt;=0,"Review – Out of Range (Premium)",
  TRUE,"OK"
)</f>
        <v>OK</v>
      </c>
    </row>
    <row r="1497" spans="1:10" ht="16.8" x14ac:dyDescent="0.3">
      <c r="A1497" s="14" t="s">
        <v>5155</v>
      </c>
      <c r="B1497" s="14" t="s">
        <v>3348</v>
      </c>
      <c r="C1497" s="14" t="s">
        <v>3380</v>
      </c>
      <c r="D1497" s="14">
        <v>896065.56</v>
      </c>
      <c r="E1497" s="14">
        <v>20982.42</v>
      </c>
      <c r="F1497" s="15">
        <v>44798</v>
      </c>
      <c r="G1497" s="15">
        <v>45572</v>
      </c>
      <c r="H1497" s="14" t="s">
        <v>3997</v>
      </c>
      <c r="I1497" s="14" t="s">
        <v>3361</v>
      </c>
      <c r="J1497" s="13" t="str" cm="1">
        <f t="array" ref="J1497">_xlfn.IFS(
  OR(ISBLANK(A1497),ISBLANK(B1497),ISBLANK(H1497),ISBLANK(D1497),ISBLANK(E1497)),"Missing Value",
  D1497&lt;=0,"Review – Out of Range (Coverage)",
  E1497&lt;=0,"Review – Out of Range (Premium)",
  TRUE,"OK"
)</f>
        <v>OK</v>
      </c>
    </row>
    <row r="1498" spans="1:10" ht="16.8" x14ac:dyDescent="0.3">
      <c r="A1498" s="11" t="s">
        <v>5156</v>
      </c>
      <c r="B1498" s="11" t="s">
        <v>3150</v>
      </c>
      <c r="C1498" s="11" t="s">
        <v>3371</v>
      </c>
      <c r="D1498" s="11">
        <v>410241.93</v>
      </c>
      <c r="E1498" s="11">
        <v>29577.439999999999</v>
      </c>
      <c r="F1498" s="12">
        <v>45060</v>
      </c>
      <c r="G1498" s="12">
        <v>45239</v>
      </c>
      <c r="H1498" s="11" t="s">
        <v>3425</v>
      </c>
      <c r="I1498" s="11" t="s">
        <v>3365</v>
      </c>
      <c r="J1498" s="13" t="str" cm="1">
        <f t="array" ref="J1498">_xlfn.IFS(
  OR(ISBLANK(A1498),ISBLANK(B1498),ISBLANK(H1498),ISBLANK(D1498),ISBLANK(E1498)),"Missing Value",
  D1498&lt;=0,"Review – Out of Range (Coverage)",
  E1498&lt;=0,"Review – Out of Range (Premium)",
  TRUE,"OK"
)</f>
        <v>OK</v>
      </c>
    </row>
    <row r="1499" spans="1:10" ht="16.8" x14ac:dyDescent="0.3">
      <c r="A1499" s="14" t="s">
        <v>5157</v>
      </c>
      <c r="B1499" s="14" t="s">
        <v>1633</v>
      </c>
      <c r="C1499" s="14" t="s">
        <v>3371</v>
      </c>
      <c r="D1499" s="14">
        <v>111870.1</v>
      </c>
      <c r="E1499" s="14">
        <v>17476.68</v>
      </c>
      <c r="F1499" s="15">
        <v>44882</v>
      </c>
      <c r="G1499" s="15">
        <v>45323</v>
      </c>
      <c r="H1499" s="14" t="s">
        <v>3827</v>
      </c>
      <c r="I1499" s="14" t="s">
        <v>3361</v>
      </c>
      <c r="J1499" s="13" t="str" cm="1">
        <f t="array" ref="J1499">_xlfn.IFS(
  OR(ISBLANK(A1499),ISBLANK(B1499),ISBLANK(H1499),ISBLANK(D1499),ISBLANK(E1499)),"Missing Value",
  D1499&lt;=0,"Review – Out of Range (Coverage)",
  E1499&lt;=0,"Review – Out of Range (Premium)",
  TRUE,"OK"
)</f>
        <v>OK</v>
      </c>
    </row>
    <row r="1500" spans="1:10" ht="16.8" x14ac:dyDescent="0.3">
      <c r="A1500" s="11" t="s">
        <v>5158</v>
      </c>
      <c r="B1500" s="11" t="s">
        <v>953</v>
      </c>
      <c r="C1500" s="11" t="s">
        <v>3363</v>
      </c>
      <c r="D1500" s="11">
        <v>842922.01</v>
      </c>
      <c r="E1500" s="11">
        <v>10800.45</v>
      </c>
      <c r="F1500" s="12">
        <v>45374</v>
      </c>
      <c r="G1500" s="12">
        <v>45598</v>
      </c>
      <c r="H1500" s="11" t="s">
        <v>3861</v>
      </c>
      <c r="I1500" s="11" t="s">
        <v>3361</v>
      </c>
      <c r="J1500" s="13" t="str" cm="1">
        <f t="array" ref="J1500">_xlfn.IFS(
  OR(ISBLANK(A1500),ISBLANK(B1500),ISBLANK(H1500),ISBLANK(D1500),ISBLANK(E1500)),"Missing Value",
  D1500&lt;=0,"Review – Out of Range (Coverage)",
  E1500&lt;=0,"Review – Out of Range (Premium)",
  TRUE,"OK"
)</f>
        <v>OK</v>
      </c>
    </row>
    <row r="1501" spans="1:10" ht="16.8" x14ac:dyDescent="0.3">
      <c r="A1501" s="14" t="s">
        <v>5159</v>
      </c>
      <c r="B1501" s="14" t="s">
        <v>1079</v>
      </c>
      <c r="C1501" s="14" t="s">
        <v>3380</v>
      </c>
      <c r="D1501" s="14">
        <v>862118.72</v>
      </c>
      <c r="E1501" s="14">
        <v>23276.82</v>
      </c>
      <c r="F1501" s="15">
        <v>44822</v>
      </c>
      <c r="G1501" s="15">
        <v>45816</v>
      </c>
      <c r="H1501" s="14" t="s">
        <v>3421</v>
      </c>
      <c r="I1501" s="14" t="s">
        <v>3361</v>
      </c>
      <c r="J1501" s="13" t="str" cm="1">
        <f t="array" ref="J1501">_xlfn.IFS(
  OR(ISBLANK(A1501),ISBLANK(B1501),ISBLANK(H1501),ISBLANK(D1501),ISBLANK(E1501)),"Missing Value",
  D1501&lt;=0,"Review – Out of Range (Coverage)",
  E1501&lt;=0,"Review – Out of Range (Premium)",
  TRUE,"OK"
)</f>
        <v>OK</v>
      </c>
    </row>
    <row r="1502" spans="1:10" ht="16.8" x14ac:dyDescent="0.3">
      <c r="A1502" s="11" t="s">
        <v>5160</v>
      </c>
      <c r="B1502" s="11" t="s">
        <v>1867</v>
      </c>
      <c r="C1502" s="11" t="s">
        <v>3380</v>
      </c>
      <c r="D1502" s="11">
        <v>478436.04</v>
      </c>
      <c r="E1502" s="11">
        <v>7482.9</v>
      </c>
      <c r="F1502" s="12">
        <v>44968</v>
      </c>
      <c r="G1502" s="12">
        <v>45742</v>
      </c>
      <c r="H1502" s="11" t="s">
        <v>3997</v>
      </c>
      <c r="I1502" s="11" t="s">
        <v>3365</v>
      </c>
      <c r="J1502" s="13" t="str" cm="1">
        <f t="array" ref="J1502">_xlfn.IFS(
  OR(ISBLANK(A1502),ISBLANK(B1502),ISBLANK(H1502),ISBLANK(D1502),ISBLANK(E1502)),"Missing Value",
  D1502&lt;=0,"Review – Out of Range (Coverage)",
  E1502&lt;=0,"Review – Out of Range (Premium)",
  TRUE,"OK"
)</f>
        <v>OK</v>
      </c>
    </row>
    <row r="1503" spans="1:10" ht="16.8" x14ac:dyDescent="0.3">
      <c r="A1503" s="14" t="s">
        <v>5161</v>
      </c>
      <c r="B1503" s="14" t="s">
        <v>3034</v>
      </c>
      <c r="C1503" s="14" t="s">
        <v>3359</v>
      </c>
      <c r="D1503" s="14">
        <v>457100.29</v>
      </c>
      <c r="E1503" s="14">
        <v>24284.75</v>
      </c>
      <c r="F1503" s="15">
        <v>44377</v>
      </c>
      <c r="G1503" s="15">
        <v>44958</v>
      </c>
      <c r="H1503" s="14" t="s">
        <v>4660</v>
      </c>
      <c r="I1503" s="14" t="s">
        <v>3361</v>
      </c>
      <c r="J1503" s="13" t="str" cm="1">
        <f t="array" ref="J1503">_xlfn.IFS(
  OR(ISBLANK(A1503),ISBLANK(B1503),ISBLANK(H1503),ISBLANK(D1503),ISBLANK(E1503)),"Missing Value",
  D1503&lt;=0,"Review – Out of Range (Coverage)",
  E1503&lt;=0,"Review – Out of Range (Premium)",
  TRUE,"OK"
)</f>
        <v>OK</v>
      </c>
    </row>
    <row r="1504" spans="1:10" ht="16.8" x14ac:dyDescent="0.3">
      <c r="A1504" s="11" t="s">
        <v>5162</v>
      </c>
      <c r="B1504" s="11" t="s">
        <v>2717</v>
      </c>
      <c r="C1504" s="11" t="s">
        <v>3371</v>
      </c>
      <c r="D1504" s="11">
        <v>559382.42000000004</v>
      </c>
      <c r="E1504" s="11">
        <v>32685.54</v>
      </c>
      <c r="F1504" s="12">
        <v>45186</v>
      </c>
      <c r="G1504" s="12">
        <v>45778</v>
      </c>
      <c r="H1504" s="11" t="s">
        <v>3492</v>
      </c>
      <c r="I1504" s="11" t="s">
        <v>3361</v>
      </c>
      <c r="J1504" s="13" t="str" cm="1">
        <f t="array" ref="J1504">_xlfn.IFS(
  OR(ISBLANK(A1504),ISBLANK(B1504),ISBLANK(H1504),ISBLANK(D1504),ISBLANK(E1504)),"Missing Value",
  D1504&lt;=0,"Review – Out of Range (Coverage)",
  E1504&lt;=0,"Review – Out of Range (Premium)",
  TRUE,"OK"
)</f>
        <v>OK</v>
      </c>
    </row>
    <row r="1505" spans="1:10" ht="16.8" x14ac:dyDescent="0.3">
      <c r="A1505" s="14" t="s">
        <v>5163</v>
      </c>
      <c r="B1505" s="14" t="s">
        <v>1355</v>
      </c>
      <c r="C1505" s="14" t="s">
        <v>3377</v>
      </c>
      <c r="D1505" s="14">
        <v>128758.06</v>
      </c>
      <c r="E1505" s="14">
        <v>46681.41</v>
      </c>
      <c r="F1505" s="15">
        <v>45445</v>
      </c>
      <c r="G1505" s="15">
        <v>45561</v>
      </c>
      <c r="H1505" s="14" t="s">
        <v>5164</v>
      </c>
      <c r="I1505" s="14" t="s">
        <v>3373</v>
      </c>
      <c r="J1505" s="13" t="str" cm="1">
        <f t="array" ref="J1505">_xlfn.IFS(
  OR(ISBLANK(A1505),ISBLANK(B1505),ISBLANK(H1505),ISBLANK(D1505),ISBLANK(E1505)),"Missing Value",
  D1505&lt;=0,"Review – Out of Range (Coverage)",
  E1505&lt;=0,"Review – Out of Range (Premium)",
  TRUE,"OK"
)</f>
        <v>OK</v>
      </c>
    </row>
    <row r="1506" spans="1:10" ht="16.8" x14ac:dyDescent="0.3">
      <c r="A1506" s="11" t="s">
        <v>5165</v>
      </c>
      <c r="B1506" s="11" t="s">
        <v>1177</v>
      </c>
      <c r="C1506" s="11" t="s">
        <v>3359</v>
      </c>
      <c r="D1506" s="11">
        <v>624243.09</v>
      </c>
      <c r="E1506" s="11">
        <v>33826.18</v>
      </c>
      <c r="F1506" s="12">
        <v>45017</v>
      </c>
      <c r="G1506" s="12">
        <v>45777</v>
      </c>
      <c r="H1506" s="11" t="s">
        <v>3495</v>
      </c>
      <c r="I1506" s="11" t="s">
        <v>3365</v>
      </c>
      <c r="J1506" s="13" t="str" cm="1">
        <f t="array" ref="J1506">_xlfn.IFS(
  OR(ISBLANK(A1506),ISBLANK(B1506),ISBLANK(H1506),ISBLANK(D1506),ISBLANK(E1506)),"Missing Value",
  D1506&lt;=0,"Review – Out of Range (Coverage)",
  E1506&lt;=0,"Review – Out of Range (Premium)",
  TRUE,"OK"
)</f>
        <v>OK</v>
      </c>
    </row>
    <row r="1507" spans="1:10" ht="16.8" x14ac:dyDescent="0.3">
      <c r="A1507" s="14" t="s">
        <v>5166</v>
      </c>
      <c r="B1507" s="14" t="s">
        <v>1395</v>
      </c>
      <c r="C1507" s="14" t="s">
        <v>3363</v>
      </c>
      <c r="D1507" s="14">
        <v>362260.97</v>
      </c>
      <c r="E1507" s="14">
        <v>5461.11</v>
      </c>
      <c r="F1507" s="15">
        <v>45127</v>
      </c>
      <c r="G1507" s="15">
        <v>45444</v>
      </c>
      <c r="H1507" s="14" t="s">
        <v>3451</v>
      </c>
      <c r="I1507" s="14" t="s">
        <v>3365</v>
      </c>
      <c r="J1507" s="13" t="str" cm="1">
        <f t="array" ref="J1507">_xlfn.IFS(
  OR(ISBLANK(A1507),ISBLANK(B1507),ISBLANK(H1507),ISBLANK(D1507),ISBLANK(E1507)),"Missing Value",
  D1507&lt;=0,"Review – Out of Range (Coverage)",
  E1507&lt;=0,"Review – Out of Range (Premium)",
  TRUE,"OK"
)</f>
        <v>OK</v>
      </c>
    </row>
    <row r="1508" spans="1:10" ht="16.8" x14ac:dyDescent="0.3">
      <c r="A1508" s="11" t="s">
        <v>5167</v>
      </c>
      <c r="B1508" s="11" t="s">
        <v>2577</v>
      </c>
      <c r="C1508" s="11" t="s">
        <v>3380</v>
      </c>
      <c r="D1508" s="11">
        <v>118590.46</v>
      </c>
      <c r="E1508" s="11">
        <v>5545.67</v>
      </c>
      <c r="F1508" s="12">
        <v>45127</v>
      </c>
      <c r="G1508" s="12">
        <v>45279</v>
      </c>
      <c r="H1508" s="11" t="s">
        <v>3911</v>
      </c>
      <c r="I1508" s="11" t="s">
        <v>3361</v>
      </c>
      <c r="J1508" s="13" t="str" cm="1">
        <f t="array" ref="J1508">_xlfn.IFS(
  OR(ISBLANK(A1508),ISBLANK(B1508),ISBLANK(H1508),ISBLANK(D1508),ISBLANK(E1508)),"Missing Value",
  D1508&lt;=0,"Review – Out of Range (Coverage)",
  E1508&lt;=0,"Review – Out of Range (Premium)",
  TRUE,"OK"
)</f>
        <v>OK</v>
      </c>
    </row>
    <row r="1509" spans="1:10" ht="16.8" x14ac:dyDescent="0.3">
      <c r="A1509" s="14" t="s">
        <v>5168</v>
      </c>
      <c r="B1509" s="14" t="s">
        <v>1203</v>
      </c>
      <c r="C1509" s="14" t="s">
        <v>3380</v>
      </c>
      <c r="D1509" s="14">
        <v>879063.85</v>
      </c>
      <c r="E1509" s="14">
        <v>41535.269999999997</v>
      </c>
      <c r="F1509" s="15">
        <v>45076</v>
      </c>
      <c r="G1509" s="15">
        <v>45567</v>
      </c>
      <c r="H1509" s="14" t="s">
        <v>4198</v>
      </c>
      <c r="I1509" s="14" t="s">
        <v>3361</v>
      </c>
      <c r="J1509" s="13" t="str" cm="1">
        <f t="array" ref="J1509">_xlfn.IFS(
  OR(ISBLANK(A1509),ISBLANK(B1509),ISBLANK(H1509),ISBLANK(D1509),ISBLANK(E1509)),"Missing Value",
  D1509&lt;=0,"Review – Out of Range (Coverage)",
  E1509&lt;=0,"Review – Out of Range (Premium)",
  TRUE,"OK"
)</f>
        <v>OK</v>
      </c>
    </row>
    <row r="1510" spans="1:10" ht="16.8" x14ac:dyDescent="0.3">
      <c r="A1510" s="11" t="s">
        <v>5169</v>
      </c>
      <c r="B1510" s="11" t="s">
        <v>2929</v>
      </c>
      <c r="C1510" s="11" t="s">
        <v>3380</v>
      </c>
      <c r="D1510" s="11">
        <v>320933.13</v>
      </c>
      <c r="E1510" s="11">
        <v>29843.07</v>
      </c>
      <c r="F1510" s="12">
        <v>44451</v>
      </c>
      <c r="G1510" s="12">
        <v>45302</v>
      </c>
      <c r="H1510" s="11" t="s">
        <v>3553</v>
      </c>
      <c r="I1510" s="11" t="s">
        <v>3373</v>
      </c>
      <c r="J1510" s="13" t="str" cm="1">
        <f t="array" ref="J1510">_xlfn.IFS(
  OR(ISBLANK(A1510),ISBLANK(B1510),ISBLANK(H1510),ISBLANK(D1510),ISBLANK(E1510)),"Missing Value",
  D1510&lt;=0,"Review – Out of Range (Coverage)",
  E1510&lt;=0,"Review – Out of Range (Premium)",
  TRUE,"OK"
)</f>
        <v>OK</v>
      </c>
    </row>
    <row r="1511" spans="1:10" ht="16.8" x14ac:dyDescent="0.3">
      <c r="A1511" s="14" t="s">
        <v>5170</v>
      </c>
      <c r="B1511" s="14" t="s">
        <v>735</v>
      </c>
      <c r="C1511" s="14" t="s">
        <v>3380</v>
      </c>
      <c r="D1511" s="14">
        <v>279797.5</v>
      </c>
      <c r="E1511" s="14">
        <v>9370.2900000000009</v>
      </c>
      <c r="F1511" s="15">
        <v>45044</v>
      </c>
      <c r="G1511" s="15">
        <v>45067</v>
      </c>
      <c r="H1511" s="14" t="s">
        <v>5171</v>
      </c>
      <c r="I1511" s="14" t="s">
        <v>3365</v>
      </c>
      <c r="J1511" s="13" t="str" cm="1">
        <f t="array" ref="J1511">_xlfn.IFS(
  OR(ISBLANK(A1511),ISBLANK(B1511),ISBLANK(H1511),ISBLANK(D1511),ISBLANK(E1511)),"Missing Value",
  D1511&lt;=0,"Review – Out of Range (Coverage)",
  E1511&lt;=0,"Review – Out of Range (Premium)",
  TRUE,"OK"
)</f>
        <v>OK</v>
      </c>
    </row>
    <row r="1512" spans="1:10" ht="16.8" x14ac:dyDescent="0.3">
      <c r="A1512" s="11" t="s">
        <v>5172</v>
      </c>
      <c r="B1512" s="11" t="s">
        <v>3082</v>
      </c>
      <c r="C1512" s="11" t="s">
        <v>3371</v>
      </c>
      <c r="D1512" s="11">
        <v>848818.13</v>
      </c>
      <c r="E1512" s="11">
        <v>47770.68</v>
      </c>
      <c r="F1512" s="12">
        <v>45000</v>
      </c>
      <c r="G1512" s="12">
        <v>45365</v>
      </c>
      <c r="H1512" s="11" t="s">
        <v>3530</v>
      </c>
      <c r="I1512" s="11" t="s">
        <v>3365</v>
      </c>
      <c r="J1512" s="13" t="str" cm="1">
        <f t="array" ref="J1512">_xlfn.IFS(
  OR(ISBLANK(A1512),ISBLANK(B1512),ISBLANK(H1512),ISBLANK(D1512),ISBLANK(E1512)),"Missing Value",
  D1512&lt;=0,"Review – Out of Range (Coverage)",
  E1512&lt;=0,"Review – Out of Range (Premium)",
  TRUE,"OK"
)</f>
        <v>OK</v>
      </c>
    </row>
    <row r="1513" spans="1:10" ht="16.8" x14ac:dyDescent="0.3">
      <c r="A1513" s="14" t="s">
        <v>5173</v>
      </c>
      <c r="B1513" s="14" t="s">
        <v>2777</v>
      </c>
      <c r="C1513" s="14" t="s">
        <v>3377</v>
      </c>
      <c r="D1513" s="14">
        <v>205658.05</v>
      </c>
      <c r="E1513" s="14">
        <v>43073.599999999999</v>
      </c>
      <c r="F1513" s="15">
        <v>44273</v>
      </c>
      <c r="G1513" s="15">
        <v>45350</v>
      </c>
      <c r="H1513" s="14" t="s">
        <v>3976</v>
      </c>
      <c r="I1513" s="14" t="s">
        <v>3373</v>
      </c>
      <c r="J1513" s="13" t="str" cm="1">
        <f t="array" ref="J1513">_xlfn.IFS(
  OR(ISBLANK(A1513),ISBLANK(B1513),ISBLANK(H1513),ISBLANK(D1513),ISBLANK(E1513)),"Missing Value",
  D1513&lt;=0,"Review – Out of Range (Coverage)",
  E1513&lt;=0,"Review – Out of Range (Premium)",
  TRUE,"OK"
)</f>
        <v>OK</v>
      </c>
    </row>
    <row r="1514" spans="1:10" ht="16.8" x14ac:dyDescent="0.3">
      <c r="A1514" s="11" t="s">
        <v>5174</v>
      </c>
      <c r="B1514" s="11" t="s">
        <v>1149</v>
      </c>
      <c r="C1514" s="11" t="s">
        <v>3371</v>
      </c>
      <c r="D1514" s="11">
        <v>942353.07</v>
      </c>
      <c r="E1514" s="11">
        <v>36176.18</v>
      </c>
      <c r="F1514" s="12">
        <v>45264</v>
      </c>
      <c r="G1514" s="12">
        <v>45670</v>
      </c>
      <c r="H1514" s="11" t="s">
        <v>3939</v>
      </c>
      <c r="I1514" s="11" t="s">
        <v>3365</v>
      </c>
      <c r="J1514" s="13" t="str" cm="1">
        <f t="array" ref="J1514">_xlfn.IFS(
  OR(ISBLANK(A1514),ISBLANK(B1514),ISBLANK(H1514),ISBLANK(D1514),ISBLANK(E1514)),"Missing Value",
  D1514&lt;=0,"Review – Out of Range (Coverage)",
  E1514&lt;=0,"Review – Out of Range (Premium)",
  TRUE,"OK"
)</f>
        <v>OK</v>
      </c>
    </row>
    <row r="1515" spans="1:10" ht="16.8" x14ac:dyDescent="0.3">
      <c r="A1515" s="14" t="s">
        <v>5175</v>
      </c>
      <c r="B1515" s="14" t="s">
        <v>2243</v>
      </c>
      <c r="C1515" s="14" t="s">
        <v>3377</v>
      </c>
      <c r="D1515" s="14">
        <v>889130.3</v>
      </c>
      <c r="E1515" s="14">
        <v>13393.66</v>
      </c>
      <c r="F1515" s="15">
        <v>44438</v>
      </c>
      <c r="G1515" s="15">
        <v>45134</v>
      </c>
      <c r="H1515" s="14" t="s">
        <v>3868</v>
      </c>
      <c r="I1515" s="14" t="s">
        <v>3365</v>
      </c>
      <c r="J1515" s="13" t="str" cm="1">
        <f t="array" ref="J1515">_xlfn.IFS(
  OR(ISBLANK(A1515),ISBLANK(B1515),ISBLANK(H1515),ISBLANK(D1515),ISBLANK(E1515)),"Missing Value",
  D1515&lt;=0,"Review – Out of Range (Coverage)",
  E1515&lt;=0,"Review – Out of Range (Premium)",
  TRUE,"OK"
)</f>
        <v>OK</v>
      </c>
    </row>
    <row r="1516" spans="1:10" ht="16.8" x14ac:dyDescent="0.3">
      <c r="A1516" s="11" t="s">
        <v>5176</v>
      </c>
      <c r="B1516" s="11" t="s">
        <v>3278</v>
      </c>
      <c r="C1516" s="11" t="s">
        <v>3371</v>
      </c>
      <c r="D1516" s="11">
        <v>813041.02</v>
      </c>
      <c r="E1516" s="11">
        <v>33192.39</v>
      </c>
      <c r="F1516" s="12">
        <v>44225</v>
      </c>
      <c r="G1516" s="12">
        <v>45402</v>
      </c>
      <c r="H1516" s="11" t="s">
        <v>3375</v>
      </c>
      <c r="I1516" s="11" t="s">
        <v>3373</v>
      </c>
      <c r="J1516" s="13" t="str" cm="1">
        <f t="array" ref="J1516">_xlfn.IFS(
  OR(ISBLANK(A1516),ISBLANK(B1516),ISBLANK(H1516),ISBLANK(D1516),ISBLANK(E1516)),"Missing Value",
  D1516&lt;=0,"Review – Out of Range (Coverage)",
  E1516&lt;=0,"Review – Out of Range (Premium)",
  TRUE,"OK"
)</f>
        <v>OK</v>
      </c>
    </row>
    <row r="1517" spans="1:10" ht="16.8" x14ac:dyDescent="0.3">
      <c r="A1517" s="14" t="s">
        <v>5177</v>
      </c>
      <c r="B1517" s="14" t="s">
        <v>797</v>
      </c>
      <c r="C1517" s="14" t="s">
        <v>3377</v>
      </c>
      <c r="D1517" s="14">
        <v>710091.56</v>
      </c>
      <c r="E1517" s="14">
        <v>4640.29</v>
      </c>
      <c r="F1517" s="15">
        <v>44366</v>
      </c>
      <c r="G1517" s="15">
        <v>45796</v>
      </c>
      <c r="H1517" s="14" t="s">
        <v>3538</v>
      </c>
      <c r="I1517" s="14" t="s">
        <v>3373</v>
      </c>
      <c r="J1517" s="13" t="str" cm="1">
        <f t="array" ref="J1517">_xlfn.IFS(
  OR(ISBLANK(A1517),ISBLANK(B1517),ISBLANK(H1517),ISBLANK(D1517),ISBLANK(E1517)),"Missing Value",
  D1517&lt;=0,"Review – Out of Range (Coverage)",
  E1517&lt;=0,"Review – Out of Range (Premium)",
  TRUE,"OK"
)</f>
        <v>OK</v>
      </c>
    </row>
    <row r="1518" spans="1:10" ht="16.8" x14ac:dyDescent="0.3">
      <c r="A1518" s="11" t="s">
        <v>5178</v>
      </c>
      <c r="B1518" s="11" t="s">
        <v>2041</v>
      </c>
      <c r="C1518" s="11" t="s">
        <v>3380</v>
      </c>
      <c r="D1518" s="11">
        <v>456604.08</v>
      </c>
      <c r="E1518" s="11">
        <v>22132.79</v>
      </c>
      <c r="F1518" s="12">
        <v>44878</v>
      </c>
      <c r="G1518" s="12">
        <v>44906</v>
      </c>
      <c r="H1518" s="11" t="s">
        <v>4900</v>
      </c>
      <c r="I1518" s="11" t="s">
        <v>3365</v>
      </c>
      <c r="J1518" s="13" t="str" cm="1">
        <f t="array" ref="J1518">_xlfn.IFS(
  OR(ISBLANK(A1518),ISBLANK(B1518),ISBLANK(H1518),ISBLANK(D1518),ISBLANK(E1518)),"Missing Value",
  D1518&lt;=0,"Review – Out of Range (Coverage)",
  E1518&lt;=0,"Review – Out of Range (Premium)",
  TRUE,"OK"
)</f>
        <v>OK</v>
      </c>
    </row>
    <row r="1519" spans="1:10" ht="16.8" x14ac:dyDescent="0.3">
      <c r="A1519" s="14" t="s">
        <v>5179</v>
      </c>
      <c r="B1519" s="14" t="s">
        <v>2951</v>
      </c>
      <c r="C1519" s="14" t="s">
        <v>3380</v>
      </c>
      <c r="D1519" s="14">
        <v>423923.31</v>
      </c>
      <c r="E1519" s="14">
        <v>29576.61</v>
      </c>
      <c r="F1519" s="15">
        <v>44774</v>
      </c>
      <c r="G1519" s="15">
        <v>44873</v>
      </c>
      <c r="H1519" s="14" t="s">
        <v>4249</v>
      </c>
      <c r="I1519" s="14" t="s">
        <v>3361</v>
      </c>
      <c r="J1519" s="13" t="str" cm="1">
        <f t="array" ref="J1519">_xlfn.IFS(
  OR(ISBLANK(A1519),ISBLANK(B1519),ISBLANK(H1519),ISBLANK(D1519),ISBLANK(E1519)),"Missing Value",
  D1519&lt;=0,"Review – Out of Range (Coverage)",
  E1519&lt;=0,"Review – Out of Range (Premium)",
  TRUE,"OK"
)</f>
        <v>OK</v>
      </c>
    </row>
    <row r="1520" spans="1:10" ht="16.8" x14ac:dyDescent="0.3">
      <c r="A1520" s="11" t="s">
        <v>5180</v>
      </c>
      <c r="B1520" s="11" t="s">
        <v>3278</v>
      </c>
      <c r="C1520" s="11" t="s">
        <v>3380</v>
      </c>
      <c r="D1520" s="11">
        <v>262469.01</v>
      </c>
      <c r="E1520" s="11">
        <v>32508.95</v>
      </c>
      <c r="F1520" s="12">
        <v>45146</v>
      </c>
      <c r="G1520" s="12">
        <v>45249</v>
      </c>
      <c r="H1520" s="11" t="s">
        <v>3444</v>
      </c>
      <c r="I1520" s="11" t="s">
        <v>3365</v>
      </c>
      <c r="J1520" s="13" t="str" cm="1">
        <f t="array" ref="J1520">_xlfn.IFS(
  OR(ISBLANK(A1520),ISBLANK(B1520),ISBLANK(H1520),ISBLANK(D1520),ISBLANK(E1520)),"Missing Value",
  D1520&lt;=0,"Review – Out of Range (Coverage)",
  E1520&lt;=0,"Review – Out of Range (Premium)",
  TRUE,"OK"
)</f>
        <v>OK</v>
      </c>
    </row>
    <row r="1521" spans="1:10" ht="16.8" x14ac:dyDescent="0.3">
      <c r="A1521" s="14" t="s">
        <v>5181</v>
      </c>
      <c r="B1521" s="14" t="s">
        <v>611</v>
      </c>
      <c r="C1521" s="14" t="s">
        <v>3359</v>
      </c>
      <c r="D1521" s="14">
        <v>334022.56</v>
      </c>
      <c r="E1521" s="14">
        <v>28161.31</v>
      </c>
      <c r="F1521" s="15">
        <v>44364</v>
      </c>
      <c r="G1521" s="15">
        <v>44897</v>
      </c>
      <c r="H1521" s="14" t="s">
        <v>3911</v>
      </c>
      <c r="I1521" s="14" t="s">
        <v>3373</v>
      </c>
      <c r="J1521" s="13" t="str" cm="1">
        <f t="array" ref="J1521">_xlfn.IFS(
  OR(ISBLANK(A1521),ISBLANK(B1521),ISBLANK(H1521),ISBLANK(D1521),ISBLANK(E1521)),"Missing Value",
  D1521&lt;=0,"Review – Out of Range (Coverage)",
  E1521&lt;=0,"Review – Out of Range (Premium)",
  TRUE,"OK"
)</f>
        <v>OK</v>
      </c>
    </row>
    <row r="1522" spans="1:10" ht="16.8" x14ac:dyDescent="0.3">
      <c r="A1522" s="11" t="s">
        <v>5182</v>
      </c>
      <c r="B1522" s="11" t="s">
        <v>1995</v>
      </c>
      <c r="C1522" s="11" t="s">
        <v>3359</v>
      </c>
      <c r="D1522" s="11">
        <v>835463.3</v>
      </c>
      <c r="E1522" s="11">
        <v>20419.650000000001</v>
      </c>
      <c r="F1522" s="12">
        <v>44840</v>
      </c>
      <c r="G1522" s="12">
        <v>44894</v>
      </c>
      <c r="H1522" s="11" t="s">
        <v>3712</v>
      </c>
      <c r="I1522" s="11" t="s">
        <v>3365</v>
      </c>
      <c r="J1522" s="13" t="str" cm="1">
        <f t="array" ref="J1522">_xlfn.IFS(
  OR(ISBLANK(A1522),ISBLANK(B1522),ISBLANK(H1522),ISBLANK(D1522),ISBLANK(E1522)),"Missing Value",
  D1522&lt;=0,"Review – Out of Range (Coverage)",
  E1522&lt;=0,"Review – Out of Range (Premium)",
  TRUE,"OK"
)</f>
        <v>OK</v>
      </c>
    </row>
    <row r="1523" spans="1:10" ht="16.8" x14ac:dyDescent="0.3">
      <c r="A1523" s="14" t="s">
        <v>5183</v>
      </c>
      <c r="B1523" s="14" t="s">
        <v>234</v>
      </c>
      <c r="C1523" s="14" t="s">
        <v>3359</v>
      </c>
      <c r="D1523" s="14">
        <v>880818.56</v>
      </c>
      <c r="E1523" s="14">
        <v>26424.12</v>
      </c>
      <c r="F1523" s="15">
        <v>45338</v>
      </c>
      <c r="G1523" s="15">
        <v>45626</v>
      </c>
      <c r="H1523" s="14" t="s">
        <v>4892</v>
      </c>
      <c r="I1523" s="14" t="s">
        <v>3361</v>
      </c>
      <c r="J1523" s="13" t="str" cm="1">
        <f t="array" ref="J1523">_xlfn.IFS(
  OR(ISBLANK(A1523),ISBLANK(B1523),ISBLANK(H1523),ISBLANK(D1523),ISBLANK(E1523)),"Missing Value",
  D1523&lt;=0,"Review – Out of Range (Coverage)",
  E1523&lt;=0,"Review – Out of Range (Premium)",
  TRUE,"OK"
)</f>
        <v>OK</v>
      </c>
    </row>
    <row r="1524" spans="1:10" ht="16.8" x14ac:dyDescent="0.3">
      <c r="A1524" s="11" t="s">
        <v>5184</v>
      </c>
      <c r="B1524" s="11" t="s">
        <v>2645</v>
      </c>
      <c r="C1524" s="11" t="s">
        <v>3371</v>
      </c>
      <c r="D1524" s="11">
        <v>655228.96</v>
      </c>
      <c r="E1524" s="11">
        <v>10581.69</v>
      </c>
      <c r="F1524" s="12">
        <v>45495</v>
      </c>
      <c r="G1524" s="12">
        <v>45509</v>
      </c>
      <c r="H1524" s="11" t="s">
        <v>3425</v>
      </c>
      <c r="I1524" s="11" t="s">
        <v>3365</v>
      </c>
      <c r="J1524" s="13" t="str" cm="1">
        <f t="array" ref="J1524">_xlfn.IFS(
  OR(ISBLANK(A1524),ISBLANK(B1524),ISBLANK(H1524),ISBLANK(D1524),ISBLANK(E1524)),"Missing Value",
  D1524&lt;=0,"Review – Out of Range (Coverage)",
  E1524&lt;=0,"Review – Out of Range (Premium)",
  TRUE,"OK"
)</f>
        <v>OK</v>
      </c>
    </row>
    <row r="1525" spans="1:10" ht="16.8" x14ac:dyDescent="0.3">
      <c r="A1525" s="14" t="s">
        <v>5185</v>
      </c>
      <c r="B1525" s="14" t="s">
        <v>450</v>
      </c>
      <c r="C1525" s="14" t="s">
        <v>3380</v>
      </c>
      <c r="D1525" s="14">
        <v>737278.46</v>
      </c>
      <c r="E1525" s="14">
        <v>32243.13</v>
      </c>
      <c r="F1525" s="15">
        <v>45021</v>
      </c>
      <c r="G1525" s="15">
        <v>45819</v>
      </c>
      <c r="H1525" s="14" t="s">
        <v>3393</v>
      </c>
      <c r="I1525" s="14" t="s">
        <v>3365</v>
      </c>
      <c r="J1525" s="13" t="str" cm="1">
        <f t="array" ref="J1525">_xlfn.IFS(
  OR(ISBLANK(A1525),ISBLANK(B1525),ISBLANK(H1525),ISBLANK(D1525),ISBLANK(E1525)),"Missing Value",
  D1525&lt;=0,"Review – Out of Range (Coverage)",
  E1525&lt;=0,"Review – Out of Range (Premium)",
  TRUE,"OK"
)</f>
        <v>OK</v>
      </c>
    </row>
    <row r="1526" spans="1:10" ht="16.8" x14ac:dyDescent="0.3">
      <c r="A1526" s="11" t="s">
        <v>5186</v>
      </c>
      <c r="B1526" s="11" t="s">
        <v>2411</v>
      </c>
      <c r="C1526" s="11" t="s">
        <v>3363</v>
      </c>
      <c r="D1526" s="11">
        <v>685650.97</v>
      </c>
      <c r="E1526" s="11">
        <v>47261.31</v>
      </c>
      <c r="F1526" s="12">
        <v>44571</v>
      </c>
      <c r="G1526" s="12">
        <v>44853</v>
      </c>
      <c r="H1526" s="11" t="s">
        <v>3378</v>
      </c>
      <c r="I1526" s="11" t="s">
        <v>3361</v>
      </c>
      <c r="J1526" s="13" t="str" cm="1">
        <f t="array" ref="J1526">_xlfn.IFS(
  OR(ISBLANK(A1526),ISBLANK(B1526),ISBLANK(H1526),ISBLANK(D1526),ISBLANK(E1526)),"Missing Value",
  D1526&lt;=0,"Review – Out of Range (Coverage)",
  E1526&lt;=0,"Review – Out of Range (Premium)",
  TRUE,"OK"
)</f>
        <v>OK</v>
      </c>
    </row>
    <row r="1527" spans="1:10" ht="16.8" x14ac:dyDescent="0.3">
      <c r="A1527" s="14" t="s">
        <v>5187</v>
      </c>
      <c r="B1527" s="14" t="s">
        <v>1627</v>
      </c>
      <c r="C1527" s="14" t="s">
        <v>3377</v>
      </c>
      <c r="D1527" s="14">
        <v>650389.59</v>
      </c>
      <c r="E1527" s="14">
        <v>39850.75</v>
      </c>
      <c r="F1527" s="15">
        <v>44067</v>
      </c>
      <c r="G1527" s="15">
        <v>45209</v>
      </c>
      <c r="H1527" s="14" t="s">
        <v>3813</v>
      </c>
      <c r="I1527" s="14" t="s">
        <v>3365</v>
      </c>
      <c r="J1527" s="13" t="str" cm="1">
        <f t="array" ref="J1527">_xlfn.IFS(
  OR(ISBLANK(A1527),ISBLANK(B1527),ISBLANK(H1527),ISBLANK(D1527),ISBLANK(E1527)),"Missing Value",
  D1527&lt;=0,"Review – Out of Range (Coverage)",
  E1527&lt;=0,"Review – Out of Range (Premium)",
  TRUE,"OK"
)</f>
        <v>OK</v>
      </c>
    </row>
    <row r="1528" spans="1:10" ht="16.8" x14ac:dyDescent="0.3">
      <c r="A1528" s="11" t="s">
        <v>5188</v>
      </c>
      <c r="B1528" s="11" t="s">
        <v>1257</v>
      </c>
      <c r="C1528" s="11" t="s">
        <v>3363</v>
      </c>
      <c r="D1528" s="11">
        <v>468534.61</v>
      </c>
      <c r="E1528" s="11">
        <v>32421.11</v>
      </c>
      <c r="F1528" s="12">
        <v>44694</v>
      </c>
      <c r="G1528" s="12">
        <v>44887</v>
      </c>
      <c r="H1528" s="11" t="s">
        <v>3540</v>
      </c>
      <c r="I1528" s="11" t="s">
        <v>3361</v>
      </c>
      <c r="J1528" s="13" t="str" cm="1">
        <f t="array" ref="J1528">_xlfn.IFS(
  OR(ISBLANK(A1528),ISBLANK(B1528),ISBLANK(H1528),ISBLANK(D1528),ISBLANK(E1528)),"Missing Value",
  D1528&lt;=0,"Review – Out of Range (Coverage)",
  E1528&lt;=0,"Review – Out of Range (Premium)",
  TRUE,"OK"
)</f>
        <v>OK</v>
      </c>
    </row>
    <row r="1529" spans="1:10" ht="16.8" x14ac:dyDescent="0.3">
      <c r="A1529" s="14" t="s">
        <v>5189</v>
      </c>
      <c r="B1529" s="14" t="s">
        <v>1923</v>
      </c>
      <c r="C1529" s="14" t="s">
        <v>3377</v>
      </c>
      <c r="D1529" s="14">
        <v>201199.35999999999</v>
      </c>
      <c r="E1529" s="14">
        <v>10208.379999999999</v>
      </c>
      <c r="F1529" s="15">
        <v>45157</v>
      </c>
      <c r="G1529" s="15">
        <v>45207</v>
      </c>
      <c r="H1529" s="14" t="s">
        <v>3923</v>
      </c>
      <c r="I1529" s="14" t="s">
        <v>3361</v>
      </c>
      <c r="J1529" s="13" t="str" cm="1">
        <f t="array" ref="J1529">_xlfn.IFS(
  OR(ISBLANK(A1529),ISBLANK(B1529),ISBLANK(H1529),ISBLANK(D1529),ISBLANK(E1529)),"Missing Value",
  D1529&lt;=0,"Review – Out of Range (Coverage)",
  E1529&lt;=0,"Review – Out of Range (Premium)",
  TRUE,"OK"
)</f>
        <v>OK</v>
      </c>
    </row>
    <row r="1530" spans="1:10" ht="16.8" x14ac:dyDescent="0.3">
      <c r="A1530" s="11" t="s">
        <v>5190</v>
      </c>
      <c r="B1530" s="11" t="s">
        <v>274</v>
      </c>
      <c r="C1530" s="11" t="s">
        <v>3359</v>
      </c>
      <c r="D1530" s="11">
        <v>512042.23999999999</v>
      </c>
      <c r="E1530" s="11">
        <v>10888.18</v>
      </c>
      <c r="F1530" s="12">
        <v>44925</v>
      </c>
      <c r="G1530" s="12">
        <v>45544</v>
      </c>
      <c r="H1530" s="11" t="s">
        <v>3955</v>
      </c>
      <c r="I1530" s="11" t="s">
        <v>3373</v>
      </c>
      <c r="J1530" s="13" t="str" cm="1">
        <f t="array" ref="J1530">_xlfn.IFS(
  OR(ISBLANK(A1530),ISBLANK(B1530),ISBLANK(H1530),ISBLANK(D1530),ISBLANK(E1530)),"Missing Value",
  D1530&lt;=0,"Review – Out of Range (Coverage)",
  E1530&lt;=0,"Review – Out of Range (Premium)",
  TRUE,"OK"
)</f>
        <v>OK</v>
      </c>
    </row>
    <row r="1531" spans="1:10" ht="16.8" x14ac:dyDescent="0.3">
      <c r="A1531" s="14" t="s">
        <v>5191</v>
      </c>
      <c r="B1531" s="14" t="s">
        <v>3250</v>
      </c>
      <c r="C1531" s="14" t="s">
        <v>3371</v>
      </c>
      <c r="D1531" s="14">
        <v>406284.83</v>
      </c>
      <c r="E1531" s="14">
        <v>16868.240000000002</v>
      </c>
      <c r="F1531" s="15">
        <v>44574</v>
      </c>
      <c r="G1531" s="15">
        <v>45472</v>
      </c>
      <c r="H1531" s="14" t="s">
        <v>3822</v>
      </c>
      <c r="I1531" s="14" t="s">
        <v>3365</v>
      </c>
      <c r="J1531" s="13" t="str" cm="1">
        <f t="array" ref="J1531">_xlfn.IFS(
  OR(ISBLANK(A1531),ISBLANK(B1531),ISBLANK(H1531),ISBLANK(D1531),ISBLANK(E1531)),"Missing Value",
  D1531&lt;=0,"Review – Out of Range (Coverage)",
  E1531&lt;=0,"Review – Out of Range (Premium)",
  TRUE,"OK"
)</f>
        <v>OK</v>
      </c>
    </row>
    <row r="1532" spans="1:10" ht="16.8" x14ac:dyDescent="0.3">
      <c r="A1532" s="11" t="s">
        <v>5192</v>
      </c>
      <c r="B1532" s="11" t="s">
        <v>2599</v>
      </c>
      <c r="C1532" s="11" t="s">
        <v>3371</v>
      </c>
      <c r="D1532" s="11">
        <v>660265.1</v>
      </c>
      <c r="E1532" s="11">
        <v>27848.77</v>
      </c>
      <c r="F1532" s="12">
        <v>44886</v>
      </c>
      <c r="G1532" s="12">
        <v>45764</v>
      </c>
      <c r="H1532" s="11" t="s">
        <v>3685</v>
      </c>
      <c r="I1532" s="11" t="s">
        <v>3361</v>
      </c>
      <c r="J1532" s="13" t="str" cm="1">
        <f t="array" ref="J1532">_xlfn.IFS(
  OR(ISBLANK(A1532),ISBLANK(B1532),ISBLANK(H1532),ISBLANK(D1532),ISBLANK(E1532)),"Missing Value",
  D1532&lt;=0,"Review – Out of Range (Coverage)",
  E1532&lt;=0,"Review – Out of Range (Premium)",
  TRUE,"OK"
)</f>
        <v>OK</v>
      </c>
    </row>
    <row r="1533" spans="1:10" ht="16.8" x14ac:dyDescent="0.3">
      <c r="A1533" s="14" t="s">
        <v>5193</v>
      </c>
      <c r="B1533" s="14" t="s">
        <v>3338</v>
      </c>
      <c r="C1533" s="14" t="s">
        <v>3371</v>
      </c>
      <c r="D1533" s="14">
        <v>865810.77</v>
      </c>
      <c r="E1533" s="14">
        <v>41682.06</v>
      </c>
      <c r="F1533" s="15">
        <v>44553</v>
      </c>
      <c r="G1533" s="15">
        <v>45201</v>
      </c>
      <c r="H1533" s="14" t="s">
        <v>3507</v>
      </c>
      <c r="I1533" s="14" t="s">
        <v>3365</v>
      </c>
      <c r="J1533" s="13" t="str" cm="1">
        <f t="array" ref="J1533">_xlfn.IFS(
  OR(ISBLANK(A1533),ISBLANK(B1533),ISBLANK(H1533),ISBLANK(D1533),ISBLANK(E1533)),"Missing Value",
  D1533&lt;=0,"Review – Out of Range (Coverage)",
  E1533&lt;=0,"Review – Out of Range (Premium)",
  TRUE,"OK"
)</f>
        <v>OK</v>
      </c>
    </row>
    <row r="1534" spans="1:10" ht="16.8" x14ac:dyDescent="0.3">
      <c r="A1534" s="11" t="s">
        <v>5194</v>
      </c>
      <c r="B1534" s="11" t="s">
        <v>1071</v>
      </c>
      <c r="C1534" s="11" t="s">
        <v>3377</v>
      </c>
      <c r="D1534" s="11">
        <v>136322.14000000001</v>
      </c>
      <c r="E1534" s="11">
        <v>15380.79</v>
      </c>
      <c r="F1534" s="12">
        <v>44867</v>
      </c>
      <c r="G1534" s="12">
        <v>45476</v>
      </c>
      <c r="H1534" s="11" t="s">
        <v>3939</v>
      </c>
      <c r="I1534" s="11" t="s">
        <v>3361</v>
      </c>
      <c r="J1534" s="13" t="str" cm="1">
        <f t="array" ref="J1534">_xlfn.IFS(
  OR(ISBLANK(A1534),ISBLANK(B1534),ISBLANK(H1534),ISBLANK(D1534),ISBLANK(E1534)),"Missing Value",
  D1534&lt;=0,"Review – Out of Range (Coverage)",
  E1534&lt;=0,"Review – Out of Range (Premium)",
  TRUE,"OK"
)</f>
        <v>OK</v>
      </c>
    </row>
    <row r="1535" spans="1:10" ht="16.8" x14ac:dyDescent="0.3">
      <c r="A1535" s="14" t="s">
        <v>5195</v>
      </c>
      <c r="B1535" s="14" t="s">
        <v>3013</v>
      </c>
      <c r="C1535" s="14" t="s">
        <v>3363</v>
      </c>
      <c r="D1535" s="14">
        <v>465413.95</v>
      </c>
      <c r="E1535" s="14">
        <v>19751.18</v>
      </c>
      <c r="F1535" s="15">
        <v>45338</v>
      </c>
      <c r="G1535" s="15">
        <v>45508</v>
      </c>
      <c r="H1535" s="14" t="s">
        <v>3360</v>
      </c>
      <c r="I1535" s="14" t="s">
        <v>3361</v>
      </c>
      <c r="J1535" s="13" t="str" cm="1">
        <f t="array" ref="J1535">_xlfn.IFS(
  OR(ISBLANK(A1535),ISBLANK(B1535),ISBLANK(H1535),ISBLANK(D1535),ISBLANK(E1535)),"Missing Value",
  D1535&lt;=0,"Review – Out of Range (Coverage)",
  E1535&lt;=0,"Review – Out of Range (Premium)",
  TRUE,"OK"
)</f>
        <v>OK</v>
      </c>
    </row>
    <row r="1536" spans="1:10" ht="16.8" x14ac:dyDescent="0.3">
      <c r="A1536" s="11" t="s">
        <v>5196</v>
      </c>
      <c r="B1536" s="11" t="s">
        <v>2221</v>
      </c>
      <c r="C1536" s="11" t="s">
        <v>3377</v>
      </c>
      <c r="D1536" s="11">
        <v>155842.5</v>
      </c>
      <c r="E1536" s="11">
        <v>6452.83</v>
      </c>
      <c r="F1536" s="12">
        <v>44984</v>
      </c>
      <c r="G1536" s="12">
        <v>45589</v>
      </c>
      <c r="H1536" s="11" t="s">
        <v>3798</v>
      </c>
      <c r="I1536" s="11" t="s">
        <v>3365</v>
      </c>
      <c r="J1536" s="13" t="str" cm="1">
        <f t="array" ref="J1536">_xlfn.IFS(
  OR(ISBLANK(A1536),ISBLANK(B1536),ISBLANK(H1536),ISBLANK(D1536),ISBLANK(E1536)),"Missing Value",
  D1536&lt;=0,"Review – Out of Range (Coverage)",
  E1536&lt;=0,"Review – Out of Range (Premium)",
  TRUE,"OK"
)</f>
        <v>OK</v>
      </c>
    </row>
    <row r="1537" spans="1:10" ht="16.8" x14ac:dyDescent="0.3">
      <c r="A1537" s="14" t="s">
        <v>5197</v>
      </c>
      <c r="B1537" s="14" t="s">
        <v>1659</v>
      </c>
      <c r="C1537" s="14" t="s">
        <v>3377</v>
      </c>
      <c r="D1537" s="14">
        <v>558720.57999999996</v>
      </c>
      <c r="E1537" s="14">
        <v>30160.080000000002</v>
      </c>
      <c r="F1537" s="15">
        <v>44602</v>
      </c>
      <c r="G1537" s="15">
        <v>45312</v>
      </c>
      <c r="H1537" s="14" t="s">
        <v>3774</v>
      </c>
      <c r="I1537" s="14" t="s">
        <v>3361</v>
      </c>
      <c r="J1537" s="13" t="str" cm="1">
        <f t="array" ref="J1537">_xlfn.IFS(
  OR(ISBLANK(A1537),ISBLANK(B1537),ISBLANK(H1537),ISBLANK(D1537),ISBLANK(E1537)),"Missing Value",
  D1537&lt;=0,"Review – Out of Range (Coverage)",
  E1537&lt;=0,"Review – Out of Range (Premium)",
  TRUE,"OK"
)</f>
        <v>OK</v>
      </c>
    </row>
    <row r="1538" spans="1:10" ht="16.8" x14ac:dyDescent="0.3">
      <c r="A1538" s="11" t="s">
        <v>5198</v>
      </c>
      <c r="B1538" s="11" t="s">
        <v>539</v>
      </c>
      <c r="C1538" s="11" t="s">
        <v>3359</v>
      </c>
      <c r="D1538" s="11">
        <v>622723.85</v>
      </c>
      <c r="E1538" s="11">
        <v>17439.82</v>
      </c>
      <c r="F1538" s="12">
        <v>44959</v>
      </c>
      <c r="G1538" s="12">
        <v>45360</v>
      </c>
      <c r="H1538" s="11" t="s">
        <v>3540</v>
      </c>
      <c r="I1538" s="11" t="s">
        <v>3365</v>
      </c>
      <c r="J1538" s="13" t="str" cm="1">
        <f t="array" ref="J1538">_xlfn.IFS(
  OR(ISBLANK(A1538),ISBLANK(B1538),ISBLANK(H1538),ISBLANK(D1538),ISBLANK(E1538)),"Missing Value",
  D1538&lt;=0,"Review – Out of Range (Coverage)",
  E1538&lt;=0,"Review – Out of Range (Premium)",
  TRUE,"OK"
)</f>
        <v>OK</v>
      </c>
    </row>
    <row r="1539" spans="1:10" ht="16.8" x14ac:dyDescent="0.3">
      <c r="A1539" s="14" t="s">
        <v>5199</v>
      </c>
      <c r="B1539" s="14" t="s">
        <v>1727</v>
      </c>
      <c r="C1539" s="14" t="s">
        <v>3363</v>
      </c>
      <c r="D1539" s="14">
        <v>189790.27</v>
      </c>
      <c r="E1539" s="14">
        <v>8102.56</v>
      </c>
      <c r="F1539" s="15">
        <v>45337</v>
      </c>
      <c r="G1539" s="15">
        <v>45779</v>
      </c>
      <c r="H1539" s="14" t="s">
        <v>3809</v>
      </c>
      <c r="I1539" s="14" t="s">
        <v>3373</v>
      </c>
      <c r="J1539" s="13" t="str" cm="1">
        <f t="array" ref="J1539">_xlfn.IFS(
  OR(ISBLANK(A1539),ISBLANK(B1539),ISBLANK(H1539),ISBLANK(D1539),ISBLANK(E1539)),"Missing Value",
  D1539&lt;=0,"Review – Out of Range (Coverage)",
  E1539&lt;=0,"Review – Out of Range (Premium)",
  TRUE,"OK"
)</f>
        <v>OK</v>
      </c>
    </row>
    <row r="1540" spans="1:10" ht="16.8" x14ac:dyDescent="0.3">
      <c r="A1540" s="11" t="s">
        <v>5200</v>
      </c>
      <c r="B1540" s="11" t="s">
        <v>2031</v>
      </c>
      <c r="C1540" s="11" t="s">
        <v>3371</v>
      </c>
      <c r="D1540" s="11">
        <v>501365.98</v>
      </c>
      <c r="E1540" s="11">
        <v>40733.74</v>
      </c>
      <c r="F1540" s="12">
        <v>45348</v>
      </c>
      <c r="G1540" s="12">
        <v>45636</v>
      </c>
      <c r="H1540" s="11" t="s">
        <v>3364</v>
      </c>
      <c r="I1540" s="11" t="s">
        <v>3365</v>
      </c>
      <c r="J1540" s="13" t="str" cm="1">
        <f t="array" ref="J1540">_xlfn.IFS(
  OR(ISBLANK(A1540),ISBLANK(B1540),ISBLANK(H1540),ISBLANK(D1540),ISBLANK(E1540)),"Missing Value",
  D1540&lt;=0,"Review – Out of Range (Coverage)",
  E1540&lt;=0,"Review – Out of Range (Premium)",
  TRUE,"OK"
)</f>
        <v>OK</v>
      </c>
    </row>
    <row r="1541" spans="1:10" ht="16.8" x14ac:dyDescent="0.3">
      <c r="A1541" s="14" t="s">
        <v>5201</v>
      </c>
      <c r="B1541" s="14" t="s">
        <v>2067</v>
      </c>
      <c r="C1541" s="14" t="s">
        <v>3359</v>
      </c>
      <c r="D1541" s="14">
        <v>513219.4</v>
      </c>
      <c r="E1541" s="14">
        <v>9362.84</v>
      </c>
      <c r="F1541" s="15">
        <v>44949</v>
      </c>
      <c r="G1541" s="15">
        <v>45810</v>
      </c>
      <c r="H1541" s="14" t="s">
        <v>3522</v>
      </c>
      <c r="I1541" s="14" t="s">
        <v>3365</v>
      </c>
      <c r="J1541" s="13" t="str" cm="1">
        <f t="array" ref="J1541">_xlfn.IFS(
  OR(ISBLANK(A1541),ISBLANK(B1541),ISBLANK(H1541),ISBLANK(D1541),ISBLANK(E1541)),"Missing Value",
  D1541&lt;=0,"Review – Out of Range (Coverage)",
  E1541&lt;=0,"Review – Out of Range (Premium)",
  TRUE,"OK"
)</f>
        <v>OK</v>
      </c>
    </row>
    <row r="1542" spans="1:10" ht="16.8" x14ac:dyDescent="0.3">
      <c r="A1542" s="11" t="s">
        <v>5202</v>
      </c>
      <c r="B1542" s="11" t="s">
        <v>687</v>
      </c>
      <c r="C1542" s="11" t="s">
        <v>3371</v>
      </c>
      <c r="D1542" s="11">
        <v>128411.02</v>
      </c>
      <c r="E1542" s="11">
        <v>40325.67</v>
      </c>
      <c r="F1542" s="12">
        <v>45044</v>
      </c>
      <c r="G1542" s="12">
        <v>45151</v>
      </c>
      <c r="H1542" s="11" t="s">
        <v>4328</v>
      </c>
      <c r="I1542" s="11" t="s">
        <v>3373</v>
      </c>
      <c r="J1542" s="13" t="str" cm="1">
        <f t="array" ref="J1542">_xlfn.IFS(
  OR(ISBLANK(A1542),ISBLANK(B1542),ISBLANK(H1542),ISBLANK(D1542),ISBLANK(E1542)),"Missing Value",
  D1542&lt;=0,"Review – Out of Range (Coverage)",
  E1542&lt;=0,"Review – Out of Range (Premium)",
  TRUE,"OK"
)</f>
        <v>OK</v>
      </c>
    </row>
    <row r="1543" spans="1:10" ht="16.8" x14ac:dyDescent="0.3">
      <c r="A1543" s="14" t="s">
        <v>5203</v>
      </c>
      <c r="B1543" s="14" t="s">
        <v>1237</v>
      </c>
      <c r="C1543" s="14" t="s">
        <v>3380</v>
      </c>
      <c r="D1543" s="14">
        <v>836385.37</v>
      </c>
      <c r="E1543" s="14">
        <v>19900.07</v>
      </c>
      <c r="F1543" s="15">
        <v>45283</v>
      </c>
      <c r="G1543" s="15">
        <v>45804</v>
      </c>
      <c r="H1543" s="14" t="s">
        <v>4900</v>
      </c>
      <c r="I1543" s="14" t="s">
        <v>3373</v>
      </c>
      <c r="J1543" s="13" t="str" cm="1">
        <f t="array" ref="J1543">_xlfn.IFS(
  OR(ISBLANK(A1543),ISBLANK(B1543),ISBLANK(H1543),ISBLANK(D1543),ISBLANK(E1543)),"Missing Value",
  D1543&lt;=0,"Review – Out of Range (Coverage)",
  E1543&lt;=0,"Review – Out of Range (Premium)",
  TRUE,"OK"
)</f>
        <v>OK</v>
      </c>
    </row>
    <row r="1544" spans="1:10" ht="16.8" x14ac:dyDescent="0.3">
      <c r="A1544" s="11" t="s">
        <v>5204</v>
      </c>
      <c r="B1544" s="11" t="s">
        <v>1517</v>
      </c>
      <c r="C1544" s="11" t="s">
        <v>3371</v>
      </c>
      <c r="D1544" s="11">
        <v>216436.39</v>
      </c>
      <c r="E1544" s="11">
        <v>7151.44</v>
      </c>
      <c r="F1544" s="12">
        <v>45413</v>
      </c>
      <c r="G1544" s="12">
        <v>45816</v>
      </c>
      <c r="H1544" s="11" t="s">
        <v>3555</v>
      </c>
      <c r="I1544" s="11" t="s">
        <v>3361</v>
      </c>
      <c r="J1544" s="13" t="str" cm="1">
        <f t="array" ref="J1544">_xlfn.IFS(
  OR(ISBLANK(A1544),ISBLANK(B1544),ISBLANK(H1544),ISBLANK(D1544),ISBLANK(E1544)),"Missing Value",
  D1544&lt;=0,"Review – Out of Range (Coverage)",
  E1544&lt;=0,"Review – Out of Range (Premium)",
  TRUE,"OK"
)</f>
        <v>OK</v>
      </c>
    </row>
    <row r="1545" spans="1:10" ht="16.8" x14ac:dyDescent="0.3">
      <c r="A1545" s="14" t="s">
        <v>5205</v>
      </c>
      <c r="B1545" s="14" t="s">
        <v>2201</v>
      </c>
      <c r="C1545" s="14" t="s">
        <v>3371</v>
      </c>
      <c r="D1545" s="14">
        <v>709007.25</v>
      </c>
      <c r="E1545" s="14">
        <v>26462.93</v>
      </c>
      <c r="F1545" s="15">
        <v>45167</v>
      </c>
      <c r="G1545" s="15">
        <v>45616</v>
      </c>
      <c r="H1545" s="14" t="s">
        <v>3524</v>
      </c>
      <c r="I1545" s="14" t="s">
        <v>3373</v>
      </c>
      <c r="J1545" s="13" t="str" cm="1">
        <f t="array" ref="J1545">_xlfn.IFS(
  OR(ISBLANK(A1545),ISBLANK(B1545),ISBLANK(H1545),ISBLANK(D1545),ISBLANK(E1545)),"Missing Value",
  D1545&lt;=0,"Review – Out of Range (Coverage)",
  E1545&lt;=0,"Review – Out of Range (Premium)",
  TRUE,"OK"
)</f>
        <v>OK</v>
      </c>
    </row>
    <row r="1546" spans="1:10" ht="16.8" x14ac:dyDescent="0.3">
      <c r="A1546" s="11" t="s">
        <v>5206</v>
      </c>
      <c r="B1546" s="11" t="s">
        <v>2029</v>
      </c>
      <c r="C1546" s="11" t="s">
        <v>3380</v>
      </c>
      <c r="D1546" s="11">
        <v>774915.33</v>
      </c>
      <c r="E1546" s="11">
        <v>48086.6</v>
      </c>
      <c r="F1546" s="12">
        <v>44768</v>
      </c>
      <c r="G1546" s="12">
        <v>45617</v>
      </c>
      <c r="H1546" s="11" t="s">
        <v>3718</v>
      </c>
      <c r="I1546" s="11" t="s">
        <v>3365</v>
      </c>
      <c r="J1546" s="13" t="str" cm="1">
        <f t="array" ref="J1546">_xlfn.IFS(
  OR(ISBLANK(A1546),ISBLANK(B1546),ISBLANK(H1546),ISBLANK(D1546),ISBLANK(E1546)),"Missing Value",
  D1546&lt;=0,"Review – Out of Range (Coverage)",
  E1546&lt;=0,"Review – Out of Range (Premium)",
  TRUE,"OK"
)</f>
        <v>OK</v>
      </c>
    </row>
    <row r="1547" spans="1:10" ht="16.8" x14ac:dyDescent="0.3">
      <c r="A1547" s="14" t="s">
        <v>5207</v>
      </c>
      <c r="B1547" s="14" t="s">
        <v>571</v>
      </c>
      <c r="C1547" s="14" t="s">
        <v>3359</v>
      </c>
      <c r="D1547" s="14">
        <v>480287.26</v>
      </c>
      <c r="E1547" s="14">
        <v>5429.49</v>
      </c>
      <c r="F1547" s="15">
        <v>44956</v>
      </c>
      <c r="G1547" s="15">
        <v>45123</v>
      </c>
      <c r="H1547" s="14" t="s">
        <v>3401</v>
      </c>
      <c r="I1547" s="14" t="s">
        <v>3365</v>
      </c>
      <c r="J1547" s="13" t="str" cm="1">
        <f t="array" ref="J1547">_xlfn.IFS(
  OR(ISBLANK(A1547),ISBLANK(B1547),ISBLANK(H1547),ISBLANK(D1547),ISBLANK(E1547)),"Missing Value",
  D1547&lt;=0,"Review – Out of Range (Coverage)",
  E1547&lt;=0,"Review – Out of Range (Premium)",
  TRUE,"OK"
)</f>
        <v>OK</v>
      </c>
    </row>
    <row r="1548" spans="1:10" ht="16.8" x14ac:dyDescent="0.3">
      <c r="A1548" s="11" t="s">
        <v>5208</v>
      </c>
      <c r="B1548" s="11" t="s">
        <v>897</v>
      </c>
      <c r="C1548" s="11" t="s">
        <v>3380</v>
      </c>
      <c r="D1548" s="11">
        <v>960650.4</v>
      </c>
      <c r="E1548" s="11">
        <v>19699.009999999998</v>
      </c>
      <c r="F1548" s="12">
        <v>44754</v>
      </c>
      <c r="G1548" s="12">
        <v>45542</v>
      </c>
      <c r="H1548" s="11" t="s">
        <v>3593</v>
      </c>
      <c r="I1548" s="11" t="s">
        <v>3361</v>
      </c>
      <c r="J1548" s="13" t="str" cm="1">
        <f t="array" ref="J1548">_xlfn.IFS(
  OR(ISBLANK(A1548),ISBLANK(B1548),ISBLANK(H1548),ISBLANK(D1548),ISBLANK(E1548)),"Missing Value",
  D1548&lt;=0,"Review – Out of Range (Coverage)",
  E1548&lt;=0,"Review – Out of Range (Premium)",
  TRUE,"OK"
)</f>
        <v>OK</v>
      </c>
    </row>
    <row r="1549" spans="1:10" ht="16.8" x14ac:dyDescent="0.3">
      <c r="A1549" s="14" t="s">
        <v>5209</v>
      </c>
      <c r="B1549" s="14" t="s">
        <v>2647</v>
      </c>
      <c r="C1549" s="14" t="s">
        <v>3359</v>
      </c>
      <c r="D1549" s="14">
        <v>946425.11</v>
      </c>
      <c r="E1549" s="14">
        <v>3581.81</v>
      </c>
      <c r="F1549" s="15">
        <v>44504</v>
      </c>
      <c r="G1549" s="15">
        <v>44585</v>
      </c>
      <c r="H1549" s="14" t="s">
        <v>3670</v>
      </c>
      <c r="I1549" s="14" t="s">
        <v>3361</v>
      </c>
      <c r="J1549" s="13" t="str" cm="1">
        <f t="array" ref="J1549">_xlfn.IFS(
  OR(ISBLANK(A1549),ISBLANK(B1549),ISBLANK(H1549),ISBLANK(D1549),ISBLANK(E1549)),"Missing Value",
  D1549&lt;=0,"Review – Out of Range (Coverage)",
  E1549&lt;=0,"Review – Out of Range (Premium)",
  TRUE,"OK"
)</f>
        <v>OK</v>
      </c>
    </row>
    <row r="1550" spans="1:10" ht="16.8" x14ac:dyDescent="0.3">
      <c r="A1550" s="11" t="s">
        <v>5210</v>
      </c>
      <c r="B1550" s="11" t="s">
        <v>2665</v>
      </c>
      <c r="C1550" s="11" t="s">
        <v>3380</v>
      </c>
      <c r="D1550" s="11">
        <v>705030.55</v>
      </c>
      <c r="E1550" s="11">
        <v>21147.360000000001</v>
      </c>
      <c r="F1550" s="12">
        <v>44335</v>
      </c>
      <c r="G1550" s="12">
        <v>45542</v>
      </c>
      <c r="H1550" s="11" t="s">
        <v>4080</v>
      </c>
      <c r="I1550" s="11" t="s">
        <v>3373</v>
      </c>
      <c r="J1550" s="13" t="str" cm="1">
        <f t="array" ref="J1550">_xlfn.IFS(
  OR(ISBLANK(A1550),ISBLANK(B1550),ISBLANK(H1550),ISBLANK(D1550),ISBLANK(E1550)),"Missing Value",
  D1550&lt;=0,"Review – Out of Range (Coverage)",
  E1550&lt;=0,"Review – Out of Range (Premium)",
  TRUE,"OK"
)</f>
        <v>OK</v>
      </c>
    </row>
    <row r="1551" spans="1:10" ht="16.8" x14ac:dyDescent="0.3">
      <c r="A1551" s="14" t="s">
        <v>5211</v>
      </c>
      <c r="B1551" s="14" t="s">
        <v>3174</v>
      </c>
      <c r="C1551" s="14" t="s">
        <v>3363</v>
      </c>
      <c r="D1551" s="14">
        <v>219561.29</v>
      </c>
      <c r="E1551" s="14">
        <v>5945.02</v>
      </c>
      <c r="F1551" s="15">
        <v>45008</v>
      </c>
      <c r="G1551" s="15">
        <v>45413</v>
      </c>
      <c r="H1551" s="14" t="s">
        <v>3892</v>
      </c>
      <c r="I1551" s="14" t="s">
        <v>3361</v>
      </c>
      <c r="J1551" s="13" t="str" cm="1">
        <f t="array" ref="J1551">_xlfn.IFS(
  OR(ISBLANK(A1551),ISBLANK(B1551),ISBLANK(H1551),ISBLANK(D1551),ISBLANK(E1551)),"Missing Value",
  D1551&lt;=0,"Review – Out of Range (Coverage)",
  E1551&lt;=0,"Review – Out of Range (Premium)",
  TRUE,"OK"
)</f>
        <v>OK</v>
      </c>
    </row>
    <row r="1552" spans="1:10" ht="16.8" x14ac:dyDescent="0.3">
      <c r="A1552" s="11" t="s">
        <v>5212</v>
      </c>
      <c r="B1552" s="11" t="s">
        <v>1669</v>
      </c>
      <c r="C1552" s="11" t="s">
        <v>3359</v>
      </c>
      <c r="D1552" s="11">
        <v>855383.04000000004</v>
      </c>
      <c r="E1552" s="11">
        <v>37510.639999999999</v>
      </c>
      <c r="F1552" s="12">
        <v>44419</v>
      </c>
      <c r="G1552" s="12">
        <v>44711</v>
      </c>
      <c r="H1552" s="11" t="s">
        <v>3658</v>
      </c>
      <c r="I1552" s="11" t="s">
        <v>3365</v>
      </c>
      <c r="J1552" s="13" t="str" cm="1">
        <f t="array" ref="J1552">_xlfn.IFS(
  OR(ISBLANK(A1552),ISBLANK(B1552),ISBLANK(H1552),ISBLANK(D1552),ISBLANK(E1552)),"Missing Value",
  D1552&lt;=0,"Review – Out of Range (Coverage)",
  E1552&lt;=0,"Review – Out of Range (Premium)",
  TRUE,"OK"
)</f>
        <v>OK</v>
      </c>
    </row>
    <row r="1553" spans="1:10" ht="16.8" x14ac:dyDescent="0.3">
      <c r="A1553" s="14" t="s">
        <v>5213</v>
      </c>
      <c r="B1553" s="14" t="s">
        <v>2659</v>
      </c>
      <c r="C1553" s="14" t="s">
        <v>3359</v>
      </c>
      <c r="D1553" s="14">
        <v>781548.01</v>
      </c>
      <c r="E1553" s="14">
        <v>18890.21</v>
      </c>
      <c r="F1553" s="15">
        <v>44786</v>
      </c>
      <c r="G1553" s="15">
        <v>45621</v>
      </c>
      <c r="H1553" s="14" t="s">
        <v>3381</v>
      </c>
      <c r="I1553" s="14" t="s">
        <v>3373</v>
      </c>
      <c r="J1553" s="13" t="str" cm="1">
        <f t="array" ref="J1553">_xlfn.IFS(
  OR(ISBLANK(A1553),ISBLANK(B1553),ISBLANK(H1553),ISBLANK(D1553),ISBLANK(E1553)),"Missing Value",
  D1553&lt;=0,"Review – Out of Range (Coverage)",
  E1553&lt;=0,"Review – Out of Range (Premium)",
  TRUE,"OK"
)</f>
        <v>OK</v>
      </c>
    </row>
    <row r="1554" spans="1:10" ht="16.8" x14ac:dyDescent="0.3">
      <c r="A1554" s="11" t="s">
        <v>5214</v>
      </c>
      <c r="B1554" s="11" t="s">
        <v>3084</v>
      </c>
      <c r="C1554" s="11" t="s">
        <v>3380</v>
      </c>
      <c r="D1554" s="11">
        <v>230573.85</v>
      </c>
      <c r="E1554" s="11">
        <v>27742.63</v>
      </c>
      <c r="F1554" s="12">
        <v>44312</v>
      </c>
      <c r="G1554" s="12">
        <v>45443</v>
      </c>
      <c r="H1554" s="11" t="s">
        <v>4098</v>
      </c>
      <c r="I1554" s="11" t="s">
        <v>3361</v>
      </c>
      <c r="J1554" s="13" t="str" cm="1">
        <f t="array" ref="J1554">_xlfn.IFS(
  OR(ISBLANK(A1554),ISBLANK(B1554),ISBLANK(H1554),ISBLANK(D1554),ISBLANK(E1554)),"Missing Value",
  D1554&lt;=0,"Review – Out of Range (Coverage)",
  E1554&lt;=0,"Review – Out of Range (Premium)",
  TRUE,"OK"
)</f>
        <v>OK</v>
      </c>
    </row>
    <row r="1555" spans="1:10" ht="16.8" x14ac:dyDescent="0.3">
      <c r="A1555" s="14" t="s">
        <v>5215</v>
      </c>
      <c r="B1555" s="14" t="s">
        <v>2755</v>
      </c>
      <c r="C1555" s="14" t="s">
        <v>3377</v>
      </c>
      <c r="D1555" s="14">
        <v>783205.69</v>
      </c>
      <c r="E1555" s="14">
        <v>16524.240000000002</v>
      </c>
      <c r="F1555" s="15">
        <v>45035</v>
      </c>
      <c r="G1555" s="15">
        <v>45235</v>
      </c>
      <c r="H1555" s="14" t="s">
        <v>3709</v>
      </c>
      <c r="I1555" s="14" t="s">
        <v>3373</v>
      </c>
      <c r="J1555" s="13" t="str" cm="1">
        <f t="array" ref="J1555">_xlfn.IFS(
  OR(ISBLANK(A1555),ISBLANK(B1555),ISBLANK(H1555),ISBLANK(D1555),ISBLANK(E1555)),"Missing Value",
  D1555&lt;=0,"Review – Out of Range (Coverage)",
  E1555&lt;=0,"Review – Out of Range (Premium)",
  TRUE,"OK"
)</f>
        <v>OK</v>
      </c>
    </row>
    <row r="1556" spans="1:10" ht="16.8" x14ac:dyDescent="0.3">
      <c r="A1556" s="11" t="s">
        <v>5216</v>
      </c>
      <c r="B1556" s="11" t="s">
        <v>1969</v>
      </c>
      <c r="C1556" s="11" t="s">
        <v>3377</v>
      </c>
      <c r="D1556" s="11">
        <v>720396.25</v>
      </c>
      <c r="E1556" s="11">
        <v>26141.41</v>
      </c>
      <c r="F1556" s="12">
        <v>45094</v>
      </c>
      <c r="G1556" s="12">
        <v>45164</v>
      </c>
      <c r="H1556" s="11" t="s">
        <v>3395</v>
      </c>
      <c r="I1556" s="11" t="s">
        <v>3361</v>
      </c>
      <c r="J1556" s="13" t="str" cm="1">
        <f t="array" ref="J1556">_xlfn.IFS(
  OR(ISBLANK(A1556),ISBLANK(B1556),ISBLANK(H1556),ISBLANK(D1556),ISBLANK(E1556)),"Missing Value",
  D1556&lt;=0,"Review – Out of Range (Coverage)",
  E1556&lt;=0,"Review – Out of Range (Premium)",
  TRUE,"OK"
)</f>
        <v>OK</v>
      </c>
    </row>
    <row r="1557" spans="1:10" ht="16.8" x14ac:dyDescent="0.3">
      <c r="A1557" s="14" t="s">
        <v>5217</v>
      </c>
      <c r="B1557" s="14" t="s">
        <v>3338</v>
      </c>
      <c r="C1557" s="14" t="s">
        <v>3377</v>
      </c>
      <c r="D1557" s="14">
        <v>318408.08</v>
      </c>
      <c r="E1557" s="14">
        <v>39106.980000000003</v>
      </c>
      <c r="F1557" s="15">
        <v>45319</v>
      </c>
      <c r="G1557" s="15">
        <v>45474</v>
      </c>
      <c r="H1557" s="14" t="s">
        <v>3903</v>
      </c>
      <c r="I1557" s="14" t="s">
        <v>3373</v>
      </c>
      <c r="J1557" s="13" t="str" cm="1">
        <f t="array" ref="J1557">_xlfn.IFS(
  OR(ISBLANK(A1557),ISBLANK(B1557),ISBLANK(H1557),ISBLANK(D1557),ISBLANK(E1557)),"Missing Value",
  D1557&lt;=0,"Review – Out of Range (Coverage)",
  E1557&lt;=0,"Review – Out of Range (Premium)",
  TRUE,"OK"
)</f>
        <v>OK</v>
      </c>
    </row>
    <row r="1558" spans="1:10" ht="16.8" x14ac:dyDescent="0.3">
      <c r="A1558" s="11" t="s">
        <v>5218</v>
      </c>
      <c r="B1558" s="11" t="s">
        <v>2509</v>
      </c>
      <c r="C1558" s="11" t="s">
        <v>3371</v>
      </c>
      <c r="D1558" s="11">
        <v>513647.62</v>
      </c>
      <c r="E1558" s="11">
        <v>6818.24</v>
      </c>
      <c r="F1558" s="12">
        <v>45113</v>
      </c>
      <c r="G1558" s="12">
        <v>45242</v>
      </c>
      <c r="H1558" s="11" t="s">
        <v>3549</v>
      </c>
      <c r="I1558" s="11" t="s">
        <v>3361</v>
      </c>
      <c r="J1558" s="13" t="str" cm="1">
        <f t="array" ref="J1558">_xlfn.IFS(
  OR(ISBLANK(A1558),ISBLANK(B1558),ISBLANK(H1558),ISBLANK(D1558),ISBLANK(E1558)),"Missing Value",
  D1558&lt;=0,"Review – Out of Range (Coverage)",
  E1558&lt;=0,"Review – Out of Range (Premium)",
  TRUE,"OK"
)</f>
        <v>OK</v>
      </c>
    </row>
    <row r="1559" spans="1:10" ht="16.8" x14ac:dyDescent="0.3">
      <c r="A1559" s="14" t="s">
        <v>5219</v>
      </c>
      <c r="B1559" s="14" t="s">
        <v>915</v>
      </c>
      <c r="C1559" s="14" t="s">
        <v>3363</v>
      </c>
      <c r="D1559" s="14">
        <v>963140.28</v>
      </c>
      <c r="E1559" s="14">
        <v>5958.5</v>
      </c>
      <c r="F1559" s="15">
        <v>44329</v>
      </c>
      <c r="G1559" s="15">
        <v>45515</v>
      </c>
      <c r="H1559" s="14" t="s">
        <v>3914</v>
      </c>
      <c r="I1559" s="14" t="s">
        <v>3373</v>
      </c>
      <c r="J1559" s="13" t="str" cm="1">
        <f t="array" ref="J1559">_xlfn.IFS(
  OR(ISBLANK(A1559),ISBLANK(B1559),ISBLANK(H1559),ISBLANK(D1559),ISBLANK(E1559)),"Missing Value",
  D1559&lt;=0,"Review – Out of Range (Coverage)",
  E1559&lt;=0,"Review – Out of Range (Premium)",
  TRUE,"OK"
)</f>
        <v>OK</v>
      </c>
    </row>
    <row r="1560" spans="1:10" ht="16.8" x14ac:dyDescent="0.3">
      <c r="A1560" s="11" t="s">
        <v>5220</v>
      </c>
      <c r="B1560" s="11" t="s">
        <v>909</v>
      </c>
      <c r="C1560" s="11" t="s">
        <v>3371</v>
      </c>
      <c r="D1560" s="11">
        <v>188714.38</v>
      </c>
      <c r="E1560" s="11">
        <v>9301.75</v>
      </c>
      <c r="F1560" s="12">
        <v>44378</v>
      </c>
      <c r="G1560" s="12">
        <v>45334</v>
      </c>
      <c r="H1560" s="11" t="s">
        <v>4154</v>
      </c>
      <c r="I1560" s="11" t="s">
        <v>3373</v>
      </c>
      <c r="J1560" s="13" t="str" cm="1">
        <f t="array" ref="J1560">_xlfn.IFS(
  OR(ISBLANK(A1560),ISBLANK(B1560),ISBLANK(H1560),ISBLANK(D1560),ISBLANK(E1560)),"Missing Value",
  D1560&lt;=0,"Review – Out of Range (Coverage)",
  E1560&lt;=0,"Review – Out of Range (Premium)",
  TRUE,"OK"
)</f>
        <v>OK</v>
      </c>
    </row>
    <row r="1561" spans="1:10" ht="16.8" x14ac:dyDescent="0.3">
      <c r="A1561" s="14" t="s">
        <v>5221</v>
      </c>
      <c r="B1561" s="14" t="s">
        <v>3242</v>
      </c>
      <c r="C1561" s="14" t="s">
        <v>3377</v>
      </c>
      <c r="D1561" s="14">
        <v>199836.43</v>
      </c>
      <c r="E1561" s="14">
        <v>23894.63</v>
      </c>
      <c r="F1561" s="15">
        <v>45197</v>
      </c>
      <c r="G1561" s="15">
        <v>45211</v>
      </c>
      <c r="H1561" s="14" t="s">
        <v>3662</v>
      </c>
      <c r="I1561" s="14" t="s">
        <v>3361</v>
      </c>
      <c r="J1561" s="13" t="str" cm="1">
        <f t="array" ref="J1561">_xlfn.IFS(
  OR(ISBLANK(A1561),ISBLANK(B1561),ISBLANK(H1561),ISBLANK(D1561),ISBLANK(E1561)),"Missing Value",
  D1561&lt;=0,"Review – Out of Range (Coverage)",
  E1561&lt;=0,"Review – Out of Range (Premium)",
  TRUE,"OK"
)</f>
        <v>OK</v>
      </c>
    </row>
    <row r="1562" spans="1:10" ht="16.8" x14ac:dyDescent="0.3">
      <c r="A1562" s="11" t="s">
        <v>5222</v>
      </c>
      <c r="B1562" s="11" t="s">
        <v>2313</v>
      </c>
      <c r="C1562" s="11" t="s">
        <v>3380</v>
      </c>
      <c r="D1562" s="11">
        <v>555603.55000000005</v>
      </c>
      <c r="E1562" s="11">
        <v>16908.97</v>
      </c>
      <c r="F1562" s="12">
        <v>44403</v>
      </c>
      <c r="G1562" s="12">
        <v>44660</v>
      </c>
      <c r="H1562" s="11" t="s">
        <v>3449</v>
      </c>
      <c r="I1562" s="11" t="s">
        <v>3361</v>
      </c>
      <c r="J1562" s="13" t="str" cm="1">
        <f t="array" ref="J1562">_xlfn.IFS(
  OR(ISBLANK(A1562),ISBLANK(B1562),ISBLANK(H1562),ISBLANK(D1562),ISBLANK(E1562)),"Missing Value",
  D1562&lt;=0,"Review – Out of Range (Coverage)",
  E1562&lt;=0,"Review – Out of Range (Premium)",
  TRUE,"OK"
)</f>
        <v>OK</v>
      </c>
    </row>
    <row r="1563" spans="1:10" ht="16.8" x14ac:dyDescent="0.3">
      <c r="A1563" s="14" t="s">
        <v>5223</v>
      </c>
      <c r="B1563" s="14" t="s">
        <v>1985</v>
      </c>
      <c r="C1563" s="14" t="s">
        <v>3363</v>
      </c>
      <c r="D1563" s="14">
        <v>339635.5</v>
      </c>
      <c r="E1563" s="14">
        <v>43688.33</v>
      </c>
      <c r="F1563" s="15">
        <v>45083</v>
      </c>
      <c r="G1563" s="15">
        <v>45725</v>
      </c>
      <c r="H1563" s="14" t="s">
        <v>3573</v>
      </c>
      <c r="I1563" s="14" t="s">
        <v>3361</v>
      </c>
      <c r="J1563" s="13" t="str" cm="1">
        <f t="array" ref="J1563">_xlfn.IFS(
  OR(ISBLANK(A1563),ISBLANK(B1563),ISBLANK(H1563),ISBLANK(D1563),ISBLANK(E1563)),"Missing Value",
  D1563&lt;=0,"Review – Out of Range (Coverage)",
  E1563&lt;=0,"Review – Out of Range (Premium)",
  TRUE,"OK"
)</f>
        <v>OK</v>
      </c>
    </row>
    <row r="1564" spans="1:10" ht="16.8" x14ac:dyDescent="0.3">
      <c r="A1564" s="11" t="s">
        <v>5224</v>
      </c>
      <c r="B1564" s="11" t="s">
        <v>2177</v>
      </c>
      <c r="C1564" s="11" t="s">
        <v>3363</v>
      </c>
      <c r="D1564" s="11">
        <v>366043.74</v>
      </c>
      <c r="E1564" s="11">
        <v>45619.57</v>
      </c>
      <c r="F1564" s="12">
        <v>45353</v>
      </c>
      <c r="G1564" s="12">
        <v>45537</v>
      </c>
      <c r="H1564" s="11" t="s">
        <v>3838</v>
      </c>
      <c r="I1564" s="11" t="s">
        <v>3361</v>
      </c>
      <c r="J1564" s="13" t="str" cm="1">
        <f t="array" ref="J1564">_xlfn.IFS(
  OR(ISBLANK(A1564),ISBLANK(B1564),ISBLANK(H1564),ISBLANK(D1564),ISBLANK(E1564)),"Missing Value",
  D1564&lt;=0,"Review – Out of Range (Coverage)",
  E1564&lt;=0,"Review – Out of Range (Premium)",
  TRUE,"OK"
)</f>
        <v>OK</v>
      </c>
    </row>
    <row r="1565" spans="1:10" ht="16.8" x14ac:dyDescent="0.3">
      <c r="A1565" s="14" t="s">
        <v>5225</v>
      </c>
      <c r="B1565" s="14" t="s">
        <v>3034</v>
      </c>
      <c r="C1565" s="14" t="s">
        <v>3380</v>
      </c>
      <c r="D1565" s="14">
        <v>545827.28</v>
      </c>
      <c r="E1565" s="14">
        <v>31213.24</v>
      </c>
      <c r="F1565" s="15">
        <v>45250</v>
      </c>
      <c r="G1565" s="15">
        <v>45351</v>
      </c>
      <c r="H1565" s="14" t="s">
        <v>3746</v>
      </c>
      <c r="I1565" s="14" t="s">
        <v>3365</v>
      </c>
      <c r="J1565" s="13" t="str" cm="1">
        <f t="array" ref="J1565">_xlfn.IFS(
  OR(ISBLANK(A1565),ISBLANK(B1565),ISBLANK(H1565),ISBLANK(D1565),ISBLANK(E1565)),"Missing Value",
  D1565&lt;=0,"Review – Out of Range (Coverage)",
  E1565&lt;=0,"Review – Out of Range (Premium)",
  TRUE,"OK"
)</f>
        <v>OK</v>
      </c>
    </row>
    <row r="1566" spans="1:10" ht="16.8" x14ac:dyDescent="0.3">
      <c r="A1566" s="11" t="s">
        <v>5226</v>
      </c>
      <c r="B1566" s="11" t="s">
        <v>1873</v>
      </c>
      <c r="C1566" s="11" t="s">
        <v>3363</v>
      </c>
      <c r="D1566" s="11">
        <v>832583.63</v>
      </c>
      <c r="E1566" s="11">
        <v>3719.58</v>
      </c>
      <c r="F1566" s="12">
        <v>44735</v>
      </c>
      <c r="G1566" s="12">
        <v>45092</v>
      </c>
      <c r="H1566" s="11" t="s">
        <v>4123</v>
      </c>
      <c r="I1566" s="11" t="s">
        <v>3365</v>
      </c>
      <c r="J1566" s="13" t="str" cm="1">
        <f t="array" ref="J1566">_xlfn.IFS(
  OR(ISBLANK(A1566),ISBLANK(B1566),ISBLANK(H1566),ISBLANK(D1566),ISBLANK(E1566)),"Missing Value",
  D1566&lt;=0,"Review – Out of Range (Coverage)",
  E1566&lt;=0,"Review – Out of Range (Premium)",
  TRUE,"OK"
)</f>
        <v>OK</v>
      </c>
    </row>
    <row r="1567" spans="1:10" ht="16.8" x14ac:dyDescent="0.3">
      <c r="A1567" s="14" t="s">
        <v>5227</v>
      </c>
      <c r="B1567" s="14" t="s">
        <v>3001</v>
      </c>
      <c r="C1567" s="14" t="s">
        <v>3363</v>
      </c>
      <c r="D1567" s="14">
        <v>402188.53</v>
      </c>
      <c r="E1567" s="14">
        <v>28803.279999999999</v>
      </c>
      <c r="F1567" s="15">
        <v>44867</v>
      </c>
      <c r="G1567" s="15">
        <v>45572</v>
      </c>
      <c r="H1567" s="14" t="s">
        <v>3526</v>
      </c>
      <c r="I1567" s="14" t="s">
        <v>3373</v>
      </c>
      <c r="J1567" s="13" t="str" cm="1">
        <f t="array" ref="J1567">_xlfn.IFS(
  OR(ISBLANK(A1567),ISBLANK(B1567),ISBLANK(H1567),ISBLANK(D1567),ISBLANK(E1567)),"Missing Value",
  D1567&lt;=0,"Review – Out of Range (Coverage)",
  E1567&lt;=0,"Review – Out of Range (Premium)",
  TRUE,"OK"
)</f>
        <v>OK</v>
      </c>
    </row>
    <row r="1568" spans="1:10" ht="16.8" x14ac:dyDescent="0.3">
      <c r="A1568" s="11" t="s">
        <v>5228</v>
      </c>
      <c r="B1568" s="11" t="s">
        <v>2735</v>
      </c>
      <c r="C1568" s="11" t="s">
        <v>3380</v>
      </c>
      <c r="D1568" s="11">
        <v>636161.68999999994</v>
      </c>
      <c r="E1568" s="11">
        <v>43895.92</v>
      </c>
      <c r="F1568" s="12">
        <v>44236</v>
      </c>
      <c r="G1568" s="12">
        <v>45718</v>
      </c>
      <c r="H1568" s="11" t="s">
        <v>3587</v>
      </c>
      <c r="I1568" s="11" t="s">
        <v>3373</v>
      </c>
      <c r="J1568" s="13" t="str" cm="1">
        <f t="array" ref="J1568">_xlfn.IFS(
  OR(ISBLANK(A1568),ISBLANK(B1568),ISBLANK(H1568),ISBLANK(D1568),ISBLANK(E1568)),"Missing Value",
  D1568&lt;=0,"Review – Out of Range (Coverage)",
  E1568&lt;=0,"Review – Out of Range (Premium)",
  TRUE,"OK"
)</f>
        <v>OK</v>
      </c>
    </row>
    <row r="1569" spans="1:10" ht="16.8" x14ac:dyDescent="0.3">
      <c r="A1569" s="14" t="s">
        <v>5229</v>
      </c>
      <c r="B1569" s="14" t="s">
        <v>533</v>
      </c>
      <c r="C1569" s="14" t="s">
        <v>3380</v>
      </c>
      <c r="D1569" s="14">
        <v>783228.49</v>
      </c>
      <c r="E1569" s="14">
        <v>41340.080000000002</v>
      </c>
      <c r="F1569" s="15">
        <v>44382</v>
      </c>
      <c r="G1569" s="15">
        <v>44610</v>
      </c>
      <c r="H1569" s="14" t="s">
        <v>3383</v>
      </c>
      <c r="I1569" s="14" t="s">
        <v>3365</v>
      </c>
      <c r="J1569" s="13" t="str" cm="1">
        <f t="array" ref="J1569">_xlfn.IFS(
  OR(ISBLANK(A1569),ISBLANK(B1569),ISBLANK(H1569),ISBLANK(D1569),ISBLANK(E1569)),"Missing Value",
  D1569&lt;=0,"Review – Out of Range (Coverage)",
  E1569&lt;=0,"Review – Out of Range (Premium)",
  TRUE,"OK"
)</f>
        <v>OK</v>
      </c>
    </row>
    <row r="1570" spans="1:10" ht="16.8" x14ac:dyDescent="0.3">
      <c r="A1570" s="11" t="s">
        <v>5230</v>
      </c>
      <c r="B1570" s="11" t="s">
        <v>2431</v>
      </c>
      <c r="C1570" s="11" t="s">
        <v>3363</v>
      </c>
      <c r="D1570" s="11">
        <v>572051.6</v>
      </c>
      <c r="E1570" s="11">
        <v>12651.39</v>
      </c>
      <c r="F1570" s="12">
        <v>44478</v>
      </c>
      <c r="G1570" s="12">
        <v>44489</v>
      </c>
      <c r="H1570" s="11" t="s">
        <v>3660</v>
      </c>
      <c r="I1570" s="11" t="s">
        <v>3373</v>
      </c>
      <c r="J1570" s="13" t="str" cm="1">
        <f t="array" ref="J1570">_xlfn.IFS(
  OR(ISBLANK(A1570),ISBLANK(B1570),ISBLANK(H1570),ISBLANK(D1570),ISBLANK(E1570)),"Missing Value",
  D1570&lt;=0,"Review – Out of Range (Coverage)",
  E1570&lt;=0,"Review – Out of Range (Premium)",
  TRUE,"OK"
)</f>
        <v>OK</v>
      </c>
    </row>
    <row r="1571" spans="1:10" ht="16.8" x14ac:dyDescent="0.3">
      <c r="A1571" s="14" t="s">
        <v>5231</v>
      </c>
      <c r="B1571" s="14" t="s">
        <v>448</v>
      </c>
      <c r="C1571" s="14" t="s">
        <v>3359</v>
      </c>
      <c r="D1571" s="14">
        <v>261404.68</v>
      </c>
      <c r="E1571" s="14">
        <v>22856.87</v>
      </c>
      <c r="F1571" s="15">
        <v>44845</v>
      </c>
      <c r="G1571" s="15">
        <v>45450</v>
      </c>
      <c r="H1571" s="14" t="s">
        <v>3417</v>
      </c>
      <c r="I1571" s="14" t="s">
        <v>3361</v>
      </c>
      <c r="J1571" s="13" t="str" cm="1">
        <f t="array" ref="J1571">_xlfn.IFS(
  OR(ISBLANK(A1571),ISBLANK(B1571),ISBLANK(H1571),ISBLANK(D1571),ISBLANK(E1571)),"Missing Value",
  D1571&lt;=0,"Review – Out of Range (Coverage)",
  E1571&lt;=0,"Review – Out of Range (Premium)",
  TRUE,"OK"
)</f>
        <v>OK</v>
      </c>
    </row>
    <row r="1572" spans="1:10" ht="16.8" x14ac:dyDescent="0.3">
      <c r="A1572" s="11" t="s">
        <v>5232</v>
      </c>
      <c r="B1572" s="11" t="s">
        <v>1107</v>
      </c>
      <c r="C1572" s="11" t="s">
        <v>3363</v>
      </c>
      <c r="D1572" s="11">
        <v>507631.73</v>
      </c>
      <c r="E1572" s="11">
        <v>11712.56</v>
      </c>
      <c r="F1572" s="12">
        <v>45431</v>
      </c>
      <c r="G1572" s="12">
        <v>45769</v>
      </c>
      <c r="H1572" s="11" t="s">
        <v>3477</v>
      </c>
      <c r="I1572" s="11" t="s">
        <v>3361</v>
      </c>
      <c r="J1572" s="13" t="str" cm="1">
        <f t="array" ref="J1572">_xlfn.IFS(
  OR(ISBLANK(A1572),ISBLANK(B1572),ISBLANK(H1572),ISBLANK(D1572),ISBLANK(E1572)),"Missing Value",
  D1572&lt;=0,"Review – Out of Range (Coverage)",
  E1572&lt;=0,"Review – Out of Range (Premium)",
  TRUE,"OK"
)</f>
        <v>OK</v>
      </c>
    </row>
    <row r="1573" spans="1:10" ht="16.8" x14ac:dyDescent="0.3">
      <c r="A1573" s="14" t="s">
        <v>5233</v>
      </c>
      <c r="B1573" s="14" t="s">
        <v>2681</v>
      </c>
      <c r="C1573" s="14" t="s">
        <v>3371</v>
      </c>
      <c r="D1573" s="14">
        <v>427985.53</v>
      </c>
      <c r="E1573" s="14">
        <v>31973.97</v>
      </c>
      <c r="F1573" s="15">
        <v>45444</v>
      </c>
      <c r="G1573" s="15">
        <v>45854</v>
      </c>
      <c r="H1573" s="14" t="s">
        <v>4045</v>
      </c>
      <c r="I1573" s="14" t="s">
        <v>3361</v>
      </c>
      <c r="J1573" s="13" t="str" cm="1">
        <f t="array" ref="J1573">_xlfn.IFS(
  OR(ISBLANK(A1573),ISBLANK(B1573),ISBLANK(H1573),ISBLANK(D1573),ISBLANK(E1573)),"Missing Value",
  D1573&lt;=0,"Review – Out of Range (Coverage)",
  E1573&lt;=0,"Review – Out of Range (Premium)",
  TRUE,"OK"
)</f>
        <v>OK</v>
      </c>
    </row>
    <row r="1574" spans="1:10" ht="16.8" x14ac:dyDescent="0.3">
      <c r="A1574" s="11" t="s">
        <v>5234</v>
      </c>
      <c r="B1574" s="11" t="s">
        <v>1169</v>
      </c>
      <c r="C1574" s="11" t="s">
        <v>3371</v>
      </c>
      <c r="D1574" s="11">
        <v>360498.42</v>
      </c>
      <c r="E1574" s="11">
        <v>44717.85</v>
      </c>
      <c r="F1574" s="12">
        <v>44419</v>
      </c>
      <c r="G1574" s="12">
        <v>45144</v>
      </c>
      <c r="H1574" s="11" t="s">
        <v>3601</v>
      </c>
      <c r="I1574" s="11" t="s">
        <v>3361</v>
      </c>
      <c r="J1574" s="13" t="str" cm="1">
        <f t="array" ref="J1574">_xlfn.IFS(
  OR(ISBLANK(A1574),ISBLANK(B1574),ISBLANK(H1574),ISBLANK(D1574),ISBLANK(E1574)),"Missing Value",
  D1574&lt;=0,"Review – Out of Range (Coverage)",
  E1574&lt;=0,"Review – Out of Range (Premium)",
  TRUE,"OK"
)</f>
        <v>OK</v>
      </c>
    </row>
    <row r="1575" spans="1:10" ht="16.8" x14ac:dyDescent="0.3">
      <c r="A1575" s="14" t="s">
        <v>5235</v>
      </c>
      <c r="B1575" s="14" t="s">
        <v>1927</v>
      </c>
      <c r="C1575" s="14" t="s">
        <v>3371</v>
      </c>
      <c r="D1575" s="14">
        <v>950204.99</v>
      </c>
      <c r="E1575" s="14">
        <v>3426.97</v>
      </c>
      <c r="F1575" s="15">
        <v>44573</v>
      </c>
      <c r="G1575" s="15">
        <v>44661</v>
      </c>
      <c r="H1575" s="14" t="s">
        <v>4114</v>
      </c>
      <c r="I1575" s="14" t="s">
        <v>3361</v>
      </c>
      <c r="J1575" s="13" t="str" cm="1">
        <f t="array" ref="J1575">_xlfn.IFS(
  OR(ISBLANK(A1575),ISBLANK(B1575),ISBLANK(H1575),ISBLANK(D1575),ISBLANK(E1575)),"Missing Value",
  D1575&lt;=0,"Review – Out of Range (Coverage)",
  E1575&lt;=0,"Review – Out of Range (Premium)",
  TRUE,"OK"
)</f>
        <v>OK</v>
      </c>
    </row>
    <row r="1576" spans="1:10" ht="16.8" x14ac:dyDescent="0.3">
      <c r="A1576" s="11" t="s">
        <v>5236</v>
      </c>
      <c r="B1576" s="11" t="s">
        <v>853</v>
      </c>
      <c r="C1576" s="11" t="s">
        <v>3359</v>
      </c>
      <c r="D1576" s="11">
        <v>224065.26</v>
      </c>
      <c r="E1576" s="11">
        <v>48308.55</v>
      </c>
      <c r="F1576" s="12">
        <v>45340</v>
      </c>
      <c r="G1576" s="12">
        <v>45564</v>
      </c>
      <c r="H1576" s="11" t="s">
        <v>3750</v>
      </c>
      <c r="I1576" s="11" t="s">
        <v>3373</v>
      </c>
      <c r="J1576" s="13" t="str" cm="1">
        <f t="array" ref="J1576">_xlfn.IFS(
  OR(ISBLANK(A1576),ISBLANK(B1576),ISBLANK(H1576),ISBLANK(D1576),ISBLANK(E1576)),"Missing Value",
  D1576&lt;=0,"Review – Out of Range (Coverage)",
  E1576&lt;=0,"Review – Out of Range (Premium)",
  TRUE,"OK"
)</f>
        <v>OK</v>
      </c>
    </row>
    <row r="1577" spans="1:10" ht="16.8" x14ac:dyDescent="0.3">
      <c r="A1577" s="14" t="s">
        <v>5237</v>
      </c>
      <c r="B1577" s="14" t="s">
        <v>2709</v>
      </c>
      <c r="C1577" s="14" t="s">
        <v>3371</v>
      </c>
      <c r="D1577" s="14">
        <v>865626.3</v>
      </c>
      <c r="E1577" s="14">
        <v>43682.3</v>
      </c>
      <c r="F1577" s="15">
        <v>44386</v>
      </c>
      <c r="G1577" s="15">
        <v>45597</v>
      </c>
      <c r="H1577" s="14" t="s">
        <v>3712</v>
      </c>
      <c r="I1577" s="14" t="s">
        <v>3361</v>
      </c>
      <c r="J1577" s="13" t="str" cm="1">
        <f t="array" ref="J1577">_xlfn.IFS(
  OR(ISBLANK(A1577),ISBLANK(B1577),ISBLANK(H1577),ISBLANK(D1577),ISBLANK(E1577)),"Missing Value",
  D1577&lt;=0,"Review – Out of Range (Coverage)",
  E1577&lt;=0,"Review – Out of Range (Premium)",
  TRUE,"OK"
)</f>
        <v>OK</v>
      </c>
    </row>
    <row r="1578" spans="1:10" ht="16.8" x14ac:dyDescent="0.3">
      <c r="A1578" s="11" t="s">
        <v>5238</v>
      </c>
      <c r="B1578" s="11" t="s">
        <v>2879</v>
      </c>
      <c r="C1578" s="11" t="s">
        <v>3359</v>
      </c>
      <c r="D1578" s="11">
        <v>877360.56</v>
      </c>
      <c r="E1578" s="11">
        <v>33373.46</v>
      </c>
      <c r="F1578" s="12">
        <v>44074</v>
      </c>
      <c r="G1578" s="12">
        <v>44370</v>
      </c>
      <c r="H1578" s="11" t="s">
        <v>3624</v>
      </c>
      <c r="I1578" s="11" t="s">
        <v>3361</v>
      </c>
      <c r="J1578" s="13" t="str" cm="1">
        <f t="array" ref="J1578">_xlfn.IFS(
  OR(ISBLANK(A1578),ISBLANK(B1578),ISBLANK(H1578),ISBLANK(D1578),ISBLANK(E1578)),"Missing Value",
  D1578&lt;=0,"Review – Out of Range (Coverage)",
  E1578&lt;=0,"Review – Out of Range (Premium)",
  TRUE,"OK"
)</f>
        <v>OK</v>
      </c>
    </row>
    <row r="1579" spans="1:10" ht="16.8" x14ac:dyDescent="0.3">
      <c r="A1579" s="14" t="s">
        <v>5239</v>
      </c>
      <c r="B1579" s="14" t="s">
        <v>897</v>
      </c>
      <c r="C1579" s="14" t="s">
        <v>3359</v>
      </c>
      <c r="D1579" s="14">
        <v>315303.63</v>
      </c>
      <c r="E1579" s="14">
        <v>37750.06</v>
      </c>
      <c r="F1579" s="15">
        <v>44363</v>
      </c>
      <c r="G1579" s="15">
        <v>44501</v>
      </c>
      <c r="H1579" s="14" t="s">
        <v>4900</v>
      </c>
      <c r="I1579" s="14" t="s">
        <v>3365</v>
      </c>
      <c r="J1579" s="13" t="str" cm="1">
        <f t="array" ref="J1579">_xlfn.IFS(
  OR(ISBLANK(A1579),ISBLANK(B1579),ISBLANK(H1579),ISBLANK(D1579),ISBLANK(E1579)),"Missing Value",
  D1579&lt;=0,"Review – Out of Range (Coverage)",
  E1579&lt;=0,"Review – Out of Range (Premium)",
  TRUE,"OK"
)</f>
        <v>OK</v>
      </c>
    </row>
    <row r="1580" spans="1:10" ht="16.8" x14ac:dyDescent="0.3">
      <c r="A1580" s="11" t="s">
        <v>5240</v>
      </c>
      <c r="B1580" s="11" t="s">
        <v>2569</v>
      </c>
      <c r="C1580" s="11" t="s">
        <v>3377</v>
      </c>
      <c r="D1580" s="11">
        <v>426016.94</v>
      </c>
      <c r="E1580" s="11">
        <v>14489.88</v>
      </c>
      <c r="F1580" s="12">
        <v>44902</v>
      </c>
      <c r="G1580" s="12">
        <v>45195</v>
      </c>
      <c r="H1580" s="11" t="s">
        <v>3372</v>
      </c>
      <c r="I1580" s="11" t="s">
        <v>3361</v>
      </c>
      <c r="J1580" s="13" t="str" cm="1">
        <f t="array" ref="J1580">_xlfn.IFS(
  OR(ISBLANK(A1580),ISBLANK(B1580),ISBLANK(H1580),ISBLANK(D1580),ISBLANK(E1580)),"Missing Value",
  D1580&lt;=0,"Review – Out of Range (Coverage)",
  E1580&lt;=0,"Review – Out of Range (Premium)",
  TRUE,"OK"
)</f>
        <v>OK</v>
      </c>
    </row>
    <row r="1581" spans="1:10" ht="16.8" x14ac:dyDescent="0.3">
      <c r="A1581" s="14" t="s">
        <v>5241</v>
      </c>
      <c r="B1581" s="14" t="s">
        <v>1617</v>
      </c>
      <c r="C1581" s="14" t="s">
        <v>3377</v>
      </c>
      <c r="D1581" s="14">
        <v>736144.53</v>
      </c>
      <c r="E1581" s="14">
        <v>42412.06</v>
      </c>
      <c r="F1581" s="15">
        <v>45426</v>
      </c>
      <c r="G1581" s="15">
        <v>45448</v>
      </c>
      <c r="H1581" s="14" t="s">
        <v>3490</v>
      </c>
      <c r="I1581" s="14" t="s">
        <v>3365</v>
      </c>
      <c r="J1581" s="13" t="str" cm="1">
        <f t="array" ref="J1581">_xlfn.IFS(
  OR(ISBLANK(A1581),ISBLANK(B1581),ISBLANK(H1581),ISBLANK(D1581),ISBLANK(E1581)),"Missing Value",
  D1581&lt;=0,"Review – Out of Range (Coverage)",
  E1581&lt;=0,"Review – Out of Range (Premium)",
  TRUE,"OK"
)</f>
        <v>OK</v>
      </c>
    </row>
    <row r="1582" spans="1:10" ht="16.8" x14ac:dyDescent="0.3">
      <c r="A1582" s="11" t="s">
        <v>5242</v>
      </c>
      <c r="B1582" s="11" t="s">
        <v>861</v>
      </c>
      <c r="C1582" s="11" t="s">
        <v>3377</v>
      </c>
      <c r="D1582" s="11">
        <v>843533.77</v>
      </c>
      <c r="E1582" s="11">
        <v>7489.95</v>
      </c>
      <c r="F1582" s="12">
        <v>44833</v>
      </c>
      <c r="G1582" s="12">
        <v>45377</v>
      </c>
      <c r="H1582" s="11" t="s">
        <v>3425</v>
      </c>
      <c r="I1582" s="11" t="s">
        <v>3361</v>
      </c>
      <c r="J1582" s="13" t="str" cm="1">
        <f t="array" ref="J1582">_xlfn.IFS(
  OR(ISBLANK(A1582),ISBLANK(B1582),ISBLANK(H1582),ISBLANK(D1582),ISBLANK(E1582)),"Missing Value",
  D1582&lt;=0,"Review – Out of Range (Coverage)",
  E1582&lt;=0,"Review – Out of Range (Premium)",
  TRUE,"OK"
)</f>
        <v>OK</v>
      </c>
    </row>
    <row r="1583" spans="1:10" ht="16.8" x14ac:dyDescent="0.3">
      <c r="A1583" s="14" t="s">
        <v>5243</v>
      </c>
      <c r="B1583" s="14" t="s">
        <v>785</v>
      </c>
      <c r="C1583" s="14" t="s">
        <v>3363</v>
      </c>
      <c r="D1583" s="14">
        <v>663829.28</v>
      </c>
      <c r="E1583" s="14">
        <v>42895.5</v>
      </c>
      <c r="F1583" s="15">
        <v>44639</v>
      </c>
      <c r="G1583" s="15">
        <v>45630</v>
      </c>
      <c r="H1583" s="14" t="s">
        <v>3440</v>
      </c>
      <c r="I1583" s="14" t="s">
        <v>3361</v>
      </c>
      <c r="J1583" s="13" t="str" cm="1">
        <f t="array" ref="J1583">_xlfn.IFS(
  OR(ISBLANK(A1583),ISBLANK(B1583),ISBLANK(H1583),ISBLANK(D1583),ISBLANK(E1583)),"Missing Value",
  D1583&lt;=0,"Review – Out of Range (Coverage)",
  E1583&lt;=0,"Review – Out of Range (Premium)",
  TRUE,"OK"
)</f>
        <v>OK</v>
      </c>
    </row>
    <row r="1584" spans="1:10" ht="16.8" x14ac:dyDescent="0.3">
      <c r="A1584" s="11" t="s">
        <v>5244</v>
      </c>
      <c r="B1584" s="11" t="s">
        <v>2483</v>
      </c>
      <c r="C1584" s="11" t="s">
        <v>3371</v>
      </c>
      <c r="D1584" s="11">
        <v>476321.05</v>
      </c>
      <c r="E1584" s="11">
        <v>15673.82</v>
      </c>
      <c r="F1584" s="12">
        <v>44267</v>
      </c>
      <c r="G1584" s="12">
        <v>44453</v>
      </c>
      <c r="H1584" s="11" t="s">
        <v>3721</v>
      </c>
      <c r="I1584" s="11" t="s">
        <v>3373</v>
      </c>
      <c r="J1584" s="13" t="str" cm="1">
        <f t="array" ref="J1584">_xlfn.IFS(
  OR(ISBLANK(A1584),ISBLANK(B1584),ISBLANK(H1584),ISBLANK(D1584),ISBLANK(E1584)),"Missing Value",
  D1584&lt;=0,"Review – Out of Range (Coverage)",
  E1584&lt;=0,"Review – Out of Range (Premium)",
  TRUE,"OK"
)</f>
        <v>OK</v>
      </c>
    </row>
    <row r="1585" spans="1:10" ht="16.8" x14ac:dyDescent="0.3">
      <c r="A1585" s="14" t="s">
        <v>5245</v>
      </c>
      <c r="B1585" s="14" t="s">
        <v>120</v>
      </c>
      <c r="C1585" s="14" t="s">
        <v>3363</v>
      </c>
      <c r="D1585" s="14">
        <v>229533.82</v>
      </c>
      <c r="E1585" s="14">
        <v>37678.61</v>
      </c>
      <c r="F1585" s="15">
        <v>44873</v>
      </c>
      <c r="G1585" s="15">
        <v>45543</v>
      </c>
      <c r="H1585" s="14" t="s">
        <v>3733</v>
      </c>
      <c r="I1585" s="14" t="s">
        <v>3361</v>
      </c>
      <c r="J1585" s="13" t="str" cm="1">
        <f t="array" ref="J1585">_xlfn.IFS(
  OR(ISBLANK(A1585),ISBLANK(B1585),ISBLANK(H1585),ISBLANK(D1585),ISBLANK(E1585)),"Missing Value",
  D1585&lt;=0,"Review – Out of Range (Coverage)",
  E1585&lt;=0,"Review – Out of Range (Premium)",
  TRUE,"OK"
)</f>
        <v>OK</v>
      </c>
    </row>
    <row r="1586" spans="1:10" ht="16.8" x14ac:dyDescent="0.3">
      <c r="A1586" s="11" t="s">
        <v>5246</v>
      </c>
      <c r="B1586" s="11" t="s">
        <v>2649</v>
      </c>
      <c r="C1586" s="11" t="s">
        <v>3380</v>
      </c>
      <c r="D1586" s="11">
        <v>500196.43</v>
      </c>
      <c r="E1586" s="11">
        <v>43795.65</v>
      </c>
      <c r="F1586" s="12">
        <v>45306</v>
      </c>
      <c r="G1586" s="12">
        <v>45326</v>
      </c>
      <c r="H1586" s="11" t="s">
        <v>4208</v>
      </c>
      <c r="I1586" s="11" t="s">
        <v>3373</v>
      </c>
      <c r="J1586" s="13" t="str" cm="1">
        <f t="array" ref="J1586">_xlfn.IFS(
  OR(ISBLANK(A1586),ISBLANK(B1586),ISBLANK(H1586),ISBLANK(D1586),ISBLANK(E1586)),"Missing Value",
  D1586&lt;=0,"Review – Out of Range (Coverage)",
  E1586&lt;=0,"Review – Out of Range (Premium)",
  TRUE,"OK"
)</f>
        <v>OK</v>
      </c>
    </row>
    <row r="1587" spans="1:10" ht="16.8" x14ac:dyDescent="0.3">
      <c r="A1587" s="14" t="s">
        <v>5247</v>
      </c>
      <c r="B1587" s="14" t="s">
        <v>2097</v>
      </c>
      <c r="C1587" s="14" t="s">
        <v>3380</v>
      </c>
      <c r="D1587" s="14">
        <v>247066.96</v>
      </c>
      <c r="E1587" s="14">
        <v>26110.83</v>
      </c>
      <c r="F1587" s="15">
        <v>44857</v>
      </c>
      <c r="G1587" s="15">
        <v>45679</v>
      </c>
      <c r="H1587" s="14" t="s">
        <v>3486</v>
      </c>
      <c r="I1587" s="14" t="s">
        <v>3373</v>
      </c>
      <c r="J1587" s="13" t="str" cm="1">
        <f t="array" ref="J1587">_xlfn.IFS(
  OR(ISBLANK(A1587),ISBLANK(B1587),ISBLANK(H1587),ISBLANK(D1587),ISBLANK(E1587)),"Missing Value",
  D1587&lt;=0,"Review – Out of Range (Coverage)",
  E1587&lt;=0,"Review – Out of Range (Premium)",
  TRUE,"OK"
)</f>
        <v>OK</v>
      </c>
    </row>
    <row r="1588" spans="1:10" ht="16.8" x14ac:dyDescent="0.3">
      <c r="A1588" s="11" t="s">
        <v>5248</v>
      </c>
      <c r="B1588" s="11" t="s">
        <v>1775</v>
      </c>
      <c r="C1588" s="11" t="s">
        <v>3371</v>
      </c>
      <c r="D1588" s="11">
        <v>247748.09</v>
      </c>
      <c r="E1588" s="11">
        <v>29854.91</v>
      </c>
      <c r="F1588" s="12">
        <v>44258</v>
      </c>
      <c r="G1588" s="12">
        <v>45479</v>
      </c>
      <c r="H1588" s="11" t="s">
        <v>3992</v>
      </c>
      <c r="I1588" s="11" t="s">
        <v>3361</v>
      </c>
      <c r="J1588" s="13" t="str" cm="1">
        <f t="array" ref="J1588">_xlfn.IFS(
  OR(ISBLANK(A1588),ISBLANK(B1588),ISBLANK(H1588),ISBLANK(D1588),ISBLANK(E1588)),"Missing Value",
  D1588&lt;=0,"Review – Out of Range (Coverage)",
  E1588&lt;=0,"Review – Out of Range (Premium)",
  TRUE,"OK"
)</f>
        <v>OK</v>
      </c>
    </row>
    <row r="1589" spans="1:10" ht="16.8" x14ac:dyDescent="0.3">
      <c r="A1589" s="14" t="s">
        <v>5249</v>
      </c>
      <c r="B1589" s="14" t="s">
        <v>2855</v>
      </c>
      <c r="C1589" s="14" t="s">
        <v>3371</v>
      </c>
      <c r="D1589" s="14">
        <v>247750.55</v>
      </c>
      <c r="E1589" s="14">
        <v>32089.11</v>
      </c>
      <c r="F1589" s="15">
        <v>45324</v>
      </c>
      <c r="G1589" s="15">
        <v>45662</v>
      </c>
      <c r="H1589" s="14" t="s">
        <v>4208</v>
      </c>
      <c r="I1589" s="14" t="s">
        <v>3373</v>
      </c>
      <c r="J1589" s="13" t="str" cm="1">
        <f t="array" ref="J1589">_xlfn.IFS(
  OR(ISBLANK(A1589),ISBLANK(B1589),ISBLANK(H1589),ISBLANK(D1589),ISBLANK(E1589)),"Missing Value",
  D1589&lt;=0,"Review – Out of Range (Coverage)",
  E1589&lt;=0,"Review – Out of Range (Premium)",
  TRUE,"OK"
)</f>
        <v>OK</v>
      </c>
    </row>
    <row r="1590" spans="1:10" ht="16.8" x14ac:dyDescent="0.3">
      <c r="A1590" s="11" t="s">
        <v>5250</v>
      </c>
      <c r="B1590" s="11" t="s">
        <v>697</v>
      </c>
      <c r="C1590" s="11" t="s">
        <v>3371</v>
      </c>
      <c r="D1590" s="11">
        <v>696956.42</v>
      </c>
      <c r="E1590" s="11">
        <v>5347.89</v>
      </c>
      <c r="F1590" s="12">
        <v>45459</v>
      </c>
      <c r="G1590" s="12">
        <v>45747</v>
      </c>
      <c r="H1590" s="11" t="s">
        <v>3982</v>
      </c>
      <c r="I1590" s="11" t="s">
        <v>3365</v>
      </c>
      <c r="J1590" s="13" t="str" cm="1">
        <f t="array" ref="J1590">_xlfn.IFS(
  OR(ISBLANK(A1590),ISBLANK(B1590),ISBLANK(H1590),ISBLANK(D1590),ISBLANK(E1590)),"Missing Value",
  D1590&lt;=0,"Review – Out of Range (Coverage)",
  E1590&lt;=0,"Review – Out of Range (Premium)",
  TRUE,"OK"
)</f>
        <v>OK</v>
      </c>
    </row>
    <row r="1591" spans="1:10" ht="16.8" x14ac:dyDescent="0.3">
      <c r="A1591" s="14" t="s">
        <v>5251</v>
      </c>
      <c r="B1591" s="14" t="s">
        <v>1943</v>
      </c>
      <c r="C1591" s="14" t="s">
        <v>3380</v>
      </c>
      <c r="D1591" s="14">
        <v>785520.09</v>
      </c>
      <c r="E1591" s="14">
        <v>18634.650000000001</v>
      </c>
      <c r="F1591" s="15">
        <v>45053</v>
      </c>
      <c r="G1591" s="15">
        <v>45109</v>
      </c>
      <c r="H1591" s="14" t="s">
        <v>3495</v>
      </c>
      <c r="I1591" s="14" t="s">
        <v>3361</v>
      </c>
      <c r="J1591" s="13" t="str" cm="1">
        <f t="array" ref="J1591">_xlfn.IFS(
  OR(ISBLANK(A1591),ISBLANK(B1591),ISBLANK(H1591),ISBLANK(D1591),ISBLANK(E1591)),"Missing Value",
  D1591&lt;=0,"Review – Out of Range (Coverage)",
  E1591&lt;=0,"Review – Out of Range (Premium)",
  TRUE,"OK"
)</f>
        <v>OK</v>
      </c>
    </row>
    <row r="1592" spans="1:10" ht="16.8" x14ac:dyDescent="0.3">
      <c r="A1592" s="11" t="s">
        <v>5252</v>
      </c>
      <c r="B1592" s="11" t="s">
        <v>3132</v>
      </c>
      <c r="C1592" s="11" t="s">
        <v>3363</v>
      </c>
      <c r="D1592" s="11">
        <v>828510.35</v>
      </c>
      <c r="E1592" s="11">
        <v>43982.13</v>
      </c>
      <c r="F1592" s="12">
        <v>44744</v>
      </c>
      <c r="G1592" s="12">
        <v>44756</v>
      </c>
      <c r="H1592" s="11" t="s">
        <v>3467</v>
      </c>
      <c r="I1592" s="11" t="s">
        <v>3373</v>
      </c>
      <c r="J1592" s="13" t="str" cm="1">
        <f t="array" ref="J1592">_xlfn.IFS(
  OR(ISBLANK(A1592),ISBLANK(B1592),ISBLANK(H1592),ISBLANK(D1592),ISBLANK(E1592)),"Missing Value",
  D1592&lt;=0,"Review – Out of Range (Coverage)",
  E1592&lt;=0,"Review – Out of Range (Premium)",
  TRUE,"OK"
)</f>
        <v>OK</v>
      </c>
    </row>
    <row r="1593" spans="1:10" ht="16.8" x14ac:dyDescent="0.3">
      <c r="A1593" s="14" t="s">
        <v>5253</v>
      </c>
      <c r="B1593" s="14" t="s">
        <v>414</v>
      </c>
      <c r="C1593" s="14" t="s">
        <v>3359</v>
      </c>
      <c r="D1593" s="14">
        <v>532971.35</v>
      </c>
      <c r="E1593" s="14">
        <v>30048.14</v>
      </c>
      <c r="F1593" s="15">
        <v>44994</v>
      </c>
      <c r="G1593" s="15">
        <v>45594</v>
      </c>
      <c r="H1593" s="14" t="s">
        <v>3779</v>
      </c>
      <c r="I1593" s="14" t="s">
        <v>3361</v>
      </c>
      <c r="J1593" s="13" t="str" cm="1">
        <f t="array" ref="J1593">_xlfn.IFS(
  OR(ISBLANK(A1593),ISBLANK(B1593),ISBLANK(H1593),ISBLANK(D1593),ISBLANK(E1593)),"Missing Value",
  D1593&lt;=0,"Review – Out of Range (Coverage)",
  E1593&lt;=0,"Review – Out of Range (Premium)",
  TRUE,"OK"
)</f>
        <v>OK</v>
      </c>
    </row>
    <row r="1594" spans="1:10" ht="16.8" x14ac:dyDescent="0.3">
      <c r="A1594" s="11" t="s">
        <v>5254</v>
      </c>
      <c r="B1594" s="11" t="s">
        <v>1149</v>
      </c>
      <c r="C1594" s="11" t="s">
        <v>3359</v>
      </c>
      <c r="D1594" s="11">
        <v>623331.51</v>
      </c>
      <c r="E1594" s="11">
        <v>38175.69</v>
      </c>
      <c r="F1594" s="12">
        <v>45354</v>
      </c>
      <c r="G1594" s="12">
        <v>45401</v>
      </c>
      <c r="H1594" s="11" t="s">
        <v>3429</v>
      </c>
      <c r="I1594" s="11" t="s">
        <v>3361</v>
      </c>
      <c r="J1594" s="13" t="str" cm="1">
        <f t="array" ref="J1594">_xlfn.IFS(
  OR(ISBLANK(A1594),ISBLANK(B1594),ISBLANK(H1594),ISBLANK(D1594),ISBLANK(E1594)),"Missing Value",
  D1594&lt;=0,"Review – Out of Range (Coverage)",
  E1594&lt;=0,"Review – Out of Range (Premium)",
  TRUE,"OK"
)</f>
        <v>OK</v>
      </c>
    </row>
    <row r="1595" spans="1:10" ht="16.8" x14ac:dyDescent="0.3">
      <c r="A1595" s="14" t="s">
        <v>5255</v>
      </c>
      <c r="B1595" s="14" t="s">
        <v>2885</v>
      </c>
      <c r="C1595" s="14" t="s">
        <v>3377</v>
      </c>
      <c r="D1595" s="14">
        <v>908078.38</v>
      </c>
      <c r="E1595" s="14">
        <v>31419.01</v>
      </c>
      <c r="F1595" s="15">
        <v>44205</v>
      </c>
      <c r="G1595" s="15">
        <v>45044</v>
      </c>
      <c r="H1595" s="14" t="s">
        <v>3770</v>
      </c>
      <c r="I1595" s="14" t="s">
        <v>3373</v>
      </c>
      <c r="J1595" s="13" t="str" cm="1">
        <f t="array" ref="J1595">_xlfn.IFS(
  OR(ISBLANK(A1595),ISBLANK(B1595),ISBLANK(H1595),ISBLANK(D1595),ISBLANK(E1595)),"Missing Value",
  D1595&lt;=0,"Review – Out of Range (Coverage)",
  E1595&lt;=0,"Review – Out of Range (Premium)",
  TRUE,"OK"
)</f>
        <v>OK</v>
      </c>
    </row>
    <row r="1596" spans="1:10" ht="16.8" x14ac:dyDescent="0.3">
      <c r="A1596" s="11" t="s">
        <v>5256</v>
      </c>
      <c r="B1596" s="11" t="s">
        <v>689</v>
      </c>
      <c r="C1596" s="11" t="s">
        <v>3359</v>
      </c>
      <c r="D1596" s="11">
        <v>344620.38</v>
      </c>
      <c r="E1596" s="11">
        <v>13308.74</v>
      </c>
      <c r="F1596" s="12">
        <v>45151</v>
      </c>
      <c r="G1596" s="12">
        <v>45358</v>
      </c>
      <c r="H1596" s="11" t="s">
        <v>4032</v>
      </c>
      <c r="I1596" s="11" t="s">
        <v>3365</v>
      </c>
      <c r="J1596" s="13" t="str" cm="1">
        <f t="array" ref="J1596">_xlfn.IFS(
  OR(ISBLANK(A1596),ISBLANK(B1596),ISBLANK(H1596),ISBLANK(D1596),ISBLANK(E1596)),"Missing Value",
  D1596&lt;=0,"Review – Out of Range (Coverage)",
  E1596&lt;=0,"Review – Out of Range (Premium)",
  TRUE,"OK"
)</f>
        <v>OK</v>
      </c>
    </row>
    <row r="1597" spans="1:10" ht="16.8" x14ac:dyDescent="0.3">
      <c r="A1597" s="14" t="s">
        <v>5257</v>
      </c>
      <c r="B1597" s="14" t="s">
        <v>462</v>
      </c>
      <c r="C1597" s="14" t="s">
        <v>3359</v>
      </c>
      <c r="D1597" s="14">
        <v>667271.68999999994</v>
      </c>
      <c r="E1597" s="14">
        <v>44182.69</v>
      </c>
      <c r="F1597" s="15">
        <v>44506</v>
      </c>
      <c r="G1597" s="15">
        <v>45683</v>
      </c>
      <c r="H1597" s="14" t="s">
        <v>3689</v>
      </c>
      <c r="I1597" s="14" t="s">
        <v>3361</v>
      </c>
      <c r="J1597" s="13" t="str" cm="1">
        <f t="array" ref="J1597">_xlfn.IFS(
  OR(ISBLANK(A1597),ISBLANK(B1597),ISBLANK(H1597),ISBLANK(D1597),ISBLANK(E1597)),"Missing Value",
  D1597&lt;=0,"Review – Out of Range (Coverage)",
  E1597&lt;=0,"Review – Out of Range (Premium)",
  TRUE,"OK"
)</f>
        <v>OK</v>
      </c>
    </row>
    <row r="1598" spans="1:10" ht="16.8" x14ac:dyDescent="0.3">
      <c r="A1598" s="11" t="s">
        <v>5258</v>
      </c>
      <c r="B1598" s="11" t="s">
        <v>2321</v>
      </c>
      <c r="C1598" s="11" t="s">
        <v>3377</v>
      </c>
      <c r="D1598" s="11">
        <v>224342.92</v>
      </c>
      <c r="E1598" s="11">
        <v>42693.38</v>
      </c>
      <c r="F1598" s="12">
        <v>45179</v>
      </c>
      <c r="G1598" s="12">
        <v>45194</v>
      </c>
      <c r="H1598" s="11" t="s">
        <v>3968</v>
      </c>
      <c r="I1598" s="11" t="s">
        <v>3373</v>
      </c>
      <c r="J1598" s="13" t="str" cm="1">
        <f t="array" ref="J1598">_xlfn.IFS(
  OR(ISBLANK(A1598),ISBLANK(B1598),ISBLANK(H1598),ISBLANK(D1598),ISBLANK(E1598)),"Missing Value",
  D1598&lt;=0,"Review – Out of Range (Coverage)",
  E1598&lt;=0,"Review – Out of Range (Premium)",
  TRUE,"OK"
)</f>
        <v>OK</v>
      </c>
    </row>
    <row r="1599" spans="1:10" ht="16.8" x14ac:dyDescent="0.3">
      <c r="A1599" s="14" t="s">
        <v>5259</v>
      </c>
      <c r="B1599" s="14" t="s">
        <v>1557</v>
      </c>
      <c r="C1599" s="14" t="s">
        <v>3359</v>
      </c>
      <c r="D1599" s="14">
        <v>624194.71</v>
      </c>
      <c r="E1599" s="14">
        <v>33210.14</v>
      </c>
      <c r="F1599" s="15">
        <v>45333</v>
      </c>
      <c r="G1599" s="15">
        <v>45465</v>
      </c>
      <c r="H1599" s="14" t="s">
        <v>3939</v>
      </c>
      <c r="I1599" s="14" t="s">
        <v>3365</v>
      </c>
      <c r="J1599" s="13" t="str" cm="1">
        <f t="array" ref="J1599">_xlfn.IFS(
  OR(ISBLANK(A1599),ISBLANK(B1599),ISBLANK(H1599),ISBLANK(D1599),ISBLANK(E1599)),"Missing Value",
  D1599&lt;=0,"Review – Out of Range (Coverage)",
  E1599&lt;=0,"Review – Out of Range (Premium)",
  TRUE,"OK"
)</f>
        <v>OK</v>
      </c>
    </row>
    <row r="1600" spans="1:10" ht="16.8" x14ac:dyDescent="0.3">
      <c r="A1600" s="11" t="s">
        <v>5260</v>
      </c>
      <c r="B1600" s="11" t="s">
        <v>3192</v>
      </c>
      <c r="C1600" s="11" t="s">
        <v>3380</v>
      </c>
      <c r="D1600" s="11">
        <v>270751.59999999998</v>
      </c>
      <c r="E1600" s="11">
        <v>37626.78</v>
      </c>
      <c r="F1600" s="12">
        <v>45428</v>
      </c>
      <c r="G1600" s="12">
        <v>45542</v>
      </c>
      <c r="H1600" s="11" t="s">
        <v>4090</v>
      </c>
      <c r="I1600" s="11" t="s">
        <v>3361</v>
      </c>
      <c r="J1600" s="13" t="str" cm="1">
        <f t="array" ref="J1600">_xlfn.IFS(
  OR(ISBLANK(A1600),ISBLANK(B1600),ISBLANK(H1600),ISBLANK(D1600),ISBLANK(E1600)),"Missing Value",
  D1600&lt;=0,"Review – Out of Range (Coverage)",
  E1600&lt;=0,"Review – Out of Range (Premium)",
  TRUE,"OK"
)</f>
        <v>OK</v>
      </c>
    </row>
    <row r="1601" spans="1:10" ht="16.8" x14ac:dyDescent="0.3">
      <c r="A1601" s="14" t="s">
        <v>5261</v>
      </c>
      <c r="B1601" s="14" t="s">
        <v>1141</v>
      </c>
      <c r="C1601" s="14" t="s">
        <v>3371</v>
      </c>
      <c r="D1601" s="14">
        <v>934473.15</v>
      </c>
      <c r="E1601" s="14">
        <v>20287.12</v>
      </c>
      <c r="F1601" s="15">
        <v>44574</v>
      </c>
      <c r="G1601" s="15">
        <v>44609</v>
      </c>
      <c r="H1601" s="14" t="s">
        <v>4102</v>
      </c>
      <c r="I1601" s="14" t="s">
        <v>3373</v>
      </c>
      <c r="J1601" s="13" t="str" cm="1">
        <f t="array" ref="J1601">_xlfn.IFS(
  OR(ISBLANK(A1601),ISBLANK(B1601),ISBLANK(H1601),ISBLANK(D1601),ISBLANK(E1601)),"Missing Value",
  D1601&lt;=0,"Review – Out of Range (Coverage)",
  E1601&lt;=0,"Review – Out of Range (Premium)",
  TRUE,"OK"
)</f>
        <v>OK</v>
      </c>
    </row>
    <row r="1602" spans="1:10" ht="16.8" x14ac:dyDescent="0.3">
      <c r="A1602" s="11" t="s">
        <v>5262</v>
      </c>
      <c r="B1602" s="11" t="s">
        <v>105</v>
      </c>
      <c r="C1602" s="11" t="s">
        <v>3359</v>
      </c>
      <c r="D1602" s="11">
        <v>156316.69</v>
      </c>
      <c r="E1602" s="11">
        <v>31770.080000000002</v>
      </c>
      <c r="F1602" s="12">
        <v>44540</v>
      </c>
      <c r="G1602" s="12">
        <v>45634</v>
      </c>
      <c r="H1602" s="11" t="s">
        <v>4123</v>
      </c>
      <c r="I1602" s="11" t="s">
        <v>3361</v>
      </c>
      <c r="J1602" s="13" t="str" cm="1">
        <f t="array" ref="J1602">_xlfn.IFS(
  OR(ISBLANK(A1602),ISBLANK(B1602),ISBLANK(H1602),ISBLANK(D1602),ISBLANK(E1602)),"Missing Value",
  D1602&lt;=0,"Review – Out of Range (Coverage)",
  E1602&lt;=0,"Review – Out of Range (Premium)",
  TRUE,"OK"
)</f>
        <v>OK</v>
      </c>
    </row>
    <row r="1603" spans="1:10" ht="16.8" x14ac:dyDescent="0.3">
      <c r="A1603" s="14" t="s">
        <v>5263</v>
      </c>
      <c r="B1603" s="14" t="s">
        <v>3138</v>
      </c>
      <c r="C1603" s="14" t="s">
        <v>3371</v>
      </c>
      <c r="D1603" s="14">
        <v>307259.89</v>
      </c>
      <c r="E1603" s="14">
        <v>17811.66</v>
      </c>
      <c r="F1603" s="15">
        <v>44761</v>
      </c>
      <c r="G1603" s="15">
        <v>45143</v>
      </c>
      <c r="H1603" s="14" t="s">
        <v>3779</v>
      </c>
      <c r="I1603" s="14" t="s">
        <v>3365</v>
      </c>
      <c r="J1603" s="13" t="str" cm="1">
        <f t="array" ref="J1603">_xlfn.IFS(
  OR(ISBLANK(A1603),ISBLANK(B1603),ISBLANK(H1603),ISBLANK(D1603),ISBLANK(E1603)),"Missing Value",
  D1603&lt;=0,"Review – Out of Range (Coverage)",
  E1603&lt;=0,"Review – Out of Range (Premium)",
  TRUE,"OK"
)</f>
        <v>OK</v>
      </c>
    </row>
    <row r="1604" spans="1:10" ht="16.8" x14ac:dyDescent="0.3">
      <c r="A1604" s="11" t="s">
        <v>5264</v>
      </c>
      <c r="B1604" s="11" t="s">
        <v>1693</v>
      </c>
      <c r="C1604" s="11" t="s">
        <v>3380</v>
      </c>
      <c r="D1604" s="11">
        <v>293836.23</v>
      </c>
      <c r="E1604" s="11">
        <v>12378.59</v>
      </c>
      <c r="F1604" s="12">
        <v>45064</v>
      </c>
      <c r="G1604" s="12">
        <v>45350</v>
      </c>
      <c r="H1604" s="11" t="s">
        <v>3534</v>
      </c>
      <c r="I1604" s="11" t="s">
        <v>3373</v>
      </c>
      <c r="J1604" s="13" t="str" cm="1">
        <f t="array" ref="J1604">_xlfn.IFS(
  OR(ISBLANK(A1604),ISBLANK(B1604),ISBLANK(H1604),ISBLANK(D1604),ISBLANK(E1604)),"Missing Value",
  D1604&lt;=0,"Review – Out of Range (Coverage)",
  E1604&lt;=0,"Review – Out of Range (Premium)",
  TRUE,"OK"
)</f>
        <v>OK</v>
      </c>
    </row>
    <row r="1605" spans="1:10" ht="16.8" x14ac:dyDescent="0.3">
      <c r="A1605" s="14" t="s">
        <v>5265</v>
      </c>
      <c r="B1605" s="14" t="s">
        <v>2339</v>
      </c>
      <c r="C1605" s="14" t="s">
        <v>3380</v>
      </c>
      <c r="D1605" s="14">
        <v>430370.18</v>
      </c>
      <c r="E1605" s="14">
        <v>48442.33</v>
      </c>
      <c r="F1605" s="15">
        <v>45292</v>
      </c>
      <c r="G1605" s="15">
        <v>45554</v>
      </c>
      <c r="H1605" s="14" t="s">
        <v>3403</v>
      </c>
      <c r="I1605" s="14" t="s">
        <v>3373</v>
      </c>
      <c r="J1605" s="13" t="str" cm="1">
        <f t="array" ref="J1605">_xlfn.IFS(
  OR(ISBLANK(A1605),ISBLANK(B1605),ISBLANK(H1605),ISBLANK(D1605),ISBLANK(E1605)),"Missing Value",
  D1605&lt;=0,"Review – Out of Range (Coverage)",
  E1605&lt;=0,"Review – Out of Range (Premium)",
  TRUE,"OK"
)</f>
        <v>OK</v>
      </c>
    </row>
    <row r="1606" spans="1:10" ht="16.8" x14ac:dyDescent="0.3">
      <c r="A1606" s="11" t="s">
        <v>5266</v>
      </c>
      <c r="B1606" s="11" t="s">
        <v>1439</v>
      </c>
      <c r="C1606" s="11" t="s">
        <v>3371</v>
      </c>
      <c r="D1606" s="11">
        <v>492117.79</v>
      </c>
      <c r="E1606" s="11">
        <v>49232.52</v>
      </c>
      <c r="F1606" s="12">
        <v>45141</v>
      </c>
      <c r="G1606" s="12">
        <v>45292</v>
      </c>
      <c r="H1606" s="11" t="s">
        <v>3449</v>
      </c>
      <c r="I1606" s="11" t="s">
        <v>3365</v>
      </c>
      <c r="J1606" s="13" t="str" cm="1">
        <f t="array" ref="J1606">_xlfn.IFS(
  OR(ISBLANK(A1606),ISBLANK(B1606),ISBLANK(H1606),ISBLANK(D1606),ISBLANK(E1606)),"Missing Value",
  D1606&lt;=0,"Review – Out of Range (Coverage)",
  E1606&lt;=0,"Review – Out of Range (Premium)",
  TRUE,"OK"
)</f>
        <v>OK</v>
      </c>
    </row>
    <row r="1607" spans="1:10" ht="16.8" x14ac:dyDescent="0.3">
      <c r="A1607" s="14" t="s">
        <v>5267</v>
      </c>
      <c r="B1607" s="14" t="s">
        <v>3044</v>
      </c>
      <c r="C1607" s="14" t="s">
        <v>3377</v>
      </c>
      <c r="D1607" s="14">
        <v>481301.75</v>
      </c>
      <c r="E1607" s="14">
        <v>3124.91</v>
      </c>
      <c r="F1607" s="15">
        <v>44613</v>
      </c>
      <c r="G1607" s="15">
        <v>45657</v>
      </c>
      <c r="H1607" s="14" t="s">
        <v>3473</v>
      </c>
      <c r="I1607" s="14" t="s">
        <v>3361</v>
      </c>
      <c r="J1607" s="13" t="str" cm="1">
        <f t="array" ref="J1607">_xlfn.IFS(
  OR(ISBLANK(A1607),ISBLANK(B1607),ISBLANK(H1607),ISBLANK(D1607),ISBLANK(E1607)),"Missing Value",
  D1607&lt;=0,"Review – Out of Range (Coverage)",
  E1607&lt;=0,"Review – Out of Range (Premium)",
  TRUE,"OK"
)</f>
        <v>OK</v>
      </c>
    </row>
    <row r="1608" spans="1:10" ht="16.8" x14ac:dyDescent="0.3">
      <c r="A1608" s="11" t="s">
        <v>5268</v>
      </c>
      <c r="B1608" s="11" t="s">
        <v>2609</v>
      </c>
      <c r="C1608" s="11" t="s">
        <v>3359</v>
      </c>
      <c r="D1608" s="11">
        <v>171588.13</v>
      </c>
      <c r="E1608" s="11">
        <v>20197.16</v>
      </c>
      <c r="F1608" s="12">
        <v>45004</v>
      </c>
      <c r="G1608" s="12">
        <v>45829</v>
      </c>
      <c r="H1608" s="11" t="s">
        <v>3427</v>
      </c>
      <c r="I1608" s="11" t="s">
        <v>3361</v>
      </c>
      <c r="J1608" s="13" t="str" cm="1">
        <f t="array" ref="J1608">_xlfn.IFS(
  OR(ISBLANK(A1608),ISBLANK(B1608),ISBLANK(H1608),ISBLANK(D1608),ISBLANK(E1608)),"Missing Value",
  D1608&lt;=0,"Review – Out of Range (Coverage)",
  E1608&lt;=0,"Review – Out of Range (Premium)",
  TRUE,"OK"
)</f>
        <v>OK</v>
      </c>
    </row>
    <row r="1609" spans="1:10" ht="16.8" x14ac:dyDescent="0.3">
      <c r="A1609" s="14" t="s">
        <v>5269</v>
      </c>
      <c r="B1609" s="14" t="s">
        <v>1731</v>
      </c>
      <c r="C1609" s="14" t="s">
        <v>3377</v>
      </c>
      <c r="D1609" s="14">
        <v>605001.64</v>
      </c>
      <c r="E1609" s="14">
        <v>3571.03</v>
      </c>
      <c r="F1609" s="15">
        <v>44990</v>
      </c>
      <c r="G1609" s="15">
        <v>45735</v>
      </c>
      <c r="H1609" s="14" t="s">
        <v>4556</v>
      </c>
      <c r="I1609" s="14" t="s">
        <v>3373</v>
      </c>
      <c r="J1609" s="13" t="str" cm="1">
        <f t="array" ref="J1609">_xlfn.IFS(
  OR(ISBLANK(A1609),ISBLANK(B1609),ISBLANK(H1609),ISBLANK(D1609),ISBLANK(E1609)),"Missing Value",
  D1609&lt;=0,"Review – Out of Range (Coverage)",
  E1609&lt;=0,"Review – Out of Range (Premium)",
  TRUE,"OK"
)</f>
        <v>OK</v>
      </c>
    </row>
    <row r="1610" spans="1:10" ht="16.8" x14ac:dyDescent="0.3">
      <c r="A1610" s="11" t="s">
        <v>5270</v>
      </c>
      <c r="B1610" s="11" t="s">
        <v>440</v>
      </c>
      <c r="C1610" s="11" t="s">
        <v>3371</v>
      </c>
      <c r="D1610" s="11">
        <v>830327.44</v>
      </c>
      <c r="E1610" s="11">
        <v>30949.49</v>
      </c>
      <c r="F1610" s="12">
        <v>45124</v>
      </c>
      <c r="G1610" s="12">
        <v>45693</v>
      </c>
      <c r="H1610" s="11" t="s">
        <v>4887</v>
      </c>
      <c r="I1610" s="11" t="s">
        <v>3365</v>
      </c>
      <c r="J1610" s="13" t="str" cm="1">
        <f t="array" ref="J1610">_xlfn.IFS(
  OR(ISBLANK(A1610),ISBLANK(B1610),ISBLANK(H1610),ISBLANK(D1610),ISBLANK(E1610)),"Missing Value",
  D1610&lt;=0,"Review – Out of Range (Coverage)",
  E1610&lt;=0,"Review – Out of Range (Premium)",
  TRUE,"OK"
)</f>
        <v>OK</v>
      </c>
    </row>
    <row r="1611" spans="1:10" ht="16.8" x14ac:dyDescent="0.3">
      <c r="A1611" s="14" t="s">
        <v>5271</v>
      </c>
      <c r="B1611" s="14" t="s">
        <v>2017</v>
      </c>
      <c r="C1611" s="14" t="s">
        <v>3359</v>
      </c>
      <c r="D1611" s="14">
        <v>699637.11</v>
      </c>
      <c r="E1611" s="14">
        <v>5506.2</v>
      </c>
      <c r="F1611" s="15">
        <v>44497</v>
      </c>
      <c r="G1611" s="15">
        <v>45712</v>
      </c>
      <c r="H1611" s="14" t="s">
        <v>3809</v>
      </c>
      <c r="I1611" s="14" t="s">
        <v>3373</v>
      </c>
      <c r="J1611" s="13" t="str" cm="1">
        <f t="array" ref="J1611">_xlfn.IFS(
  OR(ISBLANK(A1611),ISBLANK(B1611),ISBLANK(H1611),ISBLANK(D1611),ISBLANK(E1611)),"Missing Value",
  D1611&lt;=0,"Review – Out of Range (Coverage)",
  E1611&lt;=0,"Review – Out of Range (Premium)",
  TRUE,"OK"
)</f>
        <v>OK</v>
      </c>
    </row>
    <row r="1612" spans="1:10" ht="16.8" x14ac:dyDescent="0.3">
      <c r="A1612" s="11" t="s">
        <v>5272</v>
      </c>
      <c r="B1612" s="11" t="s">
        <v>454</v>
      </c>
      <c r="C1612" s="11" t="s">
        <v>3363</v>
      </c>
      <c r="D1612" s="11">
        <v>730587.38</v>
      </c>
      <c r="E1612" s="11">
        <v>5822.94</v>
      </c>
      <c r="F1612" s="12">
        <v>45140</v>
      </c>
      <c r="G1612" s="12">
        <v>45847</v>
      </c>
      <c r="H1612" s="11" t="s">
        <v>3986</v>
      </c>
      <c r="I1612" s="11" t="s">
        <v>3373</v>
      </c>
      <c r="J1612" s="13" t="str" cm="1">
        <f t="array" ref="J1612">_xlfn.IFS(
  OR(ISBLANK(A1612),ISBLANK(B1612),ISBLANK(H1612),ISBLANK(D1612),ISBLANK(E1612)),"Missing Value",
  D1612&lt;=0,"Review – Out of Range (Coverage)",
  E1612&lt;=0,"Review – Out of Range (Premium)",
  TRUE,"OK"
)</f>
        <v>OK</v>
      </c>
    </row>
    <row r="1613" spans="1:10" ht="16.8" x14ac:dyDescent="0.3">
      <c r="A1613" s="14" t="s">
        <v>5273</v>
      </c>
      <c r="B1613" s="14" t="s">
        <v>2351</v>
      </c>
      <c r="C1613" s="14" t="s">
        <v>3380</v>
      </c>
      <c r="D1613" s="14">
        <v>182445.38</v>
      </c>
      <c r="E1613" s="14">
        <v>47044.23</v>
      </c>
      <c r="F1613" s="15">
        <v>45455</v>
      </c>
      <c r="G1613" s="15">
        <v>45845</v>
      </c>
      <c r="H1613" s="14" t="s">
        <v>4556</v>
      </c>
      <c r="I1613" s="14" t="s">
        <v>3365</v>
      </c>
      <c r="J1613" s="13" t="str" cm="1">
        <f t="array" ref="J1613">_xlfn.IFS(
  OR(ISBLANK(A1613),ISBLANK(B1613),ISBLANK(H1613),ISBLANK(D1613),ISBLANK(E1613)),"Missing Value",
  D1613&lt;=0,"Review – Out of Range (Coverage)",
  E1613&lt;=0,"Review – Out of Range (Premium)",
  TRUE,"OK"
)</f>
        <v>OK</v>
      </c>
    </row>
    <row r="1614" spans="1:10" ht="16.8" x14ac:dyDescent="0.3">
      <c r="A1614" s="11" t="s">
        <v>5274</v>
      </c>
      <c r="B1614" s="11" t="s">
        <v>1189</v>
      </c>
      <c r="C1614" s="11" t="s">
        <v>3363</v>
      </c>
      <c r="D1614" s="11">
        <v>870029.67</v>
      </c>
      <c r="E1614" s="11">
        <v>28515.57</v>
      </c>
      <c r="F1614" s="12">
        <v>45146</v>
      </c>
      <c r="G1614" s="12">
        <v>45557</v>
      </c>
      <c r="H1614" s="11" t="s">
        <v>4234</v>
      </c>
      <c r="I1614" s="11" t="s">
        <v>3361</v>
      </c>
      <c r="J1614" s="13" t="str" cm="1">
        <f t="array" ref="J1614">_xlfn.IFS(
  OR(ISBLANK(A1614),ISBLANK(B1614),ISBLANK(H1614),ISBLANK(D1614),ISBLANK(E1614)),"Missing Value",
  D1614&lt;=0,"Review – Out of Range (Coverage)",
  E1614&lt;=0,"Review – Out of Range (Premium)",
  TRUE,"OK"
)</f>
        <v>OK</v>
      </c>
    </row>
    <row r="1615" spans="1:10" ht="16.8" x14ac:dyDescent="0.3">
      <c r="A1615" s="14" t="s">
        <v>5275</v>
      </c>
      <c r="B1615" s="14" t="s">
        <v>611</v>
      </c>
      <c r="C1615" s="14" t="s">
        <v>3377</v>
      </c>
      <c r="D1615" s="14">
        <v>225850.69</v>
      </c>
      <c r="E1615" s="14">
        <v>39427.120000000003</v>
      </c>
      <c r="F1615" s="15">
        <v>44125</v>
      </c>
      <c r="G1615" s="15">
        <v>44818</v>
      </c>
      <c r="H1615" s="14" t="s">
        <v>3752</v>
      </c>
      <c r="I1615" s="14" t="s">
        <v>3365</v>
      </c>
      <c r="J1615" s="13" t="str" cm="1">
        <f t="array" ref="J1615">_xlfn.IFS(
  OR(ISBLANK(A1615),ISBLANK(B1615),ISBLANK(H1615),ISBLANK(D1615),ISBLANK(E1615)),"Missing Value",
  D1615&lt;=0,"Review – Out of Range (Coverage)",
  E1615&lt;=0,"Review – Out of Range (Premium)",
  TRUE,"OK"
)</f>
        <v>OK</v>
      </c>
    </row>
    <row r="1616" spans="1:10" ht="16.8" x14ac:dyDescent="0.3">
      <c r="A1616" s="11" t="s">
        <v>5276</v>
      </c>
      <c r="B1616" s="11" t="s">
        <v>1889</v>
      </c>
      <c r="C1616" s="11" t="s">
        <v>3377</v>
      </c>
      <c r="D1616" s="11">
        <v>954840.46</v>
      </c>
      <c r="E1616" s="11">
        <v>25736.73</v>
      </c>
      <c r="F1616" s="12">
        <v>44904</v>
      </c>
      <c r="G1616" s="12">
        <v>45173</v>
      </c>
      <c r="H1616" s="11" t="s">
        <v>3750</v>
      </c>
      <c r="I1616" s="11" t="s">
        <v>3365</v>
      </c>
      <c r="J1616" s="13" t="str" cm="1">
        <f t="array" ref="J1616">_xlfn.IFS(
  OR(ISBLANK(A1616),ISBLANK(B1616),ISBLANK(H1616),ISBLANK(D1616),ISBLANK(E1616)),"Missing Value",
  D1616&lt;=0,"Review – Out of Range (Coverage)",
  E1616&lt;=0,"Review – Out of Range (Premium)",
  TRUE,"OK"
)</f>
        <v>OK</v>
      </c>
    </row>
    <row r="1617" spans="1:10" ht="16.8" x14ac:dyDescent="0.3">
      <c r="A1617" s="14" t="s">
        <v>5277</v>
      </c>
      <c r="B1617" s="14" t="s">
        <v>432</v>
      </c>
      <c r="C1617" s="14" t="s">
        <v>3363</v>
      </c>
      <c r="D1617" s="14">
        <v>935271.74</v>
      </c>
      <c r="E1617" s="14">
        <v>4645.76</v>
      </c>
      <c r="F1617" s="15">
        <v>45372</v>
      </c>
      <c r="G1617" s="15">
        <v>45796</v>
      </c>
      <c r="H1617" s="14" t="s">
        <v>3569</v>
      </c>
      <c r="I1617" s="14" t="s">
        <v>3365</v>
      </c>
      <c r="J1617" s="13" t="str" cm="1">
        <f t="array" ref="J1617">_xlfn.IFS(
  OR(ISBLANK(A1617),ISBLANK(B1617),ISBLANK(H1617),ISBLANK(D1617),ISBLANK(E1617)),"Missing Value",
  D1617&lt;=0,"Review – Out of Range (Coverage)",
  E1617&lt;=0,"Review – Out of Range (Premium)",
  TRUE,"OK"
)</f>
        <v>OK</v>
      </c>
    </row>
    <row r="1618" spans="1:10" ht="16.8" x14ac:dyDescent="0.3">
      <c r="A1618" s="11" t="s">
        <v>5278</v>
      </c>
      <c r="B1618" s="11" t="s">
        <v>1285</v>
      </c>
      <c r="C1618" s="11" t="s">
        <v>3363</v>
      </c>
      <c r="D1618" s="11">
        <v>187989.01</v>
      </c>
      <c r="E1618" s="11">
        <v>31085.48</v>
      </c>
      <c r="F1618" s="12">
        <v>45451</v>
      </c>
      <c r="G1618" s="12">
        <v>45615</v>
      </c>
      <c r="H1618" s="11" t="s">
        <v>4766</v>
      </c>
      <c r="I1618" s="11" t="s">
        <v>3361</v>
      </c>
      <c r="J1618" s="13" t="str" cm="1">
        <f t="array" ref="J1618">_xlfn.IFS(
  OR(ISBLANK(A1618),ISBLANK(B1618),ISBLANK(H1618),ISBLANK(D1618),ISBLANK(E1618)),"Missing Value",
  D1618&lt;=0,"Review – Out of Range (Coverage)",
  E1618&lt;=0,"Review – Out of Range (Premium)",
  TRUE,"OK"
)</f>
        <v>OK</v>
      </c>
    </row>
    <row r="1619" spans="1:10" ht="16.8" x14ac:dyDescent="0.3">
      <c r="A1619" s="14" t="s">
        <v>5279</v>
      </c>
      <c r="B1619" s="14" t="s">
        <v>2737</v>
      </c>
      <c r="C1619" s="14" t="s">
        <v>3359</v>
      </c>
      <c r="D1619" s="14">
        <v>948714.39</v>
      </c>
      <c r="E1619" s="14">
        <v>41301.120000000003</v>
      </c>
      <c r="F1619" s="15">
        <v>44920</v>
      </c>
      <c r="G1619" s="15">
        <v>45733</v>
      </c>
      <c r="H1619" s="14" t="s">
        <v>4290</v>
      </c>
      <c r="I1619" s="14" t="s">
        <v>3373</v>
      </c>
      <c r="J1619" s="13" t="str" cm="1">
        <f t="array" ref="J1619">_xlfn.IFS(
  OR(ISBLANK(A1619),ISBLANK(B1619),ISBLANK(H1619),ISBLANK(D1619),ISBLANK(E1619)),"Missing Value",
  D1619&lt;=0,"Review – Out of Range (Coverage)",
  E1619&lt;=0,"Review – Out of Range (Premium)",
  TRUE,"OK"
)</f>
        <v>OK</v>
      </c>
    </row>
    <row r="1620" spans="1:10" ht="16.8" x14ac:dyDescent="0.3">
      <c r="A1620" s="11" t="s">
        <v>5280</v>
      </c>
      <c r="B1620" s="11" t="s">
        <v>1593</v>
      </c>
      <c r="C1620" s="11" t="s">
        <v>3377</v>
      </c>
      <c r="D1620" s="11">
        <v>105271.48</v>
      </c>
      <c r="E1620" s="11">
        <v>12617.13</v>
      </c>
      <c r="F1620" s="12">
        <v>44237</v>
      </c>
      <c r="G1620" s="12">
        <v>45483</v>
      </c>
      <c r="H1620" s="11" t="s">
        <v>3409</v>
      </c>
      <c r="I1620" s="11" t="s">
        <v>3365</v>
      </c>
      <c r="J1620" s="13" t="str" cm="1">
        <f t="array" ref="J1620">_xlfn.IFS(
  OR(ISBLANK(A1620),ISBLANK(B1620),ISBLANK(H1620),ISBLANK(D1620),ISBLANK(E1620)),"Missing Value",
  D1620&lt;=0,"Review – Out of Range (Coverage)",
  E1620&lt;=0,"Review – Out of Range (Premium)",
  TRUE,"OK"
)</f>
        <v>OK</v>
      </c>
    </row>
    <row r="1621" spans="1:10" ht="16.8" x14ac:dyDescent="0.3">
      <c r="A1621" s="14" t="s">
        <v>5281</v>
      </c>
      <c r="B1621" s="14" t="s">
        <v>474</v>
      </c>
      <c r="C1621" s="14" t="s">
        <v>3377</v>
      </c>
      <c r="D1621" s="14">
        <v>745292.38</v>
      </c>
      <c r="E1621" s="14">
        <v>10607.41</v>
      </c>
      <c r="F1621" s="15">
        <v>44355</v>
      </c>
      <c r="G1621" s="15">
        <v>45050</v>
      </c>
      <c r="H1621" s="14" t="s">
        <v>3863</v>
      </c>
      <c r="I1621" s="14" t="s">
        <v>3361</v>
      </c>
      <c r="J1621" s="13" t="str" cm="1">
        <f t="array" ref="J1621">_xlfn.IFS(
  OR(ISBLANK(A1621),ISBLANK(B1621),ISBLANK(H1621),ISBLANK(D1621),ISBLANK(E1621)),"Missing Value",
  D1621&lt;=0,"Review – Out of Range (Coverage)",
  E1621&lt;=0,"Review – Out of Range (Premium)",
  TRUE,"OK"
)</f>
        <v>OK</v>
      </c>
    </row>
    <row r="1622" spans="1:10" ht="16.8" x14ac:dyDescent="0.3">
      <c r="A1622" s="11" t="s">
        <v>5282</v>
      </c>
      <c r="B1622" s="11" t="s">
        <v>787</v>
      </c>
      <c r="C1622" s="11" t="s">
        <v>3380</v>
      </c>
      <c r="D1622" s="11">
        <v>211338.33</v>
      </c>
      <c r="E1622" s="11">
        <v>20345.2</v>
      </c>
      <c r="F1622" s="12">
        <v>44079</v>
      </c>
      <c r="G1622" s="12">
        <v>44271</v>
      </c>
      <c r="H1622" s="11" t="s">
        <v>3545</v>
      </c>
      <c r="I1622" s="11" t="s">
        <v>3365</v>
      </c>
      <c r="J1622" s="13" t="str" cm="1">
        <f t="array" ref="J1622">_xlfn.IFS(
  OR(ISBLANK(A1622),ISBLANK(B1622),ISBLANK(H1622),ISBLANK(D1622),ISBLANK(E1622)),"Missing Value",
  D1622&lt;=0,"Review – Out of Range (Coverage)",
  E1622&lt;=0,"Review – Out of Range (Premium)",
  TRUE,"OK"
)</f>
        <v>OK</v>
      </c>
    </row>
    <row r="1623" spans="1:10" ht="16.8" x14ac:dyDescent="0.3">
      <c r="A1623" s="14" t="s">
        <v>5283</v>
      </c>
      <c r="B1623" s="14" t="s">
        <v>1373</v>
      </c>
      <c r="C1623" s="14" t="s">
        <v>3363</v>
      </c>
      <c r="D1623" s="14">
        <v>545462.67000000004</v>
      </c>
      <c r="E1623" s="14">
        <v>10965.06</v>
      </c>
      <c r="F1623" s="15">
        <v>45032</v>
      </c>
      <c r="G1623" s="15">
        <v>45467</v>
      </c>
      <c r="H1623" s="14" t="s">
        <v>3787</v>
      </c>
      <c r="I1623" s="14" t="s">
        <v>3373</v>
      </c>
      <c r="J1623" s="13" t="str" cm="1">
        <f t="array" ref="J1623">_xlfn.IFS(
  OR(ISBLANK(A1623),ISBLANK(B1623),ISBLANK(H1623),ISBLANK(D1623),ISBLANK(E1623)),"Missing Value",
  D1623&lt;=0,"Review – Out of Range (Coverage)",
  E1623&lt;=0,"Review – Out of Range (Premium)",
  TRUE,"OK"
)</f>
        <v>OK</v>
      </c>
    </row>
    <row r="1624" spans="1:10" ht="16.8" x14ac:dyDescent="0.3">
      <c r="A1624" s="11" t="s">
        <v>5284</v>
      </c>
      <c r="B1624" s="11" t="s">
        <v>1337</v>
      </c>
      <c r="C1624" s="11" t="s">
        <v>3377</v>
      </c>
      <c r="D1624" s="11">
        <v>721920.43</v>
      </c>
      <c r="E1624" s="11">
        <v>37758.69</v>
      </c>
      <c r="F1624" s="12">
        <v>44651</v>
      </c>
      <c r="G1624" s="12">
        <v>44953</v>
      </c>
      <c r="H1624" s="11" t="s">
        <v>4404</v>
      </c>
      <c r="I1624" s="11" t="s">
        <v>3373</v>
      </c>
      <c r="J1624" s="13" t="str" cm="1">
        <f t="array" ref="J1624">_xlfn.IFS(
  OR(ISBLANK(A1624),ISBLANK(B1624),ISBLANK(H1624),ISBLANK(D1624),ISBLANK(E1624)),"Missing Value",
  D1624&lt;=0,"Review – Out of Range (Coverage)",
  E1624&lt;=0,"Review – Out of Range (Premium)",
  TRUE,"OK"
)</f>
        <v>OK</v>
      </c>
    </row>
    <row r="1625" spans="1:10" ht="16.8" x14ac:dyDescent="0.3">
      <c r="A1625" s="14" t="s">
        <v>5285</v>
      </c>
      <c r="B1625" s="14" t="s">
        <v>72</v>
      </c>
      <c r="C1625" s="14" t="s">
        <v>3363</v>
      </c>
      <c r="D1625" s="14">
        <v>850137.23</v>
      </c>
      <c r="E1625" s="14">
        <v>27797.26</v>
      </c>
      <c r="F1625" s="15">
        <v>44530</v>
      </c>
      <c r="G1625" s="15">
        <v>45243</v>
      </c>
      <c r="H1625" s="14" t="s">
        <v>3389</v>
      </c>
      <c r="I1625" s="14" t="s">
        <v>3361</v>
      </c>
      <c r="J1625" s="13" t="str" cm="1">
        <f t="array" ref="J1625">_xlfn.IFS(
  OR(ISBLANK(A1625),ISBLANK(B1625),ISBLANK(H1625),ISBLANK(D1625),ISBLANK(E1625)),"Missing Value",
  D1625&lt;=0,"Review – Out of Range (Coverage)",
  E1625&lt;=0,"Review – Out of Range (Premium)",
  TRUE,"OK"
)</f>
        <v>OK</v>
      </c>
    </row>
    <row r="1626" spans="1:10" ht="16.8" x14ac:dyDescent="0.3">
      <c r="A1626" s="11" t="s">
        <v>5286</v>
      </c>
      <c r="B1626" s="11" t="s">
        <v>1103</v>
      </c>
      <c r="C1626" s="11" t="s">
        <v>3380</v>
      </c>
      <c r="D1626" s="11">
        <v>638021.53</v>
      </c>
      <c r="E1626" s="11">
        <v>29382.2</v>
      </c>
      <c r="F1626" s="12">
        <v>44754</v>
      </c>
      <c r="G1626" s="12">
        <v>45070</v>
      </c>
      <c r="H1626" s="11" t="s">
        <v>3744</v>
      </c>
      <c r="I1626" s="11" t="s">
        <v>3361</v>
      </c>
      <c r="J1626" s="13" t="str" cm="1">
        <f t="array" ref="J1626">_xlfn.IFS(
  OR(ISBLANK(A1626),ISBLANK(B1626),ISBLANK(H1626),ISBLANK(D1626),ISBLANK(E1626)),"Missing Value",
  D1626&lt;=0,"Review – Out of Range (Coverage)",
  E1626&lt;=0,"Review – Out of Range (Premium)",
  TRUE,"OK"
)</f>
        <v>OK</v>
      </c>
    </row>
    <row r="1627" spans="1:10" ht="16.8" x14ac:dyDescent="0.3">
      <c r="A1627" s="14" t="s">
        <v>5287</v>
      </c>
      <c r="B1627" s="14" t="s">
        <v>2477</v>
      </c>
      <c r="C1627" s="14" t="s">
        <v>3363</v>
      </c>
      <c r="D1627" s="14">
        <v>388440.72</v>
      </c>
      <c r="E1627" s="14">
        <v>15674.33</v>
      </c>
      <c r="F1627" s="15">
        <v>45053</v>
      </c>
      <c r="G1627" s="15">
        <v>45615</v>
      </c>
      <c r="H1627" s="14" t="s">
        <v>3874</v>
      </c>
      <c r="I1627" s="14" t="s">
        <v>3373</v>
      </c>
      <c r="J1627" s="13" t="str" cm="1">
        <f t="array" ref="J1627">_xlfn.IFS(
  OR(ISBLANK(A1627),ISBLANK(B1627),ISBLANK(H1627),ISBLANK(D1627),ISBLANK(E1627)),"Missing Value",
  D1627&lt;=0,"Review – Out of Range (Coverage)",
  E1627&lt;=0,"Review – Out of Range (Premium)",
  TRUE,"OK"
)</f>
        <v>OK</v>
      </c>
    </row>
    <row r="1628" spans="1:10" ht="16.8" x14ac:dyDescent="0.3">
      <c r="A1628" s="11" t="s">
        <v>5288</v>
      </c>
      <c r="B1628" s="11" t="s">
        <v>506</v>
      </c>
      <c r="C1628" s="11" t="s">
        <v>3371</v>
      </c>
      <c r="D1628" s="11">
        <v>190027.43</v>
      </c>
      <c r="E1628" s="11">
        <v>16353.73</v>
      </c>
      <c r="F1628" s="12">
        <v>44988</v>
      </c>
      <c r="G1628" s="12">
        <v>45201</v>
      </c>
      <c r="H1628" s="11" t="s">
        <v>4660</v>
      </c>
      <c r="I1628" s="11" t="s">
        <v>3361</v>
      </c>
      <c r="J1628" s="13" t="str" cm="1">
        <f t="array" ref="J1628">_xlfn.IFS(
  OR(ISBLANK(A1628),ISBLANK(B1628),ISBLANK(H1628),ISBLANK(D1628),ISBLANK(E1628)),"Missing Value",
  D1628&lt;=0,"Review – Out of Range (Coverage)",
  E1628&lt;=0,"Review – Out of Range (Premium)",
  TRUE,"OK"
)</f>
        <v>OK</v>
      </c>
    </row>
    <row r="1629" spans="1:10" ht="16.8" x14ac:dyDescent="0.3">
      <c r="A1629" s="14" t="s">
        <v>5289</v>
      </c>
      <c r="B1629" s="14" t="s">
        <v>1053</v>
      </c>
      <c r="C1629" s="14" t="s">
        <v>3380</v>
      </c>
      <c r="D1629" s="14">
        <v>845826.09</v>
      </c>
      <c r="E1629" s="14">
        <v>36073.83</v>
      </c>
      <c r="F1629" s="15">
        <v>44526</v>
      </c>
      <c r="G1629" s="15">
        <v>45505</v>
      </c>
      <c r="H1629" s="14" t="s">
        <v>3811</v>
      </c>
      <c r="I1629" s="14" t="s">
        <v>3365</v>
      </c>
      <c r="J1629" s="13" t="str" cm="1">
        <f t="array" ref="J1629">_xlfn.IFS(
  OR(ISBLANK(A1629),ISBLANK(B1629),ISBLANK(H1629),ISBLANK(D1629),ISBLANK(E1629)),"Missing Value",
  D1629&lt;=0,"Review – Out of Range (Coverage)",
  E1629&lt;=0,"Review – Out of Range (Premium)",
  TRUE,"OK"
)</f>
        <v>OK</v>
      </c>
    </row>
    <row r="1630" spans="1:10" ht="16.8" x14ac:dyDescent="0.3">
      <c r="A1630" s="11" t="s">
        <v>5290</v>
      </c>
      <c r="B1630" s="11" t="s">
        <v>1467</v>
      </c>
      <c r="C1630" s="11" t="s">
        <v>3377</v>
      </c>
      <c r="D1630" s="11">
        <v>663180.66</v>
      </c>
      <c r="E1630" s="11">
        <v>33888.019999999997</v>
      </c>
      <c r="F1630" s="12">
        <v>45265</v>
      </c>
      <c r="G1630" s="12">
        <v>45560</v>
      </c>
      <c r="H1630" s="11" t="s">
        <v>3827</v>
      </c>
      <c r="I1630" s="11" t="s">
        <v>3361</v>
      </c>
      <c r="J1630" s="13" t="str" cm="1">
        <f t="array" ref="J1630">_xlfn.IFS(
  OR(ISBLANK(A1630),ISBLANK(B1630),ISBLANK(H1630),ISBLANK(D1630),ISBLANK(E1630)),"Missing Value",
  D1630&lt;=0,"Review – Out of Range (Coverage)",
  E1630&lt;=0,"Review – Out of Range (Premium)",
  TRUE,"OK"
)</f>
        <v>OK</v>
      </c>
    </row>
    <row r="1631" spans="1:10" ht="16.8" x14ac:dyDescent="0.3">
      <c r="A1631" s="14" t="s">
        <v>5291</v>
      </c>
      <c r="B1631" s="14" t="s">
        <v>1105</v>
      </c>
      <c r="C1631" s="14" t="s">
        <v>3371</v>
      </c>
      <c r="D1631" s="14">
        <v>542034.56000000006</v>
      </c>
      <c r="E1631" s="14">
        <v>29514.53</v>
      </c>
      <c r="F1631" s="15">
        <v>44244</v>
      </c>
      <c r="G1631" s="15">
        <v>45622</v>
      </c>
      <c r="H1631" s="14" t="s">
        <v>4003</v>
      </c>
      <c r="I1631" s="14" t="s">
        <v>3365</v>
      </c>
      <c r="J1631" s="13" t="str" cm="1">
        <f t="array" ref="J1631">_xlfn.IFS(
  OR(ISBLANK(A1631),ISBLANK(B1631),ISBLANK(H1631),ISBLANK(D1631),ISBLANK(E1631)),"Missing Value",
  D1631&lt;=0,"Review – Out of Range (Coverage)",
  E1631&lt;=0,"Review – Out of Range (Premium)",
  TRUE,"OK"
)</f>
        <v>OK</v>
      </c>
    </row>
    <row r="1632" spans="1:10" ht="16.8" x14ac:dyDescent="0.3">
      <c r="A1632" s="11" t="s">
        <v>5292</v>
      </c>
      <c r="B1632" s="11" t="s">
        <v>2979</v>
      </c>
      <c r="C1632" s="11" t="s">
        <v>3377</v>
      </c>
      <c r="D1632" s="11">
        <v>682336.5</v>
      </c>
      <c r="E1632" s="11">
        <v>4344.3</v>
      </c>
      <c r="F1632" s="12">
        <v>45048</v>
      </c>
      <c r="G1632" s="12">
        <v>45607</v>
      </c>
      <c r="H1632" s="11" t="s">
        <v>4887</v>
      </c>
      <c r="I1632" s="11" t="s">
        <v>3365</v>
      </c>
      <c r="J1632" s="13" t="str" cm="1">
        <f t="array" ref="J1632">_xlfn.IFS(
  OR(ISBLANK(A1632),ISBLANK(B1632),ISBLANK(H1632),ISBLANK(D1632),ISBLANK(E1632)),"Missing Value",
  D1632&lt;=0,"Review – Out of Range (Coverage)",
  E1632&lt;=0,"Review – Out of Range (Premium)",
  TRUE,"OK"
)</f>
        <v>OK</v>
      </c>
    </row>
    <row r="1633" spans="1:10" ht="16.8" x14ac:dyDescent="0.3">
      <c r="A1633" s="14" t="s">
        <v>5293</v>
      </c>
      <c r="B1633" s="14" t="s">
        <v>1555</v>
      </c>
      <c r="C1633" s="14" t="s">
        <v>3380</v>
      </c>
      <c r="D1633" s="14">
        <v>896513</v>
      </c>
      <c r="E1633" s="14">
        <v>9604.6</v>
      </c>
      <c r="F1633" s="15">
        <v>44841</v>
      </c>
      <c r="G1633" s="15">
        <v>45186</v>
      </c>
      <c r="H1633" s="14" t="s">
        <v>3429</v>
      </c>
      <c r="I1633" s="14" t="s">
        <v>3373</v>
      </c>
      <c r="J1633" s="13" t="str" cm="1">
        <f t="array" ref="J1633">_xlfn.IFS(
  OR(ISBLANK(A1633),ISBLANK(B1633),ISBLANK(H1633),ISBLANK(D1633),ISBLANK(E1633)),"Missing Value",
  D1633&lt;=0,"Review – Out of Range (Coverage)",
  E1633&lt;=0,"Review – Out of Range (Premium)",
  TRUE,"OK"
)</f>
        <v>OK</v>
      </c>
    </row>
    <row r="1634" spans="1:10" ht="16.8" x14ac:dyDescent="0.3">
      <c r="A1634" s="11" t="s">
        <v>5294</v>
      </c>
      <c r="B1634" s="11" t="s">
        <v>1155</v>
      </c>
      <c r="C1634" s="11" t="s">
        <v>3359</v>
      </c>
      <c r="D1634" s="11">
        <v>670705.37</v>
      </c>
      <c r="E1634" s="11">
        <v>41740.39</v>
      </c>
      <c r="F1634" s="12">
        <v>45308</v>
      </c>
      <c r="G1634" s="12">
        <v>45425</v>
      </c>
      <c r="H1634" s="11" t="s">
        <v>3459</v>
      </c>
      <c r="I1634" s="11" t="s">
        <v>3365</v>
      </c>
      <c r="J1634" s="13" t="str" cm="1">
        <f t="array" ref="J1634">_xlfn.IFS(
  OR(ISBLANK(A1634),ISBLANK(B1634),ISBLANK(H1634),ISBLANK(D1634),ISBLANK(E1634)),"Missing Value",
  D1634&lt;=0,"Review – Out of Range (Coverage)",
  E1634&lt;=0,"Review – Out of Range (Premium)",
  TRUE,"OK"
)</f>
        <v>OK</v>
      </c>
    </row>
    <row r="1635" spans="1:10" ht="16.8" x14ac:dyDescent="0.3">
      <c r="A1635" s="14" t="s">
        <v>5295</v>
      </c>
      <c r="B1635" s="14" t="s">
        <v>2367</v>
      </c>
      <c r="C1635" s="14" t="s">
        <v>3359</v>
      </c>
      <c r="D1635" s="14">
        <v>811201.38</v>
      </c>
      <c r="E1635" s="14">
        <v>23723.200000000001</v>
      </c>
      <c r="F1635" s="15">
        <v>45160</v>
      </c>
      <c r="G1635" s="15">
        <v>45789</v>
      </c>
      <c r="H1635" s="14" t="s">
        <v>3456</v>
      </c>
      <c r="I1635" s="14" t="s">
        <v>3365</v>
      </c>
      <c r="J1635" s="13" t="str" cm="1">
        <f t="array" ref="J1635">_xlfn.IFS(
  OR(ISBLANK(A1635),ISBLANK(B1635),ISBLANK(H1635),ISBLANK(D1635),ISBLANK(E1635)),"Missing Value",
  D1635&lt;=0,"Review – Out of Range (Coverage)",
  E1635&lt;=0,"Review – Out of Range (Premium)",
  TRUE,"OK"
)</f>
        <v>OK</v>
      </c>
    </row>
    <row r="1636" spans="1:10" ht="16.8" x14ac:dyDescent="0.3">
      <c r="A1636" s="11" t="s">
        <v>5296</v>
      </c>
      <c r="B1636" s="11" t="s">
        <v>2501</v>
      </c>
      <c r="C1636" s="11" t="s">
        <v>3371</v>
      </c>
      <c r="D1636" s="11">
        <v>635460.18999999994</v>
      </c>
      <c r="E1636" s="11">
        <v>38881.06</v>
      </c>
      <c r="F1636" s="12">
        <v>45431</v>
      </c>
      <c r="G1636" s="12">
        <v>45769</v>
      </c>
      <c r="H1636" s="11" t="s">
        <v>3577</v>
      </c>
      <c r="I1636" s="11" t="s">
        <v>3373</v>
      </c>
      <c r="J1636" s="13" t="str" cm="1">
        <f t="array" ref="J1636">_xlfn.IFS(
  OR(ISBLANK(A1636),ISBLANK(B1636),ISBLANK(H1636),ISBLANK(D1636),ISBLANK(E1636)),"Missing Value",
  D1636&lt;=0,"Review – Out of Range (Coverage)",
  E1636&lt;=0,"Review – Out of Range (Premium)",
  TRUE,"OK"
)</f>
        <v>OK</v>
      </c>
    </row>
    <row r="1637" spans="1:10" ht="16.8" x14ac:dyDescent="0.3">
      <c r="A1637" s="14" t="s">
        <v>5297</v>
      </c>
      <c r="B1637" s="14" t="s">
        <v>1395</v>
      </c>
      <c r="C1637" s="14" t="s">
        <v>3371</v>
      </c>
      <c r="D1637" s="14">
        <v>725650.36</v>
      </c>
      <c r="E1637" s="14">
        <v>47141.279999999999</v>
      </c>
      <c r="F1637" s="15">
        <v>45445</v>
      </c>
      <c r="G1637" s="15">
        <v>45830</v>
      </c>
      <c r="H1637" s="14" t="s">
        <v>4158</v>
      </c>
      <c r="I1637" s="14" t="s">
        <v>3373</v>
      </c>
      <c r="J1637" s="13" t="str" cm="1">
        <f t="array" ref="J1637">_xlfn.IFS(
  OR(ISBLANK(A1637),ISBLANK(B1637),ISBLANK(H1637),ISBLANK(D1637),ISBLANK(E1637)),"Missing Value",
  D1637&lt;=0,"Review – Out of Range (Coverage)",
  E1637&lt;=0,"Review – Out of Range (Premium)",
  TRUE,"OK"
)</f>
        <v>OK</v>
      </c>
    </row>
    <row r="1638" spans="1:10" ht="16.8" x14ac:dyDescent="0.3">
      <c r="A1638" s="11" t="s">
        <v>5298</v>
      </c>
      <c r="B1638" s="11" t="s">
        <v>84</v>
      </c>
      <c r="C1638" s="11" t="s">
        <v>3371</v>
      </c>
      <c r="D1638" s="11">
        <v>794834.4</v>
      </c>
      <c r="E1638" s="11">
        <v>19789.169999999998</v>
      </c>
      <c r="F1638" s="12">
        <v>44795</v>
      </c>
      <c r="G1638" s="12">
        <v>44971</v>
      </c>
      <c r="H1638" s="11" t="s">
        <v>3372</v>
      </c>
      <c r="I1638" s="11" t="s">
        <v>3365</v>
      </c>
      <c r="J1638" s="13" t="str" cm="1">
        <f t="array" ref="J1638">_xlfn.IFS(
  OR(ISBLANK(A1638),ISBLANK(B1638),ISBLANK(H1638),ISBLANK(D1638),ISBLANK(E1638)),"Missing Value",
  D1638&lt;=0,"Review – Out of Range (Coverage)",
  E1638&lt;=0,"Review – Out of Range (Premium)",
  TRUE,"OK"
)</f>
        <v>OK</v>
      </c>
    </row>
    <row r="1639" spans="1:10" ht="16.8" x14ac:dyDescent="0.3">
      <c r="A1639" s="14" t="s">
        <v>5299</v>
      </c>
      <c r="B1639" s="14" t="s">
        <v>2659</v>
      </c>
      <c r="C1639" s="14" t="s">
        <v>3380</v>
      </c>
      <c r="D1639" s="14">
        <v>542067.81000000006</v>
      </c>
      <c r="E1639" s="14">
        <v>23194.09</v>
      </c>
      <c r="F1639" s="15">
        <v>45134</v>
      </c>
      <c r="G1639" s="15">
        <v>45446</v>
      </c>
      <c r="H1639" s="14" t="s">
        <v>3798</v>
      </c>
      <c r="I1639" s="14" t="s">
        <v>3365</v>
      </c>
      <c r="J1639" s="13" t="str" cm="1">
        <f t="array" ref="J1639">_xlfn.IFS(
  OR(ISBLANK(A1639),ISBLANK(B1639),ISBLANK(H1639),ISBLANK(D1639),ISBLANK(E1639)),"Missing Value",
  D1639&lt;=0,"Review – Out of Range (Coverage)",
  E1639&lt;=0,"Review – Out of Range (Premium)",
  TRUE,"OK"
)</f>
        <v>OK</v>
      </c>
    </row>
    <row r="1640" spans="1:10" ht="16.8" x14ac:dyDescent="0.3">
      <c r="A1640" s="11" t="s">
        <v>5300</v>
      </c>
      <c r="B1640" s="11" t="s">
        <v>853</v>
      </c>
      <c r="C1640" s="11" t="s">
        <v>3380</v>
      </c>
      <c r="D1640" s="11">
        <v>825237.06</v>
      </c>
      <c r="E1640" s="11">
        <v>39537.94</v>
      </c>
      <c r="F1640" s="12">
        <v>44829</v>
      </c>
      <c r="G1640" s="12">
        <v>45769</v>
      </c>
      <c r="H1640" s="11" t="s">
        <v>4064</v>
      </c>
      <c r="I1640" s="11" t="s">
        <v>3361</v>
      </c>
      <c r="J1640" s="13" t="str" cm="1">
        <f t="array" ref="J1640">_xlfn.IFS(
  OR(ISBLANK(A1640),ISBLANK(B1640),ISBLANK(H1640),ISBLANK(D1640),ISBLANK(E1640)),"Missing Value",
  D1640&lt;=0,"Review – Out of Range (Coverage)",
  E1640&lt;=0,"Review – Out of Range (Premium)",
  TRUE,"OK"
)</f>
        <v>OK</v>
      </c>
    </row>
    <row r="1641" spans="1:10" ht="16.8" x14ac:dyDescent="0.3">
      <c r="A1641" s="14" t="s">
        <v>5301</v>
      </c>
      <c r="B1641" s="14" t="s">
        <v>2057</v>
      </c>
      <c r="C1641" s="14" t="s">
        <v>3359</v>
      </c>
      <c r="D1641" s="14">
        <v>378560.03</v>
      </c>
      <c r="E1641" s="14">
        <v>37091.769999999997</v>
      </c>
      <c r="F1641" s="15">
        <v>44837</v>
      </c>
      <c r="G1641" s="15">
        <v>45339</v>
      </c>
      <c r="H1641" s="14" t="s">
        <v>3968</v>
      </c>
      <c r="I1641" s="14" t="s">
        <v>3373</v>
      </c>
      <c r="J1641" s="13" t="str" cm="1">
        <f t="array" ref="J1641">_xlfn.IFS(
  OR(ISBLANK(A1641),ISBLANK(B1641),ISBLANK(H1641),ISBLANK(D1641),ISBLANK(E1641)),"Missing Value",
  D1641&lt;=0,"Review – Out of Range (Coverage)",
  E1641&lt;=0,"Review – Out of Range (Premium)",
  TRUE,"OK"
)</f>
        <v>OK</v>
      </c>
    </row>
    <row r="1642" spans="1:10" ht="16.8" x14ac:dyDescent="0.3">
      <c r="A1642" s="11" t="s">
        <v>5302</v>
      </c>
      <c r="B1642" s="11" t="s">
        <v>789</v>
      </c>
      <c r="C1642" s="11" t="s">
        <v>3380</v>
      </c>
      <c r="D1642" s="11">
        <v>533414.56000000006</v>
      </c>
      <c r="E1642" s="11">
        <v>34228.29</v>
      </c>
      <c r="F1642" s="12">
        <v>44616</v>
      </c>
      <c r="G1642" s="12">
        <v>45318</v>
      </c>
      <c r="H1642" s="11" t="s">
        <v>3861</v>
      </c>
      <c r="I1642" s="11" t="s">
        <v>3373</v>
      </c>
      <c r="J1642" s="13" t="str" cm="1">
        <f t="array" ref="J1642">_xlfn.IFS(
  OR(ISBLANK(A1642),ISBLANK(B1642),ISBLANK(H1642),ISBLANK(D1642),ISBLANK(E1642)),"Missing Value",
  D1642&lt;=0,"Review – Out of Range (Coverage)",
  E1642&lt;=0,"Review – Out of Range (Premium)",
  TRUE,"OK"
)</f>
        <v>OK</v>
      </c>
    </row>
    <row r="1643" spans="1:10" ht="16.8" x14ac:dyDescent="0.3">
      <c r="A1643" s="14" t="s">
        <v>5303</v>
      </c>
      <c r="B1643" s="14" t="s">
        <v>2191</v>
      </c>
      <c r="C1643" s="14" t="s">
        <v>3371</v>
      </c>
      <c r="D1643" s="14">
        <v>456626.33</v>
      </c>
      <c r="E1643" s="14">
        <v>16735.14</v>
      </c>
      <c r="F1643" s="15">
        <v>44964</v>
      </c>
      <c r="G1643" s="15">
        <v>45094</v>
      </c>
      <c r="H1643" s="14" t="s">
        <v>3391</v>
      </c>
      <c r="I1643" s="14" t="s">
        <v>3361</v>
      </c>
      <c r="J1643" s="13" t="str" cm="1">
        <f t="array" ref="J1643">_xlfn.IFS(
  OR(ISBLANK(A1643),ISBLANK(B1643),ISBLANK(H1643),ISBLANK(D1643),ISBLANK(E1643)),"Missing Value",
  D1643&lt;=0,"Review – Out of Range (Coverage)",
  E1643&lt;=0,"Review – Out of Range (Premium)",
  TRUE,"OK"
)</f>
        <v>OK</v>
      </c>
    </row>
    <row r="1644" spans="1:10" ht="16.8" x14ac:dyDescent="0.3">
      <c r="A1644" s="11" t="s">
        <v>5304</v>
      </c>
      <c r="B1644" s="11" t="s">
        <v>1939</v>
      </c>
      <c r="C1644" s="11" t="s">
        <v>3359</v>
      </c>
      <c r="D1644" s="11">
        <v>445942.01</v>
      </c>
      <c r="E1644" s="11">
        <v>26657.89</v>
      </c>
      <c r="F1644" s="12">
        <v>44414</v>
      </c>
      <c r="G1644" s="12">
        <v>44755</v>
      </c>
      <c r="H1644" s="11" t="s">
        <v>3389</v>
      </c>
      <c r="I1644" s="11" t="s">
        <v>3365</v>
      </c>
      <c r="J1644" s="13" t="str" cm="1">
        <f t="array" ref="J1644">_xlfn.IFS(
  OR(ISBLANK(A1644),ISBLANK(B1644),ISBLANK(H1644),ISBLANK(D1644),ISBLANK(E1644)),"Missing Value",
  D1644&lt;=0,"Review – Out of Range (Coverage)",
  E1644&lt;=0,"Review – Out of Range (Premium)",
  TRUE,"OK"
)</f>
        <v>OK</v>
      </c>
    </row>
    <row r="1645" spans="1:10" ht="16.8" x14ac:dyDescent="0.3">
      <c r="A1645" s="14" t="s">
        <v>5305</v>
      </c>
      <c r="B1645" s="14" t="s">
        <v>583</v>
      </c>
      <c r="C1645" s="14" t="s">
        <v>3363</v>
      </c>
      <c r="D1645" s="14">
        <v>256745.36</v>
      </c>
      <c r="E1645" s="14">
        <v>33758.42</v>
      </c>
      <c r="F1645" s="15">
        <v>45205</v>
      </c>
      <c r="G1645" s="15">
        <v>45545</v>
      </c>
      <c r="H1645" s="14" t="s">
        <v>3415</v>
      </c>
      <c r="I1645" s="14" t="s">
        <v>3365</v>
      </c>
      <c r="J1645" s="13" t="str" cm="1">
        <f t="array" ref="J1645">_xlfn.IFS(
  OR(ISBLANK(A1645),ISBLANK(B1645),ISBLANK(H1645),ISBLANK(D1645),ISBLANK(E1645)),"Missing Value",
  D1645&lt;=0,"Review – Out of Range (Coverage)",
  E1645&lt;=0,"Review – Out of Range (Premium)",
  TRUE,"OK"
)</f>
        <v>OK</v>
      </c>
    </row>
    <row r="1646" spans="1:10" ht="16.8" x14ac:dyDescent="0.3">
      <c r="A1646" s="11" t="s">
        <v>5306</v>
      </c>
      <c r="B1646" s="11" t="s">
        <v>2775</v>
      </c>
      <c r="C1646" s="11" t="s">
        <v>3380</v>
      </c>
      <c r="D1646" s="11">
        <v>164752.54</v>
      </c>
      <c r="E1646" s="11">
        <v>49994.21</v>
      </c>
      <c r="F1646" s="12">
        <v>44705</v>
      </c>
      <c r="G1646" s="12">
        <v>45105</v>
      </c>
      <c r="H1646" s="11" t="s">
        <v>3636</v>
      </c>
      <c r="I1646" s="11" t="s">
        <v>3373</v>
      </c>
      <c r="J1646" s="13" t="str" cm="1">
        <f t="array" ref="J1646">_xlfn.IFS(
  OR(ISBLANK(A1646),ISBLANK(B1646),ISBLANK(H1646),ISBLANK(D1646),ISBLANK(E1646)),"Missing Value",
  D1646&lt;=0,"Review – Out of Range (Coverage)",
  E1646&lt;=0,"Review – Out of Range (Premium)",
  TRUE,"OK"
)</f>
        <v>OK</v>
      </c>
    </row>
    <row r="1647" spans="1:10" ht="16.8" x14ac:dyDescent="0.3">
      <c r="A1647" s="14" t="s">
        <v>5307</v>
      </c>
      <c r="B1647" s="14" t="s">
        <v>3284</v>
      </c>
      <c r="C1647" s="14" t="s">
        <v>3377</v>
      </c>
      <c r="D1647" s="14">
        <v>102689.13</v>
      </c>
      <c r="E1647" s="14">
        <v>45881.09</v>
      </c>
      <c r="F1647" s="15">
        <v>44283</v>
      </c>
      <c r="G1647" s="15">
        <v>44982</v>
      </c>
      <c r="H1647" s="14" t="s">
        <v>4090</v>
      </c>
      <c r="I1647" s="14" t="s">
        <v>3361</v>
      </c>
      <c r="J1647" s="13" t="str" cm="1">
        <f t="array" ref="J1647">_xlfn.IFS(
  OR(ISBLANK(A1647),ISBLANK(B1647),ISBLANK(H1647),ISBLANK(D1647),ISBLANK(E1647)),"Missing Value",
  D1647&lt;=0,"Review – Out of Range (Coverage)",
  E1647&lt;=0,"Review – Out of Range (Premium)",
  TRUE,"OK"
)</f>
        <v>OK</v>
      </c>
    </row>
    <row r="1648" spans="1:10" ht="16.8" x14ac:dyDescent="0.3">
      <c r="A1648" s="11" t="s">
        <v>5308</v>
      </c>
      <c r="B1648" s="11" t="s">
        <v>3190</v>
      </c>
      <c r="C1648" s="11" t="s">
        <v>3380</v>
      </c>
      <c r="D1648" s="11">
        <v>648109.73</v>
      </c>
      <c r="E1648" s="11">
        <v>49043.31</v>
      </c>
      <c r="F1648" s="12">
        <v>44620</v>
      </c>
      <c r="G1648" s="12">
        <v>44771</v>
      </c>
      <c r="H1648" s="11" t="s">
        <v>3387</v>
      </c>
      <c r="I1648" s="11" t="s">
        <v>3361</v>
      </c>
      <c r="J1648" s="13" t="str" cm="1">
        <f t="array" ref="J1648">_xlfn.IFS(
  OR(ISBLANK(A1648),ISBLANK(B1648),ISBLANK(H1648),ISBLANK(D1648),ISBLANK(E1648)),"Missing Value",
  D1648&lt;=0,"Review – Out of Range (Coverage)",
  E1648&lt;=0,"Review – Out of Range (Premium)",
  TRUE,"OK"
)</f>
        <v>OK</v>
      </c>
    </row>
    <row r="1649" spans="1:10" ht="16.8" x14ac:dyDescent="0.3">
      <c r="A1649" s="14" t="s">
        <v>5309</v>
      </c>
      <c r="B1649" s="14" t="s">
        <v>3038</v>
      </c>
      <c r="C1649" s="14" t="s">
        <v>3371</v>
      </c>
      <c r="D1649" s="14">
        <v>606027.32999999996</v>
      </c>
      <c r="E1649" s="14">
        <v>49534.89</v>
      </c>
      <c r="F1649" s="15">
        <v>44560</v>
      </c>
      <c r="G1649" s="15">
        <v>44953</v>
      </c>
      <c r="H1649" s="14" t="s">
        <v>4374</v>
      </c>
      <c r="I1649" s="14" t="s">
        <v>3373</v>
      </c>
      <c r="J1649" s="13" t="str" cm="1">
        <f t="array" ref="J1649">_xlfn.IFS(
  OR(ISBLANK(A1649),ISBLANK(B1649),ISBLANK(H1649),ISBLANK(D1649),ISBLANK(E1649)),"Missing Value",
  D1649&lt;=0,"Review – Out of Range (Coverage)",
  E1649&lt;=0,"Review – Out of Range (Premium)",
  TRUE,"OK"
)</f>
        <v>OK</v>
      </c>
    </row>
    <row r="1650" spans="1:10" ht="16.8" x14ac:dyDescent="0.3">
      <c r="A1650" s="11" t="s">
        <v>5310</v>
      </c>
      <c r="B1650" s="11" t="s">
        <v>899</v>
      </c>
      <c r="C1650" s="11" t="s">
        <v>3359</v>
      </c>
      <c r="D1650" s="11">
        <v>814094.04</v>
      </c>
      <c r="E1650" s="11">
        <v>38411.99</v>
      </c>
      <c r="F1650" s="12">
        <v>44786</v>
      </c>
      <c r="G1650" s="12">
        <v>44905</v>
      </c>
      <c r="H1650" s="11" t="s">
        <v>4064</v>
      </c>
      <c r="I1650" s="11" t="s">
        <v>3361</v>
      </c>
      <c r="J1650" s="13" t="str" cm="1">
        <f t="array" ref="J1650">_xlfn.IFS(
  OR(ISBLANK(A1650),ISBLANK(B1650),ISBLANK(H1650),ISBLANK(D1650),ISBLANK(E1650)),"Missing Value",
  D1650&lt;=0,"Review – Out of Range (Coverage)",
  E1650&lt;=0,"Review – Out of Range (Premium)",
  TRUE,"OK"
)</f>
        <v>OK</v>
      </c>
    </row>
    <row r="1651" spans="1:10" ht="16.8" x14ac:dyDescent="0.3">
      <c r="A1651" s="14" t="s">
        <v>5311</v>
      </c>
      <c r="B1651" s="14" t="s">
        <v>2259</v>
      </c>
      <c r="C1651" s="14" t="s">
        <v>3359</v>
      </c>
      <c r="D1651" s="14">
        <v>742626.42</v>
      </c>
      <c r="E1651" s="14">
        <v>16148.38</v>
      </c>
      <c r="F1651" s="15">
        <v>45171</v>
      </c>
      <c r="G1651" s="15">
        <v>45346</v>
      </c>
      <c r="H1651" s="14" t="s">
        <v>3484</v>
      </c>
      <c r="I1651" s="14" t="s">
        <v>3365</v>
      </c>
      <c r="J1651" s="13" t="str" cm="1">
        <f t="array" ref="J1651">_xlfn.IFS(
  OR(ISBLANK(A1651),ISBLANK(B1651),ISBLANK(H1651),ISBLANK(D1651),ISBLANK(E1651)),"Missing Value",
  D1651&lt;=0,"Review – Out of Range (Coverage)",
  E1651&lt;=0,"Review – Out of Range (Premium)",
  TRUE,"OK"
)</f>
        <v>OK</v>
      </c>
    </row>
    <row r="1652" spans="1:10" ht="16.8" x14ac:dyDescent="0.3">
      <c r="A1652" s="11" t="s">
        <v>5312</v>
      </c>
      <c r="B1652" s="11" t="s">
        <v>3094</v>
      </c>
      <c r="C1652" s="11" t="s">
        <v>3359</v>
      </c>
      <c r="D1652" s="11">
        <v>749917.46</v>
      </c>
      <c r="E1652" s="11">
        <v>28815.53</v>
      </c>
      <c r="F1652" s="12">
        <v>44153</v>
      </c>
      <c r="G1652" s="12">
        <v>44904</v>
      </c>
      <c r="H1652" s="11" t="s">
        <v>3746</v>
      </c>
      <c r="I1652" s="11" t="s">
        <v>3373</v>
      </c>
      <c r="J1652" s="13" t="str" cm="1">
        <f t="array" ref="J1652">_xlfn.IFS(
  OR(ISBLANK(A1652),ISBLANK(B1652),ISBLANK(H1652),ISBLANK(D1652),ISBLANK(E1652)),"Missing Value",
  D1652&lt;=0,"Review – Out of Range (Coverage)",
  E1652&lt;=0,"Review – Out of Range (Premium)",
  TRUE,"OK"
)</f>
        <v>OK</v>
      </c>
    </row>
    <row r="1653" spans="1:10" ht="16.8" x14ac:dyDescent="0.3">
      <c r="A1653" s="14" t="s">
        <v>5313</v>
      </c>
      <c r="B1653" s="14" t="s">
        <v>625</v>
      </c>
      <c r="C1653" s="14" t="s">
        <v>3359</v>
      </c>
      <c r="D1653" s="14">
        <v>438846.71999999997</v>
      </c>
      <c r="E1653" s="14">
        <v>11380.07</v>
      </c>
      <c r="F1653" s="15">
        <v>44831</v>
      </c>
      <c r="G1653" s="15">
        <v>45561</v>
      </c>
      <c r="H1653" s="14" t="s">
        <v>3982</v>
      </c>
      <c r="I1653" s="14" t="s">
        <v>3361</v>
      </c>
      <c r="J1653" s="13" t="str" cm="1">
        <f t="array" ref="J1653">_xlfn.IFS(
  OR(ISBLANK(A1653),ISBLANK(B1653),ISBLANK(H1653),ISBLANK(D1653),ISBLANK(E1653)),"Missing Value",
  D1653&lt;=0,"Review – Out of Range (Coverage)",
  E1653&lt;=0,"Review – Out of Range (Premium)",
  TRUE,"OK"
)</f>
        <v>OK</v>
      </c>
    </row>
    <row r="1654" spans="1:10" ht="16.8" x14ac:dyDescent="0.3">
      <c r="A1654" s="11" t="s">
        <v>5314</v>
      </c>
      <c r="B1654" s="11" t="s">
        <v>2637</v>
      </c>
      <c r="C1654" s="11" t="s">
        <v>3359</v>
      </c>
      <c r="D1654" s="11">
        <v>314710</v>
      </c>
      <c r="E1654" s="11">
        <v>16826.919999999998</v>
      </c>
      <c r="F1654" s="12">
        <v>45076</v>
      </c>
      <c r="G1654" s="12">
        <v>45630</v>
      </c>
      <c r="H1654" s="11" t="s">
        <v>3473</v>
      </c>
      <c r="I1654" s="11" t="s">
        <v>3365</v>
      </c>
      <c r="J1654" s="13" t="str" cm="1">
        <f t="array" ref="J1654">_xlfn.IFS(
  OR(ISBLANK(A1654),ISBLANK(B1654),ISBLANK(H1654),ISBLANK(D1654),ISBLANK(E1654)),"Missing Value",
  D1654&lt;=0,"Review – Out of Range (Coverage)",
  E1654&lt;=0,"Review – Out of Range (Premium)",
  TRUE,"OK"
)</f>
        <v>OK</v>
      </c>
    </row>
    <row r="1655" spans="1:10" ht="16.8" x14ac:dyDescent="0.3">
      <c r="A1655" s="14" t="s">
        <v>5315</v>
      </c>
      <c r="B1655" s="14" t="s">
        <v>2267</v>
      </c>
      <c r="C1655" s="14" t="s">
        <v>3380</v>
      </c>
      <c r="D1655" s="14">
        <v>256359.58</v>
      </c>
      <c r="E1655" s="14">
        <v>36739.72</v>
      </c>
      <c r="F1655" s="15">
        <v>45339</v>
      </c>
      <c r="G1655" s="15">
        <v>45377</v>
      </c>
      <c r="H1655" s="14" t="s">
        <v>3624</v>
      </c>
      <c r="I1655" s="14" t="s">
        <v>3361</v>
      </c>
      <c r="J1655" s="13" t="str" cm="1">
        <f t="array" ref="J1655">_xlfn.IFS(
  OR(ISBLANK(A1655),ISBLANK(B1655),ISBLANK(H1655),ISBLANK(D1655),ISBLANK(E1655)),"Missing Value",
  D1655&lt;=0,"Review – Out of Range (Coverage)",
  E1655&lt;=0,"Review – Out of Range (Premium)",
  TRUE,"OK"
)</f>
        <v>OK</v>
      </c>
    </row>
    <row r="1656" spans="1:10" ht="16.8" x14ac:dyDescent="0.3">
      <c r="A1656" s="11" t="s">
        <v>5316</v>
      </c>
      <c r="B1656" s="11" t="s">
        <v>793</v>
      </c>
      <c r="C1656" s="11" t="s">
        <v>3380</v>
      </c>
      <c r="D1656" s="11">
        <v>366623.78</v>
      </c>
      <c r="E1656" s="11">
        <v>24439.040000000001</v>
      </c>
      <c r="F1656" s="12">
        <v>44824</v>
      </c>
      <c r="G1656" s="12">
        <v>44946</v>
      </c>
      <c r="H1656" s="11" t="s">
        <v>3813</v>
      </c>
      <c r="I1656" s="11" t="s">
        <v>3373</v>
      </c>
      <c r="J1656" s="13" t="str" cm="1">
        <f t="array" ref="J1656">_xlfn.IFS(
  OR(ISBLANK(A1656),ISBLANK(B1656),ISBLANK(H1656),ISBLANK(D1656),ISBLANK(E1656)),"Missing Value",
  D1656&lt;=0,"Review – Out of Range (Coverage)",
  E1656&lt;=0,"Review – Out of Range (Premium)",
  TRUE,"OK"
)</f>
        <v>OK</v>
      </c>
    </row>
    <row r="1657" spans="1:10" ht="16.8" x14ac:dyDescent="0.3">
      <c r="A1657" s="14" t="s">
        <v>5317</v>
      </c>
      <c r="B1657" s="14" t="s">
        <v>2701</v>
      </c>
      <c r="C1657" s="14" t="s">
        <v>3380</v>
      </c>
      <c r="D1657" s="14">
        <v>892705.2</v>
      </c>
      <c r="E1657" s="14">
        <v>33456.120000000003</v>
      </c>
      <c r="F1657" s="15">
        <v>45293</v>
      </c>
      <c r="G1657" s="15">
        <v>45794</v>
      </c>
      <c r="H1657" s="14" t="s">
        <v>3886</v>
      </c>
      <c r="I1657" s="14" t="s">
        <v>3361</v>
      </c>
      <c r="J1657" s="13" t="str" cm="1">
        <f t="array" ref="J1657">_xlfn.IFS(
  OR(ISBLANK(A1657),ISBLANK(B1657),ISBLANK(H1657),ISBLANK(D1657),ISBLANK(E1657)),"Missing Value",
  D1657&lt;=0,"Review – Out of Range (Coverage)",
  E1657&lt;=0,"Review – Out of Range (Premium)",
  TRUE,"OK"
)</f>
        <v>OK</v>
      </c>
    </row>
    <row r="1658" spans="1:10" ht="16.8" x14ac:dyDescent="0.3">
      <c r="A1658" s="11" t="s">
        <v>5318</v>
      </c>
      <c r="B1658" s="11" t="s">
        <v>981</v>
      </c>
      <c r="C1658" s="11" t="s">
        <v>3363</v>
      </c>
      <c r="D1658" s="11">
        <v>425092.45</v>
      </c>
      <c r="E1658" s="11">
        <v>16452.919999999998</v>
      </c>
      <c r="F1658" s="12">
        <v>44148</v>
      </c>
      <c r="G1658" s="12">
        <v>45034</v>
      </c>
      <c r="H1658" s="11" t="s">
        <v>4116</v>
      </c>
      <c r="I1658" s="11" t="s">
        <v>3373</v>
      </c>
      <c r="J1658" s="13" t="str" cm="1">
        <f t="array" ref="J1658">_xlfn.IFS(
  OR(ISBLANK(A1658),ISBLANK(B1658),ISBLANK(H1658),ISBLANK(D1658),ISBLANK(E1658)),"Missing Value",
  D1658&lt;=0,"Review – Out of Range (Coverage)",
  E1658&lt;=0,"Review – Out of Range (Premium)",
  TRUE,"OK"
)</f>
        <v>OK</v>
      </c>
    </row>
    <row r="1659" spans="1:10" ht="16.8" x14ac:dyDescent="0.3">
      <c r="A1659" s="14" t="s">
        <v>5319</v>
      </c>
      <c r="B1659" s="14" t="s">
        <v>2819</v>
      </c>
      <c r="C1659" s="14" t="s">
        <v>3363</v>
      </c>
      <c r="D1659" s="14">
        <v>457607.04</v>
      </c>
      <c r="E1659" s="14">
        <v>37716.32</v>
      </c>
      <c r="F1659" s="15">
        <v>44280</v>
      </c>
      <c r="G1659" s="15">
        <v>45465</v>
      </c>
      <c r="H1659" s="14" t="s">
        <v>4671</v>
      </c>
      <c r="I1659" s="14" t="s">
        <v>3365</v>
      </c>
      <c r="J1659" s="13" t="str" cm="1">
        <f t="array" ref="J1659">_xlfn.IFS(
  OR(ISBLANK(A1659),ISBLANK(B1659),ISBLANK(H1659),ISBLANK(D1659),ISBLANK(E1659)),"Missing Value",
  D1659&lt;=0,"Review – Out of Range (Coverage)",
  E1659&lt;=0,"Review – Out of Range (Premium)",
  TRUE,"OK"
)</f>
        <v>OK</v>
      </c>
    </row>
    <row r="1660" spans="1:10" ht="16.8" x14ac:dyDescent="0.3">
      <c r="A1660" s="11" t="s">
        <v>5320</v>
      </c>
      <c r="B1660" s="11" t="s">
        <v>2045</v>
      </c>
      <c r="C1660" s="11" t="s">
        <v>3371</v>
      </c>
      <c r="D1660" s="11">
        <v>769861.76</v>
      </c>
      <c r="E1660" s="11">
        <v>22392.560000000001</v>
      </c>
      <c r="F1660" s="12">
        <v>44590</v>
      </c>
      <c r="G1660" s="12">
        <v>45036</v>
      </c>
      <c r="H1660" s="11" t="s">
        <v>4098</v>
      </c>
      <c r="I1660" s="11" t="s">
        <v>3373</v>
      </c>
      <c r="J1660" s="13" t="str" cm="1">
        <f t="array" ref="J1660">_xlfn.IFS(
  OR(ISBLANK(A1660),ISBLANK(B1660),ISBLANK(H1660),ISBLANK(D1660),ISBLANK(E1660)),"Missing Value",
  D1660&lt;=0,"Review – Out of Range (Coverage)",
  E1660&lt;=0,"Review – Out of Range (Premium)",
  TRUE,"OK"
)</f>
        <v>OK</v>
      </c>
    </row>
    <row r="1661" spans="1:10" ht="16.8" x14ac:dyDescent="0.3">
      <c r="A1661" s="14" t="s">
        <v>5321</v>
      </c>
      <c r="B1661" s="14" t="s">
        <v>2941</v>
      </c>
      <c r="C1661" s="14" t="s">
        <v>3377</v>
      </c>
      <c r="D1661" s="14">
        <v>742867</v>
      </c>
      <c r="E1661" s="14">
        <v>30204.97</v>
      </c>
      <c r="F1661" s="15">
        <v>44768</v>
      </c>
      <c r="G1661" s="15">
        <v>45038</v>
      </c>
      <c r="H1661" s="14" t="s">
        <v>3622</v>
      </c>
      <c r="I1661" s="14" t="s">
        <v>3373</v>
      </c>
      <c r="J1661" s="13" t="str" cm="1">
        <f t="array" ref="J1661">_xlfn.IFS(
  OR(ISBLANK(A1661),ISBLANK(B1661),ISBLANK(H1661),ISBLANK(D1661),ISBLANK(E1661)),"Missing Value",
  D1661&lt;=0,"Review – Out of Range (Coverage)",
  E1661&lt;=0,"Review – Out of Range (Premium)",
  TRUE,"OK"
)</f>
        <v>OK</v>
      </c>
    </row>
    <row r="1662" spans="1:10" ht="16.8" x14ac:dyDescent="0.3">
      <c r="A1662" s="11" t="s">
        <v>5322</v>
      </c>
      <c r="B1662" s="11" t="s">
        <v>2249</v>
      </c>
      <c r="C1662" s="11" t="s">
        <v>3363</v>
      </c>
      <c r="D1662" s="11">
        <v>560542.23</v>
      </c>
      <c r="E1662" s="11">
        <v>4284.1400000000003</v>
      </c>
      <c r="F1662" s="12">
        <v>44777</v>
      </c>
      <c r="G1662" s="12">
        <v>45054</v>
      </c>
      <c r="H1662" s="11" t="s">
        <v>3469</v>
      </c>
      <c r="I1662" s="11" t="s">
        <v>3365</v>
      </c>
      <c r="J1662" s="13" t="str" cm="1">
        <f t="array" ref="J1662">_xlfn.IFS(
  OR(ISBLANK(A1662),ISBLANK(B1662),ISBLANK(H1662),ISBLANK(D1662),ISBLANK(E1662)),"Missing Value",
  D1662&lt;=0,"Review – Out of Range (Coverage)",
  E1662&lt;=0,"Review – Out of Range (Premium)",
  TRUE,"OK"
)</f>
        <v>OK</v>
      </c>
    </row>
    <row r="1663" spans="1:10" ht="16.8" x14ac:dyDescent="0.3">
      <c r="A1663" s="14" t="s">
        <v>5323</v>
      </c>
      <c r="B1663" s="14" t="s">
        <v>2185</v>
      </c>
      <c r="C1663" s="14" t="s">
        <v>3377</v>
      </c>
      <c r="D1663" s="14">
        <v>625400.17000000004</v>
      </c>
      <c r="E1663" s="14">
        <v>10816.3</v>
      </c>
      <c r="F1663" s="15">
        <v>45277</v>
      </c>
      <c r="G1663" s="15">
        <v>45734</v>
      </c>
      <c r="H1663" s="14" t="s">
        <v>3378</v>
      </c>
      <c r="I1663" s="14" t="s">
        <v>3361</v>
      </c>
      <c r="J1663" s="13" t="str" cm="1">
        <f t="array" ref="J1663">_xlfn.IFS(
  OR(ISBLANK(A1663),ISBLANK(B1663),ISBLANK(H1663),ISBLANK(D1663),ISBLANK(E1663)),"Missing Value",
  D1663&lt;=0,"Review – Out of Range (Coverage)",
  E1663&lt;=0,"Review – Out of Range (Premium)",
  TRUE,"OK"
)</f>
        <v>OK</v>
      </c>
    </row>
    <row r="1664" spans="1:10" ht="16.8" x14ac:dyDescent="0.3">
      <c r="A1664" s="11" t="s">
        <v>5324</v>
      </c>
      <c r="B1664" s="11" t="s">
        <v>2395</v>
      </c>
      <c r="C1664" s="11" t="s">
        <v>3371</v>
      </c>
      <c r="D1664" s="11">
        <v>664432.07999999996</v>
      </c>
      <c r="E1664" s="11">
        <v>48911.45</v>
      </c>
      <c r="F1664" s="12">
        <v>45272</v>
      </c>
      <c r="G1664" s="12">
        <v>45409</v>
      </c>
      <c r="H1664" s="11" t="s">
        <v>3939</v>
      </c>
      <c r="I1664" s="11" t="s">
        <v>3361</v>
      </c>
      <c r="J1664" s="13" t="str" cm="1">
        <f t="array" ref="J1664">_xlfn.IFS(
  OR(ISBLANK(A1664),ISBLANK(B1664),ISBLANK(H1664),ISBLANK(D1664),ISBLANK(E1664)),"Missing Value",
  D1664&lt;=0,"Review – Out of Range (Coverage)",
  E1664&lt;=0,"Review – Out of Range (Premium)",
  TRUE,"OK"
)</f>
        <v>OK</v>
      </c>
    </row>
    <row r="1665" spans="1:10" ht="16.8" x14ac:dyDescent="0.3">
      <c r="A1665" s="14" t="s">
        <v>5325</v>
      </c>
      <c r="B1665" s="14" t="s">
        <v>78</v>
      </c>
      <c r="C1665" s="14" t="s">
        <v>3371</v>
      </c>
      <c r="D1665" s="14">
        <v>893937.46</v>
      </c>
      <c r="E1665" s="14">
        <v>35790.22</v>
      </c>
      <c r="F1665" s="15">
        <v>45215</v>
      </c>
      <c r="G1665" s="15">
        <v>45343</v>
      </c>
      <c r="H1665" s="14" t="s">
        <v>4116</v>
      </c>
      <c r="I1665" s="14" t="s">
        <v>3365</v>
      </c>
      <c r="J1665" s="13" t="str" cm="1">
        <f t="array" ref="J1665">_xlfn.IFS(
  OR(ISBLANK(A1665),ISBLANK(B1665),ISBLANK(H1665),ISBLANK(D1665),ISBLANK(E1665)),"Missing Value",
  D1665&lt;=0,"Review – Out of Range (Coverage)",
  E1665&lt;=0,"Review – Out of Range (Premium)",
  TRUE,"OK"
)</f>
        <v>OK</v>
      </c>
    </row>
    <row r="1666" spans="1:10" ht="16.8" x14ac:dyDescent="0.3">
      <c r="A1666" s="11" t="s">
        <v>5326</v>
      </c>
      <c r="B1666" s="11" t="s">
        <v>1885</v>
      </c>
      <c r="C1666" s="11" t="s">
        <v>3359</v>
      </c>
      <c r="D1666" s="11">
        <v>699637.01</v>
      </c>
      <c r="E1666" s="11">
        <v>6037.9</v>
      </c>
      <c r="F1666" s="12">
        <v>45318</v>
      </c>
      <c r="G1666" s="12">
        <v>45687</v>
      </c>
      <c r="H1666" s="11" t="s">
        <v>3779</v>
      </c>
      <c r="I1666" s="11" t="s">
        <v>3373</v>
      </c>
      <c r="J1666" s="13" t="str" cm="1">
        <f t="array" ref="J1666">_xlfn.IFS(
  OR(ISBLANK(A1666),ISBLANK(B1666),ISBLANK(H1666),ISBLANK(D1666),ISBLANK(E1666)),"Missing Value",
  D1666&lt;=0,"Review – Out of Range (Coverage)",
  E1666&lt;=0,"Review – Out of Range (Premium)",
  TRUE,"OK"
)</f>
        <v>OK</v>
      </c>
    </row>
    <row r="1667" spans="1:10" ht="16.8" x14ac:dyDescent="0.3">
      <c r="A1667" s="14" t="s">
        <v>5327</v>
      </c>
      <c r="B1667" s="14" t="s">
        <v>1961</v>
      </c>
      <c r="C1667" s="14" t="s">
        <v>3363</v>
      </c>
      <c r="D1667" s="14">
        <v>248359.36</v>
      </c>
      <c r="E1667" s="14">
        <v>7425.97</v>
      </c>
      <c r="F1667" s="15">
        <v>44960</v>
      </c>
      <c r="G1667" s="15">
        <v>45244</v>
      </c>
      <c r="H1667" s="14" t="s">
        <v>3725</v>
      </c>
      <c r="I1667" s="14" t="s">
        <v>3373</v>
      </c>
      <c r="J1667" s="13" t="str" cm="1">
        <f t="array" ref="J1667">_xlfn.IFS(
  OR(ISBLANK(A1667),ISBLANK(B1667),ISBLANK(H1667),ISBLANK(D1667),ISBLANK(E1667)),"Missing Value",
  D1667&lt;=0,"Review – Out of Range (Coverage)",
  E1667&lt;=0,"Review – Out of Range (Premium)",
  TRUE,"OK"
)</f>
        <v>OK</v>
      </c>
    </row>
    <row r="1668" spans="1:10" ht="16.8" x14ac:dyDescent="0.3">
      <c r="A1668" s="11" t="s">
        <v>5328</v>
      </c>
      <c r="B1668" s="11" t="s">
        <v>278</v>
      </c>
      <c r="C1668" s="11" t="s">
        <v>3377</v>
      </c>
      <c r="D1668" s="11">
        <v>779109.81</v>
      </c>
      <c r="E1668" s="11">
        <v>20080.8</v>
      </c>
      <c r="F1668" s="12">
        <v>45486</v>
      </c>
      <c r="G1668" s="12">
        <v>45806</v>
      </c>
      <c r="H1668" s="11" t="s">
        <v>3809</v>
      </c>
      <c r="I1668" s="11" t="s">
        <v>3373</v>
      </c>
      <c r="J1668" s="13" t="str" cm="1">
        <f t="array" ref="J1668">_xlfn.IFS(
  OR(ISBLANK(A1668),ISBLANK(B1668),ISBLANK(H1668),ISBLANK(D1668),ISBLANK(E1668)),"Missing Value",
  D1668&lt;=0,"Review – Out of Range (Coverage)",
  E1668&lt;=0,"Review – Out of Range (Premium)",
  TRUE,"OK"
)</f>
        <v>OK</v>
      </c>
    </row>
    <row r="1669" spans="1:10" ht="16.8" x14ac:dyDescent="0.3">
      <c r="A1669" s="14" t="s">
        <v>5329</v>
      </c>
      <c r="B1669" s="14" t="s">
        <v>384</v>
      </c>
      <c r="C1669" s="14" t="s">
        <v>3371</v>
      </c>
      <c r="D1669" s="14">
        <v>741220.7</v>
      </c>
      <c r="E1669" s="14">
        <v>28773.33</v>
      </c>
      <c r="F1669" s="15">
        <v>44656</v>
      </c>
      <c r="G1669" s="15">
        <v>44666</v>
      </c>
      <c r="H1669" s="14" t="s">
        <v>3733</v>
      </c>
      <c r="I1669" s="14" t="s">
        <v>3365</v>
      </c>
      <c r="J1669" s="13" t="str" cm="1">
        <f t="array" ref="J1669">_xlfn.IFS(
  OR(ISBLANK(A1669),ISBLANK(B1669),ISBLANK(H1669),ISBLANK(D1669),ISBLANK(E1669)),"Missing Value",
  D1669&lt;=0,"Review – Out of Range (Coverage)",
  E1669&lt;=0,"Review – Out of Range (Premium)",
  TRUE,"OK"
)</f>
        <v>OK</v>
      </c>
    </row>
    <row r="1670" spans="1:10" ht="16.8" x14ac:dyDescent="0.3">
      <c r="A1670" s="11" t="s">
        <v>5330</v>
      </c>
      <c r="B1670" s="11" t="s">
        <v>2331</v>
      </c>
      <c r="C1670" s="11" t="s">
        <v>3371</v>
      </c>
      <c r="D1670" s="11">
        <v>934022.74</v>
      </c>
      <c r="E1670" s="11">
        <v>49305.5</v>
      </c>
      <c r="F1670" s="12">
        <v>45487</v>
      </c>
      <c r="G1670" s="12">
        <v>45807</v>
      </c>
      <c r="H1670" s="11" t="s">
        <v>4032</v>
      </c>
      <c r="I1670" s="11" t="s">
        <v>3365</v>
      </c>
      <c r="J1670" s="13" t="str" cm="1">
        <f t="array" ref="J1670">_xlfn.IFS(
  OR(ISBLANK(A1670),ISBLANK(B1670),ISBLANK(H1670),ISBLANK(D1670),ISBLANK(E1670)),"Missing Value",
  D1670&lt;=0,"Review – Out of Range (Coverage)",
  E1670&lt;=0,"Review – Out of Range (Premium)",
  TRUE,"OK"
)</f>
        <v>OK</v>
      </c>
    </row>
    <row r="1671" spans="1:10" ht="16.8" x14ac:dyDescent="0.3">
      <c r="A1671" s="14" t="s">
        <v>5331</v>
      </c>
      <c r="B1671" s="14" t="s">
        <v>3046</v>
      </c>
      <c r="C1671" s="14" t="s">
        <v>3377</v>
      </c>
      <c r="D1671" s="14">
        <v>511340.49</v>
      </c>
      <c r="E1671" s="14">
        <v>44419.95</v>
      </c>
      <c r="F1671" s="15">
        <v>44977</v>
      </c>
      <c r="G1671" s="15">
        <v>45099</v>
      </c>
      <c r="H1671" s="14" t="s">
        <v>3903</v>
      </c>
      <c r="I1671" s="14" t="s">
        <v>3373</v>
      </c>
      <c r="J1671" s="13" t="str" cm="1">
        <f t="array" ref="J1671">_xlfn.IFS(
  OR(ISBLANK(A1671),ISBLANK(B1671),ISBLANK(H1671),ISBLANK(D1671),ISBLANK(E1671)),"Missing Value",
  D1671&lt;=0,"Review – Out of Range (Coverage)",
  E1671&lt;=0,"Review – Out of Range (Premium)",
  TRUE,"OK"
)</f>
        <v>OK</v>
      </c>
    </row>
    <row r="1672" spans="1:10" ht="16.8" x14ac:dyDescent="0.3">
      <c r="A1672" s="11" t="s">
        <v>5332</v>
      </c>
      <c r="B1672" s="11" t="s">
        <v>747</v>
      </c>
      <c r="C1672" s="11" t="s">
        <v>3359</v>
      </c>
      <c r="D1672" s="11">
        <v>569281.86</v>
      </c>
      <c r="E1672" s="11">
        <v>21833.72</v>
      </c>
      <c r="F1672" s="12">
        <v>44762</v>
      </c>
      <c r="G1672" s="12">
        <v>44927</v>
      </c>
      <c r="H1672" s="11" t="s">
        <v>3787</v>
      </c>
      <c r="I1672" s="11" t="s">
        <v>3365</v>
      </c>
      <c r="J1672" s="13" t="str" cm="1">
        <f t="array" ref="J1672">_xlfn.IFS(
  OR(ISBLANK(A1672),ISBLANK(B1672),ISBLANK(H1672),ISBLANK(D1672),ISBLANK(E1672)),"Missing Value",
  D1672&lt;=0,"Review – Out of Range (Coverage)",
  E1672&lt;=0,"Review – Out of Range (Premium)",
  TRUE,"OK"
)</f>
        <v>OK</v>
      </c>
    </row>
    <row r="1673" spans="1:10" ht="16.8" x14ac:dyDescent="0.3">
      <c r="A1673" s="14" t="s">
        <v>5333</v>
      </c>
      <c r="B1673" s="14" t="s">
        <v>1927</v>
      </c>
      <c r="C1673" s="14" t="s">
        <v>3377</v>
      </c>
      <c r="D1673" s="14">
        <v>153542.01</v>
      </c>
      <c r="E1673" s="14">
        <v>40943.47</v>
      </c>
      <c r="F1673" s="15">
        <v>44359</v>
      </c>
      <c r="G1673" s="15">
        <v>45145</v>
      </c>
      <c r="H1673" s="14" t="s">
        <v>3505</v>
      </c>
      <c r="I1673" s="14" t="s">
        <v>3361</v>
      </c>
      <c r="J1673" s="13" t="str" cm="1">
        <f t="array" ref="J1673">_xlfn.IFS(
  OR(ISBLANK(A1673),ISBLANK(B1673),ISBLANK(H1673),ISBLANK(D1673),ISBLANK(E1673)),"Missing Value",
  D1673&lt;=0,"Review – Out of Range (Coverage)",
  E1673&lt;=0,"Review – Out of Range (Premium)",
  TRUE,"OK"
)</f>
        <v>OK</v>
      </c>
    </row>
    <row r="1674" spans="1:10" ht="16.8" x14ac:dyDescent="0.3">
      <c r="A1674" s="11" t="s">
        <v>5334</v>
      </c>
      <c r="B1674" s="11" t="s">
        <v>2441</v>
      </c>
      <c r="C1674" s="11" t="s">
        <v>3359</v>
      </c>
      <c r="D1674" s="11">
        <v>267210.95</v>
      </c>
      <c r="E1674" s="11">
        <v>14558.66</v>
      </c>
      <c r="F1674" s="12">
        <v>45205</v>
      </c>
      <c r="G1674" s="12">
        <v>45515</v>
      </c>
      <c r="H1674" s="11" t="s">
        <v>3597</v>
      </c>
      <c r="I1674" s="11" t="s">
        <v>3361</v>
      </c>
      <c r="J1674" s="13" t="str" cm="1">
        <f t="array" ref="J1674">_xlfn.IFS(
  OR(ISBLANK(A1674),ISBLANK(B1674),ISBLANK(H1674),ISBLANK(D1674),ISBLANK(E1674)),"Missing Value",
  D1674&lt;=0,"Review – Out of Range (Coverage)",
  E1674&lt;=0,"Review – Out of Range (Premium)",
  TRUE,"OK"
)</f>
        <v>OK</v>
      </c>
    </row>
    <row r="1675" spans="1:10" ht="16.8" x14ac:dyDescent="0.3">
      <c r="A1675" s="14" t="s">
        <v>5335</v>
      </c>
      <c r="B1675" s="14" t="s">
        <v>1289</v>
      </c>
      <c r="C1675" s="14" t="s">
        <v>3380</v>
      </c>
      <c r="D1675" s="14">
        <v>384561.29</v>
      </c>
      <c r="E1675" s="14">
        <v>15829.45</v>
      </c>
      <c r="F1675" s="15">
        <v>44427</v>
      </c>
      <c r="G1675" s="15">
        <v>44607</v>
      </c>
      <c r="H1675" s="14" t="s">
        <v>3454</v>
      </c>
      <c r="I1675" s="14" t="s">
        <v>3365</v>
      </c>
      <c r="J1675" s="13" t="str" cm="1">
        <f t="array" ref="J1675">_xlfn.IFS(
  OR(ISBLANK(A1675),ISBLANK(B1675),ISBLANK(H1675),ISBLANK(D1675),ISBLANK(E1675)),"Missing Value",
  D1675&lt;=0,"Review – Out of Range (Coverage)",
  E1675&lt;=0,"Review – Out of Range (Premium)",
  TRUE,"OK"
)</f>
        <v>OK</v>
      </c>
    </row>
    <row r="1676" spans="1:10" ht="16.8" x14ac:dyDescent="0.3">
      <c r="A1676" s="11" t="s">
        <v>5336</v>
      </c>
      <c r="B1676" s="11" t="s">
        <v>412</v>
      </c>
      <c r="C1676" s="11" t="s">
        <v>3380</v>
      </c>
      <c r="D1676" s="11">
        <v>270684.19</v>
      </c>
      <c r="E1676" s="11">
        <v>17195.64</v>
      </c>
      <c r="F1676" s="12">
        <v>45448</v>
      </c>
      <c r="G1676" s="12">
        <v>45633</v>
      </c>
      <c r="H1676" s="11" t="s">
        <v>3622</v>
      </c>
      <c r="I1676" s="11" t="s">
        <v>3365</v>
      </c>
      <c r="J1676" s="13" t="str" cm="1">
        <f t="array" ref="J1676">_xlfn.IFS(
  OR(ISBLANK(A1676),ISBLANK(B1676),ISBLANK(H1676),ISBLANK(D1676),ISBLANK(E1676)),"Missing Value",
  D1676&lt;=0,"Review – Out of Range (Coverage)",
  E1676&lt;=0,"Review – Out of Range (Premium)",
  TRUE,"OK"
)</f>
        <v>OK</v>
      </c>
    </row>
    <row r="1677" spans="1:10" ht="16.8" x14ac:dyDescent="0.3">
      <c r="A1677" s="14" t="s">
        <v>5337</v>
      </c>
      <c r="B1677" s="14" t="s">
        <v>424</v>
      </c>
      <c r="C1677" s="14" t="s">
        <v>3377</v>
      </c>
      <c r="D1677" s="14">
        <v>884020.94</v>
      </c>
      <c r="E1677" s="14">
        <v>32536.799999999999</v>
      </c>
      <c r="F1677" s="15">
        <v>45311</v>
      </c>
      <c r="G1677" s="15">
        <v>45425</v>
      </c>
      <c r="H1677" s="14" t="s">
        <v>3465</v>
      </c>
      <c r="I1677" s="14" t="s">
        <v>3373</v>
      </c>
      <c r="J1677" s="13" t="str" cm="1">
        <f t="array" ref="J1677">_xlfn.IFS(
  OR(ISBLANK(A1677),ISBLANK(B1677),ISBLANK(H1677),ISBLANK(D1677),ISBLANK(E1677)),"Missing Value",
  D1677&lt;=0,"Review – Out of Range (Coverage)",
  E1677&lt;=0,"Review – Out of Range (Premium)",
  TRUE,"OK"
)</f>
        <v>OK</v>
      </c>
    </row>
    <row r="1678" spans="1:10" ht="16.8" x14ac:dyDescent="0.3">
      <c r="A1678" s="11" t="s">
        <v>5338</v>
      </c>
      <c r="B1678" s="11" t="s">
        <v>2263</v>
      </c>
      <c r="C1678" s="11" t="s">
        <v>3371</v>
      </c>
      <c r="D1678" s="11">
        <v>342693.87</v>
      </c>
      <c r="E1678" s="11">
        <v>4076.19</v>
      </c>
      <c r="F1678" s="12">
        <v>45202</v>
      </c>
      <c r="G1678" s="12">
        <v>45355</v>
      </c>
      <c r="H1678" s="11" t="s">
        <v>3577</v>
      </c>
      <c r="I1678" s="11" t="s">
        <v>3373</v>
      </c>
      <c r="J1678" s="13" t="str" cm="1">
        <f t="array" ref="J1678">_xlfn.IFS(
  OR(ISBLANK(A1678),ISBLANK(B1678),ISBLANK(H1678),ISBLANK(D1678),ISBLANK(E1678)),"Missing Value",
  D1678&lt;=0,"Review – Out of Range (Coverage)",
  E1678&lt;=0,"Review – Out of Range (Premium)",
  TRUE,"OK"
)</f>
        <v>OK</v>
      </c>
    </row>
    <row r="1679" spans="1:10" ht="16.8" x14ac:dyDescent="0.3">
      <c r="A1679" s="14" t="s">
        <v>5339</v>
      </c>
      <c r="B1679" s="14" t="s">
        <v>144</v>
      </c>
      <c r="C1679" s="14" t="s">
        <v>3377</v>
      </c>
      <c r="D1679" s="14">
        <v>293536.83</v>
      </c>
      <c r="E1679" s="14">
        <v>14789.99</v>
      </c>
      <c r="F1679" s="15">
        <v>44117</v>
      </c>
      <c r="G1679" s="15">
        <v>45131</v>
      </c>
      <c r="H1679" s="14" t="s">
        <v>3634</v>
      </c>
      <c r="I1679" s="14" t="s">
        <v>3361</v>
      </c>
      <c r="J1679" s="13" t="str" cm="1">
        <f t="array" ref="J1679">_xlfn.IFS(
  OR(ISBLANK(A1679),ISBLANK(B1679),ISBLANK(H1679),ISBLANK(D1679),ISBLANK(E1679)),"Missing Value",
  D1679&lt;=0,"Review – Out of Range (Coverage)",
  E1679&lt;=0,"Review – Out of Range (Premium)",
  TRUE,"OK"
)</f>
        <v>OK</v>
      </c>
    </row>
    <row r="1680" spans="1:10" ht="16.8" x14ac:dyDescent="0.3">
      <c r="A1680" s="11" t="s">
        <v>5340</v>
      </c>
      <c r="B1680" s="11" t="s">
        <v>1381</v>
      </c>
      <c r="C1680" s="11" t="s">
        <v>3359</v>
      </c>
      <c r="D1680" s="11">
        <v>240819.3</v>
      </c>
      <c r="E1680" s="11">
        <v>14761.17</v>
      </c>
      <c r="F1680" s="12">
        <v>45260</v>
      </c>
      <c r="G1680" s="12">
        <v>45641</v>
      </c>
      <c r="H1680" s="11" t="s">
        <v>3779</v>
      </c>
      <c r="I1680" s="11" t="s">
        <v>3361</v>
      </c>
      <c r="J1680" s="13" t="str" cm="1">
        <f t="array" ref="J1680">_xlfn.IFS(
  OR(ISBLANK(A1680),ISBLANK(B1680),ISBLANK(H1680),ISBLANK(D1680),ISBLANK(E1680)),"Missing Value",
  D1680&lt;=0,"Review – Out of Range (Coverage)",
  E1680&lt;=0,"Review – Out of Range (Premium)",
  TRUE,"OK"
)</f>
        <v>OK</v>
      </c>
    </row>
    <row r="1681" spans="1:10" ht="16.8" x14ac:dyDescent="0.3">
      <c r="A1681" s="14" t="s">
        <v>5341</v>
      </c>
      <c r="B1681" s="14" t="s">
        <v>3110</v>
      </c>
      <c r="C1681" s="14" t="s">
        <v>3380</v>
      </c>
      <c r="D1681" s="14">
        <v>374030.98</v>
      </c>
      <c r="E1681" s="14">
        <v>26992.77</v>
      </c>
      <c r="F1681" s="15">
        <v>44319</v>
      </c>
      <c r="G1681" s="15">
        <v>44364</v>
      </c>
      <c r="H1681" s="14" t="s">
        <v>4378</v>
      </c>
      <c r="I1681" s="14" t="s">
        <v>3365</v>
      </c>
      <c r="J1681" s="13" t="str" cm="1">
        <f t="array" ref="J1681">_xlfn.IFS(
  OR(ISBLANK(A1681),ISBLANK(B1681),ISBLANK(H1681),ISBLANK(D1681),ISBLANK(E1681)),"Missing Value",
  D1681&lt;=0,"Review – Out of Range (Coverage)",
  E1681&lt;=0,"Review – Out of Range (Premium)",
  TRUE,"OK"
)</f>
        <v>OK</v>
      </c>
    </row>
    <row r="1682" spans="1:10" ht="16.8" x14ac:dyDescent="0.3">
      <c r="A1682" s="11" t="s">
        <v>5342</v>
      </c>
      <c r="B1682" s="11" t="s">
        <v>1611</v>
      </c>
      <c r="C1682" s="11" t="s">
        <v>3380</v>
      </c>
      <c r="D1682" s="11">
        <v>170437.79</v>
      </c>
      <c r="E1682" s="11">
        <v>27722.49</v>
      </c>
      <c r="F1682" s="12">
        <v>45083</v>
      </c>
      <c r="G1682" s="12">
        <v>45530</v>
      </c>
      <c r="H1682" s="11" t="s">
        <v>3581</v>
      </c>
      <c r="I1682" s="11" t="s">
        <v>3361</v>
      </c>
      <c r="J1682" s="13" t="str" cm="1">
        <f t="array" ref="J1682">_xlfn.IFS(
  OR(ISBLANK(A1682),ISBLANK(B1682),ISBLANK(H1682),ISBLANK(D1682),ISBLANK(E1682)),"Missing Value",
  D1682&lt;=0,"Review – Out of Range (Coverage)",
  E1682&lt;=0,"Review – Out of Range (Premium)",
  TRUE,"OK"
)</f>
        <v>OK</v>
      </c>
    </row>
    <row r="1683" spans="1:10" ht="16.8" x14ac:dyDescent="0.3">
      <c r="A1683" s="14" t="s">
        <v>5343</v>
      </c>
      <c r="B1683" s="14" t="s">
        <v>2125</v>
      </c>
      <c r="C1683" s="14" t="s">
        <v>3380</v>
      </c>
      <c r="D1683" s="14">
        <v>323804.65000000002</v>
      </c>
      <c r="E1683" s="14">
        <v>15655.22</v>
      </c>
      <c r="F1683" s="15">
        <v>44630</v>
      </c>
      <c r="G1683" s="15">
        <v>45763</v>
      </c>
      <c r="H1683" s="14" t="s">
        <v>3534</v>
      </c>
      <c r="I1683" s="14" t="s">
        <v>3373</v>
      </c>
      <c r="J1683" s="13" t="str" cm="1">
        <f t="array" ref="J1683">_xlfn.IFS(
  OR(ISBLANK(A1683),ISBLANK(B1683),ISBLANK(H1683),ISBLANK(D1683),ISBLANK(E1683)),"Missing Value",
  D1683&lt;=0,"Review – Out of Range (Coverage)",
  E1683&lt;=0,"Review – Out of Range (Premium)",
  TRUE,"OK"
)</f>
        <v>OK</v>
      </c>
    </row>
    <row r="1684" spans="1:10" ht="16.8" x14ac:dyDescent="0.3">
      <c r="A1684" s="11" t="s">
        <v>5344</v>
      </c>
      <c r="B1684" s="11" t="s">
        <v>368</v>
      </c>
      <c r="C1684" s="11" t="s">
        <v>3371</v>
      </c>
      <c r="D1684" s="11">
        <v>820198.48</v>
      </c>
      <c r="E1684" s="11">
        <v>37044.620000000003</v>
      </c>
      <c r="F1684" s="12">
        <v>44563</v>
      </c>
      <c r="G1684" s="12">
        <v>45270</v>
      </c>
      <c r="H1684" s="11" t="s">
        <v>3438</v>
      </c>
      <c r="I1684" s="11" t="s">
        <v>3361</v>
      </c>
      <c r="J1684" s="13" t="str" cm="1">
        <f t="array" ref="J1684">_xlfn.IFS(
  OR(ISBLANK(A1684),ISBLANK(B1684),ISBLANK(H1684),ISBLANK(D1684),ISBLANK(E1684)),"Missing Value",
  D1684&lt;=0,"Review – Out of Range (Coverage)",
  E1684&lt;=0,"Review – Out of Range (Premium)",
  TRUE,"OK"
)</f>
        <v>OK</v>
      </c>
    </row>
    <row r="1685" spans="1:10" ht="16.8" x14ac:dyDescent="0.3">
      <c r="A1685" s="14" t="s">
        <v>5345</v>
      </c>
      <c r="B1685" s="14" t="s">
        <v>1527</v>
      </c>
      <c r="C1685" s="14" t="s">
        <v>3371</v>
      </c>
      <c r="D1685" s="14">
        <v>656212.94999999995</v>
      </c>
      <c r="E1685" s="14">
        <v>43735.07</v>
      </c>
      <c r="F1685" s="15">
        <v>44138</v>
      </c>
      <c r="G1685" s="15">
        <v>44848</v>
      </c>
      <c r="H1685" s="14" t="s">
        <v>3868</v>
      </c>
      <c r="I1685" s="14" t="s">
        <v>3361</v>
      </c>
      <c r="J1685" s="13" t="str" cm="1">
        <f t="array" ref="J1685">_xlfn.IFS(
  OR(ISBLANK(A1685),ISBLANK(B1685),ISBLANK(H1685),ISBLANK(D1685),ISBLANK(E1685)),"Missing Value",
  D1685&lt;=0,"Review – Out of Range (Coverage)",
  E1685&lt;=0,"Review – Out of Range (Premium)",
  TRUE,"OK"
)</f>
        <v>OK</v>
      </c>
    </row>
    <row r="1686" spans="1:10" ht="16.8" x14ac:dyDescent="0.3">
      <c r="A1686" s="11" t="s">
        <v>5346</v>
      </c>
      <c r="B1686" s="11" t="s">
        <v>1417</v>
      </c>
      <c r="C1686" s="11" t="s">
        <v>3363</v>
      </c>
      <c r="D1686" s="11">
        <v>465573.64</v>
      </c>
      <c r="E1686" s="11">
        <v>14704.7</v>
      </c>
      <c r="F1686" s="12">
        <v>45049</v>
      </c>
      <c r="G1686" s="12">
        <v>45260</v>
      </c>
      <c r="H1686" s="11" t="s">
        <v>3595</v>
      </c>
      <c r="I1686" s="11" t="s">
        <v>3361</v>
      </c>
      <c r="J1686" s="13" t="str" cm="1">
        <f t="array" ref="J1686">_xlfn.IFS(
  OR(ISBLANK(A1686),ISBLANK(B1686),ISBLANK(H1686),ISBLANK(D1686),ISBLANK(E1686)),"Missing Value",
  D1686&lt;=0,"Review – Out of Range (Coverage)",
  E1686&lt;=0,"Review – Out of Range (Premium)",
  TRUE,"OK"
)</f>
        <v>OK</v>
      </c>
    </row>
    <row r="1687" spans="1:10" ht="16.8" x14ac:dyDescent="0.3">
      <c r="A1687" s="14" t="s">
        <v>5347</v>
      </c>
      <c r="B1687" s="14" t="s">
        <v>2951</v>
      </c>
      <c r="C1687" s="14" t="s">
        <v>3377</v>
      </c>
      <c r="D1687" s="14">
        <v>263196.7</v>
      </c>
      <c r="E1687" s="14">
        <v>37760.06</v>
      </c>
      <c r="F1687" s="15">
        <v>45339</v>
      </c>
      <c r="G1687" s="15">
        <v>45745</v>
      </c>
      <c r="H1687" s="14" t="s">
        <v>3511</v>
      </c>
      <c r="I1687" s="14" t="s">
        <v>3361</v>
      </c>
      <c r="J1687" s="13" t="str" cm="1">
        <f t="array" ref="J1687">_xlfn.IFS(
  OR(ISBLANK(A1687),ISBLANK(B1687),ISBLANK(H1687),ISBLANK(D1687),ISBLANK(E1687)),"Missing Value",
  D1687&lt;=0,"Review – Out of Range (Coverage)",
  E1687&lt;=0,"Review – Out of Range (Premium)",
  TRUE,"OK"
)</f>
        <v>OK</v>
      </c>
    </row>
    <row r="1688" spans="1:10" ht="16.8" x14ac:dyDescent="0.3">
      <c r="A1688" s="11" t="s">
        <v>5348</v>
      </c>
      <c r="B1688" s="11" t="s">
        <v>959</v>
      </c>
      <c r="C1688" s="11" t="s">
        <v>3380</v>
      </c>
      <c r="D1688" s="11">
        <v>583589.44999999995</v>
      </c>
      <c r="E1688" s="11">
        <v>24069.7</v>
      </c>
      <c r="F1688" s="12">
        <v>44065</v>
      </c>
      <c r="G1688" s="12">
        <v>44559</v>
      </c>
      <c r="H1688" s="11" t="s">
        <v>4391</v>
      </c>
      <c r="I1688" s="11" t="s">
        <v>3361</v>
      </c>
      <c r="J1688" s="13" t="str" cm="1">
        <f t="array" ref="J1688">_xlfn.IFS(
  OR(ISBLANK(A1688),ISBLANK(B1688),ISBLANK(H1688),ISBLANK(D1688),ISBLANK(E1688)),"Missing Value",
  D1688&lt;=0,"Review – Out of Range (Coverage)",
  E1688&lt;=0,"Review – Out of Range (Premium)",
  TRUE,"OK"
)</f>
        <v>OK</v>
      </c>
    </row>
    <row r="1689" spans="1:10" ht="16.8" x14ac:dyDescent="0.3">
      <c r="A1689" s="14" t="s">
        <v>5349</v>
      </c>
      <c r="B1689" s="14" t="s">
        <v>3314</v>
      </c>
      <c r="C1689" s="14" t="s">
        <v>3380</v>
      </c>
      <c r="D1689" s="14">
        <v>734584.98</v>
      </c>
      <c r="E1689" s="14">
        <v>11571.7</v>
      </c>
      <c r="F1689" s="15">
        <v>44807</v>
      </c>
      <c r="G1689" s="15">
        <v>45073</v>
      </c>
      <c r="H1689" s="14" t="s">
        <v>3655</v>
      </c>
      <c r="I1689" s="14" t="s">
        <v>3361</v>
      </c>
      <c r="J1689" s="13" t="str" cm="1">
        <f t="array" ref="J1689">_xlfn.IFS(
  OR(ISBLANK(A1689),ISBLANK(B1689),ISBLANK(H1689),ISBLANK(D1689),ISBLANK(E1689)),"Missing Value",
  D1689&lt;=0,"Review – Out of Range (Coverage)",
  E1689&lt;=0,"Review – Out of Range (Premium)",
  TRUE,"OK"
)</f>
        <v>OK</v>
      </c>
    </row>
    <row r="1690" spans="1:10" ht="16.8" x14ac:dyDescent="0.3">
      <c r="A1690" s="11" t="s">
        <v>5350</v>
      </c>
      <c r="B1690" s="11" t="s">
        <v>142</v>
      </c>
      <c r="C1690" s="11" t="s">
        <v>3363</v>
      </c>
      <c r="D1690" s="11">
        <v>321836.24</v>
      </c>
      <c r="E1690" s="11">
        <v>15533.47</v>
      </c>
      <c r="F1690" s="12">
        <v>45441</v>
      </c>
      <c r="G1690" s="12">
        <v>45784</v>
      </c>
      <c r="H1690" s="11" t="s">
        <v>3571</v>
      </c>
      <c r="I1690" s="11" t="s">
        <v>3373</v>
      </c>
      <c r="J1690" s="13" t="str" cm="1">
        <f t="array" ref="J1690">_xlfn.IFS(
  OR(ISBLANK(A1690),ISBLANK(B1690),ISBLANK(H1690),ISBLANK(D1690),ISBLANK(E1690)),"Missing Value",
  D1690&lt;=0,"Review – Out of Range (Coverage)",
  E1690&lt;=0,"Review – Out of Range (Premium)",
  TRUE,"OK"
)</f>
        <v>OK</v>
      </c>
    </row>
    <row r="1691" spans="1:10" ht="16.8" x14ac:dyDescent="0.3">
      <c r="A1691" s="14" t="s">
        <v>5351</v>
      </c>
      <c r="B1691" s="14" t="s">
        <v>1361</v>
      </c>
      <c r="C1691" s="14" t="s">
        <v>3363</v>
      </c>
      <c r="D1691" s="14">
        <v>851609.55</v>
      </c>
      <c r="E1691" s="14">
        <v>22841.87</v>
      </c>
      <c r="F1691" s="15">
        <v>44086</v>
      </c>
      <c r="G1691" s="15">
        <v>45314</v>
      </c>
      <c r="H1691" s="14" t="s">
        <v>4660</v>
      </c>
      <c r="I1691" s="14" t="s">
        <v>3361</v>
      </c>
      <c r="J1691" s="13" t="str" cm="1">
        <f t="array" ref="J1691">_xlfn.IFS(
  OR(ISBLANK(A1691),ISBLANK(B1691),ISBLANK(H1691),ISBLANK(D1691),ISBLANK(E1691)),"Missing Value",
  D1691&lt;=0,"Review – Out of Range (Coverage)",
  E1691&lt;=0,"Review – Out of Range (Premium)",
  TRUE,"OK"
)</f>
        <v>OK</v>
      </c>
    </row>
    <row r="1692" spans="1:10" ht="16.8" x14ac:dyDescent="0.3">
      <c r="A1692" s="11" t="s">
        <v>5352</v>
      </c>
      <c r="B1692" s="11" t="s">
        <v>1723</v>
      </c>
      <c r="C1692" s="11" t="s">
        <v>3359</v>
      </c>
      <c r="D1692" s="11">
        <v>190797.45</v>
      </c>
      <c r="E1692" s="11">
        <v>30549.23</v>
      </c>
      <c r="F1692" s="12">
        <v>44870</v>
      </c>
      <c r="G1692" s="12">
        <v>45578</v>
      </c>
      <c r="H1692" s="11" t="s">
        <v>3779</v>
      </c>
      <c r="I1692" s="11" t="s">
        <v>3361</v>
      </c>
      <c r="J1692" s="13" t="str" cm="1">
        <f t="array" ref="J1692">_xlfn.IFS(
  OR(ISBLANK(A1692),ISBLANK(B1692),ISBLANK(H1692),ISBLANK(D1692),ISBLANK(E1692)),"Missing Value",
  D1692&lt;=0,"Review – Out of Range (Coverage)",
  E1692&lt;=0,"Review – Out of Range (Premium)",
  TRUE,"OK"
)</f>
        <v>OK</v>
      </c>
    </row>
    <row r="1693" spans="1:10" ht="16.8" x14ac:dyDescent="0.3">
      <c r="A1693" s="14" t="s">
        <v>5353</v>
      </c>
      <c r="B1693" s="14" t="s">
        <v>2187</v>
      </c>
      <c r="C1693" s="14" t="s">
        <v>3371</v>
      </c>
      <c r="D1693" s="14">
        <v>893174.71</v>
      </c>
      <c r="E1693" s="14">
        <v>13659.55</v>
      </c>
      <c r="F1693" s="15">
        <v>44904</v>
      </c>
      <c r="G1693" s="15">
        <v>45245</v>
      </c>
      <c r="H1693" s="14" t="s">
        <v>3497</v>
      </c>
      <c r="I1693" s="14" t="s">
        <v>3361</v>
      </c>
      <c r="J1693" s="13" t="str" cm="1">
        <f t="array" ref="J1693">_xlfn.IFS(
  OR(ISBLANK(A1693),ISBLANK(B1693),ISBLANK(H1693),ISBLANK(D1693),ISBLANK(E1693)),"Missing Value",
  D1693&lt;=0,"Review – Out of Range (Coverage)",
  E1693&lt;=0,"Review – Out of Range (Premium)",
  TRUE,"OK"
)</f>
        <v>OK</v>
      </c>
    </row>
    <row r="1694" spans="1:10" ht="16.8" x14ac:dyDescent="0.3">
      <c r="A1694" s="11" t="s">
        <v>5354</v>
      </c>
      <c r="B1694" s="11" t="s">
        <v>212</v>
      </c>
      <c r="C1694" s="11" t="s">
        <v>3371</v>
      </c>
      <c r="D1694" s="11">
        <v>191993.44</v>
      </c>
      <c r="E1694" s="11">
        <v>44407.77</v>
      </c>
      <c r="F1694" s="12">
        <v>44453</v>
      </c>
      <c r="G1694" s="12">
        <v>45509</v>
      </c>
      <c r="H1694" s="11" t="s">
        <v>3360</v>
      </c>
      <c r="I1694" s="11" t="s">
        <v>3361</v>
      </c>
      <c r="J1694" s="13" t="str" cm="1">
        <f t="array" ref="J1694">_xlfn.IFS(
  OR(ISBLANK(A1694),ISBLANK(B1694),ISBLANK(H1694),ISBLANK(D1694),ISBLANK(E1694)),"Missing Value",
  D1694&lt;=0,"Review – Out of Range (Coverage)",
  E1694&lt;=0,"Review – Out of Range (Premium)",
  TRUE,"OK"
)</f>
        <v>OK</v>
      </c>
    </row>
    <row r="1695" spans="1:10" ht="16.8" x14ac:dyDescent="0.3">
      <c r="A1695" s="14" t="s">
        <v>5355</v>
      </c>
      <c r="B1695" s="14" t="s">
        <v>675</v>
      </c>
      <c r="C1695" s="14" t="s">
        <v>3371</v>
      </c>
      <c r="D1695" s="14">
        <v>495866.89</v>
      </c>
      <c r="E1695" s="14">
        <v>8893.85</v>
      </c>
      <c r="F1695" s="15">
        <v>44661</v>
      </c>
      <c r="G1695" s="15">
        <v>45057</v>
      </c>
      <c r="H1695" s="14" t="s">
        <v>3601</v>
      </c>
      <c r="I1695" s="14" t="s">
        <v>3361</v>
      </c>
      <c r="J1695" s="13" t="str" cm="1">
        <f t="array" ref="J1695">_xlfn.IFS(
  OR(ISBLANK(A1695),ISBLANK(B1695),ISBLANK(H1695),ISBLANK(D1695),ISBLANK(E1695)),"Missing Value",
  D1695&lt;=0,"Review – Out of Range (Coverage)",
  E1695&lt;=0,"Review – Out of Range (Premium)",
  TRUE,"OK"
)</f>
        <v>OK</v>
      </c>
    </row>
    <row r="1696" spans="1:10" ht="16.8" x14ac:dyDescent="0.3">
      <c r="A1696" s="11" t="s">
        <v>5356</v>
      </c>
      <c r="B1696" s="11" t="s">
        <v>3018</v>
      </c>
      <c r="C1696" s="11" t="s">
        <v>3377</v>
      </c>
      <c r="D1696" s="11">
        <v>273448.67</v>
      </c>
      <c r="E1696" s="11">
        <v>32450.67</v>
      </c>
      <c r="F1696" s="12">
        <v>45120</v>
      </c>
      <c r="G1696" s="12">
        <v>45638</v>
      </c>
      <c r="H1696" s="11" t="s">
        <v>4374</v>
      </c>
      <c r="I1696" s="11" t="s">
        <v>3365</v>
      </c>
      <c r="J1696" s="13" t="str" cm="1">
        <f t="array" ref="J1696">_xlfn.IFS(
  OR(ISBLANK(A1696),ISBLANK(B1696),ISBLANK(H1696),ISBLANK(D1696),ISBLANK(E1696)),"Missing Value",
  D1696&lt;=0,"Review – Out of Range (Coverage)",
  E1696&lt;=0,"Review – Out of Range (Premium)",
  TRUE,"OK"
)</f>
        <v>OK</v>
      </c>
    </row>
    <row r="1697" spans="1:10" ht="16.8" x14ac:dyDescent="0.3">
      <c r="A1697" s="14" t="s">
        <v>5357</v>
      </c>
      <c r="B1697" s="14" t="s">
        <v>1211</v>
      </c>
      <c r="C1697" s="14" t="s">
        <v>3371</v>
      </c>
      <c r="D1697" s="14">
        <v>429319.73</v>
      </c>
      <c r="E1697" s="14">
        <v>44026.71</v>
      </c>
      <c r="F1697" s="15">
        <v>45267</v>
      </c>
      <c r="G1697" s="15">
        <v>45683</v>
      </c>
      <c r="H1697" s="14" t="s">
        <v>3731</v>
      </c>
      <c r="I1697" s="14" t="s">
        <v>3373</v>
      </c>
      <c r="J1697" s="13" t="str" cm="1">
        <f t="array" ref="J1697">_xlfn.IFS(
  OR(ISBLANK(A1697),ISBLANK(B1697),ISBLANK(H1697),ISBLANK(D1697),ISBLANK(E1697)),"Missing Value",
  D1697&lt;=0,"Review – Out of Range (Coverage)",
  E1697&lt;=0,"Review – Out of Range (Premium)",
  TRUE,"OK"
)</f>
        <v>OK</v>
      </c>
    </row>
    <row r="1698" spans="1:10" ht="16.8" x14ac:dyDescent="0.3">
      <c r="A1698" s="11" t="s">
        <v>5358</v>
      </c>
      <c r="B1698" s="11" t="s">
        <v>1639</v>
      </c>
      <c r="C1698" s="11" t="s">
        <v>3359</v>
      </c>
      <c r="D1698" s="11">
        <v>918781.58</v>
      </c>
      <c r="E1698" s="11">
        <v>27210.74</v>
      </c>
      <c r="F1698" s="12">
        <v>44553</v>
      </c>
      <c r="G1698" s="12">
        <v>45123</v>
      </c>
      <c r="H1698" s="11" t="s">
        <v>3551</v>
      </c>
      <c r="I1698" s="11" t="s">
        <v>3365</v>
      </c>
      <c r="J1698" s="13" t="str" cm="1">
        <f t="array" ref="J1698">_xlfn.IFS(
  OR(ISBLANK(A1698),ISBLANK(B1698),ISBLANK(H1698),ISBLANK(D1698),ISBLANK(E1698)),"Missing Value",
  D1698&lt;=0,"Review – Out of Range (Coverage)",
  E1698&lt;=0,"Review – Out of Range (Premium)",
  TRUE,"OK"
)</f>
        <v>OK</v>
      </c>
    </row>
    <row r="1699" spans="1:10" ht="16.8" x14ac:dyDescent="0.3">
      <c r="A1699" s="14" t="s">
        <v>5359</v>
      </c>
      <c r="B1699" s="14" t="s">
        <v>641</v>
      </c>
      <c r="C1699" s="14" t="s">
        <v>3371</v>
      </c>
      <c r="D1699" s="14">
        <v>441892.41</v>
      </c>
      <c r="E1699" s="14">
        <v>22639.35</v>
      </c>
      <c r="F1699" s="15">
        <v>44643</v>
      </c>
      <c r="G1699" s="15">
        <v>45778</v>
      </c>
      <c r="H1699" s="14" t="s">
        <v>3644</v>
      </c>
      <c r="I1699" s="14" t="s">
        <v>3365</v>
      </c>
      <c r="J1699" s="13" t="str" cm="1">
        <f t="array" ref="J1699">_xlfn.IFS(
  OR(ISBLANK(A1699),ISBLANK(B1699),ISBLANK(H1699),ISBLANK(D1699),ISBLANK(E1699)),"Missing Value",
  D1699&lt;=0,"Review – Out of Range (Coverage)",
  E1699&lt;=0,"Review – Out of Range (Premium)",
  TRUE,"OK"
)</f>
        <v>OK</v>
      </c>
    </row>
    <row r="1700" spans="1:10" ht="16.8" x14ac:dyDescent="0.3">
      <c r="A1700" s="11" t="s">
        <v>5360</v>
      </c>
      <c r="B1700" s="11" t="s">
        <v>508</v>
      </c>
      <c r="C1700" s="11" t="s">
        <v>3377</v>
      </c>
      <c r="D1700" s="11">
        <v>395329.79</v>
      </c>
      <c r="E1700" s="11">
        <v>49598.8</v>
      </c>
      <c r="F1700" s="12">
        <v>45335</v>
      </c>
      <c r="G1700" s="12">
        <v>45804</v>
      </c>
      <c r="H1700" s="11" t="s">
        <v>3767</v>
      </c>
      <c r="I1700" s="11" t="s">
        <v>3365</v>
      </c>
      <c r="J1700" s="13" t="str" cm="1">
        <f t="array" ref="J1700">_xlfn.IFS(
  OR(ISBLANK(A1700),ISBLANK(B1700),ISBLANK(H1700),ISBLANK(D1700),ISBLANK(E1700)),"Missing Value",
  D1700&lt;=0,"Review – Out of Range (Coverage)",
  E1700&lt;=0,"Review – Out of Range (Premium)",
  TRUE,"OK"
)</f>
        <v>OK</v>
      </c>
    </row>
    <row r="1701" spans="1:10" ht="16.8" x14ac:dyDescent="0.3">
      <c r="A1701" s="14" t="s">
        <v>5361</v>
      </c>
      <c r="B1701" s="14" t="s">
        <v>1235</v>
      </c>
      <c r="C1701" s="14" t="s">
        <v>3359</v>
      </c>
      <c r="D1701" s="14">
        <v>789418.98</v>
      </c>
      <c r="E1701" s="14">
        <v>19337.28</v>
      </c>
      <c r="F1701" s="15">
        <v>45086</v>
      </c>
      <c r="G1701" s="15">
        <v>45137</v>
      </c>
      <c r="H1701" s="14" t="s">
        <v>4295</v>
      </c>
      <c r="I1701" s="14" t="s">
        <v>3361</v>
      </c>
      <c r="J1701" s="13" t="str" cm="1">
        <f t="array" ref="J1701">_xlfn.IFS(
  OR(ISBLANK(A1701),ISBLANK(B1701),ISBLANK(H1701),ISBLANK(D1701),ISBLANK(E1701)),"Missing Value",
  D1701&lt;=0,"Review – Out of Range (Coverage)",
  E1701&lt;=0,"Review – Out of Range (Premium)",
  TRUE,"OK"
)</f>
        <v>OK</v>
      </c>
    </row>
    <row r="1702" spans="1:10" ht="16.8" x14ac:dyDescent="0.3">
      <c r="A1702" s="11" t="s">
        <v>5362</v>
      </c>
      <c r="B1702" s="11" t="s">
        <v>1171</v>
      </c>
      <c r="C1702" s="11" t="s">
        <v>3371</v>
      </c>
      <c r="D1702" s="11">
        <v>162074.63</v>
      </c>
      <c r="E1702" s="11">
        <v>26564.959999999999</v>
      </c>
      <c r="F1702" s="12">
        <v>45487</v>
      </c>
      <c r="G1702" s="12">
        <v>45564</v>
      </c>
      <c r="H1702" s="11" t="s">
        <v>3620</v>
      </c>
      <c r="I1702" s="11" t="s">
        <v>3373</v>
      </c>
      <c r="J1702" s="13" t="str" cm="1">
        <f t="array" ref="J1702">_xlfn.IFS(
  OR(ISBLANK(A1702),ISBLANK(B1702),ISBLANK(H1702),ISBLANK(D1702),ISBLANK(E1702)),"Missing Value",
  D1702&lt;=0,"Review – Out of Range (Coverage)",
  E1702&lt;=0,"Review – Out of Range (Premium)",
  TRUE,"OK"
)</f>
        <v>OK</v>
      </c>
    </row>
    <row r="1703" spans="1:10" ht="16.8" x14ac:dyDescent="0.3">
      <c r="A1703" s="14" t="s">
        <v>5363</v>
      </c>
      <c r="B1703" s="14" t="s">
        <v>1217</v>
      </c>
      <c r="C1703" s="14" t="s">
        <v>3371</v>
      </c>
      <c r="D1703" s="14">
        <v>142359.56</v>
      </c>
      <c r="E1703" s="14">
        <v>10187.89</v>
      </c>
      <c r="F1703" s="15">
        <v>45181</v>
      </c>
      <c r="G1703" s="15">
        <v>45657</v>
      </c>
      <c r="H1703" s="14" t="s">
        <v>4064</v>
      </c>
      <c r="I1703" s="14" t="s">
        <v>3365</v>
      </c>
      <c r="J1703" s="13" t="str" cm="1">
        <f t="array" ref="J1703">_xlfn.IFS(
  OR(ISBLANK(A1703),ISBLANK(B1703),ISBLANK(H1703),ISBLANK(D1703),ISBLANK(E1703)),"Missing Value",
  D1703&lt;=0,"Review – Out of Range (Coverage)",
  E1703&lt;=0,"Review – Out of Range (Premium)",
  TRUE,"OK"
)</f>
        <v>OK</v>
      </c>
    </row>
    <row r="1704" spans="1:10" ht="16.8" x14ac:dyDescent="0.3">
      <c r="A1704" s="11" t="s">
        <v>5364</v>
      </c>
      <c r="B1704" s="11" t="s">
        <v>2521</v>
      </c>
      <c r="C1704" s="11" t="s">
        <v>3380</v>
      </c>
      <c r="D1704" s="11">
        <v>589700.30000000005</v>
      </c>
      <c r="E1704" s="11">
        <v>36855.46</v>
      </c>
      <c r="F1704" s="12">
        <v>44494</v>
      </c>
      <c r="G1704" s="12">
        <v>44655</v>
      </c>
      <c r="H1704" s="11" t="s">
        <v>4244</v>
      </c>
      <c r="I1704" s="11" t="s">
        <v>3361</v>
      </c>
      <c r="J1704" s="13" t="str" cm="1">
        <f t="array" ref="J1704">_xlfn.IFS(
  OR(ISBLANK(A1704),ISBLANK(B1704),ISBLANK(H1704),ISBLANK(D1704),ISBLANK(E1704)),"Missing Value",
  D1704&lt;=0,"Review – Out of Range (Coverage)",
  E1704&lt;=0,"Review – Out of Range (Premium)",
  TRUE,"OK"
)</f>
        <v>OK</v>
      </c>
    </row>
    <row r="1705" spans="1:10" ht="16.8" x14ac:dyDescent="0.3">
      <c r="A1705" s="14" t="s">
        <v>5365</v>
      </c>
      <c r="B1705" s="14" t="s">
        <v>1695</v>
      </c>
      <c r="C1705" s="14" t="s">
        <v>3363</v>
      </c>
      <c r="D1705" s="14">
        <v>919080.25</v>
      </c>
      <c r="E1705" s="14">
        <v>34500.85</v>
      </c>
      <c r="F1705" s="15">
        <v>44634</v>
      </c>
      <c r="G1705" s="15">
        <v>44895</v>
      </c>
      <c r="H1705" s="14" t="s">
        <v>3463</v>
      </c>
      <c r="I1705" s="14" t="s">
        <v>3373</v>
      </c>
      <c r="J1705" s="13" t="str" cm="1">
        <f t="array" ref="J1705">_xlfn.IFS(
  OR(ISBLANK(A1705),ISBLANK(B1705),ISBLANK(H1705),ISBLANK(D1705),ISBLANK(E1705)),"Missing Value",
  D1705&lt;=0,"Review – Out of Range (Coverage)",
  E1705&lt;=0,"Review – Out of Range (Premium)",
  TRUE,"OK"
)</f>
        <v>OK</v>
      </c>
    </row>
    <row r="1706" spans="1:10" ht="16.8" x14ac:dyDescent="0.3">
      <c r="A1706" s="11" t="s">
        <v>5366</v>
      </c>
      <c r="B1706" s="11" t="s">
        <v>937</v>
      </c>
      <c r="C1706" s="11" t="s">
        <v>3380</v>
      </c>
      <c r="D1706" s="11">
        <v>877196.54</v>
      </c>
      <c r="E1706" s="11">
        <v>10216.700000000001</v>
      </c>
      <c r="F1706" s="12">
        <v>44443</v>
      </c>
      <c r="G1706" s="12">
        <v>45483</v>
      </c>
      <c r="H1706" s="11" t="s">
        <v>3939</v>
      </c>
      <c r="I1706" s="11" t="s">
        <v>3365</v>
      </c>
      <c r="J1706" s="13" t="str" cm="1">
        <f t="array" ref="J1706">_xlfn.IFS(
  OR(ISBLANK(A1706),ISBLANK(B1706),ISBLANK(H1706),ISBLANK(D1706),ISBLANK(E1706)),"Missing Value",
  D1706&lt;=0,"Review – Out of Range (Coverage)",
  E1706&lt;=0,"Review – Out of Range (Premium)",
  TRUE,"OK"
)</f>
        <v>OK</v>
      </c>
    </row>
    <row r="1707" spans="1:10" ht="16.8" x14ac:dyDescent="0.3">
      <c r="A1707" s="14" t="s">
        <v>5367</v>
      </c>
      <c r="B1707" s="14" t="s">
        <v>2231</v>
      </c>
      <c r="C1707" s="14" t="s">
        <v>3380</v>
      </c>
      <c r="D1707" s="14">
        <v>362856.57</v>
      </c>
      <c r="E1707" s="14">
        <v>7715.16</v>
      </c>
      <c r="F1707" s="15">
        <v>44922</v>
      </c>
      <c r="G1707" s="15">
        <v>45598</v>
      </c>
      <c r="H1707" s="14" t="s">
        <v>3423</v>
      </c>
      <c r="I1707" s="14" t="s">
        <v>3373</v>
      </c>
      <c r="J1707" s="13" t="str" cm="1">
        <f t="array" ref="J1707">_xlfn.IFS(
  OR(ISBLANK(A1707),ISBLANK(B1707),ISBLANK(H1707),ISBLANK(D1707),ISBLANK(E1707)),"Missing Value",
  D1707&lt;=0,"Review – Out of Range (Coverage)",
  E1707&lt;=0,"Review – Out of Range (Premium)",
  TRUE,"OK"
)</f>
        <v>OK</v>
      </c>
    </row>
    <row r="1708" spans="1:10" ht="16.8" x14ac:dyDescent="0.3">
      <c r="A1708" s="11" t="s">
        <v>5368</v>
      </c>
      <c r="B1708" s="11" t="s">
        <v>2997</v>
      </c>
      <c r="C1708" s="11" t="s">
        <v>3363</v>
      </c>
      <c r="D1708" s="11">
        <v>708378.07</v>
      </c>
      <c r="E1708" s="11">
        <v>11435.04</v>
      </c>
      <c r="F1708" s="12">
        <v>45040</v>
      </c>
      <c r="G1708" s="12">
        <v>45603</v>
      </c>
      <c r="H1708" s="11" t="s">
        <v>4398</v>
      </c>
      <c r="I1708" s="11" t="s">
        <v>3373</v>
      </c>
      <c r="J1708" s="13" t="str" cm="1">
        <f t="array" ref="J1708">_xlfn.IFS(
  OR(ISBLANK(A1708),ISBLANK(B1708),ISBLANK(H1708),ISBLANK(D1708),ISBLANK(E1708)),"Missing Value",
  D1708&lt;=0,"Review – Out of Range (Coverage)",
  E1708&lt;=0,"Review – Out of Range (Premium)",
  TRUE,"OK"
)</f>
        <v>OK</v>
      </c>
    </row>
    <row r="1709" spans="1:10" ht="16.8" x14ac:dyDescent="0.3">
      <c r="A1709" s="14" t="s">
        <v>5369</v>
      </c>
      <c r="B1709" s="14" t="s">
        <v>763</v>
      </c>
      <c r="C1709" s="14" t="s">
        <v>3371</v>
      </c>
      <c r="D1709" s="14">
        <v>498499.66</v>
      </c>
      <c r="E1709" s="14">
        <v>26481.37</v>
      </c>
      <c r="F1709" s="15">
        <v>44104</v>
      </c>
      <c r="G1709" s="15">
        <v>44263</v>
      </c>
      <c r="H1709" s="14" t="s">
        <v>3830</v>
      </c>
      <c r="I1709" s="14" t="s">
        <v>3365</v>
      </c>
      <c r="J1709" s="13" t="str" cm="1">
        <f t="array" ref="J1709">_xlfn.IFS(
  OR(ISBLANK(A1709),ISBLANK(B1709),ISBLANK(H1709),ISBLANK(D1709),ISBLANK(E1709)),"Missing Value",
  D1709&lt;=0,"Review – Out of Range (Coverage)",
  E1709&lt;=0,"Review – Out of Range (Premium)",
  TRUE,"OK"
)</f>
        <v>OK</v>
      </c>
    </row>
    <row r="1710" spans="1:10" ht="16.8" x14ac:dyDescent="0.3">
      <c r="A1710" s="11" t="s">
        <v>5370</v>
      </c>
      <c r="B1710" s="11" t="s">
        <v>2023</v>
      </c>
      <c r="C1710" s="11" t="s">
        <v>3359</v>
      </c>
      <c r="D1710" s="11">
        <v>814527.21</v>
      </c>
      <c r="E1710" s="11">
        <v>38202.19</v>
      </c>
      <c r="F1710" s="12">
        <v>45419</v>
      </c>
      <c r="G1710" s="12">
        <v>45474</v>
      </c>
      <c r="H1710" s="11" t="s">
        <v>3456</v>
      </c>
      <c r="I1710" s="11" t="s">
        <v>3365</v>
      </c>
      <c r="J1710" s="13" t="str" cm="1">
        <f t="array" ref="J1710">_xlfn.IFS(
  OR(ISBLANK(A1710),ISBLANK(B1710),ISBLANK(H1710),ISBLANK(D1710),ISBLANK(E1710)),"Missing Value",
  D1710&lt;=0,"Review – Out of Range (Coverage)",
  E1710&lt;=0,"Review – Out of Range (Premium)",
  TRUE,"OK"
)</f>
        <v>OK</v>
      </c>
    </row>
    <row r="1711" spans="1:10" ht="16.8" x14ac:dyDescent="0.3">
      <c r="A1711" s="14" t="s">
        <v>5371</v>
      </c>
      <c r="B1711" s="14" t="s">
        <v>2899</v>
      </c>
      <c r="C1711" s="14" t="s">
        <v>3377</v>
      </c>
      <c r="D1711" s="14">
        <v>461145.22</v>
      </c>
      <c r="E1711" s="14">
        <v>47243.27</v>
      </c>
      <c r="F1711" s="15">
        <v>45427</v>
      </c>
      <c r="G1711" s="15">
        <v>45749</v>
      </c>
      <c r="H1711" s="14" t="s">
        <v>3423</v>
      </c>
      <c r="I1711" s="14" t="s">
        <v>3361</v>
      </c>
      <c r="J1711" s="13" t="str" cm="1">
        <f t="array" ref="J1711">_xlfn.IFS(
  OR(ISBLANK(A1711),ISBLANK(B1711),ISBLANK(H1711),ISBLANK(D1711),ISBLANK(E1711)),"Missing Value",
  D1711&lt;=0,"Review – Out of Range (Coverage)",
  E1711&lt;=0,"Review – Out of Range (Premium)",
  TRUE,"OK"
)</f>
        <v>OK</v>
      </c>
    </row>
    <row r="1712" spans="1:10" ht="16.8" x14ac:dyDescent="0.3">
      <c r="A1712" s="11" t="s">
        <v>5372</v>
      </c>
      <c r="B1712" s="11" t="s">
        <v>1213</v>
      </c>
      <c r="C1712" s="11" t="s">
        <v>3359</v>
      </c>
      <c r="D1712" s="11">
        <v>864495.14</v>
      </c>
      <c r="E1712" s="11">
        <v>29663.93</v>
      </c>
      <c r="F1712" s="12">
        <v>45313</v>
      </c>
      <c r="G1712" s="12">
        <v>45741</v>
      </c>
      <c r="H1712" s="11" t="s">
        <v>3401</v>
      </c>
      <c r="I1712" s="11" t="s">
        <v>3373</v>
      </c>
      <c r="J1712" s="13" t="str" cm="1">
        <f t="array" ref="J1712">_xlfn.IFS(
  OR(ISBLANK(A1712),ISBLANK(B1712),ISBLANK(H1712),ISBLANK(D1712),ISBLANK(E1712)),"Missing Value",
  D1712&lt;=0,"Review – Out of Range (Coverage)",
  E1712&lt;=0,"Review – Out of Range (Premium)",
  TRUE,"OK"
)</f>
        <v>OK</v>
      </c>
    </row>
    <row r="1713" spans="1:10" ht="16.8" x14ac:dyDescent="0.3">
      <c r="A1713" s="14" t="s">
        <v>5373</v>
      </c>
      <c r="B1713" s="14" t="s">
        <v>1051</v>
      </c>
      <c r="C1713" s="14" t="s">
        <v>3363</v>
      </c>
      <c r="D1713" s="14">
        <v>808352.83</v>
      </c>
      <c r="E1713" s="14">
        <v>4789.8</v>
      </c>
      <c r="F1713" s="15">
        <v>45410</v>
      </c>
      <c r="G1713" s="15">
        <v>45546</v>
      </c>
      <c r="H1713" s="14" t="s">
        <v>3434</v>
      </c>
      <c r="I1713" s="14" t="s">
        <v>3373</v>
      </c>
      <c r="J1713" s="13" t="str" cm="1">
        <f t="array" ref="J1713">_xlfn.IFS(
  OR(ISBLANK(A1713),ISBLANK(B1713),ISBLANK(H1713),ISBLANK(D1713),ISBLANK(E1713)),"Missing Value",
  D1713&lt;=0,"Review – Out of Range (Coverage)",
  E1713&lt;=0,"Review – Out of Range (Premium)",
  TRUE,"OK"
)</f>
        <v>OK</v>
      </c>
    </row>
    <row r="1714" spans="1:10" ht="16.8" x14ac:dyDescent="0.3">
      <c r="A1714" s="11" t="s">
        <v>5374</v>
      </c>
      <c r="B1714" s="11" t="s">
        <v>3100</v>
      </c>
      <c r="C1714" s="11" t="s">
        <v>3359</v>
      </c>
      <c r="D1714" s="11">
        <v>386373.74</v>
      </c>
      <c r="E1714" s="11">
        <v>11169.09</v>
      </c>
      <c r="F1714" s="12">
        <v>45283</v>
      </c>
      <c r="G1714" s="12">
        <v>45383</v>
      </c>
      <c r="H1714" s="11" t="s">
        <v>3738</v>
      </c>
      <c r="I1714" s="11" t="s">
        <v>3361</v>
      </c>
      <c r="J1714" s="13" t="str" cm="1">
        <f t="array" ref="J1714">_xlfn.IFS(
  OR(ISBLANK(A1714),ISBLANK(B1714),ISBLANK(H1714),ISBLANK(D1714),ISBLANK(E1714)),"Missing Value",
  D1714&lt;=0,"Review – Out of Range (Coverage)",
  E1714&lt;=0,"Review – Out of Range (Premium)",
  TRUE,"OK"
)</f>
        <v>OK</v>
      </c>
    </row>
    <row r="1715" spans="1:10" ht="16.8" x14ac:dyDescent="0.3">
      <c r="A1715" s="14" t="s">
        <v>5375</v>
      </c>
      <c r="B1715" s="14" t="s">
        <v>1353</v>
      </c>
      <c r="C1715" s="14" t="s">
        <v>3363</v>
      </c>
      <c r="D1715" s="14">
        <v>368682.74</v>
      </c>
      <c r="E1715" s="14">
        <v>23320.959999999999</v>
      </c>
      <c r="F1715" s="15">
        <v>45067</v>
      </c>
      <c r="G1715" s="15">
        <v>45574</v>
      </c>
      <c r="H1715" s="14" t="s">
        <v>3752</v>
      </c>
      <c r="I1715" s="14" t="s">
        <v>3365</v>
      </c>
      <c r="J1715" s="13" t="str" cm="1">
        <f t="array" ref="J1715">_xlfn.IFS(
  OR(ISBLANK(A1715),ISBLANK(B1715),ISBLANK(H1715),ISBLANK(D1715),ISBLANK(E1715)),"Missing Value",
  D1715&lt;=0,"Review – Out of Range (Coverage)",
  E1715&lt;=0,"Review – Out of Range (Premium)",
  TRUE,"OK"
)</f>
        <v>OK</v>
      </c>
    </row>
    <row r="1716" spans="1:10" ht="16.8" x14ac:dyDescent="0.3">
      <c r="A1716" s="11" t="s">
        <v>5376</v>
      </c>
      <c r="B1716" s="11" t="s">
        <v>2679</v>
      </c>
      <c r="C1716" s="11" t="s">
        <v>3380</v>
      </c>
      <c r="D1716" s="11">
        <v>999428.31</v>
      </c>
      <c r="E1716" s="11">
        <v>24779.9</v>
      </c>
      <c r="F1716" s="12">
        <v>45336</v>
      </c>
      <c r="G1716" s="12">
        <v>45465</v>
      </c>
      <c r="H1716" s="11" t="s">
        <v>3750</v>
      </c>
      <c r="I1716" s="11" t="s">
        <v>3365</v>
      </c>
      <c r="J1716" s="13" t="str" cm="1">
        <f t="array" ref="J1716">_xlfn.IFS(
  OR(ISBLANK(A1716),ISBLANK(B1716),ISBLANK(H1716),ISBLANK(D1716),ISBLANK(E1716)),"Missing Value",
  D1716&lt;=0,"Review – Out of Range (Coverage)",
  E1716&lt;=0,"Review – Out of Range (Premium)",
  TRUE,"OK"
)</f>
        <v>OK</v>
      </c>
    </row>
    <row r="1717" spans="1:10" ht="16.8" x14ac:dyDescent="0.3">
      <c r="A1717" s="14" t="s">
        <v>5377</v>
      </c>
      <c r="B1717" s="14" t="s">
        <v>1059</v>
      </c>
      <c r="C1717" s="14" t="s">
        <v>3371</v>
      </c>
      <c r="D1717" s="14">
        <v>718493.37</v>
      </c>
      <c r="E1717" s="14">
        <v>13180.39</v>
      </c>
      <c r="F1717" s="15">
        <v>45079</v>
      </c>
      <c r="G1717" s="15">
        <v>45686</v>
      </c>
      <c r="H1717" s="14" t="s">
        <v>3670</v>
      </c>
      <c r="I1717" s="14" t="s">
        <v>3365</v>
      </c>
      <c r="J1717" s="13" t="str" cm="1">
        <f t="array" ref="J1717">_xlfn.IFS(
  OR(ISBLANK(A1717),ISBLANK(B1717),ISBLANK(H1717),ISBLANK(D1717),ISBLANK(E1717)),"Missing Value",
  D1717&lt;=0,"Review – Out of Range (Coverage)",
  E1717&lt;=0,"Review – Out of Range (Premium)",
  TRUE,"OK"
)</f>
        <v>OK</v>
      </c>
    </row>
    <row r="1718" spans="1:10" ht="16.8" x14ac:dyDescent="0.3">
      <c r="A1718" s="11" t="s">
        <v>5378</v>
      </c>
      <c r="B1718" s="11" t="s">
        <v>206</v>
      </c>
      <c r="C1718" s="11" t="s">
        <v>3377</v>
      </c>
      <c r="D1718" s="11">
        <v>882176.03</v>
      </c>
      <c r="E1718" s="11">
        <v>15074.08</v>
      </c>
      <c r="F1718" s="12">
        <v>45187</v>
      </c>
      <c r="G1718" s="12">
        <v>45787</v>
      </c>
      <c r="H1718" s="11" t="s">
        <v>4161</v>
      </c>
      <c r="I1718" s="11" t="s">
        <v>3365</v>
      </c>
      <c r="J1718" s="13" t="str" cm="1">
        <f t="array" ref="J1718">_xlfn.IFS(
  OR(ISBLANK(A1718),ISBLANK(B1718),ISBLANK(H1718),ISBLANK(D1718),ISBLANK(E1718)),"Missing Value",
  D1718&lt;=0,"Review – Out of Range (Coverage)",
  E1718&lt;=0,"Review – Out of Range (Premium)",
  TRUE,"OK"
)</f>
        <v>OK</v>
      </c>
    </row>
    <row r="1719" spans="1:10" ht="16.8" x14ac:dyDescent="0.3">
      <c r="A1719" s="14" t="s">
        <v>5379</v>
      </c>
      <c r="B1719" s="14" t="s">
        <v>1705</v>
      </c>
      <c r="C1719" s="14" t="s">
        <v>3359</v>
      </c>
      <c r="D1719" s="14">
        <v>804014.23</v>
      </c>
      <c r="E1719" s="14">
        <v>24627.95</v>
      </c>
      <c r="F1719" s="15">
        <v>45340</v>
      </c>
      <c r="G1719" s="15">
        <v>45445</v>
      </c>
      <c r="H1719" s="14" t="s">
        <v>3465</v>
      </c>
      <c r="I1719" s="14" t="s">
        <v>3361</v>
      </c>
      <c r="J1719" s="13" t="str" cm="1">
        <f t="array" ref="J1719">_xlfn.IFS(
  OR(ISBLANK(A1719),ISBLANK(B1719),ISBLANK(H1719),ISBLANK(D1719),ISBLANK(E1719)),"Missing Value",
  D1719&lt;=0,"Review – Out of Range (Coverage)",
  E1719&lt;=0,"Review – Out of Range (Premium)",
  TRUE,"OK"
)</f>
        <v>OK</v>
      </c>
    </row>
    <row r="1720" spans="1:10" ht="16.8" x14ac:dyDescent="0.3">
      <c r="A1720" s="11" t="s">
        <v>5380</v>
      </c>
      <c r="B1720" s="11" t="s">
        <v>2273</v>
      </c>
      <c r="C1720" s="11" t="s">
        <v>3377</v>
      </c>
      <c r="D1720" s="11">
        <v>664673.14</v>
      </c>
      <c r="E1720" s="11">
        <v>31719.4</v>
      </c>
      <c r="F1720" s="12">
        <v>44818</v>
      </c>
      <c r="G1720" s="12">
        <v>45311</v>
      </c>
      <c r="H1720" s="11" t="s">
        <v>3827</v>
      </c>
      <c r="I1720" s="11" t="s">
        <v>3365</v>
      </c>
      <c r="J1720" s="13" t="str" cm="1">
        <f t="array" ref="J1720">_xlfn.IFS(
  OR(ISBLANK(A1720),ISBLANK(B1720),ISBLANK(H1720),ISBLANK(D1720),ISBLANK(E1720)),"Missing Value",
  D1720&lt;=0,"Review – Out of Range (Coverage)",
  E1720&lt;=0,"Review – Out of Range (Premium)",
  TRUE,"OK"
)</f>
        <v>OK</v>
      </c>
    </row>
    <row r="1721" spans="1:10" ht="16.8" x14ac:dyDescent="0.3">
      <c r="A1721" s="14" t="s">
        <v>5381</v>
      </c>
      <c r="B1721" s="14" t="s">
        <v>633</v>
      </c>
      <c r="C1721" s="14" t="s">
        <v>3380</v>
      </c>
      <c r="D1721" s="14">
        <v>698096.67</v>
      </c>
      <c r="E1721" s="14">
        <v>29310.11</v>
      </c>
      <c r="F1721" s="15">
        <v>44755</v>
      </c>
      <c r="G1721" s="15">
        <v>45856</v>
      </c>
      <c r="H1721" s="14" t="s">
        <v>3830</v>
      </c>
      <c r="I1721" s="14" t="s">
        <v>3373</v>
      </c>
      <c r="J1721" s="13" t="str" cm="1">
        <f t="array" ref="J1721">_xlfn.IFS(
  OR(ISBLANK(A1721),ISBLANK(B1721),ISBLANK(H1721),ISBLANK(D1721),ISBLANK(E1721)),"Missing Value",
  D1721&lt;=0,"Review – Out of Range (Coverage)",
  E1721&lt;=0,"Review – Out of Range (Premium)",
  TRUE,"OK"
)</f>
        <v>OK</v>
      </c>
    </row>
    <row r="1722" spans="1:10" ht="16.8" x14ac:dyDescent="0.3">
      <c r="A1722" s="11" t="s">
        <v>5382</v>
      </c>
      <c r="B1722" s="11" t="s">
        <v>1381</v>
      </c>
      <c r="C1722" s="11" t="s">
        <v>3359</v>
      </c>
      <c r="D1722" s="11">
        <v>563107.25</v>
      </c>
      <c r="E1722" s="11">
        <v>26607.88</v>
      </c>
      <c r="F1722" s="12">
        <v>45378</v>
      </c>
      <c r="G1722" s="12">
        <v>45579</v>
      </c>
      <c r="H1722" s="11" t="s">
        <v>3863</v>
      </c>
      <c r="I1722" s="11" t="s">
        <v>3373</v>
      </c>
      <c r="J1722" s="13" t="str" cm="1">
        <f t="array" ref="J1722">_xlfn.IFS(
  OR(ISBLANK(A1722),ISBLANK(B1722),ISBLANK(H1722),ISBLANK(D1722),ISBLANK(E1722)),"Missing Value",
  D1722&lt;=0,"Review – Out of Range (Coverage)",
  E1722&lt;=0,"Review – Out of Range (Premium)",
  TRUE,"OK"
)</f>
        <v>OK</v>
      </c>
    </row>
    <row r="1723" spans="1:10" ht="16.8" x14ac:dyDescent="0.3">
      <c r="A1723" s="14" t="s">
        <v>5383</v>
      </c>
      <c r="B1723" s="14" t="s">
        <v>911</v>
      </c>
      <c r="C1723" s="14" t="s">
        <v>3359</v>
      </c>
      <c r="D1723" s="14">
        <v>958098.41</v>
      </c>
      <c r="E1723" s="14">
        <v>6237.71</v>
      </c>
      <c r="F1723" s="15">
        <v>44177</v>
      </c>
      <c r="G1723" s="15">
        <v>44316</v>
      </c>
      <c r="H1723" s="14" t="s">
        <v>3607</v>
      </c>
      <c r="I1723" s="14" t="s">
        <v>3361</v>
      </c>
      <c r="J1723" s="13" t="str" cm="1">
        <f t="array" ref="J1723">_xlfn.IFS(
  OR(ISBLANK(A1723),ISBLANK(B1723),ISBLANK(H1723),ISBLANK(D1723),ISBLANK(E1723)),"Missing Value",
  D1723&lt;=0,"Review – Out of Range (Coverage)",
  E1723&lt;=0,"Review – Out of Range (Premium)",
  TRUE,"OK"
)</f>
        <v>OK</v>
      </c>
    </row>
    <row r="1724" spans="1:10" ht="16.8" x14ac:dyDescent="0.3">
      <c r="A1724" s="11" t="s">
        <v>5384</v>
      </c>
      <c r="B1724" s="11" t="s">
        <v>603</v>
      </c>
      <c r="C1724" s="11" t="s">
        <v>3377</v>
      </c>
      <c r="D1724" s="11">
        <v>239949.49</v>
      </c>
      <c r="E1724" s="11">
        <v>41007.79</v>
      </c>
      <c r="F1724" s="12">
        <v>44793</v>
      </c>
      <c r="G1724" s="12">
        <v>44932</v>
      </c>
      <c r="H1724" s="11" t="s">
        <v>3562</v>
      </c>
      <c r="I1724" s="11" t="s">
        <v>3373</v>
      </c>
      <c r="J1724" s="13" t="str" cm="1">
        <f t="array" ref="J1724">_xlfn.IFS(
  OR(ISBLANK(A1724),ISBLANK(B1724),ISBLANK(H1724),ISBLANK(D1724),ISBLANK(E1724)),"Missing Value",
  D1724&lt;=0,"Review – Out of Range (Coverage)",
  E1724&lt;=0,"Review – Out of Range (Premium)",
  TRUE,"OK"
)</f>
        <v>OK</v>
      </c>
    </row>
    <row r="1725" spans="1:10" ht="16.8" x14ac:dyDescent="0.3">
      <c r="A1725" s="14" t="s">
        <v>5385</v>
      </c>
      <c r="B1725" s="14" t="s">
        <v>877</v>
      </c>
      <c r="C1725" s="14" t="s">
        <v>3380</v>
      </c>
      <c r="D1725" s="14">
        <v>788637.37</v>
      </c>
      <c r="E1725" s="14">
        <v>7987.05</v>
      </c>
      <c r="F1725" s="15">
        <v>45101</v>
      </c>
      <c r="G1725" s="15">
        <v>45852</v>
      </c>
      <c r="H1725" s="14" t="s">
        <v>3393</v>
      </c>
      <c r="I1725" s="14" t="s">
        <v>3373</v>
      </c>
      <c r="J1725" s="13" t="str" cm="1">
        <f t="array" ref="J1725">_xlfn.IFS(
  OR(ISBLANK(A1725),ISBLANK(B1725),ISBLANK(H1725),ISBLANK(D1725),ISBLANK(E1725)),"Missing Value",
  D1725&lt;=0,"Review – Out of Range (Coverage)",
  E1725&lt;=0,"Review – Out of Range (Premium)",
  TRUE,"OK"
)</f>
        <v>OK</v>
      </c>
    </row>
    <row r="1726" spans="1:10" ht="16.8" x14ac:dyDescent="0.3">
      <c r="A1726" s="11" t="s">
        <v>5386</v>
      </c>
      <c r="B1726" s="11" t="s">
        <v>671</v>
      </c>
      <c r="C1726" s="11" t="s">
        <v>3359</v>
      </c>
      <c r="D1726" s="11">
        <v>184947.25</v>
      </c>
      <c r="E1726" s="11">
        <v>45964.07</v>
      </c>
      <c r="F1726" s="12">
        <v>45258</v>
      </c>
      <c r="G1726" s="12">
        <v>45782</v>
      </c>
      <c r="H1726" s="11" t="s">
        <v>4108</v>
      </c>
      <c r="I1726" s="11" t="s">
        <v>3365</v>
      </c>
      <c r="J1726" s="13" t="str" cm="1">
        <f t="array" ref="J1726">_xlfn.IFS(
  OR(ISBLANK(A1726),ISBLANK(B1726),ISBLANK(H1726),ISBLANK(D1726),ISBLANK(E1726)),"Missing Value",
  D1726&lt;=0,"Review – Out of Range (Coverage)",
  E1726&lt;=0,"Review – Out of Range (Premium)",
  TRUE,"OK"
)</f>
        <v>OK</v>
      </c>
    </row>
    <row r="1727" spans="1:10" ht="16.8" x14ac:dyDescent="0.3">
      <c r="A1727" s="14" t="s">
        <v>5387</v>
      </c>
      <c r="B1727" s="14" t="s">
        <v>1579</v>
      </c>
      <c r="C1727" s="14" t="s">
        <v>3371</v>
      </c>
      <c r="D1727" s="14">
        <v>803091.12</v>
      </c>
      <c r="E1727" s="14">
        <v>15489.87</v>
      </c>
      <c r="F1727" s="15">
        <v>45439</v>
      </c>
      <c r="G1727" s="15">
        <v>45846</v>
      </c>
      <c r="H1727" s="14" t="s">
        <v>4164</v>
      </c>
      <c r="I1727" s="14" t="s">
        <v>3373</v>
      </c>
      <c r="J1727" s="13" t="str" cm="1">
        <f t="array" ref="J1727">_xlfn.IFS(
  OR(ISBLANK(A1727),ISBLANK(B1727),ISBLANK(H1727),ISBLANK(D1727),ISBLANK(E1727)),"Missing Value",
  D1727&lt;=0,"Review – Out of Range (Coverage)",
  E1727&lt;=0,"Review – Out of Range (Premium)",
  TRUE,"OK"
)</f>
        <v>OK</v>
      </c>
    </row>
    <row r="1728" spans="1:10" ht="16.8" x14ac:dyDescent="0.3">
      <c r="A1728" s="11" t="s">
        <v>5388</v>
      </c>
      <c r="B1728" s="11" t="s">
        <v>2967</v>
      </c>
      <c r="C1728" s="11" t="s">
        <v>3359</v>
      </c>
      <c r="D1728" s="11">
        <v>154409.60000000001</v>
      </c>
      <c r="E1728" s="11">
        <v>12993.76</v>
      </c>
      <c r="F1728" s="12">
        <v>45023</v>
      </c>
      <c r="G1728" s="12">
        <v>45461</v>
      </c>
      <c r="H1728" s="11" t="s">
        <v>3526</v>
      </c>
      <c r="I1728" s="11" t="s">
        <v>3365</v>
      </c>
      <c r="J1728" s="13" t="str" cm="1">
        <f t="array" ref="J1728">_xlfn.IFS(
  OR(ISBLANK(A1728),ISBLANK(B1728),ISBLANK(H1728),ISBLANK(D1728),ISBLANK(E1728)),"Missing Value",
  D1728&lt;=0,"Review – Out of Range (Coverage)",
  E1728&lt;=0,"Review – Out of Range (Premium)",
  TRUE,"OK"
)</f>
        <v>OK</v>
      </c>
    </row>
    <row r="1729" spans="1:10" ht="16.8" x14ac:dyDescent="0.3">
      <c r="A1729" s="14" t="s">
        <v>5389</v>
      </c>
      <c r="B1729" s="14" t="s">
        <v>633</v>
      </c>
      <c r="C1729" s="14" t="s">
        <v>3380</v>
      </c>
      <c r="D1729" s="14">
        <v>580363.99</v>
      </c>
      <c r="E1729" s="14">
        <v>43154.05</v>
      </c>
      <c r="F1729" s="15">
        <v>45091</v>
      </c>
      <c r="G1729" s="15">
        <v>45092</v>
      </c>
      <c r="H1729" s="14" t="s">
        <v>3475</v>
      </c>
      <c r="I1729" s="14" t="s">
        <v>3373</v>
      </c>
      <c r="J1729" s="13" t="str" cm="1">
        <f t="array" ref="J1729">_xlfn.IFS(
  OR(ISBLANK(A1729),ISBLANK(B1729),ISBLANK(H1729),ISBLANK(D1729),ISBLANK(E1729)),"Missing Value",
  D1729&lt;=0,"Review – Out of Range (Coverage)",
  E1729&lt;=0,"Review – Out of Range (Premium)",
  TRUE,"OK"
)</f>
        <v>OK</v>
      </c>
    </row>
    <row r="1730" spans="1:10" ht="16.8" x14ac:dyDescent="0.3">
      <c r="A1730" s="11" t="s">
        <v>5390</v>
      </c>
      <c r="B1730" s="11" t="s">
        <v>2009</v>
      </c>
      <c r="C1730" s="11" t="s">
        <v>3371</v>
      </c>
      <c r="D1730" s="11">
        <v>771440.93</v>
      </c>
      <c r="E1730" s="11">
        <v>29245.5</v>
      </c>
      <c r="F1730" s="12">
        <v>45100</v>
      </c>
      <c r="G1730" s="12">
        <v>45192</v>
      </c>
      <c r="H1730" s="11" t="s">
        <v>3480</v>
      </c>
      <c r="I1730" s="11" t="s">
        <v>3365</v>
      </c>
      <c r="J1730" s="13" t="str" cm="1">
        <f t="array" ref="J1730">_xlfn.IFS(
  OR(ISBLANK(A1730),ISBLANK(B1730),ISBLANK(H1730),ISBLANK(D1730),ISBLANK(E1730)),"Missing Value",
  D1730&lt;=0,"Review – Out of Range (Coverage)",
  E1730&lt;=0,"Review – Out of Range (Premium)",
  TRUE,"OK"
)</f>
        <v>OK</v>
      </c>
    </row>
    <row r="1731" spans="1:10" ht="16.8" x14ac:dyDescent="0.3">
      <c r="A1731" s="14" t="s">
        <v>5391</v>
      </c>
      <c r="B1731" s="14" t="s">
        <v>947</v>
      </c>
      <c r="C1731" s="14" t="s">
        <v>3359</v>
      </c>
      <c r="D1731" s="14">
        <v>422623.42</v>
      </c>
      <c r="E1731" s="14">
        <v>44951.83</v>
      </c>
      <c r="F1731" s="15">
        <v>45481</v>
      </c>
      <c r="G1731" s="15">
        <v>45526</v>
      </c>
      <c r="H1731" s="14" t="s">
        <v>3939</v>
      </c>
      <c r="I1731" s="14" t="s">
        <v>3365</v>
      </c>
      <c r="J1731" s="13" t="str" cm="1">
        <f t="array" ref="J1731">_xlfn.IFS(
  OR(ISBLANK(A1731),ISBLANK(B1731),ISBLANK(H1731),ISBLANK(D1731),ISBLANK(E1731)),"Missing Value",
  D1731&lt;=0,"Review – Out of Range (Coverage)",
  E1731&lt;=0,"Review – Out of Range (Premium)",
  TRUE,"OK"
)</f>
        <v>OK</v>
      </c>
    </row>
    <row r="1732" spans="1:10" ht="16.8" x14ac:dyDescent="0.3">
      <c r="A1732" s="11" t="s">
        <v>5392</v>
      </c>
      <c r="B1732" s="11" t="s">
        <v>3128</v>
      </c>
      <c r="C1732" s="11" t="s">
        <v>3380</v>
      </c>
      <c r="D1732" s="11">
        <v>677910.44</v>
      </c>
      <c r="E1732" s="11">
        <v>28457.98</v>
      </c>
      <c r="F1732" s="12">
        <v>44408</v>
      </c>
      <c r="G1732" s="12">
        <v>45445</v>
      </c>
      <c r="H1732" s="11" t="s">
        <v>4170</v>
      </c>
      <c r="I1732" s="11" t="s">
        <v>3373</v>
      </c>
      <c r="J1732" s="13" t="str" cm="1">
        <f t="array" ref="J1732">_xlfn.IFS(
  OR(ISBLANK(A1732),ISBLANK(B1732),ISBLANK(H1732),ISBLANK(D1732),ISBLANK(E1732)),"Missing Value",
  D1732&lt;=0,"Review – Out of Range (Coverage)",
  E1732&lt;=0,"Review – Out of Range (Premium)",
  TRUE,"OK"
)</f>
        <v>OK</v>
      </c>
    </row>
    <row r="1733" spans="1:10" ht="16.8" x14ac:dyDescent="0.3">
      <c r="A1733" s="14" t="s">
        <v>5393</v>
      </c>
      <c r="B1733" s="14" t="s">
        <v>2341</v>
      </c>
      <c r="C1733" s="14" t="s">
        <v>3359</v>
      </c>
      <c r="D1733" s="14">
        <v>345453.05</v>
      </c>
      <c r="E1733" s="14">
        <v>49688.79</v>
      </c>
      <c r="F1733" s="15">
        <v>44888</v>
      </c>
      <c r="G1733" s="15">
        <v>45380</v>
      </c>
      <c r="H1733" s="14" t="s">
        <v>3415</v>
      </c>
      <c r="I1733" s="14" t="s">
        <v>3365</v>
      </c>
      <c r="J1733" s="13" t="str" cm="1">
        <f t="array" ref="J1733">_xlfn.IFS(
  OR(ISBLANK(A1733),ISBLANK(B1733),ISBLANK(H1733),ISBLANK(D1733),ISBLANK(E1733)),"Missing Value",
  D1733&lt;=0,"Review – Out of Range (Coverage)",
  E1733&lt;=0,"Review – Out of Range (Premium)",
  TRUE,"OK"
)</f>
        <v>OK</v>
      </c>
    </row>
    <row r="1734" spans="1:10" ht="16.8" x14ac:dyDescent="0.3">
      <c r="A1734" s="11" t="s">
        <v>5394</v>
      </c>
      <c r="B1734" s="11" t="s">
        <v>1499</v>
      </c>
      <c r="C1734" s="11" t="s">
        <v>3380</v>
      </c>
      <c r="D1734" s="11">
        <v>692882.87</v>
      </c>
      <c r="E1734" s="11">
        <v>42372.49</v>
      </c>
      <c r="F1734" s="12">
        <v>44125</v>
      </c>
      <c r="G1734" s="12">
        <v>45127</v>
      </c>
      <c r="H1734" s="11" t="s">
        <v>4900</v>
      </c>
      <c r="I1734" s="11" t="s">
        <v>3373</v>
      </c>
      <c r="J1734" s="13" t="str" cm="1">
        <f t="array" ref="J1734">_xlfn.IFS(
  OR(ISBLANK(A1734),ISBLANK(B1734),ISBLANK(H1734),ISBLANK(D1734),ISBLANK(E1734)),"Missing Value",
  D1734&lt;=0,"Review – Out of Range (Coverage)",
  E1734&lt;=0,"Review – Out of Range (Premium)",
  TRUE,"OK"
)</f>
        <v>OK</v>
      </c>
    </row>
    <row r="1735" spans="1:10" ht="16.8" x14ac:dyDescent="0.3">
      <c r="A1735" s="14" t="s">
        <v>5395</v>
      </c>
      <c r="B1735" s="14" t="s">
        <v>2497</v>
      </c>
      <c r="C1735" s="14" t="s">
        <v>3380</v>
      </c>
      <c r="D1735" s="14">
        <v>960701.05</v>
      </c>
      <c r="E1735" s="14">
        <v>19144.580000000002</v>
      </c>
      <c r="F1735" s="15">
        <v>45105</v>
      </c>
      <c r="G1735" s="15">
        <v>45334</v>
      </c>
      <c r="H1735" s="14" t="s">
        <v>3792</v>
      </c>
      <c r="I1735" s="14" t="s">
        <v>3365</v>
      </c>
      <c r="J1735" s="13" t="str" cm="1">
        <f t="array" ref="J1735">_xlfn.IFS(
  OR(ISBLANK(A1735),ISBLANK(B1735),ISBLANK(H1735),ISBLANK(D1735),ISBLANK(E1735)),"Missing Value",
  D1735&lt;=0,"Review – Out of Range (Coverage)",
  E1735&lt;=0,"Review – Out of Range (Premium)",
  TRUE,"OK"
)</f>
        <v>OK</v>
      </c>
    </row>
    <row r="1736" spans="1:10" ht="16.8" x14ac:dyDescent="0.3">
      <c r="A1736" s="11" t="s">
        <v>5396</v>
      </c>
      <c r="B1736" s="11" t="s">
        <v>290</v>
      </c>
      <c r="C1736" s="11" t="s">
        <v>3363</v>
      </c>
      <c r="D1736" s="11">
        <v>263693.01</v>
      </c>
      <c r="E1736" s="11">
        <v>49713.09</v>
      </c>
      <c r="F1736" s="12">
        <v>45378</v>
      </c>
      <c r="G1736" s="12">
        <v>45481</v>
      </c>
      <c r="H1736" s="11" t="s">
        <v>4511</v>
      </c>
      <c r="I1736" s="11" t="s">
        <v>3365</v>
      </c>
      <c r="J1736" s="13" t="str" cm="1">
        <f t="array" ref="J1736">_xlfn.IFS(
  OR(ISBLANK(A1736),ISBLANK(B1736),ISBLANK(H1736),ISBLANK(D1736),ISBLANK(E1736)),"Missing Value",
  D1736&lt;=0,"Review – Out of Range (Coverage)",
  E1736&lt;=0,"Review – Out of Range (Premium)",
  TRUE,"OK"
)</f>
        <v>OK</v>
      </c>
    </row>
    <row r="1737" spans="1:10" ht="16.8" x14ac:dyDescent="0.3">
      <c r="A1737" s="14" t="s">
        <v>5397</v>
      </c>
      <c r="B1737" s="14" t="s">
        <v>2087</v>
      </c>
      <c r="C1737" s="14" t="s">
        <v>3380</v>
      </c>
      <c r="D1737" s="14">
        <v>650812.43000000005</v>
      </c>
      <c r="E1737" s="14">
        <v>29957.61</v>
      </c>
      <c r="F1737" s="15">
        <v>45105</v>
      </c>
      <c r="G1737" s="15">
        <v>45689</v>
      </c>
      <c r="H1737" s="14" t="s">
        <v>3748</v>
      </c>
      <c r="I1737" s="14" t="s">
        <v>3373</v>
      </c>
      <c r="J1737" s="13" t="str" cm="1">
        <f t="array" ref="J1737">_xlfn.IFS(
  OR(ISBLANK(A1737),ISBLANK(B1737),ISBLANK(H1737),ISBLANK(D1737),ISBLANK(E1737)),"Missing Value",
  D1737&lt;=0,"Review – Out of Range (Coverage)",
  E1737&lt;=0,"Review – Out of Range (Premium)",
  TRUE,"OK"
)</f>
        <v>OK</v>
      </c>
    </row>
    <row r="1738" spans="1:10" ht="16.8" x14ac:dyDescent="0.3">
      <c r="A1738" s="11" t="s">
        <v>5398</v>
      </c>
      <c r="B1738" s="11" t="s">
        <v>2863</v>
      </c>
      <c r="C1738" s="11" t="s">
        <v>3377</v>
      </c>
      <c r="D1738" s="11">
        <v>588613.06999999995</v>
      </c>
      <c r="E1738" s="11">
        <v>35990.839999999997</v>
      </c>
      <c r="F1738" s="12">
        <v>44988</v>
      </c>
      <c r="G1738" s="12">
        <v>45282</v>
      </c>
      <c r="H1738" s="11" t="s">
        <v>3381</v>
      </c>
      <c r="I1738" s="11" t="s">
        <v>3365</v>
      </c>
      <c r="J1738" s="13" t="str" cm="1">
        <f t="array" ref="J1738">_xlfn.IFS(
  OR(ISBLANK(A1738),ISBLANK(B1738),ISBLANK(H1738),ISBLANK(D1738),ISBLANK(E1738)),"Missing Value",
  D1738&lt;=0,"Review – Out of Range (Coverage)",
  E1738&lt;=0,"Review – Out of Range (Premium)",
  TRUE,"OK"
)</f>
        <v>OK</v>
      </c>
    </row>
    <row r="1739" spans="1:10" ht="16.8" x14ac:dyDescent="0.3">
      <c r="A1739" s="14" t="s">
        <v>5399</v>
      </c>
      <c r="B1739" s="14" t="s">
        <v>2049</v>
      </c>
      <c r="C1739" s="14" t="s">
        <v>3359</v>
      </c>
      <c r="D1739" s="14">
        <v>375506.4</v>
      </c>
      <c r="E1739" s="14">
        <v>35070.879999999997</v>
      </c>
      <c r="F1739" s="15">
        <v>45074</v>
      </c>
      <c r="G1739" s="15">
        <v>45264</v>
      </c>
      <c r="H1739" s="14" t="s">
        <v>3385</v>
      </c>
      <c r="I1739" s="14" t="s">
        <v>3361</v>
      </c>
      <c r="J1739" s="13" t="str" cm="1">
        <f t="array" ref="J1739">_xlfn.IFS(
  OR(ISBLANK(A1739),ISBLANK(B1739),ISBLANK(H1739),ISBLANK(D1739),ISBLANK(E1739)),"Missing Value",
  D1739&lt;=0,"Review – Out of Range (Coverage)",
  E1739&lt;=0,"Review – Out of Range (Premium)",
  TRUE,"OK"
)</f>
        <v>OK</v>
      </c>
    </row>
    <row r="1740" spans="1:10" ht="16.8" x14ac:dyDescent="0.3">
      <c r="A1740" s="11" t="s">
        <v>5400</v>
      </c>
      <c r="B1740" s="11" t="s">
        <v>3142</v>
      </c>
      <c r="C1740" s="11" t="s">
        <v>3371</v>
      </c>
      <c r="D1740" s="11">
        <v>489003.44</v>
      </c>
      <c r="E1740" s="11">
        <v>23418.37</v>
      </c>
      <c r="F1740" s="12">
        <v>45497</v>
      </c>
      <c r="G1740" s="12">
        <v>45742</v>
      </c>
      <c r="H1740" s="11" t="s">
        <v>3497</v>
      </c>
      <c r="I1740" s="11" t="s">
        <v>3373</v>
      </c>
      <c r="J1740" s="13" t="str" cm="1">
        <f t="array" ref="J1740">_xlfn.IFS(
  OR(ISBLANK(A1740),ISBLANK(B1740),ISBLANK(H1740),ISBLANK(D1740),ISBLANK(E1740)),"Missing Value",
  D1740&lt;=0,"Review – Out of Range (Coverage)",
  E1740&lt;=0,"Review – Out of Range (Premium)",
  TRUE,"OK"
)</f>
        <v>OK</v>
      </c>
    </row>
    <row r="1741" spans="1:10" ht="16.8" x14ac:dyDescent="0.3">
      <c r="A1741" s="14" t="s">
        <v>5401</v>
      </c>
      <c r="B1741" s="14" t="s">
        <v>2323</v>
      </c>
      <c r="C1741" s="14" t="s">
        <v>3363</v>
      </c>
      <c r="D1741" s="14">
        <v>848685.86</v>
      </c>
      <c r="E1741" s="14">
        <v>19747.47</v>
      </c>
      <c r="F1741" s="15">
        <v>45454</v>
      </c>
      <c r="G1741" s="15">
        <v>45683</v>
      </c>
      <c r="H1741" s="14" t="s">
        <v>3735</v>
      </c>
      <c r="I1741" s="14" t="s">
        <v>3361</v>
      </c>
      <c r="J1741" s="13" t="str" cm="1">
        <f t="array" ref="J1741">_xlfn.IFS(
  OR(ISBLANK(A1741),ISBLANK(B1741),ISBLANK(H1741),ISBLANK(D1741),ISBLANK(E1741)),"Missing Value",
  D1741&lt;=0,"Review – Out of Range (Coverage)",
  E1741&lt;=0,"Review – Out of Range (Premium)",
  TRUE,"OK"
)</f>
        <v>OK</v>
      </c>
    </row>
    <row r="1742" spans="1:10" ht="16.8" x14ac:dyDescent="0.3">
      <c r="A1742" s="11" t="s">
        <v>5402</v>
      </c>
      <c r="B1742" s="11" t="s">
        <v>2153</v>
      </c>
      <c r="C1742" s="11" t="s">
        <v>3380</v>
      </c>
      <c r="D1742" s="11">
        <v>495691.56</v>
      </c>
      <c r="E1742" s="11">
        <v>32408.45</v>
      </c>
      <c r="F1742" s="12">
        <v>45262</v>
      </c>
      <c r="G1742" s="12">
        <v>45700</v>
      </c>
      <c r="H1742" s="11" t="s">
        <v>4198</v>
      </c>
      <c r="I1742" s="11" t="s">
        <v>3365</v>
      </c>
      <c r="J1742" s="13" t="str" cm="1">
        <f t="array" ref="J1742">_xlfn.IFS(
  OR(ISBLANK(A1742),ISBLANK(B1742),ISBLANK(H1742),ISBLANK(D1742),ISBLANK(E1742)),"Missing Value",
  D1742&lt;=0,"Review – Out of Range (Coverage)",
  E1742&lt;=0,"Review – Out of Range (Premium)",
  TRUE,"OK"
)</f>
        <v>OK</v>
      </c>
    </row>
    <row r="1743" spans="1:10" ht="16.8" x14ac:dyDescent="0.3">
      <c r="A1743" s="14" t="s">
        <v>5403</v>
      </c>
      <c r="B1743" s="14" t="s">
        <v>2237</v>
      </c>
      <c r="C1743" s="14" t="s">
        <v>3377</v>
      </c>
      <c r="D1743" s="14">
        <v>709543.39</v>
      </c>
      <c r="E1743" s="14">
        <v>23131.8</v>
      </c>
      <c r="F1743" s="15">
        <v>44706</v>
      </c>
      <c r="G1743" s="15">
        <v>44771</v>
      </c>
      <c r="H1743" s="14" t="s">
        <v>4254</v>
      </c>
      <c r="I1743" s="14" t="s">
        <v>3361</v>
      </c>
      <c r="J1743" s="13" t="str" cm="1">
        <f t="array" ref="J1743">_xlfn.IFS(
  OR(ISBLANK(A1743),ISBLANK(B1743),ISBLANK(H1743),ISBLANK(D1743),ISBLANK(E1743)),"Missing Value",
  D1743&lt;=0,"Review – Out of Range (Coverage)",
  E1743&lt;=0,"Review – Out of Range (Premium)",
  TRUE,"OK"
)</f>
        <v>OK</v>
      </c>
    </row>
    <row r="1744" spans="1:10" ht="16.8" x14ac:dyDescent="0.3">
      <c r="A1744" s="11" t="s">
        <v>5404</v>
      </c>
      <c r="B1744" s="11" t="s">
        <v>1633</v>
      </c>
      <c r="C1744" s="11" t="s">
        <v>3377</v>
      </c>
      <c r="D1744" s="11">
        <v>342987.82</v>
      </c>
      <c r="E1744" s="11">
        <v>49250.8</v>
      </c>
      <c r="F1744" s="12">
        <v>44855</v>
      </c>
      <c r="G1744" s="12">
        <v>45750</v>
      </c>
      <c r="H1744" s="11" t="s">
        <v>3517</v>
      </c>
      <c r="I1744" s="11" t="s">
        <v>3373</v>
      </c>
      <c r="J1744" s="13" t="str" cm="1">
        <f t="array" ref="J1744">_xlfn.IFS(
  OR(ISBLANK(A1744),ISBLANK(B1744),ISBLANK(H1744),ISBLANK(D1744),ISBLANK(E1744)),"Missing Value",
  D1744&lt;=0,"Review – Out of Range (Coverage)",
  E1744&lt;=0,"Review – Out of Range (Premium)",
  TRUE,"OK"
)</f>
        <v>OK</v>
      </c>
    </row>
    <row r="1745" spans="1:10" ht="16.8" x14ac:dyDescent="0.3">
      <c r="A1745" s="14" t="s">
        <v>5405</v>
      </c>
      <c r="B1745" s="14" t="s">
        <v>2365</v>
      </c>
      <c r="C1745" s="14" t="s">
        <v>3377</v>
      </c>
      <c r="D1745" s="14">
        <v>357856.84</v>
      </c>
      <c r="E1745" s="14">
        <v>24724.04</v>
      </c>
      <c r="F1745" s="15">
        <v>44961</v>
      </c>
      <c r="G1745" s="15">
        <v>45268</v>
      </c>
      <c r="H1745" s="14" t="s">
        <v>3792</v>
      </c>
      <c r="I1745" s="14" t="s">
        <v>3361</v>
      </c>
      <c r="J1745" s="13" t="str" cm="1">
        <f t="array" ref="J1745">_xlfn.IFS(
  OR(ISBLANK(A1745),ISBLANK(B1745),ISBLANK(H1745),ISBLANK(D1745),ISBLANK(E1745)),"Missing Value",
  D1745&lt;=0,"Review – Out of Range (Coverage)",
  E1745&lt;=0,"Review – Out of Range (Premium)",
  TRUE,"OK"
)</f>
        <v>OK</v>
      </c>
    </row>
    <row r="1746" spans="1:10" ht="16.8" x14ac:dyDescent="0.3">
      <c r="A1746" s="11" t="s">
        <v>5406</v>
      </c>
      <c r="B1746" s="11" t="s">
        <v>927</v>
      </c>
      <c r="C1746" s="11" t="s">
        <v>3359</v>
      </c>
      <c r="D1746" s="11">
        <v>399603.39</v>
      </c>
      <c r="E1746" s="11">
        <v>8096.03</v>
      </c>
      <c r="F1746" s="12">
        <v>44289</v>
      </c>
      <c r="G1746" s="12">
        <v>45755</v>
      </c>
      <c r="H1746" s="11" t="s">
        <v>3617</v>
      </c>
      <c r="I1746" s="11" t="s">
        <v>3361</v>
      </c>
      <c r="J1746" s="13" t="str" cm="1">
        <f t="array" ref="J1746">_xlfn.IFS(
  OR(ISBLANK(A1746),ISBLANK(B1746),ISBLANK(H1746),ISBLANK(D1746),ISBLANK(E1746)),"Missing Value",
  D1746&lt;=0,"Review – Out of Range (Coverage)",
  E1746&lt;=0,"Review – Out of Range (Premium)",
  TRUE,"OK"
)</f>
        <v>OK</v>
      </c>
    </row>
    <row r="1747" spans="1:10" ht="16.8" x14ac:dyDescent="0.3">
      <c r="A1747" s="14" t="s">
        <v>5407</v>
      </c>
      <c r="B1747" s="14" t="s">
        <v>2071</v>
      </c>
      <c r="C1747" s="14" t="s">
        <v>3363</v>
      </c>
      <c r="D1747" s="14">
        <v>788786.27</v>
      </c>
      <c r="E1747" s="14">
        <v>20366.689999999999</v>
      </c>
      <c r="F1747" s="15">
        <v>45099</v>
      </c>
      <c r="G1747" s="15">
        <v>45523</v>
      </c>
      <c r="H1747" s="14" t="s">
        <v>3534</v>
      </c>
      <c r="I1747" s="14" t="s">
        <v>3365</v>
      </c>
      <c r="J1747" s="13" t="str" cm="1">
        <f t="array" ref="J1747">_xlfn.IFS(
  OR(ISBLANK(A1747),ISBLANK(B1747),ISBLANK(H1747),ISBLANK(D1747),ISBLANK(E1747)),"Missing Value",
  D1747&lt;=0,"Review – Out of Range (Coverage)",
  E1747&lt;=0,"Review – Out of Range (Premium)",
  TRUE,"OK"
)</f>
        <v>OK</v>
      </c>
    </row>
    <row r="1748" spans="1:10" ht="16.8" x14ac:dyDescent="0.3">
      <c r="A1748" s="11" t="s">
        <v>5408</v>
      </c>
      <c r="B1748" s="11" t="s">
        <v>2303</v>
      </c>
      <c r="C1748" s="11" t="s">
        <v>3371</v>
      </c>
      <c r="D1748" s="11">
        <v>487625.35</v>
      </c>
      <c r="E1748" s="11">
        <v>27684.33</v>
      </c>
      <c r="F1748" s="12">
        <v>44081</v>
      </c>
      <c r="G1748" s="12">
        <v>45808</v>
      </c>
      <c r="H1748" s="11" t="s">
        <v>3698</v>
      </c>
      <c r="I1748" s="11" t="s">
        <v>3365</v>
      </c>
      <c r="J1748" s="13" t="str" cm="1">
        <f t="array" ref="J1748">_xlfn.IFS(
  OR(ISBLANK(A1748),ISBLANK(B1748),ISBLANK(H1748),ISBLANK(D1748),ISBLANK(E1748)),"Missing Value",
  D1748&lt;=0,"Review – Out of Range (Coverage)",
  E1748&lt;=0,"Review – Out of Range (Premium)",
  TRUE,"OK"
)</f>
        <v>OK</v>
      </c>
    </row>
    <row r="1749" spans="1:10" ht="16.8" x14ac:dyDescent="0.3">
      <c r="A1749" s="14" t="s">
        <v>5409</v>
      </c>
      <c r="B1749" s="14" t="s">
        <v>2783</v>
      </c>
      <c r="C1749" s="14" t="s">
        <v>3377</v>
      </c>
      <c r="D1749" s="14">
        <v>259703.62</v>
      </c>
      <c r="E1749" s="14">
        <v>29892.65</v>
      </c>
      <c r="F1749" s="15">
        <v>45139</v>
      </c>
      <c r="G1749" s="15">
        <v>45433</v>
      </c>
      <c r="H1749" s="14" t="s">
        <v>3477</v>
      </c>
      <c r="I1749" s="14" t="s">
        <v>3373</v>
      </c>
      <c r="J1749" s="13" t="str" cm="1">
        <f t="array" ref="J1749">_xlfn.IFS(
  OR(ISBLANK(A1749),ISBLANK(B1749),ISBLANK(H1749),ISBLANK(D1749),ISBLANK(E1749)),"Missing Value",
  D1749&lt;=0,"Review – Out of Range (Coverage)",
  E1749&lt;=0,"Review – Out of Range (Premium)",
  TRUE,"OK"
)</f>
        <v>OK</v>
      </c>
    </row>
    <row r="1750" spans="1:10" ht="16.8" x14ac:dyDescent="0.3">
      <c r="A1750" s="11" t="s">
        <v>5410</v>
      </c>
      <c r="B1750" s="11" t="s">
        <v>2427</v>
      </c>
      <c r="C1750" s="11" t="s">
        <v>3359</v>
      </c>
      <c r="D1750" s="11">
        <v>839998.65</v>
      </c>
      <c r="E1750" s="11">
        <v>49845.83</v>
      </c>
      <c r="F1750" s="12">
        <v>44934</v>
      </c>
      <c r="G1750" s="12">
        <v>45553</v>
      </c>
      <c r="H1750" s="11" t="s">
        <v>3677</v>
      </c>
      <c r="I1750" s="11" t="s">
        <v>3373</v>
      </c>
      <c r="J1750" s="13" t="str" cm="1">
        <f t="array" ref="J1750">_xlfn.IFS(
  OR(ISBLANK(A1750),ISBLANK(B1750),ISBLANK(H1750),ISBLANK(D1750),ISBLANK(E1750)),"Missing Value",
  D1750&lt;=0,"Review – Out of Range (Coverage)",
  E1750&lt;=0,"Review – Out of Range (Premium)",
  TRUE,"OK"
)</f>
        <v>OK</v>
      </c>
    </row>
    <row r="1751" spans="1:10" ht="16.8" x14ac:dyDescent="0.3">
      <c r="A1751" s="14" t="s">
        <v>5411</v>
      </c>
      <c r="B1751" s="14" t="s">
        <v>472</v>
      </c>
      <c r="C1751" s="14" t="s">
        <v>3371</v>
      </c>
      <c r="D1751" s="14">
        <v>267076.76</v>
      </c>
      <c r="E1751" s="14">
        <v>33218.1</v>
      </c>
      <c r="F1751" s="15">
        <v>44827</v>
      </c>
      <c r="G1751" s="15">
        <v>45200</v>
      </c>
      <c r="H1751" s="14" t="s">
        <v>3754</v>
      </c>
      <c r="I1751" s="14" t="s">
        <v>3373</v>
      </c>
      <c r="J1751" s="13" t="str" cm="1">
        <f t="array" ref="J1751">_xlfn.IFS(
  OR(ISBLANK(A1751),ISBLANK(B1751),ISBLANK(H1751),ISBLANK(D1751),ISBLANK(E1751)),"Missing Value",
  D1751&lt;=0,"Review – Out of Range (Coverage)",
  E1751&lt;=0,"Review – Out of Range (Premium)",
  TRUE,"OK"
)</f>
        <v>OK</v>
      </c>
    </row>
    <row r="1752" spans="1:10" ht="16.8" x14ac:dyDescent="0.3">
      <c r="A1752" s="11" t="s">
        <v>5412</v>
      </c>
      <c r="B1752" s="11" t="s">
        <v>3286</v>
      </c>
      <c r="C1752" s="11" t="s">
        <v>3377</v>
      </c>
      <c r="D1752" s="11">
        <v>625128.6</v>
      </c>
      <c r="E1752" s="11">
        <v>46000.639999999999</v>
      </c>
      <c r="F1752" s="12">
        <v>45087</v>
      </c>
      <c r="G1752" s="12">
        <v>45244</v>
      </c>
      <c r="H1752" s="11" t="s">
        <v>4187</v>
      </c>
      <c r="I1752" s="11" t="s">
        <v>3365</v>
      </c>
      <c r="J1752" s="13" t="str" cm="1">
        <f t="array" ref="J1752">_xlfn.IFS(
  OR(ISBLANK(A1752),ISBLANK(B1752),ISBLANK(H1752),ISBLANK(D1752),ISBLANK(E1752)),"Missing Value",
  D1752&lt;=0,"Review – Out of Range (Coverage)",
  E1752&lt;=0,"Review – Out of Range (Premium)",
  TRUE,"OK"
)</f>
        <v>OK</v>
      </c>
    </row>
    <row r="1753" spans="1:10" ht="16.8" x14ac:dyDescent="0.3">
      <c r="A1753" s="14" t="s">
        <v>5413</v>
      </c>
      <c r="B1753" s="14" t="s">
        <v>1825</v>
      </c>
      <c r="C1753" s="14" t="s">
        <v>3359</v>
      </c>
      <c r="D1753" s="14">
        <v>959262.32</v>
      </c>
      <c r="E1753" s="14">
        <v>33742.85</v>
      </c>
      <c r="F1753" s="15">
        <v>45487</v>
      </c>
      <c r="G1753" s="15">
        <v>45799</v>
      </c>
      <c r="H1753" s="14" t="s">
        <v>4136</v>
      </c>
      <c r="I1753" s="14" t="s">
        <v>3373</v>
      </c>
      <c r="J1753" s="13" t="str" cm="1">
        <f t="array" ref="J1753">_xlfn.IFS(
  OR(ISBLANK(A1753),ISBLANK(B1753),ISBLANK(H1753),ISBLANK(D1753),ISBLANK(E1753)),"Missing Value",
  D1753&lt;=0,"Review – Out of Range (Coverage)",
  E1753&lt;=0,"Review – Out of Range (Premium)",
  TRUE,"OK"
)</f>
        <v>OK</v>
      </c>
    </row>
    <row r="1754" spans="1:10" ht="16.8" x14ac:dyDescent="0.3">
      <c r="A1754" s="11" t="s">
        <v>5414</v>
      </c>
      <c r="B1754" s="11" t="s">
        <v>1205</v>
      </c>
      <c r="C1754" s="11" t="s">
        <v>3363</v>
      </c>
      <c r="D1754" s="11">
        <v>972632.92</v>
      </c>
      <c r="E1754" s="11">
        <v>47539.48</v>
      </c>
      <c r="F1754" s="12">
        <v>44981</v>
      </c>
      <c r="G1754" s="12">
        <v>45299</v>
      </c>
      <c r="H1754" s="11" t="s">
        <v>3543</v>
      </c>
      <c r="I1754" s="11" t="s">
        <v>3373</v>
      </c>
      <c r="J1754" s="13" t="str" cm="1">
        <f t="array" ref="J1754">_xlfn.IFS(
  OR(ISBLANK(A1754),ISBLANK(B1754),ISBLANK(H1754),ISBLANK(D1754),ISBLANK(E1754)),"Missing Value",
  D1754&lt;=0,"Review – Out of Range (Coverage)",
  E1754&lt;=0,"Review – Out of Range (Premium)",
  TRUE,"OK"
)</f>
        <v>OK</v>
      </c>
    </row>
    <row r="1755" spans="1:10" ht="16.8" x14ac:dyDescent="0.3">
      <c r="A1755" s="14" t="s">
        <v>5415</v>
      </c>
      <c r="B1755" s="14" t="s">
        <v>1421</v>
      </c>
      <c r="C1755" s="14" t="s">
        <v>3363</v>
      </c>
      <c r="D1755" s="14">
        <v>803598.15</v>
      </c>
      <c r="E1755" s="14">
        <v>18080.400000000001</v>
      </c>
      <c r="F1755" s="15">
        <v>45144</v>
      </c>
      <c r="G1755" s="15">
        <v>45625</v>
      </c>
      <c r="H1755" s="14" t="s">
        <v>4011</v>
      </c>
      <c r="I1755" s="14" t="s">
        <v>3361</v>
      </c>
      <c r="J1755" s="13" t="str" cm="1">
        <f t="array" ref="J1755">_xlfn.IFS(
  OR(ISBLANK(A1755),ISBLANK(B1755),ISBLANK(H1755),ISBLANK(D1755),ISBLANK(E1755)),"Missing Value",
  D1755&lt;=0,"Review – Out of Range (Coverage)",
  E1755&lt;=0,"Review – Out of Range (Premium)",
  TRUE,"OK"
)</f>
        <v>OK</v>
      </c>
    </row>
    <row r="1756" spans="1:10" ht="16.8" x14ac:dyDescent="0.3">
      <c r="A1756" s="11" t="s">
        <v>5416</v>
      </c>
      <c r="B1756" s="11" t="s">
        <v>2379</v>
      </c>
      <c r="C1756" s="11" t="s">
        <v>3377</v>
      </c>
      <c r="D1756" s="11">
        <v>667785.23</v>
      </c>
      <c r="E1756" s="11">
        <v>5067.32</v>
      </c>
      <c r="F1756" s="12">
        <v>45084</v>
      </c>
      <c r="G1756" s="12">
        <v>45730</v>
      </c>
      <c r="H1756" s="11" t="s">
        <v>4123</v>
      </c>
      <c r="I1756" s="11" t="s">
        <v>3361</v>
      </c>
      <c r="J1756" s="13" t="str" cm="1">
        <f t="array" ref="J1756">_xlfn.IFS(
  OR(ISBLANK(A1756),ISBLANK(B1756),ISBLANK(H1756),ISBLANK(D1756),ISBLANK(E1756)),"Missing Value",
  D1756&lt;=0,"Review – Out of Range (Coverage)",
  E1756&lt;=0,"Review – Out of Range (Premium)",
  TRUE,"OK"
)</f>
        <v>OK</v>
      </c>
    </row>
    <row r="1757" spans="1:10" ht="16.8" x14ac:dyDescent="0.3">
      <c r="A1757" s="14" t="s">
        <v>5417</v>
      </c>
      <c r="B1757" s="14" t="s">
        <v>667</v>
      </c>
      <c r="C1757" s="14" t="s">
        <v>3363</v>
      </c>
      <c r="D1757" s="14">
        <v>526882.63</v>
      </c>
      <c r="E1757" s="14">
        <v>35615.379999999997</v>
      </c>
      <c r="F1757" s="15">
        <v>45131</v>
      </c>
      <c r="G1757" s="15">
        <v>45748</v>
      </c>
      <c r="H1757" s="14" t="s">
        <v>3378</v>
      </c>
      <c r="I1757" s="14" t="s">
        <v>3365</v>
      </c>
      <c r="J1757" s="13" t="str" cm="1">
        <f t="array" ref="J1757">_xlfn.IFS(
  OR(ISBLANK(A1757),ISBLANK(B1757),ISBLANK(H1757),ISBLANK(D1757),ISBLANK(E1757)),"Missing Value",
  D1757&lt;=0,"Review – Out of Range (Coverage)",
  E1757&lt;=0,"Review – Out of Range (Premium)",
  TRUE,"OK"
)</f>
        <v>OK</v>
      </c>
    </row>
    <row r="1758" spans="1:10" ht="16.8" x14ac:dyDescent="0.3">
      <c r="A1758" s="11" t="s">
        <v>5418</v>
      </c>
      <c r="B1758" s="11" t="s">
        <v>3192</v>
      </c>
      <c r="C1758" s="11" t="s">
        <v>3359</v>
      </c>
      <c r="D1758" s="11">
        <v>284790.42</v>
      </c>
      <c r="E1758" s="11">
        <v>13852.37</v>
      </c>
      <c r="F1758" s="12">
        <v>44396</v>
      </c>
      <c r="G1758" s="12">
        <v>45159</v>
      </c>
      <c r="H1758" s="11" t="s">
        <v>4254</v>
      </c>
      <c r="I1758" s="11" t="s">
        <v>3365</v>
      </c>
      <c r="J1758" s="13" t="str" cm="1">
        <f t="array" ref="J1758">_xlfn.IFS(
  OR(ISBLANK(A1758),ISBLANK(B1758),ISBLANK(H1758),ISBLANK(D1758),ISBLANK(E1758)),"Missing Value",
  D1758&lt;=0,"Review – Out of Range (Coverage)",
  E1758&lt;=0,"Review – Out of Range (Premium)",
  TRUE,"OK"
)</f>
        <v>OK</v>
      </c>
    </row>
    <row r="1759" spans="1:10" ht="16.8" x14ac:dyDescent="0.3">
      <c r="A1759" s="14" t="s">
        <v>5419</v>
      </c>
      <c r="B1759" s="14" t="s">
        <v>3332</v>
      </c>
      <c r="C1759" s="14" t="s">
        <v>3359</v>
      </c>
      <c r="D1759" s="14">
        <v>287471.5</v>
      </c>
      <c r="E1759" s="14">
        <v>25584.3</v>
      </c>
      <c r="F1759" s="15">
        <v>45135</v>
      </c>
      <c r="G1759" s="15">
        <v>45438</v>
      </c>
      <c r="H1759" s="14" t="s">
        <v>3419</v>
      </c>
      <c r="I1759" s="14" t="s">
        <v>3365</v>
      </c>
      <c r="J1759" s="13" t="str" cm="1">
        <f t="array" ref="J1759">_xlfn.IFS(
  OR(ISBLANK(A1759),ISBLANK(B1759),ISBLANK(H1759),ISBLANK(D1759),ISBLANK(E1759)),"Missing Value",
  D1759&lt;=0,"Review – Out of Range (Coverage)",
  E1759&lt;=0,"Review – Out of Range (Premium)",
  TRUE,"OK"
)</f>
        <v>OK</v>
      </c>
    </row>
    <row r="1760" spans="1:10" ht="16.8" x14ac:dyDescent="0.3">
      <c r="A1760" s="11" t="s">
        <v>5420</v>
      </c>
      <c r="B1760" s="11" t="s">
        <v>97</v>
      </c>
      <c r="C1760" s="11" t="s">
        <v>3371</v>
      </c>
      <c r="D1760" s="11">
        <v>151352.62</v>
      </c>
      <c r="E1760" s="11">
        <v>29475.31</v>
      </c>
      <c r="F1760" s="12">
        <v>45079</v>
      </c>
      <c r="G1760" s="12">
        <v>45678</v>
      </c>
      <c r="H1760" s="11" t="s">
        <v>3644</v>
      </c>
      <c r="I1760" s="11" t="s">
        <v>3361</v>
      </c>
      <c r="J1760" s="13" t="str" cm="1">
        <f t="array" ref="J1760">_xlfn.IFS(
  OR(ISBLANK(A1760),ISBLANK(B1760),ISBLANK(H1760),ISBLANK(D1760),ISBLANK(E1760)),"Missing Value",
  D1760&lt;=0,"Review – Out of Range (Coverage)",
  E1760&lt;=0,"Review – Out of Range (Premium)",
  TRUE,"OK"
)</f>
        <v>OK</v>
      </c>
    </row>
    <row r="1761" spans="1:10" ht="16.8" x14ac:dyDescent="0.3">
      <c r="A1761" s="14" t="s">
        <v>5421</v>
      </c>
      <c r="B1761" s="14" t="s">
        <v>2499</v>
      </c>
      <c r="C1761" s="14" t="s">
        <v>3377</v>
      </c>
      <c r="D1761" s="14">
        <v>353909.28</v>
      </c>
      <c r="E1761" s="14">
        <v>5763.54</v>
      </c>
      <c r="F1761" s="15">
        <v>45134</v>
      </c>
      <c r="G1761" s="15">
        <v>45819</v>
      </c>
      <c r="H1761" s="14" t="s">
        <v>3540</v>
      </c>
      <c r="I1761" s="14" t="s">
        <v>3365</v>
      </c>
      <c r="J1761" s="13" t="str" cm="1">
        <f t="array" ref="J1761">_xlfn.IFS(
  OR(ISBLANK(A1761),ISBLANK(B1761),ISBLANK(H1761),ISBLANK(D1761),ISBLANK(E1761)),"Missing Value",
  D1761&lt;=0,"Review – Out of Range (Coverage)",
  E1761&lt;=0,"Review – Out of Range (Premium)",
  TRUE,"OK"
)</f>
        <v>OK</v>
      </c>
    </row>
    <row r="1762" spans="1:10" ht="16.8" x14ac:dyDescent="0.3">
      <c r="A1762" s="11" t="s">
        <v>5422</v>
      </c>
      <c r="B1762" s="11" t="s">
        <v>2239</v>
      </c>
      <c r="C1762" s="11" t="s">
        <v>3363</v>
      </c>
      <c r="D1762" s="11">
        <v>393268.98</v>
      </c>
      <c r="E1762" s="11">
        <v>42071.65</v>
      </c>
      <c r="F1762" s="12">
        <v>44365</v>
      </c>
      <c r="G1762" s="12">
        <v>44419</v>
      </c>
      <c r="H1762" s="11" t="s">
        <v>3603</v>
      </c>
      <c r="I1762" s="11" t="s">
        <v>3373</v>
      </c>
      <c r="J1762" s="13" t="str" cm="1">
        <f t="array" ref="J1762">_xlfn.IFS(
  OR(ISBLANK(A1762),ISBLANK(B1762),ISBLANK(H1762),ISBLANK(D1762),ISBLANK(E1762)),"Missing Value",
  D1762&lt;=0,"Review – Out of Range (Coverage)",
  E1762&lt;=0,"Review – Out of Range (Premium)",
  TRUE,"OK"
)</f>
        <v>OK</v>
      </c>
    </row>
    <row r="1763" spans="1:10" ht="16.8" x14ac:dyDescent="0.3">
      <c r="A1763" s="14" t="s">
        <v>5423</v>
      </c>
      <c r="B1763" s="14" t="s">
        <v>635</v>
      </c>
      <c r="C1763" s="14" t="s">
        <v>3380</v>
      </c>
      <c r="D1763" s="14">
        <v>282247.34000000003</v>
      </c>
      <c r="E1763" s="14">
        <v>36487.89</v>
      </c>
      <c r="F1763" s="15">
        <v>45206</v>
      </c>
      <c r="G1763" s="15">
        <v>45728</v>
      </c>
      <c r="H1763" s="14" t="s">
        <v>3834</v>
      </c>
      <c r="I1763" s="14" t="s">
        <v>3373</v>
      </c>
      <c r="J1763" s="13" t="str" cm="1">
        <f t="array" ref="J1763">_xlfn.IFS(
  OR(ISBLANK(A1763),ISBLANK(B1763),ISBLANK(H1763),ISBLANK(D1763),ISBLANK(E1763)),"Missing Value",
  D1763&lt;=0,"Review – Out of Range (Coverage)",
  E1763&lt;=0,"Review – Out of Range (Premium)",
  TRUE,"OK"
)</f>
        <v>OK</v>
      </c>
    </row>
    <row r="1764" spans="1:10" ht="16.8" x14ac:dyDescent="0.3">
      <c r="A1764" s="11" t="s">
        <v>5424</v>
      </c>
      <c r="B1764" s="11" t="s">
        <v>3007</v>
      </c>
      <c r="C1764" s="11" t="s">
        <v>3359</v>
      </c>
      <c r="D1764" s="11">
        <v>662180.69999999995</v>
      </c>
      <c r="E1764" s="11">
        <v>28681.81</v>
      </c>
      <c r="F1764" s="12">
        <v>45068</v>
      </c>
      <c r="G1764" s="12">
        <v>45522</v>
      </c>
      <c r="H1764" s="11" t="s">
        <v>4556</v>
      </c>
      <c r="I1764" s="11" t="s">
        <v>3361</v>
      </c>
      <c r="J1764" s="13" t="str" cm="1">
        <f t="array" ref="J1764">_xlfn.IFS(
  OR(ISBLANK(A1764),ISBLANK(B1764),ISBLANK(H1764),ISBLANK(D1764),ISBLANK(E1764)),"Missing Value",
  D1764&lt;=0,"Review – Out of Range (Coverage)",
  E1764&lt;=0,"Review – Out of Range (Premium)",
  TRUE,"OK"
)</f>
        <v>OK</v>
      </c>
    </row>
    <row r="1765" spans="1:10" ht="16.8" x14ac:dyDescent="0.3">
      <c r="A1765" s="14" t="s">
        <v>5425</v>
      </c>
      <c r="B1765" s="14" t="s">
        <v>871</v>
      </c>
      <c r="C1765" s="14" t="s">
        <v>3371</v>
      </c>
      <c r="D1765" s="14">
        <v>237668.3</v>
      </c>
      <c r="E1765" s="14">
        <v>13259.73</v>
      </c>
      <c r="F1765" s="15">
        <v>45336</v>
      </c>
      <c r="G1765" s="15">
        <v>45607</v>
      </c>
      <c r="H1765" s="14" t="s">
        <v>4328</v>
      </c>
      <c r="I1765" s="14" t="s">
        <v>3365</v>
      </c>
      <c r="J1765" s="13" t="str" cm="1">
        <f t="array" ref="J1765">_xlfn.IFS(
  OR(ISBLANK(A1765),ISBLANK(B1765),ISBLANK(H1765),ISBLANK(D1765),ISBLANK(E1765)),"Missing Value",
  D1765&lt;=0,"Review – Out of Range (Coverage)",
  E1765&lt;=0,"Review – Out of Range (Premium)",
  TRUE,"OK"
)</f>
        <v>OK</v>
      </c>
    </row>
    <row r="1766" spans="1:10" ht="16.8" x14ac:dyDescent="0.3">
      <c r="A1766" s="11" t="s">
        <v>5426</v>
      </c>
      <c r="B1766" s="11" t="s">
        <v>2315</v>
      </c>
      <c r="C1766" s="11" t="s">
        <v>3377</v>
      </c>
      <c r="D1766" s="11">
        <v>432425.44</v>
      </c>
      <c r="E1766" s="11">
        <v>20200.419999999998</v>
      </c>
      <c r="F1766" s="12">
        <v>44262</v>
      </c>
      <c r="G1766" s="12">
        <v>45375</v>
      </c>
      <c r="H1766" s="11" t="s">
        <v>3555</v>
      </c>
      <c r="I1766" s="11" t="s">
        <v>3373</v>
      </c>
      <c r="J1766" s="13" t="str" cm="1">
        <f t="array" ref="J1766">_xlfn.IFS(
  OR(ISBLANK(A1766),ISBLANK(B1766),ISBLANK(H1766),ISBLANK(D1766),ISBLANK(E1766)),"Missing Value",
  D1766&lt;=0,"Review – Out of Range (Coverage)",
  E1766&lt;=0,"Review – Out of Range (Premium)",
  TRUE,"OK"
)</f>
        <v>OK</v>
      </c>
    </row>
    <row r="1767" spans="1:10" ht="16.8" x14ac:dyDescent="0.3">
      <c r="A1767" s="14" t="s">
        <v>5427</v>
      </c>
      <c r="B1767" s="14" t="s">
        <v>3206</v>
      </c>
      <c r="C1767" s="14" t="s">
        <v>3371</v>
      </c>
      <c r="D1767" s="14">
        <v>381218.85</v>
      </c>
      <c r="E1767" s="14">
        <v>5112.17</v>
      </c>
      <c r="F1767" s="15">
        <v>44672</v>
      </c>
      <c r="G1767" s="15">
        <v>45533</v>
      </c>
      <c r="H1767" s="14" t="s">
        <v>3652</v>
      </c>
      <c r="I1767" s="14" t="s">
        <v>3373</v>
      </c>
      <c r="J1767" s="13" t="str" cm="1">
        <f t="array" ref="J1767">_xlfn.IFS(
  OR(ISBLANK(A1767),ISBLANK(B1767),ISBLANK(H1767),ISBLANK(D1767),ISBLANK(E1767)),"Missing Value",
  D1767&lt;=0,"Review – Out of Range (Coverage)",
  E1767&lt;=0,"Review – Out of Range (Premium)",
  TRUE,"OK"
)</f>
        <v>OK</v>
      </c>
    </row>
    <row r="1768" spans="1:10" ht="16.8" x14ac:dyDescent="0.3">
      <c r="A1768" s="11" t="s">
        <v>5428</v>
      </c>
      <c r="B1768" s="11" t="s">
        <v>2267</v>
      </c>
      <c r="C1768" s="11" t="s">
        <v>3359</v>
      </c>
      <c r="D1768" s="11">
        <v>552683.11</v>
      </c>
      <c r="E1768" s="11">
        <v>30841.46</v>
      </c>
      <c r="F1768" s="12">
        <v>45401</v>
      </c>
      <c r="G1768" s="12">
        <v>45482</v>
      </c>
      <c r="H1768" s="11" t="s">
        <v>3746</v>
      </c>
      <c r="I1768" s="11" t="s">
        <v>3365</v>
      </c>
      <c r="J1768" s="13" t="str" cm="1">
        <f t="array" ref="J1768">_xlfn.IFS(
  OR(ISBLANK(A1768),ISBLANK(B1768),ISBLANK(H1768),ISBLANK(D1768),ISBLANK(E1768)),"Missing Value",
  D1768&lt;=0,"Review – Out of Range (Coverage)",
  E1768&lt;=0,"Review – Out of Range (Premium)",
  TRUE,"OK"
)</f>
        <v>OK</v>
      </c>
    </row>
    <row r="1769" spans="1:10" ht="16.8" x14ac:dyDescent="0.3">
      <c r="A1769" s="14" t="s">
        <v>5429</v>
      </c>
      <c r="B1769" s="14" t="s">
        <v>1445</v>
      </c>
      <c r="C1769" s="14" t="s">
        <v>3371</v>
      </c>
      <c r="D1769" s="14">
        <v>104955.99</v>
      </c>
      <c r="E1769" s="14">
        <v>36638.239999999998</v>
      </c>
      <c r="F1769" s="15">
        <v>44635</v>
      </c>
      <c r="G1769" s="15">
        <v>44707</v>
      </c>
      <c r="H1769" s="14" t="s">
        <v>3670</v>
      </c>
      <c r="I1769" s="14" t="s">
        <v>3365</v>
      </c>
      <c r="J1769" s="13" t="str" cm="1">
        <f t="array" ref="J1769">_xlfn.IFS(
  OR(ISBLANK(A1769),ISBLANK(B1769),ISBLANK(H1769),ISBLANK(D1769),ISBLANK(E1769)),"Missing Value",
  D1769&lt;=0,"Review – Out of Range (Coverage)",
  E1769&lt;=0,"Review – Out of Range (Premium)",
  TRUE,"OK"
)</f>
        <v>OK</v>
      </c>
    </row>
    <row r="1770" spans="1:10" ht="16.8" x14ac:dyDescent="0.3">
      <c r="A1770" s="11" t="s">
        <v>5430</v>
      </c>
      <c r="B1770" s="11" t="s">
        <v>3022</v>
      </c>
      <c r="C1770" s="11" t="s">
        <v>3371</v>
      </c>
      <c r="D1770" s="11">
        <v>600980.23</v>
      </c>
      <c r="E1770" s="11">
        <v>47498.55</v>
      </c>
      <c r="F1770" s="12">
        <v>45298</v>
      </c>
      <c r="G1770" s="12">
        <v>45757</v>
      </c>
      <c r="H1770" s="11" t="s">
        <v>4090</v>
      </c>
      <c r="I1770" s="11" t="s">
        <v>3373</v>
      </c>
      <c r="J1770" s="13" t="str" cm="1">
        <f t="array" ref="J1770">_xlfn.IFS(
  OR(ISBLANK(A1770),ISBLANK(B1770),ISBLANK(H1770),ISBLANK(D1770),ISBLANK(E1770)),"Missing Value",
  D1770&lt;=0,"Review – Out of Range (Coverage)",
  E1770&lt;=0,"Review – Out of Range (Premium)",
  TRUE,"OK"
)</f>
        <v>OK</v>
      </c>
    </row>
    <row r="1771" spans="1:10" ht="16.8" x14ac:dyDescent="0.3">
      <c r="A1771" s="14" t="s">
        <v>5431</v>
      </c>
      <c r="B1771" s="14" t="s">
        <v>3174</v>
      </c>
      <c r="C1771" s="14" t="s">
        <v>3377</v>
      </c>
      <c r="D1771" s="14">
        <v>234973.93</v>
      </c>
      <c r="E1771" s="14">
        <v>25081.06</v>
      </c>
      <c r="F1771" s="15">
        <v>44614</v>
      </c>
      <c r="G1771" s="15">
        <v>45166</v>
      </c>
      <c r="H1771" s="14" t="s">
        <v>3806</v>
      </c>
      <c r="I1771" s="14" t="s">
        <v>3361</v>
      </c>
      <c r="J1771" s="13" t="str" cm="1">
        <f t="array" ref="J1771">_xlfn.IFS(
  OR(ISBLANK(A1771),ISBLANK(B1771),ISBLANK(H1771),ISBLANK(D1771),ISBLANK(E1771)),"Missing Value",
  D1771&lt;=0,"Review – Out of Range (Coverage)",
  E1771&lt;=0,"Review – Out of Range (Premium)",
  TRUE,"OK"
)</f>
        <v>OK</v>
      </c>
    </row>
    <row r="1772" spans="1:10" ht="16.8" x14ac:dyDescent="0.3">
      <c r="A1772" s="11" t="s">
        <v>5432</v>
      </c>
      <c r="B1772" s="11" t="s">
        <v>3050</v>
      </c>
      <c r="C1772" s="11" t="s">
        <v>3371</v>
      </c>
      <c r="D1772" s="11">
        <v>891450.58</v>
      </c>
      <c r="E1772" s="11">
        <v>46763.040000000001</v>
      </c>
      <c r="F1772" s="12">
        <v>44660</v>
      </c>
      <c r="G1772" s="12">
        <v>45135</v>
      </c>
      <c r="H1772" s="11" t="s">
        <v>3894</v>
      </c>
      <c r="I1772" s="11" t="s">
        <v>3373</v>
      </c>
      <c r="J1772" s="13" t="str" cm="1">
        <f t="array" ref="J1772">_xlfn.IFS(
  OR(ISBLANK(A1772),ISBLANK(B1772),ISBLANK(H1772),ISBLANK(D1772),ISBLANK(E1772)),"Missing Value",
  D1772&lt;=0,"Review – Out of Range (Coverage)",
  E1772&lt;=0,"Review – Out of Range (Premium)",
  TRUE,"OK"
)</f>
        <v>OK</v>
      </c>
    </row>
    <row r="1773" spans="1:10" ht="16.8" x14ac:dyDescent="0.3">
      <c r="A1773" s="14" t="s">
        <v>5433</v>
      </c>
      <c r="B1773" s="14" t="s">
        <v>1501</v>
      </c>
      <c r="C1773" s="14" t="s">
        <v>3363</v>
      </c>
      <c r="D1773" s="14">
        <v>773534.83</v>
      </c>
      <c r="E1773" s="14">
        <v>37861.64</v>
      </c>
      <c r="F1773" s="15">
        <v>45026</v>
      </c>
      <c r="G1773" s="15">
        <v>45101</v>
      </c>
      <c r="H1773" s="14" t="s">
        <v>3526</v>
      </c>
      <c r="I1773" s="14" t="s">
        <v>3361</v>
      </c>
      <c r="J1773" s="13" t="str" cm="1">
        <f t="array" ref="J1773">_xlfn.IFS(
  OR(ISBLANK(A1773),ISBLANK(B1773),ISBLANK(H1773),ISBLANK(D1773),ISBLANK(E1773)),"Missing Value",
  D1773&lt;=0,"Review – Out of Range (Coverage)",
  E1773&lt;=0,"Review – Out of Range (Premium)",
  TRUE,"OK"
)</f>
        <v>OK</v>
      </c>
    </row>
    <row r="1774" spans="1:10" ht="16.8" x14ac:dyDescent="0.3">
      <c r="A1774" s="11" t="s">
        <v>5434</v>
      </c>
      <c r="B1774" s="11" t="s">
        <v>2017</v>
      </c>
      <c r="C1774" s="11" t="s">
        <v>3363</v>
      </c>
      <c r="D1774" s="11">
        <v>130704.46</v>
      </c>
      <c r="E1774" s="11">
        <v>16357.83</v>
      </c>
      <c r="F1774" s="12">
        <v>44910</v>
      </c>
      <c r="G1774" s="12">
        <v>45062</v>
      </c>
      <c r="H1774" s="11" t="s">
        <v>3798</v>
      </c>
      <c r="I1774" s="11" t="s">
        <v>3373</v>
      </c>
      <c r="J1774" s="13" t="str" cm="1">
        <f t="array" ref="J1774">_xlfn.IFS(
  OR(ISBLANK(A1774),ISBLANK(B1774),ISBLANK(H1774),ISBLANK(D1774),ISBLANK(E1774)),"Missing Value",
  D1774&lt;=0,"Review – Out of Range (Coverage)",
  E1774&lt;=0,"Review – Out of Range (Premium)",
  TRUE,"OK"
)</f>
        <v>OK</v>
      </c>
    </row>
    <row r="1775" spans="1:10" ht="16.8" x14ac:dyDescent="0.3">
      <c r="A1775" s="14" t="s">
        <v>5435</v>
      </c>
      <c r="B1775" s="14" t="s">
        <v>2919</v>
      </c>
      <c r="C1775" s="14" t="s">
        <v>3359</v>
      </c>
      <c r="D1775" s="14">
        <v>728685.18</v>
      </c>
      <c r="E1775" s="14">
        <v>33209.11</v>
      </c>
      <c r="F1775" s="15">
        <v>44433</v>
      </c>
      <c r="G1775" s="15">
        <v>45115</v>
      </c>
      <c r="H1775" s="14" t="s">
        <v>3387</v>
      </c>
      <c r="I1775" s="14" t="s">
        <v>3373</v>
      </c>
      <c r="J1775" s="13" t="str" cm="1">
        <f t="array" ref="J1775">_xlfn.IFS(
  OR(ISBLANK(A1775),ISBLANK(B1775),ISBLANK(H1775),ISBLANK(D1775),ISBLANK(E1775)),"Missing Value",
  D1775&lt;=0,"Review – Out of Range (Coverage)",
  E1775&lt;=0,"Review – Out of Range (Premium)",
  TRUE,"OK"
)</f>
        <v>OK</v>
      </c>
    </row>
    <row r="1776" spans="1:10" ht="16.8" x14ac:dyDescent="0.3">
      <c r="A1776" s="11" t="s">
        <v>5436</v>
      </c>
      <c r="B1776" s="11" t="s">
        <v>773</v>
      </c>
      <c r="C1776" s="11" t="s">
        <v>3371</v>
      </c>
      <c r="D1776" s="11">
        <v>508572.13</v>
      </c>
      <c r="E1776" s="11">
        <v>39035.81</v>
      </c>
      <c r="F1776" s="12">
        <v>45215</v>
      </c>
      <c r="G1776" s="12">
        <v>45340</v>
      </c>
      <c r="H1776" s="11" t="s">
        <v>3591</v>
      </c>
      <c r="I1776" s="11" t="s">
        <v>3365</v>
      </c>
      <c r="J1776" s="13" t="str" cm="1">
        <f t="array" ref="J1776">_xlfn.IFS(
  OR(ISBLANK(A1776),ISBLANK(B1776),ISBLANK(H1776),ISBLANK(D1776),ISBLANK(E1776)),"Missing Value",
  D1776&lt;=0,"Review – Out of Range (Coverage)",
  E1776&lt;=0,"Review – Out of Range (Premium)",
  TRUE,"OK"
)</f>
        <v>OK</v>
      </c>
    </row>
    <row r="1777" spans="1:10" ht="16.8" x14ac:dyDescent="0.3">
      <c r="A1777" s="14" t="s">
        <v>5437</v>
      </c>
      <c r="B1777" s="14" t="s">
        <v>2077</v>
      </c>
      <c r="C1777" s="14" t="s">
        <v>3359</v>
      </c>
      <c r="D1777" s="14">
        <v>917782.38</v>
      </c>
      <c r="E1777" s="14">
        <v>11504.1</v>
      </c>
      <c r="F1777" s="15">
        <v>44254</v>
      </c>
      <c r="G1777" s="15">
        <v>44553</v>
      </c>
      <c r="H1777" s="14" t="s">
        <v>5438</v>
      </c>
      <c r="I1777" s="14" t="s">
        <v>3365</v>
      </c>
      <c r="J1777" s="13" t="str" cm="1">
        <f t="array" ref="J1777">_xlfn.IFS(
  OR(ISBLANK(A1777),ISBLANK(B1777),ISBLANK(H1777),ISBLANK(D1777),ISBLANK(E1777)),"Missing Value",
  D1777&lt;=0,"Review – Out of Range (Coverage)",
  E1777&lt;=0,"Review – Out of Range (Premium)",
  TRUE,"OK"
)</f>
        <v>OK</v>
      </c>
    </row>
    <row r="1778" spans="1:10" ht="16.8" x14ac:dyDescent="0.3">
      <c r="A1778" s="11" t="s">
        <v>5439</v>
      </c>
      <c r="B1778" s="11" t="s">
        <v>1741</v>
      </c>
      <c r="C1778" s="11" t="s">
        <v>3380</v>
      </c>
      <c r="D1778" s="11">
        <v>486062.1</v>
      </c>
      <c r="E1778" s="11">
        <v>5877.27</v>
      </c>
      <c r="F1778" s="12">
        <v>45461</v>
      </c>
      <c r="G1778" s="12">
        <v>45621</v>
      </c>
      <c r="H1778" s="11" t="s">
        <v>3564</v>
      </c>
      <c r="I1778" s="11" t="s">
        <v>3373</v>
      </c>
      <c r="J1778" s="13" t="str" cm="1">
        <f t="array" ref="J1778">_xlfn.IFS(
  OR(ISBLANK(A1778),ISBLANK(B1778),ISBLANK(H1778),ISBLANK(D1778),ISBLANK(E1778)),"Missing Value",
  D1778&lt;=0,"Review – Out of Range (Coverage)",
  E1778&lt;=0,"Review – Out of Range (Premium)",
  TRUE,"OK"
)</f>
        <v>OK</v>
      </c>
    </row>
    <row r="1779" spans="1:10" ht="16.8" x14ac:dyDescent="0.3">
      <c r="A1779" s="14" t="s">
        <v>5440</v>
      </c>
      <c r="B1779" s="14" t="s">
        <v>2273</v>
      </c>
      <c r="C1779" s="14" t="s">
        <v>3371</v>
      </c>
      <c r="D1779" s="14">
        <v>573890.41</v>
      </c>
      <c r="E1779" s="14">
        <v>39656.93</v>
      </c>
      <c r="F1779" s="15">
        <v>45485</v>
      </c>
      <c r="G1779" s="15">
        <v>45570</v>
      </c>
      <c r="H1779" s="14" t="s">
        <v>3599</v>
      </c>
      <c r="I1779" s="14" t="s">
        <v>3361</v>
      </c>
      <c r="J1779" s="13" t="str" cm="1">
        <f t="array" ref="J1779">_xlfn.IFS(
  OR(ISBLANK(A1779),ISBLANK(B1779),ISBLANK(H1779),ISBLANK(D1779),ISBLANK(E1779)),"Missing Value",
  D1779&lt;=0,"Review – Out of Range (Coverage)",
  E1779&lt;=0,"Review – Out of Range (Premium)",
  TRUE,"OK"
)</f>
        <v>OK</v>
      </c>
    </row>
    <row r="1780" spans="1:10" ht="16.8" x14ac:dyDescent="0.3">
      <c r="A1780" s="11" t="s">
        <v>5441</v>
      </c>
      <c r="B1780" s="11" t="s">
        <v>3274</v>
      </c>
      <c r="C1780" s="11" t="s">
        <v>3363</v>
      </c>
      <c r="D1780" s="11">
        <v>726762.77</v>
      </c>
      <c r="E1780" s="11">
        <v>8432.7800000000007</v>
      </c>
      <c r="F1780" s="12">
        <v>45390</v>
      </c>
      <c r="G1780" s="12">
        <v>45841</v>
      </c>
      <c r="H1780" s="11" t="s">
        <v>3662</v>
      </c>
      <c r="I1780" s="11" t="s">
        <v>3365</v>
      </c>
      <c r="J1780" s="13" t="str" cm="1">
        <f t="array" ref="J1780">_xlfn.IFS(
  OR(ISBLANK(A1780),ISBLANK(B1780),ISBLANK(H1780),ISBLANK(D1780),ISBLANK(E1780)),"Missing Value",
  D1780&lt;=0,"Review – Out of Range (Coverage)",
  E1780&lt;=0,"Review – Out of Range (Premium)",
  TRUE,"OK"
)</f>
        <v>OK</v>
      </c>
    </row>
    <row r="1781" spans="1:10" ht="16.8" x14ac:dyDescent="0.3">
      <c r="A1781" s="14" t="s">
        <v>5442</v>
      </c>
      <c r="B1781" s="14" t="s">
        <v>228</v>
      </c>
      <c r="C1781" s="14" t="s">
        <v>3363</v>
      </c>
      <c r="D1781" s="14">
        <v>924329.5</v>
      </c>
      <c r="E1781" s="14">
        <v>39338.300000000003</v>
      </c>
      <c r="F1781" s="15">
        <v>45367</v>
      </c>
      <c r="G1781" s="15">
        <v>45744</v>
      </c>
      <c r="H1781" s="14" t="s">
        <v>4198</v>
      </c>
      <c r="I1781" s="14" t="s">
        <v>3361</v>
      </c>
      <c r="J1781" s="13" t="str" cm="1">
        <f t="array" ref="J1781">_xlfn.IFS(
  OR(ISBLANK(A1781),ISBLANK(B1781),ISBLANK(H1781),ISBLANK(D1781),ISBLANK(E1781)),"Missing Value",
  D1781&lt;=0,"Review – Out of Range (Coverage)",
  E1781&lt;=0,"Review – Out of Range (Premium)",
  TRUE,"OK"
)</f>
        <v>OK</v>
      </c>
    </row>
    <row r="1782" spans="1:10" ht="16.8" x14ac:dyDescent="0.3">
      <c r="A1782" s="11" t="s">
        <v>5443</v>
      </c>
      <c r="B1782" s="11" t="s">
        <v>2761</v>
      </c>
      <c r="C1782" s="11" t="s">
        <v>3380</v>
      </c>
      <c r="D1782" s="11">
        <v>679925.39</v>
      </c>
      <c r="E1782" s="11">
        <v>45708.65</v>
      </c>
      <c r="F1782" s="12">
        <v>45496</v>
      </c>
      <c r="G1782" s="12">
        <v>45665</v>
      </c>
      <c r="H1782" s="11" t="s">
        <v>4080</v>
      </c>
      <c r="I1782" s="11" t="s">
        <v>3373</v>
      </c>
      <c r="J1782" s="13" t="str" cm="1">
        <f t="array" ref="J1782">_xlfn.IFS(
  OR(ISBLANK(A1782),ISBLANK(B1782),ISBLANK(H1782),ISBLANK(D1782),ISBLANK(E1782)),"Missing Value",
  D1782&lt;=0,"Review – Out of Range (Coverage)",
  E1782&lt;=0,"Review – Out of Range (Premium)",
  TRUE,"OK"
)</f>
        <v>OK</v>
      </c>
    </row>
    <row r="1783" spans="1:10" ht="16.8" x14ac:dyDescent="0.3">
      <c r="A1783" s="14" t="s">
        <v>5444</v>
      </c>
      <c r="B1783" s="14" t="s">
        <v>1167</v>
      </c>
      <c r="C1783" s="14" t="s">
        <v>3371</v>
      </c>
      <c r="D1783" s="14">
        <v>364073.53</v>
      </c>
      <c r="E1783" s="14">
        <v>29999.13</v>
      </c>
      <c r="F1783" s="15">
        <v>45169</v>
      </c>
      <c r="G1783" s="15">
        <v>45348</v>
      </c>
      <c r="H1783" s="14" t="s">
        <v>5148</v>
      </c>
      <c r="I1783" s="14" t="s">
        <v>3365</v>
      </c>
      <c r="J1783" s="13" t="str" cm="1">
        <f t="array" ref="J1783">_xlfn.IFS(
  OR(ISBLANK(A1783),ISBLANK(B1783),ISBLANK(H1783),ISBLANK(D1783),ISBLANK(E1783)),"Missing Value",
  D1783&lt;=0,"Review – Out of Range (Coverage)",
  E1783&lt;=0,"Review – Out of Range (Premium)",
  TRUE,"OK"
)</f>
        <v>OK</v>
      </c>
    </row>
    <row r="1784" spans="1:10" ht="16.8" x14ac:dyDescent="0.3">
      <c r="A1784" s="11" t="s">
        <v>5445</v>
      </c>
      <c r="B1784" s="11" t="s">
        <v>2343</v>
      </c>
      <c r="C1784" s="11" t="s">
        <v>3363</v>
      </c>
      <c r="D1784" s="11">
        <v>925168.03</v>
      </c>
      <c r="E1784" s="11">
        <v>45915.38</v>
      </c>
      <c r="F1784" s="12">
        <v>45148</v>
      </c>
      <c r="G1784" s="12">
        <v>45672</v>
      </c>
      <c r="H1784" s="11" t="s">
        <v>4900</v>
      </c>
      <c r="I1784" s="11" t="s">
        <v>3361</v>
      </c>
      <c r="J1784" s="13" t="str" cm="1">
        <f t="array" ref="J1784">_xlfn.IFS(
  OR(ISBLANK(A1784),ISBLANK(B1784),ISBLANK(H1784),ISBLANK(D1784),ISBLANK(E1784)),"Missing Value",
  D1784&lt;=0,"Review – Out of Range (Coverage)",
  E1784&lt;=0,"Review – Out of Range (Premium)",
  TRUE,"OK"
)</f>
        <v>OK</v>
      </c>
    </row>
    <row r="1785" spans="1:10" ht="16.8" x14ac:dyDescent="0.3">
      <c r="A1785" s="14" t="s">
        <v>5446</v>
      </c>
      <c r="B1785" s="14" t="s">
        <v>1639</v>
      </c>
      <c r="C1785" s="14" t="s">
        <v>3380</v>
      </c>
      <c r="D1785" s="14">
        <v>600773.35</v>
      </c>
      <c r="E1785" s="14">
        <v>21410.29</v>
      </c>
      <c r="F1785" s="15">
        <v>44368</v>
      </c>
      <c r="G1785" s="15">
        <v>44497</v>
      </c>
      <c r="H1785" s="14" t="s">
        <v>4900</v>
      </c>
      <c r="I1785" s="14" t="s">
        <v>3361</v>
      </c>
      <c r="J1785" s="13" t="str" cm="1">
        <f t="array" ref="J1785">_xlfn.IFS(
  OR(ISBLANK(A1785),ISBLANK(B1785),ISBLANK(H1785),ISBLANK(D1785),ISBLANK(E1785)),"Missing Value",
  D1785&lt;=0,"Review – Out of Range (Coverage)",
  E1785&lt;=0,"Review – Out of Range (Premium)",
  TRUE,"OK"
)</f>
        <v>OK</v>
      </c>
    </row>
    <row r="1786" spans="1:10" ht="16.8" x14ac:dyDescent="0.3">
      <c r="A1786" s="11" t="s">
        <v>5447</v>
      </c>
      <c r="B1786" s="11" t="s">
        <v>452</v>
      </c>
      <c r="C1786" s="11" t="s">
        <v>3380</v>
      </c>
      <c r="D1786" s="11">
        <v>177201.13</v>
      </c>
      <c r="E1786" s="11">
        <v>22924.84</v>
      </c>
      <c r="F1786" s="12">
        <v>44789</v>
      </c>
      <c r="G1786" s="12">
        <v>44946</v>
      </c>
      <c r="H1786" s="11" t="s">
        <v>3894</v>
      </c>
      <c r="I1786" s="11" t="s">
        <v>3373</v>
      </c>
      <c r="J1786" s="13" t="str" cm="1">
        <f t="array" ref="J1786">_xlfn.IFS(
  OR(ISBLANK(A1786),ISBLANK(B1786),ISBLANK(H1786),ISBLANK(D1786),ISBLANK(E1786)),"Missing Value",
  D1786&lt;=0,"Review – Out of Range (Coverage)",
  E1786&lt;=0,"Review – Out of Range (Premium)",
  TRUE,"OK"
)</f>
        <v>OK</v>
      </c>
    </row>
    <row r="1787" spans="1:10" ht="16.8" x14ac:dyDescent="0.3">
      <c r="A1787" s="14" t="s">
        <v>5448</v>
      </c>
      <c r="B1787" s="14" t="s">
        <v>2415</v>
      </c>
      <c r="C1787" s="14" t="s">
        <v>3371</v>
      </c>
      <c r="D1787" s="14">
        <v>146761.20000000001</v>
      </c>
      <c r="E1787" s="14">
        <v>34199.410000000003</v>
      </c>
      <c r="F1787" s="15">
        <v>45124</v>
      </c>
      <c r="G1787" s="15">
        <v>45396</v>
      </c>
      <c r="H1787" s="14" t="s">
        <v>3427</v>
      </c>
      <c r="I1787" s="14" t="s">
        <v>3365</v>
      </c>
      <c r="J1787" s="13" t="str" cm="1">
        <f t="array" ref="J1787">_xlfn.IFS(
  OR(ISBLANK(A1787),ISBLANK(B1787),ISBLANK(H1787),ISBLANK(D1787),ISBLANK(E1787)),"Missing Value",
  D1787&lt;=0,"Review – Out of Range (Coverage)",
  E1787&lt;=0,"Review – Out of Range (Premium)",
  TRUE,"OK"
)</f>
        <v>OK</v>
      </c>
    </row>
    <row r="1788" spans="1:10" ht="16.8" x14ac:dyDescent="0.3">
      <c r="A1788" s="11" t="s">
        <v>5449</v>
      </c>
      <c r="B1788" s="11" t="s">
        <v>879</v>
      </c>
      <c r="C1788" s="11" t="s">
        <v>3380</v>
      </c>
      <c r="D1788" s="11">
        <v>544490.19999999995</v>
      </c>
      <c r="E1788" s="11">
        <v>38339.11</v>
      </c>
      <c r="F1788" s="12">
        <v>44876</v>
      </c>
      <c r="G1788" s="12">
        <v>45847</v>
      </c>
      <c r="H1788" s="11" t="s">
        <v>3854</v>
      </c>
      <c r="I1788" s="11" t="s">
        <v>3361</v>
      </c>
      <c r="J1788" s="13" t="str" cm="1">
        <f t="array" ref="J1788">_xlfn.IFS(
  OR(ISBLANK(A1788),ISBLANK(B1788),ISBLANK(H1788),ISBLANK(D1788),ISBLANK(E1788)),"Missing Value",
  D1788&lt;=0,"Review – Out of Range (Coverage)",
  E1788&lt;=0,"Review – Out of Range (Premium)",
  TRUE,"OK"
)</f>
        <v>OK</v>
      </c>
    </row>
    <row r="1789" spans="1:10" ht="16.8" x14ac:dyDescent="0.3">
      <c r="A1789" s="14" t="s">
        <v>5450</v>
      </c>
      <c r="B1789" s="14" t="s">
        <v>731</v>
      </c>
      <c r="C1789" s="14" t="s">
        <v>3371</v>
      </c>
      <c r="D1789" s="14">
        <v>673895.46</v>
      </c>
      <c r="E1789" s="14">
        <v>46662.080000000002</v>
      </c>
      <c r="F1789" s="15">
        <v>44127</v>
      </c>
      <c r="G1789" s="15">
        <v>45514</v>
      </c>
      <c r="H1789" s="14" t="s">
        <v>3473</v>
      </c>
      <c r="I1789" s="14" t="s">
        <v>3365</v>
      </c>
      <c r="J1789" s="13" t="str" cm="1">
        <f t="array" ref="J1789">_xlfn.IFS(
  OR(ISBLANK(A1789),ISBLANK(B1789),ISBLANK(H1789),ISBLANK(D1789),ISBLANK(E1789)),"Missing Value",
  D1789&lt;=0,"Review – Out of Range (Coverage)",
  E1789&lt;=0,"Review – Out of Range (Premium)",
  TRUE,"OK"
)</f>
        <v>OK</v>
      </c>
    </row>
    <row r="1790" spans="1:10" ht="16.8" x14ac:dyDescent="0.3">
      <c r="A1790" s="11" t="s">
        <v>5451</v>
      </c>
      <c r="B1790" s="11" t="s">
        <v>1765</v>
      </c>
      <c r="C1790" s="11" t="s">
        <v>3377</v>
      </c>
      <c r="D1790" s="11">
        <v>240054.74</v>
      </c>
      <c r="E1790" s="11">
        <v>25122.79</v>
      </c>
      <c r="F1790" s="12">
        <v>45265</v>
      </c>
      <c r="G1790" s="12">
        <v>45791</v>
      </c>
      <c r="H1790" s="11" t="s">
        <v>3881</v>
      </c>
      <c r="I1790" s="11" t="s">
        <v>3361</v>
      </c>
      <c r="J1790" s="13" t="str" cm="1">
        <f t="array" ref="J1790">_xlfn.IFS(
  OR(ISBLANK(A1790),ISBLANK(B1790),ISBLANK(H1790),ISBLANK(D1790),ISBLANK(E1790)),"Missing Value",
  D1790&lt;=0,"Review – Out of Range (Coverage)",
  E1790&lt;=0,"Review – Out of Range (Premium)",
  TRUE,"OK"
)</f>
        <v>OK</v>
      </c>
    </row>
    <row r="1791" spans="1:10" ht="16.8" x14ac:dyDescent="0.3">
      <c r="A1791" s="14" t="s">
        <v>5452</v>
      </c>
      <c r="B1791" s="14" t="s">
        <v>2857</v>
      </c>
      <c r="C1791" s="14" t="s">
        <v>3371</v>
      </c>
      <c r="D1791" s="14">
        <v>451783.53</v>
      </c>
      <c r="E1791" s="14">
        <v>20372.689999999999</v>
      </c>
      <c r="F1791" s="15">
        <v>44620</v>
      </c>
      <c r="G1791" s="15">
        <v>45769</v>
      </c>
      <c r="H1791" s="14" t="s">
        <v>3819</v>
      </c>
      <c r="I1791" s="14" t="s">
        <v>3373</v>
      </c>
      <c r="J1791" s="13" t="str" cm="1">
        <f t="array" ref="J1791">_xlfn.IFS(
  OR(ISBLANK(A1791),ISBLANK(B1791),ISBLANK(H1791),ISBLANK(D1791),ISBLANK(E1791)),"Missing Value",
  D1791&lt;=0,"Review – Out of Range (Coverage)",
  E1791&lt;=0,"Review – Out of Range (Premium)",
  TRUE,"OK"
)</f>
        <v>OK</v>
      </c>
    </row>
    <row r="1792" spans="1:10" ht="16.8" x14ac:dyDescent="0.3">
      <c r="A1792" s="11" t="s">
        <v>5453</v>
      </c>
      <c r="B1792" s="11" t="s">
        <v>1765</v>
      </c>
      <c r="C1792" s="11" t="s">
        <v>3380</v>
      </c>
      <c r="D1792" s="11">
        <v>995872.29</v>
      </c>
      <c r="E1792" s="11">
        <v>7289.97</v>
      </c>
      <c r="F1792" s="12">
        <v>44320</v>
      </c>
      <c r="G1792" s="12">
        <v>45080</v>
      </c>
      <c r="H1792" s="11" t="s">
        <v>3662</v>
      </c>
      <c r="I1792" s="11" t="s">
        <v>3361</v>
      </c>
      <c r="J1792" s="13" t="str" cm="1">
        <f t="array" ref="J1792">_xlfn.IFS(
  OR(ISBLANK(A1792),ISBLANK(B1792),ISBLANK(H1792),ISBLANK(D1792),ISBLANK(E1792)),"Missing Value",
  D1792&lt;=0,"Review – Out of Range (Coverage)",
  E1792&lt;=0,"Review – Out of Range (Premium)",
  TRUE,"OK"
)</f>
        <v>OK</v>
      </c>
    </row>
    <row r="1793" spans="1:10" ht="16.8" x14ac:dyDescent="0.3">
      <c r="A1793" s="14" t="s">
        <v>5454</v>
      </c>
      <c r="B1793" s="14" t="s">
        <v>268</v>
      </c>
      <c r="C1793" s="14" t="s">
        <v>3371</v>
      </c>
      <c r="D1793" s="14">
        <v>471712.67</v>
      </c>
      <c r="E1793" s="14">
        <v>28129.85</v>
      </c>
      <c r="F1793" s="15">
        <v>45166</v>
      </c>
      <c r="G1793" s="15">
        <v>45704</v>
      </c>
      <c r="H1793" s="14" t="s">
        <v>3750</v>
      </c>
      <c r="I1793" s="14" t="s">
        <v>3373</v>
      </c>
      <c r="J1793" s="13" t="str" cm="1">
        <f t="array" ref="J1793">_xlfn.IFS(
  OR(ISBLANK(A1793),ISBLANK(B1793),ISBLANK(H1793),ISBLANK(D1793),ISBLANK(E1793)),"Missing Value",
  D1793&lt;=0,"Review – Out of Range (Coverage)",
  E1793&lt;=0,"Review – Out of Range (Premium)",
  TRUE,"OK"
)</f>
        <v>OK</v>
      </c>
    </row>
    <row r="1794" spans="1:10" ht="16.8" x14ac:dyDescent="0.3">
      <c r="A1794" s="11" t="s">
        <v>5455</v>
      </c>
      <c r="B1794" s="11" t="s">
        <v>1361</v>
      </c>
      <c r="C1794" s="11" t="s">
        <v>3371</v>
      </c>
      <c r="D1794" s="11">
        <v>818458.37</v>
      </c>
      <c r="E1794" s="11">
        <v>43150.720000000001</v>
      </c>
      <c r="F1794" s="12">
        <v>44374</v>
      </c>
      <c r="G1794" s="12">
        <v>44582</v>
      </c>
      <c r="H1794" s="11" t="s">
        <v>3813</v>
      </c>
      <c r="I1794" s="11" t="s">
        <v>3361</v>
      </c>
      <c r="J1794" s="13" t="str" cm="1">
        <f t="array" ref="J1794">_xlfn.IFS(
  OR(ISBLANK(A1794),ISBLANK(B1794),ISBLANK(H1794),ISBLANK(D1794),ISBLANK(E1794)),"Missing Value",
  D1794&lt;=0,"Review – Out of Range (Coverage)",
  E1794&lt;=0,"Review – Out of Range (Premium)",
  TRUE,"OK"
)</f>
        <v>OK</v>
      </c>
    </row>
    <row r="1795" spans="1:10" ht="16.8" x14ac:dyDescent="0.3">
      <c r="A1795" s="14" t="s">
        <v>5456</v>
      </c>
      <c r="B1795" s="14" t="s">
        <v>320</v>
      </c>
      <c r="C1795" s="14" t="s">
        <v>3363</v>
      </c>
      <c r="D1795" s="14">
        <v>112857.2</v>
      </c>
      <c r="E1795" s="14">
        <v>14932.01</v>
      </c>
      <c r="F1795" s="15">
        <v>45186</v>
      </c>
      <c r="G1795" s="15">
        <v>45765</v>
      </c>
      <c r="H1795" s="14" t="s">
        <v>3381</v>
      </c>
      <c r="I1795" s="14" t="s">
        <v>3373</v>
      </c>
      <c r="J1795" s="13" t="str" cm="1">
        <f t="array" ref="J1795">_xlfn.IFS(
  OR(ISBLANK(A1795),ISBLANK(B1795),ISBLANK(H1795),ISBLANK(D1795),ISBLANK(E1795)),"Missing Value",
  D1795&lt;=0,"Review – Out of Range (Coverage)",
  E1795&lt;=0,"Review – Out of Range (Premium)",
  TRUE,"OK"
)</f>
        <v>OK</v>
      </c>
    </row>
    <row r="1796" spans="1:10" ht="16.8" x14ac:dyDescent="0.3">
      <c r="A1796" s="11" t="s">
        <v>5457</v>
      </c>
      <c r="B1796" s="11" t="s">
        <v>1891</v>
      </c>
      <c r="C1796" s="11" t="s">
        <v>3371</v>
      </c>
      <c r="D1796" s="11">
        <v>734028.6</v>
      </c>
      <c r="E1796" s="11">
        <v>22671.06</v>
      </c>
      <c r="F1796" s="12">
        <v>45220</v>
      </c>
      <c r="G1796" s="12">
        <v>45682</v>
      </c>
      <c r="H1796" s="11" t="s">
        <v>3442</v>
      </c>
      <c r="I1796" s="11" t="s">
        <v>3365</v>
      </c>
      <c r="J1796" s="13" t="str" cm="1">
        <f t="array" ref="J1796">_xlfn.IFS(
  OR(ISBLANK(A1796),ISBLANK(B1796),ISBLANK(H1796),ISBLANK(D1796),ISBLANK(E1796)),"Missing Value",
  D1796&lt;=0,"Review – Out of Range (Coverage)",
  E1796&lt;=0,"Review – Out of Range (Premium)",
  TRUE,"OK"
)</f>
        <v>OK</v>
      </c>
    </row>
    <row r="1797" spans="1:10" ht="16.8" x14ac:dyDescent="0.3">
      <c r="A1797" s="14" t="s">
        <v>5458</v>
      </c>
      <c r="B1797" s="14" t="s">
        <v>761</v>
      </c>
      <c r="C1797" s="14" t="s">
        <v>3359</v>
      </c>
      <c r="D1797" s="14">
        <v>472959.83</v>
      </c>
      <c r="E1797" s="14">
        <v>33546.97</v>
      </c>
      <c r="F1797" s="15">
        <v>45241</v>
      </c>
      <c r="G1797" s="15">
        <v>45697</v>
      </c>
      <c r="H1797" s="14" t="s">
        <v>4732</v>
      </c>
      <c r="I1797" s="14" t="s">
        <v>3365</v>
      </c>
      <c r="J1797" s="13" t="str" cm="1">
        <f t="array" ref="J1797">_xlfn.IFS(
  OR(ISBLANK(A1797),ISBLANK(B1797),ISBLANK(H1797),ISBLANK(D1797),ISBLANK(E1797)),"Missing Value",
  D1797&lt;=0,"Review – Out of Range (Coverage)",
  E1797&lt;=0,"Review – Out of Range (Premium)",
  TRUE,"OK"
)</f>
        <v>OK</v>
      </c>
    </row>
    <row r="1798" spans="1:10" ht="16.8" x14ac:dyDescent="0.3">
      <c r="A1798" s="11" t="s">
        <v>5459</v>
      </c>
      <c r="B1798" s="11" t="s">
        <v>2539</v>
      </c>
      <c r="C1798" s="11" t="s">
        <v>3371</v>
      </c>
      <c r="D1798" s="11">
        <v>914713.02</v>
      </c>
      <c r="E1798" s="11">
        <v>29440.560000000001</v>
      </c>
      <c r="F1798" s="12">
        <v>45080</v>
      </c>
      <c r="G1798" s="12">
        <v>45121</v>
      </c>
      <c r="H1798" s="11" t="s">
        <v>3423</v>
      </c>
      <c r="I1798" s="11" t="s">
        <v>3361</v>
      </c>
      <c r="J1798" s="13" t="str" cm="1">
        <f t="array" ref="J1798">_xlfn.IFS(
  OR(ISBLANK(A1798),ISBLANK(B1798),ISBLANK(H1798),ISBLANK(D1798),ISBLANK(E1798)),"Missing Value",
  D1798&lt;=0,"Review – Out of Range (Coverage)",
  E1798&lt;=0,"Review – Out of Range (Premium)",
  TRUE,"OK"
)</f>
        <v>OK</v>
      </c>
    </row>
    <row r="1799" spans="1:10" ht="16.8" x14ac:dyDescent="0.3">
      <c r="A1799" s="14" t="s">
        <v>5460</v>
      </c>
      <c r="B1799" s="14" t="s">
        <v>779</v>
      </c>
      <c r="C1799" s="14" t="s">
        <v>3359</v>
      </c>
      <c r="D1799" s="14">
        <v>612315.51</v>
      </c>
      <c r="E1799" s="14">
        <v>33639.65</v>
      </c>
      <c r="F1799" s="15">
        <v>45403</v>
      </c>
      <c r="G1799" s="15">
        <v>45418</v>
      </c>
      <c r="H1799" s="14" t="s">
        <v>3997</v>
      </c>
      <c r="I1799" s="14" t="s">
        <v>3365</v>
      </c>
      <c r="J1799" s="13" t="str" cm="1">
        <f t="array" ref="J1799">_xlfn.IFS(
  OR(ISBLANK(A1799),ISBLANK(B1799),ISBLANK(H1799),ISBLANK(D1799),ISBLANK(E1799)),"Missing Value",
  D1799&lt;=0,"Review – Out of Range (Coverage)",
  E1799&lt;=0,"Review – Out of Range (Premium)",
  TRUE,"OK"
)</f>
        <v>OK</v>
      </c>
    </row>
    <row r="1800" spans="1:10" ht="16.8" x14ac:dyDescent="0.3">
      <c r="A1800" s="11" t="s">
        <v>5461</v>
      </c>
      <c r="B1800" s="11" t="s">
        <v>1645</v>
      </c>
      <c r="C1800" s="11" t="s">
        <v>3380</v>
      </c>
      <c r="D1800" s="11">
        <v>761679.98</v>
      </c>
      <c r="E1800" s="11">
        <v>24504.75</v>
      </c>
      <c r="F1800" s="12">
        <v>45122</v>
      </c>
      <c r="G1800" s="12">
        <v>45130</v>
      </c>
      <c r="H1800" s="11" t="s">
        <v>4154</v>
      </c>
      <c r="I1800" s="11" t="s">
        <v>3361</v>
      </c>
      <c r="J1800" s="13" t="str" cm="1">
        <f t="array" ref="J1800">_xlfn.IFS(
  OR(ISBLANK(A1800),ISBLANK(B1800),ISBLANK(H1800),ISBLANK(D1800),ISBLANK(E1800)),"Missing Value",
  D1800&lt;=0,"Review – Out of Range (Coverage)",
  E1800&lt;=0,"Review – Out of Range (Premium)",
  TRUE,"OK"
)</f>
        <v>OK</v>
      </c>
    </row>
    <row r="1801" spans="1:10" ht="16.8" x14ac:dyDescent="0.3">
      <c r="A1801" s="14" t="s">
        <v>5462</v>
      </c>
      <c r="B1801" s="14" t="s">
        <v>829</v>
      </c>
      <c r="C1801" s="14" t="s">
        <v>3363</v>
      </c>
      <c r="D1801" s="14">
        <v>288943.77</v>
      </c>
      <c r="E1801" s="14">
        <v>15105.09</v>
      </c>
      <c r="F1801" s="15">
        <v>44325</v>
      </c>
      <c r="G1801" s="15">
        <v>44683</v>
      </c>
      <c r="H1801" s="14" t="s">
        <v>3536</v>
      </c>
      <c r="I1801" s="14" t="s">
        <v>3361</v>
      </c>
      <c r="J1801" s="13" t="str" cm="1">
        <f t="array" ref="J1801">_xlfn.IFS(
  OR(ISBLANK(A1801),ISBLANK(B1801),ISBLANK(H1801),ISBLANK(D1801),ISBLANK(E1801)),"Missing Value",
  D1801&lt;=0,"Review – Out of Range (Coverage)",
  E1801&lt;=0,"Review – Out of Range (Premium)",
  TRUE,"OK"
)</f>
        <v>OK</v>
      </c>
    </row>
    <row r="1802" spans="1:10" ht="16.8" x14ac:dyDescent="0.3">
      <c r="A1802" s="11" t="s">
        <v>5463</v>
      </c>
      <c r="B1802" s="11" t="s">
        <v>3310</v>
      </c>
      <c r="C1802" s="11" t="s">
        <v>3377</v>
      </c>
      <c r="D1802" s="11">
        <v>889513.85</v>
      </c>
      <c r="E1802" s="11">
        <v>44846.44</v>
      </c>
      <c r="F1802" s="12">
        <v>45149</v>
      </c>
      <c r="G1802" s="12">
        <v>45637</v>
      </c>
      <c r="H1802" s="11" t="s">
        <v>4324</v>
      </c>
      <c r="I1802" s="11" t="s">
        <v>3373</v>
      </c>
      <c r="J1802" s="13" t="str" cm="1">
        <f t="array" ref="J1802">_xlfn.IFS(
  OR(ISBLANK(A1802),ISBLANK(B1802),ISBLANK(H1802),ISBLANK(D1802),ISBLANK(E1802)),"Missing Value",
  D1802&lt;=0,"Review – Out of Range (Coverage)",
  E1802&lt;=0,"Review – Out of Range (Premium)",
  TRUE,"OK"
)</f>
        <v>OK</v>
      </c>
    </row>
    <row r="1803" spans="1:10" ht="16.8" x14ac:dyDescent="0.3">
      <c r="A1803" s="14" t="s">
        <v>5464</v>
      </c>
      <c r="B1803" s="14" t="s">
        <v>3060</v>
      </c>
      <c r="C1803" s="14" t="s">
        <v>3371</v>
      </c>
      <c r="D1803" s="14">
        <v>972309.71</v>
      </c>
      <c r="E1803" s="14">
        <v>31320.47</v>
      </c>
      <c r="F1803" s="15">
        <v>45221</v>
      </c>
      <c r="G1803" s="15">
        <v>45356</v>
      </c>
      <c r="H1803" s="14" t="s">
        <v>3770</v>
      </c>
      <c r="I1803" s="14" t="s">
        <v>3373</v>
      </c>
      <c r="J1803" s="13" t="str" cm="1">
        <f t="array" ref="J1803">_xlfn.IFS(
  OR(ISBLANK(A1803),ISBLANK(B1803),ISBLANK(H1803),ISBLANK(D1803),ISBLANK(E1803)),"Missing Value",
  D1803&lt;=0,"Review – Out of Range (Coverage)",
  E1803&lt;=0,"Review – Out of Range (Premium)",
  TRUE,"OK"
)</f>
        <v>OK</v>
      </c>
    </row>
    <row r="1804" spans="1:10" ht="16.8" x14ac:dyDescent="0.3">
      <c r="A1804" s="11" t="s">
        <v>5465</v>
      </c>
      <c r="B1804" s="11" t="s">
        <v>2689</v>
      </c>
      <c r="C1804" s="11" t="s">
        <v>3363</v>
      </c>
      <c r="D1804" s="11">
        <v>452693.57</v>
      </c>
      <c r="E1804" s="11">
        <v>39400.6</v>
      </c>
      <c r="F1804" s="12">
        <v>44563</v>
      </c>
      <c r="G1804" s="12">
        <v>45196</v>
      </c>
      <c r="H1804" s="11" t="s">
        <v>3409</v>
      </c>
      <c r="I1804" s="11" t="s">
        <v>3361</v>
      </c>
      <c r="J1804" s="13" t="str" cm="1">
        <f t="array" ref="J1804">_xlfn.IFS(
  OR(ISBLANK(A1804),ISBLANK(B1804),ISBLANK(H1804),ISBLANK(D1804),ISBLANK(E1804)),"Missing Value",
  D1804&lt;=0,"Review – Out of Range (Coverage)",
  E1804&lt;=0,"Review – Out of Range (Premium)",
  TRUE,"OK"
)</f>
        <v>OK</v>
      </c>
    </row>
    <row r="1805" spans="1:10" ht="16.8" x14ac:dyDescent="0.3">
      <c r="A1805" s="14" t="s">
        <v>5466</v>
      </c>
      <c r="B1805" s="14" t="s">
        <v>2227</v>
      </c>
      <c r="C1805" s="14" t="s">
        <v>3363</v>
      </c>
      <c r="D1805" s="14">
        <v>131248.12</v>
      </c>
      <c r="E1805" s="14">
        <v>19997.11</v>
      </c>
      <c r="F1805" s="15">
        <v>44836</v>
      </c>
      <c r="G1805" s="15">
        <v>45783</v>
      </c>
      <c r="H1805" s="14" t="s">
        <v>4749</v>
      </c>
      <c r="I1805" s="14" t="s">
        <v>3373</v>
      </c>
      <c r="J1805" s="13" t="str" cm="1">
        <f t="array" ref="J1805">_xlfn.IFS(
  OR(ISBLANK(A1805),ISBLANK(B1805),ISBLANK(H1805),ISBLANK(D1805),ISBLANK(E1805)),"Missing Value",
  D1805&lt;=0,"Review – Out of Range (Coverage)",
  E1805&lt;=0,"Review – Out of Range (Premium)",
  TRUE,"OK"
)</f>
        <v>OK</v>
      </c>
    </row>
    <row r="1806" spans="1:10" ht="16.8" x14ac:dyDescent="0.3">
      <c r="A1806" s="11" t="s">
        <v>5467</v>
      </c>
      <c r="B1806" s="11" t="s">
        <v>2497</v>
      </c>
      <c r="C1806" s="11" t="s">
        <v>3363</v>
      </c>
      <c r="D1806" s="11">
        <v>400188.96</v>
      </c>
      <c r="E1806" s="11">
        <v>3333.28</v>
      </c>
      <c r="F1806" s="12">
        <v>44430</v>
      </c>
      <c r="G1806" s="12">
        <v>44744</v>
      </c>
      <c r="H1806" s="11" t="s">
        <v>4234</v>
      </c>
      <c r="I1806" s="11" t="s">
        <v>3373</v>
      </c>
      <c r="J1806" s="13" t="str" cm="1">
        <f t="array" ref="J1806">_xlfn.IFS(
  OR(ISBLANK(A1806),ISBLANK(B1806),ISBLANK(H1806),ISBLANK(D1806),ISBLANK(E1806)),"Missing Value",
  D1806&lt;=0,"Review – Out of Range (Coverage)",
  E1806&lt;=0,"Review – Out of Range (Premium)",
  TRUE,"OK"
)</f>
        <v>OK</v>
      </c>
    </row>
    <row r="1807" spans="1:10" ht="16.8" x14ac:dyDescent="0.3">
      <c r="A1807" s="14" t="s">
        <v>5468</v>
      </c>
      <c r="B1807" s="14" t="s">
        <v>907</v>
      </c>
      <c r="C1807" s="14" t="s">
        <v>3371</v>
      </c>
      <c r="D1807" s="14">
        <v>761024.21</v>
      </c>
      <c r="E1807" s="14">
        <v>19650.97</v>
      </c>
      <c r="F1807" s="15">
        <v>45075</v>
      </c>
      <c r="G1807" s="15">
        <v>45569</v>
      </c>
      <c r="H1807" s="14" t="s">
        <v>3369</v>
      </c>
      <c r="I1807" s="14" t="s">
        <v>3361</v>
      </c>
      <c r="J1807" s="13" t="str" cm="1">
        <f t="array" ref="J1807">_xlfn.IFS(
  OR(ISBLANK(A1807),ISBLANK(B1807),ISBLANK(H1807),ISBLANK(D1807),ISBLANK(E1807)),"Missing Value",
  D1807&lt;=0,"Review – Out of Range (Coverage)",
  E1807&lt;=0,"Review – Out of Range (Premium)",
  TRUE,"OK"
)</f>
        <v>OK</v>
      </c>
    </row>
    <row r="1808" spans="1:10" ht="16.8" x14ac:dyDescent="0.3">
      <c r="A1808" s="11" t="s">
        <v>5469</v>
      </c>
      <c r="B1808" s="11" t="s">
        <v>2681</v>
      </c>
      <c r="C1808" s="11" t="s">
        <v>3359</v>
      </c>
      <c r="D1808" s="11">
        <v>150420.25</v>
      </c>
      <c r="E1808" s="11">
        <v>36901.24</v>
      </c>
      <c r="F1808" s="12">
        <v>44871</v>
      </c>
      <c r="G1808" s="12">
        <v>45253</v>
      </c>
      <c r="H1808" s="11" t="s">
        <v>3603</v>
      </c>
      <c r="I1808" s="11" t="s">
        <v>3361</v>
      </c>
      <c r="J1808" s="13" t="str" cm="1">
        <f t="array" ref="J1808">_xlfn.IFS(
  OR(ISBLANK(A1808),ISBLANK(B1808),ISBLANK(H1808),ISBLANK(D1808),ISBLANK(E1808)),"Missing Value",
  D1808&lt;=0,"Review – Out of Range (Coverage)",
  E1808&lt;=0,"Review – Out of Range (Premium)",
  TRUE,"OK"
)</f>
        <v>OK</v>
      </c>
    </row>
    <row r="1809" spans="1:10" ht="16.8" x14ac:dyDescent="0.3">
      <c r="A1809" s="14" t="s">
        <v>5470</v>
      </c>
      <c r="B1809" s="14" t="s">
        <v>1935</v>
      </c>
      <c r="C1809" s="14" t="s">
        <v>3380</v>
      </c>
      <c r="D1809" s="14">
        <v>919922.15</v>
      </c>
      <c r="E1809" s="14">
        <v>26789.68</v>
      </c>
      <c r="F1809" s="15">
        <v>44061</v>
      </c>
      <c r="G1809" s="15">
        <v>45822</v>
      </c>
      <c r="H1809" s="14" t="s">
        <v>3564</v>
      </c>
      <c r="I1809" s="14" t="s">
        <v>3373</v>
      </c>
      <c r="J1809" s="13" t="str" cm="1">
        <f t="array" ref="J1809">_xlfn.IFS(
  OR(ISBLANK(A1809),ISBLANK(B1809),ISBLANK(H1809),ISBLANK(D1809),ISBLANK(E1809)),"Missing Value",
  D1809&lt;=0,"Review – Out of Range (Coverage)",
  E1809&lt;=0,"Review – Out of Range (Premium)",
  TRUE,"OK"
)</f>
        <v>OK</v>
      </c>
    </row>
    <row r="1810" spans="1:10" ht="16.8" x14ac:dyDescent="0.3">
      <c r="A1810" s="11" t="s">
        <v>5471</v>
      </c>
      <c r="B1810" s="11" t="s">
        <v>3007</v>
      </c>
      <c r="C1810" s="11" t="s">
        <v>3359</v>
      </c>
      <c r="D1810" s="11">
        <v>441934.39</v>
      </c>
      <c r="E1810" s="11">
        <v>45007.91</v>
      </c>
      <c r="F1810" s="12">
        <v>44954</v>
      </c>
      <c r="G1810" s="12">
        <v>45223</v>
      </c>
      <c r="H1810" s="11" t="s">
        <v>3834</v>
      </c>
      <c r="I1810" s="11" t="s">
        <v>3361</v>
      </c>
      <c r="J1810" s="13" t="str" cm="1">
        <f t="array" ref="J1810">_xlfn.IFS(
  OR(ISBLANK(A1810),ISBLANK(B1810),ISBLANK(H1810),ISBLANK(D1810),ISBLANK(E1810)),"Missing Value",
  D1810&lt;=0,"Review – Out of Range (Coverage)",
  E1810&lt;=0,"Review – Out of Range (Premium)",
  TRUE,"OK"
)</f>
        <v>OK</v>
      </c>
    </row>
    <row r="1811" spans="1:10" ht="16.8" x14ac:dyDescent="0.3">
      <c r="A1811" s="14" t="s">
        <v>5472</v>
      </c>
      <c r="B1811" s="14" t="s">
        <v>1325</v>
      </c>
      <c r="C1811" s="14" t="s">
        <v>3363</v>
      </c>
      <c r="D1811" s="14">
        <v>788180.73</v>
      </c>
      <c r="E1811" s="14">
        <v>10126.200000000001</v>
      </c>
      <c r="F1811" s="15">
        <v>45270</v>
      </c>
      <c r="G1811" s="15">
        <v>45481</v>
      </c>
      <c r="H1811" s="14" t="s">
        <v>4190</v>
      </c>
      <c r="I1811" s="14" t="s">
        <v>3365</v>
      </c>
      <c r="J1811" s="13" t="str" cm="1">
        <f t="array" ref="J1811">_xlfn.IFS(
  OR(ISBLANK(A1811),ISBLANK(B1811),ISBLANK(H1811),ISBLANK(D1811),ISBLANK(E1811)),"Missing Value",
  D1811&lt;=0,"Review – Out of Range (Coverage)",
  E1811&lt;=0,"Review – Out of Range (Premium)",
  TRUE,"OK"
)</f>
        <v>OK</v>
      </c>
    </row>
    <row r="1812" spans="1:10" ht="16.8" x14ac:dyDescent="0.3">
      <c r="A1812" s="11" t="s">
        <v>5473</v>
      </c>
      <c r="B1812" s="11" t="s">
        <v>567</v>
      </c>
      <c r="C1812" s="11" t="s">
        <v>3377</v>
      </c>
      <c r="D1812" s="11">
        <v>843255.31</v>
      </c>
      <c r="E1812" s="11">
        <v>32114.62</v>
      </c>
      <c r="F1812" s="12">
        <v>44247</v>
      </c>
      <c r="G1812" s="12">
        <v>44841</v>
      </c>
      <c r="H1812" s="11" t="s">
        <v>3698</v>
      </c>
      <c r="I1812" s="11" t="s">
        <v>3361</v>
      </c>
      <c r="J1812" s="13" t="str" cm="1">
        <f t="array" ref="J1812">_xlfn.IFS(
  OR(ISBLANK(A1812),ISBLANK(B1812),ISBLANK(H1812),ISBLANK(D1812),ISBLANK(E1812)),"Missing Value",
  D1812&lt;=0,"Review – Out of Range (Coverage)",
  E1812&lt;=0,"Review – Out of Range (Premium)",
  TRUE,"OK"
)</f>
        <v>OK</v>
      </c>
    </row>
    <row r="1813" spans="1:10" ht="16.8" x14ac:dyDescent="0.3">
      <c r="A1813" s="14" t="s">
        <v>5474</v>
      </c>
      <c r="B1813" s="14" t="s">
        <v>2155</v>
      </c>
      <c r="C1813" s="14" t="s">
        <v>3377</v>
      </c>
      <c r="D1813" s="14">
        <v>362600.07</v>
      </c>
      <c r="E1813" s="14">
        <v>39670.29</v>
      </c>
      <c r="F1813" s="15">
        <v>45009</v>
      </c>
      <c r="G1813" s="15">
        <v>45470</v>
      </c>
      <c r="H1813" s="14" t="s">
        <v>3417</v>
      </c>
      <c r="I1813" s="14" t="s">
        <v>3373</v>
      </c>
      <c r="J1813" s="13" t="str" cm="1">
        <f t="array" ref="J1813">_xlfn.IFS(
  OR(ISBLANK(A1813),ISBLANK(B1813),ISBLANK(H1813),ISBLANK(D1813),ISBLANK(E1813)),"Missing Value",
  D1813&lt;=0,"Review – Out of Range (Coverage)",
  E1813&lt;=0,"Review – Out of Range (Premium)",
  TRUE,"OK"
)</f>
        <v>OK</v>
      </c>
    </row>
    <row r="1814" spans="1:10" ht="16.8" x14ac:dyDescent="0.3">
      <c r="A1814" s="11" t="s">
        <v>5475</v>
      </c>
      <c r="B1814" s="11" t="s">
        <v>274</v>
      </c>
      <c r="C1814" s="11" t="s">
        <v>3377</v>
      </c>
      <c r="D1814" s="11">
        <v>515062.2</v>
      </c>
      <c r="E1814" s="11">
        <v>22025.32</v>
      </c>
      <c r="F1814" s="12">
        <v>44362</v>
      </c>
      <c r="G1814" s="12">
        <v>45294</v>
      </c>
      <c r="H1814" s="11" t="s">
        <v>4410</v>
      </c>
      <c r="I1814" s="11" t="s">
        <v>3361</v>
      </c>
      <c r="J1814" s="13" t="str" cm="1">
        <f t="array" ref="J1814">_xlfn.IFS(
  OR(ISBLANK(A1814),ISBLANK(B1814),ISBLANK(H1814),ISBLANK(D1814),ISBLANK(E1814)),"Missing Value",
  D1814&lt;=0,"Review – Out of Range (Coverage)",
  E1814&lt;=0,"Review – Out of Range (Premium)",
  TRUE,"OK"
)</f>
        <v>OK</v>
      </c>
    </row>
    <row r="1815" spans="1:10" ht="16.8" x14ac:dyDescent="0.3">
      <c r="A1815" s="14" t="s">
        <v>5476</v>
      </c>
      <c r="B1815" s="14" t="s">
        <v>1961</v>
      </c>
      <c r="C1815" s="14" t="s">
        <v>3359</v>
      </c>
      <c r="D1815" s="14">
        <v>736122.72</v>
      </c>
      <c r="E1815" s="14">
        <v>38890.92</v>
      </c>
      <c r="F1815" s="15">
        <v>44266</v>
      </c>
      <c r="G1815" s="15">
        <v>44728</v>
      </c>
      <c r="H1815" s="14" t="s">
        <v>3449</v>
      </c>
      <c r="I1815" s="14" t="s">
        <v>3373</v>
      </c>
      <c r="J1815" s="13" t="str" cm="1">
        <f t="array" ref="J1815">_xlfn.IFS(
  OR(ISBLANK(A1815),ISBLANK(B1815),ISBLANK(H1815),ISBLANK(D1815),ISBLANK(E1815)),"Missing Value",
  D1815&lt;=0,"Review – Out of Range (Coverage)",
  E1815&lt;=0,"Review – Out of Range (Premium)",
  TRUE,"OK"
)</f>
        <v>OK</v>
      </c>
    </row>
    <row r="1816" spans="1:10" ht="16.8" x14ac:dyDescent="0.3">
      <c r="A1816" s="11" t="s">
        <v>5477</v>
      </c>
      <c r="B1816" s="11" t="s">
        <v>3162</v>
      </c>
      <c r="C1816" s="11" t="s">
        <v>3380</v>
      </c>
      <c r="D1816" s="11">
        <v>895618.85</v>
      </c>
      <c r="E1816" s="11">
        <v>44719.27</v>
      </c>
      <c r="F1816" s="12">
        <v>44956</v>
      </c>
      <c r="G1816" s="12">
        <v>45364</v>
      </c>
      <c r="H1816" s="11" t="s">
        <v>4324</v>
      </c>
      <c r="I1816" s="11" t="s">
        <v>3373</v>
      </c>
      <c r="J1816" s="13" t="str" cm="1">
        <f t="array" ref="J1816">_xlfn.IFS(
  OR(ISBLANK(A1816),ISBLANK(B1816),ISBLANK(H1816),ISBLANK(D1816),ISBLANK(E1816)),"Missing Value",
  D1816&lt;=0,"Review – Out of Range (Coverage)",
  E1816&lt;=0,"Review – Out of Range (Premium)",
  TRUE,"OK"
)</f>
        <v>OK</v>
      </c>
    </row>
    <row r="1817" spans="1:10" ht="16.8" x14ac:dyDescent="0.3">
      <c r="A1817" s="14" t="s">
        <v>5478</v>
      </c>
      <c r="B1817" s="14" t="s">
        <v>3336</v>
      </c>
      <c r="C1817" s="14" t="s">
        <v>3371</v>
      </c>
      <c r="D1817" s="14">
        <v>973397.98</v>
      </c>
      <c r="E1817" s="14">
        <v>19371.59</v>
      </c>
      <c r="F1817" s="15">
        <v>44983</v>
      </c>
      <c r="G1817" s="15">
        <v>45855</v>
      </c>
      <c r="H1817" s="14" t="s">
        <v>3360</v>
      </c>
      <c r="I1817" s="14" t="s">
        <v>3361</v>
      </c>
      <c r="J1817" s="13" t="str" cm="1">
        <f t="array" ref="J1817">_xlfn.IFS(
  OR(ISBLANK(A1817),ISBLANK(B1817),ISBLANK(H1817),ISBLANK(D1817),ISBLANK(E1817)),"Missing Value",
  D1817&lt;=0,"Review – Out of Range (Coverage)",
  E1817&lt;=0,"Review – Out of Range (Premium)",
  TRUE,"OK"
)</f>
        <v>OK</v>
      </c>
    </row>
    <row r="1818" spans="1:10" ht="16.8" x14ac:dyDescent="0.3">
      <c r="A1818" s="11" t="s">
        <v>5479</v>
      </c>
      <c r="B1818" s="11" t="s">
        <v>1705</v>
      </c>
      <c r="C1818" s="11" t="s">
        <v>3380</v>
      </c>
      <c r="D1818" s="11">
        <v>636871.06000000006</v>
      </c>
      <c r="E1818" s="11">
        <v>43941.16</v>
      </c>
      <c r="F1818" s="12">
        <v>44917</v>
      </c>
      <c r="G1818" s="12">
        <v>45411</v>
      </c>
      <c r="H1818" s="11" t="s">
        <v>3846</v>
      </c>
      <c r="I1818" s="11" t="s">
        <v>3373</v>
      </c>
      <c r="J1818" s="13" t="str" cm="1">
        <f t="array" ref="J1818">_xlfn.IFS(
  OR(ISBLANK(A1818),ISBLANK(B1818),ISBLANK(H1818),ISBLANK(D1818),ISBLANK(E1818)),"Missing Value",
  D1818&lt;=0,"Review – Out of Range (Coverage)",
  E1818&lt;=0,"Review – Out of Range (Premium)",
  TRUE,"OK"
)</f>
        <v>OK</v>
      </c>
    </row>
    <row r="1819" spans="1:10" ht="16.8" x14ac:dyDescent="0.3">
      <c r="A1819" s="14" t="s">
        <v>5480</v>
      </c>
      <c r="B1819" s="14" t="s">
        <v>1199</v>
      </c>
      <c r="C1819" s="14" t="s">
        <v>3363</v>
      </c>
      <c r="D1819" s="14">
        <v>245951.27</v>
      </c>
      <c r="E1819" s="14">
        <v>29844.28</v>
      </c>
      <c r="F1819" s="15">
        <v>44566</v>
      </c>
      <c r="G1819" s="15">
        <v>44831</v>
      </c>
      <c r="H1819" s="14" t="s">
        <v>4158</v>
      </c>
      <c r="I1819" s="14" t="s">
        <v>3361</v>
      </c>
      <c r="J1819" s="13" t="str" cm="1">
        <f t="array" ref="J1819">_xlfn.IFS(
  OR(ISBLANK(A1819),ISBLANK(B1819),ISBLANK(H1819),ISBLANK(D1819),ISBLANK(E1819)),"Missing Value",
  D1819&lt;=0,"Review – Out of Range (Coverage)",
  E1819&lt;=0,"Review – Out of Range (Premium)",
  TRUE,"OK"
)</f>
        <v>OK</v>
      </c>
    </row>
    <row r="1820" spans="1:10" ht="16.8" x14ac:dyDescent="0.3">
      <c r="A1820" s="11" t="s">
        <v>5481</v>
      </c>
      <c r="B1820" s="11" t="s">
        <v>334</v>
      </c>
      <c r="C1820" s="11" t="s">
        <v>3363</v>
      </c>
      <c r="D1820" s="11">
        <v>221242.71</v>
      </c>
      <c r="E1820" s="11">
        <v>18235.939999999999</v>
      </c>
      <c r="F1820" s="12">
        <v>45097</v>
      </c>
      <c r="G1820" s="12">
        <v>45198</v>
      </c>
      <c r="H1820" s="11" t="s">
        <v>4365</v>
      </c>
      <c r="I1820" s="11" t="s">
        <v>3361</v>
      </c>
      <c r="J1820" s="13" t="str" cm="1">
        <f t="array" ref="J1820">_xlfn.IFS(
  OR(ISBLANK(A1820),ISBLANK(B1820),ISBLANK(H1820),ISBLANK(D1820),ISBLANK(E1820)),"Missing Value",
  D1820&lt;=0,"Review – Out of Range (Coverage)",
  E1820&lt;=0,"Review – Out of Range (Premium)",
  TRUE,"OK"
)</f>
        <v>OK</v>
      </c>
    </row>
    <row r="1821" spans="1:10" ht="16.8" x14ac:dyDescent="0.3">
      <c r="A1821" s="14" t="s">
        <v>5482</v>
      </c>
      <c r="B1821" s="14" t="s">
        <v>1965</v>
      </c>
      <c r="C1821" s="14" t="s">
        <v>3363</v>
      </c>
      <c r="D1821" s="14">
        <v>313858.18</v>
      </c>
      <c r="E1821" s="14">
        <v>39695.160000000003</v>
      </c>
      <c r="F1821" s="15">
        <v>45486</v>
      </c>
      <c r="G1821" s="15">
        <v>45566</v>
      </c>
      <c r="H1821" s="14" t="s">
        <v>4900</v>
      </c>
      <c r="I1821" s="14" t="s">
        <v>3365</v>
      </c>
      <c r="J1821" s="13" t="str" cm="1">
        <f t="array" ref="J1821">_xlfn.IFS(
  OR(ISBLANK(A1821),ISBLANK(B1821),ISBLANK(H1821),ISBLANK(D1821),ISBLANK(E1821)),"Missing Value",
  D1821&lt;=0,"Review – Out of Range (Coverage)",
  E1821&lt;=0,"Review – Out of Range (Premium)",
  TRUE,"OK"
)</f>
        <v>OK</v>
      </c>
    </row>
    <row r="1822" spans="1:10" ht="16.8" x14ac:dyDescent="0.3">
      <c r="A1822" s="11" t="s">
        <v>5483</v>
      </c>
      <c r="B1822" s="11" t="s">
        <v>105</v>
      </c>
      <c r="C1822" s="11" t="s">
        <v>3371</v>
      </c>
      <c r="D1822" s="11">
        <v>372713.47</v>
      </c>
      <c r="E1822" s="11">
        <v>24916.65</v>
      </c>
      <c r="F1822" s="12">
        <v>45209</v>
      </c>
      <c r="G1822" s="12">
        <v>45233</v>
      </c>
      <c r="H1822" s="11" t="s">
        <v>3605</v>
      </c>
      <c r="I1822" s="11" t="s">
        <v>3361</v>
      </c>
      <c r="J1822" s="13" t="str" cm="1">
        <f t="array" ref="J1822">_xlfn.IFS(
  OR(ISBLANK(A1822),ISBLANK(B1822),ISBLANK(H1822),ISBLANK(D1822),ISBLANK(E1822)),"Missing Value",
  D1822&lt;=0,"Review – Out of Range (Coverage)",
  E1822&lt;=0,"Review – Out of Range (Premium)",
  TRUE,"OK"
)</f>
        <v>OK</v>
      </c>
    </row>
    <row r="1823" spans="1:10" ht="16.8" x14ac:dyDescent="0.3">
      <c r="A1823" s="14" t="s">
        <v>5484</v>
      </c>
      <c r="B1823" s="14" t="s">
        <v>1823</v>
      </c>
      <c r="C1823" s="14" t="s">
        <v>3359</v>
      </c>
      <c r="D1823" s="14">
        <v>245344.85</v>
      </c>
      <c r="E1823" s="14">
        <v>35092.03</v>
      </c>
      <c r="F1823" s="15">
        <v>44918</v>
      </c>
      <c r="G1823" s="15">
        <v>45498</v>
      </c>
      <c r="H1823" s="14" t="s">
        <v>3393</v>
      </c>
      <c r="I1823" s="14" t="s">
        <v>3361</v>
      </c>
      <c r="J1823" s="13" t="str" cm="1">
        <f t="array" ref="J1823">_xlfn.IFS(
  OR(ISBLANK(A1823),ISBLANK(B1823),ISBLANK(H1823),ISBLANK(D1823),ISBLANK(E1823)),"Missing Value",
  D1823&lt;=0,"Review – Out of Range (Coverage)",
  E1823&lt;=0,"Review – Out of Range (Premium)",
  TRUE,"OK"
)</f>
        <v>OK</v>
      </c>
    </row>
    <row r="1824" spans="1:10" ht="16.8" x14ac:dyDescent="0.3">
      <c r="A1824" s="11" t="s">
        <v>5485</v>
      </c>
      <c r="B1824" s="11" t="s">
        <v>1113</v>
      </c>
      <c r="C1824" s="11" t="s">
        <v>3377</v>
      </c>
      <c r="D1824" s="11">
        <v>170073.14</v>
      </c>
      <c r="E1824" s="11">
        <v>3184.59</v>
      </c>
      <c r="F1824" s="12">
        <v>45026</v>
      </c>
      <c r="G1824" s="12">
        <v>45459</v>
      </c>
      <c r="H1824" s="11" t="s">
        <v>3652</v>
      </c>
      <c r="I1824" s="11" t="s">
        <v>3373</v>
      </c>
      <c r="J1824" s="13" t="str" cm="1">
        <f t="array" ref="J1824">_xlfn.IFS(
  OR(ISBLANK(A1824),ISBLANK(B1824),ISBLANK(H1824),ISBLANK(D1824),ISBLANK(E1824)),"Missing Value",
  D1824&lt;=0,"Review – Out of Range (Coverage)",
  E1824&lt;=0,"Review – Out of Range (Premium)",
  TRUE,"OK"
)</f>
        <v>OK</v>
      </c>
    </row>
    <row r="1825" spans="1:10" ht="16.8" x14ac:dyDescent="0.3">
      <c r="A1825" s="14" t="s">
        <v>5486</v>
      </c>
      <c r="B1825" s="14" t="s">
        <v>2471</v>
      </c>
      <c r="C1825" s="14" t="s">
        <v>3371</v>
      </c>
      <c r="D1825" s="14">
        <v>880108.23</v>
      </c>
      <c r="E1825" s="14">
        <v>8364.3799999999992</v>
      </c>
      <c r="F1825" s="15">
        <v>45050</v>
      </c>
      <c r="G1825" s="15">
        <v>45068</v>
      </c>
      <c r="H1825" s="14" t="s">
        <v>3571</v>
      </c>
      <c r="I1825" s="14" t="s">
        <v>3373</v>
      </c>
      <c r="J1825" s="13" t="str" cm="1">
        <f t="array" ref="J1825">_xlfn.IFS(
  OR(ISBLANK(A1825),ISBLANK(B1825),ISBLANK(H1825),ISBLANK(D1825),ISBLANK(E1825)),"Missing Value",
  D1825&lt;=0,"Review – Out of Range (Coverage)",
  E1825&lt;=0,"Review – Out of Range (Premium)",
  TRUE,"OK"
)</f>
        <v>OK</v>
      </c>
    </row>
    <row r="1826" spans="1:10" ht="16.8" x14ac:dyDescent="0.3">
      <c r="A1826" s="11" t="s">
        <v>5487</v>
      </c>
      <c r="B1826" s="11" t="s">
        <v>825</v>
      </c>
      <c r="C1826" s="11" t="s">
        <v>3380</v>
      </c>
      <c r="D1826" s="11">
        <v>148222.48000000001</v>
      </c>
      <c r="E1826" s="11">
        <v>19866.04</v>
      </c>
      <c r="F1826" s="12">
        <v>45021</v>
      </c>
      <c r="G1826" s="12">
        <v>45833</v>
      </c>
      <c r="H1826" s="11" t="s">
        <v>5488</v>
      </c>
      <c r="I1826" s="11" t="s">
        <v>3373</v>
      </c>
      <c r="J1826" s="13" t="str" cm="1">
        <f t="array" ref="J1826">_xlfn.IFS(
  OR(ISBLANK(A1826),ISBLANK(B1826),ISBLANK(H1826),ISBLANK(D1826),ISBLANK(E1826)),"Missing Value",
  D1826&lt;=0,"Review – Out of Range (Coverage)",
  E1826&lt;=0,"Review – Out of Range (Premium)",
  TRUE,"OK"
)</f>
        <v>OK</v>
      </c>
    </row>
    <row r="1827" spans="1:10" ht="16.8" x14ac:dyDescent="0.3">
      <c r="A1827" s="14" t="s">
        <v>5489</v>
      </c>
      <c r="B1827" s="14" t="s">
        <v>587</v>
      </c>
      <c r="C1827" s="14" t="s">
        <v>3359</v>
      </c>
      <c r="D1827" s="14">
        <v>224315.53</v>
      </c>
      <c r="E1827" s="14">
        <v>27089.27</v>
      </c>
      <c r="F1827" s="15">
        <v>45202</v>
      </c>
      <c r="G1827" s="15">
        <v>45717</v>
      </c>
      <c r="H1827" s="14" t="s">
        <v>3838</v>
      </c>
      <c r="I1827" s="14" t="s">
        <v>3365</v>
      </c>
      <c r="J1827" s="13" t="str" cm="1">
        <f t="array" ref="J1827">_xlfn.IFS(
  OR(ISBLANK(A1827),ISBLANK(B1827),ISBLANK(H1827),ISBLANK(D1827),ISBLANK(E1827)),"Missing Value",
  D1827&lt;=0,"Review – Out of Range (Coverage)",
  E1827&lt;=0,"Review – Out of Range (Premium)",
  TRUE,"OK"
)</f>
        <v>OK</v>
      </c>
    </row>
    <row r="1828" spans="1:10" ht="16.8" x14ac:dyDescent="0.3">
      <c r="A1828" s="11" t="s">
        <v>5490</v>
      </c>
      <c r="B1828" s="11" t="s">
        <v>3220</v>
      </c>
      <c r="C1828" s="11" t="s">
        <v>3371</v>
      </c>
      <c r="D1828" s="11">
        <v>721790.66</v>
      </c>
      <c r="E1828" s="11">
        <v>40846.69</v>
      </c>
      <c r="F1828" s="12">
        <v>45031</v>
      </c>
      <c r="G1828" s="12">
        <v>45636</v>
      </c>
      <c r="H1828" s="11" t="s">
        <v>4043</v>
      </c>
      <c r="I1828" s="11" t="s">
        <v>3361</v>
      </c>
      <c r="J1828" s="13" t="str" cm="1">
        <f t="array" ref="J1828">_xlfn.IFS(
  OR(ISBLANK(A1828),ISBLANK(B1828),ISBLANK(H1828),ISBLANK(D1828),ISBLANK(E1828)),"Missing Value",
  D1828&lt;=0,"Review – Out of Range (Coverage)",
  E1828&lt;=0,"Review – Out of Range (Premium)",
  TRUE,"OK"
)</f>
        <v>OK</v>
      </c>
    </row>
    <row r="1829" spans="1:10" ht="16.8" x14ac:dyDescent="0.3">
      <c r="A1829" s="14" t="s">
        <v>5491</v>
      </c>
      <c r="B1829" s="14" t="s">
        <v>1595</v>
      </c>
      <c r="C1829" s="14" t="s">
        <v>3377</v>
      </c>
      <c r="D1829" s="14">
        <v>747620.38</v>
      </c>
      <c r="E1829" s="14">
        <v>13292.12</v>
      </c>
      <c r="F1829" s="15">
        <v>45112</v>
      </c>
      <c r="G1829" s="15">
        <v>45506</v>
      </c>
      <c r="H1829" s="14" t="s">
        <v>3419</v>
      </c>
      <c r="I1829" s="14" t="s">
        <v>3373</v>
      </c>
      <c r="J1829" s="13" t="str" cm="1">
        <f t="array" ref="J1829">_xlfn.IFS(
  OR(ISBLANK(A1829),ISBLANK(B1829),ISBLANK(H1829),ISBLANK(D1829),ISBLANK(E1829)),"Missing Value",
  D1829&lt;=0,"Review – Out of Range (Coverage)",
  E1829&lt;=0,"Review – Out of Range (Premium)",
  TRUE,"OK"
)</f>
        <v>OK</v>
      </c>
    </row>
    <row r="1830" spans="1:10" ht="16.8" x14ac:dyDescent="0.3">
      <c r="A1830" s="11" t="s">
        <v>5492</v>
      </c>
      <c r="B1830" s="11" t="s">
        <v>522</v>
      </c>
      <c r="C1830" s="11" t="s">
        <v>3363</v>
      </c>
      <c r="D1830" s="11">
        <v>698165.05</v>
      </c>
      <c r="E1830" s="11">
        <v>46800.160000000003</v>
      </c>
      <c r="F1830" s="12">
        <v>44968</v>
      </c>
      <c r="G1830" s="12">
        <v>45655</v>
      </c>
      <c r="H1830" s="11" t="s">
        <v>4596</v>
      </c>
      <c r="I1830" s="11" t="s">
        <v>3365</v>
      </c>
      <c r="J1830" s="13" t="str" cm="1">
        <f t="array" ref="J1830">_xlfn.IFS(
  OR(ISBLANK(A1830),ISBLANK(B1830),ISBLANK(H1830),ISBLANK(D1830),ISBLANK(E1830)),"Missing Value",
  D1830&lt;=0,"Review – Out of Range (Coverage)",
  E1830&lt;=0,"Review – Out of Range (Premium)",
  TRUE,"OK"
)</f>
        <v>OK</v>
      </c>
    </row>
    <row r="1831" spans="1:10" ht="16.8" x14ac:dyDescent="0.3">
      <c r="A1831" s="14" t="s">
        <v>5493</v>
      </c>
      <c r="B1831" s="14" t="s">
        <v>705</v>
      </c>
      <c r="C1831" s="14" t="s">
        <v>3380</v>
      </c>
      <c r="D1831" s="14">
        <v>878811.88</v>
      </c>
      <c r="E1831" s="14">
        <v>24476.91</v>
      </c>
      <c r="F1831" s="15">
        <v>44626</v>
      </c>
      <c r="G1831" s="15">
        <v>45192</v>
      </c>
      <c r="H1831" s="14" t="s">
        <v>3774</v>
      </c>
      <c r="I1831" s="14" t="s">
        <v>3373</v>
      </c>
      <c r="J1831" s="13" t="str" cm="1">
        <f t="array" ref="J1831">_xlfn.IFS(
  OR(ISBLANK(A1831),ISBLANK(B1831),ISBLANK(H1831),ISBLANK(D1831),ISBLANK(E1831)),"Missing Value",
  D1831&lt;=0,"Review – Out of Range (Coverage)",
  E1831&lt;=0,"Review – Out of Range (Premium)",
  TRUE,"OK"
)</f>
        <v>OK</v>
      </c>
    </row>
    <row r="1832" spans="1:10" ht="16.8" x14ac:dyDescent="0.3">
      <c r="A1832" s="11" t="s">
        <v>5494</v>
      </c>
      <c r="B1832" s="11" t="s">
        <v>2675</v>
      </c>
      <c r="C1832" s="11" t="s">
        <v>3359</v>
      </c>
      <c r="D1832" s="11">
        <v>721872.8</v>
      </c>
      <c r="E1832" s="11">
        <v>24772.76</v>
      </c>
      <c r="F1832" s="12">
        <v>45484</v>
      </c>
      <c r="G1832" s="12">
        <v>45671</v>
      </c>
      <c r="H1832" s="11" t="s">
        <v>4749</v>
      </c>
      <c r="I1832" s="11" t="s">
        <v>3361</v>
      </c>
      <c r="J1832" s="13" t="str" cm="1">
        <f t="array" ref="J1832">_xlfn.IFS(
  OR(ISBLANK(A1832),ISBLANK(B1832),ISBLANK(H1832),ISBLANK(D1832),ISBLANK(E1832)),"Missing Value",
  D1832&lt;=0,"Review – Out of Range (Coverage)",
  E1832&lt;=0,"Review – Out of Range (Premium)",
  TRUE,"OK"
)</f>
        <v>OK</v>
      </c>
    </row>
    <row r="1833" spans="1:10" ht="16.8" x14ac:dyDescent="0.3">
      <c r="A1833" s="14" t="s">
        <v>5495</v>
      </c>
      <c r="B1833" s="14" t="s">
        <v>2927</v>
      </c>
      <c r="C1833" s="14" t="s">
        <v>3363</v>
      </c>
      <c r="D1833" s="14">
        <v>836691.58</v>
      </c>
      <c r="E1833" s="14">
        <v>36866.120000000003</v>
      </c>
      <c r="F1833" s="15">
        <v>44725</v>
      </c>
      <c r="G1833" s="15">
        <v>45716</v>
      </c>
      <c r="H1833" s="14" t="s">
        <v>3662</v>
      </c>
      <c r="I1833" s="14" t="s">
        <v>3361</v>
      </c>
      <c r="J1833" s="13" t="str" cm="1">
        <f t="array" ref="J1833">_xlfn.IFS(
  OR(ISBLANK(A1833),ISBLANK(B1833),ISBLANK(H1833),ISBLANK(D1833),ISBLANK(E1833)),"Missing Value",
  D1833&lt;=0,"Review – Out of Range (Coverage)",
  E1833&lt;=0,"Review – Out of Range (Premium)",
  TRUE,"OK"
)</f>
        <v>OK</v>
      </c>
    </row>
    <row r="1834" spans="1:10" ht="16.8" x14ac:dyDescent="0.3">
      <c r="A1834" s="11" t="s">
        <v>5496</v>
      </c>
      <c r="B1834" s="11" t="s">
        <v>1083</v>
      </c>
      <c r="C1834" s="11" t="s">
        <v>3363</v>
      </c>
      <c r="D1834" s="11">
        <v>904765.37</v>
      </c>
      <c r="E1834" s="11">
        <v>3880.92</v>
      </c>
      <c r="F1834" s="12">
        <v>45247</v>
      </c>
      <c r="G1834" s="12">
        <v>45603</v>
      </c>
      <c r="H1834" s="11" t="s">
        <v>3620</v>
      </c>
      <c r="I1834" s="11" t="s">
        <v>3361</v>
      </c>
      <c r="J1834" s="13" t="str" cm="1">
        <f t="array" ref="J1834">_xlfn.IFS(
  OR(ISBLANK(A1834),ISBLANK(B1834),ISBLANK(H1834),ISBLANK(D1834),ISBLANK(E1834)),"Missing Value",
  D1834&lt;=0,"Review – Out of Range (Coverage)",
  E1834&lt;=0,"Review – Out of Range (Premium)",
  TRUE,"OK"
)</f>
        <v>OK</v>
      </c>
    </row>
    <row r="1835" spans="1:10" ht="16.8" x14ac:dyDescent="0.3">
      <c r="A1835" s="14" t="s">
        <v>5497</v>
      </c>
      <c r="B1835" s="14" t="s">
        <v>160</v>
      </c>
      <c r="C1835" s="14" t="s">
        <v>3359</v>
      </c>
      <c r="D1835" s="14">
        <v>390597.2</v>
      </c>
      <c r="E1835" s="14">
        <v>24392.34</v>
      </c>
      <c r="F1835" s="15">
        <v>44814</v>
      </c>
      <c r="G1835" s="15">
        <v>45072</v>
      </c>
      <c r="H1835" s="14" t="s">
        <v>3854</v>
      </c>
      <c r="I1835" s="14" t="s">
        <v>3361</v>
      </c>
      <c r="J1835" s="13" t="str" cm="1">
        <f t="array" ref="J1835">_xlfn.IFS(
  OR(ISBLANK(A1835),ISBLANK(B1835),ISBLANK(H1835),ISBLANK(D1835),ISBLANK(E1835)),"Missing Value",
  D1835&lt;=0,"Review – Out of Range (Coverage)",
  E1835&lt;=0,"Review – Out of Range (Premium)",
  TRUE,"OK"
)</f>
        <v>OK</v>
      </c>
    </row>
    <row r="1836" spans="1:10" ht="16.8" x14ac:dyDescent="0.3">
      <c r="A1836" s="11" t="s">
        <v>5498</v>
      </c>
      <c r="B1836" s="11" t="s">
        <v>1661</v>
      </c>
      <c r="C1836" s="11" t="s">
        <v>3363</v>
      </c>
      <c r="D1836" s="11">
        <v>890268.7</v>
      </c>
      <c r="E1836" s="11">
        <v>17730.849999999999</v>
      </c>
      <c r="F1836" s="12">
        <v>44854</v>
      </c>
      <c r="G1836" s="12">
        <v>45215</v>
      </c>
      <c r="H1836" s="11" t="s">
        <v>3547</v>
      </c>
      <c r="I1836" s="11" t="s">
        <v>3361</v>
      </c>
      <c r="J1836" s="13" t="str" cm="1">
        <f t="array" ref="J1836">_xlfn.IFS(
  OR(ISBLANK(A1836),ISBLANK(B1836),ISBLANK(H1836),ISBLANK(D1836),ISBLANK(E1836)),"Missing Value",
  D1836&lt;=0,"Review – Out of Range (Coverage)",
  E1836&lt;=0,"Review – Out of Range (Premium)",
  TRUE,"OK"
)</f>
        <v>OK</v>
      </c>
    </row>
    <row r="1837" spans="1:10" ht="16.8" x14ac:dyDescent="0.3">
      <c r="A1837" s="14" t="s">
        <v>5499</v>
      </c>
      <c r="B1837" s="14" t="s">
        <v>1087</v>
      </c>
      <c r="C1837" s="14" t="s">
        <v>3363</v>
      </c>
      <c r="D1837" s="14">
        <v>907154.87</v>
      </c>
      <c r="E1837" s="14">
        <v>42290.98</v>
      </c>
      <c r="F1837" s="15">
        <v>44936</v>
      </c>
      <c r="G1837" s="15">
        <v>45762</v>
      </c>
      <c r="H1837" s="14" t="s">
        <v>3939</v>
      </c>
      <c r="I1837" s="14" t="s">
        <v>3365</v>
      </c>
      <c r="J1837" s="13" t="str" cm="1">
        <f t="array" ref="J1837">_xlfn.IFS(
  OR(ISBLANK(A1837),ISBLANK(B1837),ISBLANK(H1837),ISBLANK(D1837),ISBLANK(E1837)),"Missing Value",
  D1837&lt;=0,"Review – Out of Range (Coverage)",
  E1837&lt;=0,"Review – Out of Range (Premium)",
  TRUE,"OK"
)</f>
        <v>OK</v>
      </c>
    </row>
    <row r="1838" spans="1:10" ht="16.8" x14ac:dyDescent="0.3">
      <c r="A1838" s="11" t="s">
        <v>5500</v>
      </c>
      <c r="B1838" s="11" t="s">
        <v>2715</v>
      </c>
      <c r="C1838" s="11" t="s">
        <v>3363</v>
      </c>
      <c r="D1838" s="11">
        <v>272567.61</v>
      </c>
      <c r="E1838" s="11">
        <v>25339.35</v>
      </c>
      <c r="F1838" s="12">
        <v>44307</v>
      </c>
      <c r="G1838" s="12">
        <v>44535</v>
      </c>
      <c r="H1838" s="11" t="s">
        <v>3854</v>
      </c>
      <c r="I1838" s="11" t="s">
        <v>3361</v>
      </c>
      <c r="J1838" s="13" t="str" cm="1">
        <f t="array" ref="J1838">_xlfn.IFS(
  OR(ISBLANK(A1838),ISBLANK(B1838),ISBLANK(H1838),ISBLANK(D1838),ISBLANK(E1838)),"Missing Value",
  D1838&lt;=0,"Review – Out of Range (Coverage)",
  E1838&lt;=0,"Review – Out of Range (Premium)",
  TRUE,"OK"
)</f>
        <v>OK</v>
      </c>
    </row>
    <row r="1839" spans="1:10" ht="16.8" x14ac:dyDescent="0.3">
      <c r="A1839" s="14" t="s">
        <v>5501</v>
      </c>
      <c r="B1839" s="14" t="s">
        <v>1563</v>
      </c>
      <c r="C1839" s="14" t="s">
        <v>3380</v>
      </c>
      <c r="D1839" s="14">
        <v>533107.36</v>
      </c>
      <c r="E1839" s="14">
        <v>23687.52</v>
      </c>
      <c r="F1839" s="15">
        <v>44723</v>
      </c>
      <c r="G1839" s="15">
        <v>44915</v>
      </c>
      <c r="H1839" s="14" t="s">
        <v>3407</v>
      </c>
      <c r="I1839" s="14" t="s">
        <v>3361</v>
      </c>
      <c r="J1839" s="13" t="str" cm="1">
        <f t="array" ref="J1839">_xlfn.IFS(
  OR(ISBLANK(A1839),ISBLANK(B1839),ISBLANK(H1839),ISBLANK(D1839),ISBLANK(E1839)),"Missing Value",
  D1839&lt;=0,"Review – Out of Range (Coverage)",
  E1839&lt;=0,"Review – Out of Range (Premium)",
  TRUE,"OK"
)</f>
        <v>OK</v>
      </c>
    </row>
    <row r="1840" spans="1:10" ht="16.8" x14ac:dyDescent="0.3">
      <c r="A1840" s="11" t="s">
        <v>5502</v>
      </c>
      <c r="B1840" s="11" t="s">
        <v>533</v>
      </c>
      <c r="C1840" s="11" t="s">
        <v>3359</v>
      </c>
      <c r="D1840" s="11">
        <v>402036.89</v>
      </c>
      <c r="E1840" s="11">
        <v>16917.14</v>
      </c>
      <c r="F1840" s="12">
        <v>44187</v>
      </c>
      <c r="G1840" s="12">
        <v>44778</v>
      </c>
      <c r="H1840" s="11" t="s">
        <v>3447</v>
      </c>
      <c r="I1840" s="11" t="s">
        <v>3361</v>
      </c>
      <c r="J1840" s="13" t="str" cm="1">
        <f t="array" ref="J1840">_xlfn.IFS(
  OR(ISBLANK(A1840),ISBLANK(B1840),ISBLANK(H1840),ISBLANK(D1840),ISBLANK(E1840)),"Missing Value",
  D1840&lt;=0,"Review – Out of Range (Coverage)",
  E1840&lt;=0,"Review – Out of Range (Premium)",
  TRUE,"OK"
)</f>
        <v>OK</v>
      </c>
    </row>
    <row r="1841" spans="1:10" ht="16.8" x14ac:dyDescent="0.3">
      <c r="A1841" s="14" t="s">
        <v>5503</v>
      </c>
      <c r="B1841" s="14" t="s">
        <v>184</v>
      </c>
      <c r="C1841" s="14" t="s">
        <v>3359</v>
      </c>
      <c r="D1841" s="14">
        <v>372336.23</v>
      </c>
      <c r="E1841" s="14">
        <v>26108.83</v>
      </c>
      <c r="F1841" s="15">
        <v>45146</v>
      </c>
      <c r="G1841" s="15">
        <v>45319</v>
      </c>
      <c r="H1841" s="14" t="s">
        <v>3815</v>
      </c>
      <c r="I1841" s="14" t="s">
        <v>3365</v>
      </c>
      <c r="J1841" s="13" t="str" cm="1">
        <f t="array" ref="J1841">_xlfn.IFS(
  OR(ISBLANK(A1841),ISBLANK(B1841),ISBLANK(H1841),ISBLANK(D1841),ISBLANK(E1841)),"Missing Value",
  D1841&lt;=0,"Review – Out of Range (Coverage)",
  E1841&lt;=0,"Review – Out of Range (Premium)",
  TRUE,"OK"
)</f>
        <v>OK</v>
      </c>
    </row>
    <row r="1842" spans="1:10" ht="16.8" x14ac:dyDescent="0.3">
      <c r="A1842" s="11" t="s">
        <v>5504</v>
      </c>
      <c r="B1842" s="11" t="s">
        <v>1641</v>
      </c>
      <c r="C1842" s="11" t="s">
        <v>3363</v>
      </c>
      <c r="D1842" s="11">
        <v>601215.48</v>
      </c>
      <c r="E1842" s="11">
        <v>29937.13</v>
      </c>
      <c r="F1842" s="12">
        <v>45026</v>
      </c>
      <c r="G1842" s="12">
        <v>45273</v>
      </c>
      <c r="H1842" s="11" t="s">
        <v>3852</v>
      </c>
      <c r="I1842" s="11" t="s">
        <v>3365</v>
      </c>
      <c r="J1842" s="13" t="str" cm="1">
        <f t="array" ref="J1842">_xlfn.IFS(
  OR(ISBLANK(A1842),ISBLANK(B1842),ISBLANK(H1842),ISBLANK(D1842),ISBLANK(E1842)),"Missing Value",
  D1842&lt;=0,"Review – Out of Range (Coverage)",
  E1842&lt;=0,"Review – Out of Range (Premium)",
  TRUE,"OK"
)</f>
        <v>OK</v>
      </c>
    </row>
    <row r="1843" spans="1:10" ht="16.8" x14ac:dyDescent="0.3">
      <c r="A1843" s="14" t="s">
        <v>5505</v>
      </c>
      <c r="B1843" s="14" t="s">
        <v>1399</v>
      </c>
      <c r="C1843" s="14" t="s">
        <v>3380</v>
      </c>
      <c r="D1843" s="14">
        <v>789386.57</v>
      </c>
      <c r="E1843" s="14">
        <v>49099.29</v>
      </c>
      <c r="F1843" s="15">
        <v>44873</v>
      </c>
      <c r="G1843" s="15">
        <v>45849</v>
      </c>
      <c r="H1843" s="14" t="s">
        <v>3759</v>
      </c>
      <c r="I1843" s="14" t="s">
        <v>3373</v>
      </c>
      <c r="J1843" s="13" t="str" cm="1">
        <f t="array" ref="J1843">_xlfn.IFS(
  OR(ISBLANK(A1843),ISBLANK(B1843),ISBLANK(H1843),ISBLANK(D1843),ISBLANK(E1843)),"Missing Value",
  D1843&lt;=0,"Review – Out of Range (Coverage)",
  E1843&lt;=0,"Review – Out of Range (Premium)",
  TRUE,"OK"
)</f>
        <v>OK</v>
      </c>
    </row>
    <row r="1844" spans="1:10" ht="16.8" x14ac:dyDescent="0.3">
      <c r="A1844" s="11" t="s">
        <v>5506</v>
      </c>
      <c r="B1844" s="11" t="s">
        <v>1287</v>
      </c>
      <c r="C1844" s="11" t="s">
        <v>3371</v>
      </c>
      <c r="D1844" s="11">
        <v>636160.51</v>
      </c>
      <c r="E1844" s="11">
        <v>36602.410000000003</v>
      </c>
      <c r="F1844" s="12">
        <v>44369</v>
      </c>
      <c r="G1844" s="12">
        <v>45271</v>
      </c>
      <c r="H1844" s="11" t="s">
        <v>3779</v>
      </c>
      <c r="I1844" s="11" t="s">
        <v>3361</v>
      </c>
      <c r="J1844" s="13" t="str" cm="1">
        <f t="array" ref="J1844">_xlfn.IFS(
  OR(ISBLANK(A1844),ISBLANK(B1844),ISBLANK(H1844),ISBLANK(D1844),ISBLANK(E1844)),"Missing Value",
  D1844&lt;=0,"Review – Out of Range (Coverage)",
  E1844&lt;=0,"Review – Out of Range (Premium)",
  TRUE,"OK"
)</f>
        <v>OK</v>
      </c>
    </row>
    <row r="1845" spans="1:10" ht="16.8" x14ac:dyDescent="0.3">
      <c r="A1845" s="14" t="s">
        <v>5507</v>
      </c>
      <c r="B1845" s="14" t="s">
        <v>921</v>
      </c>
      <c r="C1845" s="14" t="s">
        <v>3377</v>
      </c>
      <c r="D1845" s="14">
        <v>290466.87</v>
      </c>
      <c r="E1845" s="14">
        <v>32745.42</v>
      </c>
      <c r="F1845" s="15">
        <v>44935</v>
      </c>
      <c r="G1845" s="15">
        <v>45786</v>
      </c>
      <c r="H1845" s="14" t="s">
        <v>3440</v>
      </c>
      <c r="I1845" s="14" t="s">
        <v>3373</v>
      </c>
      <c r="J1845" s="13" t="str" cm="1">
        <f t="array" ref="J1845">_xlfn.IFS(
  OR(ISBLANK(A1845),ISBLANK(B1845),ISBLANK(H1845),ISBLANK(D1845),ISBLANK(E1845)),"Missing Value",
  D1845&lt;=0,"Review – Out of Range (Coverage)",
  E1845&lt;=0,"Review – Out of Range (Premium)",
  TRUE,"OK"
)</f>
        <v>OK</v>
      </c>
    </row>
    <row r="1846" spans="1:10" ht="16.8" x14ac:dyDescent="0.3">
      <c r="A1846" s="11" t="s">
        <v>5508</v>
      </c>
      <c r="B1846" s="11" t="s">
        <v>1363</v>
      </c>
      <c r="C1846" s="11" t="s">
        <v>3371</v>
      </c>
      <c r="D1846" s="11">
        <v>448085.78</v>
      </c>
      <c r="E1846" s="11">
        <v>42887.27</v>
      </c>
      <c r="F1846" s="12">
        <v>44459</v>
      </c>
      <c r="G1846" s="12">
        <v>44741</v>
      </c>
      <c r="H1846" s="11" t="s">
        <v>4011</v>
      </c>
      <c r="I1846" s="11" t="s">
        <v>3361</v>
      </c>
      <c r="J1846" s="13" t="str" cm="1">
        <f t="array" ref="J1846">_xlfn.IFS(
  OR(ISBLANK(A1846),ISBLANK(B1846),ISBLANK(H1846),ISBLANK(D1846),ISBLANK(E1846)),"Missing Value",
  D1846&lt;=0,"Review – Out of Range (Coverage)",
  E1846&lt;=0,"Review – Out of Range (Premium)",
  TRUE,"OK"
)</f>
        <v>OK</v>
      </c>
    </row>
    <row r="1847" spans="1:10" ht="16.8" x14ac:dyDescent="0.3">
      <c r="A1847" s="14" t="s">
        <v>5509</v>
      </c>
      <c r="B1847" s="14" t="s">
        <v>579</v>
      </c>
      <c r="C1847" s="14" t="s">
        <v>3371</v>
      </c>
      <c r="D1847" s="14">
        <v>217293.87</v>
      </c>
      <c r="E1847" s="14">
        <v>43129.8</v>
      </c>
      <c r="F1847" s="15">
        <v>44859</v>
      </c>
      <c r="G1847" s="15">
        <v>45180</v>
      </c>
      <c r="H1847" s="14" t="s">
        <v>3744</v>
      </c>
      <c r="I1847" s="14" t="s">
        <v>3373</v>
      </c>
      <c r="J1847" s="13" t="str" cm="1">
        <f t="array" ref="J1847">_xlfn.IFS(
  OR(ISBLANK(A1847),ISBLANK(B1847),ISBLANK(H1847),ISBLANK(D1847),ISBLANK(E1847)),"Missing Value",
  D1847&lt;=0,"Review – Out of Range (Coverage)",
  E1847&lt;=0,"Review – Out of Range (Premium)",
  TRUE,"OK"
)</f>
        <v>OK</v>
      </c>
    </row>
    <row r="1848" spans="1:10" ht="16.8" x14ac:dyDescent="0.3">
      <c r="A1848" s="11" t="s">
        <v>5510</v>
      </c>
      <c r="B1848" s="11" t="s">
        <v>1287</v>
      </c>
      <c r="C1848" s="11" t="s">
        <v>3359</v>
      </c>
      <c r="D1848" s="11">
        <v>980264.13</v>
      </c>
      <c r="E1848" s="11">
        <v>5539.65</v>
      </c>
      <c r="F1848" s="12">
        <v>44673</v>
      </c>
      <c r="G1848" s="12">
        <v>45462</v>
      </c>
      <c r="H1848" s="11" t="s">
        <v>3660</v>
      </c>
      <c r="I1848" s="11" t="s">
        <v>3361</v>
      </c>
      <c r="J1848" s="13" t="str" cm="1">
        <f t="array" ref="J1848">_xlfn.IFS(
  OR(ISBLANK(A1848),ISBLANK(B1848),ISBLANK(H1848),ISBLANK(D1848),ISBLANK(E1848)),"Missing Value",
  D1848&lt;=0,"Review – Out of Range (Coverage)",
  E1848&lt;=0,"Review – Out of Range (Premium)",
  TRUE,"OK"
)</f>
        <v>OK</v>
      </c>
    </row>
    <row r="1849" spans="1:10" ht="16.8" x14ac:dyDescent="0.3">
      <c r="A1849" s="14" t="s">
        <v>5511</v>
      </c>
      <c r="B1849" s="14" t="s">
        <v>2635</v>
      </c>
      <c r="C1849" s="14" t="s">
        <v>3377</v>
      </c>
      <c r="D1849" s="14">
        <v>750983.86</v>
      </c>
      <c r="E1849" s="14">
        <v>8892.2999999999993</v>
      </c>
      <c r="F1849" s="15">
        <v>44574</v>
      </c>
      <c r="G1849" s="15">
        <v>44670</v>
      </c>
      <c r="H1849" s="14" t="s">
        <v>3558</v>
      </c>
      <c r="I1849" s="14" t="s">
        <v>3373</v>
      </c>
      <c r="J1849" s="13" t="str" cm="1">
        <f t="array" ref="J1849">_xlfn.IFS(
  OR(ISBLANK(A1849),ISBLANK(B1849),ISBLANK(H1849),ISBLANK(D1849),ISBLANK(E1849)),"Missing Value",
  D1849&lt;=0,"Review – Out of Range (Coverage)",
  E1849&lt;=0,"Review – Out of Range (Premium)",
  TRUE,"OK"
)</f>
        <v>OK</v>
      </c>
    </row>
    <row r="1850" spans="1:10" ht="16.8" x14ac:dyDescent="0.3">
      <c r="A1850" s="11" t="s">
        <v>5512</v>
      </c>
      <c r="B1850" s="11" t="s">
        <v>404</v>
      </c>
      <c r="C1850" s="11" t="s">
        <v>3380</v>
      </c>
      <c r="D1850" s="11">
        <v>338826.12</v>
      </c>
      <c r="E1850" s="11">
        <v>38139.279999999999</v>
      </c>
      <c r="F1850" s="12">
        <v>45282</v>
      </c>
      <c r="G1850" s="12">
        <v>45291</v>
      </c>
      <c r="H1850" s="11" t="s">
        <v>3852</v>
      </c>
      <c r="I1850" s="11" t="s">
        <v>3365</v>
      </c>
      <c r="J1850" s="13" t="str" cm="1">
        <f t="array" ref="J1850">_xlfn.IFS(
  OR(ISBLANK(A1850),ISBLANK(B1850),ISBLANK(H1850),ISBLANK(D1850),ISBLANK(E1850)),"Missing Value",
  D1850&lt;=0,"Review – Out of Range (Coverage)",
  E1850&lt;=0,"Review – Out of Range (Premium)",
  TRUE,"OK"
)</f>
        <v>OK</v>
      </c>
    </row>
    <row r="1851" spans="1:10" ht="16.8" x14ac:dyDescent="0.3">
      <c r="A1851" s="14" t="s">
        <v>5513</v>
      </c>
      <c r="B1851" s="14" t="s">
        <v>773</v>
      </c>
      <c r="C1851" s="14" t="s">
        <v>3359</v>
      </c>
      <c r="D1851" s="14">
        <v>232960.48</v>
      </c>
      <c r="E1851" s="14">
        <v>19501.740000000002</v>
      </c>
      <c r="F1851" s="15">
        <v>44720</v>
      </c>
      <c r="G1851" s="15">
        <v>44953</v>
      </c>
      <c r="H1851" s="14" t="s">
        <v>3532</v>
      </c>
      <c r="I1851" s="14" t="s">
        <v>3365</v>
      </c>
      <c r="J1851" s="13" t="str" cm="1">
        <f t="array" ref="J1851">_xlfn.IFS(
  OR(ISBLANK(A1851),ISBLANK(B1851),ISBLANK(H1851),ISBLANK(D1851),ISBLANK(E1851)),"Missing Value",
  D1851&lt;=0,"Review – Out of Range (Coverage)",
  E1851&lt;=0,"Review – Out of Range (Premium)",
  TRUE,"OK"
)</f>
        <v>OK</v>
      </c>
    </row>
    <row r="1852" spans="1:10" ht="16.8" x14ac:dyDescent="0.3">
      <c r="A1852" s="11" t="s">
        <v>5514</v>
      </c>
      <c r="B1852" s="11" t="s">
        <v>446</v>
      </c>
      <c r="C1852" s="11" t="s">
        <v>3371</v>
      </c>
      <c r="D1852" s="11">
        <v>702008.12</v>
      </c>
      <c r="E1852" s="11">
        <v>39611.9</v>
      </c>
      <c r="F1852" s="12">
        <v>45018</v>
      </c>
      <c r="G1852" s="12">
        <v>45205</v>
      </c>
      <c r="H1852" s="11" t="s">
        <v>3364</v>
      </c>
      <c r="I1852" s="11" t="s">
        <v>3365</v>
      </c>
      <c r="J1852" s="13" t="str" cm="1">
        <f t="array" ref="J1852">_xlfn.IFS(
  OR(ISBLANK(A1852),ISBLANK(B1852),ISBLANK(H1852),ISBLANK(D1852),ISBLANK(E1852)),"Missing Value",
  D1852&lt;=0,"Review – Out of Range (Coverage)",
  E1852&lt;=0,"Review – Out of Range (Premium)",
  TRUE,"OK"
)</f>
        <v>OK</v>
      </c>
    </row>
    <row r="1853" spans="1:10" ht="16.8" x14ac:dyDescent="0.3">
      <c r="A1853" s="14" t="s">
        <v>5515</v>
      </c>
      <c r="B1853" s="14" t="s">
        <v>1987</v>
      </c>
      <c r="C1853" s="14" t="s">
        <v>3377</v>
      </c>
      <c r="D1853" s="14">
        <v>593175.43000000005</v>
      </c>
      <c r="E1853" s="14">
        <v>31827.83</v>
      </c>
      <c r="F1853" s="15">
        <v>45122</v>
      </c>
      <c r="G1853" s="15">
        <v>45246</v>
      </c>
      <c r="H1853" s="14" t="s">
        <v>4076</v>
      </c>
      <c r="I1853" s="14" t="s">
        <v>3365</v>
      </c>
      <c r="J1853" s="13" t="str" cm="1">
        <f t="array" ref="J1853">_xlfn.IFS(
  OR(ISBLANK(A1853),ISBLANK(B1853),ISBLANK(H1853),ISBLANK(D1853),ISBLANK(E1853)),"Missing Value",
  D1853&lt;=0,"Review – Out of Range (Coverage)",
  E1853&lt;=0,"Review – Out of Range (Premium)",
  TRUE,"OK"
)</f>
        <v>OK</v>
      </c>
    </row>
    <row r="1854" spans="1:10" ht="16.8" x14ac:dyDescent="0.3">
      <c r="A1854" s="11" t="s">
        <v>5516</v>
      </c>
      <c r="B1854" s="11" t="s">
        <v>3226</v>
      </c>
      <c r="C1854" s="11" t="s">
        <v>3371</v>
      </c>
      <c r="D1854" s="11">
        <v>736891.25</v>
      </c>
      <c r="E1854" s="11">
        <v>14940.61</v>
      </c>
      <c r="F1854" s="12">
        <v>44710</v>
      </c>
      <c r="G1854" s="12">
        <v>45540</v>
      </c>
      <c r="H1854" s="11" t="s">
        <v>4290</v>
      </c>
      <c r="I1854" s="11" t="s">
        <v>3365</v>
      </c>
      <c r="J1854" s="13" t="str" cm="1">
        <f t="array" ref="J1854">_xlfn.IFS(
  OR(ISBLANK(A1854),ISBLANK(B1854),ISBLANK(H1854),ISBLANK(D1854),ISBLANK(E1854)),"Missing Value",
  D1854&lt;=0,"Review – Out of Range (Coverage)",
  E1854&lt;=0,"Review – Out of Range (Premium)",
  TRUE,"OK"
)</f>
        <v>OK</v>
      </c>
    </row>
    <row r="1855" spans="1:10" ht="16.8" x14ac:dyDescent="0.3">
      <c r="A1855" s="14" t="s">
        <v>5517</v>
      </c>
      <c r="B1855" s="14" t="s">
        <v>1209</v>
      </c>
      <c r="C1855" s="14" t="s">
        <v>3371</v>
      </c>
      <c r="D1855" s="14">
        <v>550478.53</v>
      </c>
      <c r="E1855" s="14">
        <v>48885.27</v>
      </c>
      <c r="F1855" s="15">
        <v>45244</v>
      </c>
      <c r="G1855" s="15">
        <v>45349</v>
      </c>
      <c r="H1855" s="14" t="s">
        <v>4244</v>
      </c>
      <c r="I1855" s="14" t="s">
        <v>3373</v>
      </c>
      <c r="J1855" s="13" t="str" cm="1">
        <f t="array" ref="J1855">_xlfn.IFS(
  OR(ISBLANK(A1855),ISBLANK(B1855),ISBLANK(H1855),ISBLANK(D1855),ISBLANK(E1855)),"Missing Value",
  D1855&lt;=0,"Review – Out of Range (Coverage)",
  E1855&lt;=0,"Review – Out of Range (Premium)",
  TRUE,"OK"
)</f>
        <v>OK</v>
      </c>
    </row>
    <row r="1856" spans="1:10" ht="16.8" x14ac:dyDescent="0.3">
      <c r="A1856" s="11" t="s">
        <v>5518</v>
      </c>
      <c r="B1856" s="11" t="s">
        <v>3314</v>
      </c>
      <c r="C1856" s="11" t="s">
        <v>3377</v>
      </c>
      <c r="D1856" s="11">
        <v>487414.75</v>
      </c>
      <c r="E1856" s="11">
        <v>38014.660000000003</v>
      </c>
      <c r="F1856" s="12">
        <v>45201</v>
      </c>
      <c r="G1856" s="12">
        <v>45585</v>
      </c>
      <c r="H1856" s="11" t="s">
        <v>3704</v>
      </c>
      <c r="I1856" s="11" t="s">
        <v>3373</v>
      </c>
      <c r="J1856" s="13" t="str" cm="1">
        <f t="array" ref="J1856">_xlfn.IFS(
  OR(ISBLANK(A1856),ISBLANK(B1856),ISBLANK(H1856),ISBLANK(D1856),ISBLANK(E1856)),"Missing Value",
  D1856&lt;=0,"Review – Out of Range (Coverage)",
  E1856&lt;=0,"Review – Out of Range (Premium)",
  TRUE,"OK"
)</f>
        <v>OK</v>
      </c>
    </row>
    <row r="1857" spans="1:10" ht="16.8" x14ac:dyDescent="0.3">
      <c r="A1857" s="14" t="s">
        <v>5519</v>
      </c>
      <c r="B1857" s="14" t="s">
        <v>841</v>
      </c>
      <c r="C1857" s="14" t="s">
        <v>3377</v>
      </c>
      <c r="D1857" s="14">
        <v>521191.49</v>
      </c>
      <c r="E1857" s="14">
        <v>23298.69</v>
      </c>
      <c r="F1857" s="15">
        <v>44838</v>
      </c>
      <c r="G1857" s="15">
        <v>45279</v>
      </c>
      <c r="H1857" s="14" t="s">
        <v>4439</v>
      </c>
      <c r="I1857" s="14" t="s">
        <v>3365</v>
      </c>
      <c r="J1857" s="13" t="str" cm="1">
        <f t="array" ref="J1857">_xlfn.IFS(
  OR(ISBLANK(A1857),ISBLANK(B1857),ISBLANK(H1857),ISBLANK(D1857),ISBLANK(E1857)),"Missing Value",
  D1857&lt;=0,"Review – Out of Range (Coverage)",
  E1857&lt;=0,"Review – Out of Range (Premium)",
  TRUE,"OK"
)</f>
        <v>OK</v>
      </c>
    </row>
    <row r="1858" spans="1:10" ht="16.8" x14ac:dyDescent="0.3">
      <c r="A1858" s="11" t="s">
        <v>5520</v>
      </c>
      <c r="B1858" s="11" t="s">
        <v>2125</v>
      </c>
      <c r="C1858" s="11" t="s">
        <v>3380</v>
      </c>
      <c r="D1858" s="11">
        <v>282916.77</v>
      </c>
      <c r="E1858" s="11">
        <v>37908.22</v>
      </c>
      <c r="F1858" s="12">
        <v>45088</v>
      </c>
      <c r="G1858" s="12">
        <v>45652</v>
      </c>
      <c r="H1858" s="11" t="s">
        <v>4123</v>
      </c>
      <c r="I1858" s="11" t="s">
        <v>3373</v>
      </c>
      <c r="J1858" s="13" t="str" cm="1">
        <f t="array" ref="J1858">_xlfn.IFS(
  OR(ISBLANK(A1858),ISBLANK(B1858),ISBLANK(H1858),ISBLANK(D1858),ISBLANK(E1858)),"Missing Value",
  D1858&lt;=0,"Review – Out of Range (Coverage)",
  E1858&lt;=0,"Review – Out of Range (Premium)",
  TRUE,"OK"
)</f>
        <v>OK</v>
      </c>
    </row>
    <row r="1859" spans="1:10" ht="16.8" x14ac:dyDescent="0.3">
      <c r="A1859" s="14" t="s">
        <v>5521</v>
      </c>
      <c r="B1859" s="14" t="s">
        <v>2075</v>
      </c>
      <c r="C1859" s="14" t="s">
        <v>3380</v>
      </c>
      <c r="D1859" s="14">
        <v>576921.11</v>
      </c>
      <c r="E1859" s="14">
        <v>7235.93</v>
      </c>
      <c r="F1859" s="15">
        <v>45129</v>
      </c>
      <c r="G1859" s="15">
        <v>45281</v>
      </c>
      <c r="H1859" s="14" t="s">
        <v>4158</v>
      </c>
      <c r="I1859" s="14" t="s">
        <v>3365</v>
      </c>
      <c r="J1859" s="13" t="str" cm="1">
        <f t="array" ref="J1859">_xlfn.IFS(
  OR(ISBLANK(A1859),ISBLANK(B1859),ISBLANK(H1859),ISBLANK(D1859),ISBLANK(E1859)),"Missing Value",
  D1859&lt;=0,"Review – Out of Range (Coverage)",
  E1859&lt;=0,"Review – Out of Range (Premium)",
  TRUE,"OK"
)</f>
        <v>OK</v>
      </c>
    </row>
    <row r="1860" spans="1:10" ht="16.8" x14ac:dyDescent="0.3">
      <c r="A1860" s="11" t="s">
        <v>5522</v>
      </c>
      <c r="B1860" s="11" t="s">
        <v>819</v>
      </c>
      <c r="C1860" s="11" t="s">
        <v>3371</v>
      </c>
      <c r="D1860" s="11">
        <v>929758.17</v>
      </c>
      <c r="E1860" s="11">
        <v>29019.57</v>
      </c>
      <c r="F1860" s="12">
        <v>45291</v>
      </c>
      <c r="G1860" s="12">
        <v>45379</v>
      </c>
      <c r="H1860" s="11" t="s">
        <v>4671</v>
      </c>
      <c r="I1860" s="11" t="s">
        <v>3361</v>
      </c>
      <c r="J1860" s="13" t="str" cm="1">
        <f t="array" ref="J1860">_xlfn.IFS(
  OR(ISBLANK(A1860),ISBLANK(B1860),ISBLANK(H1860),ISBLANK(D1860),ISBLANK(E1860)),"Missing Value",
  D1860&lt;=0,"Review – Out of Range (Coverage)",
  E1860&lt;=0,"Review – Out of Range (Premium)",
  TRUE,"OK"
)</f>
        <v>OK</v>
      </c>
    </row>
    <row r="1861" spans="1:10" ht="16.8" x14ac:dyDescent="0.3">
      <c r="A1861" s="14" t="s">
        <v>5523</v>
      </c>
      <c r="B1861" s="14" t="s">
        <v>801</v>
      </c>
      <c r="C1861" s="14" t="s">
        <v>3363</v>
      </c>
      <c r="D1861" s="14">
        <v>326663.96999999997</v>
      </c>
      <c r="E1861" s="14">
        <v>9271.61</v>
      </c>
      <c r="F1861" s="15">
        <v>44690</v>
      </c>
      <c r="G1861" s="15">
        <v>45592</v>
      </c>
      <c r="H1861" s="14" t="s">
        <v>3652</v>
      </c>
      <c r="I1861" s="14" t="s">
        <v>3365</v>
      </c>
      <c r="J1861" s="13" t="str" cm="1">
        <f t="array" ref="J1861">_xlfn.IFS(
  OR(ISBLANK(A1861),ISBLANK(B1861),ISBLANK(H1861),ISBLANK(D1861),ISBLANK(E1861)),"Missing Value",
  D1861&lt;=0,"Review – Out of Range (Coverage)",
  E1861&lt;=0,"Review – Out of Range (Premium)",
  TRUE,"OK"
)</f>
        <v>OK</v>
      </c>
    </row>
    <row r="1862" spans="1:10" ht="16.8" x14ac:dyDescent="0.3">
      <c r="A1862" s="11" t="s">
        <v>5524</v>
      </c>
      <c r="B1862" s="11" t="s">
        <v>2355</v>
      </c>
      <c r="C1862" s="11" t="s">
        <v>3371</v>
      </c>
      <c r="D1862" s="11">
        <v>331446.32</v>
      </c>
      <c r="E1862" s="11">
        <v>22968.91</v>
      </c>
      <c r="F1862" s="12">
        <v>45332</v>
      </c>
      <c r="G1862" s="12">
        <v>45666</v>
      </c>
      <c r="H1862" s="11" t="s">
        <v>3429</v>
      </c>
      <c r="I1862" s="11" t="s">
        <v>3361</v>
      </c>
      <c r="J1862" s="13" t="str" cm="1">
        <f t="array" ref="J1862">_xlfn.IFS(
  OR(ISBLANK(A1862),ISBLANK(B1862),ISBLANK(H1862),ISBLANK(D1862),ISBLANK(E1862)),"Missing Value",
  D1862&lt;=0,"Review – Out of Range (Coverage)",
  E1862&lt;=0,"Review – Out of Range (Premium)",
  TRUE,"OK"
)</f>
        <v>OK</v>
      </c>
    </row>
    <row r="1863" spans="1:10" ht="16.8" x14ac:dyDescent="0.3">
      <c r="A1863" s="14" t="s">
        <v>5525</v>
      </c>
      <c r="B1863" s="14" t="s">
        <v>2359</v>
      </c>
      <c r="C1863" s="14" t="s">
        <v>3359</v>
      </c>
      <c r="D1863" s="14">
        <v>639496.21</v>
      </c>
      <c r="E1863" s="14">
        <v>30128.49</v>
      </c>
      <c r="F1863" s="15">
        <v>44325</v>
      </c>
      <c r="G1863" s="15">
        <v>45046</v>
      </c>
      <c r="H1863" s="14" t="s">
        <v>3652</v>
      </c>
      <c r="I1863" s="14" t="s">
        <v>3365</v>
      </c>
      <c r="J1863" s="13" t="str" cm="1">
        <f t="array" ref="J1863">_xlfn.IFS(
  OR(ISBLANK(A1863),ISBLANK(B1863),ISBLANK(H1863),ISBLANK(D1863),ISBLANK(E1863)),"Missing Value",
  D1863&lt;=0,"Review – Out of Range (Coverage)",
  E1863&lt;=0,"Review – Out of Range (Premium)",
  TRUE,"OK"
)</f>
        <v>OK</v>
      </c>
    </row>
    <row r="1864" spans="1:10" ht="16.8" x14ac:dyDescent="0.3">
      <c r="A1864" s="11" t="s">
        <v>5526</v>
      </c>
      <c r="B1864" s="11" t="s">
        <v>304</v>
      </c>
      <c r="C1864" s="11" t="s">
        <v>3377</v>
      </c>
      <c r="D1864" s="11">
        <v>699036.02</v>
      </c>
      <c r="E1864" s="11">
        <v>14153.05</v>
      </c>
      <c r="F1864" s="12">
        <v>44559</v>
      </c>
      <c r="G1864" s="12">
        <v>45032</v>
      </c>
      <c r="H1864" s="11" t="s">
        <v>3569</v>
      </c>
      <c r="I1864" s="11" t="s">
        <v>3361</v>
      </c>
      <c r="J1864" s="13" t="str" cm="1">
        <f t="array" ref="J1864">_xlfn.IFS(
  OR(ISBLANK(A1864),ISBLANK(B1864),ISBLANK(H1864),ISBLANK(D1864),ISBLANK(E1864)),"Missing Value",
  D1864&lt;=0,"Review – Out of Range (Coverage)",
  E1864&lt;=0,"Review – Out of Range (Premium)",
  TRUE,"OK"
)</f>
        <v>OK</v>
      </c>
    </row>
    <row r="1865" spans="1:10" ht="16.8" x14ac:dyDescent="0.3">
      <c r="A1865" s="14" t="s">
        <v>5527</v>
      </c>
      <c r="B1865" s="14" t="s">
        <v>1561</v>
      </c>
      <c r="C1865" s="14" t="s">
        <v>3371</v>
      </c>
      <c r="D1865" s="14">
        <v>697547.94</v>
      </c>
      <c r="E1865" s="14">
        <v>33990.480000000003</v>
      </c>
      <c r="F1865" s="15">
        <v>45409</v>
      </c>
      <c r="G1865" s="15">
        <v>45450</v>
      </c>
      <c r="H1865" s="14" t="s">
        <v>3442</v>
      </c>
      <c r="I1865" s="14" t="s">
        <v>3373</v>
      </c>
      <c r="J1865" s="13" t="str" cm="1">
        <f t="array" ref="J1865">_xlfn.IFS(
  OR(ISBLANK(A1865),ISBLANK(B1865),ISBLANK(H1865),ISBLANK(D1865),ISBLANK(E1865)),"Missing Value",
  D1865&lt;=0,"Review – Out of Range (Coverage)",
  E1865&lt;=0,"Review – Out of Range (Premium)",
  TRUE,"OK"
)</f>
        <v>OK</v>
      </c>
    </row>
    <row r="1866" spans="1:10" ht="16.8" x14ac:dyDescent="0.3">
      <c r="A1866" s="11" t="s">
        <v>5528</v>
      </c>
      <c r="B1866" s="11" t="s">
        <v>821</v>
      </c>
      <c r="C1866" s="11" t="s">
        <v>3377</v>
      </c>
      <c r="D1866" s="11">
        <v>167684.60999999999</v>
      </c>
      <c r="E1866" s="11">
        <v>41885.199999999997</v>
      </c>
      <c r="F1866" s="12">
        <v>45485</v>
      </c>
      <c r="G1866" s="12">
        <v>45786</v>
      </c>
      <c r="H1866" s="11" t="s">
        <v>3834</v>
      </c>
      <c r="I1866" s="11" t="s">
        <v>3361</v>
      </c>
      <c r="J1866" s="13" t="str" cm="1">
        <f t="array" ref="J1866">_xlfn.IFS(
  OR(ISBLANK(A1866),ISBLANK(B1866),ISBLANK(H1866),ISBLANK(D1866),ISBLANK(E1866)),"Missing Value",
  D1866&lt;=0,"Review – Out of Range (Coverage)",
  E1866&lt;=0,"Review – Out of Range (Premium)",
  TRUE,"OK"
)</f>
        <v>OK</v>
      </c>
    </row>
    <row r="1867" spans="1:10" ht="16.8" x14ac:dyDescent="0.3">
      <c r="A1867" s="14" t="s">
        <v>5529</v>
      </c>
      <c r="B1867" s="14" t="s">
        <v>1429</v>
      </c>
      <c r="C1867" s="14" t="s">
        <v>3359</v>
      </c>
      <c r="D1867" s="14">
        <v>795651.35</v>
      </c>
      <c r="E1867" s="14">
        <v>13630.25</v>
      </c>
      <c r="F1867" s="15">
        <v>45186</v>
      </c>
      <c r="G1867" s="15">
        <v>45603</v>
      </c>
      <c r="H1867" s="14" t="s">
        <v>3614</v>
      </c>
      <c r="I1867" s="14" t="s">
        <v>3361</v>
      </c>
      <c r="J1867" s="13" t="str" cm="1">
        <f t="array" ref="J1867">_xlfn.IFS(
  OR(ISBLANK(A1867),ISBLANK(B1867),ISBLANK(H1867),ISBLANK(D1867),ISBLANK(E1867)),"Missing Value",
  D1867&lt;=0,"Review – Out of Range (Coverage)",
  E1867&lt;=0,"Review – Out of Range (Premium)",
  TRUE,"OK"
)</f>
        <v>OK</v>
      </c>
    </row>
    <row r="1868" spans="1:10" ht="16.8" x14ac:dyDescent="0.3">
      <c r="A1868" s="11" t="s">
        <v>5530</v>
      </c>
      <c r="B1868" s="11" t="s">
        <v>112</v>
      </c>
      <c r="C1868" s="11" t="s">
        <v>3359</v>
      </c>
      <c r="D1868" s="11">
        <v>632184.85</v>
      </c>
      <c r="E1868" s="11">
        <v>20259.849999999999</v>
      </c>
      <c r="F1868" s="12">
        <v>44070</v>
      </c>
      <c r="G1868" s="12">
        <v>44424</v>
      </c>
      <c r="H1868" s="11" t="s">
        <v>3505</v>
      </c>
      <c r="I1868" s="11" t="s">
        <v>3361</v>
      </c>
      <c r="J1868" s="13" t="str" cm="1">
        <f t="array" ref="J1868">_xlfn.IFS(
  OR(ISBLANK(A1868),ISBLANK(B1868),ISBLANK(H1868),ISBLANK(D1868),ISBLANK(E1868)),"Missing Value",
  D1868&lt;=0,"Review – Out of Range (Coverage)",
  E1868&lt;=0,"Review – Out of Range (Premium)",
  TRUE,"OK"
)</f>
        <v>OK</v>
      </c>
    </row>
    <row r="1869" spans="1:10" ht="16.8" x14ac:dyDescent="0.3">
      <c r="A1869" s="14" t="s">
        <v>5531</v>
      </c>
      <c r="B1869" s="14" t="s">
        <v>1857</v>
      </c>
      <c r="C1869" s="14" t="s">
        <v>3359</v>
      </c>
      <c r="D1869" s="14">
        <v>885645.26</v>
      </c>
      <c r="E1869" s="14">
        <v>46490.04</v>
      </c>
      <c r="F1869" s="15">
        <v>44178</v>
      </c>
      <c r="G1869" s="15">
        <v>44877</v>
      </c>
      <c r="H1869" s="14" t="s">
        <v>3372</v>
      </c>
      <c r="I1869" s="14" t="s">
        <v>3361</v>
      </c>
      <c r="J1869" s="13" t="str" cm="1">
        <f t="array" ref="J1869">_xlfn.IFS(
  OR(ISBLANK(A1869),ISBLANK(B1869),ISBLANK(H1869),ISBLANK(D1869),ISBLANK(E1869)),"Missing Value",
  D1869&lt;=0,"Review – Out of Range (Coverage)",
  E1869&lt;=0,"Review – Out of Range (Premium)",
  TRUE,"OK"
)</f>
        <v>OK</v>
      </c>
    </row>
    <row r="1870" spans="1:10" ht="16.8" x14ac:dyDescent="0.3">
      <c r="A1870" s="11" t="s">
        <v>5532</v>
      </c>
      <c r="B1870" s="11" t="s">
        <v>931</v>
      </c>
      <c r="C1870" s="11" t="s">
        <v>3363</v>
      </c>
      <c r="D1870" s="11">
        <v>385079.03</v>
      </c>
      <c r="E1870" s="11">
        <v>5290.8</v>
      </c>
      <c r="F1870" s="12">
        <v>45374</v>
      </c>
      <c r="G1870" s="12">
        <v>45751</v>
      </c>
      <c r="H1870" s="11" t="s">
        <v>3827</v>
      </c>
      <c r="I1870" s="11" t="s">
        <v>3373</v>
      </c>
      <c r="J1870" s="13" t="str" cm="1">
        <f t="array" ref="J1870">_xlfn.IFS(
  OR(ISBLANK(A1870),ISBLANK(B1870),ISBLANK(H1870),ISBLANK(D1870),ISBLANK(E1870)),"Missing Value",
  D1870&lt;=0,"Review – Out of Range (Coverage)",
  E1870&lt;=0,"Review – Out of Range (Premium)",
  TRUE,"OK"
)</f>
        <v>OK</v>
      </c>
    </row>
    <row r="1871" spans="1:10" ht="16.8" x14ac:dyDescent="0.3">
      <c r="A1871" s="14" t="s">
        <v>5533</v>
      </c>
      <c r="B1871" s="14" t="s">
        <v>346</v>
      </c>
      <c r="C1871" s="14" t="s">
        <v>3371</v>
      </c>
      <c r="D1871" s="14">
        <v>345313.99</v>
      </c>
      <c r="E1871" s="14">
        <v>3370.1</v>
      </c>
      <c r="F1871" s="15">
        <v>44996</v>
      </c>
      <c r="G1871" s="15">
        <v>45313</v>
      </c>
      <c r="H1871" s="14" t="s">
        <v>4151</v>
      </c>
      <c r="I1871" s="14" t="s">
        <v>3373</v>
      </c>
      <c r="J1871" s="13" t="str" cm="1">
        <f t="array" ref="J1871">_xlfn.IFS(
  OR(ISBLANK(A1871),ISBLANK(B1871),ISBLANK(H1871),ISBLANK(D1871),ISBLANK(E1871)),"Missing Value",
  D1871&lt;=0,"Review – Out of Range (Coverage)",
  E1871&lt;=0,"Review – Out of Range (Premium)",
  TRUE,"OK"
)</f>
        <v>OK</v>
      </c>
    </row>
    <row r="1872" spans="1:10" ht="16.8" x14ac:dyDescent="0.3">
      <c r="A1872" s="11" t="s">
        <v>5534</v>
      </c>
      <c r="B1872" s="11" t="s">
        <v>1671</v>
      </c>
      <c r="C1872" s="11" t="s">
        <v>3380</v>
      </c>
      <c r="D1872" s="11">
        <v>730494.22</v>
      </c>
      <c r="E1872" s="11">
        <v>28198.36</v>
      </c>
      <c r="F1872" s="12">
        <v>45424</v>
      </c>
      <c r="G1872" s="12">
        <v>45471</v>
      </c>
      <c r="H1872" s="11" t="s">
        <v>3834</v>
      </c>
      <c r="I1872" s="11" t="s">
        <v>3365</v>
      </c>
      <c r="J1872" s="13" t="str" cm="1">
        <f t="array" ref="J1872">_xlfn.IFS(
  OR(ISBLANK(A1872),ISBLANK(B1872),ISBLANK(H1872),ISBLANK(D1872),ISBLANK(E1872)),"Missing Value",
  D1872&lt;=0,"Review – Out of Range (Coverage)",
  E1872&lt;=0,"Review – Out of Range (Premium)",
  TRUE,"OK"
)</f>
        <v>OK</v>
      </c>
    </row>
    <row r="1873" spans="1:10" ht="16.8" x14ac:dyDescent="0.3">
      <c r="A1873" s="14" t="s">
        <v>5535</v>
      </c>
      <c r="B1873" s="14" t="s">
        <v>3298</v>
      </c>
      <c r="C1873" s="14" t="s">
        <v>3380</v>
      </c>
      <c r="D1873" s="14">
        <v>579300.93999999994</v>
      </c>
      <c r="E1873" s="14">
        <v>8126.72</v>
      </c>
      <c r="F1873" s="15">
        <v>45227</v>
      </c>
      <c r="G1873" s="15">
        <v>45682</v>
      </c>
      <c r="H1873" s="14" t="s">
        <v>3735</v>
      </c>
      <c r="I1873" s="14" t="s">
        <v>3373</v>
      </c>
      <c r="J1873" s="13" t="str" cm="1">
        <f t="array" ref="J1873">_xlfn.IFS(
  OR(ISBLANK(A1873),ISBLANK(B1873),ISBLANK(H1873),ISBLANK(D1873),ISBLANK(E1873)),"Missing Value",
  D1873&lt;=0,"Review – Out of Range (Coverage)",
  E1873&lt;=0,"Review – Out of Range (Premium)",
  TRUE,"OK"
)</f>
        <v>OK</v>
      </c>
    </row>
    <row r="1874" spans="1:10" ht="16.8" x14ac:dyDescent="0.3">
      <c r="A1874" s="11" t="s">
        <v>5536</v>
      </c>
      <c r="B1874" s="11" t="s">
        <v>645</v>
      </c>
      <c r="C1874" s="11" t="s">
        <v>3371</v>
      </c>
      <c r="D1874" s="11">
        <v>863570.72</v>
      </c>
      <c r="E1874" s="11">
        <v>48833.94</v>
      </c>
      <c r="F1874" s="12">
        <v>44648</v>
      </c>
      <c r="G1874" s="12">
        <v>45817</v>
      </c>
      <c r="H1874" s="11" t="s">
        <v>3517</v>
      </c>
      <c r="I1874" s="11" t="s">
        <v>3365</v>
      </c>
      <c r="J1874" s="13" t="str" cm="1">
        <f t="array" ref="J1874">_xlfn.IFS(
  OR(ISBLANK(A1874),ISBLANK(B1874),ISBLANK(H1874),ISBLANK(D1874),ISBLANK(E1874)),"Missing Value",
  D1874&lt;=0,"Review – Out of Range (Coverage)",
  E1874&lt;=0,"Review – Out of Range (Premium)",
  TRUE,"OK"
)</f>
        <v>OK</v>
      </c>
    </row>
    <row r="1875" spans="1:10" ht="16.8" x14ac:dyDescent="0.3">
      <c r="A1875" s="14" t="s">
        <v>5537</v>
      </c>
      <c r="B1875" s="14" t="s">
        <v>1705</v>
      </c>
      <c r="C1875" s="14" t="s">
        <v>3359</v>
      </c>
      <c r="D1875" s="14">
        <v>435986.17</v>
      </c>
      <c r="E1875" s="14">
        <v>16978.900000000001</v>
      </c>
      <c r="F1875" s="15">
        <v>45257</v>
      </c>
      <c r="G1875" s="15">
        <v>45411</v>
      </c>
      <c r="H1875" s="14" t="s">
        <v>4596</v>
      </c>
      <c r="I1875" s="14" t="s">
        <v>3373</v>
      </c>
      <c r="J1875" s="13" t="str" cm="1">
        <f t="array" ref="J1875">_xlfn.IFS(
  OR(ISBLANK(A1875),ISBLANK(B1875),ISBLANK(H1875),ISBLANK(D1875),ISBLANK(E1875)),"Missing Value",
  D1875&lt;=0,"Review – Out of Range (Coverage)",
  E1875&lt;=0,"Review – Out of Range (Premium)",
  TRUE,"OK"
)</f>
        <v>OK</v>
      </c>
    </row>
    <row r="1876" spans="1:10" ht="16.8" x14ac:dyDescent="0.3">
      <c r="A1876" s="11" t="s">
        <v>5538</v>
      </c>
      <c r="B1876" s="11" t="s">
        <v>522</v>
      </c>
      <c r="C1876" s="11" t="s">
        <v>3371</v>
      </c>
      <c r="D1876" s="11">
        <v>104819.57</v>
      </c>
      <c r="E1876" s="11">
        <v>21798.33</v>
      </c>
      <c r="F1876" s="12">
        <v>44758</v>
      </c>
      <c r="G1876" s="12">
        <v>44994</v>
      </c>
      <c r="H1876" s="11" t="s">
        <v>3670</v>
      </c>
      <c r="I1876" s="11" t="s">
        <v>3373</v>
      </c>
      <c r="J1876" s="13" t="str" cm="1">
        <f t="array" ref="J1876">_xlfn.IFS(
  OR(ISBLANK(A1876),ISBLANK(B1876),ISBLANK(H1876),ISBLANK(D1876),ISBLANK(E1876)),"Missing Value",
  D1876&lt;=0,"Review – Out of Range (Coverage)",
  E1876&lt;=0,"Review – Out of Range (Premium)",
  TRUE,"OK"
)</f>
        <v>OK</v>
      </c>
    </row>
    <row r="1877" spans="1:10" ht="16.8" x14ac:dyDescent="0.3">
      <c r="A1877" s="14" t="s">
        <v>5539</v>
      </c>
      <c r="B1877" s="14" t="s">
        <v>2513</v>
      </c>
      <c r="C1877" s="14" t="s">
        <v>3359</v>
      </c>
      <c r="D1877" s="14">
        <v>925402.48</v>
      </c>
      <c r="E1877" s="14">
        <v>17338.43</v>
      </c>
      <c r="F1877" s="15">
        <v>45440</v>
      </c>
      <c r="G1877" s="15">
        <v>45539</v>
      </c>
      <c r="H1877" s="14" t="s">
        <v>3892</v>
      </c>
      <c r="I1877" s="14" t="s">
        <v>3361</v>
      </c>
      <c r="J1877" s="13" t="str" cm="1">
        <f t="array" ref="J1877">_xlfn.IFS(
  OR(ISBLANK(A1877),ISBLANK(B1877),ISBLANK(H1877),ISBLANK(D1877),ISBLANK(E1877)),"Missing Value",
  D1877&lt;=0,"Review – Out of Range (Coverage)",
  E1877&lt;=0,"Review – Out of Range (Premium)",
  TRUE,"OK"
)</f>
        <v>OK</v>
      </c>
    </row>
    <row r="1878" spans="1:10" ht="16.8" x14ac:dyDescent="0.3">
      <c r="A1878" s="11" t="s">
        <v>5540</v>
      </c>
      <c r="B1878" s="11" t="s">
        <v>3138</v>
      </c>
      <c r="C1878" s="11" t="s">
        <v>3371</v>
      </c>
      <c r="D1878" s="11">
        <v>179747.44</v>
      </c>
      <c r="E1878" s="11">
        <v>45786.44</v>
      </c>
      <c r="F1878" s="12">
        <v>44680</v>
      </c>
      <c r="G1878" s="12">
        <v>45330</v>
      </c>
      <c r="H1878" s="11" t="s">
        <v>4045</v>
      </c>
      <c r="I1878" s="11" t="s">
        <v>3373</v>
      </c>
      <c r="J1878" s="13" t="str" cm="1">
        <f t="array" ref="J1878">_xlfn.IFS(
  OR(ISBLANK(A1878),ISBLANK(B1878),ISBLANK(H1878),ISBLANK(D1878),ISBLANK(E1878)),"Missing Value",
  D1878&lt;=0,"Review – Out of Range (Coverage)",
  E1878&lt;=0,"Review – Out of Range (Premium)",
  TRUE,"OK"
)</f>
        <v>OK</v>
      </c>
    </row>
    <row r="1879" spans="1:10" ht="16.8" x14ac:dyDescent="0.3">
      <c r="A1879" s="14" t="s">
        <v>5541</v>
      </c>
      <c r="B1879" s="14" t="s">
        <v>1869</v>
      </c>
      <c r="C1879" s="14" t="s">
        <v>3377</v>
      </c>
      <c r="D1879" s="14">
        <v>990331.92</v>
      </c>
      <c r="E1879" s="14">
        <v>12211.31</v>
      </c>
      <c r="F1879" s="15">
        <v>45340</v>
      </c>
      <c r="G1879" s="15">
        <v>45712</v>
      </c>
      <c r="H1879" s="14" t="s">
        <v>3434</v>
      </c>
      <c r="I1879" s="14" t="s">
        <v>3361</v>
      </c>
      <c r="J1879" s="13" t="str" cm="1">
        <f t="array" ref="J1879">_xlfn.IFS(
  OR(ISBLANK(A1879),ISBLANK(B1879),ISBLANK(H1879),ISBLANK(D1879),ISBLANK(E1879)),"Missing Value",
  D1879&lt;=0,"Review – Out of Range (Coverage)",
  E1879&lt;=0,"Review – Out of Range (Premium)",
  TRUE,"OK"
)</f>
        <v>OK</v>
      </c>
    </row>
    <row r="1880" spans="1:10" ht="16.8" x14ac:dyDescent="0.3">
      <c r="A1880" s="11" t="s">
        <v>5542</v>
      </c>
      <c r="B1880" s="11" t="s">
        <v>1907</v>
      </c>
      <c r="C1880" s="11" t="s">
        <v>3377</v>
      </c>
      <c r="D1880" s="11">
        <v>948012.1</v>
      </c>
      <c r="E1880" s="11">
        <v>11944.96</v>
      </c>
      <c r="F1880" s="12">
        <v>44829</v>
      </c>
      <c r="G1880" s="12">
        <v>45754</v>
      </c>
      <c r="H1880" s="11" t="s">
        <v>3687</v>
      </c>
      <c r="I1880" s="11" t="s">
        <v>3361</v>
      </c>
      <c r="J1880" s="13" t="str" cm="1">
        <f t="array" ref="J1880">_xlfn.IFS(
  OR(ISBLANK(A1880),ISBLANK(B1880),ISBLANK(H1880),ISBLANK(D1880),ISBLANK(E1880)),"Missing Value",
  D1880&lt;=0,"Review – Out of Range (Coverage)",
  E1880&lt;=0,"Review – Out of Range (Premium)",
  TRUE,"OK"
)</f>
        <v>OK</v>
      </c>
    </row>
    <row r="1881" spans="1:10" ht="16.8" x14ac:dyDescent="0.3">
      <c r="A1881" s="14" t="s">
        <v>5543</v>
      </c>
      <c r="B1881" s="14" t="s">
        <v>1651</v>
      </c>
      <c r="C1881" s="14" t="s">
        <v>3363</v>
      </c>
      <c r="D1881" s="14">
        <v>996615.9</v>
      </c>
      <c r="E1881" s="14">
        <v>35602.839999999997</v>
      </c>
      <c r="F1881" s="15">
        <v>45118</v>
      </c>
      <c r="G1881" s="15">
        <v>45448</v>
      </c>
      <c r="H1881" s="14" t="s">
        <v>3762</v>
      </c>
      <c r="I1881" s="14" t="s">
        <v>3361</v>
      </c>
      <c r="J1881" s="13" t="str" cm="1">
        <f t="array" ref="J1881">_xlfn.IFS(
  OR(ISBLANK(A1881),ISBLANK(B1881),ISBLANK(H1881),ISBLANK(D1881),ISBLANK(E1881)),"Missing Value",
  D1881&lt;=0,"Review – Out of Range (Coverage)",
  E1881&lt;=0,"Review – Out of Range (Premium)",
  TRUE,"OK"
)</f>
        <v>OK</v>
      </c>
    </row>
    <row r="1882" spans="1:10" ht="16.8" x14ac:dyDescent="0.3">
      <c r="A1882" s="11" t="s">
        <v>5544</v>
      </c>
      <c r="B1882" s="11" t="s">
        <v>3216</v>
      </c>
      <c r="C1882" s="11" t="s">
        <v>3363</v>
      </c>
      <c r="D1882" s="11">
        <v>427078.35</v>
      </c>
      <c r="E1882" s="11">
        <v>37241.25</v>
      </c>
      <c r="F1882" s="12">
        <v>44903</v>
      </c>
      <c r="G1882" s="12">
        <v>45789</v>
      </c>
      <c r="H1882" s="11" t="s">
        <v>3709</v>
      </c>
      <c r="I1882" s="11" t="s">
        <v>3373</v>
      </c>
      <c r="J1882" s="13" t="str" cm="1">
        <f t="array" ref="J1882">_xlfn.IFS(
  OR(ISBLANK(A1882),ISBLANK(B1882),ISBLANK(H1882),ISBLANK(D1882),ISBLANK(E1882)),"Missing Value",
  D1882&lt;=0,"Review – Out of Range (Coverage)",
  E1882&lt;=0,"Review – Out of Range (Premium)",
  TRUE,"OK"
)</f>
        <v>OK</v>
      </c>
    </row>
    <row r="1883" spans="1:10" ht="16.8" x14ac:dyDescent="0.3">
      <c r="A1883" s="14" t="s">
        <v>5545</v>
      </c>
      <c r="B1883" s="14" t="s">
        <v>206</v>
      </c>
      <c r="C1883" s="14" t="s">
        <v>3377</v>
      </c>
      <c r="D1883" s="14">
        <v>937860.85</v>
      </c>
      <c r="E1883" s="14">
        <v>7348.48</v>
      </c>
      <c r="F1883" s="15">
        <v>44825</v>
      </c>
      <c r="G1883" s="15">
        <v>45070</v>
      </c>
      <c r="H1883" s="14" t="s">
        <v>3764</v>
      </c>
      <c r="I1883" s="14" t="s">
        <v>3365</v>
      </c>
      <c r="J1883" s="13" t="str" cm="1">
        <f t="array" ref="J1883">_xlfn.IFS(
  OR(ISBLANK(A1883),ISBLANK(B1883),ISBLANK(H1883),ISBLANK(D1883),ISBLANK(E1883)),"Missing Value",
  D1883&lt;=0,"Review – Out of Range (Coverage)",
  E1883&lt;=0,"Review – Out of Range (Premium)",
  TRUE,"OK"
)</f>
        <v>OK</v>
      </c>
    </row>
    <row r="1884" spans="1:10" ht="16.8" x14ac:dyDescent="0.3">
      <c r="A1884" s="11" t="s">
        <v>5546</v>
      </c>
      <c r="B1884" s="11" t="s">
        <v>3005</v>
      </c>
      <c r="C1884" s="11" t="s">
        <v>3377</v>
      </c>
      <c r="D1884" s="11">
        <v>191204.43</v>
      </c>
      <c r="E1884" s="11">
        <v>16680.47</v>
      </c>
      <c r="F1884" s="12">
        <v>44422</v>
      </c>
      <c r="G1884" s="12">
        <v>44484</v>
      </c>
      <c r="H1884" s="11" t="s">
        <v>3575</v>
      </c>
      <c r="I1884" s="11" t="s">
        <v>3365</v>
      </c>
      <c r="J1884" s="13" t="str" cm="1">
        <f t="array" ref="J1884">_xlfn.IFS(
  OR(ISBLANK(A1884),ISBLANK(B1884),ISBLANK(H1884),ISBLANK(D1884),ISBLANK(E1884)),"Missing Value",
  D1884&lt;=0,"Review – Out of Range (Coverage)",
  E1884&lt;=0,"Review – Out of Range (Premium)",
  TRUE,"OK"
)</f>
        <v>OK</v>
      </c>
    </row>
    <row r="1885" spans="1:10" ht="16.8" x14ac:dyDescent="0.3">
      <c r="A1885" s="14" t="s">
        <v>5547</v>
      </c>
      <c r="B1885" s="14" t="s">
        <v>2635</v>
      </c>
      <c r="C1885" s="14" t="s">
        <v>3363</v>
      </c>
      <c r="D1885" s="14">
        <v>366335</v>
      </c>
      <c r="E1885" s="14">
        <v>8387.4500000000007</v>
      </c>
      <c r="F1885" s="15">
        <v>45234</v>
      </c>
      <c r="G1885" s="15">
        <v>45554</v>
      </c>
      <c r="H1885" s="14" t="s">
        <v>4511</v>
      </c>
      <c r="I1885" s="14" t="s">
        <v>3373</v>
      </c>
      <c r="J1885" s="13" t="str" cm="1">
        <f t="array" ref="J1885">_xlfn.IFS(
  OR(ISBLANK(A1885),ISBLANK(B1885),ISBLANK(H1885),ISBLANK(D1885),ISBLANK(E1885)),"Missing Value",
  D1885&lt;=0,"Review – Out of Range (Coverage)",
  E1885&lt;=0,"Review – Out of Range (Premium)",
  TRUE,"OK"
)</f>
        <v>OK</v>
      </c>
    </row>
    <row r="1886" spans="1:10" ht="16.8" x14ac:dyDescent="0.3">
      <c r="A1886" s="11" t="s">
        <v>5548</v>
      </c>
      <c r="B1886" s="11" t="s">
        <v>2795</v>
      </c>
      <c r="C1886" s="11" t="s">
        <v>3371</v>
      </c>
      <c r="D1886" s="11">
        <v>725110.49</v>
      </c>
      <c r="E1886" s="11">
        <v>19854.77</v>
      </c>
      <c r="F1886" s="12">
        <v>44941</v>
      </c>
      <c r="G1886" s="12">
        <v>45405</v>
      </c>
      <c r="H1886" s="11" t="s">
        <v>4098</v>
      </c>
      <c r="I1886" s="11" t="s">
        <v>3373</v>
      </c>
      <c r="J1886" s="13" t="str" cm="1">
        <f t="array" ref="J1886">_xlfn.IFS(
  OR(ISBLANK(A1886),ISBLANK(B1886),ISBLANK(H1886),ISBLANK(D1886),ISBLANK(E1886)),"Missing Value",
  D1886&lt;=0,"Review – Out of Range (Coverage)",
  E1886&lt;=0,"Review – Out of Range (Premium)",
  TRUE,"OK"
)</f>
        <v>OK</v>
      </c>
    </row>
    <row r="1887" spans="1:10" ht="16.8" x14ac:dyDescent="0.3">
      <c r="A1887" s="14" t="s">
        <v>5549</v>
      </c>
      <c r="B1887" s="14" t="s">
        <v>531</v>
      </c>
      <c r="C1887" s="14" t="s">
        <v>3371</v>
      </c>
      <c r="D1887" s="14">
        <v>909993.91</v>
      </c>
      <c r="E1887" s="14">
        <v>19815.41</v>
      </c>
      <c r="F1887" s="15">
        <v>44614</v>
      </c>
      <c r="G1887" s="15">
        <v>45547</v>
      </c>
      <c r="H1887" s="14" t="s">
        <v>4650</v>
      </c>
      <c r="I1887" s="14" t="s">
        <v>3365</v>
      </c>
      <c r="J1887" s="13" t="str" cm="1">
        <f t="array" ref="J1887">_xlfn.IFS(
  OR(ISBLANK(A1887),ISBLANK(B1887),ISBLANK(H1887),ISBLANK(D1887),ISBLANK(E1887)),"Missing Value",
  D1887&lt;=0,"Review – Out of Range (Coverage)",
  E1887&lt;=0,"Review – Out of Range (Premium)",
  TRUE,"OK"
)</f>
        <v>OK</v>
      </c>
    </row>
    <row r="1888" spans="1:10" ht="16.8" x14ac:dyDescent="0.3">
      <c r="A1888" s="11" t="s">
        <v>5550</v>
      </c>
      <c r="B1888" s="11" t="s">
        <v>1765</v>
      </c>
      <c r="C1888" s="11" t="s">
        <v>3363</v>
      </c>
      <c r="D1888" s="11">
        <v>396520.48</v>
      </c>
      <c r="E1888" s="11">
        <v>34454.69</v>
      </c>
      <c r="F1888" s="12">
        <v>44784</v>
      </c>
      <c r="G1888" s="12">
        <v>45400</v>
      </c>
      <c r="H1888" s="11" t="s">
        <v>3538</v>
      </c>
      <c r="I1888" s="11" t="s">
        <v>3373</v>
      </c>
      <c r="J1888" s="13" t="str" cm="1">
        <f t="array" ref="J1888">_xlfn.IFS(
  OR(ISBLANK(A1888),ISBLANK(B1888),ISBLANK(H1888),ISBLANK(D1888),ISBLANK(E1888)),"Missing Value",
  D1888&lt;=0,"Review – Out of Range (Coverage)",
  E1888&lt;=0,"Review – Out of Range (Premium)",
  TRUE,"OK"
)</f>
        <v>OK</v>
      </c>
    </row>
    <row r="1889" spans="1:10" ht="16.8" x14ac:dyDescent="0.3">
      <c r="A1889" s="14" t="s">
        <v>5551</v>
      </c>
      <c r="B1889" s="14" t="s">
        <v>1091</v>
      </c>
      <c r="C1889" s="14" t="s">
        <v>3380</v>
      </c>
      <c r="D1889" s="14">
        <v>945544.85</v>
      </c>
      <c r="E1889" s="14">
        <v>40646.53</v>
      </c>
      <c r="F1889" s="15">
        <v>44901</v>
      </c>
      <c r="G1889" s="15">
        <v>45549</v>
      </c>
      <c r="H1889" s="14" t="s">
        <v>3649</v>
      </c>
      <c r="I1889" s="14" t="s">
        <v>3361</v>
      </c>
      <c r="J1889" s="13" t="str" cm="1">
        <f t="array" ref="J1889">_xlfn.IFS(
  OR(ISBLANK(A1889),ISBLANK(B1889),ISBLANK(H1889),ISBLANK(D1889),ISBLANK(E1889)),"Missing Value",
  D1889&lt;=0,"Review – Out of Range (Coverage)",
  E1889&lt;=0,"Review – Out of Range (Premium)",
  TRUE,"OK"
)</f>
        <v>OK</v>
      </c>
    </row>
    <row r="1890" spans="1:10" ht="16.8" x14ac:dyDescent="0.3">
      <c r="A1890" s="11" t="s">
        <v>5552</v>
      </c>
      <c r="B1890" s="11" t="s">
        <v>1765</v>
      </c>
      <c r="C1890" s="11" t="s">
        <v>3380</v>
      </c>
      <c r="D1890" s="11">
        <v>354614.52</v>
      </c>
      <c r="E1890" s="11">
        <v>32770.39</v>
      </c>
      <c r="F1890" s="12">
        <v>44446</v>
      </c>
      <c r="G1890" s="12">
        <v>45583</v>
      </c>
      <c r="H1890" s="11" t="s">
        <v>4067</v>
      </c>
      <c r="I1890" s="11" t="s">
        <v>3365</v>
      </c>
      <c r="J1890" s="13" t="str" cm="1">
        <f t="array" ref="J1890">_xlfn.IFS(
  OR(ISBLANK(A1890),ISBLANK(B1890),ISBLANK(H1890),ISBLANK(D1890),ISBLANK(E1890)),"Missing Value",
  D1890&lt;=0,"Review – Out of Range (Coverage)",
  E1890&lt;=0,"Review – Out of Range (Premium)",
  TRUE,"OK"
)</f>
        <v>OK</v>
      </c>
    </row>
    <row r="1891" spans="1:10" ht="16.8" x14ac:dyDescent="0.3">
      <c r="A1891" s="14" t="s">
        <v>5553</v>
      </c>
      <c r="B1891" s="14" t="s">
        <v>577</v>
      </c>
      <c r="C1891" s="14" t="s">
        <v>3377</v>
      </c>
      <c r="D1891" s="14">
        <v>369252.77</v>
      </c>
      <c r="E1891" s="14">
        <v>44782</v>
      </c>
      <c r="F1891" s="15">
        <v>45428</v>
      </c>
      <c r="G1891" s="15">
        <v>45500</v>
      </c>
      <c r="H1891" s="14" t="s">
        <v>3387</v>
      </c>
      <c r="I1891" s="14" t="s">
        <v>3365</v>
      </c>
      <c r="J1891" s="13" t="str" cm="1">
        <f t="array" ref="J1891">_xlfn.IFS(
  OR(ISBLANK(A1891),ISBLANK(B1891),ISBLANK(H1891),ISBLANK(D1891),ISBLANK(E1891)),"Missing Value",
  D1891&lt;=0,"Review – Out of Range (Coverage)",
  E1891&lt;=0,"Review – Out of Range (Premium)",
  TRUE,"OK"
)</f>
        <v>OK</v>
      </c>
    </row>
    <row r="1892" spans="1:10" ht="16.8" x14ac:dyDescent="0.3">
      <c r="A1892" s="11" t="s">
        <v>5554</v>
      </c>
      <c r="B1892" s="11" t="s">
        <v>975</v>
      </c>
      <c r="C1892" s="11" t="s">
        <v>3359</v>
      </c>
      <c r="D1892" s="11">
        <v>753658.76</v>
      </c>
      <c r="E1892" s="11">
        <v>49920.53</v>
      </c>
      <c r="F1892" s="12">
        <v>45396</v>
      </c>
      <c r="G1892" s="12">
        <v>45535</v>
      </c>
      <c r="H1892" s="11" t="s">
        <v>4198</v>
      </c>
      <c r="I1892" s="11" t="s">
        <v>3365</v>
      </c>
      <c r="J1892" s="13" t="str" cm="1">
        <f t="array" ref="J1892">_xlfn.IFS(
  OR(ISBLANK(A1892),ISBLANK(B1892),ISBLANK(H1892),ISBLANK(D1892),ISBLANK(E1892)),"Missing Value",
  D1892&lt;=0,"Review – Out of Range (Coverage)",
  E1892&lt;=0,"Review – Out of Range (Premium)",
  TRUE,"OK"
)</f>
        <v>OK</v>
      </c>
    </row>
    <row r="1893" spans="1:10" ht="16.8" x14ac:dyDescent="0.3">
      <c r="A1893" s="14" t="s">
        <v>5555</v>
      </c>
      <c r="B1893" s="14" t="s">
        <v>1969</v>
      </c>
      <c r="C1893" s="14" t="s">
        <v>3377</v>
      </c>
      <c r="D1893" s="14">
        <v>296688.96999999997</v>
      </c>
      <c r="E1893" s="14">
        <v>31181.89</v>
      </c>
      <c r="F1893" s="15">
        <v>45315</v>
      </c>
      <c r="G1893" s="15">
        <v>45511</v>
      </c>
      <c r="H1893" s="14" t="s">
        <v>4247</v>
      </c>
      <c r="I1893" s="14" t="s">
        <v>3361</v>
      </c>
      <c r="J1893" s="13" t="str" cm="1">
        <f t="array" ref="J1893">_xlfn.IFS(
  OR(ISBLANK(A1893),ISBLANK(B1893),ISBLANK(H1893),ISBLANK(D1893),ISBLANK(E1893)),"Missing Value",
  D1893&lt;=0,"Review – Out of Range (Coverage)",
  E1893&lt;=0,"Review – Out of Range (Premium)",
  TRUE,"OK"
)</f>
        <v>OK</v>
      </c>
    </row>
    <row r="1894" spans="1:10" ht="16.8" x14ac:dyDescent="0.3">
      <c r="A1894" s="11" t="s">
        <v>5556</v>
      </c>
      <c r="B1894" s="11" t="s">
        <v>1603</v>
      </c>
      <c r="C1894" s="11" t="s">
        <v>3359</v>
      </c>
      <c r="D1894" s="11">
        <v>928193.29</v>
      </c>
      <c r="E1894" s="11">
        <v>34171.519999999997</v>
      </c>
      <c r="F1894" s="12">
        <v>44808</v>
      </c>
      <c r="G1894" s="12">
        <v>45436</v>
      </c>
      <c r="H1894" s="11" t="s">
        <v>3787</v>
      </c>
      <c r="I1894" s="11" t="s">
        <v>3365</v>
      </c>
      <c r="J1894" s="13" t="str" cm="1">
        <f t="array" ref="J1894">_xlfn.IFS(
  OR(ISBLANK(A1894),ISBLANK(B1894),ISBLANK(H1894),ISBLANK(D1894),ISBLANK(E1894)),"Missing Value",
  D1894&lt;=0,"Review – Out of Range (Coverage)",
  E1894&lt;=0,"Review – Out of Range (Premium)",
  TRUE,"OK"
)</f>
        <v>OK</v>
      </c>
    </row>
    <row r="1895" spans="1:10" ht="16.8" x14ac:dyDescent="0.3">
      <c r="A1895" s="14" t="s">
        <v>5557</v>
      </c>
      <c r="B1895" s="14" t="s">
        <v>1093</v>
      </c>
      <c r="C1895" s="14" t="s">
        <v>3363</v>
      </c>
      <c r="D1895" s="14">
        <v>387580.4</v>
      </c>
      <c r="E1895" s="14">
        <v>43380.75</v>
      </c>
      <c r="F1895" s="15">
        <v>45235</v>
      </c>
      <c r="G1895" s="15">
        <v>45666</v>
      </c>
      <c r="H1895" s="14" t="s">
        <v>3721</v>
      </c>
      <c r="I1895" s="14" t="s">
        <v>3373</v>
      </c>
      <c r="J1895" s="13" t="str" cm="1">
        <f t="array" ref="J1895">_xlfn.IFS(
  OR(ISBLANK(A1895),ISBLANK(B1895),ISBLANK(H1895),ISBLANK(D1895),ISBLANK(E1895)),"Missing Value",
  D1895&lt;=0,"Review – Out of Range (Coverage)",
  E1895&lt;=0,"Review – Out of Range (Premium)",
  TRUE,"OK"
)</f>
        <v>OK</v>
      </c>
    </row>
    <row r="1896" spans="1:10" ht="16.8" x14ac:dyDescent="0.3">
      <c r="A1896" s="11" t="s">
        <v>5558</v>
      </c>
      <c r="B1896" s="11" t="s">
        <v>270</v>
      </c>
      <c r="C1896" s="11" t="s">
        <v>3359</v>
      </c>
      <c r="D1896" s="11">
        <v>330734.03000000003</v>
      </c>
      <c r="E1896" s="11">
        <v>32115.759999999998</v>
      </c>
      <c r="F1896" s="12">
        <v>44605</v>
      </c>
      <c r="G1896" s="12">
        <v>45640</v>
      </c>
      <c r="H1896" s="11" t="s">
        <v>3564</v>
      </c>
      <c r="I1896" s="11" t="s">
        <v>3361</v>
      </c>
      <c r="J1896" s="13" t="str" cm="1">
        <f t="array" ref="J1896">_xlfn.IFS(
  OR(ISBLANK(A1896),ISBLANK(B1896),ISBLANK(H1896),ISBLANK(D1896),ISBLANK(E1896)),"Missing Value",
  D1896&lt;=0,"Review – Out of Range (Coverage)",
  E1896&lt;=0,"Review – Out of Range (Premium)",
  TRUE,"OK"
)</f>
        <v>OK</v>
      </c>
    </row>
    <row r="1897" spans="1:10" ht="16.8" x14ac:dyDescent="0.3">
      <c r="A1897" s="14" t="s">
        <v>5559</v>
      </c>
      <c r="B1897" s="14" t="s">
        <v>2001</v>
      </c>
      <c r="C1897" s="14" t="s">
        <v>3371</v>
      </c>
      <c r="D1897" s="14">
        <v>482804.34</v>
      </c>
      <c r="E1897" s="14">
        <v>41466.54</v>
      </c>
      <c r="F1897" s="15">
        <v>44773</v>
      </c>
      <c r="G1897" s="15">
        <v>44842</v>
      </c>
      <c r="H1897" s="14" t="s">
        <v>3530</v>
      </c>
      <c r="I1897" s="14" t="s">
        <v>3373</v>
      </c>
      <c r="J1897" s="13" t="str" cm="1">
        <f t="array" ref="J1897">_xlfn.IFS(
  OR(ISBLANK(A1897),ISBLANK(B1897),ISBLANK(H1897),ISBLANK(D1897),ISBLANK(E1897)),"Missing Value",
  D1897&lt;=0,"Review – Out of Range (Coverage)",
  E1897&lt;=0,"Review – Out of Range (Premium)",
  TRUE,"OK"
)</f>
        <v>OK</v>
      </c>
    </row>
    <row r="1898" spans="1:10" ht="16.8" x14ac:dyDescent="0.3">
      <c r="A1898" s="11" t="s">
        <v>5560</v>
      </c>
      <c r="B1898" s="11" t="s">
        <v>3288</v>
      </c>
      <c r="C1898" s="11" t="s">
        <v>3377</v>
      </c>
      <c r="D1898" s="11">
        <v>751969.72</v>
      </c>
      <c r="E1898" s="11">
        <v>11033.66</v>
      </c>
      <c r="F1898" s="12">
        <v>44798</v>
      </c>
      <c r="G1898" s="12">
        <v>44845</v>
      </c>
      <c r="H1898" s="11" t="s">
        <v>3914</v>
      </c>
      <c r="I1898" s="11" t="s">
        <v>3373</v>
      </c>
      <c r="J1898" s="13" t="str" cm="1">
        <f t="array" ref="J1898">_xlfn.IFS(
  OR(ISBLANK(A1898),ISBLANK(B1898),ISBLANK(H1898),ISBLANK(D1898),ISBLANK(E1898)),"Missing Value",
  D1898&lt;=0,"Review – Out of Range (Coverage)",
  E1898&lt;=0,"Review – Out of Range (Premium)",
  TRUE,"OK"
)</f>
        <v>OK</v>
      </c>
    </row>
    <row r="1899" spans="1:10" ht="16.8" x14ac:dyDescent="0.3">
      <c r="A1899" s="14" t="s">
        <v>5561</v>
      </c>
      <c r="B1899" s="14" t="s">
        <v>3108</v>
      </c>
      <c r="C1899" s="14" t="s">
        <v>3380</v>
      </c>
      <c r="D1899" s="14">
        <v>397742.65</v>
      </c>
      <c r="E1899" s="14">
        <v>23472.31</v>
      </c>
      <c r="F1899" s="15">
        <v>44945</v>
      </c>
      <c r="G1899" s="15">
        <v>45295</v>
      </c>
      <c r="H1899" s="14" t="s">
        <v>3750</v>
      </c>
      <c r="I1899" s="14" t="s">
        <v>3361</v>
      </c>
      <c r="J1899" s="13" t="str" cm="1">
        <f t="array" ref="J1899">_xlfn.IFS(
  OR(ISBLANK(A1899),ISBLANK(B1899),ISBLANK(H1899),ISBLANK(D1899),ISBLANK(E1899)),"Missing Value",
  D1899&lt;=0,"Review – Out of Range (Coverage)",
  E1899&lt;=0,"Review – Out of Range (Premium)",
  TRUE,"OK"
)</f>
        <v>OK</v>
      </c>
    </row>
    <row r="1900" spans="1:10" ht="16.8" x14ac:dyDescent="0.3">
      <c r="A1900" s="11" t="s">
        <v>5562</v>
      </c>
      <c r="B1900" s="11" t="s">
        <v>2203</v>
      </c>
      <c r="C1900" s="11" t="s">
        <v>3377</v>
      </c>
      <c r="D1900" s="11">
        <v>907814.92</v>
      </c>
      <c r="E1900" s="11">
        <v>47138.17</v>
      </c>
      <c r="F1900" s="12">
        <v>44038</v>
      </c>
      <c r="G1900" s="12">
        <v>44585</v>
      </c>
      <c r="H1900" s="11" t="s">
        <v>4064</v>
      </c>
      <c r="I1900" s="11" t="s">
        <v>3365</v>
      </c>
      <c r="J1900" s="13" t="str" cm="1">
        <f t="array" ref="J1900">_xlfn.IFS(
  OR(ISBLANK(A1900),ISBLANK(B1900),ISBLANK(H1900),ISBLANK(D1900),ISBLANK(E1900)),"Missing Value",
  D1900&lt;=0,"Review – Out of Range (Coverage)",
  E1900&lt;=0,"Review – Out of Range (Premium)",
  TRUE,"OK"
)</f>
        <v>OK</v>
      </c>
    </row>
    <row r="1901" spans="1:10" ht="16.8" x14ac:dyDescent="0.3">
      <c r="A1901" s="14" t="s">
        <v>5563</v>
      </c>
      <c r="B1901" s="14" t="s">
        <v>2079</v>
      </c>
      <c r="C1901" s="14" t="s">
        <v>3380</v>
      </c>
      <c r="D1901" s="14">
        <v>481177.47</v>
      </c>
      <c r="E1901" s="14">
        <v>4557.42</v>
      </c>
      <c r="F1901" s="15">
        <v>45209</v>
      </c>
      <c r="G1901" s="15">
        <v>45347</v>
      </c>
      <c r="H1901" s="14" t="s">
        <v>4064</v>
      </c>
      <c r="I1901" s="14" t="s">
        <v>3365</v>
      </c>
      <c r="J1901" s="13" t="str" cm="1">
        <f t="array" ref="J1901">_xlfn.IFS(
  OR(ISBLANK(A1901),ISBLANK(B1901),ISBLANK(H1901),ISBLANK(D1901),ISBLANK(E1901)),"Missing Value",
  D1901&lt;=0,"Review – Out of Range (Coverage)",
  E1901&lt;=0,"Review – Out of Range (Premium)",
  TRUE,"OK"
)</f>
        <v>OK</v>
      </c>
    </row>
    <row r="1902" spans="1:10" ht="16.8" x14ac:dyDescent="0.3">
      <c r="A1902" s="11" t="s">
        <v>5564</v>
      </c>
      <c r="B1902" s="11" t="s">
        <v>2239</v>
      </c>
      <c r="C1902" s="11" t="s">
        <v>3363</v>
      </c>
      <c r="D1902" s="11">
        <v>207465.57</v>
      </c>
      <c r="E1902" s="11">
        <v>24270.26</v>
      </c>
      <c r="F1902" s="12">
        <v>44624</v>
      </c>
      <c r="G1902" s="12">
        <v>45171</v>
      </c>
      <c r="H1902" s="11" t="s">
        <v>3740</v>
      </c>
      <c r="I1902" s="11" t="s">
        <v>3365</v>
      </c>
      <c r="J1902" s="13" t="str" cm="1">
        <f t="array" ref="J1902">_xlfn.IFS(
  OR(ISBLANK(A1902),ISBLANK(B1902),ISBLANK(H1902),ISBLANK(D1902),ISBLANK(E1902)),"Missing Value",
  D1902&lt;=0,"Review – Out of Range (Coverage)",
  E1902&lt;=0,"Review – Out of Range (Premium)",
  TRUE,"OK"
)</f>
        <v>OK</v>
      </c>
    </row>
    <row r="1903" spans="1:10" ht="16.8" x14ac:dyDescent="0.3">
      <c r="A1903" s="14" t="s">
        <v>5565</v>
      </c>
      <c r="B1903" s="14" t="s">
        <v>3054</v>
      </c>
      <c r="C1903" s="14" t="s">
        <v>3377</v>
      </c>
      <c r="D1903" s="14">
        <v>902673.01</v>
      </c>
      <c r="E1903" s="14">
        <v>21615.34</v>
      </c>
      <c r="F1903" s="15">
        <v>45324</v>
      </c>
      <c r="G1903" s="15">
        <v>45554</v>
      </c>
      <c r="H1903" s="14" t="s">
        <v>3515</v>
      </c>
      <c r="I1903" s="14" t="s">
        <v>3361</v>
      </c>
      <c r="J1903" s="13" t="str" cm="1">
        <f t="array" ref="J1903">_xlfn.IFS(
  OR(ISBLANK(A1903),ISBLANK(B1903),ISBLANK(H1903),ISBLANK(D1903),ISBLANK(E1903)),"Missing Value",
  D1903&lt;=0,"Review – Out of Range (Coverage)",
  E1903&lt;=0,"Review – Out of Range (Premium)",
  TRUE,"OK"
)</f>
        <v>OK</v>
      </c>
    </row>
    <row r="1904" spans="1:10" ht="16.8" x14ac:dyDescent="0.3">
      <c r="A1904" s="11" t="s">
        <v>5566</v>
      </c>
      <c r="B1904" s="11" t="s">
        <v>2875</v>
      </c>
      <c r="C1904" s="11" t="s">
        <v>3363</v>
      </c>
      <c r="D1904" s="11">
        <v>459773.14</v>
      </c>
      <c r="E1904" s="11">
        <v>13827.31</v>
      </c>
      <c r="F1904" s="12">
        <v>44530</v>
      </c>
      <c r="G1904" s="12">
        <v>45844</v>
      </c>
      <c r="H1904" s="11" t="s">
        <v>3863</v>
      </c>
      <c r="I1904" s="11" t="s">
        <v>3361</v>
      </c>
      <c r="J1904" s="13" t="str" cm="1">
        <f t="array" ref="J1904">_xlfn.IFS(
  OR(ISBLANK(A1904),ISBLANK(B1904),ISBLANK(H1904),ISBLANK(D1904),ISBLANK(E1904)),"Missing Value",
  D1904&lt;=0,"Review – Out of Range (Coverage)",
  E1904&lt;=0,"Review – Out of Range (Premium)",
  TRUE,"OK"
)</f>
        <v>OK</v>
      </c>
    </row>
    <row r="1905" spans="1:10" ht="16.8" x14ac:dyDescent="0.3">
      <c r="A1905" s="14" t="s">
        <v>5567</v>
      </c>
      <c r="B1905" s="14" t="s">
        <v>2077</v>
      </c>
      <c r="C1905" s="14" t="s">
        <v>3380</v>
      </c>
      <c r="D1905" s="14">
        <v>901146.24</v>
      </c>
      <c r="E1905" s="14">
        <v>33588.54</v>
      </c>
      <c r="F1905" s="15">
        <v>45031</v>
      </c>
      <c r="G1905" s="15">
        <v>45613</v>
      </c>
      <c r="H1905" s="14" t="s">
        <v>3715</v>
      </c>
      <c r="I1905" s="14" t="s">
        <v>3365</v>
      </c>
      <c r="J1905" s="13" t="str" cm="1">
        <f t="array" ref="J1905">_xlfn.IFS(
  OR(ISBLANK(A1905),ISBLANK(B1905),ISBLANK(H1905),ISBLANK(D1905),ISBLANK(E1905)),"Missing Value",
  D1905&lt;=0,"Review – Out of Range (Coverage)",
  E1905&lt;=0,"Review – Out of Range (Premium)",
  TRUE,"OK"
)</f>
        <v>OK</v>
      </c>
    </row>
    <row r="1906" spans="1:10" ht="16.8" x14ac:dyDescent="0.3">
      <c r="A1906" s="11" t="s">
        <v>5568</v>
      </c>
      <c r="B1906" s="11" t="s">
        <v>2761</v>
      </c>
      <c r="C1906" s="11" t="s">
        <v>3377</v>
      </c>
      <c r="D1906" s="11">
        <v>745838.31</v>
      </c>
      <c r="E1906" s="11">
        <v>4274.24</v>
      </c>
      <c r="F1906" s="12">
        <v>45467</v>
      </c>
      <c r="G1906" s="12">
        <v>45685</v>
      </c>
      <c r="H1906" s="11" t="s">
        <v>3646</v>
      </c>
      <c r="I1906" s="11" t="s">
        <v>3373</v>
      </c>
      <c r="J1906" s="13" t="str" cm="1">
        <f t="array" ref="J1906">_xlfn.IFS(
  OR(ISBLANK(A1906),ISBLANK(B1906),ISBLANK(H1906),ISBLANK(D1906),ISBLANK(E1906)),"Missing Value",
  D1906&lt;=0,"Review – Out of Range (Coverage)",
  E1906&lt;=0,"Review – Out of Range (Premium)",
  TRUE,"OK"
)</f>
        <v>OK</v>
      </c>
    </row>
    <row r="1907" spans="1:10" ht="16.8" x14ac:dyDescent="0.3">
      <c r="A1907" s="14" t="s">
        <v>5569</v>
      </c>
      <c r="B1907" s="14" t="s">
        <v>2997</v>
      </c>
      <c r="C1907" s="14" t="s">
        <v>3359</v>
      </c>
      <c r="D1907" s="14">
        <v>952943.11</v>
      </c>
      <c r="E1907" s="14">
        <v>5898.33</v>
      </c>
      <c r="F1907" s="15">
        <v>44634</v>
      </c>
      <c r="G1907" s="15">
        <v>45252</v>
      </c>
      <c r="H1907" s="14" t="s">
        <v>3733</v>
      </c>
      <c r="I1907" s="14" t="s">
        <v>3365</v>
      </c>
      <c r="J1907" s="13" t="str" cm="1">
        <f t="array" ref="J1907">_xlfn.IFS(
  OR(ISBLANK(A1907),ISBLANK(B1907),ISBLANK(H1907),ISBLANK(D1907),ISBLANK(E1907)),"Missing Value",
  D1907&lt;=0,"Review – Out of Range (Coverage)",
  E1907&lt;=0,"Review – Out of Range (Premium)",
  TRUE,"OK"
)</f>
        <v>OK</v>
      </c>
    </row>
    <row r="1908" spans="1:10" ht="16.8" x14ac:dyDescent="0.3">
      <c r="A1908" s="11" t="s">
        <v>5570</v>
      </c>
      <c r="B1908" s="11" t="s">
        <v>92</v>
      </c>
      <c r="C1908" s="11" t="s">
        <v>3371</v>
      </c>
      <c r="D1908" s="11">
        <v>121416.18</v>
      </c>
      <c r="E1908" s="11">
        <v>21866.75</v>
      </c>
      <c r="F1908" s="12">
        <v>45390</v>
      </c>
      <c r="G1908" s="12">
        <v>45423</v>
      </c>
      <c r="H1908" s="11" t="s">
        <v>4398</v>
      </c>
      <c r="I1908" s="11" t="s">
        <v>3361</v>
      </c>
      <c r="J1908" s="13" t="str" cm="1">
        <f t="array" ref="J1908">_xlfn.IFS(
  OR(ISBLANK(A1908),ISBLANK(B1908),ISBLANK(H1908),ISBLANK(D1908),ISBLANK(E1908)),"Missing Value",
  D1908&lt;=0,"Review – Out of Range (Coverage)",
  E1908&lt;=0,"Review – Out of Range (Premium)",
  TRUE,"OK"
)</f>
        <v>OK</v>
      </c>
    </row>
    <row r="1909" spans="1:10" ht="16.8" x14ac:dyDescent="0.3">
      <c r="A1909" s="14" t="s">
        <v>5571</v>
      </c>
      <c r="B1909" s="14" t="s">
        <v>2041</v>
      </c>
      <c r="C1909" s="14" t="s">
        <v>3363</v>
      </c>
      <c r="D1909" s="14">
        <v>319479.5</v>
      </c>
      <c r="E1909" s="14">
        <v>38678.14</v>
      </c>
      <c r="F1909" s="15">
        <v>44859</v>
      </c>
      <c r="G1909" s="15">
        <v>45501</v>
      </c>
      <c r="H1909" s="14" t="s">
        <v>3624</v>
      </c>
      <c r="I1909" s="14" t="s">
        <v>3373</v>
      </c>
      <c r="J1909" s="13" t="str" cm="1">
        <f t="array" ref="J1909">_xlfn.IFS(
  OR(ISBLANK(A1909),ISBLANK(B1909),ISBLANK(H1909),ISBLANK(D1909),ISBLANK(E1909)),"Missing Value",
  D1909&lt;=0,"Review – Out of Range (Coverage)",
  E1909&lt;=0,"Review – Out of Range (Premium)",
  TRUE,"OK"
)</f>
        <v>OK</v>
      </c>
    </row>
    <row r="1910" spans="1:10" ht="16.8" x14ac:dyDescent="0.3">
      <c r="A1910" s="11" t="s">
        <v>5572</v>
      </c>
      <c r="B1910" s="11" t="s">
        <v>2845</v>
      </c>
      <c r="C1910" s="11" t="s">
        <v>3371</v>
      </c>
      <c r="D1910" s="11">
        <v>751629.76</v>
      </c>
      <c r="E1910" s="11">
        <v>42973.91</v>
      </c>
      <c r="F1910" s="12">
        <v>44098</v>
      </c>
      <c r="G1910" s="12">
        <v>45561</v>
      </c>
      <c r="H1910" s="11" t="s">
        <v>3567</v>
      </c>
      <c r="I1910" s="11" t="s">
        <v>3373</v>
      </c>
      <c r="J1910" s="13" t="str" cm="1">
        <f t="array" ref="J1910">_xlfn.IFS(
  OR(ISBLANK(A1910),ISBLANK(B1910),ISBLANK(H1910),ISBLANK(D1910),ISBLANK(E1910)),"Missing Value",
  D1910&lt;=0,"Review – Out of Range (Coverage)",
  E1910&lt;=0,"Review – Out of Range (Premium)",
  TRUE,"OK"
)</f>
        <v>OK</v>
      </c>
    </row>
    <row r="1911" spans="1:10" ht="16.8" x14ac:dyDescent="0.3">
      <c r="A1911" s="14" t="s">
        <v>5573</v>
      </c>
      <c r="B1911" s="14" t="s">
        <v>645</v>
      </c>
      <c r="C1911" s="14" t="s">
        <v>3359</v>
      </c>
      <c r="D1911" s="14">
        <v>426090.62</v>
      </c>
      <c r="E1911" s="14">
        <v>25479.439999999999</v>
      </c>
      <c r="F1911" s="15">
        <v>44360</v>
      </c>
      <c r="G1911" s="15">
        <v>44685</v>
      </c>
      <c r="H1911" s="14" t="s">
        <v>3865</v>
      </c>
      <c r="I1911" s="14" t="s">
        <v>3373</v>
      </c>
      <c r="J1911" s="13" t="str" cm="1">
        <f t="array" ref="J1911">_xlfn.IFS(
  OR(ISBLANK(A1911),ISBLANK(B1911),ISBLANK(H1911),ISBLANK(D1911),ISBLANK(E1911)),"Missing Value",
  D1911&lt;=0,"Review – Out of Range (Coverage)",
  E1911&lt;=0,"Review – Out of Range (Premium)",
  TRUE,"OK"
)</f>
        <v>OK</v>
      </c>
    </row>
    <row r="1912" spans="1:10" ht="16.8" x14ac:dyDescent="0.3">
      <c r="A1912" s="11" t="s">
        <v>5574</v>
      </c>
      <c r="B1912" s="11" t="s">
        <v>90</v>
      </c>
      <c r="C1912" s="11" t="s">
        <v>3380</v>
      </c>
      <c r="D1912" s="11">
        <v>324263.28000000003</v>
      </c>
      <c r="E1912" s="11">
        <v>21317.03</v>
      </c>
      <c r="F1912" s="12">
        <v>45081</v>
      </c>
      <c r="G1912" s="12">
        <v>45598</v>
      </c>
      <c r="H1912" s="11" t="s">
        <v>3605</v>
      </c>
      <c r="I1912" s="11" t="s">
        <v>3373</v>
      </c>
      <c r="J1912" s="13" t="str" cm="1">
        <f t="array" ref="J1912">_xlfn.IFS(
  OR(ISBLANK(A1912),ISBLANK(B1912),ISBLANK(H1912),ISBLANK(D1912),ISBLANK(E1912)),"Missing Value",
  D1912&lt;=0,"Review – Out of Range (Coverage)",
  E1912&lt;=0,"Review – Out of Range (Premium)",
  TRUE,"OK"
)</f>
        <v>OK</v>
      </c>
    </row>
    <row r="1913" spans="1:10" ht="16.8" x14ac:dyDescent="0.3">
      <c r="A1913" s="14" t="s">
        <v>5575</v>
      </c>
      <c r="B1913" s="14" t="s">
        <v>1607</v>
      </c>
      <c r="C1913" s="14" t="s">
        <v>3363</v>
      </c>
      <c r="D1913" s="14">
        <v>415245.23</v>
      </c>
      <c r="E1913" s="14">
        <v>27193.4</v>
      </c>
      <c r="F1913" s="15">
        <v>44790</v>
      </c>
      <c r="G1913" s="15">
        <v>45129</v>
      </c>
      <c r="H1913" s="14" t="s">
        <v>3721</v>
      </c>
      <c r="I1913" s="14" t="s">
        <v>3373</v>
      </c>
      <c r="J1913" s="13" t="str" cm="1">
        <f t="array" ref="J1913">_xlfn.IFS(
  OR(ISBLANK(A1913),ISBLANK(B1913),ISBLANK(H1913),ISBLANK(D1913),ISBLANK(E1913)),"Missing Value",
  D1913&lt;=0,"Review – Out of Range (Coverage)",
  E1913&lt;=0,"Review – Out of Range (Premium)",
  TRUE,"OK"
)</f>
        <v>OK</v>
      </c>
    </row>
    <row r="1914" spans="1:10" ht="16.8" x14ac:dyDescent="0.3">
      <c r="A1914" s="11" t="s">
        <v>5576</v>
      </c>
      <c r="B1914" s="11" t="s">
        <v>63</v>
      </c>
      <c r="C1914" s="11" t="s">
        <v>3380</v>
      </c>
      <c r="D1914" s="11">
        <v>248505.35</v>
      </c>
      <c r="E1914" s="11">
        <v>15447.66</v>
      </c>
      <c r="F1914" s="12">
        <v>45285</v>
      </c>
      <c r="G1914" s="12">
        <v>45396</v>
      </c>
      <c r="H1914" s="11" t="s">
        <v>3389</v>
      </c>
      <c r="I1914" s="11" t="s">
        <v>3373</v>
      </c>
      <c r="J1914" s="13" t="str" cm="1">
        <f t="array" ref="J1914">_xlfn.IFS(
  OR(ISBLANK(A1914),ISBLANK(B1914),ISBLANK(H1914),ISBLANK(D1914),ISBLANK(E1914)),"Missing Value",
  D1914&lt;=0,"Review – Out of Range (Coverage)",
  E1914&lt;=0,"Review – Out of Range (Premium)",
  TRUE,"OK"
)</f>
        <v>OK</v>
      </c>
    </row>
    <row r="1915" spans="1:10" ht="16.8" x14ac:dyDescent="0.3">
      <c r="A1915" s="14" t="s">
        <v>5577</v>
      </c>
      <c r="B1915" s="14" t="s">
        <v>168</v>
      </c>
      <c r="C1915" s="14" t="s">
        <v>3363</v>
      </c>
      <c r="D1915" s="14">
        <v>144593.74</v>
      </c>
      <c r="E1915" s="14">
        <v>22962.36</v>
      </c>
      <c r="F1915" s="15">
        <v>45316</v>
      </c>
      <c r="G1915" s="15">
        <v>45333</v>
      </c>
      <c r="H1915" s="14" t="s">
        <v>4116</v>
      </c>
      <c r="I1915" s="14" t="s">
        <v>3361</v>
      </c>
      <c r="J1915" s="13" t="str" cm="1">
        <f t="array" ref="J1915">_xlfn.IFS(
  OR(ISBLANK(A1915),ISBLANK(B1915),ISBLANK(H1915),ISBLANK(D1915),ISBLANK(E1915)),"Missing Value",
  D1915&lt;=0,"Review – Out of Range (Coverage)",
  E1915&lt;=0,"Review – Out of Range (Premium)",
  TRUE,"OK"
)</f>
        <v>OK</v>
      </c>
    </row>
    <row r="1916" spans="1:10" ht="16.8" x14ac:dyDescent="0.3">
      <c r="A1916" s="11" t="s">
        <v>5578</v>
      </c>
      <c r="B1916" s="11" t="s">
        <v>2425</v>
      </c>
      <c r="C1916" s="11" t="s">
        <v>3371</v>
      </c>
      <c r="D1916" s="11">
        <v>831224.65</v>
      </c>
      <c r="E1916" s="11">
        <v>34786.769999999997</v>
      </c>
      <c r="F1916" s="12">
        <v>44306</v>
      </c>
      <c r="G1916" s="12">
        <v>44764</v>
      </c>
      <c r="H1916" s="11" t="s">
        <v>4164</v>
      </c>
      <c r="I1916" s="11" t="s">
        <v>3373</v>
      </c>
      <c r="J1916" s="13" t="str" cm="1">
        <f t="array" ref="J1916">_xlfn.IFS(
  OR(ISBLANK(A1916),ISBLANK(B1916),ISBLANK(H1916),ISBLANK(D1916),ISBLANK(E1916)),"Missing Value",
  D1916&lt;=0,"Review – Out of Range (Coverage)",
  E1916&lt;=0,"Review – Out of Range (Premium)",
  TRUE,"OK"
)</f>
        <v>OK</v>
      </c>
    </row>
    <row r="1917" spans="1:10" ht="16.8" x14ac:dyDescent="0.3">
      <c r="A1917" s="14" t="s">
        <v>5579</v>
      </c>
      <c r="B1917" s="14" t="s">
        <v>2309</v>
      </c>
      <c r="C1917" s="14" t="s">
        <v>3380</v>
      </c>
      <c r="D1917" s="14">
        <v>458939.32</v>
      </c>
      <c r="E1917" s="14">
        <v>21967.79</v>
      </c>
      <c r="F1917" s="15">
        <v>44553</v>
      </c>
      <c r="G1917" s="15">
        <v>45163</v>
      </c>
      <c r="H1917" s="14" t="s">
        <v>3894</v>
      </c>
      <c r="I1917" s="14" t="s">
        <v>3365</v>
      </c>
      <c r="J1917" s="13" t="str" cm="1">
        <f t="array" ref="J1917">_xlfn.IFS(
  OR(ISBLANK(A1917),ISBLANK(B1917),ISBLANK(H1917),ISBLANK(D1917),ISBLANK(E1917)),"Missing Value",
  D1917&lt;=0,"Review – Out of Range (Coverage)",
  E1917&lt;=0,"Review – Out of Range (Premium)",
  TRUE,"OK"
)</f>
        <v>OK</v>
      </c>
    </row>
    <row r="1918" spans="1:10" ht="16.8" x14ac:dyDescent="0.3">
      <c r="A1918" s="11" t="s">
        <v>5580</v>
      </c>
      <c r="B1918" s="11" t="s">
        <v>278</v>
      </c>
      <c r="C1918" s="11" t="s">
        <v>3363</v>
      </c>
      <c r="D1918" s="11">
        <v>695034.88</v>
      </c>
      <c r="E1918" s="11">
        <v>34052.47</v>
      </c>
      <c r="F1918" s="12">
        <v>45444</v>
      </c>
      <c r="G1918" s="12">
        <v>45482</v>
      </c>
      <c r="H1918" s="11" t="s">
        <v>3892</v>
      </c>
      <c r="I1918" s="11" t="s">
        <v>3365</v>
      </c>
      <c r="J1918" s="13" t="str" cm="1">
        <f t="array" ref="J1918">_xlfn.IFS(
  OR(ISBLANK(A1918),ISBLANK(B1918),ISBLANK(H1918),ISBLANK(D1918),ISBLANK(E1918)),"Missing Value",
  D1918&lt;=0,"Review – Out of Range (Coverage)",
  E1918&lt;=0,"Review – Out of Range (Premium)",
  TRUE,"OK"
)</f>
        <v>OK</v>
      </c>
    </row>
    <row r="1919" spans="1:10" ht="16.8" x14ac:dyDescent="0.3">
      <c r="A1919" s="14" t="s">
        <v>5581</v>
      </c>
      <c r="B1919" s="14" t="s">
        <v>2925</v>
      </c>
      <c r="C1919" s="14" t="s">
        <v>3371</v>
      </c>
      <c r="D1919" s="14">
        <v>557210.98</v>
      </c>
      <c r="E1919" s="14">
        <v>9462.14</v>
      </c>
      <c r="F1919" s="15">
        <v>44584</v>
      </c>
      <c r="G1919" s="15">
        <v>44654</v>
      </c>
      <c r="H1919" s="14" t="s">
        <v>3526</v>
      </c>
      <c r="I1919" s="14" t="s">
        <v>3373</v>
      </c>
      <c r="J1919" s="13" t="str" cm="1">
        <f t="array" ref="J1919">_xlfn.IFS(
  OR(ISBLANK(A1919),ISBLANK(B1919),ISBLANK(H1919),ISBLANK(D1919),ISBLANK(E1919)),"Missing Value",
  D1919&lt;=0,"Review – Out of Range (Coverage)",
  E1919&lt;=0,"Review – Out of Range (Premium)",
  TRUE,"OK"
)</f>
        <v>OK</v>
      </c>
    </row>
    <row r="1920" spans="1:10" ht="16.8" x14ac:dyDescent="0.3">
      <c r="A1920" s="11" t="s">
        <v>5582</v>
      </c>
      <c r="B1920" s="11" t="s">
        <v>3140</v>
      </c>
      <c r="C1920" s="11" t="s">
        <v>3363</v>
      </c>
      <c r="D1920" s="11">
        <v>551630.87</v>
      </c>
      <c r="E1920" s="11">
        <v>22411.67</v>
      </c>
      <c r="F1920" s="12">
        <v>45129</v>
      </c>
      <c r="G1920" s="12">
        <v>45609</v>
      </c>
      <c r="H1920" s="11" t="s">
        <v>3731</v>
      </c>
      <c r="I1920" s="11" t="s">
        <v>3361</v>
      </c>
      <c r="J1920" s="13" t="str" cm="1">
        <f t="array" ref="J1920">_xlfn.IFS(
  OR(ISBLANK(A1920),ISBLANK(B1920),ISBLANK(H1920),ISBLANK(D1920),ISBLANK(E1920)),"Missing Value",
  D1920&lt;=0,"Review – Out of Range (Coverage)",
  E1920&lt;=0,"Review – Out of Range (Premium)",
  TRUE,"OK"
)</f>
        <v>OK</v>
      </c>
    </row>
    <row r="1921" spans="1:10" ht="16.8" x14ac:dyDescent="0.3">
      <c r="A1921" s="14" t="s">
        <v>5583</v>
      </c>
      <c r="B1921" s="14" t="s">
        <v>1013</v>
      </c>
      <c r="C1921" s="14" t="s">
        <v>3377</v>
      </c>
      <c r="D1921" s="14">
        <v>807818.37</v>
      </c>
      <c r="E1921" s="14">
        <v>31956.5</v>
      </c>
      <c r="F1921" s="15">
        <v>44867</v>
      </c>
      <c r="G1921" s="15">
        <v>45443</v>
      </c>
      <c r="H1921" s="14" t="s">
        <v>3381</v>
      </c>
      <c r="I1921" s="14" t="s">
        <v>3365</v>
      </c>
      <c r="J1921" s="13" t="str" cm="1">
        <f t="array" ref="J1921">_xlfn.IFS(
  OR(ISBLANK(A1921),ISBLANK(B1921),ISBLANK(H1921),ISBLANK(D1921),ISBLANK(E1921)),"Missing Value",
  D1921&lt;=0,"Review – Out of Range (Coverage)",
  E1921&lt;=0,"Review – Out of Range (Premium)",
  TRUE,"OK"
)</f>
        <v>OK</v>
      </c>
    </row>
    <row r="1922" spans="1:10" ht="16.8" x14ac:dyDescent="0.3">
      <c r="A1922" s="11" t="s">
        <v>5584</v>
      </c>
      <c r="B1922" s="11" t="s">
        <v>2291</v>
      </c>
      <c r="C1922" s="11" t="s">
        <v>3377</v>
      </c>
      <c r="D1922" s="11">
        <v>600799.42000000004</v>
      </c>
      <c r="E1922" s="11">
        <v>12516.74</v>
      </c>
      <c r="F1922" s="12">
        <v>45183</v>
      </c>
      <c r="G1922" s="12">
        <v>45437</v>
      </c>
      <c r="H1922" s="11" t="s">
        <v>3372</v>
      </c>
      <c r="I1922" s="11" t="s">
        <v>3373</v>
      </c>
      <c r="J1922" s="13" t="str" cm="1">
        <f t="array" ref="J1922">_xlfn.IFS(
  OR(ISBLANK(A1922),ISBLANK(B1922),ISBLANK(H1922),ISBLANK(D1922),ISBLANK(E1922)),"Missing Value",
  D1922&lt;=0,"Review – Out of Range (Coverage)",
  E1922&lt;=0,"Review – Out of Range (Premium)",
  TRUE,"OK"
)</f>
        <v>OK</v>
      </c>
    </row>
    <row r="1923" spans="1:10" ht="16.8" x14ac:dyDescent="0.3">
      <c r="A1923" s="14" t="s">
        <v>5585</v>
      </c>
      <c r="B1923" s="14" t="s">
        <v>3342</v>
      </c>
      <c r="C1923" s="14" t="s">
        <v>3363</v>
      </c>
      <c r="D1923" s="14">
        <v>524414.18000000005</v>
      </c>
      <c r="E1923" s="14">
        <v>44546.78</v>
      </c>
      <c r="F1923" s="15">
        <v>45318</v>
      </c>
      <c r="G1923" s="15">
        <v>45501</v>
      </c>
      <c r="H1923" s="14" t="s">
        <v>3369</v>
      </c>
      <c r="I1923" s="14" t="s">
        <v>3373</v>
      </c>
      <c r="J1923" s="13" t="str" cm="1">
        <f t="array" ref="J1923">_xlfn.IFS(
  OR(ISBLANK(A1923),ISBLANK(B1923),ISBLANK(H1923),ISBLANK(D1923),ISBLANK(E1923)),"Missing Value",
  D1923&lt;=0,"Review – Out of Range (Coverage)",
  E1923&lt;=0,"Review – Out of Range (Premium)",
  TRUE,"OK"
)</f>
        <v>OK</v>
      </c>
    </row>
    <row r="1924" spans="1:10" ht="16.8" x14ac:dyDescent="0.3">
      <c r="A1924" s="11" t="s">
        <v>5586</v>
      </c>
      <c r="B1924" s="11" t="s">
        <v>537</v>
      </c>
      <c r="C1924" s="11" t="s">
        <v>3359</v>
      </c>
      <c r="D1924" s="11">
        <v>567498.27</v>
      </c>
      <c r="E1924" s="11">
        <v>31695.31</v>
      </c>
      <c r="F1924" s="12">
        <v>44877</v>
      </c>
      <c r="G1924" s="12">
        <v>45540</v>
      </c>
      <c r="H1924" s="11" t="s">
        <v>3735</v>
      </c>
      <c r="I1924" s="11" t="s">
        <v>3361</v>
      </c>
      <c r="J1924" s="13" t="str" cm="1">
        <f t="array" ref="J1924">_xlfn.IFS(
  OR(ISBLANK(A1924),ISBLANK(B1924),ISBLANK(H1924),ISBLANK(D1924),ISBLANK(E1924)),"Missing Value",
  D1924&lt;=0,"Review – Out of Range (Coverage)",
  E1924&lt;=0,"Review – Out of Range (Premium)",
  TRUE,"OK"
)</f>
        <v>OK</v>
      </c>
    </row>
    <row r="1925" spans="1:10" ht="16.8" x14ac:dyDescent="0.3">
      <c r="A1925" s="14" t="s">
        <v>5587</v>
      </c>
      <c r="B1925" s="14" t="s">
        <v>2251</v>
      </c>
      <c r="C1925" s="14" t="s">
        <v>3363</v>
      </c>
      <c r="D1925" s="14">
        <v>379861.24</v>
      </c>
      <c r="E1925" s="14">
        <v>35063.42</v>
      </c>
      <c r="F1925" s="15">
        <v>45117</v>
      </c>
      <c r="G1925" s="15">
        <v>45560</v>
      </c>
      <c r="H1925" s="14" t="s">
        <v>3397</v>
      </c>
      <c r="I1925" s="14" t="s">
        <v>3365</v>
      </c>
      <c r="J1925" s="13" t="str" cm="1">
        <f t="array" ref="J1925">_xlfn.IFS(
  OR(ISBLANK(A1925),ISBLANK(B1925),ISBLANK(H1925),ISBLANK(D1925),ISBLANK(E1925)),"Missing Value",
  D1925&lt;=0,"Review – Out of Range (Coverage)",
  E1925&lt;=0,"Review – Out of Range (Premium)",
  TRUE,"OK"
)</f>
        <v>OK</v>
      </c>
    </row>
    <row r="1926" spans="1:10" ht="16.8" x14ac:dyDescent="0.3">
      <c r="A1926" s="11" t="s">
        <v>5588</v>
      </c>
      <c r="B1926" s="11" t="s">
        <v>2423</v>
      </c>
      <c r="C1926" s="11" t="s">
        <v>3363</v>
      </c>
      <c r="D1926" s="11">
        <v>266461.34000000003</v>
      </c>
      <c r="E1926" s="11">
        <v>31845.47</v>
      </c>
      <c r="F1926" s="12">
        <v>45254</v>
      </c>
      <c r="G1926" s="12">
        <v>45605</v>
      </c>
      <c r="H1926" s="11" t="s">
        <v>3746</v>
      </c>
      <c r="I1926" s="11" t="s">
        <v>3361</v>
      </c>
      <c r="J1926" s="13" t="str" cm="1">
        <f t="array" ref="J1926">_xlfn.IFS(
  OR(ISBLANK(A1926),ISBLANK(B1926),ISBLANK(H1926),ISBLANK(D1926),ISBLANK(E1926)),"Missing Value",
  D1926&lt;=0,"Review – Out of Range (Coverage)",
  E1926&lt;=0,"Review – Out of Range (Premium)",
  TRUE,"OK"
)</f>
        <v>OK</v>
      </c>
    </row>
    <row r="1927" spans="1:10" ht="16.8" x14ac:dyDescent="0.3">
      <c r="A1927" s="14" t="s">
        <v>5589</v>
      </c>
      <c r="B1927" s="14" t="s">
        <v>1467</v>
      </c>
      <c r="C1927" s="14" t="s">
        <v>3359</v>
      </c>
      <c r="D1927" s="14">
        <v>500331.75</v>
      </c>
      <c r="E1927" s="14">
        <v>44907.57</v>
      </c>
      <c r="F1927" s="15">
        <v>44814</v>
      </c>
      <c r="G1927" s="15">
        <v>44899</v>
      </c>
      <c r="H1927" s="14" t="s">
        <v>3367</v>
      </c>
      <c r="I1927" s="14" t="s">
        <v>3365</v>
      </c>
      <c r="J1927" s="13" t="str" cm="1">
        <f t="array" ref="J1927">_xlfn.IFS(
  OR(ISBLANK(A1927),ISBLANK(B1927),ISBLANK(H1927),ISBLANK(D1927),ISBLANK(E1927)),"Missing Value",
  D1927&lt;=0,"Review – Out of Range (Coverage)",
  E1927&lt;=0,"Review – Out of Range (Premium)",
  TRUE,"OK"
)</f>
        <v>OK</v>
      </c>
    </row>
    <row r="1928" spans="1:10" ht="16.8" x14ac:dyDescent="0.3">
      <c r="A1928" s="11" t="s">
        <v>5590</v>
      </c>
      <c r="B1928" s="11" t="s">
        <v>913</v>
      </c>
      <c r="C1928" s="11" t="s">
        <v>3363</v>
      </c>
      <c r="D1928" s="11">
        <v>473963.13</v>
      </c>
      <c r="E1928" s="11">
        <v>29672.35</v>
      </c>
      <c r="F1928" s="12">
        <v>44669</v>
      </c>
      <c r="G1928" s="12">
        <v>45458</v>
      </c>
      <c r="H1928" s="11" t="s">
        <v>3595</v>
      </c>
      <c r="I1928" s="11" t="s">
        <v>3373</v>
      </c>
      <c r="J1928" s="13" t="str" cm="1">
        <f t="array" ref="J1928">_xlfn.IFS(
  OR(ISBLANK(A1928),ISBLANK(B1928),ISBLANK(H1928),ISBLANK(D1928),ISBLANK(E1928)),"Missing Value",
  D1928&lt;=0,"Review – Out of Range (Coverage)",
  E1928&lt;=0,"Review – Out of Range (Premium)",
  TRUE,"OK"
)</f>
        <v>OK</v>
      </c>
    </row>
    <row r="1929" spans="1:10" ht="16.8" x14ac:dyDescent="0.3">
      <c r="A1929" s="14" t="s">
        <v>5591</v>
      </c>
      <c r="B1929" s="14" t="s">
        <v>3306</v>
      </c>
      <c r="C1929" s="14" t="s">
        <v>3380</v>
      </c>
      <c r="D1929" s="14">
        <v>959857</v>
      </c>
      <c r="E1929" s="14">
        <v>40284.76</v>
      </c>
      <c r="F1929" s="15">
        <v>45421</v>
      </c>
      <c r="G1929" s="15">
        <v>45685</v>
      </c>
      <c r="H1929" s="14" t="s">
        <v>3740</v>
      </c>
      <c r="I1929" s="14" t="s">
        <v>3373</v>
      </c>
      <c r="J1929" s="13" t="str" cm="1">
        <f t="array" ref="J1929">_xlfn.IFS(
  OR(ISBLANK(A1929),ISBLANK(B1929),ISBLANK(H1929),ISBLANK(D1929),ISBLANK(E1929)),"Missing Value",
  D1929&lt;=0,"Review – Out of Range (Coverage)",
  E1929&lt;=0,"Review – Out of Range (Premium)",
  TRUE,"OK"
)</f>
        <v>OK</v>
      </c>
    </row>
    <row r="1930" spans="1:10" ht="16.8" x14ac:dyDescent="0.3">
      <c r="A1930" s="11" t="s">
        <v>5592</v>
      </c>
      <c r="B1930" s="11" t="s">
        <v>392</v>
      </c>
      <c r="C1930" s="11" t="s">
        <v>3377</v>
      </c>
      <c r="D1930" s="11">
        <v>162104.09</v>
      </c>
      <c r="E1930" s="11">
        <v>34283.29</v>
      </c>
      <c r="F1930" s="12">
        <v>45257</v>
      </c>
      <c r="G1930" s="12">
        <v>45838</v>
      </c>
      <c r="H1930" s="11" t="s">
        <v>3451</v>
      </c>
      <c r="I1930" s="11" t="s">
        <v>3365</v>
      </c>
      <c r="J1930" s="13" t="str" cm="1">
        <f t="array" ref="J1930">_xlfn.IFS(
  OR(ISBLANK(A1930),ISBLANK(B1930),ISBLANK(H1930),ISBLANK(D1930),ISBLANK(E1930)),"Missing Value",
  D1930&lt;=0,"Review – Out of Range (Coverage)",
  E1930&lt;=0,"Review – Out of Range (Premium)",
  TRUE,"OK"
)</f>
        <v>OK</v>
      </c>
    </row>
    <row r="1931" spans="1:10" ht="16.8" x14ac:dyDescent="0.3">
      <c r="A1931" s="14" t="s">
        <v>5593</v>
      </c>
      <c r="B1931" s="14" t="s">
        <v>486</v>
      </c>
      <c r="C1931" s="14" t="s">
        <v>3359</v>
      </c>
      <c r="D1931" s="14">
        <v>292403.39</v>
      </c>
      <c r="E1931" s="14">
        <v>16170.6</v>
      </c>
      <c r="F1931" s="15">
        <v>44852</v>
      </c>
      <c r="G1931" s="15">
        <v>45575</v>
      </c>
      <c r="H1931" s="14" t="s">
        <v>3822</v>
      </c>
      <c r="I1931" s="14" t="s">
        <v>3361</v>
      </c>
      <c r="J1931" s="13" t="str" cm="1">
        <f t="array" ref="J1931">_xlfn.IFS(
  OR(ISBLANK(A1931),ISBLANK(B1931),ISBLANK(H1931),ISBLANK(D1931),ISBLANK(E1931)),"Missing Value",
  D1931&lt;=0,"Review – Out of Range (Coverage)",
  E1931&lt;=0,"Review – Out of Range (Premium)",
  TRUE,"OK"
)</f>
        <v>OK</v>
      </c>
    </row>
    <row r="1932" spans="1:10" ht="16.8" x14ac:dyDescent="0.3">
      <c r="A1932" s="11" t="s">
        <v>5594</v>
      </c>
      <c r="B1932" s="11" t="s">
        <v>160</v>
      </c>
      <c r="C1932" s="11" t="s">
        <v>3363</v>
      </c>
      <c r="D1932" s="11">
        <v>435081.69</v>
      </c>
      <c r="E1932" s="11">
        <v>41392.480000000003</v>
      </c>
      <c r="F1932" s="12">
        <v>45178</v>
      </c>
      <c r="G1932" s="12">
        <v>45819</v>
      </c>
      <c r="H1932" s="11" t="s">
        <v>5148</v>
      </c>
      <c r="I1932" s="11" t="s">
        <v>3365</v>
      </c>
      <c r="J1932" s="13" t="str" cm="1">
        <f t="array" ref="J1932">_xlfn.IFS(
  OR(ISBLANK(A1932),ISBLANK(B1932),ISBLANK(H1932),ISBLANK(D1932),ISBLANK(E1932)),"Missing Value",
  D1932&lt;=0,"Review – Out of Range (Coverage)",
  E1932&lt;=0,"Review – Out of Range (Premium)",
  TRUE,"OK"
)</f>
        <v>OK</v>
      </c>
    </row>
    <row r="1933" spans="1:10" ht="16.8" x14ac:dyDescent="0.3">
      <c r="A1933" s="14" t="s">
        <v>5595</v>
      </c>
      <c r="B1933" s="14" t="s">
        <v>889</v>
      </c>
      <c r="C1933" s="14" t="s">
        <v>3380</v>
      </c>
      <c r="D1933" s="14">
        <v>477773.16</v>
      </c>
      <c r="E1933" s="14">
        <v>12919.35</v>
      </c>
      <c r="F1933" s="15">
        <v>44571</v>
      </c>
      <c r="G1933" s="15">
        <v>45205</v>
      </c>
      <c r="H1933" s="14" t="s">
        <v>3781</v>
      </c>
      <c r="I1933" s="14" t="s">
        <v>3361</v>
      </c>
      <c r="J1933" s="13" t="str" cm="1">
        <f t="array" ref="J1933">_xlfn.IFS(
  OR(ISBLANK(A1933),ISBLANK(B1933),ISBLANK(H1933),ISBLANK(D1933),ISBLANK(E1933)),"Missing Value",
  D1933&lt;=0,"Review – Out of Range (Coverage)",
  E1933&lt;=0,"Review – Out of Range (Premium)",
  TRUE,"OK"
)</f>
        <v>OK</v>
      </c>
    </row>
    <row r="1934" spans="1:10" ht="16.8" x14ac:dyDescent="0.3">
      <c r="A1934" s="11" t="s">
        <v>5596</v>
      </c>
      <c r="B1934" s="11" t="s">
        <v>2085</v>
      </c>
      <c r="C1934" s="11" t="s">
        <v>3380</v>
      </c>
      <c r="D1934" s="11">
        <v>580370.55000000005</v>
      </c>
      <c r="E1934" s="11">
        <v>15243.69</v>
      </c>
      <c r="F1934" s="12">
        <v>45369</v>
      </c>
      <c r="G1934" s="12">
        <v>45419</v>
      </c>
      <c r="H1934" s="11" t="s">
        <v>3397</v>
      </c>
      <c r="I1934" s="11" t="s">
        <v>3373</v>
      </c>
      <c r="J1934" s="13" t="str" cm="1">
        <f t="array" ref="J1934">_xlfn.IFS(
  OR(ISBLANK(A1934),ISBLANK(B1934),ISBLANK(H1934),ISBLANK(D1934),ISBLANK(E1934)),"Missing Value",
  D1934&lt;=0,"Review – Out of Range (Coverage)",
  E1934&lt;=0,"Review – Out of Range (Premium)",
  TRUE,"OK"
)</f>
        <v>OK</v>
      </c>
    </row>
    <row r="1935" spans="1:10" ht="16.8" x14ac:dyDescent="0.3">
      <c r="A1935" s="14" t="s">
        <v>5597</v>
      </c>
      <c r="B1935" s="14" t="s">
        <v>1653</v>
      </c>
      <c r="C1935" s="14" t="s">
        <v>3371</v>
      </c>
      <c r="D1935" s="14">
        <v>592809.93000000005</v>
      </c>
      <c r="E1935" s="14">
        <v>38439.82</v>
      </c>
      <c r="F1935" s="15">
        <v>44900</v>
      </c>
      <c r="G1935" s="15">
        <v>45100</v>
      </c>
      <c r="H1935" s="14" t="s">
        <v>3605</v>
      </c>
      <c r="I1935" s="14" t="s">
        <v>3361</v>
      </c>
      <c r="J1935" s="13" t="str" cm="1">
        <f t="array" ref="J1935">_xlfn.IFS(
  OR(ISBLANK(A1935),ISBLANK(B1935),ISBLANK(H1935),ISBLANK(D1935),ISBLANK(E1935)),"Missing Value",
  D1935&lt;=0,"Review – Out of Range (Coverage)",
  E1935&lt;=0,"Review – Out of Range (Premium)",
  TRUE,"OK"
)</f>
        <v>OK</v>
      </c>
    </row>
    <row r="1936" spans="1:10" ht="16.8" x14ac:dyDescent="0.3">
      <c r="A1936" s="11" t="s">
        <v>5598</v>
      </c>
      <c r="B1936" s="11" t="s">
        <v>2377</v>
      </c>
      <c r="C1936" s="11" t="s">
        <v>3377</v>
      </c>
      <c r="D1936" s="11">
        <v>514873.42</v>
      </c>
      <c r="E1936" s="11">
        <v>4654.49</v>
      </c>
      <c r="F1936" s="12">
        <v>44445</v>
      </c>
      <c r="G1936" s="12">
        <v>44945</v>
      </c>
      <c r="H1936" s="11" t="s">
        <v>3658</v>
      </c>
      <c r="I1936" s="11" t="s">
        <v>3361</v>
      </c>
      <c r="J1936" s="13" t="str" cm="1">
        <f t="array" ref="J1936">_xlfn.IFS(
  OR(ISBLANK(A1936),ISBLANK(B1936),ISBLANK(H1936),ISBLANK(D1936),ISBLANK(E1936)),"Missing Value",
  D1936&lt;=0,"Review – Out of Range (Coverage)",
  E1936&lt;=0,"Review – Out of Range (Premium)",
  TRUE,"OK"
)</f>
        <v>OK</v>
      </c>
    </row>
    <row r="1937" spans="1:10" ht="16.8" x14ac:dyDescent="0.3">
      <c r="A1937" s="14" t="s">
        <v>5599</v>
      </c>
      <c r="B1937" s="14" t="s">
        <v>2165</v>
      </c>
      <c r="C1937" s="14" t="s">
        <v>3363</v>
      </c>
      <c r="D1937" s="14">
        <v>457763.09</v>
      </c>
      <c r="E1937" s="14">
        <v>26110.6</v>
      </c>
      <c r="F1937" s="15">
        <v>45442</v>
      </c>
      <c r="G1937" s="15">
        <v>45459</v>
      </c>
      <c r="H1937" s="14" t="s">
        <v>3603</v>
      </c>
      <c r="I1937" s="14" t="s">
        <v>3361</v>
      </c>
      <c r="J1937" s="13" t="str" cm="1">
        <f t="array" ref="J1937">_xlfn.IFS(
  OR(ISBLANK(A1937),ISBLANK(B1937),ISBLANK(H1937),ISBLANK(D1937),ISBLANK(E1937)),"Missing Value",
  D1937&lt;=0,"Review – Out of Range (Coverage)",
  E1937&lt;=0,"Review – Out of Range (Premium)",
  TRUE,"OK"
)</f>
        <v>OK</v>
      </c>
    </row>
    <row r="1938" spans="1:10" ht="16.8" x14ac:dyDescent="0.3">
      <c r="A1938" s="11" t="s">
        <v>5600</v>
      </c>
      <c r="B1938" s="11" t="s">
        <v>1929</v>
      </c>
      <c r="C1938" s="11" t="s">
        <v>3380</v>
      </c>
      <c r="D1938" s="11">
        <v>838865</v>
      </c>
      <c r="E1938" s="11">
        <v>25909.48</v>
      </c>
      <c r="F1938" s="12">
        <v>45310</v>
      </c>
      <c r="G1938" s="12">
        <v>45786</v>
      </c>
      <c r="H1938" s="11" t="s">
        <v>4187</v>
      </c>
      <c r="I1938" s="11" t="s">
        <v>3373</v>
      </c>
      <c r="J1938" s="13" t="str" cm="1">
        <f t="array" ref="J1938">_xlfn.IFS(
  OR(ISBLANK(A1938),ISBLANK(B1938),ISBLANK(H1938),ISBLANK(D1938),ISBLANK(E1938)),"Missing Value",
  D1938&lt;=0,"Review – Out of Range (Coverage)",
  E1938&lt;=0,"Review – Out of Range (Premium)",
  TRUE,"OK"
)</f>
        <v>OK</v>
      </c>
    </row>
    <row r="1939" spans="1:10" ht="16.8" x14ac:dyDescent="0.3">
      <c r="A1939" s="14" t="s">
        <v>5601</v>
      </c>
      <c r="B1939" s="14" t="s">
        <v>2329</v>
      </c>
      <c r="C1939" s="14" t="s">
        <v>3371</v>
      </c>
      <c r="D1939" s="14">
        <v>798398.24</v>
      </c>
      <c r="E1939" s="14">
        <v>37993.29</v>
      </c>
      <c r="F1939" s="15">
        <v>45218</v>
      </c>
      <c r="G1939" s="15">
        <v>45244</v>
      </c>
      <c r="H1939" s="14" t="s">
        <v>3675</v>
      </c>
      <c r="I1939" s="14" t="s">
        <v>3373</v>
      </c>
      <c r="J1939" s="13" t="str" cm="1">
        <f t="array" ref="J1939">_xlfn.IFS(
  OR(ISBLANK(A1939),ISBLANK(B1939),ISBLANK(H1939),ISBLANK(D1939),ISBLANK(E1939)),"Missing Value",
  D1939&lt;=0,"Review – Out of Range (Coverage)",
  E1939&lt;=0,"Review – Out of Range (Premium)",
  TRUE,"OK"
)</f>
        <v>OK</v>
      </c>
    </row>
    <row r="1940" spans="1:10" ht="16.8" x14ac:dyDescent="0.3">
      <c r="A1940" s="11" t="s">
        <v>5602</v>
      </c>
      <c r="B1940" s="11" t="s">
        <v>154</v>
      </c>
      <c r="C1940" s="11" t="s">
        <v>3359</v>
      </c>
      <c r="D1940" s="11">
        <v>164750.41</v>
      </c>
      <c r="E1940" s="11">
        <v>31117.37</v>
      </c>
      <c r="F1940" s="12">
        <v>44113</v>
      </c>
      <c r="G1940" s="12">
        <v>45850</v>
      </c>
      <c r="H1940" s="11" t="s">
        <v>3928</v>
      </c>
      <c r="I1940" s="11" t="s">
        <v>3373</v>
      </c>
      <c r="J1940" s="13" t="str" cm="1">
        <f t="array" ref="J1940">_xlfn.IFS(
  OR(ISBLANK(A1940),ISBLANK(B1940),ISBLANK(H1940),ISBLANK(D1940),ISBLANK(E1940)),"Missing Value",
  D1940&lt;=0,"Review – Out of Range (Coverage)",
  E1940&lt;=0,"Review – Out of Range (Premium)",
  TRUE,"OK"
)</f>
        <v>OK</v>
      </c>
    </row>
    <row r="1941" spans="1:10" ht="16.8" x14ac:dyDescent="0.3">
      <c r="A1941" s="14" t="s">
        <v>5603</v>
      </c>
      <c r="B1941" s="14" t="s">
        <v>2877</v>
      </c>
      <c r="C1941" s="14" t="s">
        <v>3377</v>
      </c>
      <c r="D1941" s="14">
        <v>103320.83</v>
      </c>
      <c r="E1941" s="14">
        <v>41079.51</v>
      </c>
      <c r="F1941" s="15">
        <v>44143</v>
      </c>
      <c r="G1941" s="15">
        <v>45741</v>
      </c>
      <c r="H1941" s="14" t="s">
        <v>4116</v>
      </c>
      <c r="I1941" s="14" t="s">
        <v>3373</v>
      </c>
      <c r="J1941" s="13" t="str" cm="1">
        <f t="array" ref="J1941">_xlfn.IFS(
  OR(ISBLANK(A1941),ISBLANK(B1941),ISBLANK(H1941),ISBLANK(D1941),ISBLANK(E1941)),"Missing Value",
  D1941&lt;=0,"Review – Out of Range (Coverage)",
  E1941&lt;=0,"Review – Out of Range (Premium)",
  TRUE,"OK"
)</f>
        <v>OK</v>
      </c>
    </row>
    <row r="1942" spans="1:10" ht="16.8" x14ac:dyDescent="0.3">
      <c r="A1942" s="11" t="s">
        <v>5604</v>
      </c>
      <c r="B1942" s="11" t="s">
        <v>1143</v>
      </c>
      <c r="C1942" s="11" t="s">
        <v>3359</v>
      </c>
      <c r="D1942" s="11">
        <v>474105.91</v>
      </c>
      <c r="E1942" s="11">
        <v>24577.35</v>
      </c>
      <c r="F1942" s="12">
        <v>44761</v>
      </c>
      <c r="G1942" s="12">
        <v>45336</v>
      </c>
      <c r="H1942" s="11" t="s">
        <v>3698</v>
      </c>
      <c r="I1942" s="11" t="s">
        <v>3373</v>
      </c>
      <c r="J1942" s="13" t="str" cm="1">
        <f t="array" ref="J1942">_xlfn.IFS(
  OR(ISBLANK(A1942),ISBLANK(B1942),ISBLANK(H1942),ISBLANK(D1942),ISBLANK(E1942)),"Missing Value",
  D1942&lt;=0,"Review – Out of Range (Coverage)",
  E1942&lt;=0,"Review – Out of Range (Premium)",
  TRUE,"OK"
)</f>
        <v>OK</v>
      </c>
    </row>
    <row r="1943" spans="1:10" ht="16.8" x14ac:dyDescent="0.3">
      <c r="A1943" s="14" t="s">
        <v>5605</v>
      </c>
      <c r="B1943" s="14" t="s">
        <v>3018</v>
      </c>
      <c r="C1943" s="14" t="s">
        <v>3380</v>
      </c>
      <c r="D1943" s="14">
        <v>549515.81000000006</v>
      </c>
      <c r="E1943" s="14">
        <v>41426.11</v>
      </c>
      <c r="F1943" s="15">
        <v>44692</v>
      </c>
      <c r="G1943" s="15">
        <v>45325</v>
      </c>
      <c r="H1943" s="14" t="s">
        <v>4076</v>
      </c>
      <c r="I1943" s="14" t="s">
        <v>3361</v>
      </c>
      <c r="J1943" s="13" t="str" cm="1">
        <f t="array" ref="J1943">_xlfn.IFS(
  OR(ISBLANK(A1943),ISBLANK(B1943),ISBLANK(H1943),ISBLANK(D1943),ISBLANK(E1943)),"Missing Value",
  D1943&lt;=0,"Review – Out of Range (Coverage)",
  E1943&lt;=0,"Review – Out of Range (Premium)",
  TRUE,"OK"
)</f>
        <v>OK</v>
      </c>
    </row>
    <row r="1944" spans="1:10" ht="16.8" x14ac:dyDescent="0.3">
      <c r="A1944" s="11" t="s">
        <v>5606</v>
      </c>
      <c r="B1944" s="11" t="s">
        <v>2681</v>
      </c>
      <c r="C1944" s="11" t="s">
        <v>3363</v>
      </c>
      <c r="D1944" s="11">
        <v>436843.44</v>
      </c>
      <c r="E1944" s="11">
        <v>31239.13</v>
      </c>
      <c r="F1944" s="12">
        <v>44604</v>
      </c>
      <c r="G1944" s="12">
        <v>44737</v>
      </c>
      <c r="H1944" s="11" t="s">
        <v>3774</v>
      </c>
      <c r="I1944" s="11" t="s">
        <v>3361</v>
      </c>
      <c r="J1944" s="13" t="str" cm="1">
        <f t="array" ref="J1944">_xlfn.IFS(
  OR(ISBLANK(A1944),ISBLANK(B1944),ISBLANK(H1944),ISBLANK(D1944),ISBLANK(E1944)),"Missing Value",
  D1944&lt;=0,"Review – Out of Range (Coverage)",
  E1944&lt;=0,"Review – Out of Range (Premium)",
  TRUE,"OK"
)</f>
        <v>OK</v>
      </c>
    </row>
    <row r="1945" spans="1:10" ht="16.8" x14ac:dyDescent="0.3">
      <c r="A1945" s="14" t="s">
        <v>5607</v>
      </c>
      <c r="B1945" s="14" t="s">
        <v>2231</v>
      </c>
      <c r="C1945" s="14" t="s">
        <v>3359</v>
      </c>
      <c r="D1945" s="14">
        <v>366494.59</v>
      </c>
      <c r="E1945" s="14">
        <v>5413.02</v>
      </c>
      <c r="F1945" s="15">
        <v>45045</v>
      </c>
      <c r="G1945" s="15">
        <v>45779</v>
      </c>
      <c r="H1945" s="14" t="s">
        <v>3762</v>
      </c>
      <c r="I1945" s="14" t="s">
        <v>3365</v>
      </c>
      <c r="J1945" s="13" t="str" cm="1">
        <f t="array" ref="J1945">_xlfn.IFS(
  OR(ISBLANK(A1945),ISBLANK(B1945),ISBLANK(H1945),ISBLANK(D1945),ISBLANK(E1945)),"Missing Value",
  D1945&lt;=0,"Review – Out of Range (Coverage)",
  E1945&lt;=0,"Review – Out of Range (Premium)",
  TRUE,"OK"
)</f>
        <v>OK</v>
      </c>
    </row>
    <row r="1946" spans="1:10" ht="16.8" x14ac:dyDescent="0.3">
      <c r="A1946" s="11" t="s">
        <v>5608</v>
      </c>
      <c r="B1946" s="11" t="s">
        <v>2561</v>
      </c>
      <c r="C1946" s="11" t="s">
        <v>3377</v>
      </c>
      <c r="D1946" s="11">
        <v>683093.19</v>
      </c>
      <c r="E1946" s="11">
        <v>12687.62</v>
      </c>
      <c r="F1946" s="12">
        <v>45471</v>
      </c>
      <c r="G1946" s="12">
        <v>45826</v>
      </c>
      <c r="H1946" s="11" t="s">
        <v>3914</v>
      </c>
      <c r="I1946" s="11" t="s">
        <v>3361</v>
      </c>
      <c r="J1946" s="13" t="str" cm="1">
        <f t="array" ref="J1946">_xlfn.IFS(
  OR(ISBLANK(A1946),ISBLANK(B1946),ISBLANK(H1946),ISBLANK(D1946),ISBLANK(E1946)),"Missing Value",
  D1946&lt;=0,"Review – Out of Range (Coverage)",
  E1946&lt;=0,"Review – Out of Range (Premium)",
  TRUE,"OK"
)</f>
        <v>OK</v>
      </c>
    </row>
    <row r="1947" spans="1:10" ht="16.8" x14ac:dyDescent="0.3">
      <c r="A1947" s="14" t="s">
        <v>5609</v>
      </c>
      <c r="B1947" s="14" t="s">
        <v>2525</v>
      </c>
      <c r="C1947" s="14" t="s">
        <v>3363</v>
      </c>
      <c r="D1947" s="14">
        <v>444780.7</v>
      </c>
      <c r="E1947" s="14">
        <v>5317.48</v>
      </c>
      <c r="F1947" s="15">
        <v>45189</v>
      </c>
      <c r="G1947" s="15">
        <v>45688</v>
      </c>
      <c r="H1947" s="14" t="s">
        <v>3689</v>
      </c>
      <c r="I1947" s="14" t="s">
        <v>3373</v>
      </c>
      <c r="J1947" s="13" t="str" cm="1">
        <f t="array" ref="J1947">_xlfn.IFS(
  OR(ISBLANK(A1947),ISBLANK(B1947),ISBLANK(H1947),ISBLANK(D1947),ISBLANK(E1947)),"Missing Value",
  D1947&lt;=0,"Review – Out of Range (Coverage)",
  E1947&lt;=0,"Review – Out of Range (Premium)",
  TRUE,"OK"
)</f>
        <v>OK</v>
      </c>
    </row>
    <row r="1948" spans="1:10" ht="16.8" x14ac:dyDescent="0.3">
      <c r="A1948" s="11" t="s">
        <v>5610</v>
      </c>
      <c r="B1948" s="11" t="s">
        <v>3306</v>
      </c>
      <c r="C1948" s="11" t="s">
        <v>3359</v>
      </c>
      <c r="D1948" s="11">
        <v>588104.51</v>
      </c>
      <c r="E1948" s="11">
        <v>27377.96</v>
      </c>
      <c r="F1948" s="12">
        <v>45090</v>
      </c>
      <c r="G1948" s="12">
        <v>45592</v>
      </c>
      <c r="H1948" s="11" t="s">
        <v>3543</v>
      </c>
      <c r="I1948" s="11" t="s">
        <v>3361</v>
      </c>
      <c r="J1948" s="13" t="str" cm="1">
        <f t="array" ref="J1948">_xlfn.IFS(
  OR(ISBLANK(A1948),ISBLANK(B1948),ISBLANK(H1948),ISBLANK(D1948),ISBLANK(E1948)),"Missing Value",
  D1948&lt;=0,"Review – Out of Range (Coverage)",
  E1948&lt;=0,"Review – Out of Range (Premium)",
  TRUE,"OK"
)</f>
        <v>OK</v>
      </c>
    </row>
    <row r="1949" spans="1:10" ht="16.8" x14ac:dyDescent="0.3">
      <c r="A1949" s="14" t="s">
        <v>5611</v>
      </c>
      <c r="B1949" s="14" t="s">
        <v>1647</v>
      </c>
      <c r="C1949" s="14" t="s">
        <v>3371</v>
      </c>
      <c r="D1949" s="14">
        <v>472230.97</v>
      </c>
      <c r="E1949" s="14">
        <v>34636.300000000003</v>
      </c>
      <c r="F1949" s="15">
        <v>45376</v>
      </c>
      <c r="G1949" s="15">
        <v>45861</v>
      </c>
      <c r="H1949" s="14" t="s">
        <v>4410</v>
      </c>
      <c r="I1949" s="14" t="s">
        <v>3365</v>
      </c>
      <c r="J1949" s="13" t="str" cm="1">
        <f t="array" ref="J1949">_xlfn.IFS(
  OR(ISBLANK(A1949),ISBLANK(B1949),ISBLANK(H1949),ISBLANK(D1949),ISBLANK(E1949)),"Missing Value",
  D1949&lt;=0,"Review – Out of Range (Coverage)",
  E1949&lt;=0,"Review – Out of Range (Premium)",
  TRUE,"OK"
)</f>
        <v>OK</v>
      </c>
    </row>
    <row r="1950" spans="1:10" ht="16.8" x14ac:dyDescent="0.3">
      <c r="A1950" s="11" t="s">
        <v>5612</v>
      </c>
      <c r="B1950" s="11" t="s">
        <v>1675</v>
      </c>
      <c r="C1950" s="11" t="s">
        <v>3371</v>
      </c>
      <c r="D1950" s="11">
        <v>803760.35</v>
      </c>
      <c r="E1950" s="11">
        <v>29808.95</v>
      </c>
      <c r="F1950" s="12">
        <v>44901</v>
      </c>
      <c r="G1950" s="12">
        <v>45700</v>
      </c>
      <c r="H1950" s="11" t="s">
        <v>3911</v>
      </c>
      <c r="I1950" s="11" t="s">
        <v>3365</v>
      </c>
      <c r="J1950" s="13" t="str" cm="1">
        <f t="array" ref="J1950">_xlfn.IFS(
  OR(ISBLANK(A1950),ISBLANK(B1950),ISBLANK(H1950),ISBLANK(D1950),ISBLANK(E1950)),"Missing Value",
  D1950&lt;=0,"Review – Out of Range (Coverage)",
  E1950&lt;=0,"Review – Out of Range (Premium)",
  TRUE,"OK"
)</f>
        <v>OK</v>
      </c>
    </row>
    <row r="1951" spans="1:10" ht="16.8" x14ac:dyDescent="0.3">
      <c r="A1951" s="14" t="s">
        <v>5613</v>
      </c>
      <c r="B1951" s="14" t="s">
        <v>2181</v>
      </c>
      <c r="C1951" s="14" t="s">
        <v>3377</v>
      </c>
      <c r="D1951" s="14">
        <v>910798.19</v>
      </c>
      <c r="E1951" s="14">
        <v>6014.78</v>
      </c>
      <c r="F1951" s="15">
        <v>45415</v>
      </c>
      <c r="G1951" s="15">
        <v>45607</v>
      </c>
      <c r="H1951" s="14" t="s">
        <v>3638</v>
      </c>
      <c r="I1951" s="14" t="s">
        <v>3361</v>
      </c>
      <c r="J1951" s="13" t="str" cm="1">
        <f t="array" ref="J1951">_xlfn.IFS(
  OR(ISBLANK(A1951),ISBLANK(B1951),ISBLANK(H1951),ISBLANK(D1951),ISBLANK(E1951)),"Missing Value",
  D1951&lt;=0,"Review – Out of Range (Coverage)",
  E1951&lt;=0,"Review – Out of Range (Premium)",
  TRUE,"OK"
)</f>
        <v>OK</v>
      </c>
    </row>
    <row r="1952" spans="1:10" ht="16.8" x14ac:dyDescent="0.3">
      <c r="A1952" s="11" t="s">
        <v>5614</v>
      </c>
      <c r="B1952" s="11" t="s">
        <v>2387</v>
      </c>
      <c r="C1952" s="11" t="s">
        <v>3380</v>
      </c>
      <c r="D1952" s="11">
        <v>928136.62</v>
      </c>
      <c r="E1952" s="11">
        <v>33093.5</v>
      </c>
      <c r="F1952" s="12">
        <v>44753</v>
      </c>
      <c r="G1952" s="12">
        <v>44856</v>
      </c>
      <c r="H1952" s="11" t="s">
        <v>3469</v>
      </c>
      <c r="I1952" s="11" t="s">
        <v>3365</v>
      </c>
      <c r="J1952" s="13" t="str" cm="1">
        <f t="array" ref="J1952">_xlfn.IFS(
  OR(ISBLANK(A1952),ISBLANK(B1952),ISBLANK(H1952),ISBLANK(D1952),ISBLANK(E1952)),"Missing Value",
  D1952&lt;=0,"Review – Out of Range (Coverage)",
  E1952&lt;=0,"Review – Out of Range (Premium)",
  TRUE,"OK"
)</f>
        <v>OK</v>
      </c>
    </row>
    <row r="1953" spans="1:10" ht="16.8" x14ac:dyDescent="0.3">
      <c r="A1953" s="14" t="s">
        <v>5615</v>
      </c>
      <c r="B1953" s="14" t="s">
        <v>53</v>
      </c>
      <c r="C1953" s="14" t="s">
        <v>3359</v>
      </c>
      <c r="D1953" s="14">
        <v>714539.71</v>
      </c>
      <c r="E1953" s="14">
        <v>28598.01</v>
      </c>
      <c r="F1953" s="15">
        <v>44197</v>
      </c>
      <c r="G1953" s="15">
        <v>45121</v>
      </c>
      <c r="H1953" s="14" t="s">
        <v>3389</v>
      </c>
      <c r="I1953" s="14" t="s">
        <v>3361</v>
      </c>
      <c r="J1953" s="13" t="str" cm="1">
        <f t="array" ref="J1953">_xlfn.IFS(
  OR(ISBLANK(A1953),ISBLANK(B1953),ISBLANK(H1953),ISBLANK(D1953),ISBLANK(E1953)),"Missing Value",
  D1953&lt;=0,"Review – Out of Range (Coverage)",
  E1953&lt;=0,"Review – Out of Range (Premium)",
  TRUE,"OK"
)</f>
        <v>OK</v>
      </c>
    </row>
    <row r="1954" spans="1:10" ht="16.8" x14ac:dyDescent="0.3">
      <c r="A1954" s="11" t="s">
        <v>5616</v>
      </c>
      <c r="B1954" s="11" t="s">
        <v>2629</v>
      </c>
      <c r="C1954" s="11" t="s">
        <v>3359</v>
      </c>
      <c r="D1954" s="11">
        <v>270750.42</v>
      </c>
      <c r="E1954" s="11">
        <v>16081.52</v>
      </c>
      <c r="F1954" s="12">
        <v>44107</v>
      </c>
      <c r="G1954" s="12">
        <v>45237</v>
      </c>
      <c r="H1954" s="11" t="s">
        <v>4766</v>
      </c>
      <c r="I1954" s="11" t="s">
        <v>3365</v>
      </c>
      <c r="J1954" s="13" t="str" cm="1">
        <f t="array" ref="J1954">_xlfn.IFS(
  OR(ISBLANK(A1954),ISBLANK(B1954),ISBLANK(H1954),ISBLANK(D1954),ISBLANK(E1954)),"Missing Value",
  D1954&lt;=0,"Review – Out of Range (Coverage)",
  E1954&lt;=0,"Review – Out of Range (Premium)",
  TRUE,"OK"
)</f>
        <v>OK</v>
      </c>
    </row>
    <row r="1955" spans="1:10" ht="16.8" x14ac:dyDescent="0.3">
      <c r="A1955" s="14" t="s">
        <v>5617</v>
      </c>
      <c r="B1955" s="14" t="s">
        <v>3094</v>
      </c>
      <c r="C1955" s="14" t="s">
        <v>3359</v>
      </c>
      <c r="D1955" s="14">
        <v>241490.41</v>
      </c>
      <c r="E1955" s="14">
        <v>25605.47</v>
      </c>
      <c r="F1955" s="15">
        <v>44828</v>
      </c>
      <c r="G1955" s="15">
        <v>45759</v>
      </c>
      <c r="H1955" s="14" t="s">
        <v>3607</v>
      </c>
      <c r="I1955" s="14" t="s">
        <v>3361</v>
      </c>
      <c r="J1955" s="13" t="str" cm="1">
        <f t="array" ref="J1955">_xlfn.IFS(
  OR(ISBLANK(A1955),ISBLANK(B1955),ISBLANK(H1955),ISBLANK(D1955),ISBLANK(E1955)),"Missing Value",
  D1955&lt;=0,"Review – Out of Range (Coverage)",
  E1955&lt;=0,"Review – Out of Range (Premium)",
  TRUE,"OK"
)</f>
        <v>OK</v>
      </c>
    </row>
    <row r="1956" spans="1:10" ht="16.8" x14ac:dyDescent="0.3">
      <c r="A1956" s="11" t="s">
        <v>5618</v>
      </c>
      <c r="B1956" s="11" t="s">
        <v>1345</v>
      </c>
      <c r="C1956" s="11" t="s">
        <v>3377</v>
      </c>
      <c r="D1956" s="11">
        <v>388155.62</v>
      </c>
      <c r="E1956" s="11">
        <v>5444.23</v>
      </c>
      <c r="F1956" s="12">
        <v>45011</v>
      </c>
      <c r="G1956" s="12">
        <v>45123</v>
      </c>
      <c r="H1956" s="11" t="s">
        <v>4365</v>
      </c>
      <c r="I1956" s="11" t="s">
        <v>3361</v>
      </c>
      <c r="J1956" s="13" t="str" cm="1">
        <f t="array" ref="J1956">_xlfn.IFS(
  OR(ISBLANK(A1956),ISBLANK(B1956),ISBLANK(H1956),ISBLANK(D1956),ISBLANK(E1956)),"Missing Value",
  D1956&lt;=0,"Review – Out of Range (Coverage)",
  E1956&lt;=0,"Review – Out of Range (Premium)",
  TRUE,"OK"
)</f>
        <v>OK</v>
      </c>
    </row>
    <row r="1957" spans="1:10" ht="16.8" x14ac:dyDescent="0.3">
      <c r="A1957" s="14" t="s">
        <v>5619</v>
      </c>
      <c r="B1957" s="14" t="s">
        <v>3260</v>
      </c>
      <c r="C1957" s="14" t="s">
        <v>3359</v>
      </c>
      <c r="D1957" s="14">
        <v>789664</v>
      </c>
      <c r="E1957" s="14">
        <v>9920.17</v>
      </c>
      <c r="F1957" s="15">
        <v>45013</v>
      </c>
      <c r="G1957" s="15">
        <v>45561</v>
      </c>
      <c r="H1957" s="14" t="s">
        <v>4161</v>
      </c>
      <c r="I1957" s="14" t="s">
        <v>3361</v>
      </c>
      <c r="J1957" s="13" t="str" cm="1">
        <f t="array" ref="J1957">_xlfn.IFS(
  OR(ISBLANK(A1957),ISBLANK(B1957),ISBLANK(H1957),ISBLANK(D1957),ISBLANK(E1957)),"Missing Value",
  D1957&lt;=0,"Review – Out of Range (Coverage)",
  E1957&lt;=0,"Review – Out of Range (Premium)",
  TRUE,"OK"
)</f>
        <v>OK</v>
      </c>
    </row>
    <row r="1958" spans="1:10" ht="16.8" x14ac:dyDescent="0.3">
      <c r="A1958" s="11" t="s">
        <v>5620</v>
      </c>
      <c r="B1958" s="11" t="s">
        <v>474</v>
      </c>
      <c r="C1958" s="11" t="s">
        <v>3363</v>
      </c>
      <c r="D1958" s="11">
        <v>729136.49</v>
      </c>
      <c r="E1958" s="11">
        <v>17072.150000000001</v>
      </c>
      <c r="F1958" s="12">
        <v>44373</v>
      </c>
      <c r="G1958" s="12">
        <v>45386</v>
      </c>
      <c r="H1958" s="11" t="s">
        <v>3764</v>
      </c>
      <c r="I1958" s="11" t="s">
        <v>3361</v>
      </c>
      <c r="J1958" s="13" t="str" cm="1">
        <f t="array" ref="J1958">_xlfn.IFS(
  OR(ISBLANK(A1958),ISBLANK(B1958),ISBLANK(H1958),ISBLANK(D1958),ISBLANK(E1958)),"Missing Value",
  D1958&lt;=0,"Review – Out of Range (Coverage)",
  E1958&lt;=0,"Review – Out of Range (Premium)",
  TRUE,"OK"
)</f>
        <v>OK</v>
      </c>
    </row>
    <row r="1959" spans="1:10" ht="16.8" x14ac:dyDescent="0.3">
      <c r="A1959" s="14" t="s">
        <v>5621</v>
      </c>
      <c r="B1959" s="14" t="s">
        <v>869</v>
      </c>
      <c r="C1959" s="14" t="s">
        <v>3371</v>
      </c>
      <c r="D1959" s="14">
        <v>861932.36</v>
      </c>
      <c r="E1959" s="14">
        <v>47880</v>
      </c>
      <c r="F1959" s="15">
        <v>45269</v>
      </c>
      <c r="G1959" s="15">
        <v>45820</v>
      </c>
      <c r="H1959" s="14" t="s">
        <v>3638</v>
      </c>
      <c r="I1959" s="14" t="s">
        <v>3361</v>
      </c>
      <c r="J1959" s="13" t="str" cm="1">
        <f t="array" ref="J1959">_xlfn.IFS(
  OR(ISBLANK(A1959),ISBLANK(B1959),ISBLANK(H1959),ISBLANK(D1959),ISBLANK(E1959)),"Missing Value",
  D1959&lt;=0,"Review – Out of Range (Coverage)",
  E1959&lt;=0,"Review – Out of Range (Premium)",
  TRUE,"OK"
)</f>
        <v>OK</v>
      </c>
    </row>
    <row r="1960" spans="1:10" ht="16.8" x14ac:dyDescent="0.3">
      <c r="A1960" s="11" t="s">
        <v>5622</v>
      </c>
      <c r="B1960" s="11" t="s">
        <v>3034</v>
      </c>
      <c r="C1960" s="11" t="s">
        <v>3359</v>
      </c>
      <c r="D1960" s="11">
        <v>129427.97</v>
      </c>
      <c r="E1960" s="11">
        <v>11410.23</v>
      </c>
      <c r="F1960" s="12">
        <v>44322</v>
      </c>
      <c r="G1960" s="12">
        <v>44602</v>
      </c>
      <c r="H1960" s="11" t="s">
        <v>3389</v>
      </c>
      <c r="I1960" s="11" t="s">
        <v>3373</v>
      </c>
      <c r="J1960" s="13" t="str" cm="1">
        <f t="array" ref="J1960">_xlfn.IFS(
  OR(ISBLANK(A1960),ISBLANK(B1960),ISBLANK(H1960),ISBLANK(D1960),ISBLANK(E1960)),"Missing Value",
  D1960&lt;=0,"Review – Out of Range (Coverage)",
  E1960&lt;=0,"Review – Out of Range (Premium)",
  TRUE,"OK"
)</f>
        <v>OK</v>
      </c>
    </row>
    <row r="1961" spans="1:10" ht="16.8" x14ac:dyDescent="0.3">
      <c r="A1961" s="14" t="s">
        <v>5623</v>
      </c>
      <c r="B1961" s="14" t="s">
        <v>811</v>
      </c>
      <c r="C1961" s="14" t="s">
        <v>3377</v>
      </c>
      <c r="D1961" s="14">
        <v>202730.92</v>
      </c>
      <c r="E1961" s="14">
        <v>7587.06</v>
      </c>
      <c r="F1961" s="15">
        <v>44558</v>
      </c>
      <c r="G1961" s="15">
        <v>45700</v>
      </c>
      <c r="H1961" s="14" t="s">
        <v>3852</v>
      </c>
      <c r="I1961" s="14" t="s">
        <v>3361</v>
      </c>
      <c r="J1961" s="13" t="str" cm="1">
        <f t="array" ref="J1961">_xlfn.IFS(
  OR(ISBLANK(A1961),ISBLANK(B1961),ISBLANK(H1961),ISBLANK(D1961),ISBLANK(E1961)),"Missing Value",
  D1961&lt;=0,"Review – Out of Range (Coverage)",
  E1961&lt;=0,"Review – Out of Range (Premium)",
  TRUE,"OK"
)</f>
        <v>OK</v>
      </c>
    </row>
    <row r="1962" spans="1:10" ht="16.8" x14ac:dyDescent="0.3">
      <c r="A1962" s="11" t="s">
        <v>5624</v>
      </c>
      <c r="B1962" s="11" t="s">
        <v>3318</v>
      </c>
      <c r="C1962" s="11" t="s">
        <v>3363</v>
      </c>
      <c r="D1962" s="11">
        <v>840664.84</v>
      </c>
      <c r="E1962" s="11">
        <v>42117.13</v>
      </c>
      <c r="F1962" s="12">
        <v>44779</v>
      </c>
      <c r="G1962" s="12">
        <v>45316</v>
      </c>
      <c r="H1962" s="11" t="s">
        <v>3813</v>
      </c>
      <c r="I1962" s="11" t="s">
        <v>3365</v>
      </c>
      <c r="J1962" s="13" t="str" cm="1">
        <f t="array" ref="J1962">_xlfn.IFS(
  OR(ISBLANK(A1962),ISBLANK(B1962),ISBLANK(H1962),ISBLANK(D1962),ISBLANK(E1962)),"Missing Value",
  D1962&lt;=0,"Review – Out of Range (Coverage)",
  E1962&lt;=0,"Review – Out of Range (Premium)",
  TRUE,"OK"
)</f>
        <v>OK</v>
      </c>
    </row>
    <row r="1963" spans="1:10" ht="16.8" x14ac:dyDescent="0.3">
      <c r="A1963" s="14" t="s">
        <v>5625</v>
      </c>
      <c r="B1963" s="14" t="s">
        <v>2233</v>
      </c>
      <c r="C1963" s="14" t="s">
        <v>3363</v>
      </c>
      <c r="D1963" s="14">
        <v>208259.43</v>
      </c>
      <c r="E1963" s="14">
        <v>27115.61</v>
      </c>
      <c r="F1963" s="15">
        <v>45089</v>
      </c>
      <c r="G1963" s="15">
        <v>45194</v>
      </c>
      <c r="H1963" s="14" t="s">
        <v>4062</v>
      </c>
      <c r="I1963" s="14" t="s">
        <v>3373</v>
      </c>
      <c r="J1963" s="13" t="str" cm="1">
        <f t="array" ref="J1963">_xlfn.IFS(
  OR(ISBLANK(A1963),ISBLANK(B1963),ISBLANK(H1963),ISBLANK(D1963),ISBLANK(E1963)),"Missing Value",
  D1963&lt;=0,"Review – Out of Range (Coverage)",
  E1963&lt;=0,"Review – Out of Range (Premium)",
  TRUE,"OK"
)</f>
        <v>OK</v>
      </c>
    </row>
    <row r="1964" spans="1:10" ht="16.8" x14ac:dyDescent="0.3">
      <c r="A1964" s="11" t="s">
        <v>5626</v>
      </c>
      <c r="B1964" s="11" t="s">
        <v>2931</v>
      </c>
      <c r="C1964" s="11" t="s">
        <v>3359</v>
      </c>
      <c r="D1964" s="11">
        <v>379178.03</v>
      </c>
      <c r="E1964" s="11">
        <v>8669.9699999999993</v>
      </c>
      <c r="F1964" s="12">
        <v>44664</v>
      </c>
      <c r="G1964" s="12">
        <v>44844</v>
      </c>
      <c r="H1964" s="11" t="s">
        <v>3553</v>
      </c>
      <c r="I1964" s="11" t="s">
        <v>3361</v>
      </c>
      <c r="J1964" s="13" t="str" cm="1">
        <f t="array" ref="J1964">_xlfn.IFS(
  OR(ISBLANK(A1964),ISBLANK(B1964),ISBLANK(H1964),ISBLANK(D1964),ISBLANK(E1964)),"Missing Value",
  D1964&lt;=0,"Review – Out of Range (Coverage)",
  E1964&lt;=0,"Review – Out of Range (Premium)",
  TRUE,"OK"
)</f>
        <v>OK</v>
      </c>
    </row>
    <row r="1965" spans="1:10" ht="16.8" x14ac:dyDescent="0.3">
      <c r="A1965" s="14" t="s">
        <v>5627</v>
      </c>
      <c r="B1965" s="14" t="s">
        <v>679</v>
      </c>
      <c r="C1965" s="14" t="s">
        <v>3377</v>
      </c>
      <c r="D1965" s="14">
        <v>725722.48</v>
      </c>
      <c r="E1965" s="14">
        <v>22499.599999999999</v>
      </c>
      <c r="F1965" s="15">
        <v>45005</v>
      </c>
      <c r="G1965" s="15">
        <v>45520</v>
      </c>
      <c r="H1965" s="14" t="s">
        <v>3687</v>
      </c>
      <c r="I1965" s="14" t="s">
        <v>3373</v>
      </c>
      <c r="J1965" s="13" t="str" cm="1">
        <f t="array" ref="J1965">_xlfn.IFS(
  OR(ISBLANK(A1965),ISBLANK(B1965),ISBLANK(H1965),ISBLANK(D1965),ISBLANK(E1965)),"Missing Value",
  D1965&lt;=0,"Review – Out of Range (Coverage)",
  E1965&lt;=0,"Review – Out of Range (Premium)",
  TRUE,"OK"
)</f>
        <v>OK</v>
      </c>
    </row>
    <row r="1966" spans="1:10" ht="16.8" x14ac:dyDescent="0.3">
      <c r="A1966" s="11" t="s">
        <v>5628</v>
      </c>
      <c r="B1966" s="11" t="s">
        <v>1629</v>
      </c>
      <c r="C1966" s="11" t="s">
        <v>3359</v>
      </c>
      <c r="D1966" s="11">
        <v>914762.34</v>
      </c>
      <c r="E1966" s="11">
        <v>41749.980000000003</v>
      </c>
      <c r="F1966" s="12">
        <v>44847</v>
      </c>
      <c r="G1966" s="12">
        <v>45546</v>
      </c>
      <c r="H1966" s="11" t="s">
        <v>3748</v>
      </c>
      <c r="I1966" s="11" t="s">
        <v>3361</v>
      </c>
      <c r="J1966" s="13" t="str" cm="1">
        <f t="array" ref="J1966">_xlfn.IFS(
  OR(ISBLANK(A1966),ISBLANK(B1966),ISBLANK(H1966),ISBLANK(D1966),ISBLANK(E1966)),"Missing Value",
  D1966&lt;=0,"Review – Out of Range (Coverage)",
  E1966&lt;=0,"Review – Out of Range (Premium)",
  TRUE,"OK"
)</f>
        <v>OK</v>
      </c>
    </row>
    <row r="1967" spans="1:10" ht="16.8" x14ac:dyDescent="0.3">
      <c r="A1967" s="14" t="s">
        <v>5629</v>
      </c>
      <c r="B1967" s="14" t="s">
        <v>1895</v>
      </c>
      <c r="C1967" s="14" t="s">
        <v>3359</v>
      </c>
      <c r="D1967" s="14">
        <v>480012.96</v>
      </c>
      <c r="E1967" s="14">
        <v>32751.13</v>
      </c>
      <c r="F1967" s="15">
        <v>45061</v>
      </c>
      <c r="G1967" s="15">
        <v>45861</v>
      </c>
      <c r="H1967" s="14" t="s">
        <v>3819</v>
      </c>
      <c r="I1967" s="14" t="s">
        <v>3365</v>
      </c>
      <c r="J1967" s="13" t="str" cm="1">
        <f t="array" ref="J1967">_xlfn.IFS(
  OR(ISBLANK(A1967),ISBLANK(B1967),ISBLANK(H1967),ISBLANK(D1967),ISBLANK(E1967)),"Missing Value",
  D1967&lt;=0,"Review – Out of Range (Coverage)",
  E1967&lt;=0,"Review – Out of Range (Premium)",
  TRUE,"OK"
)</f>
        <v>OK</v>
      </c>
    </row>
    <row r="1968" spans="1:10" ht="16.8" x14ac:dyDescent="0.3">
      <c r="A1968" s="11" t="s">
        <v>5630</v>
      </c>
      <c r="B1968" s="11" t="s">
        <v>2045</v>
      </c>
      <c r="C1968" s="11" t="s">
        <v>3371</v>
      </c>
      <c r="D1968" s="11">
        <v>168502.65</v>
      </c>
      <c r="E1968" s="11">
        <v>47305.4</v>
      </c>
      <c r="F1968" s="12">
        <v>45228</v>
      </c>
      <c r="G1968" s="12">
        <v>45765</v>
      </c>
      <c r="H1968" s="11" t="s">
        <v>3575</v>
      </c>
      <c r="I1968" s="11" t="s">
        <v>3361</v>
      </c>
      <c r="J1968" s="13" t="str" cm="1">
        <f t="array" ref="J1968">_xlfn.IFS(
  OR(ISBLANK(A1968),ISBLANK(B1968),ISBLANK(H1968),ISBLANK(D1968),ISBLANK(E1968)),"Missing Value",
  D1968&lt;=0,"Review – Out of Range (Coverage)",
  E1968&lt;=0,"Review – Out of Range (Premium)",
  TRUE,"OK"
)</f>
        <v>OK</v>
      </c>
    </row>
    <row r="1969" spans="1:10" ht="16.8" x14ac:dyDescent="0.3">
      <c r="A1969" s="14" t="s">
        <v>5631</v>
      </c>
      <c r="B1969" s="14" t="s">
        <v>1311</v>
      </c>
      <c r="C1969" s="14" t="s">
        <v>3363</v>
      </c>
      <c r="D1969" s="14">
        <v>363066.16</v>
      </c>
      <c r="E1969" s="14">
        <v>20854.310000000001</v>
      </c>
      <c r="F1969" s="15">
        <v>45324</v>
      </c>
      <c r="G1969" s="15">
        <v>45704</v>
      </c>
      <c r="H1969" s="14" t="s">
        <v>4067</v>
      </c>
      <c r="I1969" s="14" t="s">
        <v>3361</v>
      </c>
      <c r="J1969" s="13" t="str" cm="1">
        <f t="array" ref="J1969">_xlfn.IFS(
  OR(ISBLANK(A1969),ISBLANK(B1969),ISBLANK(H1969),ISBLANK(D1969),ISBLANK(E1969)),"Missing Value",
  D1969&lt;=0,"Review – Out of Range (Coverage)",
  E1969&lt;=0,"Review – Out of Range (Premium)",
  TRUE,"OK"
)</f>
        <v>OK</v>
      </c>
    </row>
    <row r="1970" spans="1:10" ht="16.8" x14ac:dyDescent="0.3">
      <c r="A1970" s="11" t="s">
        <v>5632</v>
      </c>
      <c r="B1970" s="11" t="s">
        <v>2779</v>
      </c>
      <c r="C1970" s="11" t="s">
        <v>3371</v>
      </c>
      <c r="D1970" s="11">
        <v>933387.21</v>
      </c>
      <c r="E1970" s="11">
        <v>26490.62</v>
      </c>
      <c r="F1970" s="12">
        <v>44962</v>
      </c>
      <c r="G1970" s="12">
        <v>45476</v>
      </c>
      <c r="H1970" s="11" t="s">
        <v>3976</v>
      </c>
      <c r="I1970" s="11" t="s">
        <v>3361</v>
      </c>
      <c r="J1970" s="13" t="str" cm="1">
        <f t="array" ref="J1970">_xlfn.IFS(
  OR(ISBLANK(A1970),ISBLANK(B1970),ISBLANK(H1970),ISBLANK(D1970),ISBLANK(E1970)),"Missing Value",
  D1970&lt;=0,"Review – Out of Range (Coverage)",
  E1970&lt;=0,"Review – Out of Range (Premium)",
  TRUE,"OK"
)</f>
        <v>OK</v>
      </c>
    </row>
    <row r="1971" spans="1:10" ht="16.8" x14ac:dyDescent="0.3">
      <c r="A1971" s="14" t="s">
        <v>5633</v>
      </c>
      <c r="B1971" s="14" t="s">
        <v>651</v>
      </c>
      <c r="C1971" s="14" t="s">
        <v>3380</v>
      </c>
      <c r="D1971" s="14">
        <v>560944.9</v>
      </c>
      <c r="E1971" s="14">
        <v>49389.45</v>
      </c>
      <c r="F1971" s="15">
        <v>45449</v>
      </c>
      <c r="G1971" s="15">
        <v>45598</v>
      </c>
      <c r="H1971" s="14" t="s">
        <v>3750</v>
      </c>
      <c r="I1971" s="14" t="s">
        <v>3365</v>
      </c>
      <c r="J1971" s="13" t="str" cm="1">
        <f t="array" ref="J1971">_xlfn.IFS(
  OR(ISBLANK(A1971),ISBLANK(B1971),ISBLANK(H1971),ISBLANK(D1971),ISBLANK(E1971)),"Missing Value",
  D1971&lt;=0,"Review – Out of Range (Coverage)",
  E1971&lt;=0,"Review – Out of Range (Premium)",
  TRUE,"OK"
)</f>
        <v>OK</v>
      </c>
    </row>
    <row r="1972" spans="1:10" ht="16.8" x14ac:dyDescent="0.3">
      <c r="A1972" s="11" t="s">
        <v>5634</v>
      </c>
      <c r="B1972" s="11" t="s">
        <v>2823</v>
      </c>
      <c r="C1972" s="11" t="s">
        <v>3363</v>
      </c>
      <c r="D1972" s="11">
        <v>159569.57999999999</v>
      </c>
      <c r="E1972" s="11">
        <v>38206.42</v>
      </c>
      <c r="F1972" s="12">
        <v>44242</v>
      </c>
      <c r="G1972" s="12">
        <v>44321</v>
      </c>
      <c r="H1972" s="11" t="s">
        <v>4198</v>
      </c>
      <c r="I1972" s="11" t="s">
        <v>3373</v>
      </c>
      <c r="J1972" s="13" t="str" cm="1">
        <f t="array" ref="J1972">_xlfn.IFS(
  OR(ISBLANK(A1972),ISBLANK(B1972),ISBLANK(H1972),ISBLANK(D1972),ISBLANK(E1972)),"Missing Value",
  D1972&lt;=0,"Review – Out of Range (Coverage)",
  E1972&lt;=0,"Review – Out of Range (Premium)",
  TRUE,"OK"
)</f>
        <v>OK</v>
      </c>
    </row>
    <row r="1973" spans="1:10" ht="16.8" x14ac:dyDescent="0.3">
      <c r="A1973" s="14" t="s">
        <v>5635</v>
      </c>
      <c r="B1973" s="14" t="s">
        <v>1745</v>
      </c>
      <c r="C1973" s="14" t="s">
        <v>3359</v>
      </c>
      <c r="D1973" s="14">
        <v>914155.47</v>
      </c>
      <c r="E1973" s="14">
        <v>29399.82</v>
      </c>
      <c r="F1973" s="15">
        <v>44354</v>
      </c>
      <c r="G1973" s="15">
        <v>44991</v>
      </c>
      <c r="H1973" s="14" t="s">
        <v>3540</v>
      </c>
      <c r="I1973" s="14" t="s">
        <v>3365</v>
      </c>
      <c r="J1973" s="13" t="str" cm="1">
        <f t="array" ref="J1973">_xlfn.IFS(
  OR(ISBLANK(A1973),ISBLANK(B1973),ISBLANK(H1973),ISBLANK(D1973),ISBLANK(E1973)),"Missing Value",
  D1973&lt;=0,"Review – Out of Range (Coverage)",
  E1973&lt;=0,"Review – Out of Range (Premium)",
  TRUE,"OK"
)</f>
        <v>OK</v>
      </c>
    </row>
    <row r="1974" spans="1:10" ht="16.8" x14ac:dyDescent="0.3">
      <c r="A1974" s="11" t="s">
        <v>5636</v>
      </c>
      <c r="B1974" s="11" t="s">
        <v>2239</v>
      </c>
      <c r="C1974" s="11" t="s">
        <v>3359</v>
      </c>
      <c r="D1974" s="11">
        <v>965657.18</v>
      </c>
      <c r="E1974" s="11">
        <v>18143.919999999998</v>
      </c>
      <c r="F1974" s="12">
        <v>44795</v>
      </c>
      <c r="G1974" s="12">
        <v>45227</v>
      </c>
      <c r="H1974" s="11" t="s">
        <v>3918</v>
      </c>
      <c r="I1974" s="11" t="s">
        <v>3365</v>
      </c>
      <c r="J1974" s="13" t="str" cm="1">
        <f t="array" ref="J1974">_xlfn.IFS(
  OR(ISBLANK(A1974),ISBLANK(B1974),ISBLANK(H1974),ISBLANK(D1974),ISBLANK(E1974)),"Missing Value",
  D1974&lt;=0,"Review – Out of Range (Coverage)",
  E1974&lt;=0,"Review – Out of Range (Premium)",
  TRUE,"OK"
)</f>
        <v>OK</v>
      </c>
    </row>
    <row r="1975" spans="1:10" ht="16.8" x14ac:dyDescent="0.3">
      <c r="A1975" s="14" t="s">
        <v>5637</v>
      </c>
      <c r="B1975" s="14" t="s">
        <v>2687</v>
      </c>
      <c r="C1975" s="14" t="s">
        <v>3359</v>
      </c>
      <c r="D1975" s="14">
        <v>468489.62</v>
      </c>
      <c r="E1975" s="14">
        <v>15225.75</v>
      </c>
      <c r="F1975" s="15">
        <v>45043</v>
      </c>
      <c r="G1975" s="15">
        <v>45500</v>
      </c>
      <c r="H1975" s="14" t="s">
        <v>3830</v>
      </c>
      <c r="I1975" s="14" t="s">
        <v>3365</v>
      </c>
      <c r="J1975" s="13" t="str" cm="1">
        <f t="array" ref="J1975">_xlfn.IFS(
  OR(ISBLANK(A1975),ISBLANK(B1975),ISBLANK(H1975),ISBLANK(D1975),ISBLANK(E1975)),"Missing Value",
  D1975&lt;=0,"Review – Out of Range (Coverage)",
  E1975&lt;=0,"Review – Out of Range (Premium)",
  TRUE,"OK"
)</f>
        <v>OK</v>
      </c>
    </row>
    <row r="1976" spans="1:10" ht="16.8" x14ac:dyDescent="0.3">
      <c r="A1976" s="11" t="s">
        <v>5638</v>
      </c>
      <c r="B1976" s="11" t="s">
        <v>258</v>
      </c>
      <c r="C1976" s="11" t="s">
        <v>3377</v>
      </c>
      <c r="D1976" s="11">
        <v>549589.23</v>
      </c>
      <c r="E1976" s="11">
        <v>25242.68</v>
      </c>
      <c r="F1976" s="12">
        <v>45200</v>
      </c>
      <c r="G1976" s="12">
        <v>45470</v>
      </c>
      <c r="H1976" s="11" t="s">
        <v>4766</v>
      </c>
      <c r="I1976" s="11" t="s">
        <v>3373</v>
      </c>
      <c r="J1976" s="13" t="str" cm="1">
        <f t="array" ref="J1976">_xlfn.IFS(
  OR(ISBLANK(A1976),ISBLANK(B1976),ISBLANK(H1976),ISBLANK(D1976),ISBLANK(E1976)),"Missing Value",
  D1976&lt;=0,"Review – Out of Range (Coverage)",
  E1976&lt;=0,"Review – Out of Range (Premium)",
  TRUE,"OK"
)</f>
        <v>OK</v>
      </c>
    </row>
    <row r="1977" spans="1:10" ht="16.8" x14ac:dyDescent="0.3">
      <c r="A1977" s="14" t="s">
        <v>5639</v>
      </c>
      <c r="B1977" s="14" t="s">
        <v>2499</v>
      </c>
      <c r="C1977" s="14" t="s">
        <v>3371</v>
      </c>
      <c r="D1977" s="14">
        <v>780990.52</v>
      </c>
      <c r="E1977" s="14">
        <v>44658.81</v>
      </c>
      <c r="F1977" s="15">
        <v>44099</v>
      </c>
      <c r="G1977" s="15">
        <v>45054</v>
      </c>
      <c r="H1977" s="14" t="s">
        <v>4439</v>
      </c>
      <c r="I1977" s="14" t="s">
        <v>3361</v>
      </c>
      <c r="J1977" s="13" t="str" cm="1">
        <f t="array" ref="J1977">_xlfn.IFS(
  OR(ISBLANK(A1977),ISBLANK(B1977),ISBLANK(H1977),ISBLANK(D1977),ISBLANK(E1977)),"Missing Value",
  D1977&lt;=0,"Review – Out of Range (Coverage)",
  E1977&lt;=0,"Review – Out of Range (Premium)",
  TRUE,"OK"
)</f>
        <v>OK</v>
      </c>
    </row>
    <row r="1978" spans="1:10" ht="16.8" x14ac:dyDescent="0.3">
      <c r="A1978" s="11" t="s">
        <v>5640</v>
      </c>
      <c r="B1978" s="11" t="s">
        <v>671</v>
      </c>
      <c r="C1978" s="11" t="s">
        <v>3363</v>
      </c>
      <c r="D1978" s="11">
        <v>637330.86</v>
      </c>
      <c r="E1978" s="11">
        <v>8744.5499999999993</v>
      </c>
      <c r="F1978" s="12">
        <v>45362</v>
      </c>
      <c r="G1978" s="12">
        <v>45490</v>
      </c>
      <c r="H1978" s="11" t="s">
        <v>3403</v>
      </c>
      <c r="I1978" s="11" t="s">
        <v>3361</v>
      </c>
      <c r="J1978" s="13" t="str" cm="1">
        <f t="array" ref="J1978">_xlfn.IFS(
  OR(ISBLANK(A1978),ISBLANK(B1978),ISBLANK(H1978),ISBLANK(D1978),ISBLANK(E1978)),"Missing Value",
  D1978&lt;=0,"Review – Out of Range (Coverage)",
  E1978&lt;=0,"Review – Out of Range (Premium)",
  TRUE,"OK"
)</f>
        <v>OK</v>
      </c>
    </row>
    <row r="1979" spans="1:10" ht="16.8" x14ac:dyDescent="0.3">
      <c r="A1979" s="14" t="s">
        <v>5641</v>
      </c>
      <c r="B1979" s="14" t="s">
        <v>3280</v>
      </c>
      <c r="C1979" s="14" t="s">
        <v>3359</v>
      </c>
      <c r="D1979" s="14">
        <v>227779.51</v>
      </c>
      <c r="E1979" s="14">
        <v>20885.7</v>
      </c>
      <c r="F1979" s="15">
        <v>45212</v>
      </c>
      <c r="G1979" s="15">
        <v>45571</v>
      </c>
      <c r="H1979" s="14" t="s">
        <v>3477</v>
      </c>
      <c r="I1979" s="14" t="s">
        <v>3361</v>
      </c>
      <c r="J1979" s="13" t="str" cm="1">
        <f t="array" ref="J1979">_xlfn.IFS(
  OR(ISBLANK(A1979),ISBLANK(B1979),ISBLANK(H1979),ISBLANK(D1979),ISBLANK(E1979)),"Missing Value",
  D1979&lt;=0,"Review – Out of Range (Coverage)",
  E1979&lt;=0,"Review – Out of Range (Premium)",
  TRUE,"OK"
)</f>
        <v>OK</v>
      </c>
    </row>
    <row r="1980" spans="1:10" ht="16.8" x14ac:dyDescent="0.3">
      <c r="A1980" s="11" t="s">
        <v>5642</v>
      </c>
      <c r="B1980" s="11" t="s">
        <v>1751</v>
      </c>
      <c r="C1980" s="11" t="s">
        <v>3380</v>
      </c>
      <c r="D1980" s="11">
        <v>940586.58</v>
      </c>
      <c r="E1980" s="11">
        <v>20513.72</v>
      </c>
      <c r="F1980" s="12">
        <v>44381</v>
      </c>
      <c r="G1980" s="12">
        <v>45011</v>
      </c>
      <c r="H1980" s="11" t="s">
        <v>3707</v>
      </c>
      <c r="I1980" s="11" t="s">
        <v>3373</v>
      </c>
      <c r="J1980" s="13" t="str" cm="1">
        <f t="array" ref="J1980">_xlfn.IFS(
  OR(ISBLANK(A1980),ISBLANK(B1980),ISBLANK(H1980),ISBLANK(D1980),ISBLANK(E1980)),"Missing Value",
  D1980&lt;=0,"Review – Out of Range (Coverage)",
  E1980&lt;=0,"Review – Out of Range (Premium)",
  TRUE,"OK"
)</f>
        <v>OK</v>
      </c>
    </row>
    <row r="1981" spans="1:10" ht="16.8" x14ac:dyDescent="0.3">
      <c r="A1981" s="14" t="s">
        <v>5643</v>
      </c>
      <c r="B1981" s="14" t="s">
        <v>3288</v>
      </c>
      <c r="C1981" s="14" t="s">
        <v>3371</v>
      </c>
      <c r="D1981" s="14">
        <v>692640.06</v>
      </c>
      <c r="E1981" s="14">
        <v>49324.36</v>
      </c>
      <c r="F1981" s="15">
        <v>44512</v>
      </c>
      <c r="G1981" s="15">
        <v>44891</v>
      </c>
      <c r="H1981" s="14" t="s">
        <v>3555</v>
      </c>
      <c r="I1981" s="14" t="s">
        <v>3361</v>
      </c>
      <c r="J1981" s="13" t="str" cm="1">
        <f t="array" ref="J1981">_xlfn.IFS(
  OR(ISBLANK(A1981),ISBLANK(B1981),ISBLANK(H1981),ISBLANK(D1981),ISBLANK(E1981)),"Missing Value",
  D1981&lt;=0,"Review – Out of Range (Coverage)",
  E1981&lt;=0,"Review – Out of Range (Premium)",
  TRUE,"OK"
)</f>
        <v>OK</v>
      </c>
    </row>
    <row r="1982" spans="1:10" ht="16.8" x14ac:dyDescent="0.3">
      <c r="A1982" s="11" t="s">
        <v>5644</v>
      </c>
      <c r="B1982" s="11" t="s">
        <v>2865</v>
      </c>
      <c r="C1982" s="11" t="s">
        <v>3377</v>
      </c>
      <c r="D1982" s="11">
        <v>513998.75</v>
      </c>
      <c r="E1982" s="11">
        <v>22030.52</v>
      </c>
      <c r="F1982" s="12">
        <v>45315</v>
      </c>
      <c r="G1982" s="12">
        <v>45331</v>
      </c>
      <c r="H1982" s="11" t="s">
        <v>3827</v>
      </c>
      <c r="I1982" s="11" t="s">
        <v>3373</v>
      </c>
      <c r="J1982" s="13" t="str" cm="1">
        <f t="array" ref="J1982">_xlfn.IFS(
  OR(ISBLANK(A1982),ISBLANK(B1982),ISBLANK(H1982),ISBLANK(D1982),ISBLANK(E1982)),"Missing Value",
  D1982&lt;=0,"Review – Out of Range (Coverage)",
  E1982&lt;=0,"Review – Out of Range (Premium)",
  TRUE,"OK"
)</f>
        <v>OK</v>
      </c>
    </row>
    <row r="1983" spans="1:10" ht="16.8" x14ac:dyDescent="0.3">
      <c r="A1983" s="14" t="s">
        <v>5645</v>
      </c>
      <c r="B1983" s="14" t="s">
        <v>1079</v>
      </c>
      <c r="C1983" s="14" t="s">
        <v>3359</v>
      </c>
      <c r="D1983" s="14">
        <v>131289.22</v>
      </c>
      <c r="E1983" s="14">
        <v>16788.93</v>
      </c>
      <c r="F1983" s="15">
        <v>44627</v>
      </c>
      <c r="G1983" s="15">
        <v>45357</v>
      </c>
      <c r="H1983" s="14" t="s">
        <v>3449</v>
      </c>
      <c r="I1983" s="14" t="s">
        <v>3361</v>
      </c>
      <c r="J1983" s="13" t="str" cm="1">
        <f t="array" ref="J1983">_xlfn.IFS(
  OR(ISBLANK(A1983),ISBLANK(B1983),ISBLANK(H1983),ISBLANK(D1983),ISBLANK(E1983)),"Missing Value",
  D1983&lt;=0,"Review – Out of Range (Coverage)",
  E1983&lt;=0,"Review – Out of Range (Premium)",
  TRUE,"OK"
)</f>
        <v>OK</v>
      </c>
    </row>
    <row r="1984" spans="1:10" ht="16.8" x14ac:dyDescent="0.3">
      <c r="A1984" s="11" t="s">
        <v>5646</v>
      </c>
      <c r="B1984" s="11" t="s">
        <v>1265</v>
      </c>
      <c r="C1984" s="11" t="s">
        <v>3380</v>
      </c>
      <c r="D1984" s="11">
        <v>278322.64</v>
      </c>
      <c r="E1984" s="11">
        <v>45079.57</v>
      </c>
      <c r="F1984" s="12">
        <v>45222</v>
      </c>
      <c r="G1984" s="12">
        <v>45697</v>
      </c>
      <c r="H1984" s="11" t="s">
        <v>3581</v>
      </c>
      <c r="I1984" s="11" t="s">
        <v>3361</v>
      </c>
      <c r="J1984" s="13" t="str" cm="1">
        <f t="array" ref="J1984">_xlfn.IFS(
  OR(ISBLANK(A1984),ISBLANK(B1984),ISBLANK(H1984),ISBLANK(D1984),ISBLANK(E1984)),"Missing Value",
  D1984&lt;=0,"Review – Out of Range (Coverage)",
  E1984&lt;=0,"Review – Out of Range (Premium)",
  TRUE,"OK"
)</f>
        <v>OK</v>
      </c>
    </row>
    <row r="1985" spans="1:10" ht="16.8" x14ac:dyDescent="0.3">
      <c r="A1985" s="14" t="s">
        <v>5647</v>
      </c>
      <c r="B1985" s="14" t="s">
        <v>1619</v>
      </c>
      <c r="C1985" s="14" t="s">
        <v>3363</v>
      </c>
      <c r="D1985" s="14">
        <v>159003.51</v>
      </c>
      <c r="E1985" s="14">
        <v>32990.769999999997</v>
      </c>
      <c r="F1985" s="15">
        <v>45247</v>
      </c>
      <c r="G1985" s="15">
        <v>45809</v>
      </c>
      <c r="H1985" s="14" t="s">
        <v>4630</v>
      </c>
      <c r="I1985" s="14" t="s">
        <v>3361</v>
      </c>
      <c r="J1985" s="13" t="str" cm="1">
        <f t="array" ref="J1985">_xlfn.IFS(
  OR(ISBLANK(A1985),ISBLANK(B1985),ISBLANK(H1985),ISBLANK(D1985),ISBLANK(E1985)),"Missing Value",
  D1985&lt;=0,"Review – Out of Range (Coverage)",
  E1985&lt;=0,"Review – Out of Range (Premium)",
  TRUE,"OK"
)</f>
        <v>OK</v>
      </c>
    </row>
    <row r="1986" spans="1:10" ht="16.8" x14ac:dyDescent="0.3">
      <c r="A1986" s="11" t="s">
        <v>5648</v>
      </c>
      <c r="B1986" s="11" t="s">
        <v>2541</v>
      </c>
      <c r="C1986" s="11" t="s">
        <v>3380</v>
      </c>
      <c r="D1986" s="11">
        <v>676931.93</v>
      </c>
      <c r="E1986" s="11">
        <v>25645.79</v>
      </c>
      <c r="F1986" s="12">
        <v>44087</v>
      </c>
      <c r="G1986" s="12">
        <v>45557</v>
      </c>
      <c r="H1986" s="11" t="s">
        <v>3620</v>
      </c>
      <c r="I1986" s="11" t="s">
        <v>3365</v>
      </c>
      <c r="J1986" s="13" t="str" cm="1">
        <f t="array" ref="J1986">_xlfn.IFS(
  OR(ISBLANK(A1986),ISBLANK(B1986),ISBLANK(H1986),ISBLANK(D1986),ISBLANK(E1986)),"Missing Value",
  D1986&lt;=0,"Review – Out of Range (Coverage)",
  E1986&lt;=0,"Review – Out of Range (Premium)",
  TRUE,"OK"
)</f>
        <v>OK</v>
      </c>
    </row>
    <row r="1987" spans="1:10" ht="16.8" x14ac:dyDescent="0.3">
      <c r="A1987" s="14" t="s">
        <v>5649</v>
      </c>
      <c r="B1987" s="14" t="s">
        <v>1633</v>
      </c>
      <c r="C1987" s="14" t="s">
        <v>3363</v>
      </c>
      <c r="D1987" s="14">
        <v>249931.09</v>
      </c>
      <c r="E1987" s="14">
        <v>48390.48</v>
      </c>
      <c r="F1987" s="15">
        <v>45048</v>
      </c>
      <c r="G1987" s="15">
        <v>45420</v>
      </c>
      <c r="H1987" s="14" t="s">
        <v>3746</v>
      </c>
      <c r="I1987" s="14" t="s">
        <v>3361</v>
      </c>
      <c r="J1987" s="13" t="str" cm="1">
        <f t="array" ref="J1987">_xlfn.IFS(
  OR(ISBLANK(A1987),ISBLANK(B1987),ISBLANK(H1987),ISBLANK(D1987),ISBLANK(E1987)),"Missing Value",
  D1987&lt;=0,"Review – Out of Range (Coverage)",
  E1987&lt;=0,"Review – Out of Range (Premium)",
  TRUE,"OK"
)</f>
        <v>OK</v>
      </c>
    </row>
    <row r="1988" spans="1:10" ht="16.8" x14ac:dyDescent="0.3">
      <c r="A1988" s="11" t="s">
        <v>5650</v>
      </c>
      <c r="B1988" s="11" t="s">
        <v>298</v>
      </c>
      <c r="C1988" s="11" t="s">
        <v>3363</v>
      </c>
      <c r="D1988" s="11">
        <v>897582.55</v>
      </c>
      <c r="E1988" s="11">
        <v>6408.46</v>
      </c>
      <c r="F1988" s="12">
        <v>44534</v>
      </c>
      <c r="G1988" s="12">
        <v>45108</v>
      </c>
      <c r="H1988" s="11" t="s">
        <v>3571</v>
      </c>
      <c r="I1988" s="11" t="s">
        <v>3373</v>
      </c>
      <c r="J1988" s="13" t="str" cm="1">
        <f t="array" ref="J1988">_xlfn.IFS(
  OR(ISBLANK(A1988),ISBLANK(B1988),ISBLANK(H1988),ISBLANK(D1988),ISBLANK(E1988)),"Missing Value",
  D1988&lt;=0,"Review – Out of Range (Coverage)",
  E1988&lt;=0,"Review – Out of Range (Premium)",
  TRUE,"OK"
)</f>
        <v>OK</v>
      </c>
    </row>
    <row r="1989" spans="1:10" ht="16.8" x14ac:dyDescent="0.3">
      <c r="A1989" s="14" t="s">
        <v>5651</v>
      </c>
      <c r="B1989" s="14" t="s">
        <v>1435</v>
      </c>
      <c r="C1989" s="14" t="s">
        <v>3371</v>
      </c>
      <c r="D1989" s="14">
        <v>854316.99</v>
      </c>
      <c r="E1989" s="14">
        <v>3277.65</v>
      </c>
      <c r="F1989" s="15">
        <v>44851</v>
      </c>
      <c r="G1989" s="15">
        <v>45544</v>
      </c>
      <c r="H1989" s="14" t="s">
        <v>3865</v>
      </c>
      <c r="I1989" s="14" t="s">
        <v>3365</v>
      </c>
      <c r="J1989" s="13" t="str" cm="1">
        <f t="array" ref="J1989">_xlfn.IFS(
  OR(ISBLANK(A1989),ISBLANK(B1989),ISBLANK(H1989),ISBLANK(D1989),ISBLANK(E1989)),"Missing Value",
  D1989&lt;=0,"Review – Out of Range (Coverage)",
  E1989&lt;=0,"Review – Out of Range (Premium)",
  TRUE,"OK"
)</f>
        <v>OK</v>
      </c>
    </row>
    <row r="1990" spans="1:10" ht="16.8" x14ac:dyDescent="0.3">
      <c r="A1990" s="11" t="s">
        <v>5652</v>
      </c>
      <c r="B1990" s="11" t="s">
        <v>1181</v>
      </c>
      <c r="C1990" s="11" t="s">
        <v>3359</v>
      </c>
      <c r="D1990" s="11">
        <v>746870.95</v>
      </c>
      <c r="E1990" s="11">
        <v>23322.59</v>
      </c>
      <c r="F1990" s="12">
        <v>44968</v>
      </c>
      <c r="G1990" s="12">
        <v>45787</v>
      </c>
      <c r="H1990" s="11" t="s">
        <v>3815</v>
      </c>
      <c r="I1990" s="11" t="s">
        <v>3365</v>
      </c>
      <c r="J1990" s="13" t="str" cm="1">
        <f t="array" ref="J1990">_xlfn.IFS(
  OR(ISBLANK(A1990),ISBLANK(B1990),ISBLANK(H1990),ISBLANK(D1990),ISBLANK(E1990)),"Missing Value",
  D1990&lt;=0,"Review – Out of Range (Coverage)",
  E1990&lt;=0,"Review – Out of Range (Premium)",
  TRUE,"OK"
)</f>
        <v>OK</v>
      </c>
    </row>
    <row r="1991" spans="1:10" ht="16.8" x14ac:dyDescent="0.3">
      <c r="A1991" s="14" t="s">
        <v>5653</v>
      </c>
      <c r="B1991" s="14" t="s">
        <v>2775</v>
      </c>
      <c r="C1991" s="14" t="s">
        <v>3359</v>
      </c>
      <c r="D1991" s="14">
        <v>652885.82999999996</v>
      </c>
      <c r="E1991" s="14">
        <v>32975.410000000003</v>
      </c>
      <c r="F1991" s="15">
        <v>44748</v>
      </c>
      <c r="G1991" s="15">
        <v>44906</v>
      </c>
      <c r="H1991" s="14" t="s">
        <v>4415</v>
      </c>
      <c r="I1991" s="14" t="s">
        <v>3361</v>
      </c>
      <c r="J1991" s="13" t="str" cm="1">
        <f t="array" ref="J1991">_xlfn.IFS(
  OR(ISBLANK(A1991),ISBLANK(B1991),ISBLANK(H1991),ISBLANK(D1991),ISBLANK(E1991)),"Missing Value",
  D1991&lt;=0,"Review – Out of Range (Coverage)",
  E1991&lt;=0,"Review – Out of Range (Premium)",
  TRUE,"OK"
)</f>
        <v>OK</v>
      </c>
    </row>
    <row r="1992" spans="1:10" ht="16.8" x14ac:dyDescent="0.3">
      <c r="A1992" s="11" t="s">
        <v>5654</v>
      </c>
      <c r="B1992" s="11" t="s">
        <v>3072</v>
      </c>
      <c r="C1992" s="11" t="s">
        <v>3371</v>
      </c>
      <c r="D1992" s="11">
        <v>483316.76</v>
      </c>
      <c r="E1992" s="11">
        <v>22044.48</v>
      </c>
      <c r="F1992" s="12">
        <v>45472</v>
      </c>
      <c r="G1992" s="12">
        <v>45502</v>
      </c>
      <c r="H1992" s="11" t="s">
        <v>4161</v>
      </c>
      <c r="I1992" s="11" t="s">
        <v>3365</v>
      </c>
      <c r="J1992" s="13" t="str" cm="1">
        <f t="array" ref="J1992">_xlfn.IFS(
  OR(ISBLANK(A1992),ISBLANK(B1992),ISBLANK(H1992),ISBLANK(D1992),ISBLANK(E1992)),"Missing Value",
  D1992&lt;=0,"Review – Out of Range (Coverage)",
  E1992&lt;=0,"Review – Out of Range (Premium)",
  TRUE,"OK"
)</f>
        <v>OK</v>
      </c>
    </row>
    <row r="1993" spans="1:10" ht="16.8" x14ac:dyDescent="0.3">
      <c r="A1993" s="14" t="s">
        <v>5655</v>
      </c>
      <c r="B1993" s="14" t="s">
        <v>2327</v>
      </c>
      <c r="C1993" s="14" t="s">
        <v>3359</v>
      </c>
      <c r="D1993" s="14">
        <v>447188.22</v>
      </c>
      <c r="E1993" s="14">
        <v>48477.81</v>
      </c>
      <c r="F1993" s="15">
        <v>44987</v>
      </c>
      <c r="G1993" s="15">
        <v>45783</v>
      </c>
      <c r="H1993" s="14" t="s">
        <v>3644</v>
      </c>
      <c r="I1993" s="14" t="s">
        <v>3373</v>
      </c>
      <c r="J1993" s="13" t="str" cm="1">
        <f t="array" ref="J1993">_xlfn.IFS(
  OR(ISBLANK(A1993),ISBLANK(B1993),ISBLANK(H1993),ISBLANK(D1993),ISBLANK(E1993)),"Missing Value",
  D1993&lt;=0,"Review – Out of Range (Coverage)",
  E1993&lt;=0,"Review – Out of Range (Premium)",
  TRUE,"OK"
)</f>
        <v>OK</v>
      </c>
    </row>
    <row r="1994" spans="1:10" ht="16.8" x14ac:dyDescent="0.3">
      <c r="A1994" s="11" t="s">
        <v>5656</v>
      </c>
      <c r="B1994" s="11" t="s">
        <v>63</v>
      </c>
      <c r="C1994" s="11" t="s">
        <v>3380</v>
      </c>
      <c r="D1994" s="11">
        <v>389738.45</v>
      </c>
      <c r="E1994" s="11">
        <v>39923.120000000003</v>
      </c>
      <c r="F1994" s="12">
        <v>44298</v>
      </c>
      <c r="G1994" s="12">
        <v>45625</v>
      </c>
      <c r="H1994" s="11" t="s">
        <v>3822</v>
      </c>
      <c r="I1994" s="11" t="s">
        <v>3361</v>
      </c>
      <c r="J1994" s="13" t="str" cm="1">
        <f t="array" ref="J1994">_xlfn.IFS(
  OR(ISBLANK(A1994),ISBLANK(B1994),ISBLANK(H1994),ISBLANK(D1994),ISBLANK(E1994)),"Missing Value",
  D1994&lt;=0,"Review – Out of Range (Coverage)",
  E1994&lt;=0,"Review – Out of Range (Premium)",
  TRUE,"OK"
)</f>
        <v>OK</v>
      </c>
    </row>
    <row r="1995" spans="1:10" ht="16.8" x14ac:dyDescent="0.3">
      <c r="A1995" s="14" t="s">
        <v>5657</v>
      </c>
      <c r="B1995" s="14" t="s">
        <v>2193</v>
      </c>
      <c r="C1995" s="14" t="s">
        <v>3359</v>
      </c>
      <c r="D1995" s="14">
        <v>581971.65</v>
      </c>
      <c r="E1995" s="14">
        <v>7927.07</v>
      </c>
      <c r="F1995" s="15">
        <v>44457</v>
      </c>
      <c r="G1995" s="15">
        <v>45028</v>
      </c>
      <c r="H1995" s="14" t="s">
        <v>3411</v>
      </c>
      <c r="I1995" s="14" t="s">
        <v>3365</v>
      </c>
      <c r="J1995" s="13" t="str" cm="1">
        <f t="array" ref="J1995">_xlfn.IFS(
  OR(ISBLANK(A1995),ISBLANK(B1995),ISBLANK(H1995),ISBLANK(D1995),ISBLANK(E1995)),"Missing Value",
  D1995&lt;=0,"Review – Out of Range (Coverage)",
  E1995&lt;=0,"Review – Out of Range (Premium)",
  TRUE,"OK"
)</f>
        <v>OK</v>
      </c>
    </row>
    <row r="1996" spans="1:10" ht="16.8" x14ac:dyDescent="0.3">
      <c r="A1996" s="11" t="s">
        <v>5658</v>
      </c>
      <c r="B1996" s="11" t="s">
        <v>2401</v>
      </c>
      <c r="C1996" s="11" t="s">
        <v>3380</v>
      </c>
      <c r="D1996" s="11">
        <v>233267.14</v>
      </c>
      <c r="E1996" s="11">
        <v>22283.4</v>
      </c>
      <c r="F1996" s="12">
        <v>44607</v>
      </c>
      <c r="G1996" s="12">
        <v>44714</v>
      </c>
      <c r="H1996" s="11" t="s">
        <v>3622</v>
      </c>
      <c r="I1996" s="11" t="s">
        <v>3365</v>
      </c>
      <c r="J1996" s="13" t="str" cm="1">
        <f t="array" ref="J1996">_xlfn.IFS(
  OR(ISBLANK(A1996),ISBLANK(B1996),ISBLANK(H1996),ISBLANK(D1996),ISBLANK(E1996)),"Missing Value",
  D1996&lt;=0,"Review – Out of Range (Coverage)",
  E1996&lt;=0,"Review – Out of Range (Premium)",
  TRUE,"OK"
)</f>
        <v>OK</v>
      </c>
    </row>
    <row r="1997" spans="1:10" ht="16.8" x14ac:dyDescent="0.3">
      <c r="A1997" s="14" t="s">
        <v>5659</v>
      </c>
      <c r="B1997" s="14" t="s">
        <v>1071</v>
      </c>
      <c r="C1997" s="14" t="s">
        <v>3363</v>
      </c>
      <c r="D1997" s="14">
        <v>562697.30000000005</v>
      </c>
      <c r="E1997" s="14">
        <v>21175.26</v>
      </c>
      <c r="F1997" s="15">
        <v>44914</v>
      </c>
      <c r="G1997" s="15">
        <v>45242</v>
      </c>
      <c r="H1997" s="14" t="s">
        <v>3868</v>
      </c>
      <c r="I1997" s="14" t="s">
        <v>3365</v>
      </c>
      <c r="J1997" s="13" t="str" cm="1">
        <f t="array" ref="J1997">_xlfn.IFS(
  OR(ISBLANK(A1997),ISBLANK(B1997),ISBLANK(H1997),ISBLANK(D1997),ISBLANK(E1997)),"Missing Value",
  D1997&lt;=0,"Review – Out of Range (Coverage)",
  E1997&lt;=0,"Review – Out of Range (Premium)",
  TRUE,"OK"
)</f>
        <v>OK</v>
      </c>
    </row>
    <row r="1998" spans="1:10" ht="16.8" x14ac:dyDescent="0.3">
      <c r="A1998" s="11" t="s">
        <v>5660</v>
      </c>
      <c r="B1998" s="11" t="s">
        <v>3050</v>
      </c>
      <c r="C1998" s="11" t="s">
        <v>3371</v>
      </c>
      <c r="D1998" s="11">
        <v>304709.40000000002</v>
      </c>
      <c r="E1998" s="11">
        <v>30093.21</v>
      </c>
      <c r="F1998" s="12">
        <v>45288</v>
      </c>
      <c r="G1998" s="12">
        <v>45452</v>
      </c>
      <c r="H1998" s="11" t="s">
        <v>4236</v>
      </c>
      <c r="I1998" s="11" t="s">
        <v>3373</v>
      </c>
      <c r="J1998" s="13" t="str" cm="1">
        <f t="array" ref="J1998">_xlfn.IFS(
  OR(ISBLANK(A1998),ISBLANK(B1998),ISBLANK(H1998),ISBLANK(D1998),ISBLANK(E1998)),"Missing Value",
  D1998&lt;=0,"Review – Out of Range (Coverage)",
  E1998&lt;=0,"Review – Out of Range (Premium)",
  TRUE,"OK"
)</f>
        <v>OK</v>
      </c>
    </row>
    <row r="1999" spans="1:10" ht="16.8" x14ac:dyDescent="0.3">
      <c r="A1999" s="14" t="s">
        <v>5661</v>
      </c>
      <c r="B1999" s="14" t="s">
        <v>2489</v>
      </c>
      <c r="C1999" s="14" t="s">
        <v>3363</v>
      </c>
      <c r="D1999" s="14">
        <v>904414.19</v>
      </c>
      <c r="E1999" s="14">
        <v>29093.919999999998</v>
      </c>
      <c r="F1999" s="15">
        <v>45337</v>
      </c>
      <c r="G1999" s="15">
        <v>45505</v>
      </c>
      <c r="H1999" s="14" t="s">
        <v>3704</v>
      </c>
      <c r="I1999" s="14" t="s">
        <v>3365</v>
      </c>
      <c r="J1999" s="13" t="str" cm="1">
        <f t="array" ref="J1999">_xlfn.IFS(
  OR(ISBLANK(A1999),ISBLANK(B1999),ISBLANK(H1999),ISBLANK(D1999),ISBLANK(E1999)),"Missing Value",
  D1999&lt;=0,"Review – Out of Range (Coverage)",
  E1999&lt;=0,"Review – Out of Range (Premium)",
  TRUE,"OK"
)</f>
        <v>OK</v>
      </c>
    </row>
    <row r="2000" spans="1:10" ht="16.8" x14ac:dyDescent="0.3">
      <c r="A2000" s="11" t="s">
        <v>5662</v>
      </c>
      <c r="B2000" s="11" t="s">
        <v>1031</v>
      </c>
      <c r="C2000" s="11" t="s">
        <v>3380</v>
      </c>
      <c r="D2000" s="11">
        <v>397871.2</v>
      </c>
      <c r="E2000" s="11">
        <v>21646.42</v>
      </c>
      <c r="F2000" s="12">
        <v>45361</v>
      </c>
      <c r="G2000" s="12">
        <v>45428</v>
      </c>
      <c r="H2000" s="11" t="s">
        <v>3750</v>
      </c>
      <c r="I2000" s="11" t="s">
        <v>3361</v>
      </c>
      <c r="J2000" s="13" t="str" cm="1">
        <f t="array" ref="J2000">_xlfn.IFS(
  OR(ISBLANK(A2000),ISBLANK(B2000),ISBLANK(H2000),ISBLANK(D2000),ISBLANK(E2000)),"Missing Value",
  D2000&lt;=0,"Review – Out of Range (Coverage)",
  E2000&lt;=0,"Review – Out of Range (Premium)",
  TRUE,"OK"
)</f>
        <v>OK</v>
      </c>
    </row>
    <row r="2001" spans="1:10" ht="16.8" x14ac:dyDescent="0.3">
      <c r="A2001" s="14" t="s">
        <v>5663</v>
      </c>
      <c r="B2001" s="14" t="s">
        <v>873</v>
      </c>
      <c r="C2001" s="14" t="s">
        <v>3380</v>
      </c>
      <c r="D2001" s="14">
        <v>854049.66</v>
      </c>
      <c r="E2001" s="14">
        <v>16615.3</v>
      </c>
      <c r="F2001" s="15">
        <v>45179</v>
      </c>
      <c r="G2001" s="15">
        <v>45649</v>
      </c>
      <c r="H2001" s="14" t="s">
        <v>3735</v>
      </c>
      <c r="I2001" s="14" t="s">
        <v>3361</v>
      </c>
      <c r="J2001" s="13" t="str" cm="1">
        <f t="array" ref="J2001">_xlfn.IFS(
  OR(ISBLANK(A2001),ISBLANK(B2001),ISBLANK(H2001),ISBLANK(D2001),ISBLANK(E2001)),"Missing Value",
  D2001&lt;=0,"Review – Out of Range (Coverage)",
  E2001&lt;=0,"Review – Out of Range (Premium)",
  TRUE,"OK"
)</f>
        <v>OK</v>
      </c>
    </row>
    <row r="2002" spans="1:10" ht="16.8" x14ac:dyDescent="0.3">
      <c r="A2002" s="11" t="s">
        <v>5664</v>
      </c>
      <c r="B2002" s="11" t="s">
        <v>162</v>
      </c>
      <c r="C2002" s="11" t="s">
        <v>3371</v>
      </c>
      <c r="D2002" s="11">
        <v>135227</v>
      </c>
      <c r="E2002" s="11">
        <v>3279.66</v>
      </c>
      <c r="F2002" s="12">
        <v>45435</v>
      </c>
      <c r="G2002" s="12">
        <v>45471</v>
      </c>
      <c r="H2002" s="11" t="s">
        <v>3423</v>
      </c>
      <c r="I2002" s="11" t="s">
        <v>3361</v>
      </c>
      <c r="J2002" s="13" t="str" cm="1">
        <f t="array" ref="J2002">_xlfn.IFS(
  OR(ISBLANK(A2002),ISBLANK(B2002),ISBLANK(H2002),ISBLANK(D2002),ISBLANK(E2002)),"Missing Value",
  D2002&lt;=0,"Review – Out of Range (Coverage)",
  E2002&lt;=0,"Review – Out of Range (Premium)",
  TRUE,"OK"
)</f>
        <v>OK</v>
      </c>
    </row>
    <row r="2003" spans="1:10" ht="16.8" x14ac:dyDescent="0.3">
      <c r="A2003" s="14" t="s">
        <v>5665</v>
      </c>
      <c r="B2003" s="14" t="s">
        <v>1591</v>
      </c>
      <c r="C2003" s="14" t="s">
        <v>3377</v>
      </c>
      <c r="D2003" s="14">
        <v>465663.59</v>
      </c>
      <c r="E2003" s="14">
        <v>4855.1099999999997</v>
      </c>
      <c r="F2003" s="15">
        <v>45145</v>
      </c>
      <c r="G2003" s="15">
        <v>45423</v>
      </c>
      <c r="H2003" s="14" t="s">
        <v>3892</v>
      </c>
      <c r="I2003" s="14" t="s">
        <v>3373</v>
      </c>
      <c r="J2003" s="13" t="str" cm="1">
        <f t="array" ref="J2003">_xlfn.IFS(
  OR(ISBLANK(A2003),ISBLANK(B2003),ISBLANK(H2003),ISBLANK(D2003),ISBLANK(E2003)),"Missing Value",
  D2003&lt;=0,"Review – Out of Range (Coverage)",
  E2003&lt;=0,"Review – Out of Range (Premium)",
  TRUE,"OK"
)</f>
        <v>OK</v>
      </c>
    </row>
    <row r="2004" spans="1:10" ht="16.8" x14ac:dyDescent="0.3">
      <c r="A2004" s="11" t="s">
        <v>5666</v>
      </c>
      <c r="B2004" s="11" t="s">
        <v>192</v>
      </c>
      <c r="C2004" s="11" t="s">
        <v>3359</v>
      </c>
      <c r="D2004" s="11">
        <v>775153.67</v>
      </c>
      <c r="E2004" s="11">
        <v>21339.040000000001</v>
      </c>
      <c r="F2004" s="12">
        <v>45160</v>
      </c>
      <c r="G2004" s="12">
        <v>45540</v>
      </c>
      <c r="H2004" s="11" t="s">
        <v>4095</v>
      </c>
      <c r="I2004" s="11" t="s">
        <v>3365</v>
      </c>
      <c r="J2004" s="13" t="str" cm="1">
        <f t="array" ref="J2004">_xlfn.IFS(
  OR(ISBLANK(A2004),ISBLANK(B2004),ISBLANK(H2004),ISBLANK(D2004),ISBLANK(E2004)),"Missing Value",
  D2004&lt;=0,"Review – Out of Range (Coverage)",
  E2004&lt;=0,"Review – Out of Range (Premium)",
  TRUE,"OK"
)</f>
        <v>OK</v>
      </c>
    </row>
    <row r="2005" spans="1:10" ht="16.8" x14ac:dyDescent="0.3">
      <c r="A2005" s="14" t="s">
        <v>5667</v>
      </c>
      <c r="B2005" s="14" t="s">
        <v>2749</v>
      </c>
      <c r="C2005" s="14" t="s">
        <v>3380</v>
      </c>
      <c r="D2005" s="14">
        <v>982718.47</v>
      </c>
      <c r="E2005" s="14">
        <v>48970.31</v>
      </c>
      <c r="F2005" s="15">
        <v>44673</v>
      </c>
      <c r="G2005" s="15">
        <v>45587</v>
      </c>
      <c r="H2005" s="14" t="s">
        <v>3515</v>
      </c>
      <c r="I2005" s="14" t="s">
        <v>3365</v>
      </c>
      <c r="J2005" s="13" t="str" cm="1">
        <f t="array" ref="J2005">_xlfn.IFS(
  OR(ISBLANK(A2005),ISBLANK(B2005),ISBLANK(H2005),ISBLANK(D2005),ISBLANK(E2005)),"Missing Value",
  D2005&lt;=0,"Review – Out of Range (Coverage)",
  E2005&lt;=0,"Review – Out of Range (Premium)",
  TRUE,"OK"
)</f>
        <v>OK</v>
      </c>
    </row>
    <row r="2006" spans="1:10" ht="16.8" x14ac:dyDescent="0.3">
      <c r="A2006" s="11" t="s">
        <v>5668</v>
      </c>
      <c r="B2006" s="11" t="s">
        <v>103</v>
      </c>
      <c r="C2006" s="11" t="s">
        <v>3363</v>
      </c>
      <c r="D2006" s="11">
        <v>501762.48</v>
      </c>
      <c r="E2006" s="11">
        <v>39351.29</v>
      </c>
      <c r="F2006" s="12">
        <v>44487</v>
      </c>
      <c r="G2006" s="12">
        <v>45205</v>
      </c>
      <c r="H2006" s="11" t="s">
        <v>3591</v>
      </c>
      <c r="I2006" s="11" t="s">
        <v>3365</v>
      </c>
      <c r="J2006" s="13" t="str" cm="1">
        <f t="array" ref="J2006">_xlfn.IFS(
  OR(ISBLANK(A2006),ISBLANK(B2006),ISBLANK(H2006),ISBLANK(D2006),ISBLANK(E2006)),"Missing Value",
  D2006&lt;=0,"Review – Out of Range (Coverage)",
  E2006&lt;=0,"Review – Out of Range (Premium)",
  TRUE,"OK"
)</f>
        <v>OK</v>
      </c>
    </row>
    <row r="2007" spans="1:10" ht="16.8" x14ac:dyDescent="0.3">
      <c r="A2007" s="14" t="s">
        <v>5669</v>
      </c>
      <c r="B2007" s="14" t="s">
        <v>777</v>
      </c>
      <c r="C2007" s="14" t="s">
        <v>3377</v>
      </c>
      <c r="D2007" s="14">
        <v>533034.29</v>
      </c>
      <c r="E2007" s="14">
        <v>47464.18</v>
      </c>
      <c r="F2007" s="15">
        <v>44431</v>
      </c>
      <c r="G2007" s="15">
        <v>45779</v>
      </c>
      <c r="H2007" s="14" t="s">
        <v>4365</v>
      </c>
      <c r="I2007" s="14" t="s">
        <v>3373</v>
      </c>
      <c r="J2007" s="13" t="str" cm="1">
        <f t="array" ref="J2007">_xlfn.IFS(
  OR(ISBLANK(A2007),ISBLANK(B2007),ISBLANK(H2007),ISBLANK(D2007),ISBLANK(E2007)),"Missing Value",
  D2007&lt;=0,"Review – Out of Range (Coverage)",
  E2007&lt;=0,"Review – Out of Range (Premium)",
  TRUE,"OK"
)</f>
        <v>OK</v>
      </c>
    </row>
    <row r="2008" spans="1:10" ht="16.8" x14ac:dyDescent="0.3">
      <c r="A2008" s="11" t="s">
        <v>5670</v>
      </c>
      <c r="B2008" s="11" t="s">
        <v>2521</v>
      </c>
      <c r="C2008" s="11" t="s">
        <v>3377</v>
      </c>
      <c r="D2008" s="11">
        <v>436686.61</v>
      </c>
      <c r="E2008" s="11">
        <v>34515.22</v>
      </c>
      <c r="F2008" s="12">
        <v>45317</v>
      </c>
      <c r="G2008" s="12">
        <v>45642</v>
      </c>
      <c r="H2008" s="11" t="s">
        <v>3809</v>
      </c>
      <c r="I2008" s="11" t="s">
        <v>3365</v>
      </c>
      <c r="J2008" s="13" t="str" cm="1">
        <f t="array" ref="J2008">_xlfn.IFS(
  OR(ISBLANK(A2008),ISBLANK(B2008),ISBLANK(H2008),ISBLANK(D2008),ISBLANK(E2008)),"Missing Value",
  D2008&lt;=0,"Review – Out of Range (Coverage)",
  E2008&lt;=0,"Review – Out of Range (Premium)",
  TRUE,"OK"
)</f>
        <v>OK</v>
      </c>
    </row>
    <row r="2009" spans="1:10" ht="16.8" x14ac:dyDescent="0.3">
      <c r="A2009" s="14" t="s">
        <v>5671</v>
      </c>
      <c r="B2009" s="14" t="s">
        <v>2069</v>
      </c>
      <c r="C2009" s="14" t="s">
        <v>3363</v>
      </c>
      <c r="D2009" s="14">
        <v>138842.91</v>
      </c>
      <c r="E2009" s="14">
        <v>39763.94</v>
      </c>
      <c r="F2009" s="15">
        <v>45427</v>
      </c>
      <c r="G2009" s="15">
        <v>45517</v>
      </c>
      <c r="H2009" s="14" t="s">
        <v>4190</v>
      </c>
      <c r="I2009" s="14" t="s">
        <v>3365</v>
      </c>
      <c r="J2009" s="13" t="str" cm="1">
        <f t="array" ref="J2009">_xlfn.IFS(
  OR(ISBLANK(A2009),ISBLANK(B2009),ISBLANK(H2009),ISBLANK(D2009),ISBLANK(E2009)),"Missing Value",
  D2009&lt;=0,"Review – Out of Range (Coverage)",
  E2009&lt;=0,"Review – Out of Range (Premium)",
  TRUE,"OK"
)</f>
        <v>OK</v>
      </c>
    </row>
    <row r="2010" spans="1:10" ht="16.8" x14ac:dyDescent="0.3">
      <c r="A2010" s="11" t="s">
        <v>5672</v>
      </c>
      <c r="B2010" s="11" t="s">
        <v>1141</v>
      </c>
      <c r="C2010" s="11" t="s">
        <v>3359</v>
      </c>
      <c r="D2010" s="11">
        <v>237645.67</v>
      </c>
      <c r="E2010" s="11">
        <v>45891.15</v>
      </c>
      <c r="F2010" s="12">
        <v>45084</v>
      </c>
      <c r="G2010" s="12">
        <v>45199</v>
      </c>
      <c r="H2010" s="11" t="s">
        <v>4328</v>
      </c>
      <c r="I2010" s="11" t="s">
        <v>3365</v>
      </c>
      <c r="J2010" s="13" t="str" cm="1">
        <f t="array" ref="J2010">_xlfn.IFS(
  OR(ISBLANK(A2010),ISBLANK(B2010),ISBLANK(H2010),ISBLANK(D2010),ISBLANK(E2010)),"Missing Value",
  D2010&lt;=0,"Review – Out of Range (Coverage)",
  E2010&lt;=0,"Review – Out of Range (Premium)",
  TRUE,"OK"
)</f>
        <v>OK</v>
      </c>
    </row>
    <row r="2011" spans="1:10" ht="16.8" x14ac:dyDescent="0.3">
      <c r="A2011" s="14" t="s">
        <v>5673</v>
      </c>
      <c r="B2011" s="14" t="s">
        <v>1235</v>
      </c>
      <c r="C2011" s="14" t="s">
        <v>3363</v>
      </c>
      <c r="D2011" s="14">
        <v>265435.13</v>
      </c>
      <c r="E2011" s="14">
        <v>19019.939999999999</v>
      </c>
      <c r="F2011" s="15">
        <v>44253</v>
      </c>
      <c r="G2011" s="15">
        <v>44541</v>
      </c>
      <c r="H2011" s="14" t="s">
        <v>3838</v>
      </c>
      <c r="I2011" s="14" t="s">
        <v>3373</v>
      </c>
      <c r="J2011" s="13" t="str" cm="1">
        <f t="array" ref="J2011">_xlfn.IFS(
  OR(ISBLANK(A2011),ISBLANK(B2011),ISBLANK(H2011),ISBLANK(D2011),ISBLANK(E2011)),"Missing Value",
  D2011&lt;=0,"Review – Out of Range (Coverage)",
  E2011&lt;=0,"Review – Out of Range (Premium)",
  TRUE,"OK"
)</f>
        <v>OK</v>
      </c>
    </row>
    <row r="2012" spans="1:10" ht="16.8" x14ac:dyDescent="0.3">
      <c r="A2012" s="11" t="s">
        <v>5674</v>
      </c>
      <c r="B2012" s="11" t="s">
        <v>2107</v>
      </c>
      <c r="C2012" s="11" t="s">
        <v>3363</v>
      </c>
      <c r="D2012" s="11">
        <v>561413.01</v>
      </c>
      <c r="E2012" s="11">
        <v>26045.33</v>
      </c>
      <c r="F2012" s="12">
        <v>45246</v>
      </c>
      <c r="G2012" s="12">
        <v>45487</v>
      </c>
      <c r="H2012" s="11" t="s">
        <v>3599</v>
      </c>
      <c r="I2012" s="11" t="s">
        <v>3373</v>
      </c>
      <c r="J2012" s="13" t="str" cm="1">
        <f t="array" ref="J2012">_xlfn.IFS(
  OR(ISBLANK(A2012),ISBLANK(B2012),ISBLANK(H2012),ISBLANK(D2012),ISBLANK(E2012)),"Missing Value",
  D2012&lt;=0,"Review – Out of Range (Coverage)",
  E2012&lt;=0,"Review – Out of Range (Premium)",
  TRUE,"OK"
)</f>
        <v>OK</v>
      </c>
    </row>
    <row r="2013" spans="1:10" ht="16.8" x14ac:dyDescent="0.3">
      <c r="A2013" s="14" t="s">
        <v>5675</v>
      </c>
      <c r="B2013" s="14" t="s">
        <v>2723</v>
      </c>
      <c r="C2013" s="14" t="s">
        <v>3371</v>
      </c>
      <c r="D2013" s="14">
        <v>905995.66</v>
      </c>
      <c r="E2013" s="14">
        <v>47267.57</v>
      </c>
      <c r="F2013" s="15">
        <v>45125</v>
      </c>
      <c r="G2013" s="15">
        <v>45511</v>
      </c>
      <c r="H2013" s="14" t="s">
        <v>3427</v>
      </c>
      <c r="I2013" s="14" t="s">
        <v>3373</v>
      </c>
      <c r="J2013" s="13" t="str" cm="1">
        <f t="array" ref="J2013">_xlfn.IFS(
  OR(ISBLANK(A2013),ISBLANK(B2013),ISBLANK(H2013),ISBLANK(D2013),ISBLANK(E2013)),"Missing Value",
  D2013&lt;=0,"Review – Out of Range (Coverage)",
  E2013&lt;=0,"Review – Out of Range (Premium)",
  TRUE,"OK"
)</f>
        <v>OK</v>
      </c>
    </row>
    <row r="2014" spans="1:10" ht="16.8" x14ac:dyDescent="0.3">
      <c r="A2014" s="11" t="s">
        <v>5676</v>
      </c>
      <c r="B2014" s="11" t="s">
        <v>1529</v>
      </c>
      <c r="C2014" s="11" t="s">
        <v>3371</v>
      </c>
      <c r="D2014" s="11">
        <v>475054.89</v>
      </c>
      <c r="E2014" s="11">
        <v>22296.35</v>
      </c>
      <c r="F2014" s="12">
        <v>44941</v>
      </c>
      <c r="G2014" s="12">
        <v>45494</v>
      </c>
      <c r="H2014" s="11" t="s">
        <v>3955</v>
      </c>
      <c r="I2014" s="11" t="s">
        <v>3365</v>
      </c>
      <c r="J2014" s="13" t="str" cm="1">
        <f t="array" ref="J2014">_xlfn.IFS(
  OR(ISBLANK(A2014),ISBLANK(B2014),ISBLANK(H2014),ISBLANK(D2014),ISBLANK(E2014)),"Missing Value",
  D2014&lt;=0,"Review – Out of Range (Coverage)",
  E2014&lt;=0,"Review – Out of Range (Premium)",
  TRUE,"OK"
)</f>
        <v>OK</v>
      </c>
    </row>
    <row r="2015" spans="1:10" ht="16.8" x14ac:dyDescent="0.3">
      <c r="A2015" s="14" t="s">
        <v>5677</v>
      </c>
      <c r="B2015" s="14" t="s">
        <v>480</v>
      </c>
      <c r="C2015" s="14" t="s">
        <v>3371</v>
      </c>
      <c r="D2015" s="14">
        <v>818227.32</v>
      </c>
      <c r="E2015" s="14">
        <v>40231.72</v>
      </c>
      <c r="F2015" s="15">
        <v>45320</v>
      </c>
      <c r="G2015" s="15">
        <v>45566</v>
      </c>
      <c r="H2015" s="14" t="s">
        <v>3892</v>
      </c>
      <c r="I2015" s="14" t="s">
        <v>3365</v>
      </c>
      <c r="J2015" s="13" t="str" cm="1">
        <f t="array" ref="J2015">_xlfn.IFS(
  OR(ISBLANK(A2015),ISBLANK(B2015),ISBLANK(H2015),ISBLANK(D2015),ISBLANK(E2015)),"Missing Value",
  D2015&lt;=0,"Review – Out of Range (Coverage)",
  E2015&lt;=0,"Review – Out of Range (Premium)",
  TRUE,"OK"
)</f>
        <v>OK</v>
      </c>
    </row>
    <row r="2016" spans="1:10" ht="16.8" x14ac:dyDescent="0.3">
      <c r="A2016" s="11" t="s">
        <v>5678</v>
      </c>
      <c r="B2016" s="11" t="s">
        <v>2605</v>
      </c>
      <c r="C2016" s="11" t="s">
        <v>3377</v>
      </c>
      <c r="D2016" s="11">
        <v>782243.26</v>
      </c>
      <c r="E2016" s="11">
        <v>31338.79</v>
      </c>
      <c r="F2016" s="12">
        <v>45106</v>
      </c>
      <c r="G2016" s="12">
        <v>45278</v>
      </c>
      <c r="H2016" s="11" t="s">
        <v>3898</v>
      </c>
      <c r="I2016" s="11" t="s">
        <v>3373</v>
      </c>
      <c r="J2016" s="13" t="str" cm="1">
        <f t="array" ref="J2016">_xlfn.IFS(
  OR(ISBLANK(A2016),ISBLANK(B2016),ISBLANK(H2016),ISBLANK(D2016),ISBLANK(E2016)),"Missing Value",
  D2016&lt;=0,"Review – Out of Range (Coverage)",
  E2016&lt;=0,"Review – Out of Range (Premium)",
  TRUE,"OK"
)</f>
        <v>OK</v>
      </c>
    </row>
    <row r="2017" spans="1:10" ht="16.8" x14ac:dyDescent="0.3">
      <c r="A2017" s="14" t="s">
        <v>5679</v>
      </c>
      <c r="B2017" s="14" t="s">
        <v>174</v>
      </c>
      <c r="C2017" s="14" t="s">
        <v>3371</v>
      </c>
      <c r="D2017" s="14">
        <v>624812</v>
      </c>
      <c r="E2017" s="14">
        <v>49399.07</v>
      </c>
      <c r="F2017" s="15">
        <v>45087</v>
      </c>
      <c r="G2017" s="15">
        <v>45487</v>
      </c>
      <c r="H2017" s="14" t="s">
        <v>4295</v>
      </c>
      <c r="I2017" s="14" t="s">
        <v>3365</v>
      </c>
      <c r="J2017" s="13" t="str" cm="1">
        <f t="array" ref="J2017">_xlfn.IFS(
  OR(ISBLANK(A2017),ISBLANK(B2017),ISBLANK(H2017),ISBLANK(D2017),ISBLANK(E2017)),"Missing Value",
  D2017&lt;=0,"Review – Out of Range (Coverage)",
  E2017&lt;=0,"Review – Out of Range (Premium)",
  TRUE,"OK"
)</f>
        <v>OK</v>
      </c>
    </row>
    <row r="2018" spans="1:10" ht="16.8" x14ac:dyDescent="0.3">
      <c r="A2018" s="11" t="s">
        <v>5680</v>
      </c>
      <c r="B2018" s="11" t="s">
        <v>2163</v>
      </c>
      <c r="C2018" s="11" t="s">
        <v>3380</v>
      </c>
      <c r="D2018" s="11">
        <v>496560.42</v>
      </c>
      <c r="E2018" s="11">
        <v>15381.19</v>
      </c>
      <c r="F2018" s="12">
        <v>44579</v>
      </c>
      <c r="G2018" s="12">
        <v>45110</v>
      </c>
      <c r="H2018" s="11" t="s">
        <v>3834</v>
      </c>
      <c r="I2018" s="11" t="s">
        <v>3361</v>
      </c>
      <c r="J2018" s="13" t="str" cm="1">
        <f t="array" ref="J2018">_xlfn.IFS(
  OR(ISBLANK(A2018),ISBLANK(B2018),ISBLANK(H2018),ISBLANK(D2018),ISBLANK(E2018)),"Missing Value",
  D2018&lt;=0,"Review – Out of Range (Coverage)",
  E2018&lt;=0,"Review – Out of Range (Premium)",
  TRUE,"OK"
)</f>
        <v>OK</v>
      </c>
    </row>
    <row r="2019" spans="1:10" ht="16.8" x14ac:dyDescent="0.3">
      <c r="A2019" s="14" t="s">
        <v>5681</v>
      </c>
      <c r="B2019" s="14" t="s">
        <v>1111</v>
      </c>
      <c r="C2019" s="14" t="s">
        <v>3377</v>
      </c>
      <c r="D2019" s="14">
        <v>846296.62</v>
      </c>
      <c r="E2019" s="14">
        <v>4146.53</v>
      </c>
      <c r="F2019" s="15">
        <v>44518</v>
      </c>
      <c r="G2019" s="15">
        <v>45811</v>
      </c>
      <c r="H2019" s="14" t="s">
        <v>4660</v>
      </c>
      <c r="I2019" s="14" t="s">
        <v>3373</v>
      </c>
      <c r="J2019" s="13" t="str" cm="1">
        <f t="array" ref="J2019">_xlfn.IFS(
  OR(ISBLANK(A2019),ISBLANK(B2019),ISBLANK(H2019),ISBLANK(D2019),ISBLANK(E2019)),"Missing Value",
  D2019&lt;=0,"Review – Out of Range (Coverage)",
  E2019&lt;=0,"Review – Out of Range (Premium)",
  TRUE,"OK"
)</f>
        <v>OK</v>
      </c>
    </row>
    <row r="2020" spans="1:10" ht="16.8" x14ac:dyDescent="0.3">
      <c r="A2020" s="11" t="s">
        <v>5682</v>
      </c>
      <c r="B2020" s="11" t="s">
        <v>2633</v>
      </c>
      <c r="C2020" s="11" t="s">
        <v>3371</v>
      </c>
      <c r="D2020" s="11">
        <v>935131.69</v>
      </c>
      <c r="E2020" s="11">
        <v>23024.5</v>
      </c>
      <c r="F2020" s="12">
        <v>44948</v>
      </c>
      <c r="G2020" s="12">
        <v>45211</v>
      </c>
      <c r="H2020" s="11" t="s">
        <v>3530</v>
      </c>
      <c r="I2020" s="11" t="s">
        <v>3373</v>
      </c>
      <c r="J2020" s="13" t="str" cm="1">
        <f t="array" ref="J2020">_xlfn.IFS(
  OR(ISBLANK(A2020),ISBLANK(B2020),ISBLANK(H2020),ISBLANK(D2020),ISBLANK(E2020)),"Missing Value",
  D2020&lt;=0,"Review – Out of Range (Coverage)",
  E2020&lt;=0,"Review – Out of Range (Premium)",
  TRUE,"OK"
)</f>
        <v>OK</v>
      </c>
    </row>
    <row r="2021" spans="1:10" ht="16.8" x14ac:dyDescent="0.3">
      <c r="A2021" s="14" t="s">
        <v>5683</v>
      </c>
      <c r="B2021" s="14" t="s">
        <v>1393</v>
      </c>
      <c r="C2021" s="14" t="s">
        <v>3377</v>
      </c>
      <c r="D2021" s="14">
        <v>693997.18</v>
      </c>
      <c r="E2021" s="14">
        <v>27058.94</v>
      </c>
      <c r="F2021" s="15">
        <v>44432</v>
      </c>
      <c r="G2021" s="15">
        <v>44801</v>
      </c>
      <c r="H2021" s="14" t="s">
        <v>3992</v>
      </c>
      <c r="I2021" s="14" t="s">
        <v>3361</v>
      </c>
      <c r="J2021" s="13" t="str" cm="1">
        <f t="array" ref="J2021">_xlfn.IFS(
  OR(ISBLANK(A2021),ISBLANK(B2021),ISBLANK(H2021),ISBLANK(D2021),ISBLANK(E2021)),"Missing Value",
  D2021&lt;=0,"Review – Out of Range (Coverage)",
  E2021&lt;=0,"Review – Out of Range (Premium)",
  TRUE,"OK"
)</f>
        <v>OK</v>
      </c>
    </row>
    <row r="2022" spans="1:10" ht="16.8" x14ac:dyDescent="0.3">
      <c r="A2022" s="11" t="s">
        <v>5684</v>
      </c>
      <c r="B2022" s="11" t="s">
        <v>2873</v>
      </c>
      <c r="C2022" s="11" t="s">
        <v>3363</v>
      </c>
      <c r="D2022" s="11">
        <v>829852.8</v>
      </c>
      <c r="E2022" s="11">
        <v>45962.62</v>
      </c>
      <c r="F2022" s="12">
        <v>45124</v>
      </c>
      <c r="G2022" s="12">
        <v>45660</v>
      </c>
      <c r="H2022" s="11" t="s">
        <v>3914</v>
      </c>
      <c r="I2022" s="11" t="s">
        <v>3365</v>
      </c>
      <c r="J2022" s="13" t="str" cm="1">
        <f t="array" ref="J2022">_xlfn.IFS(
  OR(ISBLANK(A2022),ISBLANK(B2022),ISBLANK(H2022),ISBLANK(D2022),ISBLANK(E2022)),"Missing Value",
  D2022&lt;=0,"Review – Out of Range (Coverage)",
  E2022&lt;=0,"Review – Out of Range (Premium)",
  TRUE,"OK"
)</f>
        <v>OK</v>
      </c>
    </row>
    <row r="2023" spans="1:10" ht="16.8" x14ac:dyDescent="0.3">
      <c r="A2023" s="14" t="s">
        <v>5685</v>
      </c>
      <c r="B2023" s="14" t="s">
        <v>2525</v>
      </c>
      <c r="C2023" s="14" t="s">
        <v>3377</v>
      </c>
      <c r="D2023" s="14">
        <v>672811.03</v>
      </c>
      <c r="E2023" s="14">
        <v>45634.78</v>
      </c>
      <c r="F2023" s="15">
        <v>45195</v>
      </c>
      <c r="G2023" s="15">
        <v>45380</v>
      </c>
      <c r="H2023" s="14" t="s">
        <v>3425</v>
      </c>
      <c r="I2023" s="14" t="s">
        <v>3365</v>
      </c>
      <c r="J2023" s="13" t="str" cm="1">
        <f t="array" ref="J2023">_xlfn.IFS(
  OR(ISBLANK(A2023),ISBLANK(B2023),ISBLANK(H2023),ISBLANK(D2023),ISBLANK(E2023)),"Missing Value",
  D2023&lt;=0,"Review – Out of Range (Coverage)",
  E2023&lt;=0,"Review – Out of Range (Premium)",
  TRUE,"OK"
)</f>
        <v>OK</v>
      </c>
    </row>
    <row r="2024" spans="1:10" ht="16.8" x14ac:dyDescent="0.3">
      <c r="A2024" s="11" t="s">
        <v>5686</v>
      </c>
      <c r="B2024" s="11" t="s">
        <v>723</v>
      </c>
      <c r="C2024" s="11" t="s">
        <v>3380</v>
      </c>
      <c r="D2024" s="11">
        <v>101100.92</v>
      </c>
      <c r="E2024" s="11">
        <v>21791.54</v>
      </c>
      <c r="F2024" s="12">
        <v>45057</v>
      </c>
      <c r="G2024" s="12">
        <v>45701</v>
      </c>
      <c r="H2024" s="11" t="s">
        <v>4290</v>
      </c>
      <c r="I2024" s="11" t="s">
        <v>3361</v>
      </c>
      <c r="J2024" s="13" t="str" cm="1">
        <f t="array" ref="J2024">_xlfn.IFS(
  OR(ISBLANK(A2024),ISBLANK(B2024),ISBLANK(H2024),ISBLANK(D2024),ISBLANK(E2024)),"Missing Value",
  D2024&lt;=0,"Review – Out of Range (Coverage)",
  E2024&lt;=0,"Review – Out of Range (Premium)",
  TRUE,"OK"
)</f>
        <v>OK</v>
      </c>
    </row>
    <row r="2025" spans="1:10" ht="16.8" x14ac:dyDescent="0.3">
      <c r="A2025" s="14" t="s">
        <v>5687</v>
      </c>
      <c r="B2025" s="14" t="s">
        <v>3007</v>
      </c>
      <c r="C2025" s="14" t="s">
        <v>3380</v>
      </c>
      <c r="D2025" s="14">
        <v>639947.93000000005</v>
      </c>
      <c r="E2025" s="14">
        <v>33477.17</v>
      </c>
      <c r="F2025" s="15">
        <v>44447</v>
      </c>
      <c r="G2025" s="15">
        <v>44490</v>
      </c>
      <c r="H2025" s="14" t="s">
        <v>3670</v>
      </c>
      <c r="I2025" s="14" t="s">
        <v>3361</v>
      </c>
      <c r="J2025" s="13" t="str" cm="1">
        <f t="array" ref="J2025">_xlfn.IFS(
  OR(ISBLANK(A2025),ISBLANK(B2025),ISBLANK(H2025),ISBLANK(D2025),ISBLANK(E2025)),"Missing Value",
  D2025&lt;=0,"Review – Out of Range (Coverage)",
  E2025&lt;=0,"Review – Out of Range (Premium)",
  TRUE,"OK"
)</f>
        <v>OK</v>
      </c>
    </row>
    <row r="2026" spans="1:10" ht="16.8" x14ac:dyDescent="0.3">
      <c r="A2026" s="11" t="s">
        <v>5688</v>
      </c>
      <c r="B2026" s="11" t="s">
        <v>1737</v>
      </c>
      <c r="C2026" s="11" t="s">
        <v>3371</v>
      </c>
      <c r="D2026" s="11">
        <v>620183.41</v>
      </c>
      <c r="E2026" s="11">
        <v>34468.42</v>
      </c>
      <c r="F2026" s="12">
        <v>45356</v>
      </c>
      <c r="G2026" s="12">
        <v>45826</v>
      </c>
      <c r="H2026" s="11" t="s">
        <v>3560</v>
      </c>
      <c r="I2026" s="11" t="s">
        <v>3373</v>
      </c>
      <c r="J2026" s="13" t="str" cm="1">
        <f t="array" ref="J2026">_xlfn.IFS(
  OR(ISBLANK(A2026),ISBLANK(B2026),ISBLANK(H2026),ISBLANK(D2026),ISBLANK(E2026)),"Missing Value",
  D2026&lt;=0,"Review – Out of Range (Coverage)",
  E2026&lt;=0,"Review – Out of Range (Premium)",
  TRUE,"OK"
)</f>
        <v>OK</v>
      </c>
    </row>
    <row r="2027" spans="1:10" ht="16.8" x14ac:dyDescent="0.3">
      <c r="A2027" s="14" t="s">
        <v>5689</v>
      </c>
      <c r="B2027" s="14" t="s">
        <v>601</v>
      </c>
      <c r="C2027" s="14" t="s">
        <v>3363</v>
      </c>
      <c r="D2027" s="14">
        <v>542104.23</v>
      </c>
      <c r="E2027" s="14">
        <v>36942.800000000003</v>
      </c>
      <c r="F2027" s="15">
        <v>44746</v>
      </c>
      <c r="G2027" s="15">
        <v>44994</v>
      </c>
      <c r="H2027" s="14" t="s">
        <v>3834</v>
      </c>
      <c r="I2027" s="14" t="s">
        <v>3361</v>
      </c>
      <c r="J2027" s="13" t="str" cm="1">
        <f t="array" ref="J2027">_xlfn.IFS(
  OR(ISBLANK(A2027),ISBLANK(B2027),ISBLANK(H2027),ISBLANK(D2027),ISBLANK(E2027)),"Missing Value",
  D2027&lt;=0,"Review – Out of Range (Coverage)",
  E2027&lt;=0,"Review – Out of Range (Premium)",
  TRUE,"OK"
)</f>
        <v>OK</v>
      </c>
    </row>
    <row r="2028" spans="1:10" ht="16.8" x14ac:dyDescent="0.3">
      <c r="A2028" s="11" t="s">
        <v>5690</v>
      </c>
      <c r="B2028" s="11" t="s">
        <v>1407</v>
      </c>
      <c r="C2028" s="11" t="s">
        <v>3371</v>
      </c>
      <c r="D2028" s="11">
        <v>813248.83</v>
      </c>
      <c r="E2028" s="11">
        <v>40899.879999999997</v>
      </c>
      <c r="F2028" s="12">
        <v>45051</v>
      </c>
      <c r="G2028" s="12">
        <v>45701</v>
      </c>
      <c r="H2028" s="11" t="s">
        <v>3675</v>
      </c>
      <c r="I2028" s="11" t="s">
        <v>3361</v>
      </c>
      <c r="J2028" s="13" t="str" cm="1">
        <f t="array" ref="J2028">_xlfn.IFS(
  OR(ISBLANK(A2028),ISBLANK(B2028),ISBLANK(H2028),ISBLANK(D2028),ISBLANK(E2028)),"Missing Value",
  D2028&lt;=0,"Review – Out of Range (Coverage)",
  E2028&lt;=0,"Review – Out of Range (Premium)",
  TRUE,"OK"
)</f>
        <v>OK</v>
      </c>
    </row>
    <row r="2029" spans="1:10" ht="16.8" x14ac:dyDescent="0.3">
      <c r="A2029" s="14" t="s">
        <v>5691</v>
      </c>
      <c r="B2029" s="14" t="s">
        <v>474</v>
      </c>
      <c r="C2029" s="14" t="s">
        <v>3359</v>
      </c>
      <c r="D2029" s="14">
        <v>798987.46</v>
      </c>
      <c r="E2029" s="14">
        <v>20812.95</v>
      </c>
      <c r="F2029" s="15">
        <v>44901</v>
      </c>
      <c r="G2029" s="15">
        <v>45424</v>
      </c>
      <c r="H2029" s="14" t="s">
        <v>3467</v>
      </c>
      <c r="I2029" s="14" t="s">
        <v>3373</v>
      </c>
      <c r="J2029" s="13" t="str" cm="1">
        <f t="array" ref="J2029">_xlfn.IFS(
  OR(ISBLANK(A2029),ISBLANK(B2029),ISBLANK(H2029),ISBLANK(D2029),ISBLANK(E2029)),"Missing Value",
  D2029&lt;=0,"Review – Out of Range (Coverage)",
  E2029&lt;=0,"Review – Out of Range (Premium)",
  TRUE,"OK"
)</f>
        <v>OK</v>
      </c>
    </row>
    <row r="2030" spans="1:10" ht="16.8" x14ac:dyDescent="0.3">
      <c r="A2030" s="11" t="s">
        <v>5692</v>
      </c>
      <c r="B2030" s="11" t="s">
        <v>2687</v>
      </c>
      <c r="C2030" s="11" t="s">
        <v>3371</v>
      </c>
      <c r="D2030" s="11">
        <v>854348.72</v>
      </c>
      <c r="E2030" s="11">
        <v>19863.18</v>
      </c>
      <c r="F2030" s="12">
        <v>45141</v>
      </c>
      <c r="G2030" s="12">
        <v>45210</v>
      </c>
      <c r="H2030" s="11" t="s">
        <v>3461</v>
      </c>
      <c r="I2030" s="11" t="s">
        <v>3365</v>
      </c>
      <c r="J2030" s="13" t="str" cm="1">
        <f t="array" ref="J2030">_xlfn.IFS(
  OR(ISBLANK(A2030),ISBLANK(B2030),ISBLANK(H2030),ISBLANK(D2030),ISBLANK(E2030)),"Missing Value",
  D2030&lt;=0,"Review – Out of Range (Coverage)",
  E2030&lt;=0,"Review – Out of Range (Premium)",
  TRUE,"OK"
)</f>
        <v>OK</v>
      </c>
    </row>
    <row r="2031" spans="1:10" ht="16.8" x14ac:dyDescent="0.3">
      <c r="A2031" s="14" t="s">
        <v>5693</v>
      </c>
      <c r="B2031" s="14" t="s">
        <v>1185</v>
      </c>
      <c r="C2031" s="14" t="s">
        <v>3359</v>
      </c>
      <c r="D2031" s="14">
        <v>341445.45</v>
      </c>
      <c r="E2031" s="14">
        <v>22553.38</v>
      </c>
      <c r="F2031" s="15">
        <v>44755</v>
      </c>
      <c r="G2031" s="15">
        <v>45797</v>
      </c>
      <c r="H2031" s="14" t="s">
        <v>3815</v>
      </c>
      <c r="I2031" s="14" t="s">
        <v>3373</v>
      </c>
      <c r="J2031" s="13" t="str" cm="1">
        <f t="array" ref="J2031">_xlfn.IFS(
  OR(ISBLANK(A2031),ISBLANK(B2031),ISBLANK(H2031),ISBLANK(D2031),ISBLANK(E2031)),"Missing Value",
  D2031&lt;=0,"Review – Out of Range (Coverage)",
  E2031&lt;=0,"Review – Out of Range (Premium)",
  TRUE,"OK"
)</f>
        <v>OK</v>
      </c>
    </row>
    <row r="2032" spans="1:10" ht="16.8" x14ac:dyDescent="0.3">
      <c r="A2032" s="11" t="s">
        <v>5694</v>
      </c>
      <c r="B2032" s="11" t="s">
        <v>1879</v>
      </c>
      <c r="C2032" s="11" t="s">
        <v>3371</v>
      </c>
      <c r="D2032" s="11">
        <v>686604.36</v>
      </c>
      <c r="E2032" s="11">
        <v>8263.61</v>
      </c>
      <c r="F2032" s="12">
        <v>45301</v>
      </c>
      <c r="G2032" s="12">
        <v>45808</v>
      </c>
      <c r="H2032" s="11" t="s">
        <v>4439</v>
      </c>
      <c r="I2032" s="11" t="s">
        <v>3373</v>
      </c>
      <c r="J2032" s="13" t="str" cm="1">
        <f t="array" ref="J2032">_xlfn.IFS(
  OR(ISBLANK(A2032),ISBLANK(B2032),ISBLANK(H2032),ISBLANK(D2032),ISBLANK(E2032)),"Missing Value",
  D2032&lt;=0,"Review – Out of Range (Coverage)",
  E2032&lt;=0,"Review – Out of Range (Premium)",
  TRUE,"OK"
)</f>
        <v>OK</v>
      </c>
    </row>
    <row r="2033" spans="1:10" ht="16.8" x14ac:dyDescent="0.3">
      <c r="A2033" s="14" t="s">
        <v>5695</v>
      </c>
      <c r="B2033" s="14" t="s">
        <v>128</v>
      </c>
      <c r="C2033" s="14" t="s">
        <v>3377</v>
      </c>
      <c r="D2033" s="14">
        <v>264095.57</v>
      </c>
      <c r="E2033" s="14">
        <v>33682.519999999997</v>
      </c>
      <c r="F2033" s="15">
        <v>44792</v>
      </c>
      <c r="G2033" s="15">
        <v>45330</v>
      </c>
      <c r="H2033" s="14" t="s">
        <v>3571</v>
      </c>
      <c r="I2033" s="14" t="s">
        <v>3361</v>
      </c>
      <c r="J2033" s="13" t="str" cm="1">
        <f t="array" ref="J2033">_xlfn.IFS(
  OR(ISBLANK(A2033),ISBLANK(B2033),ISBLANK(H2033),ISBLANK(D2033),ISBLANK(E2033)),"Missing Value",
  D2033&lt;=0,"Review – Out of Range (Coverage)",
  E2033&lt;=0,"Review – Out of Range (Premium)",
  TRUE,"OK"
)</f>
        <v>OK</v>
      </c>
    </row>
    <row r="2034" spans="1:10" ht="16.8" x14ac:dyDescent="0.3">
      <c r="A2034" s="11" t="s">
        <v>5696</v>
      </c>
      <c r="B2034" s="11" t="s">
        <v>1549</v>
      </c>
      <c r="C2034" s="11" t="s">
        <v>3380</v>
      </c>
      <c r="D2034" s="11">
        <v>744667.02</v>
      </c>
      <c r="E2034" s="11">
        <v>48133.48</v>
      </c>
      <c r="F2034" s="12">
        <v>44991</v>
      </c>
      <c r="G2034" s="12">
        <v>45829</v>
      </c>
      <c r="H2034" s="11" t="s">
        <v>3892</v>
      </c>
      <c r="I2034" s="11" t="s">
        <v>3365</v>
      </c>
      <c r="J2034" s="13" t="str" cm="1">
        <f t="array" ref="J2034">_xlfn.IFS(
  OR(ISBLANK(A2034),ISBLANK(B2034),ISBLANK(H2034),ISBLANK(D2034),ISBLANK(E2034)),"Missing Value",
  D2034&lt;=0,"Review – Out of Range (Coverage)",
  E2034&lt;=0,"Review – Out of Range (Premium)",
  TRUE,"OK"
)</f>
        <v>OK</v>
      </c>
    </row>
    <row r="2035" spans="1:10" ht="16.8" x14ac:dyDescent="0.3">
      <c r="A2035" s="14" t="s">
        <v>5697</v>
      </c>
      <c r="B2035" s="14" t="s">
        <v>1541</v>
      </c>
      <c r="C2035" s="14" t="s">
        <v>3380</v>
      </c>
      <c r="D2035" s="14">
        <v>703196.86</v>
      </c>
      <c r="E2035" s="14">
        <v>4525.28</v>
      </c>
      <c r="F2035" s="15">
        <v>45211</v>
      </c>
      <c r="G2035" s="15">
        <v>45581</v>
      </c>
      <c r="H2035" s="14" t="s">
        <v>3440</v>
      </c>
      <c r="I2035" s="14" t="s">
        <v>3373</v>
      </c>
      <c r="J2035" s="13" t="str" cm="1">
        <f t="array" ref="J2035">_xlfn.IFS(
  OR(ISBLANK(A2035),ISBLANK(B2035),ISBLANK(H2035),ISBLANK(D2035),ISBLANK(E2035)),"Missing Value",
  D2035&lt;=0,"Review – Out of Range (Coverage)",
  E2035&lt;=0,"Review – Out of Range (Premium)",
  TRUE,"OK"
)</f>
        <v>OK</v>
      </c>
    </row>
    <row r="2036" spans="1:10" ht="16.8" x14ac:dyDescent="0.3">
      <c r="A2036" s="11" t="s">
        <v>5698</v>
      </c>
      <c r="B2036" s="11" t="s">
        <v>2789</v>
      </c>
      <c r="C2036" s="11" t="s">
        <v>3371</v>
      </c>
      <c r="D2036" s="11">
        <v>461846.38</v>
      </c>
      <c r="E2036" s="11">
        <v>29118.99</v>
      </c>
      <c r="F2036" s="12">
        <v>45459</v>
      </c>
      <c r="G2036" s="12">
        <v>45598</v>
      </c>
      <c r="H2036" s="11" t="s">
        <v>4575</v>
      </c>
      <c r="I2036" s="11" t="s">
        <v>3373</v>
      </c>
      <c r="J2036" s="13" t="str" cm="1">
        <f t="array" ref="J2036">_xlfn.IFS(
  OR(ISBLANK(A2036),ISBLANK(B2036),ISBLANK(H2036),ISBLANK(D2036),ISBLANK(E2036)),"Missing Value",
  D2036&lt;=0,"Review – Out of Range (Coverage)",
  E2036&lt;=0,"Review – Out of Range (Premium)",
  TRUE,"OK"
)</f>
        <v>OK</v>
      </c>
    </row>
    <row r="2037" spans="1:10" ht="16.8" x14ac:dyDescent="0.3">
      <c r="A2037" s="14" t="s">
        <v>5699</v>
      </c>
      <c r="B2037" s="14" t="s">
        <v>1883</v>
      </c>
      <c r="C2037" s="14" t="s">
        <v>3377</v>
      </c>
      <c r="D2037" s="14">
        <v>322653.38</v>
      </c>
      <c r="E2037" s="14">
        <v>40671.4</v>
      </c>
      <c r="F2037" s="15">
        <v>44713</v>
      </c>
      <c r="G2037" s="15">
        <v>45601</v>
      </c>
      <c r="H2037" s="14" t="s">
        <v>3617</v>
      </c>
      <c r="I2037" s="14" t="s">
        <v>3361</v>
      </c>
      <c r="J2037" s="13" t="str" cm="1">
        <f t="array" ref="J2037">_xlfn.IFS(
  OR(ISBLANK(A2037),ISBLANK(B2037),ISBLANK(H2037),ISBLANK(D2037),ISBLANK(E2037)),"Missing Value",
  D2037&lt;=0,"Review – Out of Range (Coverage)",
  E2037&lt;=0,"Review – Out of Range (Premium)",
  TRUE,"OK"
)</f>
        <v>OK</v>
      </c>
    </row>
    <row r="2038" spans="1:10" ht="16.8" x14ac:dyDescent="0.3">
      <c r="A2038" s="11" t="s">
        <v>5700</v>
      </c>
      <c r="B2038" s="11" t="s">
        <v>2683</v>
      </c>
      <c r="C2038" s="11" t="s">
        <v>3377</v>
      </c>
      <c r="D2038" s="11">
        <v>782612.38</v>
      </c>
      <c r="E2038" s="11">
        <v>3461.05</v>
      </c>
      <c r="F2038" s="12">
        <v>45139</v>
      </c>
      <c r="G2038" s="12">
        <v>45454</v>
      </c>
      <c r="H2038" s="11" t="s">
        <v>3740</v>
      </c>
      <c r="I2038" s="11" t="s">
        <v>3373</v>
      </c>
      <c r="J2038" s="13" t="str" cm="1">
        <f t="array" ref="J2038">_xlfn.IFS(
  OR(ISBLANK(A2038),ISBLANK(B2038),ISBLANK(H2038),ISBLANK(D2038),ISBLANK(E2038)),"Missing Value",
  D2038&lt;=0,"Review – Out of Range (Coverage)",
  E2038&lt;=0,"Review – Out of Range (Premium)",
  TRUE,"OK"
)</f>
        <v>OK</v>
      </c>
    </row>
    <row r="2039" spans="1:10" ht="16.8" x14ac:dyDescent="0.3">
      <c r="A2039" s="14" t="s">
        <v>5701</v>
      </c>
      <c r="B2039" s="14" t="s">
        <v>2233</v>
      </c>
      <c r="C2039" s="14" t="s">
        <v>3371</v>
      </c>
      <c r="D2039" s="14">
        <v>380857.59</v>
      </c>
      <c r="E2039" s="14">
        <v>13465.95</v>
      </c>
      <c r="F2039" s="15">
        <v>44773</v>
      </c>
      <c r="G2039" s="15">
        <v>45265</v>
      </c>
      <c r="H2039" s="14" t="s">
        <v>3372</v>
      </c>
      <c r="I2039" s="14" t="s">
        <v>3365</v>
      </c>
      <c r="J2039" s="13" t="str" cm="1">
        <f t="array" ref="J2039">_xlfn.IFS(
  OR(ISBLANK(A2039),ISBLANK(B2039),ISBLANK(H2039),ISBLANK(D2039),ISBLANK(E2039)),"Missing Value",
  D2039&lt;=0,"Review – Out of Range (Coverage)",
  E2039&lt;=0,"Review – Out of Range (Premium)",
  TRUE,"OK"
)</f>
        <v>OK</v>
      </c>
    </row>
    <row r="2040" spans="1:10" ht="16.8" x14ac:dyDescent="0.3">
      <c r="A2040" s="11" t="s">
        <v>5702</v>
      </c>
      <c r="B2040" s="11" t="s">
        <v>859</v>
      </c>
      <c r="C2040" s="11" t="s">
        <v>3371</v>
      </c>
      <c r="D2040" s="11">
        <v>740630.15</v>
      </c>
      <c r="E2040" s="11">
        <v>31492.17</v>
      </c>
      <c r="F2040" s="12">
        <v>44449</v>
      </c>
      <c r="G2040" s="12">
        <v>45784</v>
      </c>
      <c r="H2040" s="11" t="s">
        <v>4623</v>
      </c>
      <c r="I2040" s="11" t="s">
        <v>3365</v>
      </c>
      <c r="J2040" s="13" t="str" cm="1">
        <f t="array" ref="J2040">_xlfn.IFS(
  OR(ISBLANK(A2040),ISBLANK(B2040),ISBLANK(H2040),ISBLANK(D2040),ISBLANK(E2040)),"Missing Value",
  D2040&lt;=0,"Review – Out of Range (Coverage)",
  E2040&lt;=0,"Review – Out of Range (Premium)",
  TRUE,"OK"
)</f>
        <v>OK</v>
      </c>
    </row>
    <row r="2041" spans="1:10" ht="16.8" x14ac:dyDescent="0.3">
      <c r="A2041" s="14" t="s">
        <v>5703</v>
      </c>
      <c r="B2041" s="14" t="s">
        <v>1373</v>
      </c>
      <c r="C2041" s="14" t="s">
        <v>3359</v>
      </c>
      <c r="D2041" s="14">
        <v>672487.42</v>
      </c>
      <c r="E2041" s="14">
        <v>5743.42</v>
      </c>
      <c r="F2041" s="15">
        <v>44543</v>
      </c>
      <c r="G2041" s="15">
        <v>44711</v>
      </c>
      <c r="H2041" s="14" t="s">
        <v>3636</v>
      </c>
      <c r="I2041" s="14" t="s">
        <v>3361</v>
      </c>
      <c r="J2041" s="13" t="str" cm="1">
        <f t="array" ref="J2041">_xlfn.IFS(
  OR(ISBLANK(A2041),ISBLANK(B2041),ISBLANK(H2041),ISBLANK(D2041),ISBLANK(E2041)),"Missing Value",
  D2041&lt;=0,"Review – Out of Range (Coverage)",
  E2041&lt;=0,"Review – Out of Range (Premium)",
  TRUE,"OK"
)</f>
        <v>OK</v>
      </c>
    </row>
    <row r="2042" spans="1:10" ht="16.8" x14ac:dyDescent="0.3">
      <c r="A2042" s="11" t="s">
        <v>5704</v>
      </c>
      <c r="B2042" s="11" t="s">
        <v>1897</v>
      </c>
      <c r="C2042" s="11" t="s">
        <v>3377</v>
      </c>
      <c r="D2042" s="11">
        <v>723441.87</v>
      </c>
      <c r="E2042" s="11">
        <v>47815.519999999997</v>
      </c>
      <c r="F2042" s="12">
        <v>45486</v>
      </c>
      <c r="G2042" s="12">
        <v>45797</v>
      </c>
      <c r="H2042" s="11" t="s">
        <v>3490</v>
      </c>
      <c r="I2042" s="11" t="s">
        <v>3361</v>
      </c>
      <c r="J2042" s="13" t="str" cm="1">
        <f t="array" ref="J2042">_xlfn.IFS(
  OR(ISBLANK(A2042),ISBLANK(B2042),ISBLANK(H2042),ISBLANK(D2042),ISBLANK(E2042)),"Missing Value",
  D2042&lt;=0,"Review – Out of Range (Coverage)",
  E2042&lt;=0,"Review – Out of Range (Premium)",
  TRUE,"OK"
)</f>
        <v>OK</v>
      </c>
    </row>
    <row r="2043" spans="1:10" ht="16.8" x14ac:dyDescent="0.3">
      <c r="A2043" s="14" t="s">
        <v>5705</v>
      </c>
      <c r="B2043" s="14" t="s">
        <v>1847</v>
      </c>
      <c r="C2043" s="14" t="s">
        <v>3363</v>
      </c>
      <c r="D2043" s="14">
        <v>195018.47</v>
      </c>
      <c r="E2043" s="14">
        <v>7348.34</v>
      </c>
      <c r="F2043" s="15">
        <v>44254</v>
      </c>
      <c r="G2043" s="15">
        <v>44754</v>
      </c>
      <c r="H2043" s="14" t="s">
        <v>3903</v>
      </c>
      <c r="I2043" s="14" t="s">
        <v>3373</v>
      </c>
      <c r="J2043" s="13" t="str" cm="1">
        <f t="array" ref="J2043">_xlfn.IFS(
  OR(ISBLANK(A2043),ISBLANK(B2043),ISBLANK(H2043),ISBLANK(D2043),ISBLANK(E2043)),"Missing Value",
  D2043&lt;=0,"Review – Out of Range (Coverage)",
  E2043&lt;=0,"Review – Out of Range (Premium)",
  TRUE,"OK"
)</f>
        <v>OK</v>
      </c>
    </row>
    <row r="2044" spans="1:10" ht="16.8" x14ac:dyDescent="0.3">
      <c r="A2044" s="11" t="s">
        <v>5706</v>
      </c>
      <c r="B2044" s="11" t="s">
        <v>86</v>
      </c>
      <c r="C2044" s="11" t="s">
        <v>3377</v>
      </c>
      <c r="D2044" s="11">
        <v>167615.73000000001</v>
      </c>
      <c r="E2044" s="11">
        <v>34762.550000000003</v>
      </c>
      <c r="F2044" s="12">
        <v>45129</v>
      </c>
      <c r="G2044" s="12">
        <v>45223</v>
      </c>
      <c r="H2044" s="11" t="s">
        <v>4136</v>
      </c>
      <c r="I2044" s="11" t="s">
        <v>3361</v>
      </c>
      <c r="J2044" s="13" t="str" cm="1">
        <f t="array" ref="J2044">_xlfn.IFS(
  OR(ISBLANK(A2044),ISBLANK(B2044),ISBLANK(H2044),ISBLANK(D2044),ISBLANK(E2044)),"Missing Value",
  D2044&lt;=0,"Review – Out of Range (Coverage)",
  E2044&lt;=0,"Review – Out of Range (Premium)",
  TRUE,"OK"
)</f>
        <v>OK</v>
      </c>
    </row>
    <row r="2045" spans="1:10" ht="16.8" x14ac:dyDescent="0.3">
      <c r="A2045" s="14" t="s">
        <v>5707</v>
      </c>
      <c r="B2045" s="14" t="s">
        <v>208</v>
      </c>
      <c r="C2045" s="14" t="s">
        <v>3380</v>
      </c>
      <c r="D2045" s="14">
        <v>235452.63</v>
      </c>
      <c r="E2045" s="14">
        <v>36541.81</v>
      </c>
      <c r="F2045" s="15">
        <v>44507</v>
      </c>
      <c r="G2045" s="15">
        <v>44950</v>
      </c>
      <c r="H2045" s="14" t="s">
        <v>3375</v>
      </c>
      <c r="I2045" s="14" t="s">
        <v>3373</v>
      </c>
      <c r="J2045" s="13" t="str" cm="1">
        <f t="array" ref="J2045">_xlfn.IFS(
  OR(ISBLANK(A2045),ISBLANK(B2045),ISBLANK(H2045),ISBLANK(D2045),ISBLANK(E2045)),"Missing Value",
  D2045&lt;=0,"Review – Out of Range (Coverage)",
  E2045&lt;=0,"Review – Out of Range (Premium)",
  TRUE,"OK"
)</f>
        <v>OK</v>
      </c>
    </row>
    <row r="2046" spans="1:10" ht="16.8" x14ac:dyDescent="0.3">
      <c r="A2046" s="11" t="s">
        <v>5708</v>
      </c>
      <c r="B2046" s="11" t="s">
        <v>3048</v>
      </c>
      <c r="C2046" s="11" t="s">
        <v>3363</v>
      </c>
      <c r="D2046" s="11">
        <v>806105.01</v>
      </c>
      <c r="E2046" s="11">
        <v>25614.9</v>
      </c>
      <c r="F2046" s="12">
        <v>44135</v>
      </c>
      <c r="G2046" s="12">
        <v>44940</v>
      </c>
      <c r="H2046" s="11" t="s">
        <v>3391</v>
      </c>
      <c r="I2046" s="11" t="s">
        <v>3365</v>
      </c>
      <c r="J2046" s="13" t="str" cm="1">
        <f t="array" ref="J2046">_xlfn.IFS(
  OR(ISBLANK(A2046),ISBLANK(B2046),ISBLANK(H2046),ISBLANK(D2046),ISBLANK(E2046)),"Missing Value",
  D2046&lt;=0,"Review – Out of Range (Coverage)",
  E2046&lt;=0,"Review – Out of Range (Premium)",
  TRUE,"OK"
)</f>
        <v>OK</v>
      </c>
    </row>
    <row r="2047" spans="1:10" ht="16.8" x14ac:dyDescent="0.3">
      <c r="A2047" s="14" t="s">
        <v>5709</v>
      </c>
      <c r="B2047" s="14" t="s">
        <v>152</v>
      </c>
      <c r="C2047" s="14" t="s">
        <v>3363</v>
      </c>
      <c r="D2047" s="14">
        <v>961576.63</v>
      </c>
      <c r="E2047" s="14">
        <v>21265.74</v>
      </c>
      <c r="F2047" s="15">
        <v>44806</v>
      </c>
      <c r="G2047" s="15">
        <v>45395</v>
      </c>
      <c r="H2047" s="14" t="s">
        <v>3974</v>
      </c>
      <c r="I2047" s="14" t="s">
        <v>3361</v>
      </c>
      <c r="J2047" s="13" t="str" cm="1">
        <f t="array" ref="J2047">_xlfn.IFS(
  OR(ISBLANK(A2047),ISBLANK(B2047),ISBLANK(H2047),ISBLANK(D2047),ISBLANK(E2047)),"Missing Value",
  D2047&lt;=0,"Review – Out of Range (Coverage)",
  E2047&lt;=0,"Review – Out of Range (Premium)",
  TRUE,"OK"
)</f>
        <v>OK</v>
      </c>
    </row>
    <row r="2048" spans="1:10" ht="16.8" x14ac:dyDescent="0.3">
      <c r="A2048" s="11" t="s">
        <v>5710</v>
      </c>
      <c r="B2048" s="11" t="s">
        <v>887</v>
      </c>
      <c r="C2048" s="11" t="s">
        <v>3359</v>
      </c>
      <c r="D2048" s="11">
        <v>247007.26</v>
      </c>
      <c r="E2048" s="11">
        <v>34589.08</v>
      </c>
      <c r="F2048" s="12">
        <v>45112</v>
      </c>
      <c r="G2048" s="12">
        <v>45252</v>
      </c>
      <c r="H2048" s="11" t="s">
        <v>3725</v>
      </c>
      <c r="I2048" s="11" t="s">
        <v>3365</v>
      </c>
      <c r="J2048" s="13" t="str" cm="1">
        <f t="array" ref="J2048">_xlfn.IFS(
  OR(ISBLANK(A2048),ISBLANK(B2048),ISBLANK(H2048),ISBLANK(D2048),ISBLANK(E2048)),"Missing Value",
  D2048&lt;=0,"Review – Out of Range (Coverage)",
  E2048&lt;=0,"Review – Out of Range (Premium)",
  TRUE,"OK"
)</f>
        <v>OK</v>
      </c>
    </row>
    <row r="2049" spans="1:10" ht="16.8" x14ac:dyDescent="0.3">
      <c r="A2049" s="14" t="s">
        <v>5711</v>
      </c>
      <c r="B2049" s="14" t="s">
        <v>1717</v>
      </c>
      <c r="C2049" s="14" t="s">
        <v>3363</v>
      </c>
      <c r="D2049" s="14">
        <v>438932.76</v>
      </c>
      <c r="E2049" s="14">
        <v>28863.79</v>
      </c>
      <c r="F2049" s="15">
        <v>45442</v>
      </c>
      <c r="G2049" s="15">
        <v>45509</v>
      </c>
      <c r="H2049" s="14" t="s">
        <v>4324</v>
      </c>
      <c r="I2049" s="14" t="s">
        <v>3373</v>
      </c>
      <c r="J2049" s="13" t="str" cm="1">
        <f t="array" ref="J2049">_xlfn.IFS(
  OR(ISBLANK(A2049),ISBLANK(B2049),ISBLANK(H2049),ISBLANK(D2049),ISBLANK(E2049)),"Missing Value",
  D2049&lt;=0,"Review – Out of Range (Coverage)",
  E2049&lt;=0,"Review – Out of Range (Premium)",
  TRUE,"OK"
)</f>
        <v>OK</v>
      </c>
    </row>
    <row r="2050" spans="1:10" ht="16.8" x14ac:dyDescent="0.3">
      <c r="A2050" s="11" t="s">
        <v>5712</v>
      </c>
      <c r="B2050" s="11" t="s">
        <v>202</v>
      </c>
      <c r="C2050" s="11" t="s">
        <v>3371</v>
      </c>
      <c r="D2050" s="11">
        <v>255747.01</v>
      </c>
      <c r="E2050" s="11">
        <v>32308.76</v>
      </c>
      <c r="F2050" s="12">
        <v>45479</v>
      </c>
      <c r="G2050" s="12">
        <v>45648</v>
      </c>
      <c r="H2050" s="11" t="s">
        <v>4630</v>
      </c>
      <c r="I2050" s="11" t="s">
        <v>3373</v>
      </c>
      <c r="J2050" s="13" t="str" cm="1">
        <f t="array" ref="J2050">_xlfn.IFS(
  OR(ISBLANK(A2050),ISBLANK(B2050),ISBLANK(H2050),ISBLANK(D2050),ISBLANK(E2050)),"Missing Value",
  D2050&lt;=0,"Review – Out of Range (Coverage)",
  E2050&lt;=0,"Review – Out of Range (Premium)",
  TRUE,"OK"
)</f>
        <v>OK</v>
      </c>
    </row>
    <row r="2051" spans="1:10" ht="16.8" x14ac:dyDescent="0.3">
      <c r="A2051" s="14" t="s">
        <v>5713</v>
      </c>
      <c r="B2051" s="14" t="s">
        <v>585</v>
      </c>
      <c r="C2051" s="14" t="s">
        <v>3359</v>
      </c>
      <c r="D2051" s="14">
        <v>918418.08</v>
      </c>
      <c r="E2051" s="14">
        <v>31575.81</v>
      </c>
      <c r="F2051" s="15">
        <v>44727</v>
      </c>
      <c r="G2051" s="15">
        <v>45158</v>
      </c>
      <c r="H2051" s="14" t="s">
        <v>3914</v>
      </c>
      <c r="I2051" s="14" t="s">
        <v>3361</v>
      </c>
      <c r="J2051" s="13" t="str" cm="1">
        <f t="array" ref="J2051">_xlfn.IFS(
  OR(ISBLANK(A2051),ISBLANK(B2051),ISBLANK(H2051),ISBLANK(D2051),ISBLANK(E2051)),"Missing Value",
  D2051&lt;=0,"Review – Out of Range (Coverage)",
  E2051&lt;=0,"Review – Out of Range (Premium)",
  TRUE,"OK"
)</f>
        <v>OK</v>
      </c>
    </row>
    <row r="2052" spans="1:10" ht="16.8" x14ac:dyDescent="0.3">
      <c r="A2052" s="11" t="s">
        <v>5714</v>
      </c>
      <c r="B2052" s="11" t="s">
        <v>2149</v>
      </c>
      <c r="C2052" s="11" t="s">
        <v>3359</v>
      </c>
      <c r="D2052" s="11">
        <v>985908.04</v>
      </c>
      <c r="E2052" s="11">
        <v>29855.14</v>
      </c>
      <c r="F2052" s="12">
        <v>44760</v>
      </c>
      <c r="G2052" s="12">
        <v>45114</v>
      </c>
      <c r="H2052" s="11" t="s">
        <v>3914</v>
      </c>
      <c r="I2052" s="11" t="s">
        <v>3365</v>
      </c>
      <c r="J2052" s="13" t="str" cm="1">
        <f t="array" ref="J2052">_xlfn.IFS(
  OR(ISBLANK(A2052),ISBLANK(B2052),ISBLANK(H2052),ISBLANK(D2052),ISBLANK(E2052)),"Missing Value",
  D2052&lt;=0,"Review – Out of Range (Coverage)",
  E2052&lt;=0,"Review – Out of Range (Premium)",
  TRUE,"OK"
)</f>
        <v>OK</v>
      </c>
    </row>
    <row r="2053" spans="1:10" ht="16.8" x14ac:dyDescent="0.3">
      <c r="A2053" s="14" t="s">
        <v>5715</v>
      </c>
      <c r="B2053" s="14" t="s">
        <v>3254</v>
      </c>
      <c r="C2053" s="14" t="s">
        <v>3371</v>
      </c>
      <c r="D2053" s="14">
        <v>778788.46</v>
      </c>
      <c r="E2053" s="14">
        <v>26279.19</v>
      </c>
      <c r="F2053" s="15">
        <v>45054</v>
      </c>
      <c r="G2053" s="15">
        <v>45459</v>
      </c>
      <c r="H2053" s="14" t="s">
        <v>4716</v>
      </c>
      <c r="I2053" s="14" t="s">
        <v>3365</v>
      </c>
      <c r="J2053" s="13" t="str" cm="1">
        <f t="array" ref="J2053">_xlfn.IFS(
  OR(ISBLANK(A2053),ISBLANK(B2053),ISBLANK(H2053),ISBLANK(D2053),ISBLANK(E2053)),"Missing Value",
  D2053&lt;=0,"Review – Out of Range (Coverage)",
  E2053&lt;=0,"Review – Out of Range (Premium)",
  TRUE,"OK"
)</f>
        <v>OK</v>
      </c>
    </row>
    <row r="2054" spans="1:10" ht="16.8" x14ac:dyDescent="0.3">
      <c r="A2054" s="11" t="s">
        <v>5716</v>
      </c>
      <c r="B2054" s="11" t="s">
        <v>2101</v>
      </c>
      <c r="C2054" s="11" t="s">
        <v>3359</v>
      </c>
      <c r="D2054" s="11">
        <v>109476.01</v>
      </c>
      <c r="E2054" s="11">
        <v>36040.160000000003</v>
      </c>
      <c r="F2054" s="12">
        <v>45237</v>
      </c>
      <c r="G2054" s="12">
        <v>45686</v>
      </c>
      <c r="H2054" s="11" t="s">
        <v>3809</v>
      </c>
      <c r="I2054" s="11" t="s">
        <v>3361</v>
      </c>
      <c r="J2054" s="13" t="str" cm="1">
        <f t="array" ref="J2054">_xlfn.IFS(
  OR(ISBLANK(A2054),ISBLANK(B2054),ISBLANK(H2054),ISBLANK(D2054),ISBLANK(E2054)),"Missing Value",
  D2054&lt;=0,"Review – Out of Range (Coverage)",
  E2054&lt;=0,"Review – Out of Range (Premium)",
  TRUE,"OK"
)</f>
        <v>OK</v>
      </c>
    </row>
    <row r="2055" spans="1:10" ht="16.8" x14ac:dyDescent="0.3">
      <c r="A2055" s="14" t="s">
        <v>5717</v>
      </c>
      <c r="B2055" s="14" t="s">
        <v>2547</v>
      </c>
      <c r="C2055" s="14" t="s">
        <v>3371</v>
      </c>
      <c r="D2055" s="14">
        <v>485451.63</v>
      </c>
      <c r="E2055" s="14">
        <v>14960.8</v>
      </c>
      <c r="F2055" s="15">
        <v>45132</v>
      </c>
      <c r="G2055" s="15">
        <v>45231</v>
      </c>
      <c r="H2055" s="14" t="s">
        <v>3976</v>
      </c>
      <c r="I2055" s="14" t="s">
        <v>3365</v>
      </c>
      <c r="J2055" s="13" t="str" cm="1">
        <f t="array" ref="J2055">_xlfn.IFS(
  OR(ISBLANK(A2055),ISBLANK(B2055),ISBLANK(H2055),ISBLANK(D2055),ISBLANK(E2055)),"Missing Value",
  D2055&lt;=0,"Review – Out of Range (Coverage)",
  E2055&lt;=0,"Review – Out of Range (Premium)",
  TRUE,"OK"
)</f>
        <v>OK</v>
      </c>
    </row>
    <row r="2056" spans="1:10" ht="16.8" x14ac:dyDescent="0.3">
      <c r="A2056" s="11" t="s">
        <v>5718</v>
      </c>
      <c r="B2056" s="11" t="s">
        <v>2685</v>
      </c>
      <c r="C2056" s="11" t="s">
        <v>3371</v>
      </c>
      <c r="D2056" s="11">
        <v>952825.24</v>
      </c>
      <c r="E2056" s="11">
        <v>33396.49</v>
      </c>
      <c r="F2056" s="12">
        <v>44224</v>
      </c>
      <c r="G2056" s="12">
        <v>45300</v>
      </c>
      <c r="H2056" s="11" t="s">
        <v>5438</v>
      </c>
      <c r="I2056" s="11" t="s">
        <v>3365</v>
      </c>
      <c r="J2056" s="13" t="str" cm="1">
        <f t="array" ref="J2056">_xlfn.IFS(
  OR(ISBLANK(A2056),ISBLANK(B2056),ISBLANK(H2056),ISBLANK(D2056),ISBLANK(E2056)),"Missing Value",
  D2056&lt;=0,"Review – Out of Range (Coverage)",
  E2056&lt;=0,"Review – Out of Range (Premium)",
  TRUE,"OK"
)</f>
        <v>OK</v>
      </c>
    </row>
    <row r="2057" spans="1:10" ht="16.8" x14ac:dyDescent="0.3">
      <c r="A2057" s="14" t="s">
        <v>5719</v>
      </c>
      <c r="B2057" s="14" t="s">
        <v>2263</v>
      </c>
      <c r="C2057" s="14" t="s">
        <v>3371</v>
      </c>
      <c r="D2057" s="14">
        <v>819482.66</v>
      </c>
      <c r="E2057" s="14">
        <v>25590.42</v>
      </c>
      <c r="F2057" s="15">
        <v>44087</v>
      </c>
      <c r="G2057" s="15">
        <v>45582</v>
      </c>
      <c r="H2057" s="14" t="s">
        <v>3427</v>
      </c>
      <c r="I2057" s="14" t="s">
        <v>3361</v>
      </c>
      <c r="J2057" s="13" t="str" cm="1">
        <f t="array" ref="J2057">_xlfn.IFS(
  OR(ISBLANK(A2057),ISBLANK(B2057),ISBLANK(H2057),ISBLANK(D2057),ISBLANK(E2057)),"Missing Value",
  D2057&lt;=0,"Review – Out of Range (Coverage)",
  E2057&lt;=0,"Review – Out of Range (Premium)",
  TRUE,"OK"
)</f>
        <v>OK</v>
      </c>
    </row>
    <row r="2058" spans="1:10" ht="16.8" x14ac:dyDescent="0.3">
      <c r="A2058" s="11" t="s">
        <v>5720</v>
      </c>
      <c r="B2058" s="11" t="s">
        <v>2521</v>
      </c>
      <c r="C2058" s="11" t="s">
        <v>3371</v>
      </c>
      <c r="D2058" s="11">
        <v>267845.09000000003</v>
      </c>
      <c r="E2058" s="11">
        <v>9206.8700000000008</v>
      </c>
      <c r="F2058" s="12">
        <v>45077</v>
      </c>
      <c r="G2058" s="12">
        <v>45817</v>
      </c>
      <c r="H2058" s="11" t="s">
        <v>3738</v>
      </c>
      <c r="I2058" s="11" t="s">
        <v>3373</v>
      </c>
      <c r="J2058" s="13" t="str" cm="1">
        <f t="array" ref="J2058">_xlfn.IFS(
  OR(ISBLANK(A2058),ISBLANK(B2058),ISBLANK(H2058),ISBLANK(D2058),ISBLANK(E2058)),"Missing Value",
  D2058&lt;=0,"Review – Out of Range (Coverage)",
  E2058&lt;=0,"Review – Out of Range (Premium)",
  TRUE,"OK"
)</f>
        <v>OK</v>
      </c>
    </row>
    <row r="2059" spans="1:10" ht="16.8" x14ac:dyDescent="0.3">
      <c r="A2059" s="14" t="s">
        <v>5721</v>
      </c>
      <c r="B2059" s="14" t="s">
        <v>2373</v>
      </c>
      <c r="C2059" s="14" t="s">
        <v>3377</v>
      </c>
      <c r="D2059" s="14">
        <v>209279.52</v>
      </c>
      <c r="E2059" s="14">
        <v>41711.01</v>
      </c>
      <c r="F2059" s="15">
        <v>44556</v>
      </c>
      <c r="G2059" s="15">
        <v>45328</v>
      </c>
      <c r="H2059" s="14" t="s">
        <v>4056</v>
      </c>
      <c r="I2059" s="14" t="s">
        <v>3361</v>
      </c>
      <c r="J2059" s="13" t="str" cm="1">
        <f t="array" ref="J2059">_xlfn.IFS(
  OR(ISBLANK(A2059),ISBLANK(B2059),ISBLANK(H2059),ISBLANK(D2059),ISBLANK(E2059)),"Missing Value",
  D2059&lt;=0,"Review – Out of Range (Coverage)",
  E2059&lt;=0,"Review – Out of Range (Premium)",
  TRUE,"OK"
)</f>
        <v>OK</v>
      </c>
    </row>
    <row r="2060" spans="1:10" ht="16.8" x14ac:dyDescent="0.3">
      <c r="A2060" s="11" t="s">
        <v>5722</v>
      </c>
      <c r="B2060" s="11" t="s">
        <v>639</v>
      </c>
      <c r="C2060" s="11" t="s">
        <v>3377</v>
      </c>
      <c r="D2060" s="11">
        <v>810885.41</v>
      </c>
      <c r="E2060" s="11">
        <v>34013.25</v>
      </c>
      <c r="F2060" s="12">
        <v>45304</v>
      </c>
      <c r="G2060" s="12">
        <v>45517</v>
      </c>
      <c r="H2060" s="11" t="s">
        <v>4630</v>
      </c>
      <c r="I2060" s="11" t="s">
        <v>3361</v>
      </c>
      <c r="J2060" s="13" t="str" cm="1">
        <f t="array" ref="J2060">_xlfn.IFS(
  OR(ISBLANK(A2060),ISBLANK(B2060),ISBLANK(H2060),ISBLANK(D2060),ISBLANK(E2060)),"Missing Value",
  D2060&lt;=0,"Review – Out of Range (Coverage)",
  E2060&lt;=0,"Review – Out of Range (Premium)",
  TRUE,"OK"
)</f>
        <v>OK</v>
      </c>
    </row>
    <row r="2061" spans="1:10" ht="16.8" x14ac:dyDescent="0.3">
      <c r="A2061" s="14" t="s">
        <v>5723</v>
      </c>
      <c r="B2061" s="14" t="s">
        <v>3296</v>
      </c>
      <c r="C2061" s="14" t="s">
        <v>3380</v>
      </c>
      <c r="D2061" s="14">
        <v>542614.68999999994</v>
      </c>
      <c r="E2061" s="14">
        <v>24370.83</v>
      </c>
      <c r="F2061" s="15">
        <v>44483</v>
      </c>
      <c r="G2061" s="15">
        <v>45460</v>
      </c>
      <c r="H2061" s="14" t="s">
        <v>3622</v>
      </c>
      <c r="I2061" s="14" t="s">
        <v>3373</v>
      </c>
      <c r="J2061" s="13" t="str" cm="1">
        <f t="array" ref="J2061">_xlfn.IFS(
  OR(ISBLANK(A2061),ISBLANK(B2061),ISBLANK(H2061),ISBLANK(D2061),ISBLANK(E2061)),"Missing Value",
  D2061&lt;=0,"Review – Out of Range (Coverage)",
  E2061&lt;=0,"Review – Out of Range (Premium)",
  TRUE,"OK"
)</f>
        <v>OK</v>
      </c>
    </row>
    <row r="2062" spans="1:10" ht="16.8" x14ac:dyDescent="0.3">
      <c r="A2062" s="11" t="s">
        <v>5724</v>
      </c>
      <c r="B2062" s="11" t="s">
        <v>2073</v>
      </c>
      <c r="C2062" s="11" t="s">
        <v>3359</v>
      </c>
      <c r="D2062" s="11">
        <v>110738.39</v>
      </c>
      <c r="E2062" s="11">
        <v>33253.660000000003</v>
      </c>
      <c r="F2062" s="12">
        <v>44492</v>
      </c>
      <c r="G2062" s="12">
        <v>45770</v>
      </c>
      <c r="H2062" s="11" t="s">
        <v>3473</v>
      </c>
      <c r="I2062" s="11" t="s">
        <v>3361</v>
      </c>
      <c r="J2062" s="13" t="str" cm="1">
        <f t="array" ref="J2062">_xlfn.IFS(
  OR(ISBLANK(A2062),ISBLANK(B2062),ISBLANK(H2062),ISBLANK(D2062),ISBLANK(E2062)),"Missing Value",
  D2062&lt;=0,"Review – Out of Range (Coverage)",
  E2062&lt;=0,"Review – Out of Range (Premium)",
  TRUE,"OK"
)</f>
        <v>OK</v>
      </c>
    </row>
    <row r="2063" spans="1:10" ht="16.8" x14ac:dyDescent="0.3">
      <c r="A2063" s="14" t="s">
        <v>5725</v>
      </c>
      <c r="B2063" s="14" t="s">
        <v>1233</v>
      </c>
      <c r="C2063" s="14" t="s">
        <v>3363</v>
      </c>
      <c r="D2063" s="14">
        <v>399747.14</v>
      </c>
      <c r="E2063" s="14">
        <v>42191.46</v>
      </c>
      <c r="F2063" s="15">
        <v>44931</v>
      </c>
      <c r="G2063" s="15">
        <v>45377</v>
      </c>
      <c r="H2063" s="14" t="s">
        <v>3744</v>
      </c>
      <c r="I2063" s="14" t="s">
        <v>3361</v>
      </c>
      <c r="J2063" s="13" t="str" cm="1">
        <f t="array" ref="J2063">_xlfn.IFS(
  OR(ISBLANK(A2063),ISBLANK(B2063),ISBLANK(H2063),ISBLANK(D2063),ISBLANK(E2063)),"Missing Value",
  D2063&lt;=0,"Review – Out of Range (Coverage)",
  E2063&lt;=0,"Review – Out of Range (Premium)",
  TRUE,"OK"
)</f>
        <v>OK</v>
      </c>
    </row>
    <row r="2064" spans="1:10" ht="16.8" x14ac:dyDescent="0.3">
      <c r="A2064" s="11" t="s">
        <v>5726</v>
      </c>
      <c r="B2064" s="11" t="s">
        <v>2601</v>
      </c>
      <c r="C2064" s="11" t="s">
        <v>3377</v>
      </c>
      <c r="D2064" s="11">
        <v>782980.71</v>
      </c>
      <c r="E2064" s="11">
        <v>23781.77</v>
      </c>
      <c r="F2064" s="12">
        <v>45221</v>
      </c>
      <c r="G2064" s="12">
        <v>45660</v>
      </c>
      <c r="H2064" s="11" t="s">
        <v>3733</v>
      </c>
      <c r="I2064" s="11" t="s">
        <v>3365</v>
      </c>
      <c r="J2064" s="13" t="str" cm="1">
        <f t="array" ref="J2064">_xlfn.IFS(
  OR(ISBLANK(A2064),ISBLANK(B2064),ISBLANK(H2064),ISBLANK(D2064),ISBLANK(E2064)),"Missing Value",
  D2064&lt;=0,"Review – Out of Range (Coverage)",
  E2064&lt;=0,"Review – Out of Range (Premium)",
  TRUE,"OK"
)</f>
        <v>OK</v>
      </c>
    </row>
    <row r="2065" spans="1:10" ht="16.8" x14ac:dyDescent="0.3">
      <c r="A2065" s="14" t="s">
        <v>5727</v>
      </c>
      <c r="B2065" s="14" t="s">
        <v>1855</v>
      </c>
      <c r="C2065" s="14" t="s">
        <v>3363</v>
      </c>
      <c r="D2065" s="14">
        <v>261277.75</v>
      </c>
      <c r="E2065" s="14">
        <v>22419.59</v>
      </c>
      <c r="F2065" s="15">
        <v>44392</v>
      </c>
      <c r="G2065" s="15">
        <v>44799</v>
      </c>
      <c r="H2065" s="14" t="s">
        <v>3397</v>
      </c>
      <c r="I2065" s="14" t="s">
        <v>3361</v>
      </c>
      <c r="J2065" s="13" t="str" cm="1">
        <f t="array" ref="J2065">_xlfn.IFS(
  OR(ISBLANK(A2065),ISBLANK(B2065),ISBLANK(H2065),ISBLANK(D2065),ISBLANK(E2065)),"Missing Value",
  D2065&lt;=0,"Review – Out of Range (Coverage)",
  E2065&lt;=0,"Review – Out of Range (Premium)",
  TRUE,"OK"
)</f>
        <v>OK</v>
      </c>
    </row>
    <row r="2066" spans="1:10" ht="16.8" x14ac:dyDescent="0.3">
      <c r="A2066" s="11" t="s">
        <v>5728</v>
      </c>
      <c r="B2066" s="11" t="s">
        <v>615</v>
      </c>
      <c r="C2066" s="11" t="s">
        <v>3359</v>
      </c>
      <c r="D2066" s="11">
        <v>799433.63</v>
      </c>
      <c r="E2066" s="11">
        <v>31642.73</v>
      </c>
      <c r="F2066" s="12">
        <v>44946</v>
      </c>
      <c r="G2066" s="12">
        <v>45718</v>
      </c>
      <c r="H2066" s="11" t="s">
        <v>3385</v>
      </c>
      <c r="I2066" s="11" t="s">
        <v>3365</v>
      </c>
      <c r="J2066" s="13" t="str" cm="1">
        <f t="array" ref="J2066">_xlfn.IFS(
  OR(ISBLANK(A2066),ISBLANK(B2066),ISBLANK(H2066),ISBLANK(D2066),ISBLANK(E2066)),"Missing Value",
  D2066&lt;=0,"Review – Out of Range (Coverage)",
  E2066&lt;=0,"Review – Out of Range (Premium)",
  TRUE,"OK"
)</f>
        <v>OK</v>
      </c>
    </row>
    <row r="2067" spans="1:10" ht="16.8" x14ac:dyDescent="0.3">
      <c r="A2067" s="14" t="s">
        <v>5729</v>
      </c>
      <c r="B2067" s="14" t="s">
        <v>529</v>
      </c>
      <c r="C2067" s="14" t="s">
        <v>3380</v>
      </c>
      <c r="D2067" s="14">
        <v>123959.72</v>
      </c>
      <c r="E2067" s="14">
        <v>39982.36</v>
      </c>
      <c r="F2067" s="15">
        <v>45132</v>
      </c>
      <c r="G2067" s="15">
        <v>45678</v>
      </c>
      <c r="H2067" s="14" t="s">
        <v>4143</v>
      </c>
      <c r="I2067" s="14" t="s">
        <v>3373</v>
      </c>
      <c r="J2067" s="13" t="str" cm="1">
        <f t="array" ref="J2067">_xlfn.IFS(
  OR(ISBLANK(A2067),ISBLANK(B2067),ISBLANK(H2067),ISBLANK(D2067),ISBLANK(E2067)),"Missing Value",
  D2067&lt;=0,"Review – Out of Range (Coverage)",
  E2067&lt;=0,"Review – Out of Range (Premium)",
  TRUE,"OK"
)</f>
        <v>OK</v>
      </c>
    </row>
    <row r="2068" spans="1:10" ht="16.8" x14ac:dyDescent="0.3">
      <c r="A2068" s="11" t="s">
        <v>5730</v>
      </c>
      <c r="B2068" s="11" t="s">
        <v>3210</v>
      </c>
      <c r="C2068" s="11" t="s">
        <v>3371</v>
      </c>
      <c r="D2068" s="11">
        <v>107976</v>
      </c>
      <c r="E2068" s="11">
        <v>14699.72</v>
      </c>
      <c r="F2068" s="12">
        <v>45193</v>
      </c>
      <c r="G2068" s="12">
        <v>45396</v>
      </c>
      <c r="H2068" s="11" t="s">
        <v>5148</v>
      </c>
      <c r="I2068" s="11" t="s">
        <v>3365</v>
      </c>
      <c r="J2068" s="13" t="str" cm="1">
        <f t="array" ref="J2068">_xlfn.IFS(
  OR(ISBLANK(A2068),ISBLANK(B2068),ISBLANK(H2068),ISBLANK(D2068),ISBLANK(E2068)),"Missing Value",
  D2068&lt;=0,"Review – Out of Range (Coverage)",
  E2068&lt;=0,"Review – Out of Range (Premium)",
  TRUE,"OK"
)</f>
        <v>OK</v>
      </c>
    </row>
    <row r="2069" spans="1:10" ht="16.8" x14ac:dyDescent="0.3">
      <c r="A2069" s="14" t="s">
        <v>5731</v>
      </c>
      <c r="B2069" s="14" t="s">
        <v>3216</v>
      </c>
      <c r="C2069" s="14" t="s">
        <v>3371</v>
      </c>
      <c r="D2069" s="14">
        <v>302632.14</v>
      </c>
      <c r="E2069" s="14">
        <v>39423.440000000002</v>
      </c>
      <c r="F2069" s="15">
        <v>44467</v>
      </c>
      <c r="G2069" s="15">
        <v>45304</v>
      </c>
      <c r="H2069" s="14" t="s">
        <v>4032</v>
      </c>
      <c r="I2069" s="14" t="s">
        <v>3361</v>
      </c>
      <c r="J2069" s="13" t="str" cm="1">
        <f t="array" ref="J2069">_xlfn.IFS(
  OR(ISBLANK(A2069),ISBLANK(B2069),ISBLANK(H2069),ISBLANK(D2069),ISBLANK(E2069)),"Missing Value",
  D2069&lt;=0,"Review – Out of Range (Coverage)",
  E2069&lt;=0,"Review – Out of Range (Premium)",
  TRUE,"OK"
)</f>
        <v>OK</v>
      </c>
    </row>
    <row r="2070" spans="1:10" ht="16.8" x14ac:dyDescent="0.3">
      <c r="A2070" s="11" t="s">
        <v>5732</v>
      </c>
      <c r="B2070" s="11" t="s">
        <v>1319</v>
      </c>
      <c r="C2070" s="11" t="s">
        <v>3359</v>
      </c>
      <c r="D2070" s="11">
        <v>263199.75</v>
      </c>
      <c r="E2070" s="11">
        <v>5065.8100000000004</v>
      </c>
      <c r="F2070" s="12">
        <v>44842</v>
      </c>
      <c r="G2070" s="12">
        <v>45264</v>
      </c>
      <c r="H2070" s="11" t="s">
        <v>4660</v>
      </c>
      <c r="I2070" s="11" t="s">
        <v>3361</v>
      </c>
      <c r="J2070" s="13" t="str" cm="1">
        <f t="array" ref="J2070">_xlfn.IFS(
  OR(ISBLANK(A2070),ISBLANK(B2070),ISBLANK(H2070),ISBLANK(D2070),ISBLANK(E2070)),"Missing Value",
  D2070&lt;=0,"Review – Out of Range (Coverage)",
  E2070&lt;=0,"Review – Out of Range (Premium)",
  TRUE,"OK"
)</f>
        <v>OK</v>
      </c>
    </row>
    <row r="2071" spans="1:10" ht="16.8" x14ac:dyDescent="0.3">
      <c r="A2071" s="14" t="s">
        <v>5733</v>
      </c>
      <c r="B2071" s="14" t="s">
        <v>2217</v>
      </c>
      <c r="C2071" s="14" t="s">
        <v>3380</v>
      </c>
      <c r="D2071" s="14">
        <v>241888.51</v>
      </c>
      <c r="E2071" s="14">
        <v>7960.79</v>
      </c>
      <c r="F2071" s="15">
        <v>44137</v>
      </c>
      <c r="G2071" s="15">
        <v>45053</v>
      </c>
      <c r="H2071" s="14" t="s">
        <v>4032</v>
      </c>
      <c r="I2071" s="14" t="s">
        <v>3365</v>
      </c>
      <c r="J2071" s="13" t="str" cm="1">
        <f t="array" ref="J2071">_xlfn.IFS(
  OR(ISBLANK(A2071),ISBLANK(B2071),ISBLANK(H2071),ISBLANK(D2071),ISBLANK(E2071)),"Missing Value",
  D2071&lt;=0,"Review – Out of Range (Coverage)",
  E2071&lt;=0,"Review – Out of Range (Premium)",
  TRUE,"OK"
)</f>
        <v>OK</v>
      </c>
    </row>
    <row r="2072" spans="1:10" ht="16.8" x14ac:dyDescent="0.3">
      <c r="A2072" s="11" t="s">
        <v>5734</v>
      </c>
      <c r="B2072" s="11" t="s">
        <v>1589</v>
      </c>
      <c r="C2072" s="11" t="s">
        <v>3371</v>
      </c>
      <c r="D2072" s="11">
        <v>649204.63</v>
      </c>
      <c r="E2072" s="11">
        <v>5873.67</v>
      </c>
      <c r="F2072" s="12">
        <v>44732</v>
      </c>
      <c r="G2072" s="12">
        <v>45188</v>
      </c>
      <c r="H2072" s="11" t="s">
        <v>3560</v>
      </c>
      <c r="I2072" s="11" t="s">
        <v>3361</v>
      </c>
      <c r="J2072" s="13" t="str" cm="1">
        <f t="array" ref="J2072">_xlfn.IFS(
  OR(ISBLANK(A2072),ISBLANK(B2072),ISBLANK(H2072),ISBLANK(D2072),ISBLANK(E2072)),"Missing Value",
  D2072&lt;=0,"Review – Out of Range (Coverage)",
  E2072&lt;=0,"Review – Out of Range (Premium)",
  TRUE,"OK"
)</f>
        <v>OK</v>
      </c>
    </row>
    <row r="2073" spans="1:10" ht="16.8" x14ac:dyDescent="0.3">
      <c r="A2073" s="14" t="s">
        <v>5735</v>
      </c>
      <c r="B2073" s="14" t="s">
        <v>851</v>
      </c>
      <c r="C2073" s="14" t="s">
        <v>3363</v>
      </c>
      <c r="D2073" s="14">
        <v>353722.49</v>
      </c>
      <c r="E2073" s="14">
        <v>7356.62</v>
      </c>
      <c r="F2073" s="15">
        <v>45422</v>
      </c>
      <c r="G2073" s="15">
        <v>45862</v>
      </c>
      <c r="H2073" s="14" t="s">
        <v>3687</v>
      </c>
      <c r="I2073" s="14" t="s">
        <v>3365</v>
      </c>
      <c r="J2073" s="13" t="str" cm="1">
        <f t="array" ref="J2073">_xlfn.IFS(
  OR(ISBLANK(A2073),ISBLANK(B2073),ISBLANK(H2073),ISBLANK(D2073),ISBLANK(E2073)),"Missing Value",
  D2073&lt;=0,"Review – Out of Range (Coverage)",
  E2073&lt;=0,"Review – Out of Range (Premium)",
  TRUE,"OK"
)</f>
        <v>OK</v>
      </c>
    </row>
    <row r="2074" spans="1:10" ht="16.8" x14ac:dyDescent="0.3">
      <c r="A2074" s="11" t="s">
        <v>5736</v>
      </c>
      <c r="B2074" s="11" t="s">
        <v>2777</v>
      </c>
      <c r="C2074" s="11" t="s">
        <v>3377</v>
      </c>
      <c r="D2074" s="11">
        <v>488821.74</v>
      </c>
      <c r="E2074" s="11">
        <v>24815.03</v>
      </c>
      <c r="F2074" s="12">
        <v>45218</v>
      </c>
      <c r="G2074" s="12">
        <v>45302</v>
      </c>
      <c r="H2074" s="11" t="s">
        <v>3444</v>
      </c>
      <c r="I2074" s="11" t="s">
        <v>3361</v>
      </c>
      <c r="J2074" s="13" t="str" cm="1">
        <f t="array" ref="J2074">_xlfn.IFS(
  OR(ISBLANK(A2074),ISBLANK(B2074),ISBLANK(H2074),ISBLANK(D2074),ISBLANK(E2074)),"Missing Value",
  D2074&lt;=0,"Review – Out of Range (Coverage)",
  E2074&lt;=0,"Review – Out of Range (Premium)",
  TRUE,"OK"
)</f>
        <v>OK</v>
      </c>
    </row>
    <row r="2075" spans="1:10" ht="16.8" x14ac:dyDescent="0.3">
      <c r="A2075" s="14" t="s">
        <v>5737</v>
      </c>
      <c r="B2075" s="14" t="s">
        <v>1535</v>
      </c>
      <c r="C2075" s="14" t="s">
        <v>3363</v>
      </c>
      <c r="D2075" s="14">
        <v>125649.29</v>
      </c>
      <c r="E2075" s="14">
        <v>18164.419999999998</v>
      </c>
      <c r="F2075" s="15">
        <v>44766</v>
      </c>
      <c r="G2075" s="15">
        <v>45046</v>
      </c>
      <c r="H2075" s="14" t="s">
        <v>4045</v>
      </c>
      <c r="I2075" s="14" t="s">
        <v>3361</v>
      </c>
      <c r="J2075" s="13" t="str" cm="1">
        <f t="array" ref="J2075">_xlfn.IFS(
  OR(ISBLANK(A2075),ISBLANK(B2075),ISBLANK(H2075),ISBLANK(D2075),ISBLANK(E2075)),"Missing Value",
  D2075&lt;=0,"Review – Out of Range (Coverage)",
  E2075&lt;=0,"Review – Out of Range (Premium)",
  TRUE,"OK"
)</f>
        <v>OK</v>
      </c>
    </row>
    <row r="2076" spans="1:10" ht="16.8" x14ac:dyDescent="0.3">
      <c r="A2076" s="11" t="s">
        <v>5738</v>
      </c>
      <c r="B2076" s="11" t="s">
        <v>1615</v>
      </c>
      <c r="C2076" s="11" t="s">
        <v>3363</v>
      </c>
      <c r="D2076" s="11">
        <v>307636.71999999997</v>
      </c>
      <c r="E2076" s="11">
        <v>29345.84</v>
      </c>
      <c r="F2076" s="12">
        <v>45356</v>
      </c>
      <c r="G2076" s="12">
        <v>45652</v>
      </c>
      <c r="H2076" s="11" t="s">
        <v>3764</v>
      </c>
      <c r="I2076" s="11" t="s">
        <v>3365</v>
      </c>
      <c r="J2076" s="13" t="str" cm="1">
        <f t="array" ref="J2076">_xlfn.IFS(
  OR(ISBLANK(A2076),ISBLANK(B2076),ISBLANK(H2076),ISBLANK(D2076),ISBLANK(E2076)),"Missing Value",
  D2076&lt;=0,"Review – Out of Range (Coverage)",
  E2076&lt;=0,"Review – Out of Range (Premium)",
  TRUE,"OK"
)</f>
        <v>OK</v>
      </c>
    </row>
    <row r="2077" spans="1:10" ht="16.8" x14ac:dyDescent="0.3">
      <c r="A2077" s="14" t="s">
        <v>5739</v>
      </c>
      <c r="B2077" s="14" t="s">
        <v>1033</v>
      </c>
      <c r="C2077" s="14" t="s">
        <v>3359</v>
      </c>
      <c r="D2077" s="14">
        <v>378539.47</v>
      </c>
      <c r="E2077" s="14">
        <v>22675.26</v>
      </c>
      <c r="F2077" s="15">
        <v>44350</v>
      </c>
      <c r="G2077" s="15">
        <v>44592</v>
      </c>
      <c r="H2077" s="14" t="s">
        <v>3903</v>
      </c>
      <c r="I2077" s="14" t="s">
        <v>3361</v>
      </c>
      <c r="J2077" s="13" t="str" cm="1">
        <f t="array" ref="J2077">_xlfn.IFS(
  OR(ISBLANK(A2077),ISBLANK(B2077),ISBLANK(H2077),ISBLANK(D2077),ISBLANK(E2077)),"Missing Value",
  D2077&lt;=0,"Review – Out of Range (Coverage)",
  E2077&lt;=0,"Review – Out of Range (Premium)",
  TRUE,"OK"
)</f>
        <v>OK</v>
      </c>
    </row>
    <row r="2078" spans="1:10" ht="16.8" x14ac:dyDescent="0.3">
      <c r="A2078" s="11" t="s">
        <v>5740</v>
      </c>
      <c r="B2078" s="11" t="s">
        <v>364</v>
      </c>
      <c r="C2078" s="11" t="s">
        <v>3359</v>
      </c>
      <c r="D2078" s="11">
        <v>221035.33</v>
      </c>
      <c r="E2078" s="11">
        <v>19124.349999999999</v>
      </c>
      <c r="F2078" s="12">
        <v>44309</v>
      </c>
      <c r="G2078" s="12">
        <v>45663</v>
      </c>
      <c r="H2078" s="11" t="s">
        <v>3567</v>
      </c>
      <c r="I2078" s="11" t="s">
        <v>3361</v>
      </c>
      <c r="J2078" s="13" t="str" cm="1">
        <f t="array" ref="J2078">_xlfn.IFS(
  OR(ISBLANK(A2078),ISBLANK(B2078),ISBLANK(H2078),ISBLANK(D2078),ISBLANK(E2078)),"Missing Value",
  D2078&lt;=0,"Review – Out of Range (Coverage)",
  E2078&lt;=0,"Review – Out of Range (Premium)",
  TRUE,"OK"
)</f>
        <v>OK</v>
      </c>
    </row>
    <row r="2079" spans="1:10" ht="16.8" x14ac:dyDescent="0.3">
      <c r="A2079" s="14" t="s">
        <v>5741</v>
      </c>
      <c r="B2079" s="14" t="s">
        <v>765</v>
      </c>
      <c r="C2079" s="14" t="s">
        <v>3363</v>
      </c>
      <c r="D2079" s="14">
        <v>120750.03</v>
      </c>
      <c r="E2079" s="14">
        <v>45710.03</v>
      </c>
      <c r="F2079" s="15">
        <v>45394</v>
      </c>
      <c r="G2079" s="15">
        <v>45600</v>
      </c>
      <c r="H2079" s="14" t="s">
        <v>4154</v>
      </c>
      <c r="I2079" s="14" t="s">
        <v>3365</v>
      </c>
      <c r="J2079" s="13" t="str" cm="1">
        <f t="array" ref="J2079">_xlfn.IFS(
  OR(ISBLANK(A2079),ISBLANK(B2079),ISBLANK(H2079),ISBLANK(D2079),ISBLANK(E2079)),"Missing Value",
  D2079&lt;=0,"Review – Out of Range (Coverage)",
  E2079&lt;=0,"Review – Out of Range (Premium)",
  TRUE,"OK"
)</f>
        <v>OK</v>
      </c>
    </row>
    <row r="2080" spans="1:10" ht="16.8" x14ac:dyDescent="0.3">
      <c r="A2080" s="11" t="s">
        <v>5742</v>
      </c>
      <c r="B2080" s="11" t="s">
        <v>398</v>
      </c>
      <c r="C2080" s="11" t="s">
        <v>3380</v>
      </c>
      <c r="D2080" s="11">
        <v>748646.6</v>
      </c>
      <c r="E2080" s="11">
        <v>45515.360000000001</v>
      </c>
      <c r="F2080" s="12">
        <v>44460</v>
      </c>
      <c r="G2080" s="12">
        <v>44750</v>
      </c>
      <c r="H2080" s="11" t="s">
        <v>3789</v>
      </c>
      <c r="I2080" s="11" t="s">
        <v>3373</v>
      </c>
      <c r="J2080" s="13" t="str" cm="1">
        <f t="array" ref="J2080">_xlfn.IFS(
  OR(ISBLANK(A2080),ISBLANK(B2080),ISBLANK(H2080),ISBLANK(D2080),ISBLANK(E2080)),"Missing Value",
  D2080&lt;=0,"Review – Out of Range (Coverage)",
  E2080&lt;=0,"Review – Out of Range (Premium)",
  TRUE,"OK"
)</f>
        <v>OK</v>
      </c>
    </row>
    <row r="2081" spans="1:10" ht="16.8" x14ac:dyDescent="0.3">
      <c r="A2081" s="14" t="s">
        <v>5743</v>
      </c>
      <c r="B2081" s="14" t="s">
        <v>97</v>
      </c>
      <c r="C2081" s="14" t="s">
        <v>3363</v>
      </c>
      <c r="D2081" s="14">
        <v>361523.17</v>
      </c>
      <c r="E2081" s="14">
        <v>30763.03</v>
      </c>
      <c r="F2081" s="15">
        <v>44208</v>
      </c>
      <c r="G2081" s="15">
        <v>44724</v>
      </c>
      <c r="H2081" s="14" t="s">
        <v>4170</v>
      </c>
      <c r="I2081" s="14" t="s">
        <v>3373</v>
      </c>
      <c r="J2081" s="13" t="str" cm="1">
        <f t="array" ref="J2081">_xlfn.IFS(
  OR(ISBLANK(A2081),ISBLANK(B2081),ISBLANK(H2081),ISBLANK(D2081),ISBLANK(E2081)),"Missing Value",
  D2081&lt;=0,"Review – Out of Range (Coverage)",
  E2081&lt;=0,"Review – Out of Range (Premium)",
  TRUE,"OK"
)</f>
        <v>OK</v>
      </c>
    </row>
    <row r="2082" spans="1:10" ht="16.8" x14ac:dyDescent="0.3">
      <c r="A2082" s="11" t="s">
        <v>5744</v>
      </c>
      <c r="B2082" s="11" t="s">
        <v>1567</v>
      </c>
      <c r="C2082" s="11" t="s">
        <v>3359</v>
      </c>
      <c r="D2082" s="11">
        <v>829657.07</v>
      </c>
      <c r="E2082" s="11">
        <v>25222.17</v>
      </c>
      <c r="F2082" s="12">
        <v>45412</v>
      </c>
      <c r="G2082" s="12">
        <v>45745</v>
      </c>
      <c r="H2082" s="11" t="s">
        <v>4090</v>
      </c>
      <c r="I2082" s="11" t="s">
        <v>3361</v>
      </c>
      <c r="J2082" s="13" t="str" cm="1">
        <f t="array" ref="J2082">_xlfn.IFS(
  OR(ISBLANK(A2082),ISBLANK(B2082),ISBLANK(H2082),ISBLANK(D2082),ISBLANK(E2082)),"Missing Value",
  D2082&lt;=0,"Review – Out of Range (Coverage)",
  E2082&lt;=0,"Review – Out of Range (Premium)",
  TRUE,"OK"
)</f>
        <v>OK</v>
      </c>
    </row>
    <row r="2083" spans="1:10" ht="16.8" x14ac:dyDescent="0.3">
      <c r="A2083" s="14" t="s">
        <v>5745</v>
      </c>
      <c r="B2083" s="14" t="s">
        <v>1007</v>
      </c>
      <c r="C2083" s="14" t="s">
        <v>3363</v>
      </c>
      <c r="D2083" s="14">
        <v>233634.82</v>
      </c>
      <c r="E2083" s="14">
        <v>33293.42</v>
      </c>
      <c r="F2083" s="15">
        <v>45356</v>
      </c>
      <c r="G2083" s="15">
        <v>45466</v>
      </c>
      <c r="H2083" s="14" t="s">
        <v>3423</v>
      </c>
      <c r="I2083" s="14" t="s">
        <v>3373</v>
      </c>
      <c r="J2083" s="13" t="str" cm="1">
        <f t="array" ref="J2083">_xlfn.IFS(
  OR(ISBLANK(A2083),ISBLANK(B2083),ISBLANK(H2083),ISBLANK(D2083),ISBLANK(E2083)),"Missing Value",
  D2083&lt;=0,"Review – Out of Range (Coverage)",
  E2083&lt;=0,"Review – Out of Range (Premium)",
  TRUE,"OK"
)</f>
        <v>OK</v>
      </c>
    </row>
    <row r="2084" spans="1:10" ht="16.8" x14ac:dyDescent="0.3">
      <c r="A2084" s="11" t="s">
        <v>5746</v>
      </c>
      <c r="B2084" s="11" t="s">
        <v>3168</v>
      </c>
      <c r="C2084" s="11" t="s">
        <v>3377</v>
      </c>
      <c r="D2084" s="11">
        <v>102498.09</v>
      </c>
      <c r="E2084" s="11">
        <v>17194.82</v>
      </c>
      <c r="F2084" s="12">
        <v>44708</v>
      </c>
      <c r="G2084" s="12">
        <v>45543</v>
      </c>
      <c r="H2084" s="11" t="s">
        <v>3721</v>
      </c>
      <c r="I2084" s="11" t="s">
        <v>3373</v>
      </c>
      <c r="J2084" s="13" t="str" cm="1">
        <f t="array" ref="J2084">_xlfn.IFS(
  OR(ISBLANK(A2084),ISBLANK(B2084),ISBLANK(H2084),ISBLANK(D2084),ISBLANK(E2084)),"Missing Value",
  D2084&lt;=0,"Review – Out of Range (Coverage)",
  E2084&lt;=0,"Review – Out of Range (Premium)",
  TRUE,"OK"
)</f>
        <v>OK</v>
      </c>
    </row>
    <row r="2085" spans="1:10" ht="16.8" x14ac:dyDescent="0.3">
      <c r="A2085" s="14" t="s">
        <v>5747</v>
      </c>
      <c r="B2085" s="14" t="s">
        <v>1157</v>
      </c>
      <c r="C2085" s="14" t="s">
        <v>3359</v>
      </c>
      <c r="D2085" s="14">
        <v>796273.59</v>
      </c>
      <c r="E2085" s="14">
        <v>41246</v>
      </c>
      <c r="F2085" s="15">
        <v>44762</v>
      </c>
      <c r="G2085" s="15">
        <v>44769</v>
      </c>
      <c r="H2085" s="14" t="s">
        <v>3564</v>
      </c>
      <c r="I2085" s="14" t="s">
        <v>3365</v>
      </c>
      <c r="J2085" s="13" t="str" cm="1">
        <f t="array" ref="J2085">_xlfn.IFS(
  OR(ISBLANK(A2085),ISBLANK(B2085),ISBLANK(H2085),ISBLANK(D2085),ISBLANK(E2085)),"Missing Value",
  D2085&lt;=0,"Review – Out of Range (Coverage)",
  E2085&lt;=0,"Review – Out of Range (Premium)",
  TRUE,"OK"
)</f>
        <v>OK</v>
      </c>
    </row>
    <row r="2086" spans="1:10" ht="16.8" x14ac:dyDescent="0.3">
      <c r="A2086" s="11" t="s">
        <v>5748</v>
      </c>
      <c r="B2086" s="11" t="s">
        <v>611</v>
      </c>
      <c r="C2086" s="11" t="s">
        <v>3371</v>
      </c>
      <c r="D2086" s="11">
        <v>375289.59999999998</v>
      </c>
      <c r="E2086" s="11">
        <v>26446.16</v>
      </c>
      <c r="F2086" s="12">
        <v>44637</v>
      </c>
      <c r="G2086" s="12">
        <v>45861</v>
      </c>
      <c r="H2086" s="11" t="s">
        <v>3532</v>
      </c>
      <c r="I2086" s="11" t="s">
        <v>3361</v>
      </c>
      <c r="J2086" s="13" t="str" cm="1">
        <f t="array" ref="J2086">_xlfn.IFS(
  OR(ISBLANK(A2086),ISBLANK(B2086),ISBLANK(H2086),ISBLANK(D2086),ISBLANK(E2086)),"Missing Value",
  D2086&lt;=0,"Review – Out of Range (Coverage)",
  E2086&lt;=0,"Review – Out of Range (Premium)",
  TRUE,"OK"
)</f>
        <v>OK</v>
      </c>
    </row>
    <row r="2087" spans="1:10" ht="16.8" x14ac:dyDescent="0.3">
      <c r="A2087" s="14" t="s">
        <v>5749</v>
      </c>
      <c r="B2087" s="14" t="s">
        <v>663</v>
      </c>
      <c r="C2087" s="14" t="s">
        <v>3380</v>
      </c>
      <c r="D2087" s="14">
        <v>323150.90000000002</v>
      </c>
      <c r="E2087" s="14">
        <v>10485.49</v>
      </c>
      <c r="F2087" s="15">
        <v>45150</v>
      </c>
      <c r="G2087" s="15">
        <v>45437</v>
      </c>
      <c r="H2087" s="14" t="s">
        <v>3397</v>
      </c>
      <c r="I2087" s="14" t="s">
        <v>3365</v>
      </c>
      <c r="J2087" s="13" t="str" cm="1">
        <f t="array" ref="J2087">_xlfn.IFS(
  OR(ISBLANK(A2087),ISBLANK(B2087),ISBLANK(H2087),ISBLANK(D2087),ISBLANK(E2087)),"Missing Value",
  D2087&lt;=0,"Review – Out of Range (Coverage)",
  E2087&lt;=0,"Review – Out of Range (Premium)",
  TRUE,"OK"
)</f>
        <v>OK</v>
      </c>
    </row>
    <row r="2088" spans="1:10" ht="16.8" x14ac:dyDescent="0.3">
      <c r="A2088" s="11" t="s">
        <v>5750</v>
      </c>
      <c r="B2088" s="11" t="s">
        <v>1835</v>
      </c>
      <c r="C2088" s="11" t="s">
        <v>3359</v>
      </c>
      <c r="D2088" s="11">
        <v>845876.42</v>
      </c>
      <c r="E2088" s="11">
        <v>25474.33</v>
      </c>
      <c r="F2088" s="12">
        <v>44042</v>
      </c>
      <c r="G2088" s="12">
        <v>45803</v>
      </c>
      <c r="H2088" s="11" t="s">
        <v>3549</v>
      </c>
      <c r="I2088" s="11" t="s">
        <v>3373</v>
      </c>
      <c r="J2088" s="13" t="str" cm="1">
        <f t="array" ref="J2088">_xlfn.IFS(
  OR(ISBLANK(A2088),ISBLANK(B2088),ISBLANK(H2088),ISBLANK(D2088),ISBLANK(E2088)),"Missing Value",
  D2088&lt;=0,"Review – Out of Range (Coverage)",
  E2088&lt;=0,"Review – Out of Range (Premium)",
  TRUE,"OK"
)</f>
        <v>OK</v>
      </c>
    </row>
    <row r="2089" spans="1:10" ht="16.8" x14ac:dyDescent="0.3">
      <c r="A2089" s="14" t="s">
        <v>5751</v>
      </c>
      <c r="B2089" s="14" t="s">
        <v>2193</v>
      </c>
      <c r="C2089" s="14" t="s">
        <v>3377</v>
      </c>
      <c r="D2089" s="14">
        <v>937458.99</v>
      </c>
      <c r="E2089" s="14">
        <v>40480.559999999998</v>
      </c>
      <c r="F2089" s="15">
        <v>44588</v>
      </c>
      <c r="G2089" s="15">
        <v>45502</v>
      </c>
      <c r="H2089" s="14" t="s">
        <v>3626</v>
      </c>
      <c r="I2089" s="14" t="s">
        <v>3361</v>
      </c>
      <c r="J2089" s="13" t="str" cm="1">
        <f t="array" ref="J2089">_xlfn.IFS(
  OR(ISBLANK(A2089),ISBLANK(B2089),ISBLANK(H2089),ISBLANK(D2089),ISBLANK(E2089)),"Missing Value",
  D2089&lt;=0,"Review – Out of Range (Coverage)",
  E2089&lt;=0,"Review – Out of Range (Premium)",
  TRUE,"OK"
)</f>
        <v>OK</v>
      </c>
    </row>
    <row r="2090" spans="1:10" ht="16.8" x14ac:dyDescent="0.3">
      <c r="A2090" s="11" t="s">
        <v>5752</v>
      </c>
      <c r="B2090" s="11" t="s">
        <v>2089</v>
      </c>
      <c r="C2090" s="11" t="s">
        <v>3359</v>
      </c>
      <c r="D2090" s="11">
        <v>486391.89</v>
      </c>
      <c r="E2090" s="11">
        <v>6407.01</v>
      </c>
      <c r="F2090" s="12">
        <v>45282</v>
      </c>
      <c r="G2090" s="12">
        <v>45351</v>
      </c>
      <c r="H2090" s="11" t="s">
        <v>5148</v>
      </c>
      <c r="I2090" s="11" t="s">
        <v>3373</v>
      </c>
      <c r="J2090" s="13" t="str" cm="1">
        <f t="array" ref="J2090">_xlfn.IFS(
  OR(ISBLANK(A2090),ISBLANK(B2090),ISBLANK(H2090),ISBLANK(D2090),ISBLANK(E2090)),"Missing Value",
  D2090&lt;=0,"Review – Out of Range (Coverage)",
  E2090&lt;=0,"Review – Out of Range (Premium)",
  TRUE,"OK"
)</f>
        <v>OK</v>
      </c>
    </row>
    <row r="2091" spans="1:10" ht="16.8" x14ac:dyDescent="0.3">
      <c r="A2091" s="14" t="s">
        <v>5753</v>
      </c>
      <c r="B2091" s="14" t="s">
        <v>1587</v>
      </c>
      <c r="C2091" s="14" t="s">
        <v>3371</v>
      </c>
      <c r="D2091" s="14">
        <v>127646.94</v>
      </c>
      <c r="E2091" s="14">
        <v>37061.51</v>
      </c>
      <c r="F2091" s="15">
        <v>45449</v>
      </c>
      <c r="G2091" s="15">
        <v>45775</v>
      </c>
      <c r="H2091" s="14" t="s">
        <v>3903</v>
      </c>
      <c r="I2091" s="14" t="s">
        <v>3365</v>
      </c>
      <c r="J2091" s="13" t="str" cm="1">
        <f t="array" ref="J2091">_xlfn.IFS(
  OR(ISBLANK(A2091),ISBLANK(B2091),ISBLANK(H2091),ISBLANK(D2091),ISBLANK(E2091)),"Missing Value",
  D2091&lt;=0,"Review – Out of Range (Coverage)",
  E2091&lt;=0,"Review – Out of Range (Premium)",
  TRUE,"OK"
)</f>
        <v>OK</v>
      </c>
    </row>
    <row r="2092" spans="1:10" ht="16.8" x14ac:dyDescent="0.3">
      <c r="A2092" s="11" t="s">
        <v>5754</v>
      </c>
      <c r="B2092" s="11" t="s">
        <v>1967</v>
      </c>
      <c r="C2092" s="11" t="s">
        <v>3377</v>
      </c>
      <c r="D2092" s="11">
        <v>836643.86</v>
      </c>
      <c r="E2092" s="11">
        <v>18686.54</v>
      </c>
      <c r="F2092" s="12">
        <v>44979</v>
      </c>
      <c r="G2092" s="12">
        <v>45091</v>
      </c>
      <c r="H2092" s="11" t="s">
        <v>3389</v>
      </c>
      <c r="I2092" s="11" t="s">
        <v>3361</v>
      </c>
      <c r="J2092" s="13" t="str" cm="1">
        <f t="array" ref="J2092">_xlfn.IFS(
  OR(ISBLANK(A2092),ISBLANK(B2092),ISBLANK(H2092),ISBLANK(D2092),ISBLANK(E2092)),"Missing Value",
  D2092&lt;=0,"Review – Out of Range (Coverage)",
  E2092&lt;=0,"Review – Out of Range (Premium)",
  TRUE,"OK"
)</f>
        <v>OK</v>
      </c>
    </row>
    <row r="2093" spans="1:10" ht="16.8" x14ac:dyDescent="0.3">
      <c r="A2093" s="14" t="s">
        <v>5755</v>
      </c>
      <c r="B2093" s="14" t="s">
        <v>1307</v>
      </c>
      <c r="C2093" s="14" t="s">
        <v>3380</v>
      </c>
      <c r="D2093" s="14">
        <v>807936.87</v>
      </c>
      <c r="E2093" s="14">
        <v>48299.87</v>
      </c>
      <c r="F2093" s="15">
        <v>44885</v>
      </c>
      <c r="G2093" s="15">
        <v>45793</v>
      </c>
      <c r="H2093" s="14" t="s">
        <v>4623</v>
      </c>
      <c r="I2093" s="14" t="s">
        <v>3365</v>
      </c>
      <c r="J2093" s="13" t="str" cm="1">
        <f t="array" ref="J2093">_xlfn.IFS(
  OR(ISBLANK(A2093),ISBLANK(B2093),ISBLANK(H2093),ISBLANK(D2093),ISBLANK(E2093)),"Missing Value",
  D2093&lt;=0,"Review – Out of Range (Coverage)",
  E2093&lt;=0,"Review – Out of Range (Premium)",
  TRUE,"OK"
)</f>
        <v>OK</v>
      </c>
    </row>
    <row r="2094" spans="1:10" ht="16.8" x14ac:dyDescent="0.3">
      <c r="A2094" s="11" t="s">
        <v>5756</v>
      </c>
      <c r="B2094" s="11" t="s">
        <v>354</v>
      </c>
      <c r="C2094" s="11" t="s">
        <v>3359</v>
      </c>
      <c r="D2094" s="11">
        <v>124289.39</v>
      </c>
      <c r="E2094" s="11">
        <v>19507.7</v>
      </c>
      <c r="F2094" s="12">
        <v>45291</v>
      </c>
      <c r="G2094" s="12">
        <v>45579</v>
      </c>
      <c r="H2094" s="11" t="s">
        <v>4766</v>
      </c>
      <c r="I2094" s="11" t="s">
        <v>3361</v>
      </c>
      <c r="J2094" s="13" t="str" cm="1">
        <f t="array" ref="J2094">_xlfn.IFS(
  OR(ISBLANK(A2094),ISBLANK(B2094),ISBLANK(H2094),ISBLANK(D2094),ISBLANK(E2094)),"Missing Value",
  D2094&lt;=0,"Review – Out of Range (Coverage)",
  E2094&lt;=0,"Review – Out of Range (Premium)",
  TRUE,"OK"
)</f>
        <v>OK</v>
      </c>
    </row>
    <row r="2095" spans="1:10" ht="16.8" x14ac:dyDescent="0.3">
      <c r="A2095" s="14" t="s">
        <v>5757</v>
      </c>
      <c r="B2095" s="14" t="s">
        <v>1495</v>
      </c>
      <c r="C2095" s="14" t="s">
        <v>3380</v>
      </c>
      <c r="D2095" s="14">
        <v>948474.95</v>
      </c>
      <c r="E2095" s="14">
        <v>27204</v>
      </c>
      <c r="F2095" s="15">
        <v>45301</v>
      </c>
      <c r="G2095" s="15">
        <v>45603</v>
      </c>
      <c r="H2095" s="14" t="s">
        <v>3698</v>
      </c>
      <c r="I2095" s="14" t="s">
        <v>3365</v>
      </c>
      <c r="J2095" s="13" t="str" cm="1">
        <f t="array" ref="J2095">_xlfn.IFS(
  OR(ISBLANK(A2095),ISBLANK(B2095),ISBLANK(H2095),ISBLANK(D2095),ISBLANK(E2095)),"Missing Value",
  D2095&lt;=0,"Review – Out of Range (Coverage)",
  E2095&lt;=0,"Review – Out of Range (Premium)",
  TRUE,"OK"
)</f>
        <v>OK</v>
      </c>
    </row>
    <row r="2096" spans="1:10" ht="16.8" x14ac:dyDescent="0.3">
      <c r="A2096" s="11" t="s">
        <v>5758</v>
      </c>
      <c r="B2096" s="11" t="s">
        <v>2779</v>
      </c>
      <c r="C2096" s="11" t="s">
        <v>3377</v>
      </c>
      <c r="D2096" s="11">
        <v>157062.49</v>
      </c>
      <c r="E2096" s="11">
        <v>3718.52</v>
      </c>
      <c r="F2096" s="12">
        <v>45151</v>
      </c>
      <c r="G2096" s="12">
        <v>45246</v>
      </c>
      <c r="H2096" s="11" t="s">
        <v>3507</v>
      </c>
      <c r="I2096" s="11" t="s">
        <v>3365</v>
      </c>
      <c r="J2096" s="13" t="str" cm="1">
        <f t="array" ref="J2096">_xlfn.IFS(
  OR(ISBLANK(A2096),ISBLANK(B2096),ISBLANK(H2096),ISBLANK(D2096),ISBLANK(E2096)),"Missing Value",
  D2096&lt;=0,"Review – Out of Range (Coverage)",
  E2096&lt;=0,"Review – Out of Range (Premium)",
  TRUE,"OK"
)</f>
        <v>OK</v>
      </c>
    </row>
    <row r="2097" spans="1:10" ht="16.8" x14ac:dyDescent="0.3">
      <c r="A2097" s="14" t="s">
        <v>5759</v>
      </c>
      <c r="B2097" s="14" t="s">
        <v>1223</v>
      </c>
      <c r="C2097" s="14" t="s">
        <v>3363</v>
      </c>
      <c r="D2097" s="14">
        <v>748124.5</v>
      </c>
      <c r="E2097" s="14">
        <v>31646.11</v>
      </c>
      <c r="F2097" s="15">
        <v>44911</v>
      </c>
      <c r="G2097" s="15">
        <v>45099</v>
      </c>
      <c r="H2097" s="14" t="s">
        <v>3560</v>
      </c>
      <c r="I2097" s="14" t="s">
        <v>3365</v>
      </c>
      <c r="J2097" s="13" t="str" cm="1">
        <f t="array" ref="J2097">_xlfn.IFS(
  OR(ISBLANK(A2097),ISBLANK(B2097),ISBLANK(H2097),ISBLANK(D2097),ISBLANK(E2097)),"Missing Value",
  D2097&lt;=0,"Review – Out of Range (Coverage)",
  E2097&lt;=0,"Review – Out of Range (Premium)",
  TRUE,"OK"
)</f>
        <v>OK</v>
      </c>
    </row>
    <row r="2098" spans="1:10" ht="16.8" x14ac:dyDescent="0.3">
      <c r="A2098" s="11" t="s">
        <v>5760</v>
      </c>
      <c r="B2098" s="11" t="s">
        <v>3064</v>
      </c>
      <c r="C2098" s="11" t="s">
        <v>3371</v>
      </c>
      <c r="D2098" s="11">
        <v>808593.77</v>
      </c>
      <c r="E2098" s="11">
        <v>13641.05</v>
      </c>
      <c r="F2098" s="12">
        <v>45175</v>
      </c>
      <c r="G2098" s="12">
        <v>45618</v>
      </c>
      <c r="H2098" s="11" t="s">
        <v>3595</v>
      </c>
      <c r="I2098" s="11" t="s">
        <v>3365</v>
      </c>
      <c r="J2098" s="13" t="str" cm="1">
        <f t="array" ref="J2098">_xlfn.IFS(
  OR(ISBLANK(A2098),ISBLANK(B2098),ISBLANK(H2098),ISBLANK(D2098),ISBLANK(E2098)),"Missing Value",
  D2098&lt;=0,"Review – Out of Range (Coverage)",
  E2098&lt;=0,"Review – Out of Range (Premium)",
  TRUE,"OK"
)</f>
        <v>OK</v>
      </c>
    </row>
    <row r="2099" spans="1:10" ht="16.8" x14ac:dyDescent="0.3">
      <c r="A2099" s="14" t="s">
        <v>5761</v>
      </c>
      <c r="B2099" s="14" t="s">
        <v>130</v>
      </c>
      <c r="C2099" s="14" t="s">
        <v>3359</v>
      </c>
      <c r="D2099" s="14">
        <v>209879.31</v>
      </c>
      <c r="E2099" s="14">
        <v>36715.279999999999</v>
      </c>
      <c r="F2099" s="15">
        <v>45495</v>
      </c>
      <c r="G2099" s="15">
        <v>45653</v>
      </c>
      <c r="H2099" s="14" t="s">
        <v>3914</v>
      </c>
      <c r="I2099" s="14" t="s">
        <v>3365</v>
      </c>
      <c r="J2099" s="13" t="str" cm="1">
        <f t="array" ref="J2099">_xlfn.IFS(
  OR(ISBLANK(A2099),ISBLANK(B2099),ISBLANK(H2099),ISBLANK(D2099),ISBLANK(E2099)),"Missing Value",
  D2099&lt;=0,"Review – Out of Range (Coverage)",
  E2099&lt;=0,"Review – Out of Range (Premium)",
  TRUE,"OK"
)</f>
        <v>OK</v>
      </c>
    </row>
    <row r="2100" spans="1:10" ht="16.8" x14ac:dyDescent="0.3">
      <c r="A2100" s="11" t="s">
        <v>5762</v>
      </c>
      <c r="B2100" s="11" t="s">
        <v>1153</v>
      </c>
      <c r="C2100" s="11" t="s">
        <v>3371</v>
      </c>
      <c r="D2100" s="11">
        <v>753584.55</v>
      </c>
      <c r="E2100" s="11">
        <v>35710.11</v>
      </c>
      <c r="F2100" s="12">
        <v>44279</v>
      </c>
      <c r="G2100" s="12">
        <v>45484</v>
      </c>
      <c r="H2100" s="11" t="s">
        <v>3792</v>
      </c>
      <c r="I2100" s="11" t="s">
        <v>3361</v>
      </c>
      <c r="J2100" s="13" t="str" cm="1">
        <f t="array" ref="J2100">_xlfn.IFS(
  OR(ISBLANK(A2100),ISBLANK(B2100),ISBLANK(H2100),ISBLANK(D2100),ISBLANK(E2100)),"Missing Value",
  D2100&lt;=0,"Review – Out of Range (Coverage)",
  E2100&lt;=0,"Review – Out of Range (Premium)",
  TRUE,"OK"
)</f>
        <v>OK</v>
      </c>
    </row>
    <row r="2101" spans="1:10" ht="16.8" x14ac:dyDescent="0.3">
      <c r="A2101" s="14" t="s">
        <v>5763</v>
      </c>
      <c r="B2101" s="14" t="s">
        <v>921</v>
      </c>
      <c r="C2101" s="14" t="s">
        <v>3380</v>
      </c>
      <c r="D2101" s="14">
        <v>269839.38</v>
      </c>
      <c r="E2101" s="14">
        <v>47290.95</v>
      </c>
      <c r="F2101" s="15">
        <v>45352</v>
      </c>
      <c r="G2101" s="15">
        <v>45557</v>
      </c>
      <c r="H2101" s="14" t="s">
        <v>3575</v>
      </c>
      <c r="I2101" s="14" t="s">
        <v>3373</v>
      </c>
      <c r="J2101" s="13" t="str" cm="1">
        <f t="array" ref="J2101">_xlfn.IFS(
  OR(ISBLANK(A2101),ISBLANK(B2101),ISBLANK(H2101),ISBLANK(D2101),ISBLANK(E2101)),"Missing Value",
  D2101&lt;=0,"Review – Out of Range (Coverage)",
  E2101&lt;=0,"Review – Out of Range (Premium)",
  TRUE,"OK"
)</f>
        <v>OK</v>
      </c>
    </row>
    <row r="2102" spans="1:10" ht="16.8" x14ac:dyDescent="0.3">
      <c r="A2102" s="11" t="s">
        <v>5764</v>
      </c>
      <c r="B2102" s="11" t="s">
        <v>2869</v>
      </c>
      <c r="C2102" s="11" t="s">
        <v>3380</v>
      </c>
      <c r="D2102" s="11">
        <v>517371.38</v>
      </c>
      <c r="E2102" s="11">
        <v>42335.23</v>
      </c>
      <c r="F2102" s="12">
        <v>45449</v>
      </c>
      <c r="G2102" s="12">
        <v>45462</v>
      </c>
      <c r="H2102" s="11" t="s">
        <v>3378</v>
      </c>
      <c r="I2102" s="11" t="s">
        <v>3361</v>
      </c>
      <c r="J2102" s="13" t="str" cm="1">
        <f t="array" ref="J2102">_xlfn.IFS(
  OR(ISBLANK(A2102),ISBLANK(B2102),ISBLANK(H2102),ISBLANK(D2102),ISBLANK(E2102)),"Missing Value",
  D2102&lt;=0,"Review – Out of Range (Coverage)",
  E2102&lt;=0,"Review – Out of Range (Premium)",
  TRUE,"OK"
)</f>
        <v>OK</v>
      </c>
    </row>
    <row r="2103" spans="1:10" ht="16.8" x14ac:dyDescent="0.3">
      <c r="A2103" s="14" t="s">
        <v>5765</v>
      </c>
      <c r="B2103" s="14" t="s">
        <v>2471</v>
      </c>
      <c r="C2103" s="14" t="s">
        <v>3359</v>
      </c>
      <c r="D2103" s="14">
        <v>935360.77</v>
      </c>
      <c r="E2103" s="14">
        <v>19052.5</v>
      </c>
      <c r="F2103" s="15">
        <v>44375</v>
      </c>
      <c r="G2103" s="15">
        <v>44645</v>
      </c>
      <c r="H2103" s="14" t="s">
        <v>4003</v>
      </c>
      <c r="I2103" s="14" t="s">
        <v>3361</v>
      </c>
      <c r="J2103" s="13" t="str" cm="1">
        <f t="array" ref="J2103">_xlfn.IFS(
  OR(ISBLANK(A2103),ISBLANK(B2103),ISBLANK(H2103),ISBLANK(D2103),ISBLANK(E2103)),"Missing Value",
  D2103&lt;=0,"Review – Out of Range (Coverage)",
  E2103&lt;=0,"Review – Out of Range (Premium)",
  TRUE,"OK"
)</f>
        <v>OK</v>
      </c>
    </row>
    <row r="2104" spans="1:10" ht="16.8" x14ac:dyDescent="0.3">
      <c r="A2104" s="11" t="s">
        <v>5766</v>
      </c>
      <c r="B2104" s="11" t="s">
        <v>595</v>
      </c>
      <c r="C2104" s="11" t="s">
        <v>3380</v>
      </c>
      <c r="D2104" s="11">
        <v>287577.39</v>
      </c>
      <c r="E2104" s="11">
        <v>29559.67</v>
      </c>
      <c r="F2104" s="12">
        <v>44405</v>
      </c>
      <c r="G2104" s="12">
        <v>45738</v>
      </c>
      <c r="H2104" s="11" t="s">
        <v>3874</v>
      </c>
      <c r="I2104" s="11" t="s">
        <v>3365</v>
      </c>
      <c r="J2104" s="13" t="str" cm="1">
        <f t="array" ref="J2104">_xlfn.IFS(
  OR(ISBLANK(A2104),ISBLANK(B2104),ISBLANK(H2104),ISBLANK(D2104),ISBLANK(E2104)),"Missing Value",
  D2104&lt;=0,"Review – Out of Range (Coverage)",
  E2104&lt;=0,"Review – Out of Range (Premium)",
  TRUE,"OK"
)</f>
        <v>OK</v>
      </c>
    </row>
    <row r="2105" spans="1:10" ht="16.8" x14ac:dyDescent="0.3">
      <c r="A2105" s="14" t="s">
        <v>5767</v>
      </c>
      <c r="B2105" s="14" t="s">
        <v>931</v>
      </c>
      <c r="C2105" s="14" t="s">
        <v>3363</v>
      </c>
      <c r="D2105" s="14">
        <v>632864.51</v>
      </c>
      <c r="E2105" s="14">
        <v>30871.99</v>
      </c>
      <c r="F2105" s="15">
        <v>44337</v>
      </c>
      <c r="G2105" s="15">
        <v>44856</v>
      </c>
      <c r="H2105" s="14" t="s">
        <v>3581</v>
      </c>
      <c r="I2105" s="14" t="s">
        <v>3373</v>
      </c>
      <c r="J2105" s="13" t="str" cm="1">
        <f t="array" ref="J2105">_xlfn.IFS(
  OR(ISBLANK(A2105),ISBLANK(B2105),ISBLANK(H2105),ISBLANK(D2105),ISBLANK(E2105)),"Missing Value",
  D2105&lt;=0,"Review – Out of Range (Coverage)",
  E2105&lt;=0,"Review – Out of Range (Premium)",
  TRUE,"OK"
)</f>
        <v>OK</v>
      </c>
    </row>
    <row r="2106" spans="1:10" ht="16.8" x14ac:dyDescent="0.3">
      <c r="A2106" s="11" t="s">
        <v>5768</v>
      </c>
      <c r="B2106" s="11" t="s">
        <v>512</v>
      </c>
      <c r="C2106" s="11" t="s">
        <v>3377</v>
      </c>
      <c r="D2106" s="11">
        <v>990299.39</v>
      </c>
      <c r="E2106" s="11">
        <v>4961.18</v>
      </c>
      <c r="F2106" s="12">
        <v>45222</v>
      </c>
      <c r="G2106" s="12">
        <v>45399</v>
      </c>
      <c r="H2106" s="11" t="s">
        <v>4244</v>
      </c>
      <c r="I2106" s="11" t="s">
        <v>3373</v>
      </c>
      <c r="J2106" s="13" t="str" cm="1">
        <f t="array" ref="J2106">_xlfn.IFS(
  OR(ISBLANK(A2106),ISBLANK(B2106),ISBLANK(H2106),ISBLANK(D2106),ISBLANK(E2106)),"Missing Value",
  D2106&lt;=0,"Review – Out of Range (Coverage)",
  E2106&lt;=0,"Review – Out of Range (Premium)",
  TRUE,"OK"
)</f>
        <v>OK</v>
      </c>
    </row>
    <row r="2107" spans="1:10" ht="16.8" x14ac:dyDescent="0.3">
      <c r="A2107" s="14" t="s">
        <v>5769</v>
      </c>
      <c r="B2107" s="14" t="s">
        <v>246</v>
      </c>
      <c r="C2107" s="14" t="s">
        <v>3380</v>
      </c>
      <c r="D2107" s="14">
        <v>545263.49</v>
      </c>
      <c r="E2107" s="14">
        <v>36438.79</v>
      </c>
      <c r="F2107" s="15">
        <v>45320</v>
      </c>
      <c r="G2107" s="15">
        <v>45625</v>
      </c>
      <c r="H2107" s="14" t="s">
        <v>3712</v>
      </c>
      <c r="I2107" s="14" t="s">
        <v>3373</v>
      </c>
      <c r="J2107" s="13" t="str" cm="1">
        <f t="array" ref="J2107">_xlfn.IFS(
  OR(ISBLANK(A2107),ISBLANK(B2107),ISBLANK(H2107),ISBLANK(D2107),ISBLANK(E2107)),"Missing Value",
  D2107&lt;=0,"Review – Out of Range (Coverage)",
  E2107&lt;=0,"Review – Out of Range (Premium)",
  TRUE,"OK"
)</f>
        <v>OK</v>
      </c>
    </row>
    <row r="2108" spans="1:10" ht="16.8" x14ac:dyDescent="0.3">
      <c r="A2108" s="11" t="s">
        <v>5770</v>
      </c>
      <c r="B2108" s="11" t="s">
        <v>210</v>
      </c>
      <c r="C2108" s="11" t="s">
        <v>3377</v>
      </c>
      <c r="D2108" s="11">
        <v>959773.69</v>
      </c>
      <c r="E2108" s="11">
        <v>21943.17</v>
      </c>
      <c r="F2108" s="12">
        <v>45449</v>
      </c>
      <c r="G2108" s="12">
        <v>45524</v>
      </c>
      <c r="H2108" s="11" t="s">
        <v>3399</v>
      </c>
      <c r="I2108" s="11" t="s">
        <v>3373</v>
      </c>
      <c r="J2108" s="13" t="str" cm="1">
        <f t="array" ref="J2108">_xlfn.IFS(
  OR(ISBLANK(A2108),ISBLANK(B2108),ISBLANK(H2108),ISBLANK(D2108),ISBLANK(E2108)),"Missing Value",
  D2108&lt;=0,"Review – Out of Range (Coverage)",
  E2108&lt;=0,"Review – Out of Range (Premium)",
  TRUE,"OK"
)</f>
        <v>OK</v>
      </c>
    </row>
    <row r="2109" spans="1:10" ht="16.8" x14ac:dyDescent="0.3">
      <c r="A2109" s="14" t="s">
        <v>5771</v>
      </c>
      <c r="B2109" s="14" t="s">
        <v>3166</v>
      </c>
      <c r="C2109" s="14" t="s">
        <v>3363</v>
      </c>
      <c r="D2109" s="14">
        <v>305526.42</v>
      </c>
      <c r="E2109" s="14">
        <v>48730.3</v>
      </c>
      <c r="F2109" s="15">
        <v>45097</v>
      </c>
      <c r="G2109" s="15">
        <v>45269</v>
      </c>
      <c r="H2109" s="14" t="s">
        <v>3459</v>
      </c>
      <c r="I2109" s="14" t="s">
        <v>3373</v>
      </c>
      <c r="J2109" s="13" t="str" cm="1">
        <f t="array" ref="J2109">_xlfn.IFS(
  OR(ISBLANK(A2109),ISBLANK(B2109),ISBLANK(H2109),ISBLANK(D2109),ISBLANK(E2109)),"Missing Value",
  D2109&lt;=0,"Review – Out of Range (Coverage)",
  E2109&lt;=0,"Review – Out of Range (Premium)",
  TRUE,"OK"
)</f>
        <v>OK</v>
      </c>
    </row>
    <row r="2110" spans="1:10" ht="16.8" x14ac:dyDescent="0.3">
      <c r="A2110" s="11" t="s">
        <v>5772</v>
      </c>
      <c r="B2110" s="11" t="s">
        <v>1709</v>
      </c>
      <c r="C2110" s="11" t="s">
        <v>3363</v>
      </c>
      <c r="D2110" s="11">
        <v>145787.46</v>
      </c>
      <c r="E2110" s="11">
        <v>19826.86</v>
      </c>
      <c r="F2110" s="12">
        <v>44586</v>
      </c>
      <c r="G2110" s="12">
        <v>45385</v>
      </c>
      <c r="H2110" s="11" t="s">
        <v>3822</v>
      </c>
      <c r="I2110" s="11" t="s">
        <v>3365</v>
      </c>
      <c r="J2110" s="13" t="str" cm="1">
        <f t="array" ref="J2110">_xlfn.IFS(
  OR(ISBLANK(A2110),ISBLANK(B2110),ISBLANK(H2110),ISBLANK(D2110),ISBLANK(E2110)),"Missing Value",
  D2110&lt;=0,"Review – Out of Range (Coverage)",
  E2110&lt;=0,"Review – Out of Range (Premium)",
  TRUE,"OK"
)</f>
        <v>OK</v>
      </c>
    </row>
    <row r="2111" spans="1:10" ht="16.8" x14ac:dyDescent="0.3">
      <c r="A2111" s="14" t="s">
        <v>5773</v>
      </c>
      <c r="B2111" s="14" t="s">
        <v>110</v>
      </c>
      <c r="C2111" s="14" t="s">
        <v>3363</v>
      </c>
      <c r="D2111" s="14">
        <v>609266.14</v>
      </c>
      <c r="E2111" s="14">
        <v>47951.7</v>
      </c>
      <c r="F2111" s="15">
        <v>44809</v>
      </c>
      <c r="G2111" s="15">
        <v>44896</v>
      </c>
      <c r="H2111" s="14" t="s">
        <v>3385</v>
      </c>
      <c r="I2111" s="14" t="s">
        <v>3373</v>
      </c>
      <c r="J2111" s="13" t="str" cm="1">
        <f t="array" ref="J2111">_xlfn.IFS(
  OR(ISBLANK(A2111),ISBLANK(B2111),ISBLANK(H2111),ISBLANK(D2111),ISBLANK(E2111)),"Missing Value",
  D2111&lt;=0,"Review – Out of Range (Coverage)",
  E2111&lt;=0,"Review – Out of Range (Premium)",
  TRUE,"OK"
)</f>
        <v>OK</v>
      </c>
    </row>
    <row r="2112" spans="1:10" ht="16.8" x14ac:dyDescent="0.3">
      <c r="A2112" s="11" t="s">
        <v>5774</v>
      </c>
      <c r="B2112" s="11" t="s">
        <v>2245</v>
      </c>
      <c r="C2112" s="11" t="s">
        <v>3359</v>
      </c>
      <c r="D2112" s="11">
        <v>914279.26</v>
      </c>
      <c r="E2112" s="11">
        <v>36805.57</v>
      </c>
      <c r="F2112" s="12">
        <v>44637</v>
      </c>
      <c r="G2112" s="12">
        <v>45051</v>
      </c>
      <c r="H2112" s="11" t="s">
        <v>4732</v>
      </c>
      <c r="I2112" s="11" t="s">
        <v>3365</v>
      </c>
      <c r="J2112" s="13" t="str" cm="1">
        <f t="array" ref="J2112">_xlfn.IFS(
  OR(ISBLANK(A2112),ISBLANK(B2112),ISBLANK(H2112),ISBLANK(D2112),ISBLANK(E2112)),"Missing Value",
  D2112&lt;=0,"Review – Out of Range (Coverage)",
  E2112&lt;=0,"Review – Out of Range (Premium)",
  TRUE,"OK"
)</f>
        <v>OK</v>
      </c>
    </row>
    <row r="2113" spans="1:10" ht="16.8" x14ac:dyDescent="0.3">
      <c r="A2113" s="14" t="s">
        <v>5775</v>
      </c>
      <c r="B2113" s="14" t="s">
        <v>679</v>
      </c>
      <c r="C2113" s="14" t="s">
        <v>3363</v>
      </c>
      <c r="D2113" s="14">
        <v>343951.78</v>
      </c>
      <c r="E2113" s="14">
        <v>24945.03</v>
      </c>
      <c r="F2113" s="15">
        <v>44547</v>
      </c>
      <c r="G2113" s="15">
        <v>45023</v>
      </c>
      <c r="H2113" s="14" t="s">
        <v>3591</v>
      </c>
      <c r="I2113" s="14" t="s">
        <v>3361</v>
      </c>
      <c r="J2113" s="13" t="str" cm="1">
        <f t="array" ref="J2113">_xlfn.IFS(
  OR(ISBLANK(A2113),ISBLANK(B2113),ISBLANK(H2113),ISBLANK(D2113),ISBLANK(E2113)),"Missing Value",
  D2113&lt;=0,"Review – Out of Range (Coverage)",
  E2113&lt;=0,"Review – Out of Range (Premium)",
  TRUE,"OK"
)</f>
        <v>OK</v>
      </c>
    </row>
    <row r="2114" spans="1:10" ht="16.8" x14ac:dyDescent="0.3">
      <c r="A2114" s="11" t="s">
        <v>5776</v>
      </c>
      <c r="B2114" s="11" t="s">
        <v>3232</v>
      </c>
      <c r="C2114" s="11" t="s">
        <v>3359</v>
      </c>
      <c r="D2114" s="11">
        <v>314468.53999999998</v>
      </c>
      <c r="E2114" s="11">
        <v>46850.37</v>
      </c>
      <c r="F2114" s="12">
        <v>45475</v>
      </c>
      <c r="G2114" s="12">
        <v>45689</v>
      </c>
      <c r="H2114" s="11" t="s">
        <v>3591</v>
      </c>
      <c r="I2114" s="11" t="s">
        <v>3373</v>
      </c>
      <c r="J2114" s="13" t="str" cm="1">
        <f t="array" ref="J2114">_xlfn.IFS(
  OR(ISBLANK(A2114),ISBLANK(B2114),ISBLANK(H2114),ISBLANK(D2114),ISBLANK(E2114)),"Missing Value",
  D2114&lt;=0,"Review – Out of Range (Coverage)",
  E2114&lt;=0,"Review – Out of Range (Premium)",
  TRUE,"OK"
)</f>
        <v>OK</v>
      </c>
    </row>
    <row r="2115" spans="1:10" ht="16.8" x14ac:dyDescent="0.3">
      <c r="A2115" s="14" t="s">
        <v>5777</v>
      </c>
      <c r="B2115" s="14" t="s">
        <v>3270</v>
      </c>
      <c r="C2115" s="14" t="s">
        <v>3371</v>
      </c>
      <c r="D2115" s="14">
        <v>897552.15</v>
      </c>
      <c r="E2115" s="14">
        <v>5794.9</v>
      </c>
      <c r="F2115" s="15">
        <v>44950</v>
      </c>
      <c r="G2115" s="15">
        <v>45290</v>
      </c>
      <c r="H2115" s="14" t="s">
        <v>3698</v>
      </c>
      <c r="I2115" s="14" t="s">
        <v>3373</v>
      </c>
      <c r="J2115" s="13" t="str" cm="1">
        <f t="array" ref="J2115">_xlfn.IFS(
  OR(ISBLANK(A2115),ISBLANK(B2115),ISBLANK(H2115),ISBLANK(D2115),ISBLANK(E2115)),"Missing Value",
  D2115&lt;=0,"Review – Out of Range (Coverage)",
  E2115&lt;=0,"Review – Out of Range (Premium)",
  TRUE,"OK"
)</f>
        <v>OK</v>
      </c>
    </row>
    <row r="2116" spans="1:10" ht="16.8" x14ac:dyDescent="0.3">
      <c r="A2116" s="11" t="s">
        <v>5778</v>
      </c>
      <c r="B2116" s="11" t="s">
        <v>3009</v>
      </c>
      <c r="C2116" s="11" t="s">
        <v>3359</v>
      </c>
      <c r="D2116" s="11">
        <v>359018.02</v>
      </c>
      <c r="E2116" s="11">
        <v>35462.92</v>
      </c>
      <c r="F2116" s="12">
        <v>45398</v>
      </c>
      <c r="G2116" s="12">
        <v>45475</v>
      </c>
      <c r="H2116" s="11" t="s">
        <v>3459</v>
      </c>
      <c r="I2116" s="11" t="s">
        <v>3365</v>
      </c>
      <c r="J2116" s="13" t="str" cm="1">
        <f t="array" ref="J2116">_xlfn.IFS(
  OR(ISBLANK(A2116),ISBLANK(B2116),ISBLANK(H2116),ISBLANK(D2116),ISBLANK(E2116)),"Missing Value",
  D2116&lt;=0,"Review – Out of Range (Coverage)",
  E2116&lt;=0,"Review – Out of Range (Premium)",
  TRUE,"OK"
)</f>
        <v>OK</v>
      </c>
    </row>
    <row r="2117" spans="1:10" ht="16.8" x14ac:dyDescent="0.3">
      <c r="A2117" s="14" t="s">
        <v>5779</v>
      </c>
      <c r="B2117" s="14" t="s">
        <v>803</v>
      </c>
      <c r="C2117" s="14" t="s">
        <v>3371</v>
      </c>
      <c r="D2117" s="14">
        <v>134790.38</v>
      </c>
      <c r="E2117" s="14">
        <v>31987.919999999998</v>
      </c>
      <c r="F2117" s="15">
        <v>44946</v>
      </c>
      <c r="G2117" s="15">
        <v>45404</v>
      </c>
      <c r="H2117" s="14" t="s">
        <v>4187</v>
      </c>
      <c r="I2117" s="14" t="s">
        <v>3361</v>
      </c>
      <c r="J2117" s="13" t="str" cm="1">
        <f t="array" ref="J2117">_xlfn.IFS(
  OR(ISBLANK(A2117),ISBLANK(B2117),ISBLANK(H2117),ISBLANK(D2117),ISBLANK(E2117)),"Missing Value",
  D2117&lt;=0,"Review – Out of Range (Coverage)",
  E2117&lt;=0,"Review – Out of Range (Premium)",
  TRUE,"OK"
)</f>
        <v>OK</v>
      </c>
    </row>
    <row r="2118" spans="1:10" ht="16.8" x14ac:dyDescent="0.3">
      <c r="A2118" s="11" t="s">
        <v>5780</v>
      </c>
      <c r="B2118" s="11" t="s">
        <v>3284</v>
      </c>
      <c r="C2118" s="11" t="s">
        <v>3363</v>
      </c>
      <c r="D2118" s="11">
        <v>611533.23</v>
      </c>
      <c r="E2118" s="11">
        <v>43410.14</v>
      </c>
      <c r="F2118" s="12">
        <v>45139</v>
      </c>
      <c r="G2118" s="12">
        <v>45807</v>
      </c>
      <c r="H2118" s="11" t="s">
        <v>3413</v>
      </c>
      <c r="I2118" s="11" t="s">
        <v>3361</v>
      </c>
      <c r="J2118" s="13" t="str" cm="1">
        <f t="array" ref="J2118">_xlfn.IFS(
  OR(ISBLANK(A2118),ISBLANK(B2118),ISBLANK(H2118),ISBLANK(D2118),ISBLANK(E2118)),"Missing Value",
  D2118&lt;=0,"Review – Out of Range (Coverage)",
  E2118&lt;=0,"Review – Out of Range (Premium)",
  TRUE,"OK"
)</f>
        <v>OK</v>
      </c>
    </row>
    <row r="2119" spans="1:10" ht="16.8" x14ac:dyDescent="0.3">
      <c r="A2119" s="14" t="s">
        <v>5781</v>
      </c>
      <c r="B2119" s="14" t="s">
        <v>2255</v>
      </c>
      <c r="C2119" s="14" t="s">
        <v>3359</v>
      </c>
      <c r="D2119" s="14">
        <v>188614.18</v>
      </c>
      <c r="E2119" s="14">
        <v>12426.65</v>
      </c>
      <c r="F2119" s="15">
        <v>44341</v>
      </c>
      <c r="G2119" s="15">
        <v>45640</v>
      </c>
      <c r="H2119" s="14" t="s">
        <v>3658</v>
      </c>
      <c r="I2119" s="14" t="s">
        <v>3361</v>
      </c>
      <c r="J2119" s="13" t="str" cm="1">
        <f t="array" ref="J2119">_xlfn.IFS(
  OR(ISBLANK(A2119),ISBLANK(B2119),ISBLANK(H2119),ISBLANK(D2119),ISBLANK(E2119)),"Missing Value",
  D2119&lt;=0,"Review – Out of Range (Coverage)",
  E2119&lt;=0,"Review – Out of Range (Premium)",
  TRUE,"OK"
)</f>
        <v>OK</v>
      </c>
    </row>
    <row r="2120" spans="1:10" ht="16.8" x14ac:dyDescent="0.3">
      <c r="A2120" s="11" t="s">
        <v>5782</v>
      </c>
      <c r="B2120" s="11" t="s">
        <v>2229</v>
      </c>
      <c r="C2120" s="11" t="s">
        <v>3359</v>
      </c>
      <c r="D2120" s="11">
        <v>819323.5</v>
      </c>
      <c r="E2120" s="11">
        <v>37599.46</v>
      </c>
      <c r="F2120" s="12">
        <v>44751</v>
      </c>
      <c r="G2120" s="12">
        <v>45264</v>
      </c>
      <c r="H2120" s="11" t="s">
        <v>3364</v>
      </c>
      <c r="I2120" s="11" t="s">
        <v>3373</v>
      </c>
      <c r="J2120" s="13" t="str" cm="1">
        <f t="array" ref="J2120">_xlfn.IFS(
  OR(ISBLANK(A2120),ISBLANK(B2120),ISBLANK(H2120),ISBLANK(D2120),ISBLANK(E2120)),"Missing Value",
  D2120&lt;=0,"Review – Out of Range (Coverage)",
  E2120&lt;=0,"Review – Out of Range (Premium)",
  TRUE,"OK"
)</f>
        <v>OK</v>
      </c>
    </row>
    <row r="2121" spans="1:10" ht="16.8" x14ac:dyDescent="0.3">
      <c r="A2121" s="14" t="s">
        <v>5783</v>
      </c>
      <c r="B2121" s="14" t="s">
        <v>1143</v>
      </c>
      <c r="C2121" s="14" t="s">
        <v>3377</v>
      </c>
      <c r="D2121" s="14">
        <v>818453.99</v>
      </c>
      <c r="E2121" s="14">
        <v>16813.25</v>
      </c>
      <c r="F2121" s="15">
        <v>44796</v>
      </c>
      <c r="G2121" s="15">
        <v>45304</v>
      </c>
      <c r="H2121" s="14" t="s">
        <v>3567</v>
      </c>
      <c r="I2121" s="14" t="s">
        <v>3365</v>
      </c>
      <c r="J2121" s="13" t="str" cm="1">
        <f t="array" ref="J2121">_xlfn.IFS(
  OR(ISBLANK(A2121),ISBLANK(B2121),ISBLANK(H2121),ISBLANK(D2121),ISBLANK(E2121)),"Missing Value",
  D2121&lt;=0,"Review – Out of Range (Coverage)",
  E2121&lt;=0,"Review – Out of Range (Premium)",
  TRUE,"OK"
)</f>
        <v>OK</v>
      </c>
    </row>
    <row r="2122" spans="1:10" ht="16.8" x14ac:dyDescent="0.3">
      <c r="A2122" s="11" t="s">
        <v>5784</v>
      </c>
      <c r="B2122" s="11" t="s">
        <v>3290</v>
      </c>
      <c r="C2122" s="11" t="s">
        <v>3371</v>
      </c>
      <c r="D2122" s="11">
        <v>524214.36</v>
      </c>
      <c r="E2122" s="11">
        <v>11164.54</v>
      </c>
      <c r="F2122" s="12">
        <v>45188</v>
      </c>
      <c r="G2122" s="12">
        <v>45475</v>
      </c>
      <c r="H2122" s="11" t="s">
        <v>4114</v>
      </c>
      <c r="I2122" s="11" t="s">
        <v>3373</v>
      </c>
      <c r="J2122" s="13" t="str" cm="1">
        <f t="array" ref="J2122">_xlfn.IFS(
  OR(ISBLANK(A2122),ISBLANK(B2122),ISBLANK(H2122),ISBLANK(D2122),ISBLANK(E2122)),"Missing Value",
  D2122&lt;=0,"Review – Out of Range (Coverage)",
  E2122&lt;=0,"Review – Out of Range (Premium)",
  TRUE,"OK"
)</f>
        <v>OK</v>
      </c>
    </row>
    <row r="2123" spans="1:10" ht="16.8" x14ac:dyDescent="0.3">
      <c r="A2123" s="14" t="s">
        <v>5785</v>
      </c>
      <c r="B2123" s="14" t="s">
        <v>1111</v>
      </c>
      <c r="C2123" s="14" t="s">
        <v>3363</v>
      </c>
      <c r="D2123" s="14">
        <v>539904.19999999995</v>
      </c>
      <c r="E2123" s="14">
        <v>46798.59</v>
      </c>
      <c r="F2123" s="15">
        <v>44341</v>
      </c>
      <c r="G2123" s="15">
        <v>45522</v>
      </c>
      <c r="H2123" s="14" t="s">
        <v>3792</v>
      </c>
      <c r="I2123" s="14" t="s">
        <v>3361</v>
      </c>
      <c r="J2123" s="13" t="str" cm="1">
        <f t="array" ref="J2123">_xlfn.IFS(
  OR(ISBLANK(A2123),ISBLANK(B2123),ISBLANK(H2123),ISBLANK(D2123),ISBLANK(E2123)),"Missing Value",
  D2123&lt;=0,"Review – Out of Range (Coverage)",
  E2123&lt;=0,"Review – Out of Range (Premium)",
  TRUE,"OK"
)</f>
        <v>OK</v>
      </c>
    </row>
    <row r="2124" spans="1:10" ht="16.8" x14ac:dyDescent="0.3">
      <c r="A2124" s="11" t="s">
        <v>5786</v>
      </c>
      <c r="B2124" s="11" t="s">
        <v>675</v>
      </c>
      <c r="C2124" s="11" t="s">
        <v>3371</v>
      </c>
      <c r="D2124" s="11">
        <v>748071.84</v>
      </c>
      <c r="E2124" s="11">
        <v>43702.82</v>
      </c>
      <c r="F2124" s="12">
        <v>44848</v>
      </c>
      <c r="G2124" s="12">
        <v>45823</v>
      </c>
      <c r="H2124" s="11" t="s">
        <v>3861</v>
      </c>
      <c r="I2124" s="11" t="s">
        <v>3373</v>
      </c>
      <c r="J2124" s="13" t="str" cm="1">
        <f t="array" ref="J2124">_xlfn.IFS(
  OR(ISBLANK(A2124),ISBLANK(B2124),ISBLANK(H2124),ISBLANK(D2124),ISBLANK(E2124)),"Missing Value",
  D2124&lt;=0,"Review – Out of Range (Coverage)",
  E2124&lt;=0,"Review – Out of Range (Premium)",
  TRUE,"OK"
)</f>
        <v>OK</v>
      </c>
    </row>
    <row r="2125" spans="1:10" ht="16.8" x14ac:dyDescent="0.3">
      <c r="A2125" s="14" t="s">
        <v>5787</v>
      </c>
      <c r="B2125" s="14" t="s">
        <v>2453</v>
      </c>
      <c r="C2125" s="14" t="s">
        <v>3380</v>
      </c>
      <c r="D2125" s="14">
        <v>292459.73</v>
      </c>
      <c r="E2125" s="14">
        <v>7432.05</v>
      </c>
      <c r="F2125" s="15">
        <v>44990</v>
      </c>
      <c r="G2125" s="15">
        <v>45688</v>
      </c>
      <c r="H2125" s="14" t="s">
        <v>3423</v>
      </c>
      <c r="I2125" s="14" t="s">
        <v>3373</v>
      </c>
      <c r="J2125" s="13" t="str" cm="1">
        <f t="array" ref="J2125">_xlfn.IFS(
  OR(ISBLANK(A2125),ISBLANK(B2125),ISBLANK(H2125),ISBLANK(D2125),ISBLANK(E2125)),"Missing Value",
  D2125&lt;=0,"Review – Out of Range (Coverage)",
  E2125&lt;=0,"Review – Out of Range (Premium)",
  TRUE,"OK"
)</f>
        <v>OK</v>
      </c>
    </row>
    <row r="2126" spans="1:10" ht="16.8" x14ac:dyDescent="0.3">
      <c r="A2126" s="11" t="s">
        <v>5788</v>
      </c>
      <c r="B2126" s="11" t="s">
        <v>1805</v>
      </c>
      <c r="C2126" s="11" t="s">
        <v>3363</v>
      </c>
      <c r="D2126" s="11">
        <v>734767.38</v>
      </c>
      <c r="E2126" s="11">
        <v>27364.2</v>
      </c>
      <c r="F2126" s="12">
        <v>45286</v>
      </c>
      <c r="G2126" s="12">
        <v>45396</v>
      </c>
      <c r="H2126" s="11" t="s">
        <v>3367</v>
      </c>
      <c r="I2126" s="11" t="s">
        <v>3365</v>
      </c>
      <c r="J2126" s="13" t="str" cm="1">
        <f t="array" ref="J2126">_xlfn.IFS(
  OR(ISBLANK(A2126),ISBLANK(B2126),ISBLANK(H2126),ISBLANK(D2126),ISBLANK(E2126)),"Missing Value",
  D2126&lt;=0,"Review – Out of Range (Coverage)",
  E2126&lt;=0,"Review – Out of Range (Premium)",
  TRUE,"OK"
)</f>
        <v>OK</v>
      </c>
    </row>
    <row r="2127" spans="1:10" ht="16.8" x14ac:dyDescent="0.3">
      <c r="A2127" s="14" t="s">
        <v>5789</v>
      </c>
      <c r="B2127" s="14" t="s">
        <v>1069</v>
      </c>
      <c r="C2127" s="14" t="s">
        <v>3377</v>
      </c>
      <c r="D2127" s="14">
        <v>338152.5</v>
      </c>
      <c r="E2127" s="14">
        <v>11169.7</v>
      </c>
      <c r="F2127" s="15">
        <v>44925</v>
      </c>
      <c r="G2127" s="15">
        <v>44937</v>
      </c>
      <c r="H2127" s="14" t="s">
        <v>3543</v>
      </c>
      <c r="I2127" s="14" t="s">
        <v>3373</v>
      </c>
      <c r="J2127" s="13" t="str" cm="1">
        <f t="array" ref="J2127">_xlfn.IFS(
  OR(ISBLANK(A2127),ISBLANK(B2127),ISBLANK(H2127),ISBLANK(D2127),ISBLANK(E2127)),"Missing Value",
  D2127&lt;=0,"Review – Out of Range (Coverage)",
  E2127&lt;=0,"Review – Out of Range (Premium)",
  TRUE,"OK"
)</f>
        <v>OK</v>
      </c>
    </row>
    <row r="2128" spans="1:10" ht="16.8" x14ac:dyDescent="0.3">
      <c r="A2128" s="11" t="s">
        <v>5790</v>
      </c>
      <c r="B2128" s="11" t="s">
        <v>2125</v>
      </c>
      <c r="C2128" s="11" t="s">
        <v>3363</v>
      </c>
      <c r="D2128" s="11">
        <v>484887.47</v>
      </c>
      <c r="E2128" s="11">
        <v>43088.93</v>
      </c>
      <c r="F2128" s="12">
        <v>45222</v>
      </c>
      <c r="G2128" s="12">
        <v>45767</v>
      </c>
      <c r="H2128" s="11" t="s">
        <v>3892</v>
      </c>
      <c r="I2128" s="11" t="s">
        <v>3361</v>
      </c>
      <c r="J2128" s="13" t="str" cm="1">
        <f t="array" ref="J2128">_xlfn.IFS(
  OR(ISBLANK(A2128),ISBLANK(B2128),ISBLANK(H2128),ISBLANK(D2128),ISBLANK(E2128)),"Missing Value",
  D2128&lt;=0,"Review – Out of Range (Coverage)",
  E2128&lt;=0,"Review – Out of Range (Premium)",
  TRUE,"OK"
)</f>
        <v>OK</v>
      </c>
    </row>
    <row r="2129" spans="1:10" ht="16.8" x14ac:dyDescent="0.3">
      <c r="A2129" s="14" t="s">
        <v>5791</v>
      </c>
      <c r="B2129" s="14" t="s">
        <v>1939</v>
      </c>
      <c r="C2129" s="14" t="s">
        <v>3371</v>
      </c>
      <c r="D2129" s="14">
        <v>222209.43</v>
      </c>
      <c r="E2129" s="14">
        <v>18165.580000000002</v>
      </c>
      <c r="F2129" s="15">
        <v>44085</v>
      </c>
      <c r="G2129" s="15">
        <v>44218</v>
      </c>
      <c r="H2129" s="14" t="s">
        <v>4158</v>
      </c>
      <c r="I2129" s="14" t="s">
        <v>3373</v>
      </c>
      <c r="J2129" s="13" t="str" cm="1">
        <f t="array" ref="J2129">_xlfn.IFS(
  OR(ISBLANK(A2129),ISBLANK(B2129),ISBLANK(H2129),ISBLANK(D2129),ISBLANK(E2129)),"Missing Value",
  D2129&lt;=0,"Review – Out of Range (Coverage)",
  E2129&lt;=0,"Review – Out of Range (Premium)",
  TRUE,"OK"
)</f>
        <v>OK</v>
      </c>
    </row>
    <row r="2130" spans="1:10" ht="16.8" x14ac:dyDescent="0.3">
      <c r="A2130" s="11" t="s">
        <v>5792</v>
      </c>
      <c r="B2130" s="11" t="s">
        <v>514</v>
      </c>
      <c r="C2130" s="11" t="s">
        <v>3359</v>
      </c>
      <c r="D2130" s="11">
        <v>836765.48</v>
      </c>
      <c r="E2130" s="11">
        <v>10930.55</v>
      </c>
      <c r="F2130" s="12">
        <v>44486</v>
      </c>
      <c r="G2130" s="12">
        <v>45818</v>
      </c>
      <c r="H2130" s="11" t="s">
        <v>3378</v>
      </c>
      <c r="I2130" s="11" t="s">
        <v>3373</v>
      </c>
      <c r="J2130" s="13" t="str" cm="1">
        <f t="array" ref="J2130">_xlfn.IFS(
  OR(ISBLANK(A2130),ISBLANK(B2130),ISBLANK(H2130),ISBLANK(D2130),ISBLANK(E2130)),"Missing Value",
  D2130&lt;=0,"Review – Out of Range (Coverage)",
  E2130&lt;=0,"Review – Out of Range (Premium)",
  TRUE,"OK"
)</f>
        <v>OK</v>
      </c>
    </row>
    <row r="2131" spans="1:10" ht="16.8" x14ac:dyDescent="0.3">
      <c r="A2131" s="14" t="s">
        <v>5793</v>
      </c>
      <c r="B2131" s="14" t="s">
        <v>1489</v>
      </c>
      <c r="C2131" s="14" t="s">
        <v>3371</v>
      </c>
      <c r="D2131" s="14">
        <v>949294.32</v>
      </c>
      <c r="E2131" s="14">
        <v>38991.89</v>
      </c>
      <c r="F2131" s="15">
        <v>44486</v>
      </c>
      <c r="G2131" s="15">
        <v>44738</v>
      </c>
      <c r="H2131" s="14" t="s">
        <v>3477</v>
      </c>
      <c r="I2131" s="14" t="s">
        <v>3373</v>
      </c>
      <c r="J2131" s="13" t="str" cm="1">
        <f t="array" ref="J2131">_xlfn.IFS(
  OR(ISBLANK(A2131),ISBLANK(B2131),ISBLANK(H2131),ISBLANK(D2131),ISBLANK(E2131)),"Missing Value",
  D2131&lt;=0,"Review – Out of Range (Coverage)",
  E2131&lt;=0,"Review – Out of Range (Premium)",
  TRUE,"OK"
)</f>
        <v>OK</v>
      </c>
    </row>
    <row r="2132" spans="1:10" ht="16.8" x14ac:dyDescent="0.3">
      <c r="A2132" s="11" t="s">
        <v>5794</v>
      </c>
      <c r="B2132" s="11" t="s">
        <v>1739</v>
      </c>
      <c r="C2132" s="11" t="s">
        <v>3371</v>
      </c>
      <c r="D2132" s="11">
        <v>802879.76</v>
      </c>
      <c r="E2132" s="11">
        <v>14315.63</v>
      </c>
      <c r="F2132" s="12">
        <v>44766</v>
      </c>
      <c r="G2132" s="12">
        <v>44937</v>
      </c>
      <c r="H2132" s="11" t="s">
        <v>4892</v>
      </c>
      <c r="I2132" s="11" t="s">
        <v>3361</v>
      </c>
      <c r="J2132" s="13" t="str" cm="1">
        <f t="array" ref="J2132">_xlfn.IFS(
  OR(ISBLANK(A2132),ISBLANK(B2132),ISBLANK(H2132),ISBLANK(D2132),ISBLANK(E2132)),"Missing Value",
  D2132&lt;=0,"Review – Out of Range (Coverage)",
  E2132&lt;=0,"Review – Out of Range (Premium)",
  TRUE,"OK"
)</f>
        <v>OK</v>
      </c>
    </row>
    <row r="2133" spans="1:10" ht="16.8" x14ac:dyDescent="0.3">
      <c r="A2133" s="14" t="s">
        <v>5795</v>
      </c>
      <c r="B2133" s="14" t="s">
        <v>861</v>
      </c>
      <c r="C2133" s="14" t="s">
        <v>3363</v>
      </c>
      <c r="D2133" s="14">
        <v>461551.41</v>
      </c>
      <c r="E2133" s="14">
        <v>10324.24</v>
      </c>
      <c r="F2133" s="15">
        <v>44919</v>
      </c>
      <c r="G2133" s="15">
        <v>45001</v>
      </c>
      <c r="H2133" s="14" t="s">
        <v>3482</v>
      </c>
      <c r="I2133" s="14" t="s">
        <v>3361</v>
      </c>
      <c r="J2133" s="13" t="str" cm="1">
        <f t="array" ref="J2133">_xlfn.IFS(
  OR(ISBLANK(A2133),ISBLANK(B2133),ISBLANK(H2133),ISBLANK(D2133),ISBLANK(E2133)),"Missing Value",
  D2133&lt;=0,"Review – Out of Range (Coverage)",
  E2133&lt;=0,"Review – Out of Range (Premium)",
  TRUE,"OK"
)</f>
        <v>OK</v>
      </c>
    </row>
    <row r="2134" spans="1:10" ht="16.8" x14ac:dyDescent="0.3">
      <c r="A2134" s="11" t="s">
        <v>5796</v>
      </c>
      <c r="B2134" s="11" t="s">
        <v>1593</v>
      </c>
      <c r="C2134" s="11" t="s">
        <v>3380</v>
      </c>
      <c r="D2134" s="11">
        <v>825723.19</v>
      </c>
      <c r="E2134" s="11">
        <v>6465.43</v>
      </c>
      <c r="F2134" s="12">
        <v>45299</v>
      </c>
      <c r="G2134" s="12">
        <v>45595</v>
      </c>
      <c r="H2134" s="11" t="s">
        <v>3865</v>
      </c>
      <c r="I2134" s="11" t="s">
        <v>3373</v>
      </c>
      <c r="J2134" s="13" t="str" cm="1">
        <f t="array" ref="J2134">_xlfn.IFS(
  OR(ISBLANK(A2134),ISBLANK(B2134),ISBLANK(H2134),ISBLANK(D2134),ISBLANK(E2134)),"Missing Value",
  D2134&lt;=0,"Review – Out of Range (Coverage)",
  E2134&lt;=0,"Review – Out of Range (Premium)",
  TRUE,"OK"
)</f>
        <v>OK</v>
      </c>
    </row>
    <row r="2135" spans="1:10" ht="16.8" x14ac:dyDescent="0.3">
      <c r="A2135" s="14" t="s">
        <v>5797</v>
      </c>
      <c r="B2135" s="14" t="s">
        <v>376</v>
      </c>
      <c r="C2135" s="14" t="s">
        <v>3359</v>
      </c>
      <c r="D2135" s="14">
        <v>864954.37</v>
      </c>
      <c r="E2135" s="14">
        <v>27999.55</v>
      </c>
      <c r="F2135" s="15">
        <v>44612</v>
      </c>
      <c r="G2135" s="15">
        <v>45613</v>
      </c>
      <c r="H2135" s="14" t="s">
        <v>3874</v>
      </c>
      <c r="I2135" s="14" t="s">
        <v>3361</v>
      </c>
      <c r="J2135" s="13" t="str" cm="1">
        <f t="array" ref="J2135">_xlfn.IFS(
  OR(ISBLANK(A2135),ISBLANK(B2135),ISBLANK(H2135),ISBLANK(D2135),ISBLANK(E2135)),"Missing Value",
  D2135&lt;=0,"Review – Out of Range (Coverage)",
  E2135&lt;=0,"Review – Out of Range (Premium)",
  TRUE,"OK"
)</f>
        <v>OK</v>
      </c>
    </row>
    <row r="2136" spans="1:10" ht="16.8" x14ac:dyDescent="0.3">
      <c r="A2136" s="11" t="s">
        <v>5798</v>
      </c>
      <c r="B2136" s="11" t="s">
        <v>2663</v>
      </c>
      <c r="C2136" s="11" t="s">
        <v>3380</v>
      </c>
      <c r="D2136" s="11">
        <v>810232.86</v>
      </c>
      <c r="E2136" s="11">
        <v>34639.519999999997</v>
      </c>
      <c r="F2136" s="12">
        <v>44598</v>
      </c>
      <c r="G2136" s="12">
        <v>45635</v>
      </c>
      <c r="H2136" s="11" t="s">
        <v>3746</v>
      </c>
      <c r="I2136" s="11" t="s">
        <v>3361</v>
      </c>
      <c r="J2136" s="13" t="str" cm="1">
        <f t="array" ref="J2136">_xlfn.IFS(
  OR(ISBLANK(A2136),ISBLANK(B2136),ISBLANK(H2136),ISBLANK(D2136),ISBLANK(E2136)),"Missing Value",
  D2136&lt;=0,"Review – Out of Range (Coverage)",
  E2136&lt;=0,"Review – Out of Range (Premium)",
  TRUE,"OK"
)</f>
        <v>OK</v>
      </c>
    </row>
    <row r="2137" spans="1:10" ht="16.8" x14ac:dyDescent="0.3">
      <c r="A2137" s="14" t="s">
        <v>5799</v>
      </c>
      <c r="B2137" s="14" t="s">
        <v>681</v>
      </c>
      <c r="C2137" s="14" t="s">
        <v>3363</v>
      </c>
      <c r="D2137" s="14">
        <v>897480.07</v>
      </c>
      <c r="E2137" s="14">
        <v>20770.05</v>
      </c>
      <c r="F2137" s="15">
        <v>45239</v>
      </c>
      <c r="G2137" s="15">
        <v>45754</v>
      </c>
      <c r="H2137" s="14" t="s">
        <v>3427</v>
      </c>
      <c r="I2137" s="14" t="s">
        <v>3361</v>
      </c>
      <c r="J2137" s="13" t="str" cm="1">
        <f t="array" ref="J2137">_xlfn.IFS(
  OR(ISBLANK(A2137),ISBLANK(B2137),ISBLANK(H2137),ISBLANK(D2137),ISBLANK(E2137)),"Missing Value",
  D2137&lt;=0,"Review – Out of Range (Coverage)",
  E2137&lt;=0,"Review – Out of Range (Premium)",
  TRUE,"OK"
)</f>
        <v>OK</v>
      </c>
    </row>
    <row r="2138" spans="1:10" ht="16.8" x14ac:dyDescent="0.3">
      <c r="A2138" s="11" t="s">
        <v>5800</v>
      </c>
      <c r="B2138" s="11" t="s">
        <v>1205</v>
      </c>
      <c r="C2138" s="11" t="s">
        <v>3359</v>
      </c>
      <c r="D2138" s="11">
        <v>191215.24</v>
      </c>
      <c r="E2138" s="11">
        <v>41862.449999999997</v>
      </c>
      <c r="F2138" s="12">
        <v>45263</v>
      </c>
      <c r="G2138" s="12">
        <v>45852</v>
      </c>
      <c r="H2138" s="11" t="s">
        <v>3852</v>
      </c>
      <c r="I2138" s="11" t="s">
        <v>3361</v>
      </c>
      <c r="J2138" s="13" t="str" cm="1">
        <f t="array" ref="J2138">_xlfn.IFS(
  OR(ISBLANK(A2138),ISBLANK(B2138),ISBLANK(H2138),ISBLANK(D2138),ISBLANK(E2138)),"Missing Value",
  D2138&lt;=0,"Review – Out of Range (Coverage)",
  E2138&lt;=0,"Review – Out of Range (Premium)",
  TRUE,"OK"
)</f>
        <v>OK</v>
      </c>
    </row>
    <row r="2139" spans="1:10" ht="16.8" x14ac:dyDescent="0.3">
      <c r="A2139" s="14" t="s">
        <v>5801</v>
      </c>
      <c r="B2139" s="14" t="s">
        <v>1821</v>
      </c>
      <c r="C2139" s="14" t="s">
        <v>3371</v>
      </c>
      <c r="D2139" s="14">
        <v>116576.64</v>
      </c>
      <c r="E2139" s="14">
        <v>49576.92</v>
      </c>
      <c r="F2139" s="15">
        <v>44999</v>
      </c>
      <c r="G2139" s="15">
        <v>45492</v>
      </c>
      <c r="H2139" s="14" t="s">
        <v>3992</v>
      </c>
      <c r="I2139" s="14" t="s">
        <v>3365</v>
      </c>
      <c r="J2139" s="13" t="str" cm="1">
        <f t="array" ref="J2139">_xlfn.IFS(
  OR(ISBLANK(A2139),ISBLANK(B2139),ISBLANK(H2139),ISBLANK(D2139),ISBLANK(E2139)),"Missing Value",
  D2139&lt;=0,"Review – Out of Range (Coverage)",
  E2139&lt;=0,"Review – Out of Range (Premium)",
  TRUE,"OK"
)</f>
        <v>OK</v>
      </c>
    </row>
    <row r="2140" spans="1:10" ht="16.8" x14ac:dyDescent="0.3">
      <c r="A2140" s="11" t="s">
        <v>5802</v>
      </c>
      <c r="B2140" s="11" t="s">
        <v>2367</v>
      </c>
      <c r="C2140" s="11" t="s">
        <v>3380</v>
      </c>
      <c r="D2140" s="11">
        <v>706627.04</v>
      </c>
      <c r="E2140" s="11">
        <v>18153.28</v>
      </c>
      <c r="F2140" s="12">
        <v>45384</v>
      </c>
      <c r="G2140" s="12">
        <v>45567</v>
      </c>
      <c r="H2140" s="11" t="s">
        <v>3501</v>
      </c>
      <c r="I2140" s="11" t="s">
        <v>3373</v>
      </c>
      <c r="J2140" s="13" t="str" cm="1">
        <f t="array" ref="J2140">_xlfn.IFS(
  OR(ISBLANK(A2140),ISBLANK(B2140),ISBLANK(H2140),ISBLANK(D2140),ISBLANK(E2140)),"Missing Value",
  D2140&lt;=0,"Review – Out of Range (Coverage)",
  E2140&lt;=0,"Review – Out of Range (Premium)",
  TRUE,"OK"
)</f>
        <v>OK</v>
      </c>
    </row>
    <row r="2141" spans="1:10" ht="16.8" x14ac:dyDescent="0.3">
      <c r="A2141" s="14" t="s">
        <v>5803</v>
      </c>
      <c r="B2141" s="14" t="s">
        <v>2437</v>
      </c>
      <c r="C2141" s="14" t="s">
        <v>3377</v>
      </c>
      <c r="D2141" s="14">
        <v>272055.90999999997</v>
      </c>
      <c r="E2141" s="14">
        <v>12489.7</v>
      </c>
      <c r="F2141" s="15">
        <v>44932</v>
      </c>
      <c r="G2141" s="15">
        <v>45465</v>
      </c>
      <c r="H2141" s="14" t="s">
        <v>4011</v>
      </c>
      <c r="I2141" s="14" t="s">
        <v>3361</v>
      </c>
      <c r="J2141" s="13" t="str" cm="1">
        <f t="array" ref="J2141">_xlfn.IFS(
  OR(ISBLANK(A2141),ISBLANK(B2141),ISBLANK(H2141),ISBLANK(D2141),ISBLANK(E2141)),"Missing Value",
  D2141&lt;=0,"Review – Out of Range (Coverage)",
  E2141&lt;=0,"Review – Out of Range (Premium)",
  TRUE,"OK"
)</f>
        <v>OK</v>
      </c>
    </row>
    <row r="2142" spans="1:10" ht="16.8" x14ac:dyDescent="0.3">
      <c r="A2142" s="11" t="s">
        <v>5804</v>
      </c>
      <c r="B2142" s="11" t="s">
        <v>2353</v>
      </c>
      <c r="C2142" s="11" t="s">
        <v>3359</v>
      </c>
      <c r="D2142" s="11">
        <v>435174.14</v>
      </c>
      <c r="E2142" s="11">
        <v>26617.23</v>
      </c>
      <c r="F2142" s="12">
        <v>44711</v>
      </c>
      <c r="G2142" s="12">
        <v>44977</v>
      </c>
      <c r="H2142" s="11" t="s">
        <v>3725</v>
      </c>
      <c r="I2142" s="11" t="s">
        <v>3365</v>
      </c>
      <c r="J2142" s="13" t="str" cm="1">
        <f t="array" ref="J2142">_xlfn.IFS(
  OR(ISBLANK(A2142),ISBLANK(B2142),ISBLANK(H2142),ISBLANK(D2142),ISBLANK(E2142)),"Missing Value",
  D2142&lt;=0,"Review – Out of Range (Coverage)",
  E2142&lt;=0,"Review – Out of Range (Premium)",
  TRUE,"OK"
)</f>
        <v>OK</v>
      </c>
    </row>
    <row r="2143" spans="1:10" ht="16.8" x14ac:dyDescent="0.3">
      <c r="A2143" s="14" t="s">
        <v>5805</v>
      </c>
      <c r="B2143" s="14" t="s">
        <v>1119</v>
      </c>
      <c r="C2143" s="14" t="s">
        <v>3377</v>
      </c>
      <c r="D2143" s="14">
        <v>540935.80000000005</v>
      </c>
      <c r="E2143" s="14">
        <v>44776.09</v>
      </c>
      <c r="F2143" s="15">
        <v>44697</v>
      </c>
      <c r="G2143" s="15">
        <v>45838</v>
      </c>
      <c r="H2143" s="14" t="s">
        <v>4143</v>
      </c>
      <c r="I2143" s="14" t="s">
        <v>3373</v>
      </c>
      <c r="J2143" s="13" t="str" cm="1">
        <f t="array" ref="J2143">_xlfn.IFS(
  OR(ISBLANK(A2143),ISBLANK(B2143),ISBLANK(H2143),ISBLANK(D2143),ISBLANK(E2143)),"Missing Value",
  D2143&lt;=0,"Review – Out of Range (Coverage)",
  E2143&lt;=0,"Review – Out of Range (Premium)",
  TRUE,"OK"
)</f>
        <v>OK</v>
      </c>
    </row>
    <row r="2144" spans="1:10" ht="16.8" x14ac:dyDescent="0.3">
      <c r="A2144" s="11" t="s">
        <v>5806</v>
      </c>
      <c r="B2144" s="11" t="s">
        <v>2409</v>
      </c>
      <c r="C2144" s="11" t="s">
        <v>3377</v>
      </c>
      <c r="D2144" s="11">
        <v>410451.74</v>
      </c>
      <c r="E2144" s="11">
        <v>5245.77</v>
      </c>
      <c r="F2144" s="12">
        <v>44890</v>
      </c>
      <c r="G2144" s="12">
        <v>45274</v>
      </c>
      <c r="H2144" s="11" t="s">
        <v>3863</v>
      </c>
      <c r="I2144" s="11" t="s">
        <v>3373</v>
      </c>
      <c r="J2144" s="13" t="str" cm="1">
        <f t="array" ref="J2144">_xlfn.IFS(
  OR(ISBLANK(A2144),ISBLANK(B2144),ISBLANK(H2144),ISBLANK(D2144),ISBLANK(E2144)),"Missing Value",
  D2144&lt;=0,"Review – Out of Range (Coverage)",
  E2144&lt;=0,"Review – Out of Range (Premium)",
  TRUE,"OK"
)</f>
        <v>OK</v>
      </c>
    </row>
    <row r="2145" spans="1:10" ht="16.8" x14ac:dyDescent="0.3">
      <c r="A2145" s="14" t="s">
        <v>5807</v>
      </c>
      <c r="B2145" s="14" t="s">
        <v>1851</v>
      </c>
      <c r="C2145" s="14" t="s">
        <v>3380</v>
      </c>
      <c r="D2145" s="14">
        <v>203237.66</v>
      </c>
      <c r="E2145" s="14">
        <v>18471.12</v>
      </c>
      <c r="F2145" s="15">
        <v>44319</v>
      </c>
      <c r="G2145" s="15">
        <v>44598</v>
      </c>
      <c r="H2145" s="14" t="s">
        <v>3624</v>
      </c>
      <c r="I2145" s="14" t="s">
        <v>3365</v>
      </c>
      <c r="J2145" s="13" t="str" cm="1">
        <f t="array" ref="J2145">_xlfn.IFS(
  OR(ISBLANK(A2145),ISBLANK(B2145),ISBLANK(H2145),ISBLANK(D2145),ISBLANK(E2145)),"Missing Value",
  D2145&lt;=0,"Review – Out of Range (Coverage)",
  E2145&lt;=0,"Review – Out of Range (Premium)",
  TRUE,"OK"
)</f>
        <v>OK</v>
      </c>
    </row>
    <row r="2146" spans="1:10" ht="16.8" x14ac:dyDescent="0.3">
      <c r="A2146" s="11" t="s">
        <v>5808</v>
      </c>
      <c r="B2146" s="11" t="s">
        <v>3009</v>
      </c>
      <c r="C2146" s="11" t="s">
        <v>3371</v>
      </c>
      <c r="D2146" s="11">
        <v>518617.04</v>
      </c>
      <c r="E2146" s="11">
        <v>9732.6</v>
      </c>
      <c r="F2146" s="12">
        <v>45470</v>
      </c>
      <c r="G2146" s="12">
        <v>45822</v>
      </c>
      <c r="H2146" s="11" t="s">
        <v>3473</v>
      </c>
      <c r="I2146" s="11" t="s">
        <v>3361</v>
      </c>
      <c r="J2146" s="13" t="str" cm="1">
        <f t="array" ref="J2146">_xlfn.IFS(
  OR(ISBLANK(A2146),ISBLANK(B2146),ISBLANK(H2146),ISBLANK(D2146),ISBLANK(E2146)),"Missing Value",
  D2146&lt;=0,"Review – Out of Range (Coverage)",
  E2146&lt;=0,"Review – Out of Range (Premium)",
  TRUE,"OK"
)</f>
        <v>OK</v>
      </c>
    </row>
    <row r="2147" spans="1:10" ht="16.8" x14ac:dyDescent="0.3">
      <c r="A2147" s="14" t="s">
        <v>5809</v>
      </c>
      <c r="B2147" s="14" t="s">
        <v>977</v>
      </c>
      <c r="C2147" s="14" t="s">
        <v>3377</v>
      </c>
      <c r="D2147" s="14">
        <v>249479.4</v>
      </c>
      <c r="E2147" s="14">
        <v>46055.25</v>
      </c>
      <c r="F2147" s="15">
        <v>45368</v>
      </c>
      <c r="G2147" s="15">
        <v>45675</v>
      </c>
      <c r="H2147" s="14" t="s">
        <v>3393</v>
      </c>
      <c r="I2147" s="14" t="s">
        <v>3373</v>
      </c>
      <c r="J2147" s="13" t="str" cm="1">
        <f t="array" ref="J2147">_xlfn.IFS(
  OR(ISBLANK(A2147),ISBLANK(B2147),ISBLANK(H2147),ISBLANK(D2147),ISBLANK(E2147)),"Missing Value",
  D2147&lt;=0,"Review – Out of Range (Coverage)",
  E2147&lt;=0,"Review – Out of Range (Premium)",
  TRUE,"OK"
)</f>
        <v>OK</v>
      </c>
    </row>
    <row r="2148" spans="1:10" ht="16.8" x14ac:dyDescent="0.3">
      <c r="A2148" s="11" t="s">
        <v>5810</v>
      </c>
      <c r="B2148" s="11" t="s">
        <v>783</v>
      </c>
      <c r="C2148" s="11" t="s">
        <v>3371</v>
      </c>
      <c r="D2148" s="11">
        <v>743170.83</v>
      </c>
      <c r="E2148" s="11">
        <v>46394.55</v>
      </c>
      <c r="F2148" s="12">
        <v>44722</v>
      </c>
      <c r="G2148" s="12">
        <v>45480</v>
      </c>
      <c r="H2148" s="11" t="s">
        <v>4732</v>
      </c>
      <c r="I2148" s="11" t="s">
        <v>3361</v>
      </c>
      <c r="J2148" s="13" t="str" cm="1">
        <f t="array" ref="J2148">_xlfn.IFS(
  OR(ISBLANK(A2148),ISBLANK(B2148),ISBLANK(H2148),ISBLANK(D2148),ISBLANK(E2148)),"Missing Value",
  D2148&lt;=0,"Review – Out of Range (Coverage)",
  E2148&lt;=0,"Review – Out of Range (Premium)",
  TRUE,"OK"
)</f>
        <v>OK</v>
      </c>
    </row>
    <row r="2149" spans="1:10" ht="16.8" x14ac:dyDescent="0.3">
      <c r="A2149" s="14" t="s">
        <v>5811</v>
      </c>
      <c r="B2149" s="14" t="s">
        <v>1201</v>
      </c>
      <c r="C2149" s="14" t="s">
        <v>3363</v>
      </c>
      <c r="D2149" s="14">
        <v>200363.56</v>
      </c>
      <c r="E2149" s="14">
        <v>41487.370000000003</v>
      </c>
      <c r="F2149" s="15">
        <v>45137</v>
      </c>
      <c r="G2149" s="15">
        <v>45401</v>
      </c>
      <c r="H2149" s="14" t="s">
        <v>3503</v>
      </c>
      <c r="I2149" s="14" t="s">
        <v>3365</v>
      </c>
      <c r="J2149" s="13" t="str" cm="1">
        <f t="array" ref="J2149">_xlfn.IFS(
  OR(ISBLANK(A2149),ISBLANK(B2149),ISBLANK(H2149),ISBLANK(D2149),ISBLANK(E2149)),"Missing Value",
  D2149&lt;=0,"Review – Out of Range (Coverage)",
  E2149&lt;=0,"Review – Out of Range (Premium)",
  TRUE,"OK"
)</f>
        <v>OK</v>
      </c>
    </row>
    <row r="2150" spans="1:10" ht="16.8" x14ac:dyDescent="0.3">
      <c r="A2150" s="11" t="s">
        <v>5812</v>
      </c>
      <c r="B2150" s="11" t="s">
        <v>1245</v>
      </c>
      <c r="C2150" s="11" t="s">
        <v>3363</v>
      </c>
      <c r="D2150" s="11">
        <v>216303.52</v>
      </c>
      <c r="E2150" s="11">
        <v>12802.57</v>
      </c>
      <c r="F2150" s="12">
        <v>45373</v>
      </c>
      <c r="G2150" s="12">
        <v>45590</v>
      </c>
      <c r="H2150" s="11" t="s">
        <v>3677</v>
      </c>
      <c r="I2150" s="11" t="s">
        <v>3361</v>
      </c>
      <c r="J2150" s="13" t="str" cm="1">
        <f t="array" ref="J2150">_xlfn.IFS(
  OR(ISBLANK(A2150),ISBLANK(B2150),ISBLANK(H2150),ISBLANK(D2150),ISBLANK(E2150)),"Missing Value",
  D2150&lt;=0,"Review – Out of Range (Coverage)",
  E2150&lt;=0,"Review – Out of Range (Premium)",
  TRUE,"OK"
)</f>
        <v>OK</v>
      </c>
    </row>
    <row r="2151" spans="1:10" ht="16.8" x14ac:dyDescent="0.3">
      <c r="A2151" s="14" t="s">
        <v>5813</v>
      </c>
      <c r="B2151" s="14" t="s">
        <v>2301</v>
      </c>
      <c r="C2151" s="14" t="s">
        <v>3371</v>
      </c>
      <c r="D2151" s="14">
        <v>400212.92</v>
      </c>
      <c r="E2151" s="14">
        <v>48897.88</v>
      </c>
      <c r="F2151" s="15">
        <v>44751</v>
      </c>
      <c r="G2151" s="15">
        <v>44758</v>
      </c>
      <c r="H2151" s="14" t="s">
        <v>3383</v>
      </c>
      <c r="I2151" s="14" t="s">
        <v>3365</v>
      </c>
      <c r="J2151" s="13" t="str" cm="1">
        <f t="array" ref="J2151">_xlfn.IFS(
  OR(ISBLANK(A2151),ISBLANK(B2151),ISBLANK(H2151),ISBLANK(D2151),ISBLANK(E2151)),"Missing Value",
  D2151&lt;=0,"Review – Out of Range (Coverage)",
  E2151&lt;=0,"Review – Out of Range (Premium)",
  TRUE,"OK"
)</f>
        <v>OK</v>
      </c>
    </row>
    <row r="2152" spans="1:10" ht="16.8" x14ac:dyDescent="0.3">
      <c r="A2152" s="11" t="s">
        <v>5814</v>
      </c>
      <c r="B2152" s="11" t="s">
        <v>1417</v>
      </c>
      <c r="C2152" s="11" t="s">
        <v>3359</v>
      </c>
      <c r="D2152" s="11">
        <v>122841.13</v>
      </c>
      <c r="E2152" s="11">
        <v>3866.84</v>
      </c>
      <c r="F2152" s="12">
        <v>44205</v>
      </c>
      <c r="G2152" s="12">
        <v>44761</v>
      </c>
      <c r="H2152" s="11" t="s">
        <v>3449</v>
      </c>
      <c r="I2152" s="11" t="s">
        <v>3361</v>
      </c>
      <c r="J2152" s="13" t="str" cm="1">
        <f t="array" ref="J2152">_xlfn.IFS(
  OR(ISBLANK(A2152),ISBLANK(B2152),ISBLANK(H2152),ISBLANK(D2152),ISBLANK(E2152)),"Missing Value",
  D2152&lt;=0,"Review – Out of Range (Coverage)",
  E2152&lt;=0,"Review – Out of Range (Premium)",
  TRUE,"OK"
)</f>
        <v>OK</v>
      </c>
    </row>
    <row r="2153" spans="1:10" ht="16.8" x14ac:dyDescent="0.3">
      <c r="A2153" s="14" t="s">
        <v>5815</v>
      </c>
      <c r="B2153" s="14" t="s">
        <v>366</v>
      </c>
      <c r="C2153" s="14" t="s">
        <v>3377</v>
      </c>
      <c r="D2153" s="14">
        <v>550120.17000000004</v>
      </c>
      <c r="E2153" s="14">
        <v>10446.39</v>
      </c>
      <c r="F2153" s="15">
        <v>45027</v>
      </c>
      <c r="G2153" s="15">
        <v>45107</v>
      </c>
      <c r="H2153" s="14" t="s">
        <v>3399</v>
      </c>
      <c r="I2153" s="14" t="s">
        <v>3361</v>
      </c>
      <c r="J2153" s="13" t="str" cm="1">
        <f t="array" ref="J2153">_xlfn.IFS(
  OR(ISBLANK(A2153),ISBLANK(B2153),ISBLANK(H2153),ISBLANK(D2153),ISBLANK(E2153)),"Missing Value",
  D2153&lt;=0,"Review – Out of Range (Coverage)",
  E2153&lt;=0,"Review – Out of Range (Premium)",
  TRUE,"OK"
)</f>
        <v>OK</v>
      </c>
    </row>
    <row r="2154" spans="1:10" ht="16.8" x14ac:dyDescent="0.3">
      <c r="A2154" s="11" t="s">
        <v>5816</v>
      </c>
      <c r="B2154" s="11" t="s">
        <v>683</v>
      </c>
      <c r="C2154" s="11" t="s">
        <v>3377</v>
      </c>
      <c r="D2154" s="11">
        <v>438690.61</v>
      </c>
      <c r="E2154" s="11">
        <v>14358.11</v>
      </c>
      <c r="F2154" s="12">
        <v>45446</v>
      </c>
      <c r="G2154" s="12">
        <v>45728</v>
      </c>
      <c r="H2154" s="11" t="s">
        <v>3449</v>
      </c>
      <c r="I2154" s="11" t="s">
        <v>3365</v>
      </c>
      <c r="J2154" s="13" t="str" cm="1">
        <f t="array" ref="J2154">_xlfn.IFS(
  OR(ISBLANK(A2154),ISBLANK(B2154),ISBLANK(H2154),ISBLANK(D2154),ISBLANK(E2154)),"Missing Value",
  D2154&lt;=0,"Review – Out of Range (Coverage)",
  E2154&lt;=0,"Review – Out of Range (Premium)",
  TRUE,"OK"
)</f>
        <v>OK</v>
      </c>
    </row>
    <row r="2155" spans="1:10" ht="16.8" x14ac:dyDescent="0.3">
      <c r="A2155" s="14" t="s">
        <v>5817</v>
      </c>
      <c r="B2155" s="14" t="s">
        <v>1239</v>
      </c>
      <c r="C2155" s="14" t="s">
        <v>3377</v>
      </c>
      <c r="D2155" s="14">
        <v>591048.74</v>
      </c>
      <c r="E2155" s="14">
        <v>37618.699999999997</v>
      </c>
      <c r="F2155" s="15">
        <v>45103</v>
      </c>
      <c r="G2155" s="15">
        <v>45749</v>
      </c>
      <c r="H2155" s="14" t="s">
        <v>3569</v>
      </c>
      <c r="I2155" s="14" t="s">
        <v>3373</v>
      </c>
      <c r="J2155" s="13" t="str" cm="1">
        <f t="array" ref="J2155">_xlfn.IFS(
  OR(ISBLANK(A2155),ISBLANK(B2155),ISBLANK(H2155),ISBLANK(D2155),ISBLANK(E2155)),"Missing Value",
  D2155&lt;=0,"Review – Out of Range (Coverage)",
  E2155&lt;=0,"Review – Out of Range (Premium)",
  TRUE,"OK"
)</f>
        <v>OK</v>
      </c>
    </row>
    <row r="2156" spans="1:10" ht="16.8" x14ac:dyDescent="0.3">
      <c r="A2156" s="11" t="s">
        <v>5818</v>
      </c>
      <c r="B2156" s="11" t="s">
        <v>72</v>
      </c>
      <c r="C2156" s="11" t="s">
        <v>3363</v>
      </c>
      <c r="D2156" s="11">
        <v>292158.93</v>
      </c>
      <c r="E2156" s="11">
        <v>31201.09</v>
      </c>
      <c r="F2156" s="12">
        <v>44656</v>
      </c>
      <c r="G2156" s="12">
        <v>45067</v>
      </c>
      <c r="H2156" s="11" t="s">
        <v>3484</v>
      </c>
      <c r="I2156" s="11" t="s">
        <v>3365</v>
      </c>
      <c r="J2156" s="13" t="str" cm="1">
        <f t="array" ref="J2156">_xlfn.IFS(
  OR(ISBLANK(A2156),ISBLANK(B2156),ISBLANK(H2156),ISBLANK(D2156),ISBLANK(E2156)),"Missing Value",
  D2156&lt;=0,"Review – Out of Range (Coverage)",
  E2156&lt;=0,"Review – Out of Range (Premium)",
  TRUE,"OK"
)</f>
        <v>OK</v>
      </c>
    </row>
    <row r="2157" spans="1:10" ht="16.8" x14ac:dyDescent="0.3">
      <c r="A2157" s="14" t="s">
        <v>5819</v>
      </c>
      <c r="B2157" s="14" t="s">
        <v>571</v>
      </c>
      <c r="C2157" s="14" t="s">
        <v>3380</v>
      </c>
      <c r="D2157" s="14">
        <v>373275.86</v>
      </c>
      <c r="E2157" s="14">
        <v>39381.21</v>
      </c>
      <c r="F2157" s="15">
        <v>44779</v>
      </c>
      <c r="G2157" s="15">
        <v>45525</v>
      </c>
      <c r="H2157" s="14" t="s">
        <v>3774</v>
      </c>
      <c r="I2157" s="14" t="s">
        <v>3373</v>
      </c>
      <c r="J2157" s="13" t="str" cm="1">
        <f t="array" ref="J2157">_xlfn.IFS(
  OR(ISBLANK(A2157),ISBLANK(B2157),ISBLANK(H2157),ISBLANK(D2157),ISBLANK(E2157)),"Missing Value",
  D2157&lt;=0,"Review – Out of Range (Coverage)",
  E2157&lt;=0,"Review – Out of Range (Premium)",
  TRUE,"OK"
)</f>
        <v>OK</v>
      </c>
    </row>
    <row r="2158" spans="1:10" ht="16.8" x14ac:dyDescent="0.3">
      <c r="A2158" s="11" t="s">
        <v>5820</v>
      </c>
      <c r="B2158" s="11" t="s">
        <v>2697</v>
      </c>
      <c r="C2158" s="11" t="s">
        <v>3363</v>
      </c>
      <c r="D2158" s="11">
        <v>711231.17</v>
      </c>
      <c r="E2158" s="11">
        <v>35831.839999999997</v>
      </c>
      <c r="F2158" s="12">
        <v>45304</v>
      </c>
      <c r="G2158" s="12">
        <v>45688</v>
      </c>
      <c r="H2158" s="11" t="s">
        <v>4062</v>
      </c>
      <c r="I2158" s="11" t="s">
        <v>3361</v>
      </c>
      <c r="J2158" s="13" t="str" cm="1">
        <f t="array" ref="J2158">_xlfn.IFS(
  OR(ISBLANK(A2158),ISBLANK(B2158),ISBLANK(H2158),ISBLANK(D2158),ISBLANK(E2158)),"Missing Value",
  D2158&lt;=0,"Review – Out of Range (Coverage)",
  E2158&lt;=0,"Review – Out of Range (Premium)",
  TRUE,"OK"
)</f>
        <v>OK</v>
      </c>
    </row>
    <row r="2159" spans="1:10" ht="16.8" x14ac:dyDescent="0.3">
      <c r="A2159" s="14" t="s">
        <v>5821</v>
      </c>
      <c r="B2159" s="14" t="s">
        <v>2421</v>
      </c>
      <c r="C2159" s="14" t="s">
        <v>3380</v>
      </c>
      <c r="D2159" s="14">
        <v>320333.53999999998</v>
      </c>
      <c r="E2159" s="14">
        <v>36723.72</v>
      </c>
      <c r="F2159" s="15">
        <v>44650</v>
      </c>
      <c r="G2159" s="15">
        <v>44726</v>
      </c>
      <c r="H2159" s="14" t="s">
        <v>3581</v>
      </c>
      <c r="I2159" s="14" t="s">
        <v>3361</v>
      </c>
      <c r="J2159" s="13" t="str" cm="1">
        <f t="array" ref="J2159">_xlfn.IFS(
  OR(ISBLANK(A2159),ISBLANK(B2159),ISBLANK(H2159),ISBLANK(D2159),ISBLANK(E2159)),"Missing Value",
  D2159&lt;=0,"Review – Out of Range (Coverage)",
  E2159&lt;=0,"Review – Out of Range (Premium)",
  TRUE,"OK"
)</f>
        <v>OK</v>
      </c>
    </row>
    <row r="2160" spans="1:10" ht="16.8" x14ac:dyDescent="0.3">
      <c r="A2160" s="11" t="s">
        <v>5822</v>
      </c>
      <c r="B2160" s="11" t="s">
        <v>549</v>
      </c>
      <c r="C2160" s="11" t="s">
        <v>3359</v>
      </c>
      <c r="D2160" s="11">
        <v>121003.57</v>
      </c>
      <c r="E2160" s="11">
        <v>9150.8799999999992</v>
      </c>
      <c r="F2160" s="12">
        <v>45392</v>
      </c>
      <c r="G2160" s="12">
        <v>45639</v>
      </c>
      <c r="H2160" s="11" t="s">
        <v>3587</v>
      </c>
      <c r="I2160" s="11" t="s">
        <v>3365</v>
      </c>
      <c r="J2160" s="13" t="str" cm="1">
        <f t="array" ref="J2160">_xlfn.IFS(
  OR(ISBLANK(A2160),ISBLANK(B2160),ISBLANK(H2160),ISBLANK(D2160),ISBLANK(E2160)),"Missing Value",
  D2160&lt;=0,"Review – Out of Range (Coverage)",
  E2160&lt;=0,"Review – Out of Range (Premium)",
  TRUE,"OK"
)</f>
        <v>OK</v>
      </c>
    </row>
    <row r="2161" spans="1:10" ht="16.8" x14ac:dyDescent="0.3">
      <c r="A2161" s="14" t="s">
        <v>5823</v>
      </c>
      <c r="B2161" s="14" t="s">
        <v>3256</v>
      </c>
      <c r="C2161" s="14" t="s">
        <v>3363</v>
      </c>
      <c r="D2161" s="14">
        <v>293859.39</v>
      </c>
      <c r="E2161" s="14">
        <v>12597.37</v>
      </c>
      <c r="F2161" s="15">
        <v>45021</v>
      </c>
      <c r="G2161" s="15">
        <v>45420</v>
      </c>
      <c r="H2161" s="14" t="s">
        <v>3721</v>
      </c>
      <c r="I2161" s="14" t="s">
        <v>3361</v>
      </c>
      <c r="J2161" s="13" t="str" cm="1">
        <f t="array" ref="J2161">_xlfn.IFS(
  OR(ISBLANK(A2161),ISBLANK(B2161),ISBLANK(H2161),ISBLANK(D2161),ISBLANK(E2161)),"Missing Value",
  D2161&lt;=0,"Review – Out of Range (Coverage)",
  E2161&lt;=0,"Review – Out of Range (Premium)",
  TRUE,"OK"
)</f>
        <v>OK</v>
      </c>
    </row>
    <row r="2162" spans="1:10" ht="16.8" x14ac:dyDescent="0.3">
      <c r="A2162" s="11" t="s">
        <v>5824</v>
      </c>
      <c r="B2162" s="11" t="s">
        <v>1515</v>
      </c>
      <c r="C2162" s="11" t="s">
        <v>3377</v>
      </c>
      <c r="D2162" s="11">
        <v>343474.77</v>
      </c>
      <c r="E2162" s="11">
        <v>26449.57</v>
      </c>
      <c r="F2162" s="12">
        <v>45412</v>
      </c>
      <c r="G2162" s="12">
        <v>45638</v>
      </c>
      <c r="H2162" s="11" t="s">
        <v>4032</v>
      </c>
      <c r="I2162" s="11" t="s">
        <v>3361</v>
      </c>
      <c r="J2162" s="13" t="str" cm="1">
        <f t="array" ref="J2162">_xlfn.IFS(
  OR(ISBLANK(A2162),ISBLANK(B2162),ISBLANK(H2162),ISBLANK(D2162),ISBLANK(E2162)),"Missing Value",
  D2162&lt;=0,"Review – Out of Range (Coverage)",
  E2162&lt;=0,"Review – Out of Range (Premium)",
  TRUE,"OK"
)</f>
        <v>OK</v>
      </c>
    </row>
    <row r="2163" spans="1:10" ht="16.8" x14ac:dyDescent="0.3">
      <c r="A2163" s="14" t="s">
        <v>5825</v>
      </c>
      <c r="B2163" s="14" t="s">
        <v>1131</v>
      </c>
      <c r="C2163" s="14" t="s">
        <v>3371</v>
      </c>
      <c r="D2163" s="14">
        <v>316264.38</v>
      </c>
      <c r="E2163" s="14">
        <v>40207.69</v>
      </c>
      <c r="F2163" s="15">
        <v>45477</v>
      </c>
      <c r="G2163" s="15">
        <v>45662</v>
      </c>
      <c r="H2163" s="14" t="s">
        <v>3451</v>
      </c>
      <c r="I2163" s="14" t="s">
        <v>3373</v>
      </c>
      <c r="J2163" s="13" t="str" cm="1">
        <f t="array" ref="J2163">_xlfn.IFS(
  OR(ISBLANK(A2163),ISBLANK(B2163),ISBLANK(H2163),ISBLANK(D2163),ISBLANK(E2163)),"Missing Value",
  D2163&lt;=0,"Review – Out of Range (Coverage)",
  E2163&lt;=0,"Review – Out of Range (Premium)",
  TRUE,"OK"
)</f>
        <v>OK</v>
      </c>
    </row>
    <row r="2164" spans="1:10" ht="16.8" x14ac:dyDescent="0.3">
      <c r="A2164" s="11" t="s">
        <v>5826</v>
      </c>
      <c r="B2164" s="11" t="s">
        <v>444</v>
      </c>
      <c r="C2164" s="11" t="s">
        <v>3380</v>
      </c>
      <c r="D2164" s="11">
        <v>182728.46</v>
      </c>
      <c r="E2164" s="11">
        <v>27237.71</v>
      </c>
      <c r="F2164" s="12">
        <v>45249</v>
      </c>
      <c r="G2164" s="12">
        <v>45815</v>
      </c>
      <c r="H2164" s="11" t="s">
        <v>3728</v>
      </c>
      <c r="I2164" s="11" t="s">
        <v>3373</v>
      </c>
      <c r="J2164" s="13" t="str" cm="1">
        <f t="array" ref="J2164">_xlfn.IFS(
  OR(ISBLANK(A2164),ISBLANK(B2164),ISBLANK(H2164),ISBLANK(D2164),ISBLANK(E2164)),"Missing Value",
  D2164&lt;=0,"Review – Out of Range (Coverage)",
  E2164&lt;=0,"Review – Out of Range (Premium)",
  TRUE,"OK"
)</f>
        <v>OK</v>
      </c>
    </row>
    <row r="2165" spans="1:10" ht="16.8" x14ac:dyDescent="0.3">
      <c r="A2165" s="14" t="s">
        <v>5827</v>
      </c>
      <c r="B2165" s="14" t="s">
        <v>3182</v>
      </c>
      <c r="C2165" s="14" t="s">
        <v>3359</v>
      </c>
      <c r="D2165" s="14">
        <v>405861.43</v>
      </c>
      <c r="E2165" s="14">
        <v>7016.58</v>
      </c>
      <c r="F2165" s="15">
        <v>44900</v>
      </c>
      <c r="G2165" s="15">
        <v>45699</v>
      </c>
      <c r="H2165" s="14" t="s">
        <v>3892</v>
      </c>
      <c r="I2165" s="14" t="s">
        <v>3361</v>
      </c>
      <c r="J2165" s="13" t="str" cm="1">
        <f t="array" ref="J2165">_xlfn.IFS(
  OR(ISBLANK(A2165),ISBLANK(B2165),ISBLANK(H2165),ISBLANK(D2165),ISBLANK(E2165)),"Missing Value",
  D2165&lt;=0,"Review – Out of Range (Coverage)",
  E2165&lt;=0,"Review – Out of Range (Premium)",
  TRUE,"OK"
)</f>
        <v>OK</v>
      </c>
    </row>
    <row r="2166" spans="1:10" ht="16.8" x14ac:dyDescent="0.3">
      <c r="A2166" s="11" t="s">
        <v>5828</v>
      </c>
      <c r="B2166" s="11" t="s">
        <v>2297</v>
      </c>
      <c r="C2166" s="11" t="s">
        <v>3363</v>
      </c>
      <c r="D2166" s="11">
        <v>474010.98</v>
      </c>
      <c r="E2166" s="11">
        <v>42303.55</v>
      </c>
      <c r="F2166" s="12">
        <v>45423</v>
      </c>
      <c r="G2166" s="12">
        <v>45826</v>
      </c>
      <c r="H2166" s="11" t="s">
        <v>3634</v>
      </c>
      <c r="I2166" s="11" t="s">
        <v>3373</v>
      </c>
      <c r="J2166" s="13" t="str" cm="1">
        <f t="array" ref="J2166">_xlfn.IFS(
  OR(ISBLANK(A2166),ISBLANK(B2166),ISBLANK(H2166),ISBLANK(D2166),ISBLANK(E2166)),"Missing Value",
  D2166&lt;=0,"Review – Out of Range (Coverage)",
  E2166&lt;=0,"Review – Out of Range (Premium)",
  TRUE,"OK"
)</f>
        <v>OK</v>
      </c>
    </row>
    <row r="2167" spans="1:10" ht="16.8" x14ac:dyDescent="0.3">
      <c r="A2167" s="14" t="s">
        <v>5829</v>
      </c>
      <c r="B2167" s="14" t="s">
        <v>1405</v>
      </c>
      <c r="C2167" s="14" t="s">
        <v>3377</v>
      </c>
      <c r="D2167" s="14">
        <v>180687.32</v>
      </c>
      <c r="E2167" s="14">
        <v>24427.79</v>
      </c>
      <c r="F2167" s="15">
        <v>45487</v>
      </c>
      <c r="G2167" s="15">
        <v>45641</v>
      </c>
      <c r="H2167" s="14" t="s">
        <v>4108</v>
      </c>
      <c r="I2167" s="14" t="s">
        <v>3365</v>
      </c>
      <c r="J2167" s="13" t="str" cm="1">
        <f t="array" ref="J2167">_xlfn.IFS(
  OR(ISBLANK(A2167),ISBLANK(B2167),ISBLANK(H2167),ISBLANK(D2167),ISBLANK(E2167)),"Missing Value",
  D2167&lt;=0,"Review – Out of Range (Coverage)",
  E2167&lt;=0,"Review – Out of Range (Premium)",
  TRUE,"OK"
)</f>
        <v>OK</v>
      </c>
    </row>
    <row r="2168" spans="1:10" ht="16.8" x14ac:dyDescent="0.3">
      <c r="A2168" s="11" t="s">
        <v>5830</v>
      </c>
      <c r="B2168" s="11" t="s">
        <v>2059</v>
      </c>
      <c r="C2168" s="11" t="s">
        <v>3359</v>
      </c>
      <c r="D2168" s="11">
        <v>757853.52</v>
      </c>
      <c r="E2168" s="11">
        <v>29208</v>
      </c>
      <c r="F2168" s="12">
        <v>44433</v>
      </c>
      <c r="G2168" s="12">
        <v>45143</v>
      </c>
      <c r="H2168" s="11" t="s">
        <v>3738</v>
      </c>
      <c r="I2168" s="11" t="s">
        <v>3373</v>
      </c>
      <c r="J2168" s="13" t="str" cm="1">
        <f t="array" ref="J2168">_xlfn.IFS(
  OR(ISBLANK(A2168),ISBLANK(B2168),ISBLANK(H2168),ISBLANK(D2168),ISBLANK(E2168)),"Missing Value",
  D2168&lt;=0,"Review – Out of Range (Coverage)",
  E2168&lt;=0,"Review – Out of Range (Premium)",
  TRUE,"OK"
)</f>
        <v>OK</v>
      </c>
    </row>
    <row r="2169" spans="1:10" ht="16.8" x14ac:dyDescent="0.3">
      <c r="A2169" s="14" t="s">
        <v>5831</v>
      </c>
      <c r="B2169" s="14" t="s">
        <v>72</v>
      </c>
      <c r="C2169" s="14" t="s">
        <v>3371</v>
      </c>
      <c r="D2169" s="14">
        <v>149404.35999999999</v>
      </c>
      <c r="E2169" s="14">
        <v>10685.45</v>
      </c>
      <c r="F2169" s="15">
        <v>44752</v>
      </c>
      <c r="G2169" s="15">
        <v>45685</v>
      </c>
      <c r="H2169" s="14" t="s">
        <v>3553</v>
      </c>
      <c r="I2169" s="14" t="s">
        <v>3365</v>
      </c>
      <c r="J2169" s="13" t="str" cm="1">
        <f t="array" ref="J2169">_xlfn.IFS(
  OR(ISBLANK(A2169),ISBLANK(B2169),ISBLANK(H2169),ISBLANK(D2169),ISBLANK(E2169)),"Missing Value",
  D2169&lt;=0,"Review – Out of Range (Coverage)",
  E2169&lt;=0,"Review – Out of Range (Premium)",
  TRUE,"OK"
)</f>
        <v>OK</v>
      </c>
    </row>
    <row r="2170" spans="1:10" ht="16.8" x14ac:dyDescent="0.3">
      <c r="A2170" s="11" t="s">
        <v>5832</v>
      </c>
      <c r="B2170" s="11" t="s">
        <v>705</v>
      </c>
      <c r="C2170" s="11" t="s">
        <v>3363</v>
      </c>
      <c r="D2170" s="11">
        <v>580503.49</v>
      </c>
      <c r="E2170" s="11">
        <v>44870.2</v>
      </c>
      <c r="F2170" s="12">
        <v>44998</v>
      </c>
      <c r="G2170" s="12">
        <v>45764</v>
      </c>
      <c r="H2170" s="11" t="s">
        <v>3564</v>
      </c>
      <c r="I2170" s="11" t="s">
        <v>3365</v>
      </c>
      <c r="J2170" s="13" t="str" cm="1">
        <f t="array" ref="J2170">_xlfn.IFS(
  OR(ISBLANK(A2170),ISBLANK(B2170),ISBLANK(H2170),ISBLANK(D2170),ISBLANK(E2170)),"Missing Value",
  D2170&lt;=0,"Review – Out of Range (Coverage)",
  E2170&lt;=0,"Review – Out of Range (Premium)",
  TRUE,"OK"
)</f>
        <v>OK</v>
      </c>
    </row>
    <row r="2171" spans="1:10" ht="16.8" x14ac:dyDescent="0.3">
      <c r="A2171" s="14" t="s">
        <v>5833</v>
      </c>
      <c r="B2171" s="14" t="s">
        <v>2819</v>
      </c>
      <c r="C2171" s="14" t="s">
        <v>3377</v>
      </c>
      <c r="D2171" s="14">
        <v>462489.02</v>
      </c>
      <c r="E2171" s="14">
        <v>47623.8</v>
      </c>
      <c r="F2171" s="15">
        <v>45154</v>
      </c>
      <c r="G2171" s="15">
        <v>45402</v>
      </c>
      <c r="H2171" s="14" t="s">
        <v>3767</v>
      </c>
      <c r="I2171" s="14" t="s">
        <v>3361</v>
      </c>
      <c r="J2171" s="13" t="str" cm="1">
        <f t="array" ref="J2171">_xlfn.IFS(
  OR(ISBLANK(A2171),ISBLANK(B2171),ISBLANK(H2171),ISBLANK(D2171),ISBLANK(E2171)),"Missing Value",
  D2171&lt;=0,"Review – Out of Range (Coverage)",
  E2171&lt;=0,"Review – Out of Range (Premium)",
  TRUE,"OK"
)</f>
        <v>OK</v>
      </c>
    </row>
    <row r="2172" spans="1:10" ht="16.8" x14ac:dyDescent="0.3">
      <c r="A2172" s="11" t="s">
        <v>5834</v>
      </c>
      <c r="B2172" s="11" t="s">
        <v>2407</v>
      </c>
      <c r="C2172" s="11" t="s">
        <v>3380</v>
      </c>
      <c r="D2172" s="11">
        <v>354985.71</v>
      </c>
      <c r="E2172" s="11">
        <v>44006.37</v>
      </c>
      <c r="F2172" s="12">
        <v>44612</v>
      </c>
      <c r="G2172" s="12">
        <v>45703</v>
      </c>
      <c r="H2172" s="11" t="s">
        <v>4887</v>
      </c>
      <c r="I2172" s="11" t="s">
        <v>3373</v>
      </c>
      <c r="J2172" s="13" t="str" cm="1">
        <f t="array" ref="J2172">_xlfn.IFS(
  OR(ISBLANK(A2172),ISBLANK(B2172),ISBLANK(H2172),ISBLANK(D2172),ISBLANK(E2172)),"Missing Value",
  D2172&lt;=0,"Review – Out of Range (Coverage)",
  E2172&lt;=0,"Review – Out of Range (Premium)",
  TRUE,"OK"
)</f>
        <v>OK</v>
      </c>
    </row>
    <row r="2173" spans="1:10" ht="16.8" x14ac:dyDescent="0.3">
      <c r="A2173" s="14" t="s">
        <v>5835</v>
      </c>
      <c r="B2173" s="14" t="s">
        <v>460</v>
      </c>
      <c r="C2173" s="14" t="s">
        <v>3377</v>
      </c>
      <c r="D2173" s="14">
        <v>599075.66</v>
      </c>
      <c r="E2173" s="14">
        <v>32947.15</v>
      </c>
      <c r="F2173" s="15">
        <v>44599</v>
      </c>
      <c r="G2173" s="15">
        <v>44926</v>
      </c>
      <c r="H2173" s="14" t="s">
        <v>4011</v>
      </c>
      <c r="I2173" s="14" t="s">
        <v>3365</v>
      </c>
      <c r="J2173" s="13" t="str" cm="1">
        <f t="array" ref="J2173">_xlfn.IFS(
  OR(ISBLANK(A2173),ISBLANK(B2173),ISBLANK(H2173),ISBLANK(D2173),ISBLANK(E2173)),"Missing Value",
  D2173&lt;=0,"Review – Out of Range (Coverage)",
  E2173&lt;=0,"Review – Out of Range (Premium)",
  TRUE,"OK"
)</f>
        <v>OK</v>
      </c>
    </row>
    <row r="2174" spans="1:10" ht="16.8" x14ac:dyDescent="0.3">
      <c r="A2174" s="11" t="s">
        <v>5836</v>
      </c>
      <c r="B2174" s="11" t="s">
        <v>158</v>
      </c>
      <c r="C2174" s="11" t="s">
        <v>3359</v>
      </c>
      <c r="D2174" s="11">
        <v>709746.73</v>
      </c>
      <c r="E2174" s="11">
        <v>3127.81</v>
      </c>
      <c r="F2174" s="12">
        <v>44889</v>
      </c>
      <c r="G2174" s="12">
        <v>45147</v>
      </c>
      <c r="H2174" s="11" t="s">
        <v>3620</v>
      </c>
      <c r="I2174" s="11" t="s">
        <v>3373</v>
      </c>
      <c r="J2174" s="13" t="str" cm="1">
        <f t="array" ref="J2174">_xlfn.IFS(
  OR(ISBLANK(A2174),ISBLANK(B2174),ISBLANK(H2174),ISBLANK(D2174),ISBLANK(E2174)),"Missing Value",
  D2174&lt;=0,"Review – Out of Range (Coverage)",
  E2174&lt;=0,"Review – Out of Range (Premium)",
  TRUE,"OK"
)</f>
        <v>OK</v>
      </c>
    </row>
    <row r="2175" spans="1:10" ht="16.8" x14ac:dyDescent="0.3">
      <c r="A2175" s="14" t="s">
        <v>5837</v>
      </c>
      <c r="B2175" s="14" t="s">
        <v>917</v>
      </c>
      <c r="C2175" s="14" t="s">
        <v>3371</v>
      </c>
      <c r="D2175" s="14">
        <v>827946.85</v>
      </c>
      <c r="E2175" s="14">
        <v>27371.4</v>
      </c>
      <c r="F2175" s="15">
        <v>45115</v>
      </c>
      <c r="G2175" s="15">
        <v>45321</v>
      </c>
      <c r="H2175" s="14" t="s">
        <v>4067</v>
      </c>
      <c r="I2175" s="14" t="s">
        <v>3373</v>
      </c>
      <c r="J2175" s="13" t="str" cm="1">
        <f t="array" ref="J2175">_xlfn.IFS(
  OR(ISBLANK(A2175),ISBLANK(B2175),ISBLANK(H2175),ISBLANK(D2175),ISBLANK(E2175)),"Missing Value",
  D2175&lt;=0,"Review – Out of Range (Coverage)",
  E2175&lt;=0,"Review – Out of Range (Premium)",
  TRUE,"OK"
)</f>
        <v>OK</v>
      </c>
    </row>
    <row r="2176" spans="1:10" ht="16.8" x14ac:dyDescent="0.3">
      <c r="A2176" s="11" t="s">
        <v>5838</v>
      </c>
      <c r="B2176" s="11" t="s">
        <v>2953</v>
      </c>
      <c r="C2176" s="11" t="s">
        <v>3371</v>
      </c>
      <c r="D2176" s="11">
        <v>328427.42</v>
      </c>
      <c r="E2176" s="11">
        <v>35224.769999999997</v>
      </c>
      <c r="F2176" s="12">
        <v>44969</v>
      </c>
      <c r="G2176" s="12">
        <v>45195</v>
      </c>
      <c r="H2176" s="11" t="s">
        <v>3524</v>
      </c>
      <c r="I2176" s="11" t="s">
        <v>3361</v>
      </c>
      <c r="J2176" s="13" t="str" cm="1">
        <f t="array" ref="J2176">_xlfn.IFS(
  OR(ISBLANK(A2176),ISBLANK(B2176),ISBLANK(H2176),ISBLANK(D2176),ISBLANK(E2176)),"Missing Value",
  D2176&lt;=0,"Review – Out of Range (Coverage)",
  E2176&lt;=0,"Review – Out of Range (Premium)",
  TRUE,"OK"
)</f>
        <v>OK</v>
      </c>
    </row>
    <row r="2177" spans="1:10" ht="16.8" x14ac:dyDescent="0.3">
      <c r="A2177" s="14" t="s">
        <v>5839</v>
      </c>
      <c r="B2177" s="14" t="s">
        <v>1333</v>
      </c>
      <c r="C2177" s="14" t="s">
        <v>3377</v>
      </c>
      <c r="D2177" s="14">
        <v>493221.07</v>
      </c>
      <c r="E2177" s="14">
        <v>49730.59</v>
      </c>
      <c r="F2177" s="15">
        <v>45168</v>
      </c>
      <c r="G2177" s="15">
        <v>45335</v>
      </c>
      <c r="H2177" s="14" t="s">
        <v>3725</v>
      </c>
      <c r="I2177" s="14" t="s">
        <v>3361</v>
      </c>
      <c r="J2177" s="13" t="str" cm="1">
        <f t="array" ref="J2177">_xlfn.IFS(
  OR(ISBLANK(A2177),ISBLANK(B2177),ISBLANK(H2177),ISBLANK(D2177),ISBLANK(E2177)),"Missing Value",
  D2177&lt;=0,"Review – Out of Range (Coverage)",
  E2177&lt;=0,"Review – Out of Range (Premium)",
  TRUE,"OK"
)</f>
        <v>OK</v>
      </c>
    </row>
    <row r="2178" spans="1:10" ht="16.8" x14ac:dyDescent="0.3">
      <c r="A2178" s="11" t="s">
        <v>5840</v>
      </c>
      <c r="B2178" s="11" t="s">
        <v>1255</v>
      </c>
      <c r="C2178" s="11" t="s">
        <v>3371</v>
      </c>
      <c r="D2178" s="11">
        <v>936609.78</v>
      </c>
      <c r="E2178" s="11">
        <v>10485.87</v>
      </c>
      <c r="F2178" s="12">
        <v>44760</v>
      </c>
      <c r="G2178" s="12">
        <v>45422</v>
      </c>
      <c r="H2178" s="11" t="s">
        <v>4249</v>
      </c>
      <c r="I2178" s="11" t="s">
        <v>3373</v>
      </c>
      <c r="J2178" s="13" t="str" cm="1">
        <f t="array" ref="J2178">_xlfn.IFS(
  OR(ISBLANK(A2178),ISBLANK(B2178),ISBLANK(H2178),ISBLANK(D2178),ISBLANK(E2178)),"Missing Value",
  D2178&lt;=0,"Review – Out of Range (Coverage)",
  E2178&lt;=0,"Review – Out of Range (Premium)",
  TRUE,"OK"
)</f>
        <v>OK</v>
      </c>
    </row>
    <row r="2179" spans="1:10" ht="16.8" x14ac:dyDescent="0.3">
      <c r="A2179" s="14" t="s">
        <v>5841</v>
      </c>
      <c r="B2179" s="14" t="s">
        <v>180</v>
      </c>
      <c r="C2179" s="14" t="s">
        <v>3359</v>
      </c>
      <c r="D2179" s="14">
        <v>733349.17</v>
      </c>
      <c r="E2179" s="14">
        <v>21511.37</v>
      </c>
      <c r="F2179" s="15">
        <v>45029</v>
      </c>
      <c r="G2179" s="15">
        <v>45653</v>
      </c>
      <c r="H2179" s="14" t="s">
        <v>3421</v>
      </c>
      <c r="I2179" s="14" t="s">
        <v>3361</v>
      </c>
      <c r="J2179" s="13" t="str" cm="1">
        <f t="array" ref="J2179">_xlfn.IFS(
  OR(ISBLANK(A2179),ISBLANK(B2179),ISBLANK(H2179),ISBLANK(D2179),ISBLANK(E2179)),"Missing Value",
  D2179&lt;=0,"Review – Out of Range (Coverage)",
  E2179&lt;=0,"Review – Out of Range (Premium)",
  TRUE,"OK"
)</f>
        <v>OK</v>
      </c>
    </row>
    <row r="2180" spans="1:10" ht="16.8" x14ac:dyDescent="0.3">
      <c r="A2180" s="11" t="s">
        <v>5842</v>
      </c>
      <c r="B2180" s="11" t="s">
        <v>1425</v>
      </c>
      <c r="C2180" s="11" t="s">
        <v>3380</v>
      </c>
      <c r="D2180" s="11">
        <v>861445.72</v>
      </c>
      <c r="E2180" s="11">
        <v>41743.26</v>
      </c>
      <c r="F2180" s="12">
        <v>44929</v>
      </c>
      <c r="G2180" s="12">
        <v>45223</v>
      </c>
      <c r="H2180" s="11" t="s">
        <v>4650</v>
      </c>
      <c r="I2180" s="11" t="s">
        <v>3361</v>
      </c>
      <c r="J2180" s="13" t="str" cm="1">
        <f t="array" ref="J2180">_xlfn.IFS(
  OR(ISBLANK(A2180),ISBLANK(B2180),ISBLANK(H2180),ISBLANK(D2180),ISBLANK(E2180)),"Missing Value",
  D2180&lt;=0,"Review – Out of Range (Coverage)",
  E2180&lt;=0,"Review – Out of Range (Premium)",
  TRUE,"OK"
)</f>
        <v>OK</v>
      </c>
    </row>
    <row r="2181" spans="1:10" ht="16.8" x14ac:dyDescent="0.3">
      <c r="A2181" s="14" t="s">
        <v>5843</v>
      </c>
      <c r="B2181" s="14" t="s">
        <v>2307</v>
      </c>
      <c r="C2181" s="14" t="s">
        <v>3377</v>
      </c>
      <c r="D2181" s="14">
        <v>942553.22</v>
      </c>
      <c r="E2181" s="14">
        <v>16020.08</v>
      </c>
      <c r="F2181" s="15">
        <v>44523</v>
      </c>
      <c r="G2181" s="15">
        <v>44559</v>
      </c>
      <c r="H2181" s="14" t="s">
        <v>3387</v>
      </c>
      <c r="I2181" s="14" t="s">
        <v>3361</v>
      </c>
      <c r="J2181" s="13" t="str" cm="1">
        <f t="array" ref="J2181">_xlfn.IFS(
  OR(ISBLANK(A2181),ISBLANK(B2181),ISBLANK(H2181),ISBLANK(D2181),ISBLANK(E2181)),"Missing Value",
  D2181&lt;=0,"Review – Out of Range (Coverage)",
  E2181&lt;=0,"Review – Out of Range (Premium)",
  TRUE,"OK"
)</f>
        <v>OK</v>
      </c>
    </row>
    <row r="2182" spans="1:10" ht="16.8" x14ac:dyDescent="0.3">
      <c r="A2182" s="11" t="s">
        <v>5844</v>
      </c>
      <c r="B2182" s="11" t="s">
        <v>1581</v>
      </c>
      <c r="C2182" s="11" t="s">
        <v>3363</v>
      </c>
      <c r="D2182" s="11">
        <v>125935.97</v>
      </c>
      <c r="E2182" s="11">
        <v>49414.19</v>
      </c>
      <c r="F2182" s="12">
        <v>44681</v>
      </c>
      <c r="G2182" s="12">
        <v>45644</v>
      </c>
      <c r="H2182" s="11" t="s">
        <v>3746</v>
      </c>
      <c r="I2182" s="11" t="s">
        <v>3373</v>
      </c>
      <c r="J2182" s="13" t="str" cm="1">
        <f t="array" ref="J2182">_xlfn.IFS(
  OR(ISBLANK(A2182),ISBLANK(B2182),ISBLANK(H2182),ISBLANK(D2182),ISBLANK(E2182)),"Missing Value",
  D2182&lt;=0,"Review – Out of Range (Coverage)",
  E2182&lt;=0,"Review – Out of Range (Premium)",
  TRUE,"OK"
)</f>
        <v>OK</v>
      </c>
    </row>
    <row r="2183" spans="1:10" ht="16.8" x14ac:dyDescent="0.3">
      <c r="A2183" s="14" t="s">
        <v>5845</v>
      </c>
      <c r="B2183" s="14" t="s">
        <v>2531</v>
      </c>
      <c r="C2183" s="14" t="s">
        <v>3380</v>
      </c>
      <c r="D2183" s="14">
        <v>454153.14</v>
      </c>
      <c r="E2183" s="14">
        <v>15420.28</v>
      </c>
      <c r="F2183" s="15">
        <v>44445</v>
      </c>
      <c r="G2183" s="15">
        <v>45675</v>
      </c>
      <c r="H2183" s="14" t="s">
        <v>4234</v>
      </c>
      <c r="I2183" s="14" t="s">
        <v>3373</v>
      </c>
      <c r="J2183" s="13" t="str" cm="1">
        <f t="array" ref="J2183">_xlfn.IFS(
  OR(ISBLANK(A2183),ISBLANK(B2183),ISBLANK(H2183),ISBLANK(D2183),ISBLANK(E2183)),"Missing Value",
  D2183&lt;=0,"Review – Out of Range (Coverage)",
  E2183&lt;=0,"Review – Out of Range (Premium)",
  TRUE,"OK"
)</f>
        <v>OK</v>
      </c>
    </row>
    <row r="2184" spans="1:10" ht="16.8" x14ac:dyDescent="0.3">
      <c r="A2184" s="11" t="s">
        <v>5846</v>
      </c>
      <c r="B2184" s="11" t="s">
        <v>1537</v>
      </c>
      <c r="C2184" s="11" t="s">
        <v>3377</v>
      </c>
      <c r="D2184" s="11">
        <v>690135.39</v>
      </c>
      <c r="E2184" s="11">
        <v>10373.49</v>
      </c>
      <c r="F2184" s="12">
        <v>44814</v>
      </c>
      <c r="G2184" s="12">
        <v>45022</v>
      </c>
      <c r="H2184" s="11" t="s">
        <v>3591</v>
      </c>
      <c r="I2184" s="11" t="s">
        <v>3361</v>
      </c>
      <c r="J2184" s="13" t="str" cm="1">
        <f t="array" ref="J2184">_xlfn.IFS(
  OR(ISBLANK(A2184),ISBLANK(B2184),ISBLANK(H2184),ISBLANK(D2184),ISBLANK(E2184)),"Missing Value",
  D2184&lt;=0,"Review – Out of Range (Coverage)",
  E2184&lt;=0,"Review – Out of Range (Premium)",
  TRUE,"OK"
)</f>
        <v>OK</v>
      </c>
    </row>
    <row r="2185" spans="1:10" ht="16.8" x14ac:dyDescent="0.3">
      <c r="A2185" s="14" t="s">
        <v>5847</v>
      </c>
      <c r="B2185" s="14" t="s">
        <v>2707</v>
      </c>
      <c r="C2185" s="14" t="s">
        <v>3359</v>
      </c>
      <c r="D2185" s="14">
        <v>311207.2</v>
      </c>
      <c r="E2185" s="14">
        <v>16892.400000000001</v>
      </c>
      <c r="F2185" s="15">
        <v>44816</v>
      </c>
      <c r="G2185" s="15">
        <v>45785</v>
      </c>
      <c r="H2185" s="14" t="s">
        <v>4766</v>
      </c>
      <c r="I2185" s="14" t="s">
        <v>3365</v>
      </c>
      <c r="J2185" s="13" t="str" cm="1">
        <f t="array" ref="J2185">_xlfn.IFS(
  OR(ISBLANK(A2185),ISBLANK(B2185),ISBLANK(H2185),ISBLANK(D2185),ISBLANK(E2185)),"Missing Value",
  D2185&lt;=0,"Review – Out of Range (Coverage)",
  E2185&lt;=0,"Review – Out of Range (Premium)",
  TRUE,"OK"
)</f>
        <v>OK</v>
      </c>
    </row>
    <row r="2186" spans="1:10" ht="16.8" x14ac:dyDescent="0.3">
      <c r="A2186" s="11" t="s">
        <v>5848</v>
      </c>
      <c r="B2186" s="11" t="s">
        <v>2587</v>
      </c>
      <c r="C2186" s="11" t="s">
        <v>3377</v>
      </c>
      <c r="D2186" s="11">
        <v>410598.19</v>
      </c>
      <c r="E2186" s="11">
        <v>48243.29</v>
      </c>
      <c r="F2186" s="12">
        <v>44924</v>
      </c>
      <c r="G2186" s="12">
        <v>45156</v>
      </c>
      <c r="H2186" s="11" t="s">
        <v>3391</v>
      </c>
      <c r="I2186" s="11" t="s">
        <v>3373</v>
      </c>
      <c r="J2186" s="13" t="str" cm="1">
        <f t="array" ref="J2186">_xlfn.IFS(
  OR(ISBLANK(A2186),ISBLANK(B2186),ISBLANK(H2186),ISBLANK(D2186),ISBLANK(E2186)),"Missing Value",
  D2186&lt;=0,"Review – Out of Range (Coverage)",
  E2186&lt;=0,"Review – Out of Range (Premium)",
  TRUE,"OK"
)</f>
        <v>OK</v>
      </c>
    </row>
    <row r="2187" spans="1:10" ht="16.8" x14ac:dyDescent="0.3">
      <c r="A2187" s="14" t="s">
        <v>5849</v>
      </c>
      <c r="B2187" s="14" t="s">
        <v>2349</v>
      </c>
      <c r="C2187" s="14" t="s">
        <v>3371</v>
      </c>
      <c r="D2187" s="14">
        <v>833149.58</v>
      </c>
      <c r="E2187" s="14">
        <v>8448.09</v>
      </c>
      <c r="F2187" s="15">
        <v>45118</v>
      </c>
      <c r="G2187" s="15">
        <v>45150</v>
      </c>
      <c r="H2187" s="14" t="s">
        <v>4161</v>
      </c>
      <c r="I2187" s="14" t="s">
        <v>3373</v>
      </c>
      <c r="J2187" s="13" t="str" cm="1">
        <f t="array" ref="J2187">_xlfn.IFS(
  OR(ISBLANK(A2187),ISBLANK(B2187),ISBLANK(H2187),ISBLANK(D2187),ISBLANK(E2187)),"Missing Value",
  D2187&lt;=0,"Review – Out of Range (Coverage)",
  E2187&lt;=0,"Review – Out of Range (Premium)",
  TRUE,"OK"
)</f>
        <v>OK</v>
      </c>
    </row>
    <row r="2188" spans="1:10" ht="16.8" x14ac:dyDescent="0.3">
      <c r="A2188" s="11" t="s">
        <v>5850</v>
      </c>
      <c r="B2188" s="11" t="s">
        <v>1113</v>
      </c>
      <c r="C2188" s="11" t="s">
        <v>3359</v>
      </c>
      <c r="D2188" s="11">
        <v>699677.92</v>
      </c>
      <c r="E2188" s="11">
        <v>25508.84</v>
      </c>
      <c r="F2188" s="12">
        <v>45379</v>
      </c>
      <c r="G2188" s="12">
        <v>45772</v>
      </c>
      <c r="H2188" s="11" t="s">
        <v>3528</v>
      </c>
      <c r="I2188" s="11" t="s">
        <v>3365</v>
      </c>
      <c r="J2188" s="13" t="str" cm="1">
        <f t="array" ref="J2188">_xlfn.IFS(
  OR(ISBLANK(A2188),ISBLANK(B2188),ISBLANK(H2188),ISBLANK(D2188),ISBLANK(E2188)),"Missing Value",
  D2188&lt;=0,"Review – Out of Range (Coverage)",
  E2188&lt;=0,"Review – Out of Range (Premium)",
  TRUE,"OK"
)</f>
        <v>OK</v>
      </c>
    </row>
    <row r="2189" spans="1:10" ht="16.8" x14ac:dyDescent="0.3">
      <c r="A2189" s="14" t="s">
        <v>5851</v>
      </c>
      <c r="B2189" s="14" t="s">
        <v>581</v>
      </c>
      <c r="C2189" s="14" t="s">
        <v>3363</v>
      </c>
      <c r="D2189" s="14">
        <v>957801.48</v>
      </c>
      <c r="E2189" s="14">
        <v>20933.8</v>
      </c>
      <c r="F2189" s="15">
        <v>45316</v>
      </c>
      <c r="G2189" s="15">
        <v>45363</v>
      </c>
      <c r="H2189" s="14" t="s">
        <v>4244</v>
      </c>
      <c r="I2189" s="14" t="s">
        <v>3365</v>
      </c>
      <c r="J2189" s="13" t="str" cm="1">
        <f t="array" ref="J2189">_xlfn.IFS(
  OR(ISBLANK(A2189),ISBLANK(B2189),ISBLANK(H2189),ISBLANK(D2189),ISBLANK(E2189)),"Missing Value",
  D2189&lt;=0,"Review – Out of Range (Coverage)",
  E2189&lt;=0,"Review – Out of Range (Premium)",
  TRUE,"OK"
)</f>
        <v>OK</v>
      </c>
    </row>
    <row r="2190" spans="1:10" ht="16.8" x14ac:dyDescent="0.3">
      <c r="A2190" s="11" t="s">
        <v>5852</v>
      </c>
      <c r="B2190" s="11" t="s">
        <v>1473</v>
      </c>
      <c r="C2190" s="11" t="s">
        <v>3380</v>
      </c>
      <c r="D2190" s="11">
        <v>577116.76</v>
      </c>
      <c r="E2190" s="11">
        <v>7988.09</v>
      </c>
      <c r="F2190" s="12">
        <v>44356</v>
      </c>
      <c r="G2190" s="12">
        <v>45578</v>
      </c>
      <c r="H2190" s="11" t="s">
        <v>4575</v>
      </c>
      <c r="I2190" s="11" t="s">
        <v>3365</v>
      </c>
      <c r="J2190" s="13" t="str" cm="1">
        <f t="array" ref="J2190">_xlfn.IFS(
  OR(ISBLANK(A2190),ISBLANK(B2190),ISBLANK(H2190),ISBLANK(D2190),ISBLANK(E2190)),"Missing Value",
  D2190&lt;=0,"Review – Out of Range (Coverage)",
  E2190&lt;=0,"Review – Out of Range (Premium)",
  TRUE,"OK"
)</f>
        <v>OK</v>
      </c>
    </row>
    <row r="2191" spans="1:10" ht="16.8" x14ac:dyDescent="0.3">
      <c r="A2191" s="14" t="s">
        <v>5853</v>
      </c>
      <c r="B2191" s="14" t="s">
        <v>2099</v>
      </c>
      <c r="C2191" s="14" t="s">
        <v>3380</v>
      </c>
      <c r="D2191" s="14">
        <v>887433.86</v>
      </c>
      <c r="E2191" s="14">
        <v>27510.75</v>
      </c>
      <c r="F2191" s="15">
        <v>45069</v>
      </c>
      <c r="G2191" s="15">
        <v>45735</v>
      </c>
      <c r="H2191" s="14" t="s">
        <v>3603</v>
      </c>
      <c r="I2191" s="14" t="s">
        <v>3365</v>
      </c>
      <c r="J2191" s="13" t="str" cm="1">
        <f t="array" ref="J2191">_xlfn.IFS(
  OR(ISBLANK(A2191),ISBLANK(B2191),ISBLANK(H2191),ISBLANK(D2191),ISBLANK(E2191)),"Missing Value",
  D2191&lt;=0,"Review – Out of Range (Coverage)",
  E2191&lt;=0,"Review – Out of Range (Premium)",
  TRUE,"OK"
)</f>
        <v>OK</v>
      </c>
    </row>
    <row r="2192" spans="1:10" ht="16.8" x14ac:dyDescent="0.3">
      <c r="A2192" s="11" t="s">
        <v>5854</v>
      </c>
      <c r="B2192" s="11" t="s">
        <v>2021</v>
      </c>
      <c r="C2192" s="11" t="s">
        <v>3380</v>
      </c>
      <c r="D2192" s="11">
        <v>489585.28</v>
      </c>
      <c r="E2192" s="11">
        <v>9257.49</v>
      </c>
      <c r="F2192" s="12">
        <v>44564</v>
      </c>
      <c r="G2192" s="12">
        <v>44863</v>
      </c>
      <c r="H2192" s="11" t="s">
        <v>3947</v>
      </c>
      <c r="I2192" s="11" t="s">
        <v>3373</v>
      </c>
      <c r="J2192" s="13" t="str" cm="1">
        <f t="array" ref="J2192">_xlfn.IFS(
  OR(ISBLANK(A2192),ISBLANK(B2192),ISBLANK(H2192),ISBLANK(D2192),ISBLANK(E2192)),"Missing Value",
  D2192&lt;=0,"Review – Out of Range (Coverage)",
  E2192&lt;=0,"Review – Out of Range (Premium)",
  TRUE,"OK"
)</f>
        <v>OK</v>
      </c>
    </row>
    <row r="2193" spans="1:10" ht="16.8" x14ac:dyDescent="0.3">
      <c r="A2193" s="14" t="s">
        <v>5855</v>
      </c>
      <c r="B2193" s="14" t="s">
        <v>1917</v>
      </c>
      <c r="C2193" s="14" t="s">
        <v>3371</v>
      </c>
      <c r="D2193" s="14">
        <v>330688.78000000003</v>
      </c>
      <c r="E2193" s="14">
        <v>31566</v>
      </c>
      <c r="F2193" s="15">
        <v>44815</v>
      </c>
      <c r="G2193" s="15">
        <v>45477</v>
      </c>
      <c r="H2193" s="14" t="s">
        <v>3748</v>
      </c>
      <c r="I2193" s="14" t="s">
        <v>3361</v>
      </c>
      <c r="J2193" s="13" t="str" cm="1">
        <f t="array" ref="J2193">_xlfn.IFS(
  OR(ISBLANK(A2193),ISBLANK(B2193),ISBLANK(H2193),ISBLANK(D2193),ISBLANK(E2193)),"Missing Value",
  D2193&lt;=0,"Review – Out of Range (Coverage)",
  E2193&lt;=0,"Review – Out of Range (Premium)",
  TRUE,"OK"
)</f>
        <v>OK</v>
      </c>
    </row>
    <row r="2194" spans="1:10" ht="16.8" x14ac:dyDescent="0.3">
      <c r="A2194" s="11" t="s">
        <v>5856</v>
      </c>
      <c r="B2194" s="11" t="s">
        <v>2397</v>
      </c>
      <c r="C2194" s="11" t="s">
        <v>3380</v>
      </c>
      <c r="D2194" s="11">
        <v>403393.5</v>
      </c>
      <c r="E2194" s="11">
        <v>9130.84</v>
      </c>
      <c r="F2194" s="12">
        <v>44667</v>
      </c>
      <c r="G2194" s="12">
        <v>44908</v>
      </c>
      <c r="H2194" s="11" t="s">
        <v>3425</v>
      </c>
      <c r="I2194" s="11" t="s">
        <v>3361</v>
      </c>
      <c r="J2194" s="13" t="str" cm="1">
        <f t="array" ref="J2194">_xlfn.IFS(
  OR(ISBLANK(A2194),ISBLANK(B2194),ISBLANK(H2194),ISBLANK(D2194),ISBLANK(E2194)),"Missing Value",
  D2194&lt;=0,"Review – Out of Range (Coverage)",
  E2194&lt;=0,"Review – Out of Range (Premium)",
  TRUE,"OK"
)</f>
        <v>OK</v>
      </c>
    </row>
    <row r="2195" spans="1:10" ht="16.8" x14ac:dyDescent="0.3">
      <c r="A2195" s="14" t="s">
        <v>5857</v>
      </c>
      <c r="B2195" s="14" t="s">
        <v>1305</v>
      </c>
      <c r="C2195" s="14" t="s">
        <v>3377</v>
      </c>
      <c r="D2195" s="14">
        <v>117368.73</v>
      </c>
      <c r="E2195" s="14">
        <v>32130.65</v>
      </c>
      <c r="F2195" s="15">
        <v>44462</v>
      </c>
      <c r="G2195" s="15">
        <v>45015</v>
      </c>
      <c r="H2195" s="14" t="s">
        <v>3955</v>
      </c>
      <c r="I2195" s="14" t="s">
        <v>3361</v>
      </c>
      <c r="J2195" s="13" t="str" cm="1">
        <f t="array" ref="J2195">_xlfn.IFS(
  OR(ISBLANK(A2195),ISBLANK(B2195),ISBLANK(H2195),ISBLANK(D2195),ISBLANK(E2195)),"Missing Value",
  D2195&lt;=0,"Review – Out of Range (Coverage)",
  E2195&lt;=0,"Review – Out of Range (Premium)",
  TRUE,"OK"
)</f>
        <v>OK</v>
      </c>
    </row>
    <row r="2196" spans="1:10" ht="16.8" x14ac:dyDescent="0.3">
      <c r="A2196" s="11" t="s">
        <v>5858</v>
      </c>
      <c r="B2196" s="11" t="s">
        <v>833</v>
      </c>
      <c r="C2196" s="11" t="s">
        <v>3363</v>
      </c>
      <c r="D2196" s="11">
        <v>736622.7</v>
      </c>
      <c r="E2196" s="11">
        <v>6597.11</v>
      </c>
      <c r="F2196" s="12">
        <v>45047</v>
      </c>
      <c r="G2196" s="12">
        <v>45862</v>
      </c>
      <c r="H2196" s="11" t="s">
        <v>3409</v>
      </c>
      <c r="I2196" s="11" t="s">
        <v>3365</v>
      </c>
      <c r="J2196" s="13" t="str" cm="1">
        <f t="array" ref="J2196">_xlfn.IFS(
  OR(ISBLANK(A2196),ISBLANK(B2196),ISBLANK(H2196),ISBLANK(D2196),ISBLANK(E2196)),"Missing Value",
  D2196&lt;=0,"Review – Out of Range (Coverage)",
  E2196&lt;=0,"Review – Out of Range (Premium)",
  TRUE,"OK"
)</f>
        <v>OK</v>
      </c>
    </row>
    <row r="2197" spans="1:10" ht="16.8" x14ac:dyDescent="0.3">
      <c r="A2197" s="14" t="s">
        <v>5859</v>
      </c>
      <c r="B2197" s="14" t="s">
        <v>2753</v>
      </c>
      <c r="C2197" s="14" t="s">
        <v>3380</v>
      </c>
      <c r="D2197" s="14">
        <v>246147.02</v>
      </c>
      <c r="E2197" s="14">
        <v>36767.21</v>
      </c>
      <c r="F2197" s="15">
        <v>45430</v>
      </c>
      <c r="G2197" s="15">
        <v>45601</v>
      </c>
      <c r="H2197" s="14" t="s">
        <v>3573</v>
      </c>
      <c r="I2197" s="14" t="s">
        <v>3365</v>
      </c>
      <c r="J2197" s="13" t="str" cm="1">
        <f t="array" ref="J2197">_xlfn.IFS(
  OR(ISBLANK(A2197),ISBLANK(B2197),ISBLANK(H2197),ISBLANK(D2197),ISBLANK(E2197)),"Missing Value",
  D2197&lt;=0,"Review – Out of Range (Coverage)",
  E2197&lt;=0,"Review – Out of Range (Premium)",
  TRUE,"OK"
)</f>
        <v>OK</v>
      </c>
    </row>
    <row r="2198" spans="1:10" ht="16.8" x14ac:dyDescent="0.3">
      <c r="A2198" s="11" t="s">
        <v>5860</v>
      </c>
      <c r="B2198" s="11" t="s">
        <v>2781</v>
      </c>
      <c r="C2198" s="11" t="s">
        <v>3380</v>
      </c>
      <c r="D2198" s="11">
        <v>127043.97</v>
      </c>
      <c r="E2198" s="11">
        <v>4816.38</v>
      </c>
      <c r="F2198" s="12">
        <v>44356</v>
      </c>
      <c r="G2198" s="12">
        <v>45648</v>
      </c>
      <c r="H2198" s="11" t="s">
        <v>4575</v>
      </c>
      <c r="I2198" s="11" t="s">
        <v>3373</v>
      </c>
      <c r="J2198" s="13" t="str" cm="1">
        <f t="array" ref="J2198">_xlfn.IFS(
  OR(ISBLANK(A2198),ISBLANK(B2198),ISBLANK(H2198),ISBLANK(D2198),ISBLANK(E2198)),"Missing Value",
  D2198&lt;=0,"Review – Out of Range (Coverage)",
  E2198&lt;=0,"Review – Out of Range (Premium)",
  TRUE,"OK"
)</f>
        <v>OK</v>
      </c>
    </row>
    <row r="2199" spans="1:10" ht="16.8" x14ac:dyDescent="0.3">
      <c r="A2199" s="14" t="s">
        <v>5861</v>
      </c>
      <c r="B2199" s="14" t="s">
        <v>520</v>
      </c>
      <c r="C2199" s="14" t="s">
        <v>3380</v>
      </c>
      <c r="D2199" s="14">
        <v>377599.39</v>
      </c>
      <c r="E2199" s="14">
        <v>16656.27</v>
      </c>
      <c r="F2199" s="15">
        <v>44236</v>
      </c>
      <c r="G2199" s="15">
        <v>45026</v>
      </c>
      <c r="H2199" s="14" t="s">
        <v>4098</v>
      </c>
      <c r="I2199" s="14" t="s">
        <v>3373</v>
      </c>
      <c r="J2199" s="13" t="str" cm="1">
        <f t="array" ref="J2199">_xlfn.IFS(
  OR(ISBLANK(A2199),ISBLANK(B2199),ISBLANK(H2199),ISBLANK(D2199),ISBLANK(E2199)),"Missing Value",
  D2199&lt;=0,"Review – Out of Range (Coverage)",
  E2199&lt;=0,"Review – Out of Range (Premium)",
  TRUE,"OK"
)</f>
        <v>OK</v>
      </c>
    </row>
    <row r="2200" spans="1:10" ht="16.8" x14ac:dyDescent="0.3">
      <c r="A2200" s="11" t="s">
        <v>5862</v>
      </c>
      <c r="B2200" s="11" t="s">
        <v>334</v>
      </c>
      <c r="C2200" s="11" t="s">
        <v>3359</v>
      </c>
      <c r="D2200" s="11">
        <v>423515.6</v>
      </c>
      <c r="E2200" s="11">
        <v>18192.87</v>
      </c>
      <c r="F2200" s="12">
        <v>45238</v>
      </c>
      <c r="G2200" s="12">
        <v>45595</v>
      </c>
      <c r="H2200" s="11" t="s">
        <v>4208</v>
      </c>
      <c r="I2200" s="11" t="s">
        <v>3365</v>
      </c>
      <c r="J2200" s="13" t="str" cm="1">
        <f t="array" ref="J2200">_xlfn.IFS(
  OR(ISBLANK(A2200),ISBLANK(B2200),ISBLANK(H2200),ISBLANK(D2200),ISBLANK(E2200)),"Missing Value",
  D2200&lt;=0,"Review – Out of Range (Coverage)",
  E2200&lt;=0,"Review – Out of Range (Premium)",
  TRUE,"OK"
)</f>
        <v>OK</v>
      </c>
    </row>
    <row r="2201" spans="1:10" ht="16.8" x14ac:dyDescent="0.3">
      <c r="A2201" s="14" t="s">
        <v>5863</v>
      </c>
      <c r="B2201" s="14" t="s">
        <v>2439</v>
      </c>
      <c r="C2201" s="14" t="s">
        <v>3377</v>
      </c>
      <c r="D2201" s="14">
        <v>914592.78</v>
      </c>
      <c r="E2201" s="14">
        <v>37344.769999999997</v>
      </c>
      <c r="F2201" s="15">
        <v>44730</v>
      </c>
      <c r="G2201" s="15">
        <v>44856</v>
      </c>
      <c r="H2201" s="14" t="s">
        <v>4378</v>
      </c>
      <c r="I2201" s="14" t="s">
        <v>3361</v>
      </c>
      <c r="J2201" s="13" t="str" cm="1">
        <f t="array" ref="J2201">_xlfn.IFS(
  OR(ISBLANK(A2201),ISBLANK(B2201),ISBLANK(H2201),ISBLANK(D2201),ISBLANK(E2201)),"Missing Value",
  D2201&lt;=0,"Review – Out of Range (Coverage)",
  E2201&lt;=0,"Review – Out of Range (Premium)",
  TRUE,"OK"
)</f>
        <v>OK</v>
      </c>
    </row>
    <row r="2202" spans="1:10" ht="16.8" x14ac:dyDescent="0.3">
      <c r="A2202" s="11" t="s">
        <v>5864</v>
      </c>
      <c r="B2202" s="11" t="s">
        <v>518</v>
      </c>
      <c r="C2202" s="11" t="s">
        <v>3371</v>
      </c>
      <c r="D2202" s="11">
        <v>989670.26</v>
      </c>
      <c r="E2202" s="11">
        <v>47696.92</v>
      </c>
      <c r="F2202" s="12">
        <v>44905</v>
      </c>
      <c r="G2202" s="12">
        <v>45655</v>
      </c>
      <c r="H2202" s="11" t="s">
        <v>3378</v>
      </c>
      <c r="I2202" s="11" t="s">
        <v>3361</v>
      </c>
      <c r="J2202" s="13" t="str" cm="1">
        <f t="array" ref="J2202">_xlfn.IFS(
  OR(ISBLANK(A2202),ISBLANK(B2202),ISBLANK(H2202),ISBLANK(D2202),ISBLANK(E2202)),"Missing Value",
  D2202&lt;=0,"Review – Out of Range (Coverage)",
  E2202&lt;=0,"Review – Out of Range (Premium)",
  TRUE,"OK"
)</f>
        <v>OK</v>
      </c>
    </row>
    <row r="2203" spans="1:10" ht="16.8" x14ac:dyDescent="0.3">
      <c r="A2203" s="14" t="s">
        <v>5865</v>
      </c>
      <c r="B2203" s="14" t="s">
        <v>340</v>
      </c>
      <c r="C2203" s="14" t="s">
        <v>3377</v>
      </c>
      <c r="D2203" s="14">
        <v>789134.3</v>
      </c>
      <c r="E2203" s="14">
        <v>24760.7</v>
      </c>
      <c r="F2203" s="15">
        <v>45072</v>
      </c>
      <c r="G2203" s="15">
        <v>45672</v>
      </c>
      <c r="H2203" s="14" t="s">
        <v>3581</v>
      </c>
      <c r="I2203" s="14" t="s">
        <v>3361</v>
      </c>
      <c r="J2203" s="13" t="str" cm="1">
        <f t="array" ref="J2203">_xlfn.IFS(
  OR(ISBLANK(A2203),ISBLANK(B2203),ISBLANK(H2203),ISBLANK(D2203),ISBLANK(E2203)),"Missing Value",
  D2203&lt;=0,"Review – Out of Range (Coverage)",
  E2203&lt;=0,"Review – Out of Range (Premium)",
  TRUE,"OK"
)</f>
        <v>OK</v>
      </c>
    </row>
    <row r="2204" spans="1:10" ht="16.8" x14ac:dyDescent="0.3">
      <c r="A2204" s="11" t="s">
        <v>5866</v>
      </c>
      <c r="B2204" s="11" t="s">
        <v>2903</v>
      </c>
      <c r="C2204" s="11" t="s">
        <v>3380</v>
      </c>
      <c r="D2204" s="11">
        <v>983531.32</v>
      </c>
      <c r="E2204" s="11">
        <v>44931.03</v>
      </c>
      <c r="F2204" s="12">
        <v>44102</v>
      </c>
      <c r="G2204" s="12">
        <v>45518</v>
      </c>
      <c r="H2204" s="11" t="s">
        <v>3577</v>
      </c>
      <c r="I2204" s="11" t="s">
        <v>3373</v>
      </c>
      <c r="J2204" s="13" t="str" cm="1">
        <f t="array" ref="J2204">_xlfn.IFS(
  OR(ISBLANK(A2204),ISBLANK(B2204),ISBLANK(H2204),ISBLANK(D2204),ISBLANK(E2204)),"Missing Value",
  D2204&lt;=0,"Review – Out of Range (Coverage)",
  E2204&lt;=0,"Review – Out of Range (Premium)",
  TRUE,"OK"
)</f>
        <v>OK</v>
      </c>
    </row>
    <row r="2205" spans="1:10" ht="16.8" x14ac:dyDescent="0.3">
      <c r="A2205" s="14" t="s">
        <v>5867</v>
      </c>
      <c r="B2205" s="14" t="s">
        <v>1505</v>
      </c>
      <c r="C2205" s="14" t="s">
        <v>3377</v>
      </c>
      <c r="D2205" s="14">
        <v>954092.77</v>
      </c>
      <c r="E2205" s="14">
        <v>31766.48</v>
      </c>
      <c r="F2205" s="15">
        <v>45464</v>
      </c>
      <c r="G2205" s="15">
        <v>45568</v>
      </c>
      <c r="H2205" s="14" t="s">
        <v>3381</v>
      </c>
      <c r="I2205" s="14" t="s">
        <v>3365</v>
      </c>
      <c r="J2205" s="13" t="str" cm="1">
        <f t="array" ref="J2205">_xlfn.IFS(
  OR(ISBLANK(A2205),ISBLANK(B2205),ISBLANK(H2205),ISBLANK(D2205),ISBLANK(E2205)),"Missing Value",
  D2205&lt;=0,"Review – Out of Range (Coverage)",
  E2205&lt;=0,"Review – Out of Range (Premium)",
  TRUE,"OK"
)</f>
        <v>OK</v>
      </c>
    </row>
    <row r="2206" spans="1:10" ht="16.8" x14ac:dyDescent="0.3">
      <c r="A2206" s="11" t="s">
        <v>5868</v>
      </c>
      <c r="B2206" s="11" t="s">
        <v>2943</v>
      </c>
      <c r="C2206" s="11" t="s">
        <v>3363</v>
      </c>
      <c r="D2206" s="11">
        <v>397267.05</v>
      </c>
      <c r="E2206" s="11">
        <v>21497.71</v>
      </c>
      <c r="F2206" s="12">
        <v>45324</v>
      </c>
      <c r="G2206" s="12">
        <v>45580</v>
      </c>
      <c r="H2206" s="11" t="s">
        <v>3762</v>
      </c>
      <c r="I2206" s="11" t="s">
        <v>3361</v>
      </c>
      <c r="J2206" s="13" t="str" cm="1">
        <f t="array" ref="J2206">_xlfn.IFS(
  OR(ISBLANK(A2206),ISBLANK(B2206),ISBLANK(H2206),ISBLANK(D2206),ISBLANK(E2206)),"Missing Value",
  D2206&lt;=0,"Review – Out of Range (Coverage)",
  E2206&lt;=0,"Review – Out of Range (Premium)",
  TRUE,"OK"
)</f>
        <v>OK</v>
      </c>
    </row>
    <row r="2207" spans="1:10" ht="16.8" x14ac:dyDescent="0.3">
      <c r="A2207" s="14" t="s">
        <v>5869</v>
      </c>
      <c r="B2207" s="14" t="s">
        <v>2911</v>
      </c>
      <c r="C2207" s="14" t="s">
        <v>3359</v>
      </c>
      <c r="D2207" s="14">
        <v>538245.88</v>
      </c>
      <c r="E2207" s="14">
        <v>13312.57</v>
      </c>
      <c r="F2207" s="15">
        <v>44963</v>
      </c>
      <c r="G2207" s="15">
        <v>45145</v>
      </c>
      <c r="H2207" s="14" t="s">
        <v>3725</v>
      </c>
      <c r="I2207" s="14" t="s">
        <v>3365</v>
      </c>
      <c r="J2207" s="13" t="str" cm="1">
        <f t="array" ref="J2207">_xlfn.IFS(
  OR(ISBLANK(A2207),ISBLANK(B2207),ISBLANK(H2207),ISBLANK(D2207),ISBLANK(E2207)),"Missing Value",
  D2207&lt;=0,"Review – Out of Range (Coverage)",
  E2207&lt;=0,"Review – Out of Range (Premium)",
  TRUE,"OK"
)</f>
        <v>OK</v>
      </c>
    </row>
    <row r="2208" spans="1:10" ht="16.8" x14ac:dyDescent="0.3">
      <c r="A2208" s="11" t="s">
        <v>5870</v>
      </c>
      <c r="B2208" s="11" t="s">
        <v>1305</v>
      </c>
      <c r="C2208" s="11" t="s">
        <v>3359</v>
      </c>
      <c r="D2208" s="11">
        <v>999892.9</v>
      </c>
      <c r="E2208" s="11">
        <v>3013.88</v>
      </c>
      <c r="F2208" s="12">
        <v>44323</v>
      </c>
      <c r="G2208" s="12">
        <v>44686</v>
      </c>
      <c r="H2208" s="11" t="s">
        <v>3475</v>
      </c>
      <c r="I2208" s="11" t="s">
        <v>3373</v>
      </c>
      <c r="J2208" s="13" t="str" cm="1">
        <f t="array" ref="J2208">_xlfn.IFS(
  OR(ISBLANK(A2208),ISBLANK(B2208),ISBLANK(H2208),ISBLANK(D2208),ISBLANK(E2208)),"Missing Value",
  D2208&lt;=0,"Review – Out of Range (Coverage)",
  E2208&lt;=0,"Review – Out of Range (Premium)",
  TRUE,"OK"
)</f>
        <v>OK</v>
      </c>
    </row>
    <row r="2209" spans="1:10" ht="16.8" x14ac:dyDescent="0.3">
      <c r="A2209" s="14" t="s">
        <v>5871</v>
      </c>
      <c r="B2209" s="14" t="s">
        <v>3020</v>
      </c>
      <c r="C2209" s="14" t="s">
        <v>3377</v>
      </c>
      <c r="D2209" s="14">
        <v>803202.2</v>
      </c>
      <c r="E2209" s="14">
        <v>43661.66</v>
      </c>
      <c r="F2209" s="15">
        <v>45256</v>
      </c>
      <c r="G2209" s="15">
        <v>45515</v>
      </c>
      <c r="H2209" s="14" t="s">
        <v>3964</v>
      </c>
      <c r="I2209" s="14" t="s">
        <v>3361</v>
      </c>
      <c r="J2209" s="13" t="str" cm="1">
        <f t="array" ref="J2209">_xlfn.IFS(
  OR(ISBLANK(A2209),ISBLANK(B2209),ISBLANK(H2209),ISBLANK(D2209),ISBLANK(E2209)),"Missing Value",
  D2209&lt;=0,"Review – Out of Range (Coverage)",
  E2209&lt;=0,"Review – Out of Range (Premium)",
  TRUE,"OK"
)</f>
        <v>OK</v>
      </c>
    </row>
    <row r="2210" spans="1:10" ht="16.8" x14ac:dyDescent="0.3">
      <c r="A2210" s="11" t="s">
        <v>5872</v>
      </c>
      <c r="B2210" s="11" t="s">
        <v>1577</v>
      </c>
      <c r="C2210" s="11" t="s">
        <v>3371</v>
      </c>
      <c r="D2210" s="11">
        <v>353624.14</v>
      </c>
      <c r="E2210" s="11">
        <v>36536.89</v>
      </c>
      <c r="F2210" s="12">
        <v>44422</v>
      </c>
      <c r="G2210" s="12">
        <v>44731</v>
      </c>
      <c r="H2210" s="11" t="s">
        <v>3387</v>
      </c>
      <c r="I2210" s="11" t="s">
        <v>3361</v>
      </c>
      <c r="J2210" s="13" t="str" cm="1">
        <f t="array" ref="J2210">_xlfn.IFS(
  OR(ISBLANK(A2210),ISBLANK(B2210),ISBLANK(H2210),ISBLANK(D2210),ISBLANK(E2210)),"Missing Value",
  D2210&lt;=0,"Review – Out of Range (Coverage)",
  E2210&lt;=0,"Review – Out of Range (Premium)",
  TRUE,"OK"
)</f>
        <v>OK</v>
      </c>
    </row>
    <row r="2211" spans="1:10" ht="16.8" x14ac:dyDescent="0.3">
      <c r="A2211" s="14" t="s">
        <v>5873</v>
      </c>
      <c r="B2211" s="14" t="s">
        <v>2265</v>
      </c>
      <c r="C2211" s="14" t="s">
        <v>3359</v>
      </c>
      <c r="D2211" s="14">
        <v>423347.9</v>
      </c>
      <c r="E2211" s="14">
        <v>47259</v>
      </c>
      <c r="F2211" s="15">
        <v>44579</v>
      </c>
      <c r="G2211" s="15">
        <v>45485</v>
      </c>
      <c r="H2211" s="14" t="s">
        <v>3593</v>
      </c>
      <c r="I2211" s="14" t="s">
        <v>3361</v>
      </c>
      <c r="J2211" s="13" t="str" cm="1">
        <f t="array" ref="J2211">_xlfn.IFS(
  OR(ISBLANK(A2211),ISBLANK(B2211),ISBLANK(H2211),ISBLANK(D2211),ISBLANK(E2211)),"Missing Value",
  D2211&lt;=0,"Review – Out of Range (Coverage)",
  E2211&lt;=0,"Review – Out of Range (Premium)",
  TRUE,"OK"
)</f>
        <v>OK</v>
      </c>
    </row>
    <row r="2212" spans="1:10" ht="16.8" x14ac:dyDescent="0.3">
      <c r="A2212" s="11" t="s">
        <v>5874</v>
      </c>
      <c r="B2212" s="11" t="s">
        <v>88</v>
      </c>
      <c r="C2212" s="11" t="s">
        <v>3359</v>
      </c>
      <c r="D2212" s="11">
        <v>222468.9</v>
      </c>
      <c r="E2212" s="11">
        <v>20534.64</v>
      </c>
      <c r="F2212" s="12">
        <v>45286</v>
      </c>
      <c r="G2212" s="12">
        <v>45299</v>
      </c>
      <c r="H2212" s="11" t="s">
        <v>3815</v>
      </c>
      <c r="I2212" s="11" t="s">
        <v>3365</v>
      </c>
      <c r="J2212" s="13" t="str" cm="1">
        <f t="array" ref="J2212">_xlfn.IFS(
  OR(ISBLANK(A2212),ISBLANK(B2212),ISBLANK(H2212),ISBLANK(D2212),ISBLANK(E2212)),"Missing Value",
  D2212&lt;=0,"Review – Out of Range (Coverage)",
  E2212&lt;=0,"Review – Out of Range (Premium)",
  TRUE,"OK"
)</f>
        <v>OK</v>
      </c>
    </row>
    <row r="2213" spans="1:10" ht="16.8" x14ac:dyDescent="0.3">
      <c r="A2213" s="14" t="s">
        <v>5875</v>
      </c>
      <c r="B2213" s="14" t="s">
        <v>3136</v>
      </c>
      <c r="C2213" s="14" t="s">
        <v>3359</v>
      </c>
      <c r="D2213" s="14">
        <v>455258.92</v>
      </c>
      <c r="E2213" s="14">
        <v>20239.11</v>
      </c>
      <c r="F2213" s="15">
        <v>45218</v>
      </c>
      <c r="G2213" s="15">
        <v>45440</v>
      </c>
      <c r="H2213" s="14" t="s">
        <v>3467</v>
      </c>
      <c r="I2213" s="14" t="s">
        <v>3361</v>
      </c>
      <c r="J2213" s="13" t="str" cm="1">
        <f t="array" ref="J2213">_xlfn.IFS(
  OR(ISBLANK(A2213),ISBLANK(B2213),ISBLANK(H2213),ISBLANK(D2213),ISBLANK(E2213)),"Missing Value",
  D2213&lt;=0,"Review – Out of Range (Coverage)",
  E2213&lt;=0,"Review – Out of Range (Premium)",
  TRUE,"OK"
)</f>
        <v>OK</v>
      </c>
    </row>
    <row r="2214" spans="1:10" ht="16.8" x14ac:dyDescent="0.3">
      <c r="A2214" s="11" t="s">
        <v>5876</v>
      </c>
      <c r="B2214" s="11" t="s">
        <v>2571</v>
      </c>
      <c r="C2214" s="11" t="s">
        <v>3380</v>
      </c>
      <c r="D2214" s="11">
        <v>667410.53</v>
      </c>
      <c r="E2214" s="11">
        <v>17506.95</v>
      </c>
      <c r="F2214" s="12">
        <v>44304</v>
      </c>
      <c r="G2214" s="12">
        <v>44353</v>
      </c>
      <c r="H2214" s="11" t="s">
        <v>3746</v>
      </c>
      <c r="I2214" s="11" t="s">
        <v>3373</v>
      </c>
      <c r="J2214" s="13" t="str" cm="1">
        <f t="array" ref="J2214">_xlfn.IFS(
  OR(ISBLANK(A2214),ISBLANK(B2214),ISBLANK(H2214),ISBLANK(D2214),ISBLANK(E2214)),"Missing Value",
  D2214&lt;=0,"Review – Out of Range (Coverage)",
  E2214&lt;=0,"Review – Out of Range (Premium)",
  TRUE,"OK"
)</f>
        <v>OK</v>
      </c>
    </row>
    <row r="2215" spans="1:10" ht="16.8" x14ac:dyDescent="0.3">
      <c r="A2215" s="14" t="s">
        <v>5877</v>
      </c>
      <c r="B2215" s="14" t="s">
        <v>3304</v>
      </c>
      <c r="C2215" s="14" t="s">
        <v>3363</v>
      </c>
      <c r="D2215" s="14">
        <v>817469.31</v>
      </c>
      <c r="E2215" s="14">
        <v>13856.64</v>
      </c>
      <c r="F2215" s="15">
        <v>45148</v>
      </c>
      <c r="G2215" s="15">
        <v>45168</v>
      </c>
      <c r="H2215" s="14" t="s">
        <v>3461</v>
      </c>
      <c r="I2215" s="14" t="s">
        <v>3361</v>
      </c>
      <c r="J2215" s="13" t="str" cm="1">
        <f t="array" ref="J2215">_xlfn.IFS(
  OR(ISBLANK(A2215),ISBLANK(B2215),ISBLANK(H2215),ISBLANK(D2215),ISBLANK(E2215)),"Missing Value",
  D2215&lt;=0,"Review – Out of Range (Coverage)",
  E2215&lt;=0,"Review – Out of Range (Premium)",
  TRUE,"OK"
)</f>
        <v>OK</v>
      </c>
    </row>
    <row r="2216" spans="1:10" ht="16.8" x14ac:dyDescent="0.3">
      <c r="A2216" s="11" t="s">
        <v>5878</v>
      </c>
      <c r="B2216" s="11" t="s">
        <v>1063</v>
      </c>
      <c r="C2216" s="11" t="s">
        <v>3371</v>
      </c>
      <c r="D2216" s="11">
        <v>997507.71</v>
      </c>
      <c r="E2216" s="11">
        <v>43267.51</v>
      </c>
      <c r="F2216" s="12">
        <v>44525</v>
      </c>
      <c r="G2216" s="12">
        <v>45537</v>
      </c>
      <c r="H2216" s="11" t="s">
        <v>4596</v>
      </c>
      <c r="I2216" s="11" t="s">
        <v>3365</v>
      </c>
      <c r="J2216" s="13" t="str" cm="1">
        <f t="array" ref="J2216">_xlfn.IFS(
  OR(ISBLANK(A2216),ISBLANK(B2216),ISBLANK(H2216),ISBLANK(D2216),ISBLANK(E2216)),"Missing Value",
  D2216&lt;=0,"Review – Out of Range (Coverage)",
  E2216&lt;=0,"Review – Out of Range (Premium)",
  TRUE,"OK"
)</f>
        <v>OK</v>
      </c>
    </row>
    <row r="2217" spans="1:10" ht="16.8" x14ac:dyDescent="0.3">
      <c r="A2217" s="14" t="s">
        <v>5879</v>
      </c>
      <c r="B2217" s="14" t="s">
        <v>2337</v>
      </c>
      <c r="C2217" s="14" t="s">
        <v>3377</v>
      </c>
      <c r="D2217" s="14">
        <v>775941.26</v>
      </c>
      <c r="E2217" s="14">
        <v>16778.21</v>
      </c>
      <c r="F2217" s="15">
        <v>45273</v>
      </c>
      <c r="G2217" s="15">
        <v>45686</v>
      </c>
      <c r="H2217" s="14" t="s">
        <v>3549</v>
      </c>
      <c r="I2217" s="14" t="s">
        <v>3361</v>
      </c>
      <c r="J2217" s="13" t="str" cm="1">
        <f t="array" ref="J2217">_xlfn.IFS(
  OR(ISBLANK(A2217),ISBLANK(B2217),ISBLANK(H2217),ISBLANK(D2217),ISBLANK(E2217)),"Missing Value",
  D2217&lt;=0,"Review – Out of Range (Coverage)",
  E2217&lt;=0,"Review – Out of Range (Premium)",
  TRUE,"OK"
)</f>
        <v>OK</v>
      </c>
    </row>
    <row r="2218" spans="1:10" ht="16.8" x14ac:dyDescent="0.3">
      <c r="A2218" s="11" t="s">
        <v>5880</v>
      </c>
      <c r="B2218" s="11" t="s">
        <v>1293</v>
      </c>
      <c r="C2218" s="11" t="s">
        <v>3371</v>
      </c>
      <c r="D2218" s="11">
        <v>394130.04</v>
      </c>
      <c r="E2218" s="11">
        <v>23217.52</v>
      </c>
      <c r="F2218" s="12">
        <v>45030</v>
      </c>
      <c r="G2218" s="12">
        <v>45129</v>
      </c>
      <c r="H2218" s="11" t="s">
        <v>4732</v>
      </c>
      <c r="I2218" s="11" t="s">
        <v>3361</v>
      </c>
      <c r="J2218" s="13" t="str" cm="1">
        <f t="array" ref="J2218">_xlfn.IFS(
  OR(ISBLANK(A2218),ISBLANK(B2218),ISBLANK(H2218),ISBLANK(D2218),ISBLANK(E2218)),"Missing Value",
  D2218&lt;=0,"Review – Out of Range (Coverage)",
  E2218&lt;=0,"Review – Out of Range (Premium)",
  TRUE,"OK"
)</f>
        <v>OK</v>
      </c>
    </row>
    <row r="2219" spans="1:10" ht="16.8" x14ac:dyDescent="0.3">
      <c r="A2219" s="14" t="s">
        <v>5881</v>
      </c>
      <c r="B2219" s="14" t="s">
        <v>1725</v>
      </c>
      <c r="C2219" s="14" t="s">
        <v>3371</v>
      </c>
      <c r="D2219" s="14">
        <v>477525.09</v>
      </c>
      <c r="E2219" s="14">
        <v>36394.71</v>
      </c>
      <c r="F2219" s="15">
        <v>45327</v>
      </c>
      <c r="G2219" s="15">
        <v>45541</v>
      </c>
      <c r="H2219" s="14" t="s">
        <v>3794</v>
      </c>
      <c r="I2219" s="14" t="s">
        <v>3361</v>
      </c>
      <c r="J2219" s="13" t="str" cm="1">
        <f t="array" ref="J2219">_xlfn.IFS(
  OR(ISBLANK(A2219),ISBLANK(B2219),ISBLANK(H2219),ISBLANK(D2219),ISBLANK(E2219)),"Missing Value",
  D2219&lt;=0,"Review – Out of Range (Coverage)",
  E2219&lt;=0,"Review – Out of Range (Premium)",
  TRUE,"OK"
)</f>
        <v>OK</v>
      </c>
    </row>
    <row r="2220" spans="1:10" ht="16.8" x14ac:dyDescent="0.3">
      <c r="A2220" s="11" t="s">
        <v>5882</v>
      </c>
      <c r="B2220" s="11" t="s">
        <v>288</v>
      </c>
      <c r="C2220" s="11" t="s">
        <v>3363</v>
      </c>
      <c r="D2220" s="11">
        <v>265020.34000000003</v>
      </c>
      <c r="E2220" s="11">
        <v>43417.98</v>
      </c>
      <c r="F2220" s="12">
        <v>44711</v>
      </c>
      <c r="G2220" s="12">
        <v>45130</v>
      </c>
      <c r="H2220" s="11" t="s">
        <v>3859</v>
      </c>
      <c r="I2220" s="11" t="s">
        <v>3361</v>
      </c>
      <c r="J2220" s="13" t="str" cm="1">
        <f t="array" ref="J2220">_xlfn.IFS(
  OR(ISBLANK(A2220),ISBLANK(B2220),ISBLANK(H2220),ISBLANK(D2220),ISBLANK(E2220)),"Missing Value",
  D2220&lt;=0,"Review – Out of Range (Coverage)",
  E2220&lt;=0,"Review – Out of Range (Premium)",
  TRUE,"OK"
)</f>
        <v>OK</v>
      </c>
    </row>
    <row r="2221" spans="1:10" ht="16.8" x14ac:dyDescent="0.3">
      <c r="A2221" s="14" t="s">
        <v>5883</v>
      </c>
      <c r="B2221" s="14" t="s">
        <v>1321</v>
      </c>
      <c r="C2221" s="14" t="s">
        <v>3371</v>
      </c>
      <c r="D2221" s="14">
        <v>842818.57</v>
      </c>
      <c r="E2221" s="14">
        <v>31168.75</v>
      </c>
      <c r="F2221" s="15">
        <v>44978</v>
      </c>
      <c r="G2221" s="15">
        <v>45439</v>
      </c>
      <c r="H2221" s="14" t="s">
        <v>3486</v>
      </c>
      <c r="I2221" s="14" t="s">
        <v>3373</v>
      </c>
      <c r="J2221" s="13" t="str" cm="1">
        <f t="array" ref="J2221">_xlfn.IFS(
  OR(ISBLANK(A2221),ISBLANK(B2221),ISBLANK(H2221),ISBLANK(D2221),ISBLANK(E2221)),"Missing Value",
  D2221&lt;=0,"Review – Out of Range (Coverage)",
  E2221&lt;=0,"Review – Out of Range (Premium)",
  TRUE,"OK"
)</f>
        <v>OK</v>
      </c>
    </row>
    <row r="2222" spans="1:10" ht="16.8" x14ac:dyDescent="0.3">
      <c r="A2222" s="11" t="s">
        <v>5884</v>
      </c>
      <c r="B2222" s="11" t="s">
        <v>1533</v>
      </c>
      <c r="C2222" s="11" t="s">
        <v>3380</v>
      </c>
      <c r="D2222" s="11">
        <v>476553.37</v>
      </c>
      <c r="E2222" s="11">
        <v>10932.16</v>
      </c>
      <c r="F2222" s="12">
        <v>45059</v>
      </c>
      <c r="G2222" s="12">
        <v>45836</v>
      </c>
      <c r="H2222" s="11" t="s">
        <v>3617</v>
      </c>
      <c r="I2222" s="11" t="s">
        <v>3373</v>
      </c>
      <c r="J2222" s="13" t="str" cm="1">
        <f t="array" ref="J2222">_xlfn.IFS(
  OR(ISBLANK(A2222),ISBLANK(B2222),ISBLANK(H2222),ISBLANK(D2222),ISBLANK(E2222)),"Missing Value",
  D2222&lt;=0,"Review – Out of Range (Coverage)",
  E2222&lt;=0,"Review – Out of Range (Premium)",
  TRUE,"OK"
)</f>
        <v>OK</v>
      </c>
    </row>
    <row r="2223" spans="1:10" ht="16.8" x14ac:dyDescent="0.3">
      <c r="A2223" s="14" t="s">
        <v>5885</v>
      </c>
      <c r="B2223" s="14" t="s">
        <v>362</v>
      </c>
      <c r="C2223" s="14" t="s">
        <v>3359</v>
      </c>
      <c r="D2223" s="14">
        <v>220447.16</v>
      </c>
      <c r="E2223" s="14">
        <v>16720.5</v>
      </c>
      <c r="F2223" s="15">
        <v>45365</v>
      </c>
      <c r="G2223" s="15">
        <v>45488</v>
      </c>
      <c r="H2223" s="14" t="s">
        <v>3440</v>
      </c>
      <c r="I2223" s="14" t="s">
        <v>3373</v>
      </c>
      <c r="J2223" s="13" t="str" cm="1">
        <f t="array" ref="J2223">_xlfn.IFS(
  OR(ISBLANK(A2223),ISBLANK(B2223),ISBLANK(H2223),ISBLANK(D2223),ISBLANK(E2223)),"Missing Value",
  D2223&lt;=0,"Review – Out of Range (Coverage)",
  E2223&lt;=0,"Review – Out of Range (Premium)",
  TRUE,"OK"
)</f>
        <v>OK</v>
      </c>
    </row>
    <row r="2224" spans="1:10" ht="16.8" x14ac:dyDescent="0.3">
      <c r="A2224" s="11" t="s">
        <v>5886</v>
      </c>
      <c r="B2224" s="11" t="s">
        <v>3272</v>
      </c>
      <c r="C2224" s="11" t="s">
        <v>3363</v>
      </c>
      <c r="D2224" s="11">
        <v>812439.59</v>
      </c>
      <c r="E2224" s="11">
        <v>35834.47</v>
      </c>
      <c r="F2224" s="12">
        <v>44637</v>
      </c>
      <c r="G2224" s="12">
        <v>45251</v>
      </c>
      <c r="H2224" s="11" t="s">
        <v>3698</v>
      </c>
      <c r="I2224" s="11" t="s">
        <v>3361</v>
      </c>
      <c r="J2224" s="13" t="str" cm="1">
        <f t="array" ref="J2224">_xlfn.IFS(
  OR(ISBLANK(A2224),ISBLANK(B2224),ISBLANK(H2224),ISBLANK(D2224),ISBLANK(E2224)),"Missing Value",
  D2224&lt;=0,"Review – Out of Range (Coverage)",
  E2224&lt;=0,"Review – Out of Range (Premium)",
  TRUE,"OK"
)</f>
        <v>OK</v>
      </c>
    </row>
    <row r="2225" spans="1:10" ht="16.8" x14ac:dyDescent="0.3">
      <c r="A2225" s="14" t="s">
        <v>5887</v>
      </c>
      <c r="B2225" s="14" t="s">
        <v>1719</v>
      </c>
      <c r="C2225" s="14" t="s">
        <v>3363</v>
      </c>
      <c r="D2225" s="14">
        <v>294630.88</v>
      </c>
      <c r="E2225" s="14">
        <v>30829.61</v>
      </c>
      <c r="F2225" s="15">
        <v>44751</v>
      </c>
      <c r="G2225" s="15">
        <v>44824</v>
      </c>
      <c r="H2225" s="14" t="s">
        <v>3503</v>
      </c>
      <c r="I2225" s="14" t="s">
        <v>3361</v>
      </c>
      <c r="J2225" s="13" t="str" cm="1">
        <f t="array" ref="J2225">_xlfn.IFS(
  OR(ISBLANK(A2225),ISBLANK(B2225),ISBLANK(H2225),ISBLANK(D2225),ISBLANK(E2225)),"Missing Value",
  D2225&lt;=0,"Review – Out of Range (Coverage)",
  E2225&lt;=0,"Review – Out of Range (Premium)",
  TRUE,"OK"
)</f>
        <v>OK</v>
      </c>
    </row>
    <row r="2226" spans="1:10" ht="16.8" x14ac:dyDescent="0.3">
      <c r="A2226" s="11" t="s">
        <v>5888</v>
      </c>
      <c r="B2226" s="11" t="s">
        <v>2123</v>
      </c>
      <c r="C2226" s="11" t="s">
        <v>3380</v>
      </c>
      <c r="D2226" s="11">
        <v>288569.77</v>
      </c>
      <c r="E2226" s="11">
        <v>24717.96</v>
      </c>
      <c r="F2226" s="12">
        <v>44102</v>
      </c>
      <c r="G2226" s="12">
        <v>45516</v>
      </c>
      <c r="H2226" s="11" t="s">
        <v>3928</v>
      </c>
      <c r="I2226" s="11" t="s">
        <v>3365</v>
      </c>
      <c r="J2226" s="13" t="str" cm="1">
        <f t="array" ref="J2226">_xlfn.IFS(
  OR(ISBLANK(A2226),ISBLANK(B2226),ISBLANK(H2226),ISBLANK(D2226),ISBLANK(E2226)),"Missing Value",
  D2226&lt;=0,"Review – Out of Range (Coverage)",
  E2226&lt;=0,"Review – Out of Range (Premium)",
  TRUE,"OK"
)</f>
        <v>OK</v>
      </c>
    </row>
    <row r="2227" spans="1:10" ht="16.8" x14ac:dyDescent="0.3">
      <c r="A2227" s="14" t="s">
        <v>5889</v>
      </c>
      <c r="B2227" s="14" t="s">
        <v>1755</v>
      </c>
      <c r="C2227" s="14" t="s">
        <v>3377</v>
      </c>
      <c r="D2227" s="14">
        <v>679983.22</v>
      </c>
      <c r="E2227" s="14">
        <v>23289.56</v>
      </c>
      <c r="F2227" s="15">
        <v>44627</v>
      </c>
      <c r="G2227" s="15">
        <v>45420</v>
      </c>
      <c r="H2227" s="14" t="s">
        <v>3432</v>
      </c>
      <c r="I2227" s="14" t="s">
        <v>3361</v>
      </c>
      <c r="J2227" s="13" t="str" cm="1">
        <f t="array" ref="J2227">_xlfn.IFS(
  OR(ISBLANK(A2227),ISBLANK(B2227),ISBLANK(H2227),ISBLANK(D2227),ISBLANK(E2227)),"Missing Value",
  D2227&lt;=0,"Review – Out of Range (Coverage)",
  E2227&lt;=0,"Review – Out of Range (Premium)",
  TRUE,"OK"
)</f>
        <v>OK</v>
      </c>
    </row>
    <row r="2228" spans="1:10" ht="16.8" x14ac:dyDescent="0.3">
      <c r="A2228" s="11" t="s">
        <v>5890</v>
      </c>
      <c r="B2228" s="11" t="s">
        <v>1283</v>
      </c>
      <c r="C2228" s="11" t="s">
        <v>3380</v>
      </c>
      <c r="D2228" s="11">
        <v>491989.26</v>
      </c>
      <c r="E2228" s="11">
        <v>3626.2</v>
      </c>
      <c r="F2228" s="12">
        <v>44211</v>
      </c>
      <c r="G2228" s="12">
        <v>44260</v>
      </c>
      <c r="H2228" s="11" t="s">
        <v>3728</v>
      </c>
      <c r="I2228" s="11" t="s">
        <v>3365</v>
      </c>
      <c r="J2228" s="13" t="str" cm="1">
        <f t="array" ref="J2228">_xlfn.IFS(
  OR(ISBLANK(A2228),ISBLANK(B2228),ISBLANK(H2228),ISBLANK(D2228),ISBLANK(E2228)),"Missing Value",
  D2228&lt;=0,"Review – Out of Range (Coverage)",
  E2228&lt;=0,"Review – Out of Range (Premium)",
  TRUE,"OK"
)</f>
        <v>OK</v>
      </c>
    </row>
    <row r="2229" spans="1:10" ht="16.8" x14ac:dyDescent="0.3">
      <c r="A2229" s="14" t="s">
        <v>5891</v>
      </c>
      <c r="B2229" s="14" t="s">
        <v>1913</v>
      </c>
      <c r="C2229" s="14" t="s">
        <v>3359</v>
      </c>
      <c r="D2229" s="14">
        <v>594868.46</v>
      </c>
      <c r="E2229" s="14">
        <v>47282.66</v>
      </c>
      <c r="F2229" s="15">
        <v>44661</v>
      </c>
      <c r="G2229" s="15">
        <v>44710</v>
      </c>
      <c r="H2229" s="14" t="s">
        <v>4143</v>
      </c>
      <c r="I2229" s="14" t="s">
        <v>3361</v>
      </c>
      <c r="J2229" s="13" t="str" cm="1">
        <f t="array" ref="J2229">_xlfn.IFS(
  OR(ISBLANK(A2229),ISBLANK(B2229),ISBLANK(H2229),ISBLANK(D2229),ISBLANK(E2229)),"Missing Value",
  D2229&lt;=0,"Review – Out of Range (Coverage)",
  E2229&lt;=0,"Review – Out of Range (Premium)",
  TRUE,"OK"
)</f>
        <v>OK</v>
      </c>
    </row>
    <row r="2230" spans="1:10" ht="16.8" x14ac:dyDescent="0.3">
      <c r="A2230" s="11" t="s">
        <v>5892</v>
      </c>
      <c r="B2230" s="11" t="s">
        <v>1323</v>
      </c>
      <c r="C2230" s="11" t="s">
        <v>3359</v>
      </c>
      <c r="D2230" s="11">
        <v>887288.76</v>
      </c>
      <c r="E2230" s="11">
        <v>29720.83</v>
      </c>
      <c r="F2230" s="12">
        <v>44089</v>
      </c>
      <c r="G2230" s="12">
        <v>44896</v>
      </c>
      <c r="H2230" s="11" t="s">
        <v>4151</v>
      </c>
      <c r="I2230" s="11" t="s">
        <v>3361</v>
      </c>
      <c r="J2230" s="13" t="str" cm="1">
        <f t="array" ref="J2230">_xlfn.IFS(
  OR(ISBLANK(A2230),ISBLANK(B2230),ISBLANK(H2230),ISBLANK(D2230),ISBLANK(E2230)),"Missing Value",
  D2230&lt;=0,"Review – Out of Range (Coverage)",
  E2230&lt;=0,"Review – Out of Range (Premium)",
  TRUE,"OK"
)</f>
        <v>OK</v>
      </c>
    </row>
    <row r="2231" spans="1:10" ht="16.8" x14ac:dyDescent="0.3">
      <c r="A2231" s="14" t="s">
        <v>5893</v>
      </c>
      <c r="B2231" s="14" t="s">
        <v>2491</v>
      </c>
      <c r="C2231" s="14" t="s">
        <v>3359</v>
      </c>
      <c r="D2231" s="14">
        <v>864233.59</v>
      </c>
      <c r="E2231" s="14">
        <v>18450.84</v>
      </c>
      <c r="F2231" s="15">
        <v>44336</v>
      </c>
      <c r="G2231" s="15">
        <v>45157</v>
      </c>
      <c r="H2231" s="14" t="s">
        <v>4247</v>
      </c>
      <c r="I2231" s="14" t="s">
        <v>3361</v>
      </c>
      <c r="J2231" s="13" t="str" cm="1">
        <f t="array" ref="J2231">_xlfn.IFS(
  OR(ISBLANK(A2231),ISBLANK(B2231),ISBLANK(H2231),ISBLANK(D2231),ISBLANK(E2231)),"Missing Value",
  D2231&lt;=0,"Review – Out of Range (Coverage)",
  E2231&lt;=0,"Review – Out of Range (Premium)",
  TRUE,"OK"
)</f>
        <v>OK</v>
      </c>
    </row>
    <row r="2232" spans="1:10" ht="16.8" x14ac:dyDescent="0.3">
      <c r="A2232" s="11" t="s">
        <v>5894</v>
      </c>
      <c r="B2232" s="11" t="s">
        <v>1351</v>
      </c>
      <c r="C2232" s="11" t="s">
        <v>3377</v>
      </c>
      <c r="D2232" s="11">
        <v>282817.56</v>
      </c>
      <c r="E2232" s="11">
        <v>43226.7</v>
      </c>
      <c r="F2232" s="12">
        <v>45104</v>
      </c>
      <c r="G2232" s="12">
        <v>45493</v>
      </c>
      <c r="H2232" s="11" t="s">
        <v>3787</v>
      </c>
      <c r="I2232" s="11" t="s">
        <v>3361</v>
      </c>
      <c r="J2232" s="13" t="str" cm="1">
        <f t="array" ref="J2232">_xlfn.IFS(
  OR(ISBLANK(A2232),ISBLANK(B2232),ISBLANK(H2232),ISBLANK(D2232),ISBLANK(E2232)),"Missing Value",
  D2232&lt;=0,"Review – Out of Range (Coverage)",
  E2232&lt;=0,"Review – Out of Range (Premium)",
  TRUE,"OK"
)</f>
        <v>OK</v>
      </c>
    </row>
    <row r="2233" spans="1:10" ht="16.8" x14ac:dyDescent="0.3">
      <c r="A2233" s="14" t="s">
        <v>5895</v>
      </c>
      <c r="B2233" s="14" t="s">
        <v>2735</v>
      </c>
      <c r="C2233" s="14" t="s">
        <v>3359</v>
      </c>
      <c r="D2233" s="14">
        <v>935953.18</v>
      </c>
      <c r="E2233" s="14">
        <v>4001.39</v>
      </c>
      <c r="F2233" s="15">
        <v>44550</v>
      </c>
      <c r="G2233" s="15">
        <v>44829</v>
      </c>
      <c r="H2233" s="14" t="s">
        <v>3595</v>
      </c>
      <c r="I2233" s="14" t="s">
        <v>3361</v>
      </c>
      <c r="J2233" s="13" t="str" cm="1">
        <f t="array" ref="J2233">_xlfn.IFS(
  OR(ISBLANK(A2233),ISBLANK(B2233),ISBLANK(H2233),ISBLANK(D2233),ISBLANK(E2233)),"Missing Value",
  D2233&lt;=0,"Review – Out of Range (Coverage)",
  E2233&lt;=0,"Review – Out of Range (Premium)",
  TRUE,"OK"
)</f>
        <v>OK</v>
      </c>
    </row>
    <row r="2234" spans="1:10" ht="16.8" x14ac:dyDescent="0.3">
      <c r="A2234" s="11" t="s">
        <v>5896</v>
      </c>
      <c r="B2234" s="11" t="s">
        <v>527</v>
      </c>
      <c r="C2234" s="11" t="s">
        <v>3380</v>
      </c>
      <c r="D2234" s="11">
        <v>273824.06</v>
      </c>
      <c r="E2234" s="11">
        <v>28256.55</v>
      </c>
      <c r="F2234" s="12">
        <v>45395</v>
      </c>
      <c r="G2234" s="12">
        <v>45549</v>
      </c>
      <c r="H2234" s="11" t="s">
        <v>3834</v>
      </c>
      <c r="I2234" s="11" t="s">
        <v>3373</v>
      </c>
      <c r="J2234" s="13" t="str" cm="1">
        <f t="array" ref="J2234">_xlfn.IFS(
  OR(ISBLANK(A2234),ISBLANK(B2234),ISBLANK(H2234),ISBLANK(D2234),ISBLANK(E2234)),"Missing Value",
  D2234&lt;=0,"Review – Out of Range (Coverage)",
  E2234&lt;=0,"Review – Out of Range (Premium)",
  TRUE,"OK"
)</f>
        <v>OK</v>
      </c>
    </row>
    <row r="2235" spans="1:10" ht="16.8" x14ac:dyDescent="0.3">
      <c r="A2235" s="14" t="s">
        <v>5897</v>
      </c>
      <c r="B2235" s="14" t="s">
        <v>3186</v>
      </c>
      <c r="C2235" s="14" t="s">
        <v>3359</v>
      </c>
      <c r="D2235" s="14">
        <v>722772.4</v>
      </c>
      <c r="E2235" s="14">
        <v>18055.89</v>
      </c>
      <c r="F2235" s="15">
        <v>44453</v>
      </c>
      <c r="G2235" s="15">
        <v>45410</v>
      </c>
      <c r="H2235" s="14" t="s">
        <v>4098</v>
      </c>
      <c r="I2235" s="14" t="s">
        <v>3365</v>
      </c>
      <c r="J2235" s="13" t="str" cm="1">
        <f t="array" ref="J2235">_xlfn.IFS(
  OR(ISBLANK(A2235),ISBLANK(B2235),ISBLANK(H2235),ISBLANK(D2235),ISBLANK(E2235)),"Missing Value",
  D2235&lt;=0,"Review – Out of Range (Coverage)",
  E2235&lt;=0,"Review – Out of Range (Premium)",
  TRUE,"OK"
)</f>
        <v>OK</v>
      </c>
    </row>
    <row r="2236" spans="1:10" ht="16.8" x14ac:dyDescent="0.3">
      <c r="A2236" s="11" t="s">
        <v>5898</v>
      </c>
      <c r="B2236" s="11" t="s">
        <v>1369</v>
      </c>
      <c r="C2236" s="11" t="s">
        <v>3380</v>
      </c>
      <c r="D2236" s="11">
        <v>581519.15</v>
      </c>
      <c r="E2236" s="11">
        <v>41291.760000000002</v>
      </c>
      <c r="F2236" s="12">
        <v>45305</v>
      </c>
      <c r="G2236" s="12">
        <v>45795</v>
      </c>
      <c r="H2236" s="11" t="s">
        <v>3718</v>
      </c>
      <c r="I2236" s="11" t="s">
        <v>3373</v>
      </c>
      <c r="J2236" s="13" t="str" cm="1">
        <f t="array" ref="J2236">_xlfn.IFS(
  OR(ISBLANK(A2236),ISBLANK(B2236),ISBLANK(H2236),ISBLANK(D2236),ISBLANK(E2236)),"Missing Value",
  D2236&lt;=0,"Review – Out of Range (Coverage)",
  E2236&lt;=0,"Review – Out of Range (Premium)",
  TRUE,"OK"
)</f>
        <v>OK</v>
      </c>
    </row>
    <row r="2237" spans="1:10" ht="16.8" x14ac:dyDescent="0.3">
      <c r="A2237" s="14" t="s">
        <v>5899</v>
      </c>
      <c r="B2237" s="14" t="s">
        <v>2763</v>
      </c>
      <c r="C2237" s="14" t="s">
        <v>3380</v>
      </c>
      <c r="D2237" s="14">
        <v>284894.63</v>
      </c>
      <c r="E2237" s="14">
        <v>48019.74</v>
      </c>
      <c r="F2237" s="15">
        <v>44943</v>
      </c>
      <c r="G2237" s="15">
        <v>45384</v>
      </c>
      <c r="H2237" s="14" t="s">
        <v>3530</v>
      </c>
      <c r="I2237" s="14" t="s">
        <v>3373</v>
      </c>
      <c r="J2237" s="13" t="str" cm="1">
        <f t="array" ref="J2237">_xlfn.IFS(
  OR(ISBLANK(A2237),ISBLANK(B2237),ISBLANK(H2237),ISBLANK(D2237),ISBLANK(E2237)),"Missing Value",
  D2237&lt;=0,"Review – Out of Range (Coverage)",
  E2237&lt;=0,"Review – Out of Range (Premium)",
  TRUE,"OK"
)</f>
        <v>OK</v>
      </c>
    </row>
    <row r="2238" spans="1:10" ht="16.8" x14ac:dyDescent="0.3">
      <c r="A2238" s="11" t="s">
        <v>5900</v>
      </c>
      <c r="B2238" s="11" t="s">
        <v>188</v>
      </c>
      <c r="C2238" s="11" t="s">
        <v>3380</v>
      </c>
      <c r="D2238" s="11">
        <v>968106.89</v>
      </c>
      <c r="E2238" s="11">
        <v>27108.94</v>
      </c>
      <c r="F2238" s="12">
        <v>44788</v>
      </c>
      <c r="G2238" s="12">
        <v>45449</v>
      </c>
      <c r="H2238" s="11" t="s">
        <v>3569</v>
      </c>
      <c r="I2238" s="11" t="s">
        <v>3373</v>
      </c>
      <c r="J2238" s="13" t="str" cm="1">
        <f t="array" ref="J2238">_xlfn.IFS(
  OR(ISBLANK(A2238),ISBLANK(B2238),ISBLANK(H2238),ISBLANK(D2238),ISBLANK(E2238)),"Missing Value",
  D2238&lt;=0,"Review – Out of Range (Coverage)",
  E2238&lt;=0,"Review – Out of Range (Premium)",
  TRUE,"OK"
)</f>
        <v>OK</v>
      </c>
    </row>
    <row r="2239" spans="1:10" ht="16.8" x14ac:dyDescent="0.3">
      <c r="A2239" s="14" t="s">
        <v>5901</v>
      </c>
      <c r="B2239" s="14" t="s">
        <v>2545</v>
      </c>
      <c r="C2239" s="14" t="s">
        <v>3363</v>
      </c>
      <c r="D2239" s="14">
        <v>672180.77</v>
      </c>
      <c r="E2239" s="14">
        <v>41354.06</v>
      </c>
      <c r="F2239" s="15">
        <v>44313</v>
      </c>
      <c r="G2239" s="15">
        <v>45657</v>
      </c>
      <c r="H2239" s="14" t="s">
        <v>3591</v>
      </c>
      <c r="I2239" s="14" t="s">
        <v>3361</v>
      </c>
      <c r="J2239" s="13" t="str" cm="1">
        <f t="array" ref="J2239">_xlfn.IFS(
  OR(ISBLANK(A2239),ISBLANK(B2239),ISBLANK(H2239),ISBLANK(D2239),ISBLANK(E2239)),"Missing Value",
  D2239&lt;=0,"Review – Out of Range (Coverage)",
  E2239&lt;=0,"Review – Out of Range (Premium)",
  TRUE,"OK"
)</f>
        <v>OK</v>
      </c>
    </row>
    <row r="2240" spans="1:10" ht="16.8" x14ac:dyDescent="0.3">
      <c r="A2240" s="11" t="s">
        <v>5902</v>
      </c>
      <c r="B2240" s="11" t="s">
        <v>1125</v>
      </c>
      <c r="C2240" s="11" t="s">
        <v>3371</v>
      </c>
      <c r="D2240" s="11">
        <v>819978.35</v>
      </c>
      <c r="E2240" s="11">
        <v>13794.69</v>
      </c>
      <c r="F2240" s="12">
        <v>44395</v>
      </c>
      <c r="G2240" s="12">
        <v>45787</v>
      </c>
      <c r="H2240" s="11" t="s">
        <v>3781</v>
      </c>
      <c r="I2240" s="11" t="s">
        <v>3373</v>
      </c>
      <c r="J2240" s="13" t="str" cm="1">
        <f t="array" ref="J2240">_xlfn.IFS(
  OR(ISBLANK(A2240),ISBLANK(B2240),ISBLANK(H2240),ISBLANK(D2240),ISBLANK(E2240)),"Missing Value",
  D2240&lt;=0,"Review – Out of Range (Coverage)",
  E2240&lt;=0,"Review – Out of Range (Premium)",
  TRUE,"OK"
)</f>
        <v>OK</v>
      </c>
    </row>
    <row r="2241" spans="1:10" ht="16.8" x14ac:dyDescent="0.3">
      <c r="A2241" s="14" t="s">
        <v>5903</v>
      </c>
      <c r="B2241" s="14" t="s">
        <v>252</v>
      </c>
      <c r="C2241" s="14" t="s">
        <v>3380</v>
      </c>
      <c r="D2241" s="14">
        <v>375147.91</v>
      </c>
      <c r="E2241" s="14">
        <v>30423.66</v>
      </c>
      <c r="F2241" s="15">
        <v>44662</v>
      </c>
      <c r="G2241" s="15">
        <v>45556</v>
      </c>
      <c r="H2241" s="14" t="s">
        <v>4249</v>
      </c>
      <c r="I2241" s="14" t="s">
        <v>3361</v>
      </c>
      <c r="J2241" s="13" t="str" cm="1">
        <f t="array" ref="J2241">_xlfn.IFS(
  OR(ISBLANK(A2241),ISBLANK(B2241),ISBLANK(H2241),ISBLANK(D2241),ISBLANK(E2241)),"Missing Value",
  D2241&lt;=0,"Review – Out of Range (Coverage)",
  E2241&lt;=0,"Review – Out of Range (Premium)",
  TRUE,"OK"
)</f>
        <v>OK</v>
      </c>
    </row>
    <row r="2242" spans="1:10" ht="16.8" x14ac:dyDescent="0.3">
      <c r="A2242" s="11" t="s">
        <v>5904</v>
      </c>
      <c r="B2242" s="11" t="s">
        <v>128</v>
      </c>
      <c r="C2242" s="11" t="s">
        <v>3363</v>
      </c>
      <c r="D2242" s="11">
        <v>517429.33</v>
      </c>
      <c r="E2242" s="11">
        <v>30227.17</v>
      </c>
      <c r="F2242" s="12">
        <v>45247</v>
      </c>
      <c r="G2242" s="12">
        <v>45832</v>
      </c>
      <c r="H2242" s="11" t="s">
        <v>3725</v>
      </c>
      <c r="I2242" s="11" t="s">
        <v>3373</v>
      </c>
      <c r="J2242" s="13" t="str" cm="1">
        <f t="array" ref="J2242">_xlfn.IFS(
  OR(ISBLANK(A2242),ISBLANK(B2242),ISBLANK(H2242),ISBLANK(D2242),ISBLANK(E2242)),"Missing Value",
  D2242&lt;=0,"Review – Out of Range (Coverage)",
  E2242&lt;=0,"Review – Out of Range (Premium)",
  TRUE,"OK"
)</f>
        <v>OK</v>
      </c>
    </row>
    <row r="2243" spans="1:10" ht="16.8" x14ac:dyDescent="0.3">
      <c r="A2243" s="14" t="s">
        <v>5905</v>
      </c>
      <c r="B2243" s="14" t="s">
        <v>1293</v>
      </c>
      <c r="C2243" s="14" t="s">
        <v>3377</v>
      </c>
      <c r="D2243" s="14">
        <v>920411.93</v>
      </c>
      <c r="E2243" s="14">
        <v>29369.27</v>
      </c>
      <c r="F2243" s="15">
        <v>45489</v>
      </c>
      <c r="G2243" s="15">
        <v>45822</v>
      </c>
      <c r="H2243" s="14" t="s">
        <v>3792</v>
      </c>
      <c r="I2243" s="14" t="s">
        <v>3373</v>
      </c>
      <c r="J2243" s="13" t="str" cm="1">
        <f t="array" ref="J2243">_xlfn.IFS(
  OR(ISBLANK(A2243),ISBLANK(B2243),ISBLANK(H2243),ISBLANK(D2243),ISBLANK(E2243)),"Missing Value",
  D2243&lt;=0,"Review – Out of Range (Coverage)",
  E2243&lt;=0,"Review – Out of Range (Premium)",
  TRUE,"OK"
)</f>
        <v>OK</v>
      </c>
    </row>
    <row r="2244" spans="1:10" ht="16.8" x14ac:dyDescent="0.3">
      <c r="A2244" s="11" t="s">
        <v>5906</v>
      </c>
      <c r="B2244" s="11" t="s">
        <v>2591</v>
      </c>
      <c r="C2244" s="11" t="s">
        <v>3380</v>
      </c>
      <c r="D2244" s="11">
        <v>412393.7</v>
      </c>
      <c r="E2244" s="11">
        <v>21950.09</v>
      </c>
      <c r="F2244" s="12">
        <v>44841</v>
      </c>
      <c r="G2244" s="12">
        <v>45515</v>
      </c>
      <c r="H2244" s="11" t="s">
        <v>3955</v>
      </c>
      <c r="I2244" s="11" t="s">
        <v>3373</v>
      </c>
      <c r="J2244" s="13" t="str" cm="1">
        <f t="array" ref="J2244">_xlfn.IFS(
  OR(ISBLANK(A2244),ISBLANK(B2244),ISBLANK(H2244),ISBLANK(D2244),ISBLANK(E2244)),"Missing Value",
  D2244&lt;=0,"Review – Out of Range (Coverage)",
  E2244&lt;=0,"Review – Out of Range (Premium)",
  TRUE,"OK"
)</f>
        <v>OK</v>
      </c>
    </row>
    <row r="2245" spans="1:10" ht="16.8" x14ac:dyDescent="0.3">
      <c r="A2245" s="14" t="s">
        <v>5907</v>
      </c>
      <c r="B2245" s="14" t="s">
        <v>949</v>
      </c>
      <c r="C2245" s="14" t="s">
        <v>3359</v>
      </c>
      <c r="D2245" s="14">
        <v>412283.16</v>
      </c>
      <c r="E2245" s="14">
        <v>40697.43</v>
      </c>
      <c r="F2245" s="15">
        <v>45353</v>
      </c>
      <c r="G2245" s="15">
        <v>45862</v>
      </c>
      <c r="H2245" s="14" t="s">
        <v>3401</v>
      </c>
      <c r="I2245" s="14" t="s">
        <v>3365</v>
      </c>
      <c r="J2245" s="13" t="str" cm="1">
        <f t="array" ref="J2245">_xlfn.IFS(
  OR(ISBLANK(A2245),ISBLANK(B2245),ISBLANK(H2245),ISBLANK(D2245),ISBLANK(E2245)),"Missing Value",
  D2245&lt;=0,"Review – Out of Range (Coverage)",
  E2245&lt;=0,"Review – Out of Range (Premium)",
  TRUE,"OK"
)</f>
        <v>OK</v>
      </c>
    </row>
    <row r="2246" spans="1:10" ht="16.8" x14ac:dyDescent="0.3">
      <c r="A2246" s="11" t="s">
        <v>5908</v>
      </c>
      <c r="B2246" s="11" t="s">
        <v>693</v>
      </c>
      <c r="C2246" s="11" t="s">
        <v>3371</v>
      </c>
      <c r="D2246" s="11">
        <v>539412.42000000004</v>
      </c>
      <c r="E2246" s="11">
        <v>30930.33</v>
      </c>
      <c r="F2246" s="12">
        <v>44895</v>
      </c>
      <c r="G2246" s="12">
        <v>44918</v>
      </c>
      <c r="H2246" s="11" t="s">
        <v>3560</v>
      </c>
      <c r="I2246" s="11" t="s">
        <v>3361</v>
      </c>
      <c r="J2246" s="13" t="str" cm="1">
        <f t="array" ref="J2246">_xlfn.IFS(
  OR(ISBLANK(A2246),ISBLANK(B2246),ISBLANK(H2246),ISBLANK(D2246),ISBLANK(E2246)),"Missing Value",
  D2246&lt;=0,"Review – Out of Range (Coverage)",
  E2246&lt;=0,"Review – Out of Range (Premium)",
  TRUE,"OK"
)</f>
        <v>OK</v>
      </c>
    </row>
    <row r="2247" spans="1:10" ht="16.8" x14ac:dyDescent="0.3">
      <c r="A2247" s="14" t="s">
        <v>5909</v>
      </c>
      <c r="B2247" s="14" t="s">
        <v>150</v>
      </c>
      <c r="C2247" s="14" t="s">
        <v>3380</v>
      </c>
      <c r="D2247" s="14">
        <v>464947.6</v>
      </c>
      <c r="E2247" s="14">
        <v>22547.89</v>
      </c>
      <c r="F2247" s="15">
        <v>45491</v>
      </c>
      <c r="G2247" s="15">
        <v>45853</v>
      </c>
      <c r="H2247" s="14" t="s">
        <v>3473</v>
      </c>
      <c r="I2247" s="14" t="s">
        <v>3361</v>
      </c>
      <c r="J2247" s="13" t="str" cm="1">
        <f t="array" ref="J2247">_xlfn.IFS(
  OR(ISBLANK(A2247),ISBLANK(B2247),ISBLANK(H2247),ISBLANK(D2247),ISBLANK(E2247)),"Missing Value",
  D2247&lt;=0,"Review – Out of Range (Coverage)",
  E2247&lt;=0,"Review – Out of Range (Premium)",
  TRUE,"OK"
)</f>
        <v>OK</v>
      </c>
    </row>
    <row r="2248" spans="1:10" ht="16.8" x14ac:dyDescent="0.3">
      <c r="A2248" s="11" t="s">
        <v>5910</v>
      </c>
      <c r="B2248" s="11" t="s">
        <v>1073</v>
      </c>
      <c r="C2248" s="11" t="s">
        <v>3380</v>
      </c>
      <c r="D2248" s="11">
        <v>552601.34</v>
      </c>
      <c r="E2248" s="11">
        <v>19350.79</v>
      </c>
      <c r="F2248" s="12">
        <v>44580</v>
      </c>
      <c r="G2248" s="12">
        <v>44586</v>
      </c>
      <c r="H2248" s="11" t="s">
        <v>3405</v>
      </c>
      <c r="I2248" s="11" t="s">
        <v>3365</v>
      </c>
      <c r="J2248" s="13" t="str" cm="1">
        <f t="array" ref="J2248">_xlfn.IFS(
  OR(ISBLANK(A2248),ISBLANK(B2248),ISBLANK(H2248),ISBLANK(D2248),ISBLANK(E2248)),"Missing Value",
  D2248&lt;=0,"Review – Out of Range (Coverage)",
  E2248&lt;=0,"Review – Out of Range (Premium)",
  TRUE,"OK"
)</f>
        <v>OK</v>
      </c>
    </row>
    <row r="2249" spans="1:10" ht="16.8" x14ac:dyDescent="0.3">
      <c r="A2249" s="14" t="s">
        <v>5911</v>
      </c>
      <c r="B2249" s="14" t="s">
        <v>3152</v>
      </c>
      <c r="C2249" s="14" t="s">
        <v>3371</v>
      </c>
      <c r="D2249" s="14">
        <v>670064.06000000006</v>
      </c>
      <c r="E2249" s="14">
        <v>36286.6</v>
      </c>
      <c r="F2249" s="15">
        <v>45079</v>
      </c>
      <c r="G2249" s="15">
        <v>45347</v>
      </c>
      <c r="H2249" s="14" t="s">
        <v>4378</v>
      </c>
      <c r="I2249" s="14" t="s">
        <v>3365</v>
      </c>
      <c r="J2249" s="13" t="str" cm="1">
        <f t="array" ref="J2249">_xlfn.IFS(
  OR(ISBLANK(A2249),ISBLANK(B2249),ISBLANK(H2249),ISBLANK(D2249),ISBLANK(E2249)),"Missing Value",
  D2249&lt;=0,"Review – Out of Range (Coverage)",
  E2249&lt;=0,"Review – Out of Range (Premium)",
  TRUE,"OK"
)</f>
        <v>OK</v>
      </c>
    </row>
    <row r="2250" spans="1:10" ht="16.8" x14ac:dyDescent="0.3">
      <c r="A2250" s="11" t="s">
        <v>5912</v>
      </c>
      <c r="B2250" s="11" t="s">
        <v>2923</v>
      </c>
      <c r="C2250" s="11" t="s">
        <v>3377</v>
      </c>
      <c r="D2250" s="11">
        <v>128750.2</v>
      </c>
      <c r="E2250" s="11">
        <v>34628.339999999997</v>
      </c>
      <c r="F2250" s="12">
        <v>44655</v>
      </c>
      <c r="G2250" s="12">
        <v>45410</v>
      </c>
      <c r="H2250" s="11" t="s">
        <v>3364</v>
      </c>
      <c r="I2250" s="11" t="s">
        <v>3361</v>
      </c>
      <c r="J2250" s="13" t="str" cm="1">
        <f t="array" ref="J2250">_xlfn.IFS(
  OR(ISBLANK(A2250),ISBLANK(B2250),ISBLANK(H2250),ISBLANK(D2250),ISBLANK(E2250)),"Missing Value",
  D2250&lt;=0,"Review – Out of Range (Coverage)",
  E2250&lt;=0,"Review – Out of Range (Premium)",
  TRUE,"OK"
)</f>
        <v>OK</v>
      </c>
    </row>
    <row r="2251" spans="1:10" ht="16.8" x14ac:dyDescent="0.3">
      <c r="A2251" s="14" t="s">
        <v>5913</v>
      </c>
      <c r="B2251" s="14" t="s">
        <v>144</v>
      </c>
      <c r="C2251" s="14" t="s">
        <v>3363</v>
      </c>
      <c r="D2251" s="14">
        <v>269027.68</v>
      </c>
      <c r="E2251" s="14">
        <v>12901.4</v>
      </c>
      <c r="F2251" s="15">
        <v>44985</v>
      </c>
      <c r="G2251" s="15">
        <v>45775</v>
      </c>
      <c r="H2251" s="14" t="s">
        <v>3530</v>
      </c>
      <c r="I2251" s="14" t="s">
        <v>3365</v>
      </c>
      <c r="J2251" s="13" t="str" cm="1">
        <f t="array" ref="J2251">_xlfn.IFS(
  OR(ISBLANK(A2251),ISBLANK(B2251),ISBLANK(H2251),ISBLANK(D2251),ISBLANK(E2251)),"Missing Value",
  D2251&lt;=0,"Review – Out of Range (Coverage)",
  E2251&lt;=0,"Review – Out of Range (Premium)",
  TRUE,"OK"
)</f>
        <v>OK</v>
      </c>
    </row>
    <row r="2252" spans="1:10" ht="16.8" x14ac:dyDescent="0.3">
      <c r="A2252" s="11" t="s">
        <v>5914</v>
      </c>
      <c r="B2252" s="11" t="s">
        <v>2455</v>
      </c>
      <c r="C2252" s="11" t="s">
        <v>3359</v>
      </c>
      <c r="D2252" s="11">
        <v>773916.94</v>
      </c>
      <c r="E2252" s="11">
        <v>12735.61</v>
      </c>
      <c r="F2252" s="12">
        <v>44923</v>
      </c>
      <c r="G2252" s="12">
        <v>45485</v>
      </c>
      <c r="H2252" s="11" t="s">
        <v>3660</v>
      </c>
      <c r="I2252" s="11" t="s">
        <v>3373</v>
      </c>
      <c r="J2252" s="13" t="str" cm="1">
        <f t="array" ref="J2252">_xlfn.IFS(
  OR(ISBLANK(A2252),ISBLANK(B2252),ISBLANK(H2252),ISBLANK(D2252),ISBLANK(E2252)),"Missing Value",
  D2252&lt;=0,"Review – Out of Range (Coverage)",
  E2252&lt;=0,"Review – Out of Range (Premium)",
  TRUE,"OK"
)</f>
        <v>OK</v>
      </c>
    </row>
    <row r="2253" spans="1:10" ht="16.8" x14ac:dyDescent="0.3">
      <c r="A2253" s="14" t="s">
        <v>5915</v>
      </c>
      <c r="B2253" s="14" t="s">
        <v>671</v>
      </c>
      <c r="C2253" s="14" t="s">
        <v>3363</v>
      </c>
      <c r="D2253" s="14">
        <v>385512.42</v>
      </c>
      <c r="E2253" s="14">
        <v>9385.16</v>
      </c>
      <c r="F2253" s="15">
        <v>44946</v>
      </c>
      <c r="G2253" s="15">
        <v>45295</v>
      </c>
      <c r="H2253" s="14" t="s">
        <v>3538</v>
      </c>
      <c r="I2253" s="14" t="s">
        <v>3373</v>
      </c>
      <c r="J2253" s="13" t="str" cm="1">
        <f t="array" ref="J2253">_xlfn.IFS(
  OR(ISBLANK(A2253),ISBLANK(B2253),ISBLANK(H2253),ISBLANK(D2253),ISBLANK(E2253)),"Missing Value",
  D2253&lt;=0,"Review – Out of Range (Coverage)",
  E2253&lt;=0,"Review – Out of Range (Premium)",
  TRUE,"OK"
)</f>
        <v>OK</v>
      </c>
    </row>
    <row r="2254" spans="1:10" ht="16.8" x14ac:dyDescent="0.3">
      <c r="A2254" s="11" t="s">
        <v>5916</v>
      </c>
      <c r="B2254" s="11" t="s">
        <v>2255</v>
      </c>
      <c r="C2254" s="11" t="s">
        <v>3363</v>
      </c>
      <c r="D2254" s="11">
        <v>450241.27</v>
      </c>
      <c r="E2254" s="11">
        <v>30733</v>
      </c>
      <c r="F2254" s="12">
        <v>44356</v>
      </c>
      <c r="G2254" s="12">
        <v>45802</v>
      </c>
      <c r="H2254" s="11" t="s">
        <v>3662</v>
      </c>
      <c r="I2254" s="11" t="s">
        <v>3365</v>
      </c>
      <c r="J2254" s="13" t="str" cm="1">
        <f t="array" ref="J2254">_xlfn.IFS(
  OR(ISBLANK(A2254),ISBLANK(B2254),ISBLANK(H2254),ISBLANK(D2254),ISBLANK(E2254)),"Missing Value",
  D2254&lt;=0,"Review – Out of Range (Coverage)",
  E2254&lt;=0,"Review – Out of Range (Premium)",
  TRUE,"OK"
)</f>
        <v>OK</v>
      </c>
    </row>
    <row r="2255" spans="1:10" ht="16.8" x14ac:dyDescent="0.3">
      <c r="A2255" s="14" t="s">
        <v>5917</v>
      </c>
      <c r="B2255" s="14" t="s">
        <v>2909</v>
      </c>
      <c r="C2255" s="14" t="s">
        <v>3363</v>
      </c>
      <c r="D2255" s="14">
        <v>192902.45</v>
      </c>
      <c r="E2255" s="14">
        <v>25767.06</v>
      </c>
      <c r="F2255" s="15">
        <v>45238</v>
      </c>
      <c r="G2255" s="15">
        <v>45341</v>
      </c>
      <c r="H2255" s="14" t="s">
        <v>3754</v>
      </c>
      <c r="I2255" s="14" t="s">
        <v>3365</v>
      </c>
      <c r="J2255" s="13" t="str" cm="1">
        <f t="array" ref="J2255">_xlfn.IFS(
  OR(ISBLANK(A2255),ISBLANK(B2255),ISBLANK(H2255),ISBLANK(D2255),ISBLANK(E2255)),"Missing Value",
  D2255&lt;=0,"Review – Out of Range (Coverage)",
  E2255&lt;=0,"Review – Out of Range (Premium)",
  TRUE,"OK"
)</f>
        <v>OK</v>
      </c>
    </row>
    <row r="2256" spans="1:10" ht="16.8" x14ac:dyDescent="0.3">
      <c r="A2256" s="11" t="s">
        <v>5918</v>
      </c>
      <c r="B2256" s="11" t="s">
        <v>402</v>
      </c>
      <c r="C2256" s="11" t="s">
        <v>3380</v>
      </c>
      <c r="D2256" s="11">
        <v>316944.90000000002</v>
      </c>
      <c r="E2256" s="11">
        <v>49820.08</v>
      </c>
      <c r="F2256" s="12">
        <v>44620</v>
      </c>
      <c r="G2256" s="12">
        <v>44949</v>
      </c>
      <c r="H2256" s="11" t="s">
        <v>3375</v>
      </c>
      <c r="I2256" s="11" t="s">
        <v>3365</v>
      </c>
      <c r="J2256" s="13" t="str" cm="1">
        <f t="array" ref="J2256">_xlfn.IFS(
  OR(ISBLANK(A2256),ISBLANK(B2256),ISBLANK(H2256),ISBLANK(D2256),ISBLANK(E2256)),"Missing Value",
  D2256&lt;=0,"Review – Out of Range (Coverage)",
  E2256&lt;=0,"Review – Out of Range (Premium)",
  TRUE,"OK"
)</f>
        <v>OK</v>
      </c>
    </row>
    <row r="2257" spans="1:10" ht="16.8" x14ac:dyDescent="0.3">
      <c r="A2257" s="14" t="s">
        <v>5919</v>
      </c>
      <c r="B2257" s="14" t="s">
        <v>1723</v>
      </c>
      <c r="C2257" s="14" t="s">
        <v>3363</v>
      </c>
      <c r="D2257" s="14">
        <v>768642.32</v>
      </c>
      <c r="E2257" s="14">
        <v>30504.76</v>
      </c>
      <c r="F2257" s="15">
        <v>44680</v>
      </c>
      <c r="G2257" s="15">
        <v>45440</v>
      </c>
      <c r="H2257" s="14" t="s">
        <v>3456</v>
      </c>
      <c r="I2257" s="14" t="s">
        <v>3361</v>
      </c>
      <c r="J2257" s="13" t="str" cm="1">
        <f t="array" ref="J2257">_xlfn.IFS(
  OR(ISBLANK(A2257),ISBLANK(B2257),ISBLANK(H2257),ISBLANK(D2257),ISBLANK(E2257)),"Missing Value",
  D2257&lt;=0,"Review – Out of Range (Coverage)",
  E2257&lt;=0,"Review – Out of Range (Premium)",
  TRUE,"OK"
)</f>
        <v>OK</v>
      </c>
    </row>
    <row r="2258" spans="1:10" ht="16.8" x14ac:dyDescent="0.3">
      <c r="A2258" s="11" t="s">
        <v>5920</v>
      </c>
      <c r="B2258" s="11" t="s">
        <v>3086</v>
      </c>
      <c r="C2258" s="11" t="s">
        <v>3363</v>
      </c>
      <c r="D2258" s="11">
        <v>333799.71999999997</v>
      </c>
      <c r="E2258" s="11">
        <v>40271.64</v>
      </c>
      <c r="F2258" s="12">
        <v>44208</v>
      </c>
      <c r="G2258" s="12">
        <v>44792</v>
      </c>
      <c r="H2258" s="11" t="s">
        <v>3538</v>
      </c>
      <c r="I2258" s="11" t="s">
        <v>3361</v>
      </c>
      <c r="J2258" s="13" t="str" cm="1">
        <f t="array" ref="J2258">_xlfn.IFS(
  OR(ISBLANK(A2258),ISBLANK(B2258),ISBLANK(H2258),ISBLANK(D2258),ISBLANK(E2258)),"Missing Value",
  D2258&lt;=0,"Review – Out of Range (Coverage)",
  E2258&lt;=0,"Review – Out of Range (Premium)",
  TRUE,"OK"
)</f>
        <v>OK</v>
      </c>
    </row>
    <row r="2259" spans="1:10" ht="16.8" x14ac:dyDescent="0.3">
      <c r="A2259" s="14" t="s">
        <v>5921</v>
      </c>
      <c r="B2259" s="14" t="s">
        <v>2807</v>
      </c>
      <c r="C2259" s="14" t="s">
        <v>3371</v>
      </c>
      <c r="D2259" s="14">
        <v>169667.23</v>
      </c>
      <c r="E2259" s="14">
        <v>27781.07</v>
      </c>
      <c r="F2259" s="15">
        <v>45213</v>
      </c>
      <c r="G2259" s="15">
        <v>45760</v>
      </c>
      <c r="H2259" s="14" t="s">
        <v>3401</v>
      </c>
      <c r="I2259" s="14" t="s">
        <v>3365</v>
      </c>
      <c r="J2259" s="13" t="str" cm="1">
        <f t="array" ref="J2259">_xlfn.IFS(
  OR(ISBLANK(A2259),ISBLANK(B2259),ISBLANK(H2259),ISBLANK(D2259),ISBLANK(E2259)),"Missing Value",
  D2259&lt;=0,"Review – Out of Range (Coverage)",
  E2259&lt;=0,"Review – Out of Range (Premium)",
  TRUE,"OK"
)</f>
        <v>OK</v>
      </c>
    </row>
    <row r="2260" spans="1:10" ht="16.8" x14ac:dyDescent="0.3">
      <c r="A2260" s="11" t="s">
        <v>5922</v>
      </c>
      <c r="B2260" s="11" t="s">
        <v>861</v>
      </c>
      <c r="C2260" s="11" t="s">
        <v>3363</v>
      </c>
      <c r="D2260" s="11">
        <v>149503.62</v>
      </c>
      <c r="E2260" s="11">
        <v>16851.189999999999</v>
      </c>
      <c r="F2260" s="12">
        <v>45212</v>
      </c>
      <c r="G2260" s="12">
        <v>45657</v>
      </c>
      <c r="H2260" s="11" t="s">
        <v>3526</v>
      </c>
      <c r="I2260" s="11" t="s">
        <v>3373</v>
      </c>
      <c r="J2260" s="13" t="str" cm="1">
        <f t="array" ref="J2260">_xlfn.IFS(
  OR(ISBLANK(A2260),ISBLANK(B2260),ISBLANK(H2260),ISBLANK(D2260),ISBLANK(E2260)),"Missing Value",
  D2260&lt;=0,"Review – Out of Range (Coverage)",
  E2260&lt;=0,"Review – Out of Range (Premium)",
  TRUE,"OK"
)</f>
        <v>OK</v>
      </c>
    </row>
    <row r="2261" spans="1:10" ht="16.8" x14ac:dyDescent="0.3">
      <c r="A2261" s="14" t="s">
        <v>5923</v>
      </c>
      <c r="B2261" s="14" t="s">
        <v>2157</v>
      </c>
      <c r="C2261" s="14" t="s">
        <v>3363</v>
      </c>
      <c r="D2261" s="14">
        <v>432453.69</v>
      </c>
      <c r="E2261" s="14">
        <v>40325.89</v>
      </c>
      <c r="F2261" s="15">
        <v>44954</v>
      </c>
      <c r="G2261" s="15">
        <v>45279</v>
      </c>
      <c r="H2261" s="14" t="s">
        <v>3403</v>
      </c>
      <c r="I2261" s="14" t="s">
        <v>3361</v>
      </c>
      <c r="J2261" s="13" t="str" cm="1">
        <f t="array" ref="J2261">_xlfn.IFS(
  OR(ISBLANK(A2261),ISBLANK(B2261),ISBLANK(H2261),ISBLANK(D2261),ISBLANK(E2261)),"Missing Value",
  D2261&lt;=0,"Review – Out of Range (Coverage)",
  E2261&lt;=0,"Review – Out of Range (Premium)",
  TRUE,"OK"
)</f>
        <v>OK</v>
      </c>
    </row>
    <row r="2262" spans="1:10" ht="16.8" x14ac:dyDescent="0.3">
      <c r="A2262" s="11" t="s">
        <v>5924</v>
      </c>
      <c r="B2262" s="11" t="s">
        <v>438</v>
      </c>
      <c r="C2262" s="11" t="s">
        <v>3377</v>
      </c>
      <c r="D2262" s="11">
        <v>348360.39</v>
      </c>
      <c r="E2262" s="11">
        <v>5546.36</v>
      </c>
      <c r="F2262" s="12">
        <v>45421</v>
      </c>
      <c r="G2262" s="12">
        <v>45483</v>
      </c>
      <c r="H2262" s="11" t="s">
        <v>3536</v>
      </c>
      <c r="I2262" s="11" t="s">
        <v>3365</v>
      </c>
      <c r="J2262" s="13" t="str" cm="1">
        <f t="array" ref="J2262">_xlfn.IFS(
  OR(ISBLANK(A2262),ISBLANK(B2262),ISBLANK(H2262),ISBLANK(D2262),ISBLANK(E2262)),"Missing Value",
  D2262&lt;=0,"Review – Out of Range (Coverage)",
  E2262&lt;=0,"Review – Out of Range (Premium)",
  TRUE,"OK"
)</f>
        <v>OK</v>
      </c>
    </row>
    <row r="2263" spans="1:10" ht="16.8" x14ac:dyDescent="0.3">
      <c r="A2263" s="14" t="s">
        <v>5925</v>
      </c>
      <c r="B2263" s="14" t="s">
        <v>2925</v>
      </c>
      <c r="C2263" s="14" t="s">
        <v>3377</v>
      </c>
      <c r="D2263" s="14">
        <v>687788.5</v>
      </c>
      <c r="E2263" s="14">
        <v>12590.84</v>
      </c>
      <c r="F2263" s="15">
        <v>45285</v>
      </c>
      <c r="G2263" s="15">
        <v>45825</v>
      </c>
      <c r="H2263" s="14" t="s">
        <v>3787</v>
      </c>
      <c r="I2263" s="14" t="s">
        <v>3365</v>
      </c>
      <c r="J2263" s="13" t="str" cm="1">
        <f t="array" ref="J2263">_xlfn.IFS(
  OR(ISBLANK(A2263),ISBLANK(B2263),ISBLANK(H2263),ISBLANK(D2263),ISBLANK(E2263)),"Missing Value",
  D2263&lt;=0,"Review – Out of Range (Coverage)",
  E2263&lt;=0,"Review – Out of Range (Premium)",
  TRUE,"OK"
)</f>
        <v>OK</v>
      </c>
    </row>
    <row r="2264" spans="1:10" ht="16.8" x14ac:dyDescent="0.3">
      <c r="A2264" s="11" t="s">
        <v>5926</v>
      </c>
      <c r="B2264" s="11" t="s">
        <v>2253</v>
      </c>
      <c r="C2264" s="11" t="s">
        <v>3380</v>
      </c>
      <c r="D2264" s="11">
        <v>326373.90999999997</v>
      </c>
      <c r="E2264" s="11">
        <v>30454.43</v>
      </c>
      <c r="F2264" s="12">
        <v>44476</v>
      </c>
      <c r="G2264" s="12">
        <v>45689</v>
      </c>
      <c r="H2264" s="11" t="s">
        <v>3378</v>
      </c>
      <c r="I2264" s="11" t="s">
        <v>3373</v>
      </c>
      <c r="J2264" s="13" t="str" cm="1">
        <f t="array" ref="J2264">_xlfn.IFS(
  OR(ISBLANK(A2264),ISBLANK(B2264),ISBLANK(H2264),ISBLANK(D2264),ISBLANK(E2264)),"Missing Value",
  D2264&lt;=0,"Review – Out of Range (Coverage)",
  E2264&lt;=0,"Review – Out of Range (Premium)",
  TRUE,"OK"
)</f>
        <v>OK</v>
      </c>
    </row>
    <row r="2265" spans="1:10" ht="16.8" x14ac:dyDescent="0.3">
      <c r="A2265" s="14" t="s">
        <v>5927</v>
      </c>
      <c r="B2265" s="14" t="s">
        <v>1665</v>
      </c>
      <c r="C2265" s="14" t="s">
        <v>3380</v>
      </c>
      <c r="D2265" s="14">
        <v>470110.7</v>
      </c>
      <c r="E2265" s="14">
        <v>26833.89</v>
      </c>
      <c r="F2265" s="15">
        <v>45179</v>
      </c>
      <c r="G2265" s="15">
        <v>45201</v>
      </c>
      <c r="H2265" s="14" t="s">
        <v>3526</v>
      </c>
      <c r="I2265" s="14" t="s">
        <v>3361</v>
      </c>
      <c r="J2265" s="13" t="str" cm="1">
        <f t="array" ref="J2265">_xlfn.IFS(
  OR(ISBLANK(A2265),ISBLANK(B2265),ISBLANK(H2265),ISBLANK(D2265),ISBLANK(E2265)),"Missing Value",
  D2265&lt;=0,"Review – Out of Range (Coverage)",
  E2265&lt;=0,"Review – Out of Range (Premium)",
  TRUE,"OK"
)</f>
        <v>OK</v>
      </c>
    </row>
    <row r="2266" spans="1:10" ht="16.8" x14ac:dyDescent="0.3">
      <c r="A2266" s="11" t="s">
        <v>5928</v>
      </c>
      <c r="B2266" s="11" t="s">
        <v>2499</v>
      </c>
      <c r="C2266" s="11" t="s">
        <v>3359</v>
      </c>
      <c r="D2266" s="11">
        <v>376004.81</v>
      </c>
      <c r="E2266" s="11">
        <v>27599.24</v>
      </c>
      <c r="F2266" s="12">
        <v>45365</v>
      </c>
      <c r="G2266" s="12">
        <v>45537</v>
      </c>
      <c r="H2266" s="11" t="s">
        <v>4003</v>
      </c>
      <c r="I2266" s="11" t="s">
        <v>3373</v>
      </c>
      <c r="J2266" s="13" t="str" cm="1">
        <f t="array" ref="J2266">_xlfn.IFS(
  OR(ISBLANK(A2266),ISBLANK(B2266),ISBLANK(H2266),ISBLANK(D2266),ISBLANK(E2266)),"Missing Value",
  D2266&lt;=0,"Review – Out of Range (Coverage)",
  E2266&lt;=0,"Review – Out of Range (Premium)",
  TRUE,"OK"
)</f>
        <v>OK</v>
      </c>
    </row>
    <row r="2267" spans="1:10" ht="16.8" x14ac:dyDescent="0.3">
      <c r="A2267" s="14" t="s">
        <v>5929</v>
      </c>
      <c r="B2267" s="14" t="s">
        <v>2489</v>
      </c>
      <c r="C2267" s="14" t="s">
        <v>3363</v>
      </c>
      <c r="D2267" s="14">
        <v>846718.69</v>
      </c>
      <c r="E2267" s="14">
        <v>24511.68</v>
      </c>
      <c r="F2267" s="15">
        <v>44354</v>
      </c>
      <c r="G2267" s="15">
        <v>45133</v>
      </c>
      <c r="H2267" s="14" t="s">
        <v>3624</v>
      </c>
      <c r="I2267" s="14" t="s">
        <v>3365</v>
      </c>
      <c r="J2267" s="13" t="str" cm="1">
        <f t="array" ref="J2267">_xlfn.IFS(
  OR(ISBLANK(A2267),ISBLANK(B2267),ISBLANK(H2267),ISBLANK(D2267),ISBLANK(E2267)),"Missing Value",
  D2267&lt;=0,"Review – Out of Range (Coverage)",
  E2267&lt;=0,"Review – Out of Range (Premium)",
  TRUE,"OK"
)</f>
        <v>OK</v>
      </c>
    </row>
    <row r="2268" spans="1:10" ht="16.8" x14ac:dyDescent="0.3">
      <c r="A2268" s="11" t="s">
        <v>5930</v>
      </c>
      <c r="B2268" s="11" t="s">
        <v>1803</v>
      </c>
      <c r="C2268" s="11" t="s">
        <v>3377</v>
      </c>
      <c r="D2268" s="11">
        <v>383062.32</v>
      </c>
      <c r="E2268" s="11">
        <v>12461.6</v>
      </c>
      <c r="F2268" s="12">
        <v>44894</v>
      </c>
      <c r="G2268" s="12">
        <v>45403</v>
      </c>
      <c r="H2268" s="11" t="s">
        <v>3427</v>
      </c>
      <c r="I2268" s="11" t="s">
        <v>3373</v>
      </c>
      <c r="J2268" s="13" t="str" cm="1">
        <f t="array" ref="J2268">_xlfn.IFS(
  OR(ISBLANK(A2268),ISBLANK(B2268),ISBLANK(H2268),ISBLANK(D2268),ISBLANK(E2268)),"Missing Value",
  D2268&lt;=0,"Review – Out of Range (Coverage)",
  E2268&lt;=0,"Review – Out of Range (Premium)",
  TRUE,"OK"
)</f>
        <v>OK</v>
      </c>
    </row>
    <row r="2269" spans="1:10" ht="16.8" x14ac:dyDescent="0.3">
      <c r="A2269" s="14" t="s">
        <v>5931</v>
      </c>
      <c r="B2269" s="14" t="s">
        <v>649</v>
      </c>
      <c r="C2269" s="14" t="s">
        <v>3377</v>
      </c>
      <c r="D2269" s="14">
        <v>675071.24</v>
      </c>
      <c r="E2269" s="14">
        <v>47786.080000000002</v>
      </c>
      <c r="F2269" s="15">
        <v>45130</v>
      </c>
      <c r="G2269" s="15">
        <v>45328</v>
      </c>
      <c r="H2269" s="14" t="s">
        <v>3581</v>
      </c>
      <c r="I2269" s="14" t="s">
        <v>3361</v>
      </c>
      <c r="J2269" s="13" t="str" cm="1">
        <f t="array" ref="J2269">_xlfn.IFS(
  OR(ISBLANK(A2269),ISBLANK(B2269),ISBLANK(H2269),ISBLANK(D2269),ISBLANK(E2269)),"Missing Value",
  D2269&lt;=0,"Review – Out of Range (Coverage)",
  E2269&lt;=0,"Review – Out of Range (Premium)",
  TRUE,"OK"
)</f>
        <v>OK</v>
      </c>
    </row>
    <row r="2270" spans="1:10" ht="16.8" x14ac:dyDescent="0.3">
      <c r="A2270" s="11" t="s">
        <v>5932</v>
      </c>
      <c r="B2270" s="11" t="s">
        <v>1265</v>
      </c>
      <c r="C2270" s="11" t="s">
        <v>3380</v>
      </c>
      <c r="D2270" s="11">
        <v>175158.3</v>
      </c>
      <c r="E2270" s="11">
        <v>47436.13</v>
      </c>
      <c r="F2270" s="12">
        <v>45084</v>
      </c>
      <c r="G2270" s="12">
        <v>45581</v>
      </c>
      <c r="H2270" s="11" t="s">
        <v>4154</v>
      </c>
      <c r="I2270" s="11" t="s">
        <v>3373</v>
      </c>
      <c r="J2270" s="13" t="str" cm="1">
        <f t="array" ref="J2270">_xlfn.IFS(
  OR(ISBLANK(A2270),ISBLANK(B2270),ISBLANK(H2270),ISBLANK(D2270),ISBLANK(E2270)),"Missing Value",
  D2270&lt;=0,"Review – Out of Range (Coverage)",
  E2270&lt;=0,"Review – Out of Range (Premium)",
  TRUE,"OK"
)</f>
        <v>OK</v>
      </c>
    </row>
    <row r="2271" spans="1:10" ht="16.8" x14ac:dyDescent="0.3">
      <c r="A2271" s="14" t="s">
        <v>5933</v>
      </c>
      <c r="B2271" s="14" t="s">
        <v>1395</v>
      </c>
      <c r="C2271" s="14" t="s">
        <v>3380</v>
      </c>
      <c r="D2271" s="14">
        <v>987001.4</v>
      </c>
      <c r="E2271" s="14">
        <v>48164.63</v>
      </c>
      <c r="F2271" s="15">
        <v>44515</v>
      </c>
      <c r="G2271" s="15">
        <v>45224</v>
      </c>
      <c r="H2271" s="14" t="s">
        <v>3955</v>
      </c>
      <c r="I2271" s="14" t="s">
        <v>3365</v>
      </c>
      <c r="J2271" s="13" t="str" cm="1">
        <f t="array" ref="J2271">_xlfn.IFS(
  OR(ISBLANK(A2271),ISBLANK(B2271),ISBLANK(H2271),ISBLANK(D2271),ISBLANK(E2271)),"Missing Value",
  D2271&lt;=0,"Review – Out of Range (Coverage)",
  E2271&lt;=0,"Review – Out of Range (Premium)",
  TRUE,"OK"
)</f>
        <v>OK</v>
      </c>
    </row>
    <row r="2272" spans="1:10" ht="16.8" x14ac:dyDescent="0.3">
      <c r="A2272" s="11" t="s">
        <v>5934</v>
      </c>
      <c r="B2272" s="11" t="s">
        <v>2605</v>
      </c>
      <c r="C2272" s="11" t="s">
        <v>3359</v>
      </c>
      <c r="D2272" s="11">
        <v>397786.31</v>
      </c>
      <c r="E2272" s="11">
        <v>20997.94</v>
      </c>
      <c r="F2272" s="12">
        <v>44819</v>
      </c>
      <c r="G2272" s="12">
        <v>45326</v>
      </c>
      <c r="H2272" s="11" t="s">
        <v>3923</v>
      </c>
      <c r="I2272" s="11" t="s">
        <v>3365</v>
      </c>
      <c r="J2272" s="13" t="str" cm="1">
        <f t="array" ref="J2272">_xlfn.IFS(
  OR(ISBLANK(A2272),ISBLANK(B2272),ISBLANK(H2272),ISBLANK(D2272),ISBLANK(E2272)),"Missing Value",
  D2272&lt;=0,"Review – Out of Range (Coverage)",
  E2272&lt;=0,"Review – Out of Range (Premium)",
  TRUE,"OK"
)</f>
        <v>OK</v>
      </c>
    </row>
    <row r="2273" spans="1:10" ht="16.8" x14ac:dyDescent="0.3">
      <c r="A2273" s="14" t="s">
        <v>5935</v>
      </c>
      <c r="B2273" s="14" t="s">
        <v>3274</v>
      </c>
      <c r="C2273" s="14" t="s">
        <v>3380</v>
      </c>
      <c r="D2273" s="14">
        <v>215382.73</v>
      </c>
      <c r="E2273" s="14">
        <v>46494.47</v>
      </c>
      <c r="F2273" s="15">
        <v>45292</v>
      </c>
      <c r="G2273" s="15">
        <v>45399</v>
      </c>
      <c r="H2273" s="14" t="s">
        <v>3603</v>
      </c>
      <c r="I2273" s="14" t="s">
        <v>3365</v>
      </c>
      <c r="J2273" s="13" t="str" cm="1">
        <f t="array" ref="J2273">_xlfn.IFS(
  OR(ISBLANK(A2273),ISBLANK(B2273),ISBLANK(H2273),ISBLANK(D2273),ISBLANK(E2273)),"Missing Value",
  D2273&lt;=0,"Review – Out of Range (Coverage)",
  E2273&lt;=0,"Review – Out of Range (Premium)",
  TRUE,"OK"
)</f>
        <v>OK</v>
      </c>
    </row>
    <row r="2274" spans="1:10" ht="16.8" x14ac:dyDescent="0.3">
      <c r="A2274" s="11" t="s">
        <v>5936</v>
      </c>
      <c r="B2274" s="11" t="s">
        <v>1209</v>
      </c>
      <c r="C2274" s="11" t="s">
        <v>3359</v>
      </c>
      <c r="D2274" s="11">
        <v>697679.45</v>
      </c>
      <c r="E2274" s="11">
        <v>26781.97</v>
      </c>
      <c r="F2274" s="12">
        <v>45398</v>
      </c>
      <c r="G2274" s="12">
        <v>45795</v>
      </c>
      <c r="H2274" s="11" t="s">
        <v>3677</v>
      </c>
      <c r="I2274" s="11" t="s">
        <v>3365</v>
      </c>
      <c r="J2274" s="13" t="str" cm="1">
        <f t="array" ref="J2274">_xlfn.IFS(
  OR(ISBLANK(A2274),ISBLANK(B2274),ISBLANK(H2274),ISBLANK(D2274),ISBLANK(E2274)),"Missing Value",
  D2274&lt;=0,"Review – Out of Range (Coverage)",
  E2274&lt;=0,"Review – Out of Range (Premium)",
  TRUE,"OK"
)</f>
        <v>OK</v>
      </c>
    </row>
    <row r="2275" spans="1:10" ht="16.8" x14ac:dyDescent="0.3">
      <c r="A2275" s="14" t="s">
        <v>5937</v>
      </c>
      <c r="B2275" s="14" t="s">
        <v>1301</v>
      </c>
      <c r="C2275" s="14" t="s">
        <v>3377</v>
      </c>
      <c r="D2275" s="14">
        <v>748646.15</v>
      </c>
      <c r="E2275" s="14">
        <v>44366.62</v>
      </c>
      <c r="F2275" s="15">
        <v>44894</v>
      </c>
      <c r="G2275" s="15">
        <v>45736</v>
      </c>
      <c r="H2275" s="14" t="s">
        <v>3923</v>
      </c>
      <c r="I2275" s="14" t="s">
        <v>3373</v>
      </c>
      <c r="J2275" s="13" t="str" cm="1">
        <f t="array" ref="J2275">_xlfn.IFS(
  OR(ISBLANK(A2275),ISBLANK(B2275),ISBLANK(H2275),ISBLANK(D2275),ISBLANK(E2275)),"Missing Value",
  D2275&lt;=0,"Review – Out of Range (Coverage)",
  E2275&lt;=0,"Review – Out of Range (Premium)",
  TRUE,"OK"
)</f>
        <v>OK</v>
      </c>
    </row>
    <row r="2276" spans="1:10" ht="16.8" x14ac:dyDescent="0.3">
      <c r="A2276" s="11" t="s">
        <v>5938</v>
      </c>
      <c r="B2276" s="11" t="s">
        <v>2057</v>
      </c>
      <c r="C2276" s="11" t="s">
        <v>3380</v>
      </c>
      <c r="D2276" s="11">
        <v>539219.41</v>
      </c>
      <c r="E2276" s="11">
        <v>38270.33</v>
      </c>
      <c r="F2276" s="12">
        <v>45309</v>
      </c>
      <c r="G2276" s="12">
        <v>45511</v>
      </c>
      <c r="H2276" s="11" t="s">
        <v>3482</v>
      </c>
      <c r="I2276" s="11" t="s">
        <v>3361</v>
      </c>
      <c r="J2276" s="13" t="str" cm="1">
        <f t="array" ref="J2276">_xlfn.IFS(
  OR(ISBLANK(A2276),ISBLANK(B2276),ISBLANK(H2276),ISBLANK(D2276),ISBLANK(E2276)),"Missing Value",
  D2276&lt;=0,"Review – Out of Range (Coverage)",
  E2276&lt;=0,"Review – Out of Range (Premium)",
  TRUE,"OK"
)</f>
        <v>OK</v>
      </c>
    </row>
    <row r="2277" spans="1:10" ht="16.8" x14ac:dyDescent="0.3">
      <c r="A2277" s="14" t="s">
        <v>5939</v>
      </c>
      <c r="B2277" s="14" t="s">
        <v>1207</v>
      </c>
      <c r="C2277" s="14" t="s">
        <v>3371</v>
      </c>
      <c r="D2277" s="14">
        <v>506083.57</v>
      </c>
      <c r="E2277" s="14">
        <v>46324.18</v>
      </c>
      <c r="F2277" s="15">
        <v>44719</v>
      </c>
      <c r="G2277" s="15">
        <v>45198</v>
      </c>
      <c r="H2277" s="14" t="s">
        <v>3395</v>
      </c>
      <c r="I2277" s="14" t="s">
        <v>3365</v>
      </c>
      <c r="J2277" s="13" t="str" cm="1">
        <f t="array" ref="J2277">_xlfn.IFS(
  OR(ISBLANK(A2277),ISBLANK(B2277),ISBLANK(H2277),ISBLANK(D2277),ISBLANK(E2277)),"Missing Value",
  D2277&lt;=0,"Review – Out of Range (Coverage)",
  E2277&lt;=0,"Review – Out of Range (Premium)",
  TRUE,"OK"
)</f>
        <v>OK</v>
      </c>
    </row>
    <row r="2278" spans="1:10" ht="16.8" x14ac:dyDescent="0.3">
      <c r="A2278" s="11" t="s">
        <v>5940</v>
      </c>
      <c r="B2278" s="11" t="s">
        <v>1055</v>
      </c>
      <c r="C2278" s="11" t="s">
        <v>3380</v>
      </c>
      <c r="D2278" s="11">
        <v>748885.76</v>
      </c>
      <c r="E2278" s="11">
        <v>34573.97</v>
      </c>
      <c r="F2278" s="12">
        <v>44808</v>
      </c>
      <c r="G2278" s="12">
        <v>45363</v>
      </c>
      <c r="H2278" s="11" t="s">
        <v>3894</v>
      </c>
      <c r="I2278" s="11" t="s">
        <v>3373</v>
      </c>
      <c r="J2278" s="13" t="str" cm="1">
        <f t="array" ref="J2278">_xlfn.IFS(
  OR(ISBLANK(A2278),ISBLANK(B2278),ISBLANK(H2278),ISBLANK(D2278),ISBLANK(E2278)),"Missing Value",
  D2278&lt;=0,"Review – Out of Range (Coverage)",
  E2278&lt;=0,"Review – Out of Range (Premium)",
  TRUE,"OK"
)</f>
        <v>OK</v>
      </c>
    </row>
    <row r="2279" spans="1:10" ht="16.8" x14ac:dyDescent="0.3">
      <c r="A2279" s="14" t="s">
        <v>5941</v>
      </c>
      <c r="B2279" s="14" t="s">
        <v>2421</v>
      </c>
      <c r="C2279" s="14" t="s">
        <v>3371</v>
      </c>
      <c r="D2279" s="14">
        <v>645179.64</v>
      </c>
      <c r="E2279" s="14">
        <v>20509.82</v>
      </c>
      <c r="F2279" s="15">
        <v>44531</v>
      </c>
      <c r="G2279" s="15">
        <v>44585</v>
      </c>
      <c r="H2279" s="14" t="s">
        <v>3555</v>
      </c>
      <c r="I2279" s="14" t="s">
        <v>3365</v>
      </c>
      <c r="J2279" s="13" t="str" cm="1">
        <f t="array" ref="J2279">_xlfn.IFS(
  OR(ISBLANK(A2279),ISBLANK(B2279),ISBLANK(H2279),ISBLANK(D2279),ISBLANK(E2279)),"Missing Value",
  D2279&lt;=0,"Review – Out of Range (Coverage)",
  E2279&lt;=0,"Review – Out of Range (Premium)",
  TRUE,"OK"
)</f>
        <v>OK</v>
      </c>
    </row>
    <row r="2280" spans="1:10" ht="16.8" x14ac:dyDescent="0.3">
      <c r="A2280" s="11" t="s">
        <v>5942</v>
      </c>
      <c r="B2280" s="11" t="s">
        <v>206</v>
      </c>
      <c r="C2280" s="11" t="s">
        <v>3371</v>
      </c>
      <c r="D2280" s="11">
        <v>738732.47</v>
      </c>
      <c r="E2280" s="11">
        <v>30687.24</v>
      </c>
      <c r="F2280" s="12">
        <v>44115</v>
      </c>
      <c r="G2280" s="12">
        <v>45012</v>
      </c>
      <c r="H2280" s="11" t="s">
        <v>3601</v>
      </c>
      <c r="I2280" s="11" t="s">
        <v>3365</v>
      </c>
      <c r="J2280" s="13" t="str" cm="1">
        <f t="array" ref="J2280">_xlfn.IFS(
  OR(ISBLANK(A2280),ISBLANK(B2280),ISBLANK(H2280),ISBLANK(D2280),ISBLANK(E2280)),"Missing Value",
  D2280&lt;=0,"Review – Out of Range (Coverage)",
  E2280&lt;=0,"Review – Out of Range (Premium)",
  TRUE,"OK"
)</f>
        <v>OK</v>
      </c>
    </row>
    <row r="2281" spans="1:10" ht="16.8" x14ac:dyDescent="0.3">
      <c r="A2281" s="14" t="s">
        <v>5943</v>
      </c>
      <c r="B2281" s="14" t="s">
        <v>1693</v>
      </c>
      <c r="C2281" s="14" t="s">
        <v>3359</v>
      </c>
      <c r="D2281" s="14">
        <v>657468.71</v>
      </c>
      <c r="E2281" s="14">
        <v>26614.42</v>
      </c>
      <c r="F2281" s="15">
        <v>44877</v>
      </c>
      <c r="G2281" s="15">
        <v>45595</v>
      </c>
      <c r="H2281" s="14" t="s">
        <v>3781</v>
      </c>
      <c r="I2281" s="14" t="s">
        <v>3361</v>
      </c>
      <c r="J2281" s="13" t="str" cm="1">
        <f t="array" ref="J2281">_xlfn.IFS(
  OR(ISBLANK(A2281),ISBLANK(B2281),ISBLANK(H2281),ISBLANK(D2281),ISBLANK(E2281)),"Missing Value",
  D2281&lt;=0,"Review – Out of Range (Coverage)",
  E2281&lt;=0,"Review – Out of Range (Premium)",
  TRUE,"OK"
)</f>
        <v>OK</v>
      </c>
    </row>
    <row r="2282" spans="1:10" ht="16.8" x14ac:dyDescent="0.3">
      <c r="A2282" s="11" t="s">
        <v>5944</v>
      </c>
      <c r="B2282" s="11" t="s">
        <v>2735</v>
      </c>
      <c r="C2282" s="11" t="s">
        <v>3359</v>
      </c>
      <c r="D2282" s="11">
        <v>169658.03</v>
      </c>
      <c r="E2282" s="11">
        <v>14153.26</v>
      </c>
      <c r="F2282" s="12">
        <v>45282</v>
      </c>
      <c r="G2282" s="12">
        <v>45643</v>
      </c>
      <c r="H2282" s="11" t="s">
        <v>3632</v>
      </c>
      <c r="I2282" s="11" t="s">
        <v>3361</v>
      </c>
      <c r="J2282" s="13" t="str" cm="1">
        <f t="array" ref="J2282">_xlfn.IFS(
  OR(ISBLANK(A2282),ISBLANK(B2282),ISBLANK(H2282),ISBLANK(D2282),ISBLANK(E2282)),"Missing Value",
  D2282&lt;=0,"Review – Out of Range (Coverage)",
  E2282&lt;=0,"Review – Out of Range (Premium)",
  TRUE,"OK"
)</f>
        <v>OK</v>
      </c>
    </row>
    <row r="2283" spans="1:10" ht="16.8" x14ac:dyDescent="0.3">
      <c r="A2283" s="14" t="s">
        <v>5945</v>
      </c>
      <c r="B2283" s="14" t="s">
        <v>691</v>
      </c>
      <c r="C2283" s="14" t="s">
        <v>3359</v>
      </c>
      <c r="D2283" s="14">
        <v>559751.57999999996</v>
      </c>
      <c r="E2283" s="14">
        <v>48572.27</v>
      </c>
      <c r="F2283" s="15">
        <v>45271</v>
      </c>
      <c r="G2283" s="15">
        <v>45426</v>
      </c>
      <c r="H2283" s="14" t="s">
        <v>3928</v>
      </c>
      <c r="I2283" s="14" t="s">
        <v>3365</v>
      </c>
      <c r="J2283" s="13" t="str" cm="1">
        <f t="array" ref="J2283">_xlfn.IFS(
  OR(ISBLANK(A2283),ISBLANK(B2283),ISBLANK(H2283),ISBLANK(D2283),ISBLANK(E2283)),"Missing Value",
  D2283&lt;=0,"Review – Out of Range (Coverage)",
  E2283&lt;=0,"Review – Out of Range (Premium)",
  TRUE,"OK"
)</f>
        <v>OK</v>
      </c>
    </row>
    <row r="2284" spans="1:10" ht="16.8" x14ac:dyDescent="0.3">
      <c r="A2284" s="11" t="s">
        <v>5946</v>
      </c>
      <c r="B2284" s="11" t="s">
        <v>2229</v>
      </c>
      <c r="C2284" s="11" t="s">
        <v>3359</v>
      </c>
      <c r="D2284" s="11">
        <v>947590.39</v>
      </c>
      <c r="E2284" s="11">
        <v>46199.24</v>
      </c>
      <c r="F2284" s="12">
        <v>45023</v>
      </c>
      <c r="G2284" s="12">
        <v>45307</v>
      </c>
      <c r="H2284" s="11" t="s">
        <v>4151</v>
      </c>
      <c r="I2284" s="11" t="s">
        <v>3365</v>
      </c>
      <c r="J2284" s="13" t="str" cm="1">
        <f t="array" ref="J2284">_xlfn.IFS(
  OR(ISBLANK(A2284),ISBLANK(B2284),ISBLANK(H2284),ISBLANK(D2284),ISBLANK(E2284)),"Missing Value",
  D2284&lt;=0,"Review – Out of Range (Coverage)",
  E2284&lt;=0,"Review – Out of Range (Premium)",
  TRUE,"OK"
)</f>
        <v>OK</v>
      </c>
    </row>
    <row r="2285" spans="1:10" ht="16.8" x14ac:dyDescent="0.3">
      <c r="A2285" s="14" t="s">
        <v>5947</v>
      </c>
      <c r="B2285" s="14" t="s">
        <v>1047</v>
      </c>
      <c r="C2285" s="14" t="s">
        <v>3377</v>
      </c>
      <c r="D2285" s="14">
        <v>744874.24</v>
      </c>
      <c r="E2285" s="14">
        <v>26151.94</v>
      </c>
      <c r="F2285" s="15">
        <v>45241</v>
      </c>
      <c r="G2285" s="15">
        <v>45715</v>
      </c>
      <c r="H2285" s="14" t="s">
        <v>3798</v>
      </c>
      <c r="I2285" s="14" t="s">
        <v>3365</v>
      </c>
      <c r="J2285" s="13" t="str" cm="1">
        <f t="array" ref="J2285">_xlfn.IFS(
  OR(ISBLANK(A2285),ISBLANK(B2285),ISBLANK(H2285),ISBLANK(D2285),ISBLANK(E2285)),"Missing Value",
  D2285&lt;=0,"Review – Out of Range (Coverage)",
  E2285&lt;=0,"Review – Out of Range (Premium)",
  TRUE,"OK"
)</f>
        <v>OK</v>
      </c>
    </row>
    <row r="2286" spans="1:10" ht="16.8" x14ac:dyDescent="0.3">
      <c r="A2286" s="11" t="s">
        <v>5948</v>
      </c>
      <c r="B2286" s="11" t="s">
        <v>1789</v>
      </c>
      <c r="C2286" s="11" t="s">
        <v>3363</v>
      </c>
      <c r="D2286" s="11">
        <v>817131.36</v>
      </c>
      <c r="E2286" s="11">
        <v>22442.68</v>
      </c>
      <c r="F2286" s="12">
        <v>44785</v>
      </c>
      <c r="G2286" s="12">
        <v>45088</v>
      </c>
      <c r="H2286" s="11" t="s">
        <v>3545</v>
      </c>
      <c r="I2286" s="11" t="s">
        <v>3361</v>
      </c>
      <c r="J2286" s="13" t="str" cm="1">
        <f t="array" ref="J2286">_xlfn.IFS(
  OR(ISBLANK(A2286),ISBLANK(B2286),ISBLANK(H2286),ISBLANK(D2286),ISBLANK(E2286)),"Missing Value",
  D2286&lt;=0,"Review – Out of Range (Coverage)",
  E2286&lt;=0,"Review – Out of Range (Premium)",
  TRUE,"OK"
)</f>
        <v>OK</v>
      </c>
    </row>
    <row r="2287" spans="1:10" ht="16.8" x14ac:dyDescent="0.3">
      <c r="A2287" s="14" t="s">
        <v>5949</v>
      </c>
      <c r="B2287" s="14" t="s">
        <v>3106</v>
      </c>
      <c r="C2287" s="14" t="s">
        <v>3380</v>
      </c>
      <c r="D2287" s="14">
        <v>884299</v>
      </c>
      <c r="E2287" s="14">
        <v>11131.63</v>
      </c>
      <c r="F2287" s="15">
        <v>45117</v>
      </c>
      <c r="G2287" s="15">
        <v>45777</v>
      </c>
      <c r="H2287" s="14" t="s">
        <v>3383</v>
      </c>
      <c r="I2287" s="14" t="s">
        <v>3361</v>
      </c>
      <c r="J2287" s="13" t="str" cm="1">
        <f t="array" ref="J2287">_xlfn.IFS(
  OR(ISBLANK(A2287),ISBLANK(B2287),ISBLANK(H2287),ISBLANK(D2287),ISBLANK(E2287)),"Missing Value",
  D2287&lt;=0,"Review – Out of Range (Coverage)",
  E2287&lt;=0,"Review – Out of Range (Premium)",
  TRUE,"OK"
)</f>
        <v>OK</v>
      </c>
    </row>
    <row r="2288" spans="1:10" ht="16.8" x14ac:dyDescent="0.3">
      <c r="A2288" s="11" t="s">
        <v>5950</v>
      </c>
      <c r="B2288" s="11" t="s">
        <v>294</v>
      </c>
      <c r="C2288" s="11" t="s">
        <v>3359</v>
      </c>
      <c r="D2288" s="11">
        <v>772448.7</v>
      </c>
      <c r="E2288" s="11">
        <v>7103.28</v>
      </c>
      <c r="F2288" s="12">
        <v>45271</v>
      </c>
      <c r="G2288" s="12">
        <v>45708</v>
      </c>
      <c r="H2288" s="11" t="s">
        <v>3597</v>
      </c>
      <c r="I2288" s="11" t="s">
        <v>3365</v>
      </c>
      <c r="J2288" s="13" t="str" cm="1">
        <f t="array" ref="J2288">_xlfn.IFS(
  OR(ISBLANK(A2288),ISBLANK(B2288),ISBLANK(H2288),ISBLANK(D2288),ISBLANK(E2288)),"Missing Value",
  D2288&lt;=0,"Review – Out of Range (Coverage)",
  E2288&lt;=0,"Review – Out of Range (Premium)",
  TRUE,"OK"
)</f>
        <v>OK</v>
      </c>
    </row>
    <row r="2289" spans="1:10" ht="16.8" x14ac:dyDescent="0.3">
      <c r="A2289" s="14" t="s">
        <v>5951</v>
      </c>
      <c r="B2289" s="14" t="s">
        <v>569</v>
      </c>
      <c r="C2289" s="14" t="s">
        <v>3371</v>
      </c>
      <c r="D2289" s="14">
        <v>944268.69</v>
      </c>
      <c r="E2289" s="14">
        <v>34849.19</v>
      </c>
      <c r="F2289" s="15">
        <v>44522</v>
      </c>
      <c r="G2289" s="15">
        <v>45117</v>
      </c>
      <c r="H2289" s="14" t="s">
        <v>3375</v>
      </c>
      <c r="I2289" s="14" t="s">
        <v>3373</v>
      </c>
      <c r="J2289" s="13" t="str" cm="1">
        <f t="array" ref="J2289">_xlfn.IFS(
  OR(ISBLANK(A2289),ISBLANK(B2289),ISBLANK(H2289),ISBLANK(D2289),ISBLANK(E2289)),"Missing Value",
  D2289&lt;=0,"Review – Out of Range (Coverage)",
  E2289&lt;=0,"Review – Out of Range (Premium)",
  TRUE,"OK"
)</f>
        <v>OK</v>
      </c>
    </row>
    <row r="2290" spans="1:10" ht="16.8" x14ac:dyDescent="0.3">
      <c r="A2290" s="11" t="s">
        <v>5952</v>
      </c>
      <c r="B2290" s="11" t="s">
        <v>2131</v>
      </c>
      <c r="C2290" s="11" t="s">
        <v>3359</v>
      </c>
      <c r="D2290" s="11">
        <v>273804.19</v>
      </c>
      <c r="E2290" s="11">
        <v>6110.62</v>
      </c>
      <c r="F2290" s="12">
        <v>45279</v>
      </c>
      <c r="G2290" s="12">
        <v>45627</v>
      </c>
      <c r="H2290" s="11" t="s">
        <v>4378</v>
      </c>
      <c r="I2290" s="11" t="s">
        <v>3361</v>
      </c>
      <c r="J2290" s="13" t="str" cm="1">
        <f t="array" ref="J2290">_xlfn.IFS(
  OR(ISBLANK(A2290),ISBLANK(B2290),ISBLANK(H2290),ISBLANK(D2290),ISBLANK(E2290)),"Missing Value",
  D2290&lt;=0,"Review – Out of Range (Coverage)",
  E2290&lt;=0,"Review – Out of Range (Premium)",
  TRUE,"OK"
)</f>
        <v>OK</v>
      </c>
    </row>
    <row r="2291" spans="1:10" ht="16.8" x14ac:dyDescent="0.3">
      <c r="A2291" s="14" t="s">
        <v>5953</v>
      </c>
      <c r="B2291" s="14" t="s">
        <v>103</v>
      </c>
      <c r="C2291" s="14" t="s">
        <v>3363</v>
      </c>
      <c r="D2291" s="14">
        <v>980872.16</v>
      </c>
      <c r="E2291" s="14">
        <v>32474.83</v>
      </c>
      <c r="F2291" s="15">
        <v>44564</v>
      </c>
      <c r="G2291" s="15">
        <v>45583</v>
      </c>
      <c r="H2291" s="14" t="s">
        <v>3473</v>
      </c>
      <c r="I2291" s="14" t="s">
        <v>3361</v>
      </c>
      <c r="J2291" s="13" t="str" cm="1">
        <f t="array" ref="J2291">_xlfn.IFS(
  OR(ISBLANK(A2291),ISBLANK(B2291),ISBLANK(H2291),ISBLANK(D2291),ISBLANK(E2291)),"Missing Value",
  D2291&lt;=0,"Review – Out of Range (Coverage)",
  E2291&lt;=0,"Review – Out of Range (Premium)",
  TRUE,"OK"
)</f>
        <v>OK</v>
      </c>
    </row>
    <row r="2292" spans="1:10" ht="16.8" x14ac:dyDescent="0.3">
      <c r="A2292" s="11" t="s">
        <v>5954</v>
      </c>
      <c r="B2292" s="11" t="s">
        <v>3274</v>
      </c>
      <c r="C2292" s="11" t="s">
        <v>3371</v>
      </c>
      <c r="D2292" s="11">
        <v>189310.57</v>
      </c>
      <c r="E2292" s="11">
        <v>49885</v>
      </c>
      <c r="F2292" s="12">
        <v>44915</v>
      </c>
      <c r="G2292" s="12">
        <v>45674</v>
      </c>
      <c r="H2292" s="11" t="s">
        <v>3923</v>
      </c>
      <c r="I2292" s="11" t="s">
        <v>3373</v>
      </c>
      <c r="J2292" s="13" t="str" cm="1">
        <f t="array" ref="J2292">_xlfn.IFS(
  OR(ISBLANK(A2292),ISBLANK(B2292),ISBLANK(H2292),ISBLANK(D2292),ISBLANK(E2292)),"Missing Value",
  D2292&lt;=0,"Review – Out of Range (Coverage)",
  E2292&lt;=0,"Review – Out of Range (Premium)",
  TRUE,"OK"
)</f>
        <v>OK</v>
      </c>
    </row>
    <row r="2293" spans="1:10" ht="16.8" x14ac:dyDescent="0.3">
      <c r="A2293" s="14" t="s">
        <v>5955</v>
      </c>
      <c r="B2293" s="14" t="s">
        <v>2467</v>
      </c>
      <c r="C2293" s="14" t="s">
        <v>3380</v>
      </c>
      <c r="D2293" s="14">
        <v>519279.47</v>
      </c>
      <c r="E2293" s="14">
        <v>41012.89</v>
      </c>
      <c r="F2293" s="15">
        <v>45401</v>
      </c>
      <c r="G2293" s="15">
        <v>45571</v>
      </c>
      <c r="H2293" s="14" t="s">
        <v>3477</v>
      </c>
      <c r="I2293" s="14" t="s">
        <v>3361</v>
      </c>
      <c r="J2293" s="13" t="str" cm="1">
        <f t="array" ref="J2293">_xlfn.IFS(
  OR(ISBLANK(A2293),ISBLANK(B2293),ISBLANK(H2293),ISBLANK(D2293),ISBLANK(E2293)),"Missing Value",
  D2293&lt;=0,"Review – Out of Range (Coverage)",
  E2293&lt;=0,"Review – Out of Range (Premium)",
  TRUE,"OK"
)</f>
        <v>OK</v>
      </c>
    </row>
    <row r="2294" spans="1:10" ht="16.8" x14ac:dyDescent="0.3">
      <c r="A2294" s="11" t="s">
        <v>5956</v>
      </c>
      <c r="B2294" s="11" t="s">
        <v>1841</v>
      </c>
      <c r="C2294" s="11" t="s">
        <v>3380</v>
      </c>
      <c r="D2294" s="11">
        <v>965758.96</v>
      </c>
      <c r="E2294" s="11">
        <v>28073.5</v>
      </c>
      <c r="F2294" s="12">
        <v>44522</v>
      </c>
      <c r="G2294" s="12">
        <v>45207</v>
      </c>
      <c r="H2294" s="11" t="s">
        <v>3968</v>
      </c>
      <c r="I2294" s="11" t="s">
        <v>3365</v>
      </c>
      <c r="J2294" s="13" t="str" cm="1">
        <f t="array" ref="J2294">_xlfn.IFS(
  OR(ISBLANK(A2294),ISBLANK(B2294),ISBLANK(H2294),ISBLANK(D2294),ISBLANK(E2294)),"Missing Value",
  D2294&lt;=0,"Review – Out of Range (Coverage)",
  E2294&lt;=0,"Review – Out of Range (Premium)",
  TRUE,"OK"
)</f>
        <v>OK</v>
      </c>
    </row>
    <row r="2295" spans="1:10" ht="16.8" x14ac:dyDescent="0.3">
      <c r="A2295" s="14" t="s">
        <v>5957</v>
      </c>
      <c r="B2295" s="14" t="s">
        <v>2129</v>
      </c>
      <c r="C2295" s="14" t="s">
        <v>3363</v>
      </c>
      <c r="D2295" s="14">
        <v>720066.31</v>
      </c>
      <c r="E2295" s="14">
        <v>5645.14</v>
      </c>
      <c r="F2295" s="15">
        <v>45291</v>
      </c>
      <c r="G2295" s="15">
        <v>45581</v>
      </c>
      <c r="H2295" s="14" t="s">
        <v>3634</v>
      </c>
      <c r="I2295" s="14" t="s">
        <v>3373</v>
      </c>
      <c r="J2295" s="13" t="str" cm="1">
        <f t="array" ref="J2295">_xlfn.IFS(
  OR(ISBLANK(A2295),ISBLANK(B2295),ISBLANK(H2295),ISBLANK(D2295),ISBLANK(E2295)),"Missing Value",
  D2295&lt;=0,"Review – Out of Range (Coverage)",
  E2295&lt;=0,"Review – Out of Range (Premium)",
  TRUE,"OK"
)</f>
        <v>OK</v>
      </c>
    </row>
    <row r="2296" spans="1:10" ht="16.8" x14ac:dyDescent="0.3">
      <c r="A2296" s="11" t="s">
        <v>5958</v>
      </c>
      <c r="B2296" s="11" t="s">
        <v>1955</v>
      </c>
      <c r="C2296" s="11" t="s">
        <v>3380</v>
      </c>
      <c r="D2296" s="11">
        <v>642991.4</v>
      </c>
      <c r="E2296" s="11">
        <v>47507.28</v>
      </c>
      <c r="F2296" s="12">
        <v>45076</v>
      </c>
      <c r="G2296" s="12">
        <v>45599</v>
      </c>
      <c r="H2296" s="11" t="s">
        <v>3482</v>
      </c>
      <c r="I2296" s="11" t="s">
        <v>3361</v>
      </c>
      <c r="J2296" s="13" t="str" cm="1">
        <f t="array" ref="J2296">_xlfn.IFS(
  OR(ISBLANK(A2296),ISBLANK(B2296),ISBLANK(H2296),ISBLANK(D2296),ISBLANK(E2296)),"Missing Value",
  D2296&lt;=0,"Review – Out of Range (Coverage)",
  E2296&lt;=0,"Review – Out of Range (Premium)",
  TRUE,"OK"
)</f>
        <v>OK</v>
      </c>
    </row>
    <row r="2297" spans="1:10" ht="16.8" x14ac:dyDescent="0.3">
      <c r="A2297" s="14" t="s">
        <v>5959</v>
      </c>
      <c r="B2297" s="14" t="s">
        <v>2713</v>
      </c>
      <c r="C2297" s="14" t="s">
        <v>3371</v>
      </c>
      <c r="D2297" s="14">
        <v>816944.93</v>
      </c>
      <c r="E2297" s="14">
        <v>9953.17</v>
      </c>
      <c r="F2297" s="15">
        <v>44689</v>
      </c>
      <c r="G2297" s="15">
        <v>45600</v>
      </c>
      <c r="H2297" s="14" t="s">
        <v>3964</v>
      </c>
      <c r="I2297" s="14" t="s">
        <v>3373</v>
      </c>
      <c r="J2297" s="13" t="str" cm="1">
        <f t="array" ref="J2297">_xlfn.IFS(
  OR(ISBLANK(A2297),ISBLANK(B2297),ISBLANK(H2297),ISBLANK(D2297),ISBLANK(E2297)),"Missing Value",
  D2297&lt;=0,"Review – Out of Range (Coverage)",
  E2297&lt;=0,"Review – Out of Range (Premium)",
  TRUE,"OK"
)</f>
        <v>OK</v>
      </c>
    </row>
    <row r="2298" spans="1:10" ht="16.8" x14ac:dyDescent="0.3">
      <c r="A2298" s="11" t="s">
        <v>5960</v>
      </c>
      <c r="B2298" s="11" t="s">
        <v>2985</v>
      </c>
      <c r="C2298" s="11" t="s">
        <v>3380</v>
      </c>
      <c r="D2298" s="11">
        <v>872155.44</v>
      </c>
      <c r="E2298" s="11">
        <v>37821.29</v>
      </c>
      <c r="F2298" s="12">
        <v>44475</v>
      </c>
      <c r="G2298" s="12">
        <v>45541</v>
      </c>
      <c r="H2298" s="11" t="s">
        <v>3813</v>
      </c>
      <c r="I2298" s="11" t="s">
        <v>3361</v>
      </c>
      <c r="J2298" s="13" t="str" cm="1">
        <f t="array" ref="J2298">_xlfn.IFS(
  OR(ISBLANK(A2298),ISBLANK(B2298),ISBLANK(H2298),ISBLANK(D2298),ISBLANK(E2298)),"Missing Value",
  D2298&lt;=0,"Review – Out of Range (Coverage)",
  E2298&lt;=0,"Review – Out of Range (Premium)",
  TRUE,"OK"
)</f>
        <v>OK</v>
      </c>
    </row>
    <row r="2299" spans="1:10" ht="16.8" x14ac:dyDescent="0.3">
      <c r="A2299" s="14" t="s">
        <v>5961</v>
      </c>
      <c r="B2299" s="14" t="s">
        <v>3070</v>
      </c>
      <c r="C2299" s="14" t="s">
        <v>3380</v>
      </c>
      <c r="D2299" s="14">
        <v>598067.87</v>
      </c>
      <c r="E2299" s="14">
        <v>36095.35</v>
      </c>
      <c r="F2299" s="15">
        <v>44697</v>
      </c>
      <c r="G2299" s="15">
        <v>45276</v>
      </c>
      <c r="H2299" s="14" t="s">
        <v>3387</v>
      </c>
      <c r="I2299" s="14" t="s">
        <v>3365</v>
      </c>
      <c r="J2299" s="13" t="str" cm="1">
        <f t="array" ref="J2299">_xlfn.IFS(
  OR(ISBLANK(A2299),ISBLANK(B2299),ISBLANK(H2299),ISBLANK(D2299),ISBLANK(E2299)),"Missing Value",
  D2299&lt;=0,"Review – Out of Range (Coverage)",
  E2299&lt;=0,"Review – Out of Range (Premium)",
  TRUE,"OK"
)</f>
        <v>OK</v>
      </c>
    </row>
    <row r="2300" spans="1:10" ht="16.8" x14ac:dyDescent="0.3">
      <c r="A2300" s="11" t="s">
        <v>5962</v>
      </c>
      <c r="B2300" s="11" t="s">
        <v>2869</v>
      </c>
      <c r="C2300" s="11" t="s">
        <v>3377</v>
      </c>
      <c r="D2300" s="11">
        <v>353041.16</v>
      </c>
      <c r="E2300" s="11">
        <v>33478.99</v>
      </c>
      <c r="F2300" s="12">
        <v>44757</v>
      </c>
      <c r="G2300" s="12">
        <v>45168</v>
      </c>
      <c r="H2300" s="11" t="s">
        <v>3436</v>
      </c>
      <c r="I2300" s="11" t="s">
        <v>3373</v>
      </c>
      <c r="J2300" s="13" t="str" cm="1">
        <f t="array" ref="J2300">_xlfn.IFS(
  OR(ISBLANK(A2300),ISBLANK(B2300),ISBLANK(H2300),ISBLANK(D2300),ISBLANK(E2300)),"Missing Value",
  D2300&lt;=0,"Review – Out of Range (Coverage)",
  E2300&lt;=0,"Review – Out of Range (Premium)",
  TRUE,"OK"
)</f>
        <v>OK</v>
      </c>
    </row>
    <row r="2301" spans="1:10" ht="16.8" x14ac:dyDescent="0.3">
      <c r="A2301" s="14" t="s">
        <v>5963</v>
      </c>
      <c r="B2301" s="14" t="s">
        <v>330</v>
      </c>
      <c r="C2301" s="14" t="s">
        <v>3377</v>
      </c>
      <c r="D2301" s="14">
        <v>448547.21</v>
      </c>
      <c r="E2301" s="14">
        <v>37294.54</v>
      </c>
      <c r="F2301" s="15">
        <v>45313</v>
      </c>
      <c r="G2301" s="15">
        <v>45516</v>
      </c>
      <c r="H2301" s="14" t="s">
        <v>3375</v>
      </c>
      <c r="I2301" s="14" t="s">
        <v>3365</v>
      </c>
      <c r="J2301" s="13" t="str" cm="1">
        <f t="array" ref="J2301">_xlfn.IFS(
  OR(ISBLANK(A2301),ISBLANK(B2301),ISBLANK(H2301),ISBLANK(D2301),ISBLANK(E2301)),"Missing Value",
  D2301&lt;=0,"Review – Out of Range (Coverage)",
  E2301&lt;=0,"Review – Out of Range (Premium)",
  TRUE,"OK"
)</f>
        <v>OK</v>
      </c>
    </row>
    <row r="2302" spans="1:10" ht="16.8" x14ac:dyDescent="0.3">
      <c r="A2302" s="11" t="s">
        <v>5964</v>
      </c>
      <c r="B2302" s="11" t="s">
        <v>2507</v>
      </c>
      <c r="C2302" s="11" t="s">
        <v>3371</v>
      </c>
      <c r="D2302" s="11">
        <v>126357.33</v>
      </c>
      <c r="E2302" s="11">
        <v>13097.98</v>
      </c>
      <c r="F2302" s="12">
        <v>45321</v>
      </c>
      <c r="G2302" s="12">
        <v>45384</v>
      </c>
      <c r="H2302" s="11" t="s">
        <v>3459</v>
      </c>
      <c r="I2302" s="11" t="s">
        <v>3373</v>
      </c>
      <c r="J2302" s="13" t="str" cm="1">
        <f t="array" ref="J2302">_xlfn.IFS(
  OR(ISBLANK(A2302),ISBLANK(B2302),ISBLANK(H2302),ISBLANK(D2302),ISBLANK(E2302)),"Missing Value",
  D2302&lt;=0,"Review – Out of Range (Coverage)",
  E2302&lt;=0,"Review – Out of Range (Premium)",
  TRUE,"OK"
)</f>
        <v>OK</v>
      </c>
    </row>
    <row r="2303" spans="1:10" ht="16.8" x14ac:dyDescent="0.3">
      <c r="A2303" s="14" t="s">
        <v>5965</v>
      </c>
      <c r="B2303" s="14" t="s">
        <v>3136</v>
      </c>
      <c r="C2303" s="14" t="s">
        <v>3380</v>
      </c>
      <c r="D2303" s="14">
        <v>566585.12</v>
      </c>
      <c r="E2303" s="14">
        <v>23423.29</v>
      </c>
      <c r="F2303" s="15">
        <v>45281</v>
      </c>
      <c r="G2303" s="15">
        <v>45710</v>
      </c>
      <c r="H2303" s="14" t="s">
        <v>3918</v>
      </c>
      <c r="I2303" s="14" t="s">
        <v>3373</v>
      </c>
      <c r="J2303" s="13" t="str" cm="1">
        <f t="array" ref="J2303">_xlfn.IFS(
  OR(ISBLANK(A2303),ISBLANK(B2303),ISBLANK(H2303),ISBLANK(D2303),ISBLANK(E2303)),"Missing Value",
  D2303&lt;=0,"Review – Out of Range (Coverage)",
  E2303&lt;=0,"Review – Out of Range (Premium)",
  TRUE,"OK"
)</f>
        <v>OK</v>
      </c>
    </row>
    <row r="2304" spans="1:10" ht="16.8" x14ac:dyDescent="0.3">
      <c r="A2304" s="11" t="s">
        <v>5966</v>
      </c>
      <c r="B2304" s="11" t="s">
        <v>623</v>
      </c>
      <c r="C2304" s="11" t="s">
        <v>3371</v>
      </c>
      <c r="D2304" s="11">
        <v>396618.86</v>
      </c>
      <c r="E2304" s="11">
        <v>48737.06</v>
      </c>
      <c r="F2304" s="12">
        <v>45223</v>
      </c>
      <c r="G2304" s="12">
        <v>45382</v>
      </c>
      <c r="H2304" s="11" t="s">
        <v>4410</v>
      </c>
      <c r="I2304" s="11" t="s">
        <v>3365</v>
      </c>
      <c r="J2304" s="13" t="str" cm="1">
        <f t="array" ref="J2304">_xlfn.IFS(
  OR(ISBLANK(A2304),ISBLANK(B2304),ISBLANK(H2304),ISBLANK(D2304),ISBLANK(E2304)),"Missing Value",
  D2304&lt;=0,"Review – Out of Range (Coverage)",
  E2304&lt;=0,"Review – Out of Range (Premium)",
  TRUE,"OK"
)</f>
        <v>OK</v>
      </c>
    </row>
    <row r="2305" spans="1:10" ht="16.8" x14ac:dyDescent="0.3">
      <c r="A2305" s="14" t="s">
        <v>5967</v>
      </c>
      <c r="B2305" s="14" t="s">
        <v>1617</v>
      </c>
      <c r="C2305" s="14" t="s">
        <v>3363</v>
      </c>
      <c r="D2305" s="14">
        <v>527086.98</v>
      </c>
      <c r="E2305" s="14">
        <v>49449.14</v>
      </c>
      <c r="F2305" s="15">
        <v>44907</v>
      </c>
      <c r="G2305" s="15">
        <v>45496</v>
      </c>
      <c r="H2305" s="14" t="s">
        <v>3587</v>
      </c>
      <c r="I2305" s="14" t="s">
        <v>3365</v>
      </c>
      <c r="J2305" s="13" t="str" cm="1">
        <f t="array" ref="J2305">_xlfn.IFS(
  OR(ISBLANK(A2305),ISBLANK(B2305),ISBLANK(H2305),ISBLANK(D2305),ISBLANK(E2305)),"Missing Value",
  D2305&lt;=0,"Review – Out of Range (Coverage)",
  E2305&lt;=0,"Review – Out of Range (Premium)",
  TRUE,"OK"
)</f>
        <v>OK</v>
      </c>
    </row>
    <row r="2306" spans="1:10" ht="16.8" x14ac:dyDescent="0.3">
      <c r="A2306" s="11" t="s">
        <v>5968</v>
      </c>
      <c r="B2306" s="11" t="s">
        <v>1431</v>
      </c>
      <c r="C2306" s="11" t="s">
        <v>3363</v>
      </c>
      <c r="D2306" s="11">
        <v>728936.49</v>
      </c>
      <c r="E2306" s="11">
        <v>12256.94</v>
      </c>
      <c r="F2306" s="12">
        <v>44453</v>
      </c>
      <c r="G2306" s="12">
        <v>44919</v>
      </c>
      <c r="H2306" s="11" t="s">
        <v>3725</v>
      </c>
      <c r="I2306" s="11" t="s">
        <v>3361</v>
      </c>
      <c r="J2306" s="13" t="str" cm="1">
        <f t="array" ref="J2306">_xlfn.IFS(
  OR(ISBLANK(A2306),ISBLANK(B2306),ISBLANK(H2306),ISBLANK(D2306),ISBLANK(E2306)),"Missing Value",
  D2306&lt;=0,"Review – Out of Range (Coverage)",
  E2306&lt;=0,"Review – Out of Range (Premium)",
  TRUE,"OK"
)</f>
        <v>OK</v>
      </c>
    </row>
    <row r="2307" spans="1:10" ht="16.8" x14ac:dyDescent="0.3">
      <c r="A2307" s="14" t="s">
        <v>5969</v>
      </c>
      <c r="B2307" s="14" t="s">
        <v>1527</v>
      </c>
      <c r="C2307" s="14" t="s">
        <v>3371</v>
      </c>
      <c r="D2307" s="14">
        <v>998810.12</v>
      </c>
      <c r="E2307" s="14">
        <v>17110.45</v>
      </c>
      <c r="F2307" s="15">
        <v>44569</v>
      </c>
      <c r="G2307" s="15">
        <v>45842</v>
      </c>
      <c r="H2307" s="14" t="s">
        <v>4011</v>
      </c>
      <c r="I2307" s="14" t="s">
        <v>3361</v>
      </c>
      <c r="J2307" s="13" t="str" cm="1">
        <f t="array" ref="J2307">_xlfn.IFS(
  OR(ISBLANK(A2307),ISBLANK(B2307),ISBLANK(H2307),ISBLANK(D2307),ISBLANK(E2307)),"Missing Value",
  D2307&lt;=0,"Review – Out of Range (Coverage)",
  E2307&lt;=0,"Review – Out of Range (Premium)",
  TRUE,"OK"
)</f>
        <v>OK</v>
      </c>
    </row>
    <row r="2308" spans="1:10" ht="16.8" x14ac:dyDescent="0.3">
      <c r="A2308" s="11" t="s">
        <v>5970</v>
      </c>
      <c r="B2308" s="11" t="s">
        <v>677</v>
      </c>
      <c r="C2308" s="11" t="s">
        <v>3363</v>
      </c>
      <c r="D2308" s="11">
        <v>648016.11</v>
      </c>
      <c r="E2308" s="11">
        <v>15597.34</v>
      </c>
      <c r="F2308" s="12">
        <v>44836</v>
      </c>
      <c r="G2308" s="12">
        <v>45155</v>
      </c>
      <c r="H2308" s="11" t="s">
        <v>3740</v>
      </c>
      <c r="I2308" s="11" t="s">
        <v>3373</v>
      </c>
      <c r="J2308" s="13" t="str" cm="1">
        <f t="array" ref="J2308">_xlfn.IFS(
  OR(ISBLANK(A2308),ISBLANK(B2308),ISBLANK(H2308),ISBLANK(D2308),ISBLANK(E2308)),"Missing Value",
  D2308&lt;=0,"Review – Out of Range (Coverage)",
  E2308&lt;=0,"Review – Out of Range (Premium)",
  TRUE,"OK"
)</f>
        <v>OK</v>
      </c>
    </row>
    <row r="2309" spans="1:10" ht="16.8" x14ac:dyDescent="0.3">
      <c r="A2309" s="14" t="s">
        <v>5971</v>
      </c>
      <c r="B2309" s="14" t="s">
        <v>1157</v>
      </c>
      <c r="C2309" s="14" t="s">
        <v>3377</v>
      </c>
      <c r="D2309" s="14">
        <v>678996.09</v>
      </c>
      <c r="E2309" s="14">
        <v>37196.959999999999</v>
      </c>
      <c r="F2309" s="15">
        <v>45346</v>
      </c>
      <c r="G2309" s="15">
        <v>45823</v>
      </c>
      <c r="H2309" s="14" t="s">
        <v>3587</v>
      </c>
      <c r="I2309" s="14" t="s">
        <v>3361</v>
      </c>
      <c r="J2309" s="13" t="str" cm="1">
        <f t="array" ref="J2309">_xlfn.IFS(
  OR(ISBLANK(A2309),ISBLANK(B2309),ISBLANK(H2309),ISBLANK(D2309),ISBLANK(E2309)),"Missing Value",
  D2309&lt;=0,"Review – Out of Range (Coverage)",
  E2309&lt;=0,"Review – Out of Range (Premium)",
  TRUE,"OK"
)</f>
        <v>OK</v>
      </c>
    </row>
    <row r="2310" spans="1:10" ht="16.8" x14ac:dyDescent="0.3">
      <c r="A2310" s="11" t="s">
        <v>5972</v>
      </c>
      <c r="B2310" s="11" t="s">
        <v>723</v>
      </c>
      <c r="C2310" s="11" t="s">
        <v>3359</v>
      </c>
      <c r="D2310" s="11">
        <v>149817.99</v>
      </c>
      <c r="E2310" s="11">
        <v>32683.07</v>
      </c>
      <c r="F2310" s="12">
        <v>45272</v>
      </c>
      <c r="G2310" s="12">
        <v>45334</v>
      </c>
      <c r="H2310" s="11" t="s">
        <v>4164</v>
      </c>
      <c r="I2310" s="11" t="s">
        <v>3373</v>
      </c>
      <c r="J2310" s="13" t="str" cm="1">
        <f t="array" ref="J2310">_xlfn.IFS(
  OR(ISBLANK(A2310),ISBLANK(B2310),ISBLANK(H2310),ISBLANK(D2310),ISBLANK(E2310)),"Missing Value",
  D2310&lt;=0,"Review – Out of Range (Coverage)",
  E2310&lt;=0,"Review – Out of Range (Premium)",
  TRUE,"OK"
)</f>
        <v>OK</v>
      </c>
    </row>
    <row r="2311" spans="1:10" ht="16.8" x14ac:dyDescent="0.3">
      <c r="A2311" s="14" t="s">
        <v>5973</v>
      </c>
      <c r="B2311" s="14" t="s">
        <v>2719</v>
      </c>
      <c r="C2311" s="14" t="s">
        <v>3363</v>
      </c>
      <c r="D2311" s="14">
        <v>789891.49</v>
      </c>
      <c r="E2311" s="14">
        <v>26979.47</v>
      </c>
      <c r="F2311" s="15">
        <v>44860</v>
      </c>
      <c r="G2311" s="15">
        <v>45651</v>
      </c>
      <c r="H2311" s="14" t="s">
        <v>3532</v>
      </c>
      <c r="I2311" s="14" t="s">
        <v>3373</v>
      </c>
      <c r="J2311" s="13" t="str" cm="1">
        <f t="array" ref="J2311">_xlfn.IFS(
  OR(ISBLANK(A2311),ISBLANK(B2311),ISBLANK(H2311),ISBLANK(D2311),ISBLANK(E2311)),"Missing Value",
  D2311&lt;=0,"Review – Out of Range (Coverage)",
  E2311&lt;=0,"Review – Out of Range (Premium)",
  TRUE,"OK"
)</f>
        <v>OK</v>
      </c>
    </row>
    <row r="2312" spans="1:10" ht="16.8" x14ac:dyDescent="0.3">
      <c r="A2312" s="11" t="s">
        <v>5974</v>
      </c>
      <c r="B2312" s="11" t="s">
        <v>338</v>
      </c>
      <c r="C2312" s="11" t="s">
        <v>3371</v>
      </c>
      <c r="D2312" s="11">
        <v>937187.87</v>
      </c>
      <c r="E2312" s="11">
        <v>36910.39</v>
      </c>
      <c r="F2312" s="12">
        <v>44999</v>
      </c>
      <c r="G2312" s="12">
        <v>45421</v>
      </c>
      <c r="H2312" s="11" t="s">
        <v>3467</v>
      </c>
      <c r="I2312" s="11" t="s">
        <v>3361</v>
      </c>
      <c r="J2312" s="13" t="str" cm="1">
        <f t="array" ref="J2312">_xlfn.IFS(
  OR(ISBLANK(A2312),ISBLANK(B2312),ISBLANK(H2312),ISBLANK(D2312),ISBLANK(E2312)),"Missing Value",
  D2312&lt;=0,"Review – Out of Range (Coverage)",
  E2312&lt;=0,"Review – Out of Range (Premium)",
  TRUE,"OK"
)</f>
        <v>OK</v>
      </c>
    </row>
    <row r="2313" spans="1:10" ht="16.8" x14ac:dyDescent="0.3">
      <c r="A2313" s="14" t="s">
        <v>5975</v>
      </c>
      <c r="B2313" s="14" t="s">
        <v>372</v>
      </c>
      <c r="C2313" s="14" t="s">
        <v>3377</v>
      </c>
      <c r="D2313" s="14">
        <v>930857.89</v>
      </c>
      <c r="E2313" s="14">
        <v>17082.560000000001</v>
      </c>
      <c r="F2313" s="15">
        <v>44262</v>
      </c>
      <c r="G2313" s="15">
        <v>44845</v>
      </c>
      <c r="H2313" s="14" t="s">
        <v>3841</v>
      </c>
      <c r="I2313" s="14" t="s">
        <v>3365</v>
      </c>
      <c r="J2313" s="13" t="str" cm="1">
        <f t="array" ref="J2313">_xlfn.IFS(
  OR(ISBLANK(A2313),ISBLANK(B2313),ISBLANK(H2313),ISBLANK(D2313),ISBLANK(E2313)),"Missing Value",
  D2313&lt;=0,"Review – Out of Range (Coverage)",
  E2313&lt;=0,"Review – Out of Range (Premium)",
  TRUE,"OK"
)</f>
        <v>OK</v>
      </c>
    </row>
    <row r="2314" spans="1:10" ht="16.8" x14ac:dyDescent="0.3">
      <c r="A2314" s="11" t="s">
        <v>5976</v>
      </c>
      <c r="B2314" s="11" t="s">
        <v>2223</v>
      </c>
      <c r="C2314" s="11" t="s">
        <v>3377</v>
      </c>
      <c r="D2314" s="11">
        <v>213740.92</v>
      </c>
      <c r="E2314" s="11">
        <v>46257.8</v>
      </c>
      <c r="F2314" s="12">
        <v>44359</v>
      </c>
      <c r="G2314" s="12">
        <v>45715</v>
      </c>
      <c r="H2314" s="11" t="s">
        <v>4415</v>
      </c>
      <c r="I2314" s="11" t="s">
        <v>3361</v>
      </c>
      <c r="J2314" s="13" t="str" cm="1">
        <f t="array" ref="J2314">_xlfn.IFS(
  OR(ISBLANK(A2314),ISBLANK(B2314),ISBLANK(H2314),ISBLANK(D2314),ISBLANK(E2314)),"Missing Value",
  D2314&lt;=0,"Review – Out of Range (Coverage)",
  E2314&lt;=0,"Review – Out of Range (Premium)",
  TRUE,"OK"
)</f>
        <v>OK</v>
      </c>
    </row>
    <row r="2315" spans="1:10" ht="16.8" x14ac:dyDescent="0.3">
      <c r="A2315" s="14" t="s">
        <v>5977</v>
      </c>
      <c r="B2315" s="14" t="s">
        <v>2979</v>
      </c>
      <c r="C2315" s="14" t="s">
        <v>3371</v>
      </c>
      <c r="D2315" s="14">
        <v>896830.4</v>
      </c>
      <c r="E2315" s="14">
        <v>6322.34</v>
      </c>
      <c r="F2315" s="15">
        <v>45395</v>
      </c>
      <c r="G2315" s="15">
        <v>45759</v>
      </c>
      <c r="H2315" s="14" t="s">
        <v>4154</v>
      </c>
      <c r="I2315" s="14" t="s">
        <v>3365</v>
      </c>
      <c r="J2315" s="13" t="str" cm="1">
        <f t="array" ref="J2315">_xlfn.IFS(
  OR(ISBLANK(A2315),ISBLANK(B2315),ISBLANK(H2315),ISBLANK(D2315),ISBLANK(E2315)),"Missing Value",
  D2315&lt;=0,"Review – Out of Range (Coverage)",
  E2315&lt;=0,"Review – Out of Range (Premium)",
  TRUE,"OK"
)</f>
        <v>OK</v>
      </c>
    </row>
    <row r="2316" spans="1:10" ht="16.8" x14ac:dyDescent="0.3">
      <c r="A2316" s="11" t="s">
        <v>5978</v>
      </c>
      <c r="B2316" s="11" t="s">
        <v>340</v>
      </c>
      <c r="C2316" s="11" t="s">
        <v>3359</v>
      </c>
      <c r="D2316" s="11">
        <v>553370.46</v>
      </c>
      <c r="E2316" s="11">
        <v>30907.64</v>
      </c>
      <c r="F2316" s="12">
        <v>44666</v>
      </c>
      <c r="G2316" s="12">
        <v>44981</v>
      </c>
      <c r="H2316" s="11" t="s">
        <v>3495</v>
      </c>
      <c r="I2316" s="11" t="s">
        <v>3365</v>
      </c>
      <c r="J2316" s="13" t="str" cm="1">
        <f t="array" ref="J2316">_xlfn.IFS(
  OR(ISBLANK(A2316),ISBLANK(B2316),ISBLANK(H2316),ISBLANK(D2316),ISBLANK(E2316)),"Missing Value",
  D2316&lt;=0,"Review – Out of Range (Coverage)",
  E2316&lt;=0,"Review – Out of Range (Premium)",
  TRUE,"OK"
)</f>
        <v>OK</v>
      </c>
    </row>
    <row r="2317" spans="1:10" ht="16.8" x14ac:dyDescent="0.3">
      <c r="A2317" s="14" t="s">
        <v>5979</v>
      </c>
      <c r="B2317" s="14" t="s">
        <v>1509</v>
      </c>
      <c r="C2317" s="14" t="s">
        <v>3359</v>
      </c>
      <c r="D2317" s="14">
        <v>593807.86</v>
      </c>
      <c r="E2317" s="14">
        <v>31676.07</v>
      </c>
      <c r="F2317" s="15">
        <v>45109</v>
      </c>
      <c r="G2317" s="15">
        <v>45124</v>
      </c>
      <c r="H2317" s="14" t="s">
        <v>4596</v>
      </c>
      <c r="I2317" s="14" t="s">
        <v>3373</v>
      </c>
      <c r="J2317" s="13" t="str" cm="1">
        <f t="array" ref="J2317">_xlfn.IFS(
  OR(ISBLANK(A2317),ISBLANK(B2317),ISBLANK(H2317),ISBLANK(D2317),ISBLANK(E2317)),"Missing Value",
  D2317&lt;=0,"Review – Out of Range (Coverage)",
  E2317&lt;=0,"Review – Out of Range (Premium)",
  TRUE,"OK"
)</f>
        <v>OK</v>
      </c>
    </row>
    <row r="2318" spans="1:10" ht="16.8" x14ac:dyDescent="0.3">
      <c r="A2318" s="11" t="s">
        <v>5980</v>
      </c>
      <c r="B2318" s="11" t="s">
        <v>939</v>
      </c>
      <c r="C2318" s="11" t="s">
        <v>3377</v>
      </c>
      <c r="D2318" s="11">
        <v>100981.9</v>
      </c>
      <c r="E2318" s="11">
        <v>41019.96</v>
      </c>
      <c r="F2318" s="12">
        <v>45368</v>
      </c>
      <c r="G2318" s="12">
        <v>45856</v>
      </c>
      <c r="H2318" s="11" t="s">
        <v>4244</v>
      </c>
      <c r="I2318" s="11" t="s">
        <v>3361</v>
      </c>
      <c r="J2318" s="13" t="str" cm="1">
        <f t="array" ref="J2318">_xlfn.IFS(
  OR(ISBLANK(A2318),ISBLANK(B2318),ISBLANK(H2318),ISBLANK(D2318),ISBLANK(E2318)),"Missing Value",
  D2318&lt;=0,"Review – Out of Range (Coverage)",
  E2318&lt;=0,"Review – Out of Range (Premium)",
  TRUE,"OK"
)</f>
        <v>OK</v>
      </c>
    </row>
    <row r="2319" spans="1:10" ht="16.8" x14ac:dyDescent="0.3">
      <c r="A2319" s="14" t="s">
        <v>5981</v>
      </c>
      <c r="B2319" s="14" t="s">
        <v>1581</v>
      </c>
      <c r="C2319" s="14" t="s">
        <v>3363</v>
      </c>
      <c r="D2319" s="14">
        <v>399714.8</v>
      </c>
      <c r="E2319" s="14">
        <v>9075.0300000000007</v>
      </c>
      <c r="F2319" s="15">
        <v>44617</v>
      </c>
      <c r="G2319" s="15">
        <v>44863</v>
      </c>
      <c r="H2319" s="14" t="s">
        <v>3813</v>
      </c>
      <c r="I2319" s="14" t="s">
        <v>3365</v>
      </c>
      <c r="J2319" s="13" t="str" cm="1">
        <f t="array" ref="J2319">_xlfn.IFS(
  OR(ISBLANK(A2319),ISBLANK(B2319),ISBLANK(H2319),ISBLANK(D2319),ISBLANK(E2319)),"Missing Value",
  D2319&lt;=0,"Review – Out of Range (Coverage)",
  E2319&lt;=0,"Review – Out of Range (Premium)",
  TRUE,"OK"
)</f>
        <v>OK</v>
      </c>
    </row>
    <row r="2320" spans="1:10" ht="16.8" x14ac:dyDescent="0.3">
      <c r="A2320" s="11" t="s">
        <v>5982</v>
      </c>
      <c r="B2320" s="11" t="s">
        <v>1017</v>
      </c>
      <c r="C2320" s="11" t="s">
        <v>3359</v>
      </c>
      <c r="D2320" s="11">
        <v>843643.72</v>
      </c>
      <c r="E2320" s="11">
        <v>45359.46</v>
      </c>
      <c r="F2320" s="12">
        <v>44574</v>
      </c>
      <c r="G2320" s="12">
        <v>44719</v>
      </c>
      <c r="H2320" s="11" t="s">
        <v>3718</v>
      </c>
      <c r="I2320" s="11" t="s">
        <v>3365</v>
      </c>
      <c r="J2320" s="13" t="str" cm="1">
        <f t="array" ref="J2320">_xlfn.IFS(
  OR(ISBLANK(A2320),ISBLANK(B2320),ISBLANK(H2320),ISBLANK(D2320),ISBLANK(E2320)),"Missing Value",
  D2320&lt;=0,"Review – Out of Range (Coverage)",
  E2320&lt;=0,"Review – Out of Range (Premium)",
  TRUE,"OK"
)</f>
        <v>OK</v>
      </c>
    </row>
    <row r="2321" spans="1:10" ht="16.8" x14ac:dyDescent="0.3">
      <c r="A2321" s="14" t="s">
        <v>5983</v>
      </c>
      <c r="B2321" s="14" t="s">
        <v>1331</v>
      </c>
      <c r="C2321" s="14" t="s">
        <v>3359</v>
      </c>
      <c r="D2321" s="14">
        <v>829140.38</v>
      </c>
      <c r="E2321" s="14">
        <v>31979.9</v>
      </c>
      <c r="F2321" s="15">
        <v>44953</v>
      </c>
      <c r="G2321" s="15">
        <v>45204</v>
      </c>
      <c r="H2321" s="14" t="s">
        <v>4556</v>
      </c>
      <c r="I2321" s="14" t="s">
        <v>3365</v>
      </c>
      <c r="J2321" s="13" t="str" cm="1">
        <f t="array" ref="J2321">_xlfn.IFS(
  OR(ISBLANK(A2321),ISBLANK(B2321),ISBLANK(H2321),ISBLANK(D2321),ISBLANK(E2321)),"Missing Value",
  D2321&lt;=0,"Review – Out of Range (Coverage)",
  E2321&lt;=0,"Review – Out of Range (Premium)",
  TRUE,"OK"
)</f>
        <v>OK</v>
      </c>
    </row>
    <row r="2322" spans="1:10" ht="16.8" x14ac:dyDescent="0.3">
      <c r="A2322" s="11" t="s">
        <v>5984</v>
      </c>
      <c r="B2322" s="11" t="s">
        <v>1963</v>
      </c>
      <c r="C2322" s="11" t="s">
        <v>3377</v>
      </c>
      <c r="D2322" s="11">
        <v>782836.6</v>
      </c>
      <c r="E2322" s="11">
        <v>13722.05</v>
      </c>
      <c r="F2322" s="12">
        <v>44762</v>
      </c>
      <c r="G2322" s="12">
        <v>45785</v>
      </c>
      <c r="H2322" s="11" t="s">
        <v>3607</v>
      </c>
      <c r="I2322" s="11" t="s">
        <v>3361</v>
      </c>
      <c r="J2322" s="13" t="str" cm="1">
        <f t="array" ref="J2322">_xlfn.IFS(
  OR(ISBLANK(A2322),ISBLANK(B2322),ISBLANK(H2322),ISBLANK(D2322),ISBLANK(E2322)),"Missing Value",
  D2322&lt;=0,"Review – Out of Range (Coverage)",
  E2322&lt;=0,"Review – Out of Range (Premium)",
  TRUE,"OK"
)</f>
        <v>OK</v>
      </c>
    </row>
    <row r="2323" spans="1:10" ht="16.8" x14ac:dyDescent="0.3">
      <c r="A2323" s="14" t="s">
        <v>5985</v>
      </c>
      <c r="B2323" s="14" t="s">
        <v>3206</v>
      </c>
      <c r="C2323" s="14" t="s">
        <v>3359</v>
      </c>
      <c r="D2323" s="14">
        <v>483697.35</v>
      </c>
      <c r="E2323" s="14">
        <v>41541.69</v>
      </c>
      <c r="F2323" s="15">
        <v>45233</v>
      </c>
      <c r="G2323" s="15">
        <v>45268</v>
      </c>
      <c r="H2323" s="14" t="s">
        <v>3397</v>
      </c>
      <c r="I2323" s="14" t="s">
        <v>3365</v>
      </c>
      <c r="J2323" s="13" t="str" cm="1">
        <f t="array" ref="J2323">_xlfn.IFS(
  OR(ISBLANK(A2323),ISBLANK(B2323),ISBLANK(H2323),ISBLANK(D2323),ISBLANK(E2323)),"Missing Value",
  D2323&lt;=0,"Review – Out of Range (Coverage)",
  E2323&lt;=0,"Review – Out of Range (Premium)",
  TRUE,"OK"
)</f>
        <v>OK</v>
      </c>
    </row>
    <row r="2324" spans="1:10" ht="16.8" x14ac:dyDescent="0.3">
      <c r="A2324" s="11" t="s">
        <v>5986</v>
      </c>
      <c r="B2324" s="11" t="s">
        <v>2003</v>
      </c>
      <c r="C2324" s="11" t="s">
        <v>3377</v>
      </c>
      <c r="D2324" s="11">
        <v>688755.34</v>
      </c>
      <c r="E2324" s="11">
        <v>41015.269999999997</v>
      </c>
      <c r="F2324" s="12">
        <v>44848</v>
      </c>
      <c r="G2324" s="12">
        <v>45650</v>
      </c>
      <c r="H2324" s="11" t="s">
        <v>4076</v>
      </c>
      <c r="I2324" s="11" t="s">
        <v>3361</v>
      </c>
      <c r="J2324" s="13" t="str" cm="1">
        <f t="array" ref="J2324">_xlfn.IFS(
  OR(ISBLANK(A2324),ISBLANK(B2324),ISBLANK(H2324),ISBLANK(D2324),ISBLANK(E2324)),"Missing Value",
  D2324&lt;=0,"Review – Out of Range (Coverage)",
  E2324&lt;=0,"Review – Out of Range (Premium)",
  TRUE,"OK"
)</f>
        <v>OK</v>
      </c>
    </row>
    <row r="2325" spans="1:10" ht="16.8" x14ac:dyDescent="0.3">
      <c r="A2325" s="14" t="s">
        <v>5987</v>
      </c>
      <c r="B2325" s="14" t="s">
        <v>105</v>
      </c>
      <c r="C2325" s="14" t="s">
        <v>3363</v>
      </c>
      <c r="D2325" s="14">
        <v>631356</v>
      </c>
      <c r="E2325" s="14">
        <v>43578.09</v>
      </c>
      <c r="F2325" s="15">
        <v>44528</v>
      </c>
      <c r="G2325" s="15">
        <v>45637</v>
      </c>
      <c r="H2325" s="14" t="s">
        <v>3787</v>
      </c>
      <c r="I2325" s="14" t="s">
        <v>3361</v>
      </c>
      <c r="J2325" s="13" t="str" cm="1">
        <f t="array" ref="J2325">_xlfn.IFS(
  OR(ISBLANK(A2325),ISBLANK(B2325),ISBLANK(H2325),ISBLANK(D2325),ISBLANK(E2325)),"Missing Value",
  D2325&lt;=0,"Review – Out of Range (Coverage)",
  E2325&lt;=0,"Review – Out of Range (Premium)",
  TRUE,"OK"
)</f>
        <v>OK</v>
      </c>
    </row>
    <row r="2326" spans="1:10" ht="16.8" x14ac:dyDescent="0.3">
      <c r="A2326" s="11" t="s">
        <v>5988</v>
      </c>
      <c r="B2326" s="11" t="s">
        <v>1621</v>
      </c>
      <c r="C2326" s="11" t="s">
        <v>3380</v>
      </c>
      <c r="D2326" s="11">
        <v>764918.89</v>
      </c>
      <c r="E2326" s="11">
        <v>39459.980000000003</v>
      </c>
      <c r="F2326" s="12">
        <v>45386</v>
      </c>
      <c r="G2326" s="12">
        <v>45769</v>
      </c>
      <c r="H2326" s="11" t="s">
        <v>4164</v>
      </c>
      <c r="I2326" s="11" t="s">
        <v>3373</v>
      </c>
      <c r="J2326" s="13" t="str" cm="1">
        <f t="array" ref="J2326">_xlfn.IFS(
  OR(ISBLANK(A2326),ISBLANK(B2326),ISBLANK(H2326),ISBLANK(D2326),ISBLANK(E2326)),"Missing Value",
  D2326&lt;=0,"Review – Out of Range (Coverage)",
  E2326&lt;=0,"Review – Out of Range (Premium)",
  TRUE,"OK"
)</f>
        <v>OK</v>
      </c>
    </row>
    <row r="2327" spans="1:10" ht="16.8" x14ac:dyDescent="0.3">
      <c r="A2327" s="14" t="s">
        <v>5989</v>
      </c>
      <c r="B2327" s="14" t="s">
        <v>2175</v>
      </c>
      <c r="C2327" s="14" t="s">
        <v>3380</v>
      </c>
      <c r="D2327" s="14">
        <v>610590.52</v>
      </c>
      <c r="E2327" s="14">
        <v>10551.13</v>
      </c>
      <c r="F2327" s="15">
        <v>45436</v>
      </c>
      <c r="G2327" s="15">
        <v>45617</v>
      </c>
      <c r="H2327" s="14" t="s">
        <v>3456</v>
      </c>
      <c r="I2327" s="14" t="s">
        <v>3365</v>
      </c>
      <c r="J2327" s="13" t="str" cm="1">
        <f t="array" ref="J2327">_xlfn.IFS(
  OR(ISBLANK(A2327),ISBLANK(B2327),ISBLANK(H2327),ISBLANK(D2327),ISBLANK(E2327)),"Missing Value",
  D2327&lt;=0,"Review – Out of Range (Coverage)",
  E2327&lt;=0,"Review – Out of Range (Premium)",
  TRUE,"OK"
)</f>
        <v>OK</v>
      </c>
    </row>
    <row r="2328" spans="1:10" ht="16.8" x14ac:dyDescent="0.3">
      <c r="A2328" s="11" t="s">
        <v>5990</v>
      </c>
      <c r="B2328" s="11" t="s">
        <v>1229</v>
      </c>
      <c r="C2328" s="11" t="s">
        <v>3380</v>
      </c>
      <c r="D2328" s="11">
        <v>998413.36</v>
      </c>
      <c r="E2328" s="11">
        <v>47458.92</v>
      </c>
      <c r="F2328" s="12">
        <v>44852</v>
      </c>
      <c r="G2328" s="12">
        <v>45833</v>
      </c>
      <c r="H2328" s="11" t="s">
        <v>3442</v>
      </c>
      <c r="I2328" s="11" t="s">
        <v>3361</v>
      </c>
      <c r="J2328" s="13" t="str" cm="1">
        <f t="array" ref="J2328">_xlfn.IFS(
  OR(ISBLANK(A2328),ISBLANK(B2328),ISBLANK(H2328),ISBLANK(D2328),ISBLANK(E2328)),"Missing Value",
  D2328&lt;=0,"Review – Out of Range (Coverage)",
  E2328&lt;=0,"Review – Out of Range (Premium)",
  TRUE,"OK"
)</f>
        <v>OK</v>
      </c>
    </row>
    <row r="2329" spans="1:10" ht="16.8" x14ac:dyDescent="0.3">
      <c r="A2329" s="14" t="s">
        <v>5991</v>
      </c>
      <c r="B2329" s="14" t="s">
        <v>535</v>
      </c>
      <c r="C2329" s="14" t="s">
        <v>3377</v>
      </c>
      <c r="D2329" s="14">
        <v>937668.62</v>
      </c>
      <c r="E2329" s="14">
        <v>45261.4</v>
      </c>
      <c r="F2329" s="15">
        <v>45454</v>
      </c>
      <c r="G2329" s="15">
        <v>45723</v>
      </c>
      <c r="H2329" s="14" t="s">
        <v>3395</v>
      </c>
      <c r="I2329" s="14" t="s">
        <v>3365</v>
      </c>
      <c r="J2329" s="13" t="str" cm="1">
        <f t="array" ref="J2329">_xlfn.IFS(
  OR(ISBLANK(A2329),ISBLANK(B2329),ISBLANK(H2329),ISBLANK(D2329),ISBLANK(E2329)),"Missing Value",
  D2329&lt;=0,"Review – Out of Range (Coverage)",
  E2329&lt;=0,"Review – Out of Range (Premium)",
  TRUE,"OK"
)</f>
        <v>OK</v>
      </c>
    </row>
    <row r="2330" spans="1:10" ht="16.8" x14ac:dyDescent="0.3">
      <c r="A2330" s="11" t="s">
        <v>5992</v>
      </c>
      <c r="B2330" s="11" t="s">
        <v>1479</v>
      </c>
      <c r="C2330" s="11" t="s">
        <v>3359</v>
      </c>
      <c r="D2330" s="11">
        <v>513438.71</v>
      </c>
      <c r="E2330" s="11">
        <v>38271.199999999997</v>
      </c>
      <c r="F2330" s="12">
        <v>45058</v>
      </c>
      <c r="G2330" s="12">
        <v>45751</v>
      </c>
      <c r="H2330" s="11" t="s">
        <v>3597</v>
      </c>
      <c r="I2330" s="11" t="s">
        <v>3361</v>
      </c>
      <c r="J2330" s="13" t="str" cm="1">
        <f t="array" ref="J2330">_xlfn.IFS(
  OR(ISBLANK(A2330),ISBLANK(B2330),ISBLANK(H2330),ISBLANK(D2330),ISBLANK(E2330)),"Missing Value",
  D2330&lt;=0,"Review – Out of Range (Coverage)",
  E2330&lt;=0,"Review – Out of Range (Premium)",
  TRUE,"OK"
)</f>
        <v>OK</v>
      </c>
    </row>
    <row r="2331" spans="1:10" ht="16.8" x14ac:dyDescent="0.3">
      <c r="A2331" s="14" t="s">
        <v>5993</v>
      </c>
      <c r="B2331" s="14" t="s">
        <v>703</v>
      </c>
      <c r="C2331" s="14" t="s">
        <v>3380</v>
      </c>
      <c r="D2331" s="14">
        <v>798051.85</v>
      </c>
      <c r="E2331" s="14">
        <v>40572.07</v>
      </c>
      <c r="F2331" s="15">
        <v>44855</v>
      </c>
      <c r="G2331" s="15">
        <v>45644</v>
      </c>
      <c r="H2331" s="14" t="s">
        <v>3403</v>
      </c>
      <c r="I2331" s="14" t="s">
        <v>3365</v>
      </c>
      <c r="J2331" s="13" t="str" cm="1">
        <f t="array" ref="J2331">_xlfn.IFS(
  OR(ISBLANK(A2331),ISBLANK(B2331),ISBLANK(H2331),ISBLANK(D2331),ISBLANK(E2331)),"Missing Value",
  D2331&lt;=0,"Review – Out of Range (Coverage)",
  E2331&lt;=0,"Review – Out of Range (Premium)",
  TRUE,"OK"
)</f>
        <v>OK</v>
      </c>
    </row>
    <row r="2332" spans="1:10" ht="16.8" x14ac:dyDescent="0.3">
      <c r="A2332" s="11" t="s">
        <v>5994</v>
      </c>
      <c r="B2332" s="11" t="s">
        <v>1495</v>
      </c>
      <c r="C2332" s="11" t="s">
        <v>3363</v>
      </c>
      <c r="D2332" s="11">
        <v>906302.04</v>
      </c>
      <c r="E2332" s="11">
        <v>7265.62</v>
      </c>
      <c r="F2332" s="12">
        <v>45481</v>
      </c>
      <c r="G2332" s="12">
        <v>45765</v>
      </c>
      <c r="H2332" s="11" t="s">
        <v>3789</v>
      </c>
      <c r="I2332" s="11" t="s">
        <v>3361</v>
      </c>
      <c r="J2332" s="13" t="str" cm="1">
        <f t="array" ref="J2332">_xlfn.IFS(
  OR(ISBLANK(A2332),ISBLANK(B2332),ISBLANK(H2332),ISBLANK(D2332),ISBLANK(E2332)),"Missing Value",
  D2332&lt;=0,"Review – Out of Range (Coverage)",
  E2332&lt;=0,"Review – Out of Range (Premium)",
  TRUE,"OK"
)</f>
        <v>OK</v>
      </c>
    </row>
    <row r="2333" spans="1:10" ht="16.8" x14ac:dyDescent="0.3">
      <c r="A2333" s="14" t="s">
        <v>5995</v>
      </c>
      <c r="B2333" s="14" t="s">
        <v>1469</v>
      </c>
      <c r="C2333" s="14" t="s">
        <v>3371</v>
      </c>
      <c r="D2333" s="14">
        <v>121486.3</v>
      </c>
      <c r="E2333" s="14">
        <v>12406.15</v>
      </c>
      <c r="F2333" s="15">
        <v>45146</v>
      </c>
      <c r="G2333" s="15">
        <v>45182</v>
      </c>
      <c r="H2333" s="14" t="s">
        <v>3364</v>
      </c>
      <c r="I2333" s="14" t="s">
        <v>3365</v>
      </c>
      <c r="J2333" s="13" t="str" cm="1">
        <f t="array" ref="J2333">_xlfn.IFS(
  OR(ISBLANK(A2333),ISBLANK(B2333),ISBLANK(H2333),ISBLANK(D2333),ISBLANK(E2333)),"Missing Value",
  D2333&lt;=0,"Review – Out of Range (Coverage)",
  E2333&lt;=0,"Review – Out of Range (Premium)",
  TRUE,"OK"
)</f>
        <v>OK</v>
      </c>
    </row>
    <row r="2334" spans="1:10" ht="16.8" x14ac:dyDescent="0.3">
      <c r="A2334" s="11" t="s">
        <v>5996</v>
      </c>
      <c r="B2334" s="11" t="s">
        <v>2053</v>
      </c>
      <c r="C2334" s="11" t="s">
        <v>3377</v>
      </c>
      <c r="D2334" s="11">
        <v>865222.78</v>
      </c>
      <c r="E2334" s="11">
        <v>31726.27</v>
      </c>
      <c r="F2334" s="12">
        <v>44578</v>
      </c>
      <c r="G2334" s="12">
        <v>45001</v>
      </c>
      <c r="H2334" s="11" t="s">
        <v>3571</v>
      </c>
      <c r="I2334" s="11" t="s">
        <v>3373</v>
      </c>
      <c r="J2334" s="13" t="str" cm="1">
        <f t="array" ref="J2334">_xlfn.IFS(
  OR(ISBLANK(A2334),ISBLANK(B2334),ISBLANK(H2334),ISBLANK(D2334),ISBLANK(E2334)),"Missing Value",
  D2334&lt;=0,"Review – Out of Range (Coverage)",
  E2334&lt;=0,"Review – Out of Range (Premium)",
  TRUE,"OK"
)</f>
        <v>OK</v>
      </c>
    </row>
    <row r="2335" spans="1:10" ht="16.8" x14ac:dyDescent="0.3">
      <c r="A2335" s="14" t="s">
        <v>5997</v>
      </c>
      <c r="B2335" s="14" t="s">
        <v>1823</v>
      </c>
      <c r="C2335" s="14" t="s">
        <v>3363</v>
      </c>
      <c r="D2335" s="14">
        <v>148505.32</v>
      </c>
      <c r="E2335" s="14">
        <v>4192.3999999999996</v>
      </c>
      <c r="F2335" s="15">
        <v>44725</v>
      </c>
      <c r="G2335" s="15">
        <v>45090</v>
      </c>
      <c r="H2335" s="14" t="s">
        <v>3685</v>
      </c>
      <c r="I2335" s="14" t="s">
        <v>3365</v>
      </c>
      <c r="J2335" s="13" t="str" cm="1">
        <f t="array" ref="J2335">_xlfn.IFS(
  OR(ISBLANK(A2335),ISBLANK(B2335),ISBLANK(H2335),ISBLANK(D2335),ISBLANK(E2335)),"Missing Value",
  D2335&lt;=0,"Review – Out of Range (Coverage)",
  E2335&lt;=0,"Review – Out of Range (Premium)",
  TRUE,"OK"
)</f>
        <v>OK</v>
      </c>
    </row>
    <row r="2336" spans="1:10" ht="16.8" x14ac:dyDescent="0.3">
      <c r="A2336" s="11" t="s">
        <v>5998</v>
      </c>
      <c r="B2336" s="11" t="s">
        <v>1627</v>
      </c>
      <c r="C2336" s="11" t="s">
        <v>3363</v>
      </c>
      <c r="D2336" s="11">
        <v>151792.98000000001</v>
      </c>
      <c r="E2336" s="11">
        <v>43015.25</v>
      </c>
      <c r="F2336" s="12">
        <v>44883</v>
      </c>
      <c r="G2336" s="12">
        <v>45454</v>
      </c>
      <c r="H2336" s="11" t="s">
        <v>3551</v>
      </c>
      <c r="I2336" s="11" t="s">
        <v>3365</v>
      </c>
      <c r="J2336" s="13" t="str" cm="1">
        <f t="array" ref="J2336">_xlfn.IFS(
  OR(ISBLANK(A2336),ISBLANK(B2336),ISBLANK(H2336),ISBLANK(D2336),ISBLANK(E2336)),"Missing Value",
  D2336&lt;=0,"Review – Out of Range (Coverage)",
  E2336&lt;=0,"Review – Out of Range (Premium)",
  TRUE,"OK"
)</f>
        <v>OK</v>
      </c>
    </row>
    <row r="2337" spans="1:10" ht="16.8" x14ac:dyDescent="0.3">
      <c r="A2337" s="14" t="s">
        <v>5999</v>
      </c>
      <c r="B2337" s="14" t="s">
        <v>2531</v>
      </c>
      <c r="C2337" s="14" t="s">
        <v>3359</v>
      </c>
      <c r="D2337" s="14">
        <v>459429.72</v>
      </c>
      <c r="E2337" s="14">
        <v>40809.14</v>
      </c>
      <c r="F2337" s="15">
        <v>44362</v>
      </c>
      <c r="G2337" s="15">
        <v>45197</v>
      </c>
      <c r="H2337" s="14" t="s">
        <v>4108</v>
      </c>
      <c r="I2337" s="14" t="s">
        <v>3373</v>
      </c>
      <c r="J2337" s="13" t="str" cm="1">
        <f t="array" ref="J2337">_xlfn.IFS(
  OR(ISBLANK(A2337),ISBLANK(B2337),ISBLANK(H2337),ISBLANK(D2337),ISBLANK(E2337)),"Missing Value",
  D2337&lt;=0,"Review – Out of Range (Coverage)",
  E2337&lt;=0,"Review – Out of Range (Premium)",
  TRUE,"OK"
)</f>
        <v>OK</v>
      </c>
    </row>
    <row r="2338" spans="1:10" ht="16.8" x14ac:dyDescent="0.3">
      <c r="A2338" s="11" t="s">
        <v>6000</v>
      </c>
      <c r="B2338" s="11" t="s">
        <v>2703</v>
      </c>
      <c r="C2338" s="11" t="s">
        <v>3359</v>
      </c>
      <c r="D2338" s="11">
        <v>815531.69</v>
      </c>
      <c r="E2338" s="11">
        <v>49246.74</v>
      </c>
      <c r="F2338" s="12">
        <v>45333</v>
      </c>
      <c r="G2338" s="12">
        <v>45746</v>
      </c>
      <c r="H2338" s="11" t="s">
        <v>3429</v>
      </c>
      <c r="I2338" s="11" t="s">
        <v>3361</v>
      </c>
      <c r="J2338" s="13" t="str" cm="1">
        <f t="array" ref="J2338">_xlfn.IFS(
  OR(ISBLANK(A2338),ISBLANK(B2338),ISBLANK(H2338),ISBLANK(D2338),ISBLANK(E2338)),"Missing Value",
  D2338&lt;=0,"Review – Out of Range (Coverage)",
  E2338&lt;=0,"Review – Out of Range (Premium)",
  TRUE,"OK"
)</f>
        <v>OK</v>
      </c>
    </row>
    <row r="2339" spans="1:10" ht="16.8" x14ac:dyDescent="0.3">
      <c r="A2339" s="14" t="s">
        <v>6001</v>
      </c>
      <c r="B2339" s="14" t="s">
        <v>230</v>
      </c>
      <c r="C2339" s="14" t="s">
        <v>3371</v>
      </c>
      <c r="D2339" s="14">
        <v>213037.32</v>
      </c>
      <c r="E2339" s="14">
        <v>38754.92</v>
      </c>
      <c r="F2339" s="15">
        <v>44937</v>
      </c>
      <c r="G2339" s="15">
        <v>45832</v>
      </c>
      <c r="H2339" s="14" t="s">
        <v>3505</v>
      </c>
      <c r="I2339" s="14" t="s">
        <v>3361</v>
      </c>
      <c r="J2339" s="13" t="str" cm="1">
        <f t="array" ref="J2339">_xlfn.IFS(
  OR(ISBLANK(A2339),ISBLANK(B2339),ISBLANK(H2339),ISBLANK(D2339),ISBLANK(E2339)),"Missing Value",
  D2339&lt;=0,"Review – Out of Range (Coverage)",
  E2339&lt;=0,"Review – Out of Range (Premium)",
  TRUE,"OK"
)</f>
        <v>OK</v>
      </c>
    </row>
    <row r="2340" spans="1:10" ht="16.8" x14ac:dyDescent="0.3">
      <c r="A2340" s="11" t="s">
        <v>6002</v>
      </c>
      <c r="B2340" s="11" t="s">
        <v>1317</v>
      </c>
      <c r="C2340" s="11" t="s">
        <v>3371</v>
      </c>
      <c r="D2340" s="11">
        <v>457074.41</v>
      </c>
      <c r="E2340" s="11">
        <v>30337.46</v>
      </c>
      <c r="F2340" s="12">
        <v>45308</v>
      </c>
      <c r="G2340" s="12">
        <v>45679</v>
      </c>
      <c r="H2340" s="11" t="s">
        <v>4766</v>
      </c>
      <c r="I2340" s="11" t="s">
        <v>3361</v>
      </c>
      <c r="J2340" s="13" t="str" cm="1">
        <f t="array" ref="J2340">_xlfn.IFS(
  OR(ISBLANK(A2340),ISBLANK(B2340),ISBLANK(H2340),ISBLANK(D2340),ISBLANK(E2340)),"Missing Value",
  D2340&lt;=0,"Review – Out of Range (Coverage)",
  E2340&lt;=0,"Review – Out of Range (Premium)",
  TRUE,"OK"
)</f>
        <v>OK</v>
      </c>
    </row>
    <row r="2341" spans="1:10" ht="16.8" x14ac:dyDescent="0.3">
      <c r="A2341" s="14" t="s">
        <v>6003</v>
      </c>
      <c r="B2341" s="14" t="s">
        <v>2607</v>
      </c>
      <c r="C2341" s="14" t="s">
        <v>3363</v>
      </c>
      <c r="D2341" s="14">
        <v>493280.72</v>
      </c>
      <c r="E2341" s="14">
        <v>43713.19</v>
      </c>
      <c r="F2341" s="15">
        <v>44650</v>
      </c>
      <c r="G2341" s="15">
        <v>45285</v>
      </c>
      <c r="H2341" s="14" t="s">
        <v>3881</v>
      </c>
      <c r="I2341" s="14" t="s">
        <v>3373</v>
      </c>
      <c r="J2341" s="13" t="str" cm="1">
        <f t="array" ref="J2341">_xlfn.IFS(
  OR(ISBLANK(A2341),ISBLANK(B2341),ISBLANK(H2341),ISBLANK(D2341),ISBLANK(E2341)),"Missing Value",
  D2341&lt;=0,"Review – Out of Range (Coverage)",
  E2341&lt;=0,"Review – Out of Range (Premium)",
  TRUE,"OK"
)</f>
        <v>OK</v>
      </c>
    </row>
    <row r="2342" spans="1:10" ht="16.8" x14ac:dyDescent="0.3">
      <c r="A2342" s="11" t="s">
        <v>6004</v>
      </c>
      <c r="B2342" s="11" t="s">
        <v>1601</v>
      </c>
      <c r="C2342" s="11" t="s">
        <v>3377</v>
      </c>
      <c r="D2342" s="11">
        <v>107536.68</v>
      </c>
      <c r="E2342" s="11">
        <v>49481.18</v>
      </c>
      <c r="F2342" s="12">
        <v>45433</v>
      </c>
      <c r="G2342" s="12">
        <v>45813</v>
      </c>
      <c r="H2342" s="11" t="s">
        <v>3530</v>
      </c>
      <c r="I2342" s="11" t="s">
        <v>3361</v>
      </c>
      <c r="J2342" s="13" t="str" cm="1">
        <f t="array" ref="J2342">_xlfn.IFS(
  OR(ISBLANK(A2342),ISBLANK(B2342),ISBLANK(H2342),ISBLANK(D2342),ISBLANK(E2342)),"Missing Value",
  D2342&lt;=0,"Review – Out of Range (Coverage)",
  E2342&lt;=0,"Review – Out of Range (Premium)",
  TRUE,"OK"
)</f>
        <v>OK</v>
      </c>
    </row>
    <row r="2343" spans="1:10" ht="16.8" x14ac:dyDescent="0.3">
      <c r="A2343" s="14" t="s">
        <v>6005</v>
      </c>
      <c r="B2343" s="14" t="s">
        <v>2815</v>
      </c>
      <c r="C2343" s="14" t="s">
        <v>3371</v>
      </c>
      <c r="D2343" s="14">
        <v>523601.4</v>
      </c>
      <c r="E2343" s="14">
        <v>13332.61</v>
      </c>
      <c r="F2343" s="15">
        <v>45473</v>
      </c>
      <c r="G2343" s="15">
        <v>45686</v>
      </c>
      <c r="H2343" s="14" t="s">
        <v>3638</v>
      </c>
      <c r="I2343" s="14" t="s">
        <v>3361</v>
      </c>
      <c r="J2343" s="13" t="str" cm="1">
        <f t="array" ref="J2343">_xlfn.IFS(
  OR(ISBLANK(A2343),ISBLANK(B2343),ISBLANK(H2343),ISBLANK(D2343),ISBLANK(E2343)),"Missing Value",
  D2343&lt;=0,"Review – Out of Range (Coverage)",
  E2343&lt;=0,"Review – Out of Range (Premium)",
  TRUE,"OK"
)</f>
        <v>OK</v>
      </c>
    </row>
    <row r="2344" spans="1:10" ht="16.8" x14ac:dyDescent="0.3">
      <c r="A2344" s="11" t="s">
        <v>6006</v>
      </c>
      <c r="B2344" s="11" t="s">
        <v>118</v>
      </c>
      <c r="C2344" s="11" t="s">
        <v>3363</v>
      </c>
      <c r="D2344" s="11">
        <v>568396.72</v>
      </c>
      <c r="E2344" s="11">
        <v>6975.67</v>
      </c>
      <c r="F2344" s="12">
        <v>44981</v>
      </c>
      <c r="G2344" s="12">
        <v>45002</v>
      </c>
      <c r="H2344" s="11" t="s">
        <v>3601</v>
      </c>
      <c r="I2344" s="11" t="s">
        <v>3361</v>
      </c>
      <c r="J2344" s="13" t="str" cm="1">
        <f t="array" ref="J2344">_xlfn.IFS(
  OR(ISBLANK(A2344),ISBLANK(B2344),ISBLANK(H2344),ISBLANK(D2344),ISBLANK(E2344)),"Missing Value",
  D2344&lt;=0,"Review – Out of Range (Coverage)",
  E2344&lt;=0,"Review – Out of Range (Premium)",
  TRUE,"OK"
)</f>
        <v>OK</v>
      </c>
    </row>
    <row r="2345" spans="1:10" ht="16.8" x14ac:dyDescent="0.3">
      <c r="A2345" s="14" t="s">
        <v>6007</v>
      </c>
      <c r="B2345" s="14" t="s">
        <v>955</v>
      </c>
      <c r="C2345" s="14" t="s">
        <v>3363</v>
      </c>
      <c r="D2345" s="14">
        <v>712748.09</v>
      </c>
      <c r="E2345" s="14">
        <v>36301.69</v>
      </c>
      <c r="F2345" s="15">
        <v>44165</v>
      </c>
      <c r="G2345" s="15">
        <v>44791</v>
      </c>
      <c r="H2345" s="14" t="s">
        <v>3591</v>
      </c>
      <c r="I2345" s="14" t="s">
        <v>3365</v>
      </c>
      <c r="J2345" s="13" t="str" cm="1">
        <f t="array" ref="J2345">_xlfn.IFS(
  OR(ISBLANK(A2345),ISBLANK(B2345),ISBLANK(H2345),ISBLANK(D2345),ISBLANK(E2345)),"Missing Value",
  D2345&lt;=0,"Review – Out of Range (Coverage)",
  E2345&lt;=0,"Review – Out of Range (Premium)",
  TRUE,"OK"
)</f>
        <v>OK</v>
      </c>
    </row>
    <row r="2346" spans="1:10" ht="16.8" x14ac:dyDescent="0.3">
      <c r="A2346" s="11" t="s">
        <v>6008</v>
      </c>
      <c r="B2346" s="11" t="s">
        <v>3324</v>
      </c>
      <c r="C2346" s="11" t="s">
        <v>3377</v>
      </c>
      <c r="D2346" s="11">
        <v>971000.13</v>
      </c>
      <c r="E2346" s="11">
        <v>20335.77</v>
      </c>
      <c r="F2346" s="12">
        <v>45191</v>
      </c>
      <c r="G2346" s="12">
        <v>45562</v>
      </c>
      <c r="H2346" s="11" t="s">
        <v>5171</v>
      </c>
      <c r="I2346" s="11" t="s">
        <v>3373</v>
      </c>
      <c r="J2346" s="13" t="str" cm="1">
        <f t="array" ref="J2346">_xlfn.IFS(
  OR(ISBLANK(A2346),ISBLANK(B2346),ISBLANK(H2346),ISBLANK(D2346),ISBLANK(E2346)),"Missing Value",
  D2346&lt;=0,"Review – Out of Range (Coverage)",
  E2346&lt;=0,"Review – Out of Range (Premium)",
  TRUE,"OK"
)</f>
        <v>OK</v>
      </c>
    </row>
    <row r="2347" spans="1:10" ht="16.8" x14ac:dyDescent="0.3">
      <c r="A2347" s="14" t="s">
        <v>6009</v>
      </c>
      <c r="B2347" s="14" t="s">
        <v>939</v>
      </c>
      <c r="C2347" s="14" t="s">
        <v>3380</v>
      </c>
      <c r="D2347" s="14">
        <v>791904.16</v>
      </c>
      <c r="E2347" s="14">
        <v>7005.62</v>
      </c>
      <c r="F2347" s="15">
        <v>44576</v>
      </c>
      <c r="G2347" s="15">
        <v>44839</v>
      </c>
      <c r="H2347" s="14" t="s">
        <v>3974</v>
      </c>
      <c r="I2347" s="14" t="s">
        <v>3365</v>
      </c>
      <c r="J2347" s="13" t="str" cm="1">
        <f t="array" ref="J2347">_xlfn.IFS(
  OR(ISBLANK(A2347),ISBLANK(B2347),ISBLANK(H2347),ISBLANK(D2347),ISBLANK(E2347)),"Missing Value",
  D2347&lt;=0,"Review – Out of Range (Coverage)",
  E2347&lt;=0,"Review – Out of Range (Premium)",
  TRUE,"OK"
)</f>
        <v>OK</v>
      </c>
    </row>
    <row r="2348" spans="1:10" ht="16.8" x14ac:dyDescent="0.3">
      <c r="A2348" s="11" t="s">
        <v>6010</v>
      </c>
      <c r="B2348" s="11" t="s">
        <v>358</v>
      </c>
      <c r="C2348" s="11" t="s">
        <v>3371</v>
      </c>
      <c r="D2348" s="11">
        <v>837784.36</v>
      </c>
      <c r="E2348" s="11">
        <v>9052.26</v>
      </c>
      <c r="F2348" s="12">
        <v>44107</v>
      </c>
      <c r="G2348" s="12">
        <v>45180</v>
      </c>
      <c r="H2348" s="11" t="s">
        <v>3603</v>
      </c>
      <c r="I2348" s="11" t="s">
        <v>3373</v>
      </c>
      <c r="J2348" s="13" t="str" cm="1">
        <f t="array" ref="J2348">_xlfn.IFS(
  OR(ISBLANK(A2348),ISBLANK(B2348),ISBLANK(H2348),ISBLANK(D2348),ISBLANK(E2348)),"Missing Value",
  D2348&lt;=0,"Review – Out of Range (Coverage)",
  E2348&lt;=0,"Review – Out of Range (Premium)",
  TRUE,"OK"
)</f>
        <v>OK</v>
      </c>
    </row>
    <row r="2349" spans="1:10" ht="16.8" x14ac:dyDescent="0.3">
      <c r="A2349" s="14" t="s">
        <v>6011</v>
      </c>
      <c r="B2349" s="14" t="s">
        <v>1873</v>
      </c>
      <c r="C2349" s="14" t="s">
        <v>3380</v>
      </c>
      <c r="D2349" s="14">
        <v>343257.24</v>
      </c>
      <c r="E2349" s="14">
        <v>38915.800000000003</v>
      </c>
      <c r="F2349" s="15">
        <v>44314</v>
      </c>
      <c r="G2349" s="15">
        <v>45364</v>
      </c>
      <c r="H2349" s="14" t="s">
        <v>4095</v>
      </c>
      <c r="I2349" s="14" t="s">
        <v>3365</v>
      </c>
      <c r="J2349" s="13" t="str" cm="1">
        <f t="array" ref="J2349">_xlfn.IFS(
  OR(ISBLANK(A2349),ISBLANK(B2349),ISBLANK(H2349),ISBLANK(D2349),ISBLANK(E2349)),"Missing Value",
  D2349&lt;=0,"Review – Out of Range (Coverage)",
  E2349&lt;=0,"Review – Out of Range (Premium)",
  TRUE,"OK"
)</f>
        <v>OK</v>
      </c>
    </row>
    <row r="2350" spans="1:10" ht="16.8" x14ac:dyDescent="0.3">
      <c r="A2350" s="11" t="s">
        <v>6012</v>
      </c>
      <c r="B2350" s="11" t="s">
        <v>3312</v>
      </c>
      <c r="C2350" s="11" t="s">
        <v>3363</v>
      </c>
      <c r="D2350" s="11">
        <v>627514.89</v>
      </c>
      <c r="E2350" s="11">
        <v>12023.94</v>
      </c>
      <c r="F2350" s="12">
        <v>44383</v>
      </c>
      <c r="G2350" s="12">
        <v>44704</v>
      </c>
      <c r="H2350" s="11" t="s">
        <v>3911</v>
      </c>
      <c r="I2350" s="11" t="s">
        <v>3373</v>
      </c>
      <c r="J2350" s="13" t="str" cm="1">
        <f t="array" ref="J2350">_xlfn.IFS(
  OR(ISBLANK(A2350),ISBLANK(B2350),ISBLANK(H2350),ISBLANK(D2350),ISBLANK(E2350)),"Missing Value",
  D2350&lt;=0,"Review – Out of Range (Coverage)",
  E2350&lt;=0,"Review – Out of Range (Premium)",
  TRUE,"OK"
)</f>
        <v>OK</v>
      </c>
    </row>
    <row r="2351" spans="1:10" ht="16.8" x14ac:dyDescent="0.3">
      <c r="A2351" s="14" t="s">
        <v>6013</v>
      </c>
      <c r="B2351" s="14" t="s">
        <v>2301</v>
      </c>
      <c r="C2351" s="14" t="s">
        <v>3363</v>
      </c>
      <c r="D2351" s="14">
        <v>130625.48</v>
      </c>
      <c r="E2351" s="14">
        <v>35963.660000000003</v>
      </c>
      <c r="F2351" s="15">
        <v>44870</v>
      </c>
      <c r="G2351" s="15">
        <v>45111</v>
      </c>
      <c r="H2351" s="14" t="s">
        <v>3838</v>
      </c>
      <c r="I2351" s="14" t="s">
        <v>3373</v>
      </c>
      <c r="J2351" s="13" t="str" cm="1">
        <f t="array" ref="J2351">_xlfn.IFS(
  OR(ISBLANK(A2351),ISBLANK(B2351),ISBLANK(H2351),ISBLANK(D2351),ISBLANK(E2351)),"Missing Value",
  D2351&lt;=0,"Review – Out of Range (Coverage)",
  E2351&lt;=0,"Review – Out of Range (Premium)",
  TRUE,"OK"
)</f>
        <v>OK</v>
      </c>
    </row>
    <row r="2352" spans="1:10" ht="16.8" x14ac:dyDescent="0.3">
      <c r="A2352" s="11" t="s">
        <v>6014</v>
      </c>
      <c r="B2352" s="11" t="s">
        <v>2821</v>
      </c>
      <c r="C2352" s="11" t="s">
        <v>3371</v>
      </c>
      <c r="D2352" s="11">
        <v>339413.32</v>
      </c>
      <c r="E2352" s="11">
        <v>45157.56</v>
      </c>
      <c r="F2352" s="12">
        <v>44895</v>
      </c>
      <c r="G2352" s="12">
        <v>45074</v>
      </c>
      <c r="H2352" s="11" t="s">
        <v>3918</v>
      </c>
      <c r="I2352" s="11" t="s">
        <v>3361</v>
      </c>
      <c r="J2352" s="13" t="str" cm="1">
        <f t="array" ref="J2352">_xlfn.IFS(
  OR(ISBLANK(A2352),ISBLANK(B2352),ISBLANK(H2352),ISBLANK(D2352),ISBLANK(E2352)),"Missing Value",
  D2352&lt;=0,"Review – Out of Range (Coverage)",
  E2352&lt;=0,"Review – Out of Range (Premium)",
  TRUE,"OK"
)</f>
        <v>OK</v>
      </c>
    </row>
    <row r="2353" spans="1:10" ht="16.8" x14ac:dyDescent="0.3">
      <c r="A2353" s="14" t="s">
        <v>6015</v>
      </c>
      <c r="B2353" s="14" t="s">
        <v>3330</v>
      </c>
      <c r="C2353" s="14" t="s">
        <v>3371</v>
      </c>
      <c r="D2353" s="14">
        <v>351904.66</v>
      </c>
      <c r="E2353" s="14">
        <v>31204.89</v>
      </c>
      <c r="F2353" s="15">
        <v>44040</v>
      </c>
      <c r="G2353" s="15">
        <v>45260</v>
      </c>
      <c r="H2353" s="14" t="s">
        <v>4240</v>
      </c>
      <c r="I2353" s="14" t="s">
        <v>3373</v>
      </c>
      <c r="J2353" s="13" t="str" cm="1">
        <f t="array" ref="J2353">_xlfn.IFS(
  OR(ISBLANK(A2353),ISBLANK(B2353),ISBLANK(H2353),ISBLANK(D2353),ISBLANK(E2353)),"Missing Value",
  D2353&lt;=0,"Review – Out of Range (Coverage)",
  E2353&lt;=0,"Review – Out of Range (Premium)",
  TRUE,"OK"
)</f>
        <v>OK</v>
      </c>
    </row>
    <row r="2354" spans="1:10" ht="16.8" x14ac:dyDescent="0.3">
      <c r="A2354" s="11" t="s">
        <v>6016</v>
      </c>
      <c r="B2354" s="11" t="s">
        <v>1835</v>
      </c>
      <c r="C2354" s="11" t="s">
        <v>3377</v>
      </c>
      <c r="D2354" s="11">
        <v>916975.81</v>
      </c>
      <c r="E2354" s="11">
        <v>3934.8</v>
      </c>
      <c r="F2354" s="12">
        <v>44690</v>
      </c>
      <c r="G2354" s="12">
        <v>44889</v>
      </c>
      <c r="H2354" s="11" t="s">
        <v>3569</v>
      </c>
      <c r="I2354" s="11" t="s">
        <v>3361</v>
      </c>
      <c r="J2354" s="13" t="str" cm="1">
        <f t="array" ref="J2354">_xlfn.IFS(
  OR(ISBLANK(A2354),ISBLANK(B2354),ISBLANK(H2354),ISBLANK(D2354),ISBLANK(E2354)),"Missing Value",
  D2354&lt;=0,"Review – Out of Range (Coverage)",
  E2354&lt;=0,"Review – Out of Range (Premium)",
  TRUE,"OK"
)</f>
        <v>OK</v>
      </c>
    </row>
    <row r="2355" spans="1:10" ht="16.8" x14ac:dyDescent="0.3">
      <c r="A2355" s="14" t="s">
        <v>6017</v>
      </c>
      <c r="B2355" s="14" t="s">
        <v>2665</v>
      </c>
      <c r="C2355" s="14" t="s">
        <v>3371</v>
      </c>
      <c r="D2355" s="14">
        <v>149265.84</v>
      </c>
      <c r="E2355" s="14">
        <v>45645.95</v>
      </c>
      <c r="F2355" s="15">
        <v>44993</v>
      </c>
      <c r="G2355" s="15">
        <v>45822</v>
      </c>
      <c r="H2355" s="14" t="s">
        <v>3423</v>
      </c>
      <c r="I2355" s="14" t="s">
        <v>3365</v>
      </c>
      <c r="J2355" s="13" t="str" cm="1">
        <f t="array" ref="J2355">_xlfn.IFS(
  OR(ISBLANK(A2355),ISBLANK(B2355),ISBLANK(H2355),ISBLANK(D2355),ISBLANK(E2355)),"Missing Value",
  D2355&lt;=0,"Review – Out of Range (Coverage)",
  E2355&lt;=0,"Review – Out of Range (Premium)",
  TRUE,"OK"
)</f>
        <v>OK</v>
      </c>
    </row>
    <row r="2356" spans="1:10" ht="16.8" x14ac:dyDescent="0.3">
      <c r="A2356" s="11" t="s">
        <v>6018</v>
      </c>
      <c r="B2356" s="11" t="s">
        <v>2389</v>
      </c>
      <c r="C2356" s="11" t="s">
        <v>3363</v>
      </c>
      <c r="D2356" s="11">
        <v>689160.26</v>
      </c>
      <c r="E2356" s="11">
        <v>35264.76</v>
      </c>
      <c r="F2356" s="12">
        <v>44854</v>
      </c>
      <c r="G2356" s="12">
        <v>45475</v>
      </c>
      <c r="H2356" s="11" t="s">
        <v>4423</v>
      </c>
      <c r="I2356" s="11" t="s">
        <v>3373</v>
      </c>
      <c r="J2356" s="13" t="str" cm="1">
        <f t="array" ref="J2356">_xlfn.IFS(
  OR(ISBLANK(A2356),ISBLANK(B2356),ISBLANK(H2356),ISBLANK(D2356),ISBLANK(E2356)),"Missing Value",
  D2356&lt;=0,"Review – Out of Range (Coverage)",
  E2356&lt;=0,"Review – Out of Range (Premium)",
  TRUE,"OK"
)</f>
        <v>OK</v>
      </c>
    </row>
    <row r="2357" spans="1:10" ht="16.8" x14ac:dyDescent="0.3">
      <c r="A2357" s="14" t="s">
        <v>6019</v>
      </c>
      <c r="B2357" s="14" t="s">
        <v>2079</v>
      </c>
      <c r="C2357" s="14" t="s">
        <v>3380</v>
      </c>
      <c r="D2357" s="14">
        <v>788169.22</v>
      </c>
      <c r="E2357" s="14">
        <v>25479.8</v>
      </c>
      <c r="F2357" s="15">
        <v>44808</v>
      </c>
      <c r="G2357" s="15">
        <v>45107</v>
      </c>
      <c r="H2357" s="14" t="s">
        <v>3617</v>
      </c>
      <c r="I2357" s="14" t="s">
        <v>3361</v>
      </c>
      <c r="J2357" s="13" t="str" cm="1">
        <f t="array" ref="J2357">_xlfn.IFS(
  OR(ISBLANK(A2357),ISBLANK(B2357),ISBLANK(H2357),ISBLANK(D2357),ISBLANK(E2357)),"Missing Value",
  D2357&lt;=0,"Review – Out of Range (Coverage)",
  E2357&lt;=0,"Review – Out of Range (Premium)",
  TRUE,"OK"
)</f>
        <v>OK</v>
      </c>
    </row>
    <row r="2358" spans="1:10" ht="16.8" x14ac:dyDescent="0.3">
      <c r="A2358" s="11" t="s">
        <v>6020</v>
      </c>
      <c r="B2358" s="11" t="s">
        <v>1649</v>
      </c>
      <c r="C2358" s="11" t="s">
        <v>3371</v>
      </c>
      <c r="D2358" s="11">
        <v>275582.61</v>
      </c>
      <c r="E2358" s="11">
        <v>28440.45</v>
      </c>
      <c r="F2358" s="12">
        <v>45409</v>
      </c>
      <c r="G2358" s="12">
        <v>45645</v>
      </c>
      <c r="H2358" s="11" t="s">
        <v>3774</v>
      </c>
      <c r="I2358" s="11" t="s">
        <v>3373</v>
      </c>
      <c r="J2358" s="13" t="str" cm="1">
        <f t="array" ref="J2358">_xlfn.IFS(
  OR(ISBLANK(A2358),ISBLANK(B2358),ISBLANK(H2358),ISBLANK(D2358),ISBLANK(E2358)),"Missing Value",
  D2358&lt;=0,"Review – Out of Range (Coverage)",
  E2358&lt;=0,"Review – Out of Range (Premium)",
  TRUE,"OK"
)</f>
        <v>OK</v>
      </c>
    </row>
    <row r="2359" spans="1:10" ht="16.8" x14ac:dyDescent="0.3">
      <c r="A2359" s="14" t="s">
        <v>6021</v>
      </c>
      <c r="B2359" s="14" t="s">
        <v>3302</v>
      </c>
      <c r="C2359" s="14" t="s">
        <v>3363</v>
      </c>
      <c r="D2359" s="14">
        <v>811840.1</v>
      </c>
      <c r="E2359" s="14">
        <v>16160.1</v>
      </c>
      <c r="F2359" s="15">
        <v>45136</v>
      </c>
      <c r="G2359" s="15">
        <v>45436</v>
      </c>
      <c r="H2359" s="14" t="s">
        <v>3383</v>
      </c>
      <c r="I2359" s="14" t="s">
        <v>3373</v>
      </c>
      <c r="J2359" s="13" t="str" cm="1">
        <f t="array" ref="J2359">_xlfn.IFS(
  OR(ISBLANK(A2359),ISBLANK(B2359),ISBLANK(H2359),ISBLANK(D2359),ISBLANK(E2359)),"Missing Value",
  D2359&lt;=0,"Review – Out of Range (Coverage)",
  E2359&lt;=0,"Review – Out of Range (Premium)",
  TRUE,"OK"
)</f>
        <v>OK</v>
      </c>
    </row>
    <row r="2360" spans="1:10" ht="16.8" x14ac:dyDescent="0.3">
      <c r="A2360" s="11" t="s">
        <v>6022</v>
      </c>
      <c r="B2360" s="11" t="s">
        <v>1179</v>
      </c>
      <c r="C2360" s="11" t="s">
        <v>3377</v>
      </c>
      <c r="D2360" s="11">
        <v>606969.59</v>
      </c>
      <c r="E2360" s="11">
        <v>24853.96</v>
      </c>
      <c r="F2360" s="12">
        <v>44698</v>
      </c>
      <c r="G2360" s="12">
        <v>45169</v>
      </c>
      <c r="H2360" s="11" t="s">
        <v>3378</v>
      </c>
      <c r="I2360" s="11" t="s">
        <v>3361</v>
      </c>
      <c r="J2360" s="13" t="str" cm="1">
        <f t="array" ref="J2360">_xlfn.IFS(
  OR(ISBLANK(A2360),ISBLANK(B2360),ISBLANK(H2360),ISBLANK(D2360),ISBLANK(E2360)),"Missing Value",
  D2360&lt;=0,"Review – Out of Range (Coverage)",
  E2360&lt;=0,"Review – Out of Range (Premium)",
  TRUE,"OK"
)</f>
        <v>OK</v>
      </c>
    </row>
    <row r="2361" spans="1:10" ht="16.8" x14ac:dyDescent="0.3">
      <c r="A2361" s="14" t="s">
        <v>6023</v>
      </c>
      <c r="B2361" s="14" t="s">
        <v>420</v>
      </c>
      <c r="C2361" s="14" t="s">
        <v>3371</v>
      </c>
      <c r="D2361" s="14">
        <v>628076.97</v>
      </c>
      <c r="E2361" s="14">
        <v>13662.93</v>
      </c>
      <c r="F2361" s="15">
        <v>45129</v>
      </c>
      <c r="G2361" s="15">
        <v>45329</v>
      </c>
      <c r="H2361" s="14" t="s">
        <v>4900</v>
      </c>
      <c r="I2361" s="14" t="s">
        <v>3373</v>
      </c>
      <c r="J2361" s="13" t="str" cm="1">
        <f t="array" ref="J2361">_xlfn.IFS(
  OR(ISBLANK(A2361),ISBLANK(B2361),ISBLANK(H2361),ISBLANK(D2361),ISBLANK(E2361)),"Missing Value",
  D2361&lt;=0,"Review – Out of Range (Coverage)",
  E2361&lt;=0,"Review – Out of Range (Premium)",
  TRUE,"OK"
)</f>
        <v>OK</v>
      </c>
    </row>
    <row r="2362" spans="1:10" ht="16.8" x14ac:dyDescent="0.3">
      <c r="A2362" s="11" t="s">
        <v>6024</v>
      </c>
      <c r="B2362" s="11" t="s">
        <v>3228</v>
      </c>
      <c r="C2362" s="11" t="s">
        <v>3359</v>
      </c>
      <c r="D2362" s="11">
        <v>469788.09</v>
      </c>
      <c r="E2362" s="11">
        <v>13995.67</v>
      </c>
      <c r="F2362" s="12">
        <v>45269</v>
      </c>
      <c r="G2362" s="12">
        <v>45349</v>
      </c>
      <c r="H2362" s="11" t="s">
        <v>3581</v>
      </c>
      <c r="I2362" s="11" t="s">
        <v>3373</v>
      </c>
      <c r="J2362" s="13" t="str" cm="1">
        <f t="array" ref="J2362">_xlfn.IFS(
  OR(ISBLANK(A2362),ISBLANK(B2362),ISBLANK(H2362),ISBLANK(D2362),ISBLANK(E2362)),"Missing Value",
  D2362&lt;=0,"Review – Out of Range (Coverage)",
  E2362&lt;=0,"Review – Out of Range (Premium)",
  TRUE,"OK"
)</f>
        <v>OK</v>
      </c>
    </row>
    <row r="2363" spans="1:10" ht="16.8" x14ac:dyDescent="0.3">
      <c r="A2363" s="14" t="s">
        <v>6025</v>
      </c>
      <c r="B2363" s="14" t="s">
        <v>1965</v>
      </c>
      <c r="C2363" s="14" t="s">
        <v>3363</v>
      </c>
      <c r="D2363" s="14">
        <v>349093.38</v>
      </c>
      <c r="E2363" s="14">
        <v>39480.54</v>
      </c>
      <c r="F2363" s="15">
        <v>44048</v>
      </c>
      <c r="G2363" s="15">
        <v>44470</v>
      </c>
      <c r="H2363" s="14" t="s">
        <v>3696</v>
      </c>
      <c r="I2363" s="14" t="s">
        <v>3373</v>
      </c>
      <c r="J2363" s="13" t="str" cm="1">
        <f t="array" ref="J2363">_xlfn.IFS(
  OR(ISBLANK(A2363),ISBLANK(B2363),ISBLANK(H2363),ISBLANK(D2363),ISBLANK(E2363)),"Missing Value",
  D2363&lt;=0,"Review – Out of Range (Coverage)",
  E2363&lt;=0,"Review – Out of Range (Premium)",
  TRUE,"OK"
)</f>
        <v>OK</v>
      </c>
    </row>
    <row r="2364" spans="1:10" ht="16.8" x14ac:dyDescent="0.3">
      <c r="A2364" s="11" t="s">
        <v>6026</v>
      </c>
      <c r="B2364" s="11" t="s">
        <v>3214</v>
      </c>
      <c r="C2364" s="11" t="s">
        <v>3380</v>
      </c>
      <c r="D2364" s="11">
        <v>956165.38</v>
      </c>
      <c r="E2364" s="11">
        <v>29629.98</v>
      </c>
      <c r="F2364" s="12">
        <v>44466</v>
      </c>
      <c r="G2364" s="12">
        <v>45504</v>
      </c>
      <c r="H2364" s="11" t="s">
        <v>3517</v>
      </c>
      <c r="I2364" s="11" t="s">
        <v>3365</v>
      </c>
      <c r="J2364" s="13" t="str" cm="1">
        <f t="array" ref="J2364">_xlfn.IFS(
  OR(ISBLANK(A2364),ISBLANK(B2364),ISBLANK(H2364),ISBLANK(D2364),ISBLANK(E2364)),"Missing Value",
  D2364&lt;=0,"Review – Out of Range (Coverage)",
  E2364&lt;=0,"Review – Out of Range (Premium)",
  TRUE,"OK"
)</f>
        <v>OK</v>
      </c>
    </row>
    <row r="2365" spans="1:10" ht="16.8" x14ac:dyDescent="0.3">
      <c r="A2365" s="14" t="s">
        <v>6027</v>
      </c>
      <c r="B2365" s="14" t="s">
        <v>3068</v>
      </c>
      <c r="C2365" s="14" t="s">
        <v>3371</v>
      </c>
      <c r="D2365" s="14">
        <v>517010.39</v>
      </c>
      <c r="E2365" s="14">
        <v>21127.34</v>
      </c>
      <c r="F2365" s="15">
        <v>44443</v>
      </c>
      <c r="G2365" s="15">
        <v>45477</v>
      </c>
      <c r="H2365" s="14" t="s">
        <v>3454</v>
      </c>
      <c r="I2365" s="14" t="s">
        <v>3373</v>
      </c>
      <c r="J2365" s="13" t="str" cm="1">
        <f t="array" ref="J2365">_xlfn.IFS(
  OR(ISBLANK(A2365),ISBLANK(B2365),ISBLANK(H2365),ISBLANK(D2365),ISBLANK(E2365)),"Missing Value",
  D2365&lt;=0,"Review – Out of Range (Coverage)",
  E2365&lt;=0,"Review – Out of Range (Premium)",
  TRUE,"OK"
)</f>
        <v>OK</v>
      </c>
    </row>
    <row r="2366" spans="1:10" ht="16.8" x14ac:dyDescent="0.3">
      <c r="A2366" s="11" t="s">
        <v>6028</v>
      </c>
      <c r="B2366" s="11" t="s">
        <v>1525</v>
      </c>
      <c r="C2366" s="11" t="s">
        <v>3380</v>
      </c>
      <c r="D2366" s="11">
        <v>223851.13</v>
      </c>
      <c r="E2366" s="11">
        <v>24631.68</v>
      </c>
      <c r="F2366" s="12">
        <v>44853</v>
      </c>
      <c r="G2366" s="12">
        <v>45627</v>
      </c>
      <c r="H2366" s="11" t="s">
        <v>3834</v>
      </c>
      <c r="I2366" s="11" t="s">
        <v>3361</v>
      </c>
      <c r="J2366" s="13" t="str" cm="1">
        <f t="array" ref="J2366">_xlfn.IFS(
  OR(ISBLANK(A2366),ISBLANK(B2366),ISBLANK(H2366),ISBLANK(D2366),ISBLANK(E2366)),"Missing Value",
  D2366&lt;=0,"Review – Out of Range (Coverage)",
  E2366&lt;=0,"Review – Out of Range (Premium)",
  TRUE,"OK"
)</f>
        <v>OK</v>
      </c>
    </row>
    <row r="2367" spans="1:10" ht="16.8" x14ac:dyDescent="0.3">
      <c r="A2367" s="14" t="s">
        <v>6029</v>
      </c>
      <c r="B2367" s="14" t="s">
        <v>971</v>
      </c>
      <c r="C2367" s="14" t="s">
        <v>3377</v>
      </c>
      <c r="D2367" s="14">
        <v>772914.95</v>
      </c>
      <c r="E2367" s="14">
        <v>37692.660000000003</v>
      </c>
      <c r="F2367" s="15">
        <v>45154</v>
      </c>
      <c r="G2367" s="15">
        <v>45694</v>
      </c>
      <c r="H2367" s="14" t="s">
        <v>3524</v>
      </c>
      <c r="I2367" s="14" t="s">
        <v>3365</v>
      </c>
      <c r="J2367" s="13" t="str" cm="1">
        <f t="array" ref="J2367">_xlfn.IFS(
  OR(ISBLANK(A2367),ISBLANK(B2367),ISBLANK(H2367),ISBLANK(D2367),ISBLANK(E2367)),"Missing Value",
  D2367&lt;=0,"Review – Out of Range (Coverage)",
  E2367&lt;=0,"Review – Out of Range (Premium)",
  TRUE,"OK"
)</f>
        <v>OK</v>
      </c>
    </row>
    <row r="2368" spans="1:10" ht="16.8" x14ac:dyDescent="0.3">
      <c r="A2368" s="11" t="s">
        <v>6030</v>
      </c>
      <c r="B2368" s="11" t="s">
        <v>1325</v>
      </c>
      <c r="C2368" s="11" t="s">
        <v>3359</v>
      </c>
      <c r="D2368" s="11">
        <v>505325.66</v>
      </c>
      <c r="E2368" s="11">
        <v>43991.41</v>
      </c>
      <c r="F2368" s="12">
        <v>44912</v>
      </c>
      <c r="G2368" s="12">
        <v>45325</v>
      </c>
      <c r="H2368" s="11" t="s">
        <v>4900</v>
      </c>
      <c r="I2368" s="11" t="s">
        <v>3373</v>
      </c>
      <c r="J2368" s="13" t="str" cm="1">
        <f t="array" ref="J2368">_xlfn.IFS(
  OR(ISBLANK(A2368),ISBLANK(B2368),ISBLANK(H2368),ISBLANK(D2368),ISBLANK(E2368)),"Missing Value",
  D2368&lt;=0,"Review – Out of Range (Coverage)",
  E2368&lt;=0,"Review – Out of Range (Premium)",
  TRUE,"OK"
)</f>
        <v>OK</v>
      </c>
    </row>
    <row r="2369" spans="1:10" ht="16.8" x14ac:dyDescent="0.3">
      <c r="A2369" s="14" t="s">
        <v>6031</v>
      </c>
      <c r="B2369" s="14" t="s">
        <v>1857</v>
      </c>
      <c r="C2369" s="14" t="s">
        <v>3359</v>
      </c>
      <c r="D2369" s="14">
        <v>474925.59</v>
      </c>
      <c r="E2369" s="14">
        <v>33648.199999999997</v>
      </c>
      <c r="F2369" s="15">
        <v>44387</v>
      </c>
      <c r="G2369" s="15">
        <v>45264</v>
      </c>
      <c r="H2369" s="14" t="s">
        <v>3928</v>
      </c>
      <c r="I2369" s="14" t="s">
        <v>3365</v>
      </c>
      <c r="J2369" s="13" t="str" cm="1">
        <f t="array" ref="J2369">_xlfn.IFS(
  OR(ISBLANK(A2369),ISBLANK(B2369),ISBLANK(H2369),ISBLANK(D2369),ISBLANK(E2369)),"Missing Value",
  D2369&lt;=0,"Review – Out of Range (Coverage)",
  E2369&lt;=0,"Review – Out of Range (Premium)",
  TRUE,"OK"
)</f>
        <v>OK</v>
      </c>
    </row>
    <row r="2370" spans="1:10" ht="16.8" x14ac:dyDescent="0.3">
      <c r="A2370" s="11" t="s">
        <v>6032</v>
      </c>
      <c r="B2370" s="11" t="s">
        <v>2867</v>
      </c>
      <c r="C2370" s="11" t="s">
        <v>3377</v>
      </c>
      <c r="D2370" s="11">
        <v>222943.63</v>
      </c>
      <c r="E2370" s="11">
        <v>20239.12</v>
      </c>
      <c r="F2370" s="12">
        <v>44988</v>
      </c>
      <c r="G2370" s="12">
        <v>45442</v>
      </c>
      <c r="H2370" s="11" t="s">
        <v>3792</v>
      </c>
      <c r="I2370" s="11" t="s">
        <v>3365</v>
      </c>
      <c r="J2370" s="13" t="str" cm="1">
        <f t="array" ref="J2370">_xlfn.IFS(
  OR(ISBLANK(A2370),ISBLANK(B2370),ISBLANK(H2370),ISBLANK(D2370),ISBLANK(E2370)),"Missing Value",
  D2370&lt;=0,"Review – Out of Range (Coverage)",
  E2370&lt;=0,"Review – Out of Range (Premium)",
  TRUE,"OK"
)</f>
        <v>OK</v>
      </c>
    </row>
    <row r="2371" spans="1:10" ht="16.8" x14ac:dyDescent="0.3">
      <c r="A2371" s="14" t="s">
        <v>6033</v>
      </c>
      <c r="B2371" s="14" t="s">
        <v>2487</v>
      </c>
      <c r="C2371" s="14" t="s">
        <v>3377</v>
      </c>
      <c r="D2371" s="14">
        <v>774805.97</v>
      </c>
      <c r="E2371" s="14">
        <v>15545.92</v>
      </c>
      <c r="F2371" s="15">
        <v>45035</v>
      </c>
      <c r="G2371" s="15">
        <v>45490</v>
      </c>
      <c r="H2371" s="14" t="s">
        <v>3846</v>
      </c>
      <c r="I2371" s="14" t="s">
        <v>3365</v>
      </c>
      <c r="J2371" s="13" t="str" cm="1">
        <f t="array" ref="J2371">_xlfn.IFS(
  OR(ISBLANK(A2371),ISBLANK(B2371),ISBLANK(H2371),ISBLANK(D2371),ISBLANK(E2371)),"Missing Value",
  D2371&lt;=0,"Review – Out of Range (Coverage)",
  E2371&lt;=0,"Review – Out of Range (Premium)",
  TRUE,"OK"
)</f>
        <v>OK</v>
      </c>
    </row>
    <row r="2372" spans="1:10" ht="16.8" x14ac:dyDescent="0.3">
      <c r="A2372" s="11" t="s">
        <v>6034</v>
      </c>
      <c r="B2372" s="11" t="s">
        <v>655</v>
      </c>
      <c r="C2372" s="11" t="s">
        <v>3359</v>
      </c>
      <c r="D2372" s="11">
        <v>252519.57</v>
      </c>
      <c r="E2372" s="11">
        <v>31124.58</v>
      </c>
      <c r="F2372" s="12">
        <v>44685</v>
      </c>
      <c r="G2372" s="12">
        <v>45692</v>
      </c>
      <c r="H2372" s="11" t="s">
        <v>3383</v>
      </c>
      <c r="I2372" s="11" t="s">
        <v>3365</v>
      </c>
      <c r="J2372" s="13" t="str" cm="1">
        <f t="array" ref="J2372">_xlfn.IFS(
  OR(ISBLANK(A2372),ISBLANK(B2372),ISBLANK(H2372),ISBLANK(D2372),ISBLANK(E2372)),"Missing Value",
  D2372&lt;=0,"Review – Out of Range (Coverage)",
  E2372&lt;=0,"Review – Out of Range (Premium)",
  TRUE,"OK"
)</f>
        <v>OK</v>
      </c>
    </row>
    <row r="2373" spans="1:10" ht="16.8" x14ac:dyDescent="0.3">
      <c r="A2373" s="14" t="s">
        <v>6035</v>
      </c>
      <c r="B2373" s="14" t="s">
        <v>416</v>
      </c>
      <c r="C2373" s="14" t="s">
        <v>3359</v>
      </c>
      <c r="D2373" s="14">
        <v>268779.21000000002</v>
      </c>
      <c r="E2373" s="14">
        <v>46742.55</v>
      </c>
      <c r="F2373" s="15">
        <v>44435</v>
      </c>
      <c r="G2373" s="15">
        <v>45244</v>
      </c>
      <c r="H2373" s="14" t="s">
        <v>3861</v>
      </c>
      <c r="I2373" s="14" t="s">
        <v>3365</v>
      </c>
      <c r="J2373" s="13" t="str" cm="1">
        <f t="array" ref="J2373">_xlfn.IFS(
  OR(ISBLANK(A2373),ISBLANK(B2373),ISBLANK(H2373),ISBLANK(D2373),ISBLANK(E2373)),"Missing Value",
  D2373&lt;=0,"Review – Out of Range (Coverage)",
  E2373&lt;=0,"Review – Out of Range (Premium)",
  TRUE,"OK"
)</f>
        <v>OK</v>
      </c>
    </row>
    <row r="2374" spans="1:10" ht="16.8" x14ac:dyDescent="0.3">
      <c r="A2374" s="11" t="s">
        <v>6036</v>
      </c>
      <c r="B2374" s="11" t="s">
        <v>368</v>
      </c>
      <c r="C2374" s="11" t="s">
        <v>3359</v>
      </c>
      <c r="D2374" s="11">
        <v>777615.54</v>
      </c>
      <c r="E2374" s="11">
        <v>16549.22</v>
      </c>
      <c r="F2374" s="12">
        <v>45006</v>
      </c>
      <c r="G2374" s="12">
        <v>45268</v>
      </c>
      <c r="H2374" s="11" t="s">
        <v>3974</v>
      </c>
      <c r="I2374" s="11" t="s">
        <v>3365</v>
      </c>
      <c r="J2374" s="13" t="str" cm="1">
        <f t="array" ref="J2374">_xlfn.IFS(
  OR(ISBLANK(A2374),ISBLANK(B2374),ISBLANK(H2374),ISBLANK(D2374),ISBLANK(E2374)),"Missing Value",
  D2374&lt;=0,"Review – Out of Range (Coverage)",
  E2374&lt;=0,"Review – Out of Range (Premium)",
  TRUE,"OK"
)</f>
        <v>OK</v>
      </c>
    </row>
    <row r="2375" spans="1:10" ht="16.8" x14ac:dyDescent="0.3">
      <c r="A2375" s="14" t="s">
        <v>6037</v>
      </c>
      <c r="B2375" s="14" t="s">
        <v>1167</v>
      </c>
      <c r="C2375" s="14" t="s">
        <v>3359</v>
      </c>
      <c r="D2375" s="14">
        <v>517152.92</v>
      </c>
      <c r="E2375" s="14">
        <v>48620.38</v>
      </c>
      <c r="F2375" s="15">
        <v>45424</v>
      </c>
      <c r="G2375" s="15">
        <v>45592</v>
      </c>
      <c r="H2375" s="14" t="s">
        <v>3471</v>
      </c>
      <c r="I2375" s="14" t="s">
        <v>3361</v>
      </c>
      <c r="J2375" s="13" t="str" cm="1">
        <f t="array" ref="J2375">_xlfn.IFS(
  OR(ISBLANK(A2375),ISBLANK(B2375),ISBLANK(H2375),ISBLANK(D2375),ISBLANK(E2375)),"Missing Value",
  D2375&lt;=0,"Review – Out of Range (Coverage)",
  E2375&lt;=0,"Review – Out of Range (Premium)",
  TRUE,"OK"
)</f>
        <v>OK</v>
      </c>
    </row>
    <row r="2376" spans="1:10" ht="16.8" x14ac:dyDescent="0.3">
      <c r="A2376" s="11" t="s">
        <v>6038</v>
      </c>
      <c r="B2376" s="11" t="s">
        <v>923</v>
      </c>
      <c r="C2376" s="11" t="s">
        <v>3371</v>
      </c>
      <c r="D2376" s="11">
        <v>308882.68</v>
      </c>
      <c r="E2376" s="11">
        <v>30027.52</v>
      </c>
      <c r="F2376" s="12">
        <v>44928</v>
      </c>
      <c r="G2376" s="12">
        <v>45847</v>
      </c>
      <c r="H2376" s="11" t="s">
        <v>3501</v>
      </c>
      <c r="I2376" s="11" t="s">
        <v>3361</v>
      </c>
      <c r="J2376" s="13" t="str" cm="1">
        <f t="array" ref="J2376">_xlfn.IFS(
  OR(ISBLANK(A2376),ISBLANK(B2376),ISBLANK(H2376),ISBLANK(D2376),ISBLANK(E2376)),"Missing Value",
  D2376&lt;=0,"Review – Out of Range (Coverage)",
  E2376&lt;=0,"Review – Out of Range (Premium)",
  TRUE,"OK"
)</f>
        <v>OK</v>
      </c>
    </row>
    <row r="2377" spans="1:10" ht="16.8" x14ac:dyDescent="0.3">
      <c r="A2377" s="14" t="s">
        <v>6039</v>
      </c>
      <c r="B2377" s="14" t="s">
        <v>1081</v>
      </c>
      <c r="C2377" s="14" t="s">
        <v>3363</v>
      </c>
      <c r="D2377" s="14">
        <v>439136.93</v>
      </c>
      <c r="E2377" s="14">
        <v>30782.799999999999</v>
      </c>
      <c r="F2377" s="15">
        <v>44491</v>
      </c>
      <c r="G2377" s="15">
        <v>44688</v>
      </c>
      <c r="H2377" s="14" t="s">
        <v>3792</v>
      </c>
      <c r="I2377" s="14" t="s">
        <v>3373</v>
      </c>
      <c r="J2377" s="13" t="str" cm="1">
        <f t="array" ref="J2377">_xlfn.IFS(
  OR(ISBLANK(A2377),ISBLANK(B2377),ISBLANK(H2377),ISBLANK(D2377),ISBLANK(E2377)),"Missing Value",
  D2377&lt;=0,"Review – Out of Range (Coverage)",
  E2377&lt;=0,"Review – Out of Range (Premium)",
  TRUE,"OK"
)</f>
        <v>OK</v>
      </c>
    </row>
    <row r="2378" spans="1:10" ht="16.8" x14ac:dyDescent="0.3">
      <c r="A2378" s="11" t="s">
        <v>6040</v>
      </c>
      <c r="B2378" s="11" t="s">
        <v>1327</v>
      </c>
      <c r="C2378" s="11" t="s">
        <v>3363</v>
      </c>
      <c r="D2378" s="11">
        <v>165737.24</v>
      </c>
      <c r="E2378" s="11">
        <v>34707.07</v>
      </c>
      <c r="F2378" s="12">
        <v>44935</v>
      </c>
      <c r="G2378" s="12">
        <v>44944</v>
      </c>
      <c r="H2378" s="11" t="s">
        <v>5164</v>
      </c>
      <c r="I2378" s="11" t="s">
        <v>3365</v>
      </c>
      <c r="J2378" s="13" t="str" cm="1">
        <f t="array" ref="J2378">_xlfn.IFS(
  OR(ISBLANK(A2378),ISBLANK(B2378),ISBLANK(H2378),ISBLANK(D2378),ISBLANK(E2378)),"Missing Value",
  D2378&lt;=0,"Review – Out of Range (Coverage)",
  E2378&lt;=0,"Review – Out of Range (Premium)",
  TRUE,"OK"
)</f>
        <v>OK</v>
      </c>
    </row>
    <row r="2379" spans="1:10" ht="16.8" x14ac:dyDescent="0.3">
      <c r="A2379" s="14" t="s">
        <v>6041</v>
      </c>
      <c r="B2379" s="14" t="s">
        <v>466</v>
      </c>
      <c r="C2379" s="14" t="s">
        <v>3363</v>
      </c>
      <c r="D2379" s="14">
        <v>847597.52</v>
      </c>
      <c r="E2379" s="14">
        <v>7410.79</v>
      </c>
      <c r="F2379" s="15">
        <v>45196</v>
      </c>
      <c r="G2379" s="15">
        <v>45703</v>
      </c>
      <c r="H2379" s="14" t="s">
        <v>3939</v>
      </c>
      <c r="I2379" s="14" t="s">
        <v>3361</v>
      </c>
      <c r="J2379" s="13" t="str" cm="1">
        <f t="array" ref="J2379">_xlfn.IFS(
  OR(ISBLANK(A2379),ISBLANK(B2379),ISBLANK(H2379),ISBLANK(D2379),ISBLANK(E2379)),"Missing Value",
  D2379&lt;=0,"Review – Out of Range (Coverage)",
  E2379&lt;=0,"Review – Out of Range (Premium)",
  TRUE,"OK"
)</f>
        <v>OK</v>
      </c>
    </row>
    <row r="2380" spans="1:10" ht="16.8" x14ac:dyDescent="0.3">
      <c r="A2380" s="11" t="s">
        <v>6042</v>
      </c>
      <c r="B2380" s="11" t="s">
        <v>398</v>
      </c>
      <c r="C2380" s="11" t="s">
        <v>3377</v>
      </c>
      <c r="D2380" s="11">
        <v>702657.93</v>
      </c>
      <c r="E2380" s="11">
        <v>35382.370000000003</v>
      </c>
      <c r="F2380" s="12">
        <v>45274</v>
      </c>
      <c r="G2380" s="12">
        <v>45827</v>
      </c>
      <c r="H2380" s="11" t="s">
        <v>3440</v>
      </c>
      <c r="I2380" s="11" t="s">
        <v>3365</v>
      </c>
      <c r="J2380" s="13" t="str" cm="1">
        <f t="array" ref="J2380">_xlfn.IFS(
  OR(ISBLANK(A2380),ISBLANK(B2380),ISBLANK(H2380),ISBLANK(D2380),ISBLANK(E2380)),"Missing Value",
  D2380&lt;=0,"Review – Out of Range (Coverage)",
  E2380&lt;=0,"Review – Out of Range (Premium)",
  TRUE,"OK"
)</f>
        <v>OK</v>
      </c>
    </row>
    <row r="2381" spans="1:10" ht="16.8" x14ac:dyDescent="0.3">
      <c r="A2381" s="14" t="s">
        <v>6043</v>
      </c>
      <c r="B2381" s="14" t="s">
        <v>1051</v>
      </c>
      <c r="C2381" s="14" t="s">
        <v>3380</v>
      </c>
      <c r="D2381" s="14">
        <v>948625.99</v>
      </c>
      <c r="E2381" s="14">
        <v>29859.64</v>
      </c>
      <c r="F2381" s="15">
        <v>45213</v>
      </c>
      <c r="G2381" s="15">
        <v>45387</v>
      </c>
      <c r="H2381" s="14" t="s">
        <v>3709</v>
      </c>
      <c r="I2381" s="14" t="s">
        <v>3361</v>
      </c>
      <c r="J2381" s="13" t="str" cm="1">
        <f t="array" ref="J2381">_xlfn.IFS(
  OR(ISBLANK(A2381),ISBLANK(B2381),ISBLANK(H2381),ISBLANK(D2381),ISBLANK(E2381)),"Missing Value",
  D2381&lt;=0,"Review – Out of Range (Coverage)",
  E2381&lt;=0,"Review – Out of Range (Premium)",
  TRUE,"OK"
)</f>
        <v>OK</v>
      </c>
    </row>
    <row r="2382" spans="1:10" ht="16.8" x14ac:dyDescent="0.3">
      <c r="A2382" s="11" t="s">
        <v>6044</v>
      </c>
      <c r="B2382" s="11" t="s">
        <v>1471</v>
      </c>
      <c r="C2382" s="11" t="s">
        <v>3363</v>
      </c>
      <c r="D2382" s="11">
        <v>117470.24</v>
      </c>
      <c r="E2382" s="11">
        <v>46734.98</v>
      </c>
      <c r="F2382" s="12">
        <v>45432</v>
      </c>
      <c r="G2382" s="12">
        <v>45599</v>
      </c>
      <c r="H2382" s="11" t="s">
        <v>3461</v>
      </c>
      <c r="I2382" s="11" t="s">
        <v>3361</v>
      </c>
      <c r="J2382" s="13" t="str" cm="1">
        <f t="array" ref="J2382">_xlfn.IFS(
  OR(ISBLANK(A2382),ISBLANK(B2382),ISBLANK(H2382),ISBLANK(D2382),ISBLANK(E2382)),"Missing Value",
  D2382&lt;=0,"Review – Out of Range (Coverage)",
  E2382&lt;=0,"Review – Out of Range (Premium)",
  TRUE,"OK"
)</f>
        <v>OK</v>
      </c>
    </row>
    <row r="2383" spans="1:10" ht="16.8" x14ac:dyDescent="0.3">
      <c r="A2383" s="14" t="s">
        <v>6045</v>
      </c>
      <c r="B2383" s="14" t="s">
        <v>1063</v>
      </c>
      <c r="C2383" s="14" t="s">
        <v>3380</v>
      </c>
      <c r="D2383" s="14">
        <v>459509.65</v>
      </c>
      <c r="E2383" s="14">
        <v>32722.36</v>
      </c>
      <c r="F2383" s="15">
        <v>44648</v>
      </c>
      <c r="G2383" s="15">
        <v>45859</v>
      </c>
      <c r="H2383" s="14" t="s">
        <v>3584</v>
      </c>
      <c r="I2383" s="14" t="s">
        <v>3361</v>
      </c>
      <c r="J2383" s="13" t="str" cm="1">
        <f t="array" ref="J2383">_xlfn.IFS(
  OR(ISBLANK(A2383),ISBLANK(B2383),ISBLANK(H2383),ISBLANK(D2383),ISBLANK(E2383)),"Missing Value",
  D2383&lt;=0,"Review – Out of Range (Coverage)",
  E2383&lt;=0,"Review – Out of Range (Premium)",
  TRUE,"OK"
)</f>
        <v>OK</v>
      </c>
    </row>
    <row r="2384" spans="1:10" ht="16.8" x14ac:dyDescent="0.3">
      <c r="A2384" s="11" t="s">
        <v>6046</v>
      </c>
      <c r="B2384" s="11" t="s">
        <v>3104</v>
      </c>
      <c r="C2384" s="11" t="s">
        <v>3380</v>
      </c>
      <c r="D2384" s="11">
        <v>554511.91</v>
      </c>
      <c r="E2384" s="11">
        <v>42157.47</v>
      </c>
      <c r="F2384" s="12">
        <v>44795</v>
      </c>
      <c r="G2384" s="12">
        <v>45819</v>
      </c>
      <c r="H2384" s="11" t="s">
        <v>3689</v>
      </c>
      <c r="I2384" s="11" t="s">
        <v>3361</v>
      </c>
      <c r="J2384" s="13" t="str" cm="1">
        <f t="array" ref="J2384">_xlfn.IFS(
  OR(ISBLANK(A2384),ISBLANK(B2384),ISBLANK(H2384),ISBLANK(D2384),ISBLANK(E2384)),"Missing Value",
  D2384&lt;=0,"Review – Out of Range (Coverage)",
  E2384&lt;=0,"Review – Out of Range (Premium)",
  TRUE,"OK"
)</f>
        <v>OK</v>
      </c>
    </row>
    <row r="2385" spans="1:10" ht="16.8" x14ac:dyDescent="0.3">
      <c r="A2385" s="14" t="s">
        <v>6047</v>
      </c>
      <c r="B2385" s="14" t="s">
        <v>364</v>
      </c>
      <c r="C2385" s="14" t="s">
        <v>3380</v>
      </c>
      <c r="D2385" s="14">
        <v>212525.71</v>
      </c>
      <c r="E2385" s="14">
        <v>17031.810000000001</v>
      </c>
      <c r="F2385" s="15">
        <v>44214</v>
      </c>
      <c r="G2385" s="15">
        <v>45841</v>
      </c>
      <c r="H2385" s="14" t="s">
        <v>4090</v>
      </c>
      <c r="I2385" s="14" t="s">
        <v>3365</v>
      </c>
      <c r="J2385" s="13" t="str" cm="1">
        <f t="array" ref="J2385">_xlfn.IFS(
  OR(ISBLANK(A2385),ISBLANK(B2385),ISBLANK(H2385),ISBLANK(D2385),ISBLANK(E2385)),"Missing Value",
  D2385&lt;=0,"Review – Out of Range (Coverage)",
  E2385&lt;=0,"Review – Out of Range (Premium)",
  TRUE,"OK"
)</f>
        <v>OK</v>
      </c>
    </row>
    <row r="2386" spans="1:10" ht="16.8" x14ac:dyDescent="0.3">
      <c r="A2386" s="11" t="s">
        <v>6048</v>
      </c>
      <c r="B2386" s="11" t="s">
        <v>2289</v>
      </c>
      <c r="C2386" s="11" t="s">
        <v>3363</v>
      </c>
      <c r="D2386" s="11">
        <v>706681.32</v>
      </c>
      <c r="E2386" s="11">
        <v>29738.94</v>
      </c>
      <c r="F2386" s="12">
        <v>45178</v>
      </c>
      <c r="G2386" s="12">
        <v>45278</v>
      </c>
      <c r="H2386" s="11" t="s">
        <v>3540</v>
      </c>
      <c r="I2386" s="11" t="s">
        <v>3365</v>
      </c>
      <c r="J2386" s="13" t="str" cm="1">
        <f t="array" ref="J2386">_xlfn.IFS(
  OR(ISBLANK(A2386),ISBLANK(B2386),ISBLANK(H2386),ISBLANK(D2386),ISBLANK(E2386)),"Missing Value",
  D2386&lt;=0,"Review – Out of Range (Coverage)",
  E2386&lt;=0,"Review – Out of Range (Premium)",
  TRUE,"OK"
)</f>
        <v>OK</v>
      </c>
    </row>
    <row r="2387" spans="1:10" ht="16.8" x14ac:dyDescent="0.3">
      <c r="A2387" s="14" t="s">
        <v>6049</v>
      </c>
      <c r="B2387" s="14" t="s">
        <v>2611</v>
      </c>
      <c r="C2387" s="14" t="s">
        <v>3377</v>
      </c>
      <c r="D2387" s="14">
        <v>899373.01</v>
      </c>
      <c r="E2387" s="14">
        <v>27487.200000000001</v>
      </c>
      <c r="F2387" s="15">
        <v>45008</v>
      </c>
      <c r="G2387" s="15">
        <v>45564</v>
      </c>
      <c r="H2387" s="14" t="s">
        <v>3573</v>
      </c>
      <c r="I2387" s="14" t="s">
        <v>3361</v>
      </c>
      <c r="J2387" s="13" t="str" cm="1">
        <f t="array" ref="J2387">_xlfn.IFS(
  OR(ISBLANK(A2387),ISBLANK(B2387),ISBLANK(H2387),ISBLANK(D2387),ISBLANK(E2387)),"Missing Value",
  D2387&lt;=0,"Review – Out of Range (Coverage)",
  E2387&lt;=0,"Review – Out of Range (Premium)",
  TRUE,"OK"
)</f>
        <v>OK</v>
      </c>
    </row>
    <row r="2388" spans="1:10" ht="16.8" x14ac:dyDescent="0.3">
      <c r="A2388" s="11" t="s">
        <v>6050</v>
      </c>
      <c r="B2388" s="11" t="s">
        <v>3056</v>
      </c>
      <c r="C2388" s="11" t="s">
        <v>3371</v>
      </c>
      <c r="D2388" s="11">
        <v>677144.52</v>
      </c>
      <c r="E2388" s="11">
        <v>23740.42</v>
      </c>
      <c r="F2388" s="12">
        <v>45461</v>
      </c>
      <c r="G2388" s="12">
        <v>45721</v>
      </c>
      <c r="H2388" s="11" t="s">
        <v>4596</v>
      </c>
      <c r="I2388" s="11" t="s">
        <v>3365</v>
      </c>
      <c r="J2388" s="13" t="str" cm="1">
        <f t="array" ref="J2388">_xlfn.IFS(
  OR(ISBLANK(A2388),ISBLANK(B2388),ISBLANK(H2388),ISBLANK(D2388),ISBLANK(E2388)),"Missing Value",
  D2388&lt;=0,"Review – Out of Range (Coverage)",
  E2388&lt;=0,"Review – Out of Range (Premium)",
  TRUE,"OK"
)</f>
        <v>OK</v>
      </c>
    </row>
    <row r="2389" spans="1:10" ht="16.8" x14ac:dyDescent="0.3">
      <c r="A2389" s="14" t="s">
        <v>6051</v>
      </c>
      <c r="B2389" s="14" t="s">
        <v>2987</v>
      </c>
      <c r="C2389" s="14" t="s">
        <v>3363</v>
      </c>
      <c r="D2389" s="14">
        <v>314605.17</v>
      </c>
      <c r="E2389" s="14">
        <v>20170.03</v>
      </c>
      <c r="F2389" s="15">
        <v>44426</v>
      </c>
      <c r="G2389" s="15">
        <v>45231</v>
      </c>
      <c r="H2389" s="14" t="s">
        <v>3815</v>
      </c>
      <c r="I2389" s="14" t="s">
        <v>3361</v>
      </c>
      <c r="J2389" s="13" t="str" cm="1">
        <f t="array" ref="J2389">_xlfn.IFS(
  OR(ISBLANK(A2389),ISBLANK(B2389),ISBLANK(H2389),ISBLANK(D2389),ISBLANK(E2389)),"Missing Value",
  D2389&lt;=0,"Review – Out of Range (Coverage)",
  E2389&lt;=0,"Review – Out of Range (Premium)",
  TRUE,"OK"
)</f>
        <v>OK</v>
      </c>
    </row>
    <row r="2390" spans="1:10" ht="16.8" x14ac:dyDescent="0.3">
      <c r="A2390" s="11" t="s">
        <v>6052</v>
      </c>
      <c r="B2390" s="11" t="s">
        <v>1471</v>
      </c>
      <c r="C2390" s="11" t="s">
        <v>3377</v>
      </c>
      <c r="D2390" s="11">
        <v>727100.32</v>
      </c>
      <c r="E2390" s="11">
        <v>25411.83</v>
      </c>
      <c r="F2390" s="12">
        <v>44237</v>
      </c>
      <c r="G2390" s="12">
        <v>45706</v>
      </c>
      <c r="H2390" s="11" t="s">
        <v>3728</v>
      </c>
      <c r="I2390" s="11" t="s">
        <v>3365</v>
      </c>
      <c r="J2390" s="13" t="str" cm="1">
        <f t="array" ref="J2390">_xlfn.IFS(
  OR(ISBLANK(A2390),ISBLANK(B2390),ISBLANK(H2390),ISBLANK(D2390),ISBLANK(E2390)),"Missing Value",
  D2390&lt;=0,"Review – Out of Range (Coverage)",
  E2390&lt;=0,"Review – Out of Range (Premium)",
  TRUE,"OK"
)</f>
        <v>OK</v>
      </c>
    </row>
    <row r="2391" spans="1:10" ht="16.8" x14ac:dyDescent="0.3">
      <c r="A2391" s="14" t="s">
        <v>6053</v>
      </c>
      <c r="B2391" s="14" t="s">
        <v>2961</v>
      </c>
      <c r="C2391" s="14" t="s">
        <v>3371</v>
      </c>
      <c r="D2391" s="14">
        <v>716005.78</v>
      </c>
      <c r="E2391" s="14">
        <v>25192.09</v>
      </c>
      <c r="F2391" s="15">
        <v>44747</v>
      </c>
      <c r="G2391" s="15">
        <v>45370</v>
      </c>
      <c r="H2391" s="14" t="s">
        <v>3658</v>
      </c>
      <c r="I2391" s="14" t="s">
        <v>3373</v>
      </c>
      <c r="J2391" s="13" t="str" cm="1">
        <f t="array" ref="J2391">_xlfn.IFS(
  OR(ISBLANK(A2391),ISBLANK(B2391),ISBLANK(H2391),ISBLANK(D2391),ISBLANK(E2391)),"Missing Value",
  D2391&lt;=0,"Review – Out of Range (Coverage)",
  E2391&lt;=0,"Review – Out of Range (Premium)",
  TRUE,"OK"
)</f>
        <v>OK</v>
      </c>
    </row>
    <row r="2392" spans="1:10" ht="16.8" x14ac:dyDescent="0.3">
      <c r="A2392" s="11" t="s">
        <v>6054</v>
      </c>
      <c r="B2392" s="11" t="s">
        <v>1263</v>
      </c>
      <c r="C2392" s="11" t="s">
        <v>3359</v>
      </c>
      <c r="D2392" s="11">
        <v>494983.61</v>
      </c>
      <c r="E2392" s="11">
        <v>22562.240000000002</v>
      </c>
      <c r="F2392" s="12">
        <v>44431</v>
      </c>
      <c r="G2392" s="12">
        <v>45837</v>
      </c>
      <c r="H2392" s="11" t="s">
        <v>4249</v>
      </c>
      <c r="I2392" s="11" t="s">
        <v>3365</v>
      </c>
      <c r="J2392" s="13" t="str" cm="1">
        <f t="array" ref="J2392">_xlfn.IFS(
  OR(ISBLANK(A2392),ISBLANK(B2392),ISBLANK(H2392),ISBLANK(D2392),ISBLANK(E2392)),"Missing Value",
  D2392&lt;=0,"Review – Out of Range (Coverage)",
  E2392&lt;=0,"Review – Out of Range (Premium)",
  TRUE,"OK"
)</f>
        <v>OK</v>
      </c>
    </row>
    <row r="2393" spans="1:10" ht="16.8" x14ac:dyDescent="0.3">
      <c r="A2393" s="14" t="s">
        <v>6055</v>
      </c>
      <c r="B2393" s="14" t="s">
        <v>703</v>
      </c>
      <c r="C2393" s="14" t="s">
        <v>3377</v>
      </c>
      <c r="D2393" s="14">
        <v>733483.5</v>
      </c>
      <c r="E2393" s="14">
        <v>22259.22</v>
      </c>
      <c r="F2393" s="15">
        <v>45023</v>
      </c>
      <c r="G2393" s="15">
        <v>45077</v>
      </c>
      <c r="H2393" s="14" t="s">
        <v>3391</v>
      </c>
      <c r="I2393" s="14" t="s">
        <v>3365</v>
      </c>
      <c r="J2393" s="13" t="str" cm="1">
        <f t="array" ref="J2393">_xlfn.IFS(
  OR(ISBLANK(A2393),ISBLANK(B2393),ISBLANK(H2393),ISBLANK(D2393),ISBLANK(E2393)),"Missing Value",
  D2393&lt;=0,"Review – Out of Range (Coverage)",
  E2393&lt;=0,"Review – Out of Range (Premium)",
  TRUE,"OK"
)</f>
        <v>OK</v>
      </c>
    </row>
    <row r="2394" spans="1:10" ht="16.8" x14ac:dyDescent="0.3">
      <c r="A2394" s="11" t="s">
        <v>6056</v>
      </c>
      <c r="B2394" s="11" t="s">
        <v>2671</v>
      </c>
      <c r="C2394" s="11" t="s">
        <v>3380</v>
      </c>
      <c r="D2394" s="11">
        <v>665837.51</v>
      </c>
      <c r="E2394" s="11">
        <v>17101.96</v>
      </c>
      <c r="F2394" s="12">
        <v>44788</v>
      </c>
      <c r="G2394" s="12">
        <v>45317</v>
      </c>
      <c r="H2394" s="11" t="s">
        <v>3752</v>
      </c>
      <c r="I2394" s="11" t="s">
        <v>3373</v>
      </c>
      <c r="J2394" s="13" t="str" cm="1">
        <f t="array" ref="J2394">_xlfn.IFS(
  OR(ISBLANK(A2394),ISBLANK(B2394),ISBLANK(H2394),ISBLANK(D2394),ISBLANK(E2394)),"Missing Value",
  D2394&lt;=0,"Review – Out of Range (Coverage)",
  E2394&lt;=0,"Review – Out of Range (Premium)",
  TRUE,"OK"
)</f>
        <v>OK</v>
      </c>
    </row>
    <row r="2395" spans="1:10" ht="16.8" x14ac:dyDescent="0.3">
      <c r="A2395" s="14" t="s">
        <v>6057</v>
      </c>
      <c r="B2395" s="14" t="s">
        <v>3030</v>
      </c>
      <c r="C2395" s="14" t="s">
        <v>3359</v>
      </c>
      <c r="D2395" s="14">
        <v>135826.82999999999</v>
      </c>
      <c r="E2395" s="14">
        <v>37347.760000000002</v>
      </c>
      <c r="F2395" s="15">
        <v>44476</v>
      </c>
      <c r="G2395" s="15">
        <v>45701</v>
      </c>
      <c r="H2395" s="14" t="s">
        <v>4064</v>
      </c>
      <c r="I2395" s="14" t="s">
        <v>3365</v>
      </c>
      <c r="J2395" s="13" t="str" cm="1">
        <f t="array" ref="J2395">_xlfn.IFS(
  OR(ISBLANK(A2395),ISBLANK(B2395),ISBLANK(H2395),ISBLANK(D2395),ISBLANK(E2395)),"Missing Value",
  D2395&lt;=0,"Review – Out of Range (Coverage)",
  E2395&lt;=0,"Review – Out of Range (Premium)",
  TRUE,"OK"
)</f>
        <v>OK</v>
      </c>
    </row>
    <row r="2396" spans="1:10" ht="16.8" x14ac:dyDescent="0.3">
      <c r="A2396" s="11" t="s">
        <v>6058</v>
      </c>
      <c r="B2396" s="11" t="s">
        <v>76</v>
      </c>
      <c r="C2396" s="11" t="s">
        <v>3371</v>
      </c>
      <c r="D2396" s="11">
        <v>103373.63</v>
      </c>
      <c r="E2396" s="11">
        <v>25861.85</v>
      </c>
      <c r="F2396" s="12">
        <v>44797</v>
      </c>
      <c r="G2396" s="12">
        <v>45145</v>
      </c>
      <c r="H2396" s="11" t="s">
        <v>4123</v>
      </c>
      <c r="I2396" s="11" t="s">
        <v>3361</v>
      </c>
      <c r="J2396" s="13" t="str" cm="1">
        <f t="array" ref="J2396">_xlfn.IFS(
  OR(ISBLANK(A2396),ISBLANK(B2396),ISBLANK(H2396),ISBLANK(D2396),ISBLANK(E2396)),"Missing Value",
  D2396&lt;=0,"Review – Out of Range (Coverage)",
  E2396&lt;=0,"Review – Out of Range (Premium)",
  TRUE,"OK"
)</f>
        <v>OK</v>
      </c>
    </row>
    <row r="2397" spans="1:10" ht="16.8" x14ac:dyDescent="0.3">
      <c r="A2397" s="14" t="s">
        <v>6059</v>
      </c>
      <c r="B2397" s="14" t="s">
        <v>342</v>
      </c>
      <c r="C2397" s="14" t="s">
        <v>3363</v>
      </c>
      <c r="D2397" s="14">
        <v>524421.72</v>
      </c>
      <c r="E2397" s="14">
        <v>29230.99</v>
      </c>
      <c r="F2397" s="15">
        <v>44769</v>
      </c>
      <c r="G2397" s="15">
        <v>44825</v>
      </c>
      <c r="H2397" s="14" t="s">
        <v>3465</v>
      </c>
      <c r="I2397" s="14" t="s">
        <v>3365</v>
      </c>
      <c r="J2397" s="13" t="str" cm="1">
        <f t="array" ref="J2397">_xlfn.IFS(
  OR(ISBLANK(A2397),ISBLANK(B2397),ISBLANK(H2397),ISBLANK(D2397),ISBLANK(E2397)),"Missing Value",
  D2397&lt;=0,"Review – Out of Range (Coverage)",
  E2397&lt;=0,"Review – Out of Range (Premium)",
  TRUE,"OK"
)</f>
        <v>OK</v>
      </c>
    </row>
    <row r="2398" spans="1:10" ht="16.8" x14ac:dyDescent="0.3">
      <c r="A2398" s="11" t="s">
        <v>6060</v>
      </c>
      <c r="B2398" s="11" t="s">
        <v>721</v>
      </c>
      <c r="C2398" s="11" t="s">
        <v>3363</v>
      </c>
      <c r="D2398" s="11">
        <v>696916.57</v>
      </c>
      <c r="E2398" s="11">
        <v>47540.24</v>
      </c>
      <c r="F2398" s="12">
        <v>44424</v>
      </c>
      <c r="G2398" s="12">
        <v>44898</v>
      </c>
      <c r="H2398" s="11" t="s">
        <v>4043</v>
      </c>
      <c r="I2398" s="11" t="s">
        <v>3365</v>
      </c>
      <c r="J2398" s="13" t="str" cm="1">
        <f t="array" ref="J2398">_xlfn.IFS(
  OR(ISBLANK(A2398),ISBLANK(B2398),ISBLANK(H2398),ISBLANK(D2398),ISBLANK(E2398)),"Missing Value",
  D2398&lt;=0,"Review – Out of Range (Coverage)",
  E2398&lt;=0,"Review – Out of Range (Premium)",
  TRUE,"OK"
)</f>
        <v>OK</v>
      </c>
    </row>
    <row r="2399" spans="1:10" ht="16.8" x14ac:dyDescent="0.3">
      <c r="A2399" s="14" t="s">
        <v>6061</v>
      </c>
      <c r="B2399" s="14" t="s">
        <v>3110</v>
      </c>
      <c r="C2399" s="14" t="s">
        <v>3371</v>
      </c>
      <c r="D2399" s="14">
        <v>966215.53</v>
      </c>
      <c r="E2399" s="14">
        <v>20143.32</v>
      </c>
      <c r="F2399" s="15">
        <v>44890</v>
      </c>
      <c r="G2399" s="15">
        <v>45558</v>
      </c>
      <c r="H2399" s="14" t="s">
        <v>3789</v>
      </c>
      <c r="I2399" s="14" t="s">
        <v>3373</v>
      </c>
      <c r="J2399" s="13" t="str" cm="1">
        <f t="array" ref="J2399">_xlfn.IFS(
  OR(ISBLANK(A2399),ISBLANK(B2399),ISBLANK(H2399),ISBLANK(D2399),ISBLANK(E2399)),"Missing Value",
  D2399&lt;=0,"Review – Out of Range (Coverage)",
  E2399&lt;=0,"Review – Out of Range (Premium)",
  TRUE,"OK"
)</f>
        <v>OK</v>
      </c>
    </row>
    <row r="2400" spans="1:10" ht="16.8" x14ac:dyDescent="0.3">
      <c r="A2400" s="11" t="s">
        <v>6062</v>
      </c>
      <c r="B2400" s="11" t="s">
        <v>977</v>
      </c>
      <c r="C2400" s="11" t="s">
        <v>3359</v>
      </c>
      <c r="D2400" s="11">
        <v>134414.82</v>
      </c>
      <c r="E2400" s="11">
        <v>25454.03</v>
      </c>
      <c r="F2400" s="12">
        <v>45371</v>
      </c>
      <c r="G2400" s="12">
        <v>45531</v>
      </c>
      <c r="H2400" s="11" t="s">
        <v>4650</v>
      </c>
      <c r="I2400" s="11" t="s">
        <v>3361</v>
      </c>
      <c r="J2400" s="13" t="str" cm="1">
        <f t="array" ref="J2400">_xlfn.IFS(
  OR(ISBLANK(A2400),ISBLANK(B2400),ISBLANK(H2400),ISBLANK(D2400),ISBLANK(E2400)),"Missing Value",
  D2400&lt;=0,"Review – Out of Range (Coverage)",
  E2400&lt;=0,"Review – Out of Range (Premium)",
  TRUE,"OK"
)</f>
        <v>OK</v>
      </c>
    </row>
    <row r="2401" spans="1:10" ht="16.8" x14ac:dyDescent="0.3">
      <c r="A2401" s="14" t="s">
        <v>6063</v>
      </c>
      <c r="B2401" s="14" t="s">
        <v>3022</v>
      </c>
      <c r="C2401" s="14" t="s">
        <v>3363</v>
      </c>
      <c r="D2401" s="14">
        <v>485179.7</v>
      </c>
      <c r="E2401" s="14">
        <v>15868.27</v>
      </c>
      <c r="F2401" s="15">
        <v>45170</v>
      </c>
      <c r="G2401" s="15">
        <v>45629</v>
      </c>
      <c r="H2401" s="14" t="s">
        <v>3419</v>
      </c>
      <c r="I2401" s="14" t="s">
        <v>3373</v>
      </c>
      <c r="J2401" s="13" t="str" cm="1">
        <f t="array" ref="J2401">_xlfn.IFS(
  OR(ISBLANK(A2401),ISBLANK(B2401),ISBLANK(H2401),ISBLANK(D2401),ISBLANK(E2401)),"Missing Value",
  D2401&lt;=0,"Review – Out of Range (Coverage)",
  E2401&lt;=0,"Review – Out of Range (Premium)",
  TRUE,"OK"
)</f>
        <v>OK</v>
      </c>
    </row>
    <row r="2402" spans="1:10" ht="16.8" x14ac:dyDescent="0.3">
      <c r="A2402" s="11" t="s">
        <v>6064</v>
      </c>
      <c r="B2402" s="11" t="s">
        <v>1443</v>
      </c>
      <c r="C2402" s="11" t="s">
        <v>3377</v>
      </c>
      <c r="D2402" s="11">
        <v>855572.93</v>
      </c>
      <c r="E2402" s="11">
        <v>42341.85</v>
      </c>
      <c r="F2402" s="12">
        <v>44989</v>
      </c>
      <c r="G2402" s="12">
        <v>45571</v>
      </c>
      <c r="H2402" s="11" t="s">
        <v>3411</v>
      </c>
      <c r="I2402" s="11" t="s">
        <v>3373</v>
      </c>
      <c r="J2402" s="13" t="str" cm="1">
        <f t="array" ref="J2402">_xlfn.IFS(
  OR(ISBLANK(A2402),ISBLANK(B2402),ISBLANK(H2402),ISBLANK(D2402),ISBLANK(E2402)),"Missing Value",
  D2402&lt;=0,"Review – Out of Range (Coverage)",
  E2402&lt;=0,"Review – Out of Range (Premium)",
  TRUE,"OK"
)</f>
        <v>OK</v>
      </c>
    </row>
    <row r="2403" spans="1:10" ht="16.8" x14ac:dyDescent="0.3">
      <c r="A2403" s="14" t="s">
        <v>6065</v>
      </c>
      <c r="B2403" s="14" t="s">
        <v>915</v>
      </c>
      <c r="C2403" s="14" t="s">
        <v>3359</v>
      </c>
      <c r="D2403" s="14">
        <v>761478.88</v>
      </c>
      <c r="E2403" s="14">
        <v>36843.58</v>
      </c>
      <c r="F2403" s="15">
        <v>45192</v>
      </c>
      <c r="G2403" s="15">
        <v>45441</v>
      </c>
      <c r="H2403" s="14" t="s">
        <v>5171</v>
      </c>
      <c r="I2403" s="14" t="s">
        <v>3373</v>
      </c>
      <c r="J2403" s="13" t="str" cm="1">
        <f t="array" ref="J2403">_xlfn.IFS(
  OR(ISBLANK(A2403),ISBLANK(B2403),ISBLANK(H2403),ISBLANK(D2403),ISBLANK(E2403)),"Missing Value",
  D2403&lt;=0,"Review – Out of Range (Coverage)",
  E2403&lt;=0,"Review – Out of Range (Premium)",
  TRUE,"OK"
)</f>
        <v>OK</v>
      </c>
    </row>
    <row r="2404" spans="1:10" ht="16.8" x14ac:dyDescent="0.3">
      <c r="A2404" s="11" t="s">
        <v>6066</v>
      </c>
      <c r="B2404" s="11" t="s">
        <v>2721</v>
      </c>
      <c r="C2404" s="11" t="s">
        <v>3359</v>
      </c>
      <c r="D2404" s="11">
        <v>519150.01</v>
      </c>
      <c r="E2404" s="11">
        <v>44339.62</v>
      </c>
      <c r="F2404" s="12">
        <v>45207</v>
      </c>
      <c r="G2404" s="12">
        <v>45537</v>
      </c>
      <c r="H2404" s="11" t="s">
        <v>3798</v>
      </c>
      <c r="I2404" s="11" t="s">
        <v>3373</v>
      </c>
      <c r="J2404" s="13" t="str" cm="1">
        <f t="array" ref="J2404">_xlfn.IFS(
  OR(ISBLANK(A2404),ISBLANK(B2404),ISBLANK(H2404),ISBLANK(D2404),ISBLANK(E2404)),"Missing Value",
  D2404&lt;=0,"Review – Out of Range (Coverage)",
  E2404&lt;=0,"Review – Out of Range (Premium)",
  TRUE,"OK"
)</f>
        <v>OK</v>
      </c>
    </row>
    <row r="2405" spans="1:10" ht="16.8" x14ac:dyDescent="0.3">
      <c r="A2405" s="14" t="s">
        <v>6067</v>
      </c>
      <c r="B2405" s="14" t="s">
        <v>1133</v>
      </c>
      <c r="C2405" s="14" t="s">
        <v>3371</v>
      </c>
      <c r="D2405" s="14">
        <v>356777.3</v>
      </c>
      <c r="E2405" s="14">
        <v>24779.919999999998</v>
      </c>
      <c r="F2405" s="15">
        <v>44857</v>
      </c>
      <c r="G2405" s="15">
        <v>44859</v>
      </c>
      <c r="H2405" s="14" t="s">
        <v>3387</v>
      </c>
      <c r="I2405" s="14" t="s">
        <v>3373</v>
      </c>
      <c r="J2405" s="13" t="str" cm="1">
        <f t="array" ref="J2405">_xlfn.IFS(
  OR(ISBLANK(A2405),ISBLANK(B2405),ISBLANK(H2405),ISBLANK(D2405),ISBLANK(E2405)),"Missing Value",
  D2405&lt;=0,"Review – Out of Range (Coverage)",
  E2405&lt;=0,"Review – Out of Range (Premium)",
  TRUE,"OK"
)</f>
        <v>OK</v>
      </c>
    </row>
    <row r="2406" spans="1:10" ht="16.8" x14ac:dyDescent="0.3">
      <c r="A2406" s="11" t="s">
        <v>6068</v>
      </c>
      <c r="B2406" s="11" t="s">
        <v>138</v>
      </c>
      <c r="C2406" s="11" t="s">
        <v>3371</v>
      </c>
      <c r="D2406" s="11">
        <v>129407.37</v>
      </c>
      <c r="E2406" s="11">
        <v>49104.58</v>
      </c>
      <c r="F2406" s="12">
        <v>45332</v>
      </c>
      <c r="G2406" s="12">
        <v>45511</v>
      </c>
      <c r="H2406" s="11" t="s">
        <v>3698</v>
      </c>
      <c r="I2406" s="11" t="s">
        <v>3373</v>
      </c>
      <c r="J2406" s="13" t="str" cm="1">
        <f t="array" ref="J2406">_xlfn.IFS(
  OR(ISBLANK(A2406),ISBLANK(B2406),ISBLANK(H2406),ISBLANK(D2406),ISBLANK(E2406)),"Missing Value",
  D2406&lt;=0,"Review – Out of Range (Coverage)",
  E2406&lt;=0,"Review – Out of Range (Premium)",
  TRUE,"OK"
)</f>
        <v>OK</v>
      </c>
    </row>
    <row r="2407" spans="1:10" ht="16.8" x14ac:dyDescent="0.3">
      <c r="A2407" s="14" t="s">
        <v>6069</v>
      </c>
      <c r="B2407" s="14" t="s">
        <v>1125</v>
      </c>
      <c r="C2407" s="14" t="s">
        <v>3380</v>
      </c>
      <c r="D2407" s="14">
        <v>528170.68999999994</v>
      </c>
      <c r="E2407" s="14">
        <v>3806.73</v>
      </c>
      <c r="F2407" s="15">
        <v>45278</v>
      </c>
      <c r="G2407" s="15">
        <v>45355</v>
      </c>
      <c r="H2407" s="14" t="s">
        <v>3473</v>
      </c>
      <c r="I2407" s="14" t="s">
        <v>3361</v>
      </c>
      <c r="J2407" s="13" t="str" cm="1">
        <f t="array" ref="J2407">_xlfn.IFS(
  OR(ISBLANK(A2407),ISBLANK(B2407),ISBLANK(H2407),ISBLANK(D2407),ISBLANK(E2407)),"Missing Value",
  D2407&lt;=0,"Review – Out of Range (Coverage)",
  E2407&lt;=0,"Review – Out of Range (Premium)",
  TRUE,"OK"
)</f>
        <v>OK</v>
      </c>
    </row>
    <row r="2408" spans="1:10" ht="16.8" x14ac:dyDescent="0.3">
      <c r="A2408" s="11" t="s">
        <v>6070</v>
      </c>
      <c r="B2408" s="11" t="s">
        <v>3224</v>
      </c>
      <c r="C2408" s="11" t="s">
        <v>3359</v>
      </c>
      <c r="D2408" s="11">
        <v>694609.67</v>
      </c>
      <c r="E2408" s="11">
        <v>17297.04</v>
      </c>
      <c r="F2408" s="12">
        <v>44989</v>
      </c>
      <c r="G2408" s="12">
        <v>45217</v>
      </c>
      <c r="H2408" s="11" t="s">
        <v>4410</v>
      </c>
      <c r="I2408" s="11" t="s">
        <v>3365</v>
      </c>
      <c r="J2408" s="13" t="str" cm="1">
        <f t="array" ref="J2408">_xlfn.IFS(
  OR(ISBLANK(A2408),ISBLANK(B2408),ISBLANK(H2408),ISBLANK(D2408),ISBLANK(E2408)),"Missing Value",
  D2408&lt;=0,"Review – Out of Range (Coverage)",
  E2408&lt;=0,"Review – Out of Range (Premium)",
  TRUE,"OK"
)</f>
        <v>OK</v>
      </c>
    </row>
    <row r="2409" spans="1:10" ht="16.8" x14ac:dyDescent="0.3">
      <c r="A2409" s="14" t="s">
        <v>6071</v>
      </c>
      <c r="B2409" s="14" t="s">
        <v>1277</v>
      </c>
      <c r="C2409" s="14" t="s">
        <v>3380</v>
      </c>
      <c r="D2409" s="14">
        <v>503091.84</v>
      </c>
      <c r="E2409" s="14">
        <v>14194.64</v>
      </c>
      <c r="F2409" s="15">
        <v>44410</v>
      </c>
      <c r="G2409" s="15">
        <v>45284</v>
      </c>
      <c r="H2409" s="14" t="s">
        <v>3463</v>
      </c>
      <c r="I2409" s="14" t="s">
        <v>3373</v>
      </c>
      <c r="J2409" s="13" t="str" cm="1">
        <f t="array" ref="J2409">_xlfn.IFS(
  OR(ISBLANK(A2409),ISBLANK(B2409),ISBLANK(H2409),ISBLANK(D2409),ISBLANK(E2409)),"Missing Value",
  D2409&lt;=0,"Review – Out of Range (Coverage)",
  E2409&lt;=0,"Review – Out of Range (Premium)",
  TRUE,"OK"
)</f>
        <v>OK</v>
      </c>
    </row>
    <row r="2410" spans="1:10" ht="16.8" x14ac:dyDescent="0.3">
      <c r="A2410" s="11" t="s">
        <v>6072</v>
      </c>
      <c r="B2410" s="11" t="s">
        <v>1773</v>
      </c>
      <c r="C2410" s="11" t="s">
        <v>3359</v>
      </c>
      <c r="D2410" s="11">
        <v>965404.83</v>
      </c>
      <c r="E2410" s="11">
        <v>16994.240000000002</v>
      </c>
      <c r="F2410" s="12">
        <v>44350</v>
      </c>
      <c r="G2410" s="12">
        <v>44977</v>
      </c>
      <c r="H2410" s="11" t="s">
        <v>4378</v>
      </c>
      <c r="I2410" s="11" t="s">
        <v>3373</v>
      </c>
      <c r="J2410" s="13" t="str" cm="1">
        <f t="array" ref="J2410">_xlfn.IFS(
  OR(ISBLANK(A2410),ISBLANK(B2410),ISBLANK(H2410),ISBLANK(D2410),ISBLANK(E2410)),"Missing Value",
  D2410&lt;=0,"Review – Out of Range (Coverage)",
  E2410&lt;=0,"Review – Out of Range (Premium)",
  TRUE,"OK"
)</f>
        <v>OK</v>
      </c>
    </row>
    <row r="2411" spans="1:10" ht="16.8" x14ac:dyDescent="0.3">
      <c r="A2411" s="14" t="s">
        <v>6073</v>
      </c>
      <c r="B2411" s="14" t="s">
        <v>2663</v>
      </c>
      <c r="C2411" s="14" t="s">
        <v>3371</v>
      </c>
      <c r="D2411" s="14">
        <v>357592.01</v>
      </c>
      <c r="E2411" s="14">
        <v>36961.58</v>
      </c>
      <c r="F2411" s="15">
        <v>44364</v>
      </c>
      <c r="G2411" s="15">
        <v>45064</v>
      </c>
      <c r="H2411" s="14" t="s">
        <v>3549</v>
      </c>
      <c r="I2411" s="14" t="s">
        <v>3373</v>
      </c>
      <c r="J2411" s="13" t="str" cm="1">
        <f t="array" ref="J2411">_xlfn.IFS(
  OR(ISBLANK(A2411),ISBLANK(B2411),ISBLANK(H2411),ISBLANK(D2411),ISBLANK(E2411)),"Missing Value",
  D2411&lt;=0,"Review – Out of Range (Coverage)",
  E2411&lt;=0,"Review – Out of Range (Premium)",
  TRUE,"OK"
)</f>
        <v>OK</v>
      </c>
    </row>
    <row r="2412" spans="1:10" ht="16.8" x14ac:dyDescent="0.3">
      <c r="A2412" s="11" t="s">
        <v>6074</v>
      </c>
      <c r="B2412" s="11" t="s">
        <v>3170</v>
      </c>
      <c r="C2412" s="11" t="s">
        <v>3359</v>
      </c>
      <c r="D2412" s="11">
        <v>292642.62</v>
      </c>
      <c r="E2412" s="11">
        <v>47653.48</v>
      </c>
      <c r="F2412" s="12">
        <v>45442</v>
      </c>
      <c r="G2412" s="12">
        <v>45591</v>
      </c>
      <c r="H2412" s="11" t="s">
        <v>4090</v>
      </c>
      <c r="I2412" s="11" t="s">
        <v>3361</v>
      </c>
      <c r="J2412" s="13" t="str" cm="1">
        <f t="array" ref="J2412">_xlfn.IFS(
  OR(ISBLANK(A2412),ISBLANK(B2412),ISBLANK(H2412),ISBLANK(D2412),ISBLANK(E2412)),"Missing Value",
  D2412&lt;=0,"Review – Out of Range (Coverage)",
  E2412&lt;=0,"Review – Out of Range (Premium)",
  TRUE,"OK"
)</f>
        <v>OK</v>
      </c>
    </row>
    <row r="2413" spans="1:10" ht="16.8" x14ac:dyDescent="0.3">
      <c r="A2413" s="14" t="s">
        <v>6075</v>
      </c>
      <c r="B2413" s="14" t="s">
        <v>436</v>
      </c>
      <c r="C2413" s="14" t="s">
        <v>3377</v>
      </c>
      <c r="D2413" s="14">
        <v>128587.38</v>
      </c>
      <c r="E2413" s="14">
        <v>49118.85</v>
      </c>
      <c r="F2413" s="15">
        <v>45326</v>
      </c>
      <c r="G2413" s="15">
        <v>45756</v>
      </c>
      <c r="H2413" s="14" t="s">
        <v>3634</v>
      </c>
      <c r="I2413" s="14" t="s">
        <v>3365</v>
      </c>
      <c r="J2413" s="13" t="str" cm="1">
        <f t="array" ref="J2413">_xlfn.IFS(
  OR(ISBLANK(A2413),ISBLANK(B2413),ISBLANK(H2413),ISBLANK(D2413),ISBLANK(E2413)),"Missing Value",
  D2413&lt;=0,"Review – Out of Range (Coverage)",
  E2413&lt;=0,"Review – Out of Range (Premium)",
  TRUE,"OK"
)</f>
        <v>OK</v>
      </c>
    </row>
    <row r="2414" spans="1:10" ht="16.8" x14ac:dyDescent="0.3">
      <c r="A2414" s="11" t="s">
        <v>6076</v>
      </c>
      <c r="B2414" s="11" t="s">
        <v>589</v>
      </c>
      <c r="C2414" s="11" t="s">
        <v>3371</v>
      </c>
      <c r="D2414" s="11">
        <v>874890.75</v>
      </c>
      <c r="E2414" s="11">
        <v>25501.02</v>
      </c>
      <c r="F2414" s="12">
        <v>44703</v>
      </c>
      <c r="G2414" s="12">
        <v>44818</v>
      </c>
      <c r="H2414" s="11" t="s">
        <v>3854</v>
      </c>
      <c r="I2414" s="11" t="s">
        <v>3373</v>
      </c>
      <c r="J2414" s="13" t="str" cm="1">
        <f t="array" ref="J2414">_xlfn.IFS(
  OR(ISBLANK(A2414),ISBLANK(B2414),ISBLANK(H2414),ISBLANK(D2414),ISBLANK(E2414)),"Missing Value",
  D2414&lt;=0,"Review – Out of Range (Coverage)",
  E2414&lt;=0,"Review – Out of Range (Premium)",
  TRUE,"OK"
)</f>
        <v>OK</v>
      </c>
    </row>
    <row r="2415" spans="1:10" ht="16.8" x14ac:dyDescent="0.3">
      <c r="A2415" s="14" t="s">
        <v>6077</v>
      </c>
      <c r="B2415" s="14" t="s">
        <v>2607</v>
      </c>
      <c r="C2415" s="14" t="s">
        <v>3371</v>
      </c>
      <c r="D2415" s="14">
        <v>719378.71</v>
      </c>
      <c r="E2415" s="14">
        <v>10405.57</v>
      </c>
      <c r="F2415" s="15">
        <v>44172</v>
      </c>
      <c r="G2415" s="15">
        <v>45814</v>
      </c>
      <c r="H2415" s="14" t="s">
        <v>3809</v>
      </c>
      <c r="I2415" s="14" t="s">
        <v>3373</v>
      </c>
      <c r="J2415" s="13" t="str" cm="1">
        <f t="array" ref="J2415">_xlfn.IFS(
  OR(ISBLANK(A2415),ISBLANK(B2415),ISBLANK(H2415),ISBLANK(D2415),ISBLANK(E2415)),"Missing Value",
  D2415&lt;=0,"Review – Out of Range (Coverage)",
  E2415&lt;=0,"Review – Out of Range (Premium)",
  TRUE,"OK"
)</f>
        <v>OK</v>
      </c>
    </row>
    <row r="2416" spans="1:10" ht="16.8" x14ac:dyDescent="0.3">
      <c r="A2416" s="11" t="s">
        <v>6078</v>
      </c>
      <c r="B2416" s="11" t="s">
        <v>547</v>
      </c>
      <c r="C2416" s="11" t="s">
        <v>3380</v>
      </c>
      <c r="D2416" s="11">
        <v>602868.56999999995</v>
      </c>
      <c r="E2416" s="11">
        <v>44861.33</v>
      </c>
      <c r="F2416" s="12">
        <v>44544</v>
      </c>
      <c r="G2416" s="12">
        <v>45790</v>
      </c>
      <c r="H2416" s="11" t="s">
        <v>3806</v>
      </c>
      <c r="I2416" s="11" t="s">
        <v>3373</v>
      </c>
      <c r="J2416" s="13" t="str" cm="1">
        <f t="array" ref="J2416">_xlfn.IFS(
  OR(ISBLANK(A2416),ISBLANK(B2416),ISBLANK(H2416),ISBLANK(D2416),ISBLANK(E2416)),"Missing Value",
  D2416&lt;=0,"Review – Out of Range (Coverage)",
  E2416&lt;=0,"Review – Out of Range (Premium)",
  TRUE,"OK"
)</f>
        <v>OK</v>
      </c>
    </row>
    <row r="2417" spans="1:10" ht="16.8" x14ac:dyDescent="0.3">
      <c r="A2417" s="14" t="s">
        <v>6079</v>
      </c>
      <c r="B2417" s="14" t="s">
        <v>2881</v>
      </c>
      <c r="C2417" s="14" t="s">
        <v>3380</v>
      </c>
      <c r="D2417" s="14">
        <v>820635.43</v>
      </c>
      <c r="E2417" s="14">
        <v>45114.49</v>
      </c>
      <c r="F2417" s="15">
        <v>44836</v>
      </c>
      <c r="G2417" s="15">
        <v>44887</v>
      </c>
      <c r="H2417" s="14" t="s">
        <v>3480</v>
      </c>
      <c r="I2417" s="14" t="s">
        <v>3365</v>
      </c>
      <c r="J2417" s="13" t="str" cm="1">
        <f t="array" ref="J2417">_xlfn.IFS(
  OR(ISBLANK(A2417),ISBLANK(B2417),ISBLANK(H2417),ISBLANK(D2417),ISBLANK(E2417)),"Missing Value",
  D2417&lt;=0,"Review – Out of Range (Coverage)",
  E2417&lt;=0,"Review – Out of Range (Premium)",
  TRUE,"OK"
)</f>
        <v>OK</v>
      </c>
    </row>
    <row r="2418" spans="1:10" ht="16.8" x14ac:dyDescent="0.3">
      <c r="A2418" s="11" t="s">
        <v>6080</v>
      </c>
      <c r="B2418" s="11" t="s">
        <v>1959</v>
      </c>
      <c r="C2418" s="11" t="s">
        <v>3363</v>
      </c>
      <c r="D2418" s="11">
        <v>788618.35</v>
      </c>
      <c r="E2418" s="11">
        <v>44560.77</v>
      </c>
      <c r="F2418" s="12">
        <v>44310</v>
      </c>
      <c r="G2418" s="12">
        <v>44598</v>
      </c>
      <c r="H2418" s="11" t="s">
        <v>3378</v>
      </c>
      <c r="I2418" s="11" t="s">
        <v>3361</v>
      </c>
      <c r="J2418" s="13" t="str" cm="1">
        <f t="array" ref="J2418">_xlfn.IFS(
  OR(ISBLANK(A2418),ISBLANK(B2418),ISBLANK(H2418),ISBLANK(D2418),ISBLANK(E2418)),"Missing Value",
  D2418&lt;=0,"Review – Out of Range (Coverage)",
  E2418&lt;=0,"Review – Out of Range (Premium)",
  TRUE,"OK"
)</f>
        <v>OK</v>
      </c>
    </row>
    <row r="2419" spans="1:10" ht="16.8" x14ac:dyDescent="0.3">
      <c r="A2419" s="14" t="s">
        <v>6081</v>
      </c>
      <c r="B2419" s="14" t="s">
        <v>2413</v>
      </c>
      <c r="C2419" s="14" t="s">
        <v>3359</v>
      </c>
      <c r="D2419" s="14">
        <v>811031.5</v>
      </c>
      <c r="E2419" s="14">
        <v>15379.8</v>
      </c>
      <c r="F2419" s="15">
        <v>45305</v>
      </c>
      <c r="G2419" s="15">
        <v>45570</v>
      </c>
      <c r="H2419" s="14" t="s">
        <v>3551</v>
      </c>
      <c r="I2419" s="14" t="s">
        <v>3361</v>
      </c>
      <c r="J2419" s="13" t="str" cm="1">
        <f t="array" ref="J2419">_xlfn.IFS(
  OR(ISBLANK(A2419),ISBLANK(B2419),ISBLANK(H2419),ISBLANK(D2419),ISBLANK(E2419)),"Missing Value",
  D2419&lt;=0,"Review – Out of Range (Coverage)",
  E2419&lt;=0,"Review – Out of Range (Premium)",
  TRUE,"OK"
)</f>
        <v>OK</v>
      </c>
    </row>
    <row r="2420" spans="1:10" ht="16.8" x14ac:dyDescent="0.3">
      <c r="A2420" s="11" t="s">
        <v>6082</v>
      </c>
      <c r="B2420" s="11" t="s">
        <v>1231</v>
      </c>
      <c r="C2420" s="11" t="s">
        <v>3377</v>
      </c>
      <c r="D2420" s="11">
        <v>805080.64</v>
      </c>
      <c r="E2420" s="11">
        <v>25726.81</v>
      </c>
      <c r="F2420" s="12">
        <v>44336</v>
      </c>
      <c r="G2420" s="12">
        <v>45641</v>
      </c>
      <c r="H2420" s="11" t="s">
        <v>3794</v>
      </c>
      <c r="I2420" s="11" t="s">
        <v>3373</v>
      </c>
      <c r="J2420" s="13" t="str" cm="1">
        <f t="array" ref="J2420">_xlfn.IFS(
  OR(ISBLANK(A2420),ISBLANK(B2420),ISBLANK(H2420),ISBLANK(D2420),ISBLANK(E2420)),"Missing Value",
  D2420&lt;=0,"Review – Out of Range (Coverage)",
  E2420&lt;=0,"Review – Out of Range (Premium)",
  TRUE,"OK"
)</f>
        <v>OK</v>
      </c>
    </row>
    <row r="2421" spans="1:10" ht="16.8" x14ac:dyDescent="0.3">
      <c r="A2421" s="14" t="s">
        <v>6083</v>
      </c>
      <c r="B2421" s="14" t="s">
        <v>1223</v>
      </c>
      <c r="C2421" s="14" t="s">
        <v>3380</v>
      </c>
      <c r="D2421" s="14">
        <v>141709.43</v>
      </c>
      <c r="E2421" s="14">
        <v>39485.980000000003</v>
      </c>
      <c r="F2421" s="15">
        <v>45018</v>
      </c>
      <c r="G2421" s="15">
        <v>45603</v>
      </c>
      <c r="H2421" s="14" t="s">
        <v>4056</v>
      </c>
      <c r="I2421" s="14" t="s">
        <v>3373</v>
      </c>
      <c r="J2421" s="13" t="str" cm="1">
        <f t="array" ref="J2421">_xlfn.IFS(
  OR(ISBLANK(A2421),ISBLANK(B2421),ISBLANK(H2421),ISBLANK(D2421),ISBLANK(E2421)),"Missing Value",
  D2421&lt;=0,"Review – Out of Range (Coverage)",
  E2421&lt;=0,"Review – Out of Range (Premium)",
  TRUE,"OK"
)</f>
        <v>OK</v>
      </c>
    </row>
    <row r="2422" spans="1:10" ht="16.8" x14ac:dyDescent="0.3">
      <c r="A2422" s="11" t="s">
        <v>6084</v>
      </c>
      <c r="B2422" s="11" t="s">
        <v>3100</v>
      </c>
      <c r="C2422" s="11" t="s">
        <v>3380</v>
      </c>
      <c r="D2422" s="11">
        <v>368954.75</v>
      </c>
      <c r="E2422" s="11">
        <v>30087.94</v>
      </c>
      <c r="F2422" s="12">
        <v>45471</v>
      </c>
      <c r="G2422" s="12">
        <v>45785</v>
      </c>
      <c r="H2422" s="11" t="s">
        <v>4123</v>
      </c>
      <c r="I2422" s="11" t="s">
        <v>3373</v>
      </c>
      <c r="J2422" s="13" t="str" cm="1">
        <f t="array" ref="J2422">_xlfn.IFS(
  OR(ISBLANK(A2422),ISBLANK(B2422),ISBLANK(H2422),ISBLANK(D2422),ISBLANK(E2422)),"Missing Value",
  D2422&lt;=0,"Review – Out of Range (Coverage)",
  E2422&lt;=0,"Review – Out of Range (Premium)",
  TRUE,"OK"
)</f>
        <v>OK</v>
      </c>
    </row>
    <row r="2423" spans="1:10" ht="16.8" x14ac:dyDescent="0.3">
      <c r="A2423" s="14" t="s">
        <v>6085</v>
      </c>
      <c r="B2423" s="14" t="s">
        <v>627</v>
      </c>
      <c r="C2423" s="14" t="s">
        <v>3380</v>
      </c>
      <c r="D2423" s="14">
        <v>549728.85</v>
      </c>
      <c r="E2423" s="14">
        <v>44066.96</v>
      </c>
      <c r="F2423" s="15">
        <v>44936</v>
      </c>
      <c r="G2423" s="15">
        <v>45007</v>
      </c>
      <c r="H2423" s="14" t="s">
        <v>3715</v>
      </c>
      <c r="I2423" s="14" t="s">
        <v>3365</v>
      </c>
      <c r="J2423" s="13" t="str" cm="1">
        <f t="array" ref="J2423">_xlfn.IFS(
  OR(ISBLANK(A2423),ISBLANK(B2423),ISBLANK(H2423),ISBLANK(D2423),ISBLANK(E2423)),"Missing Value",
  D2423&lt;=0,"Review – Out of Range (Coverage)",
  E2423&lt;=0,"Review – Out of Range (Premium)",
  TRUE,"OK"
)</f>
        <v>OK</v>
      </c>
    </row>
    <row r="2424" spans="1:10" ht="16.8" x14ac:dyDescent="0.3">
      <c r="A2424" s="11" t="s">
        <v>6086</v>
      </c>
      <c r="B2424" s="11" t="s">
        <v>1101</v>
      </c>
      <c r="C2424" s="11" t="s">
        <v>3380</v>
      </c>
      <c r="D2424" s="11">
        <v>305469.28999999998</v>
      </c>
      <c r="E2424" s="11">
        <v>12333.18</v>
      </c>
      <c r="F2424" s="12">
        <v>45240</v>
      </c>
      <c r="G2424" s="12">
        <v>45266</v>
      </c>
      <c r="H2424" s="11" t="s">
        <v>3640</v>
      </c>
      <c r="I2424" s="11" t="s">
        <v>3373</v>
      </c>
      <c r="J2424" s="13" t="str" cm="1">
        <f t="array" ref="J2424">_xlfn.IFS(
  OR(ISBLANK(A2424),ISBLANK(B2424),ISBLANK(H2424),ISBLANK(D2424),ISBLANK(E2424)),"Missing Value",
  D2424&lt;=0,"Review – Out of Range (Coverage)",
  E2424&lt;=0,"Review – Out of Range (Premium)",
  TRUE,"OK"
)</f>
        <v>OK</v>
      </c>
    </row>
    <row r="2425" spans="1:10" ht="16.8" x14ac:dyDescent="0.3">
      <c r="A2425" s="14" t="s">
        <v>6087</v>
      </c>
      <c r="B2425" s="14" t="s">
        <v>2039</v>
      </c>
      <c r="C2425" s="14" t="s">
        <v>3359</v>
      </c>
      <c r="D2425" s="14">
        <v>422895.07</v>
      </c>
      <c r="E2425" s="14">
        <v>45276.91</v>
      </c>
      <c r="F2425" s="15">
        <v>44568</v>
      </c>
      <c r="G2425" s="15">
        <v>44732</v>
      </c>
      <c r="H2425" s="14" t="s">
        <v>3599</v>
      </c>
      <c r="I2425" s="14" t="s">
        <v>3373</v>
      </c>
      <c r="J2425" s="13" t="str" cm="1">
        <f t="array" ref="J2425">_xlfn.IFS(
  OR(ISBLANK(A2425),ISBLANK(B2425),ISBLANK(H2425),ISBLANK(D2425),ISBLANK(E2425)),"Missing Value",
  D2425&lt;=0,"Review – Out of Range (Coverage)",
  E2425&lt;=0,"Review – Out of Range (Premium)",
  TRUE,"OK"
)</f>
        <v>OK</v>
      </c>
    </row>
    <row r="2426" spans="1:10" ht="16.8" x14ac:dyDescent="0.3">
      <c r="A2426" s="11" t="s">
        <v>6088</v>
      </c>
      <c r="B2426" s="11" t="s">
        <v>3148</v>
      </c>
      <c r="C2426" s="11" t="s">
        <v>3380</v>
      </c>
      <c r="D2426" s="11">
        <v>810318.39</v>
      </c>
      <c r="E2426" s="11">
        <v>5940.43</v>
      </c>
      <c r="F2426" s="12">
        <v>45174</v>
      </c>
      <c r="G2426" s="12">
        <v>45807</v>
      </c>
      <c r="H2426" s="11" t="s">
        <v>3982</v>
      </c>
      <c r="I2426" s="11" t="s">
        <v>3373</v>
      </c>
      <c r="J2426" s="13" t="str" cm="1">
        <f t="array" ref="J2426">_xlfn.IFS(
  OR(ISBLANK(A2426),ISBLANK(B2426),ISBLANK(H2426),ISBLANK(D2426),ISBLANK(E2426)),"Missing Value",
  D2426&lt;=0,"Review – Out of Range (Coverage)",
  E2426&lt;=0,"Review – Out of Range (Premium)",
  TRUE,"OK"
)</f>
        <v>OK</v>
      </c>
    </row>
    <row r="2427" spans="1:10" ht="16.8" x14ac:dyDescent="0.3">
      <c r="A2427" s="14" t="s">
        <v>6089</v>
      </c>
      <c r="B2427" s="14" t="s">
        <v>3248</v>
      </c>
      <c r="C2427" s="14" t="s">
        <v>3377</v>
      </c>
      <c r="D2427" s="14">
        <v>370288.66</v>
      </c>
      <c r="E2427" s="14">
        <v>44877.49</v>
      </c>
      <c r="F2427" s="15">
        <v>44884</v>
      </c>
      <c r="G2427" s="15">
        <v>45635</v>
      </c>
      <c r="H2427" s="14" t="s">
        <v>3731</v>
      </c>
      <c r="I2427" s="14" t="s">
        <v>3373</v>
      </c>
      <c r="J2427" s="13" t="str" cm="1">
        <f t="array" ref="J2427">_xlfn.IFS(
  OR(ISBLANK(A2427),ISBLANK(B2427),ISBLANK(H2427),ISBLANK(D2427),ISBLANK(E2427)),"Missing Value",
  D2427&lt;=0,"Review – Out of Range (Coverage)",
  E2427&lt;=0,"Review – Out of Range (Premium)",
  TRUE,"OK"
)</f>
        <v>OK</v>
      </c>
    </row>
    <row r="2428" spans="1:10" ht="16.8" x14ac:dyDescent="0.3">
      <c r="A2428" s="11" t="s">
        <v>6090</v>
      </c>
      <c r="B2428" s="11" t="s">
        <v>2817</v>
      </c>
      <c r="C2428" s="11" t="s">
        <v>3371</v>
      </c>
      <c r="D2428" s="11">
        <v>342878.93</v>
      </c>
      <c r="E2428" s="11">
        <v>43814.96</v>
      </c>
      <c r="F2428" s="12">
        <v>44524</v>
      </c>
      <c r="G2428" s="12">
        <v>44701</v>
      </c>
      <c r="H2428" s="11" t="s">
        <v>3403</v>
      </c>
      <c r="I2428" s="11" t="s">
        <v>3361</v>
      </c>
      <c r="J2428" s="13" t="str" cm="1">
        <f t="array" ref="J2428">_xlfn.IFS(
  OR(ISBLANK(A2428),ISBLANK(B2428),ISBLANK(H2428),ISBLANK(D2428),ISBLANK(E2428)),"Missing Value",
  D2428&lt;=0,"Review – Out of Range (Coverage)",
  E2428&lt;=0,"Review – Out of Range (Premium)",
  TRUE,"OK"
)</f>
        <v>OK</v>
      </c>
    </row>
    <row r="2429" spans="1:10" ht="16.8" x14ac:dyDescent="0.3">
      <c r="A2429" s="14" t="s">
        <v>6091</v>
      </c>
      <c r="B2429" s="14" t="s">
        <v>613</v>
      </c>
      <c r="C2429" s="14" t="s">
        <v>3363</v>
      </c>
      <c r="D2429" s="14">
        <v>950741.41</v>
      </c>
      <c r="E2429" s="14">
        <v>19021.43</v>
      </c>
      <c r="F2429" s="15">
        <v>44937</v>
      </c>
      <c r="G2429" s="15">
        <v>45334</v>
      </c>
      <c r="H2429" s="14" t="s">
        <v>4650</v>
      </c>
      <c r="I2429" s="14" t="s">
        <v>3365</v>
      </c>
      <c r="J2429" s="13" t="str" cm="1">
        <f t="array" ref="J2429">_xlfn.IFS(
  OR(ISBLANK(A2429),ISBLANK(B2429),ISBLANK(H2429),ISBLANK(D2429),ISBLANK(E2429)),"Missing Value",
  D2429&lt;=0,"Review – Out of Range (Coverage)",
  E2429&lt;=0,"Review – Out of Range (Premium)",
  TRUE,"OK"
)</f>
        <v>OK</v>
      </c>
    </row>
    <row r="2430" spans="1:10" ht="16.8" x14ac:dyDescent="0.3">
      <c r="A2430" s="11" t="s">
        <v>6092</v>
      </c>
      <c r="B2430" s="11" t="s">
        <v>719</v>
      </c>
      <c r="C2430" s="11" t="s">
        <v>3363</v>
      </c>
      <c r="D2430" s="11">
        <v>352188.03</v>
      </c>
      <c r="E2430" s="11">
        <v>46051.360000000001</v>
      </c>
      <c r="F2430" s="12">
        <v>45435</v>
      </c>
      <c r="G2430" s="12">
        <v>45778</v>
      </c>
      <c r="H2430" s="11" t="s">
        <v>3409</v>
      </c>
      <c r="I2430" s="11" t="s">
        <v>3361</v>
      </c>
      <c r="J2430" s="13" t="str" cm="1">
        <f t="array" ref="J2430">_xlfn.IFS(
  OR(ISBLANK(A2430),ISBLANK(B2430),ISBLANK(H2430),ISBLANK(D2430),ISBLANK(E2430)),"Missing Value",
  D2430&lt;=0,"Review – Out of Range (Coverage)",
  E2430&lt;=0,"Review – Out of Range (Premium)",
  TRUE,"OK"
)</f>
        <v>OK</v>
      </c>
    </row>
    <row r="2431" spans="1:10" ht="16.8" x14ac:dyDescent="0.3">
      <c r="A2431" s="14" t="s">
        <v>6093</v>
      </c>
      <c r="B2431" s="14" t="s">
        <v>2579</v>
      </c>
      <c r="C2431" s="14" t="s">
        <v>3363</v>
      </c>
      <c r="D2431" s="14">
        <v>395224.08</v>
      </c>
      <c r="E2431" s="14">
        <v>23620.09</v>
      </c>
      <c r="F2431" s="15">
        <v>44351</v>
      </c>
      <c r="G2431" s="15">
        <v>45718</v>
      </c>
      <c r="H2431" s="14" t="s">
        <v>3865</v>
      </c>
      <c r="I2431" s="14" t="s">
        <v>3361</v>
      </c>
      <c r="J2431" s="13" t="str" cm="1">
        <f t="array" ref="J2431">_xlfn.IFS(
  OR(ISBLANK(A2431),ISBLANK(B2431),ISBLANK(H2431),ISBLANK(D2431),ISBLANK(E2431)),"Missing Value",
  D2431&lt;=0,"Review – Out of Range (Coverage)",
  E2431&lt;=0,"Review – Out of Range (Premium)",
  TRUE,"OK"
)</f>
        <v>OK</v>
      </c>
    </row>
    <row r="2432" spans="1:10" ht="16.8" x14ac:dyDescent="0.3">
      <c r="A2432" s="11" t="s">
        <v>6094</v>
      </c>
      <c r="B2432" s="11" t="s">
        <v>3001</v>
      </c>
      <c r="C2432" s="11" t="s">
        <v>3380</v>
      </c>
      <c r="D2432" s="11">
        <v>247842.61</v>
      </c>
      <c r="E2432" s="11">
        <v>32153.67</v>
      </c>
      <c r="F2432" s="12">
        <v>45347</v>
      </c>
      <c r="G2432" s="12">
        <v>45719</v>
      </c>
      <c r="H2432" s="11" t="s">
        <v>3530</v>
      </c>
      <c r="I2432" s="11" t="s">
        <v>3365</v>
      </c>
      <c r="J2432" s="13" t="str" cm="1">
        <f t="array" ref="J2432">_xlfn.IFS(
  OR(ISBLANK(A2432),ISBLANK(B2432),ISBLANK(H2432),ISBLANK(D2432),ISBLANK(E2432)),"Missing Value",
  D2432&lt;=0,"Review – Out of Range (Coverage)",
  E2432&lt;=0,"Review – Out of Range (Premium)",
  TRUE,"OK"
)</f>
        <v>OK</v>
      </c>
    </row>
    <row r="2433" spans="1:10" ht="16.8" x14ac:dyDescent="0.3">
      <c r="A2433" s="14" t="s">
        <v>6095</v>
      </c>
      <c r="B2433" s="14" t="s">
        <v>1935</v>
      </c>
      <c r="C2433" s="14" t="s">
        <v>3380</v>
      </c>
      <c r="D2433" s="14">
        <v>506435.31</v>
      </c>
      <c r="E2433" s="14">
        <v>43737.9</v>
      </c>
      <c r="F2433" s="15">
        <v>44149</v>
      </c>
      <c r="G2433" s="15">
        <v>45170</v>
      </c>
      <c r="H2433" s="14" t="s">
        <v>3434</v>
      </c>
      <c r="I2433" s="14" t="s">
        <v>3365</v>
      </c>
      <c r="J2433" s="13" t="str" cm="1">
        <f t="array" ref="J2433">_xlfn.IFS(
  OR(ISBLANK(A2433),ISBLANK(B2433),ISBLANK(H2433),ISBLANK(D2433),ISBLANK(E2433)),"Missing Value",
  D2433&lt;=0,"Review – Out of Range (Coverage)",
  E2433&lt;=0,"Review – Out of Range (Premium)",
  TRUE,"OK"
)</f>
        <v>OK</v>
      </c>
    </row>
    <row r="2434" spans="1:10" ht="16.8" x14ac:dyDescent="0.3">
      <c r="A2434" s="11" t="s">
        <v>6096</v>
      </c>
      <c r="B2434" s="11" t="s">
        <v>1629</v>
      </c>
      <c r="C2434" s="11" t="s">
        <v>3363</v>
      </c>
      <c r="D2434" s="11">
        <v>324976.57</v>
      </c>
      <c r="E2434" s="11">
        <v>17554.03</v>
      </c>
      <c r="F2434" s="12">
        <v>44895</v>
      </c>
      <c r="G2434" s="12">
        <v>45173</v>
      </c>
      <c r="H2434" s="11" t="s">
        <v>3725</v>
      </c>
      <c r="I2434" s="11" t="s">
        <v>3361</v>
      </c>
      <c r="J2434" s="13" t="str" cm="1">
        <f t="array" ref="J2434">_xlfn.IFS(
  OR(ISBLANK(A2434),ISBLANK(B2434),ISBLANK(H2434),ISBLANK(D2434),ISBLANK(E2434)),"Missing Value",
  D2434&lt;=0,"Review – Out of Range (Coverage)",
  E2434&lt;=0,"Review – Out of Range (Premium)",
  TRUE,"OK"
)</f>
        <v>OK</v>
      </c>
    </row>
    <row r="2435" spans="1:10" ht="16.8" x14ac:dyDescent="0.3">
      <c r="A2435" s="14" t="s">
        <v>6097</v>
      </c>
      <c r="B2435" s="14" t="s">
        <v>1117</v>
      </c>
      <c r="C2435" s="14" t="s">
        <v>3371</v>
      </c>
      <c r="D2435" s="14">
        <v>536162.43000000005</v>
      </c>
      <c r="E2435" s="14">
        <v>46093.33</v>
      </c>
      <c r="F2435" s="15">
        <v>45211</v>
      </c>
      <c r="G2435" s="15">
        <v>45342</v>
      </c>
      <c r="H2435" s="14" t="s">
        <v>3813</v>
      </c>
      <c r="I2435" s="14" t="s">
        <v>3361</v>
      </c>
      <c r="J2435" s="13" t="str" cm="1">
        <f t="array" ref="J2435">_xlfn.IFS(
  OR(ISBLANK(A2435),ISBLANK(B2435),ISBLANK(H2435),ISBLANK(D2435),ISBLANK(E2435)),"Missing Value",
  D2435&lt;=0,"Review – Out of Range (Coverage)",
  E2435&lt;=0,"Review – Out of Range (Premium)",
  TRUE,"OK"
)</f>
        <v>OK</v>
      </c>
    </row>
    <row r="2436" spans="1:10" ht="16.8" x14ac:dyDescent="0.3">
      <c r="A2436" s="11" t="s">
        <v>6098</v>
      </c>
      <c r="B2436" s="11" t="s">
        <v>2521</v>
      </c>
      <c r="C2436" s="11" t="s">
        <v>3377</v>
      </c>
      <c r="D2436" s="11">
        <v>460194.38</v>
      </c>
      <c r="E2436" s="11">
        <v>17072.79</v>
      </c>
      <c r="F2436" s="12">
        <v>44690</v>
      </c>
      <c r="G2436" s="12">
        <v>45824</v>
      </c>
      <c r="H2436" s="11" t="s">
        <v>3540</v>
      </c>
      <c r="I2436" s="11" t="s">
        <v>3365</v>
      </c>
      <c r="J2436" s="13" t="str" cm="1">
        <f t="array" ref="J2436">_xlfn.IFS(
  OR(ISBLANK(A2436),ISBLANK(B2436),ISBLANK(H2436),ISBLANK(D2436),ISBLANK(E2436)),"Missing Value",
  D2436&lt;=0,"Review – Out of Range (Coverage)",
  E2436&lt;=0,"Review – Out of Range (Premium)",
  TRUE,"OK"
)</f>
        <v>OK</v>
      </c>
    </row>
    <row r="2437" spans="1:10" ht="16.8" x14ac:dyDescent="0.3">
      <c r="A2437" s="14" t="s">
        <v>6099</v>
      </c>
      <c r="B2437" s="14" t="s">
        <v>2733</v>
      </c>
      <c r="C2437" s="14" t="s">
        <v>3359</v>
      </c>
      <c r="D2437" s="14">
        <v>773971.72</v>
      </c>
      <c r="E2437" s="14">
        <v>21970.82</v>
      </c>
      <c r="F2437" s="15">
        <v>44299</v>
      </c>
      <c r="G2437" s="15">
        <v>44964</v>
      </c>
      <c r="H2437" s="14" t="s">
        <v>3499</v>
      </c>
      <c r="I2437" s="14" t="s">
        <v>3365</v>
      </c>
      <c r="J2437" s="13" t="str" cm="1">
        <f t="array" ref="J2437">_xlfn.IFS(
  OR(ISBLANK(A2437),ISBLANK(B2437),ISBLANK(H2437),ISBLANK(D2437),ISBLANK(E2437)),"Missing Value",
  D2437&lt;=0,"Review – Out of Range (Coverage)",
  E2437&lt;=0,"Review – Out of Range (Premium)",
  TRUE,"OK"
)</f>
        <v>OK</v>
      </c>
    </row>
    <row r="2438" spans="1:10" ht="16.8" x14ac:dyDescent="0.3">
      <c r="A2438" s="11" t="s">
        <v>6100</v>
      </c>
      <c r="B2438" s="11" t="s">
        <v>589</v>
      </c>
      <c r="C2438" s="11" t="s">
        <v>3371</v>
      </c>
      <c r="D2438" s="11">
        <v>321772.64</v>
      </c>
      <c r="E2438" s="11">
        <v>8729.1299999999992</v>
      </c>
      <c r="F2438" s="12">
        <v>44550</v>
      </c>
      <c r="G2438" s="12">
        <v>45674</v>
      </c>
      <c r="H2438" s="11" t="s">
        <v>3393</v>
      </c>
      <c r="I2438" s="11" t="s">
        <v>3373</v>
      </c>
      <c r="J2438" s="13" t="str" cm="1">
        <f t="array" ref="J2438">_xlfn.IFS(
  OR(ISBLANK(A2438),ISBLANK(B2438),ISBLANK(H2438),ISBLANK(D2438),ISBLANK(E2438)),"Missing Value",
  D2438&lt;=0,"Review – Out of Range (Coverage)",
  E2438&lt;=0,"Review – Out of Range (Premium)",
  TRUE,"OK"
)</f>
        <v>OK</v>
      </c>
    </row>
    <row r="2439" spans="1:10" ht="16.8" x14ac:dyDescent="0.3">
      <c r="A2439" s="14" t="s">
        <v>6101</v>
      </c>
      <c r="B2439" s="14" t="s">
        <v>3234</v>
      </c>
      <c r="C2439" s="14" t="s">
        <v>3371</v>
      </c>
      <c r="D2439" s="14">
        <v>203722.49</v>
      </c>
      <c r="E2439" s="14">
        <v>24157.5</v>
      </c>
      <c r="F2439" s="15">
        <v>44648</v>
      </c>
      <c r="G2439" s="15">
        <v>44824</v>
      </c>
      <c r="H2439" s="14" t="s">
        <v>4892</v>
      </c>
      <c r="I2439" s="14" t="s">
        <v>3365</v>
      </c>
      <c r="J2439" s="13" t="str" cm="1">
        <f t="array" ref="J2439">_xlfn.IFS(
  OR(ISBLANK(A2439),ISBLANK(B2439),ISBLANK(H2439),ISBLANK(D2439),ISBLANK(E2439)),"Missing Value",
  D2439&lt;=0,"Review – Out of Range (Coverage)",
  E2439&lt;=0,"Review – Out of Range (Premium)",
  TRUE,"OK"
)</f>
        <v>OK</v>
      </c>
    </row>
    <row r="2440" spans="1:10" ht="16.8" x14ac:dyDescent="0.3">
      <c r="A2440" s="11" t="s">
        <v>6102</v>
      </c>
      <c r="B2440" s="11" t="s">
        <v>963</v>
      </c>
      <c r="C2440" s="11" t="s">
        <v>3380</v>
      </c>
      <c r="D2440" s="11">
        <v>224750.32</v>
      </c>
      <c r="E2440" s="11">
        <v>18717.71</v>
      </c>
      <c r="F2440" s="12">
        <v>44699</v>
      </c>
      <c r="G2440" s="12">
        <v>45085</v>
      </c>
      <c r="H2440" s="11" t="s">
        <v>4630</v>
      </c>
      <c r="I2440" s="11" t="s">
        <v>3373</v>
      </c>
      <c r="J2440" s="13" t="str" cm="1">
        <f t="array" ref="J2440">_xlfn.IFS(
  OR(ISBLANK(A2440),ISBLANK(B2440),ISBLANK(H2440),ISBLANK(D2440),ISBLANK(E2440)),"Missing Value",
  D2440&lt;=0,"Review – Out of Range (Coverage)",
  E2440&lt;=0,"Review – Out of Range (Premium)",
  TRUE,"OK"
)</f>
        <v>OK</v>
      </c>
    </row>
    <row r="2441" spans="1:10" ht="16.8" x14ac:dyDescent="0.3">
      <c r="A2441" s="14" t="s">
        <v>6103</v>
      </c>
      <c r="B2441" s="14" t="s">
        <v>941</v>
      </c>
      <c r="C2441" s="14" t="s">
        <v>3363</v>
      </c>
      <c r="D2441" s="14">
        <v>880832.67</v>
      </c>
      <c r="E2441" s="14">
        <v>37976.68</v>
      </c>
      <c r="F2441" s="15">
        <v>44390</v>
      </c>
      <c r="G2441" s="15">
        <v>45317</v>
      </c>
      <c r="H2441" s="14" t="s">
        <v>4098</v>
      </c>
      <c r="I2441" s="14" t="s">
        <v>3365</v>
      </c>
      <c r="J2441" s="13" t="str" cm="1">
        <f t="array" ref="J2441">_xlfn.IFS(
  OR(ISBLANK(A2441),ISBLANK(B2441),ISBLANK(H2441),ISBLANK(D2441),ISBLANK(E2441)),"Missing Value",
  D2441&lt;=0,"Review – Out of Range (Coverage)",
  E2441&lt;=0,"Review – Out of Range (Premium)",
  TRUE,"OK"
)</f>
        <v>OK</v>
      </c>
    </row>
    <row r="2442" spans="1:10" ht="16.8" x14ac:dyDescent="0.3">
      <c r="A2442" s="11" t="s">
        <v>6104</v>
      </c>
      <c r="B2442" s="11" t="s">
        <v>2631</v>
      </c>
      <c r="C2442" s="11" t="s">
        <v>3380</v>
      </c>
      <c r="D2442" s="11">
        <v>691778.71</v>
      </c>
      <c r="E2442" s="11">
        <v>23607.39</v>
      </c>
      <c r="F2442" s="12">
        <v>44728</v>
      </c>
      <c r="G2442" s="12">
        <v>44793</v>
      </c>
      <c r="H2442" s="11" t="s">
        <v>3898</v>
      </c>
      <c r="I2442" s="11" t="s">
        <v>3365</v>
      </c>
      <c r="J2442" s="13" t="str" cm="1">
        <f t="array" ref="J2442">_xlfn.IFS(
  OR(ISBLANK(A2442),ISBLANK(B2442),ISBLANK(H2442),ISBLANK(D2442),ISBLANK(E2442)),"Missing Value",
  D2442&lt;=0,"Review – Out of Range (Coverage)",
  E2442&lt;=0,"Review – Out of Range (Premium)",
  TRUE,"OK"
)</f>
        <v>OK</v>
      </c>
    </row>
    <row r="2443" spans="1:10" ht="16.8" x14ac:dyDescent="0.3">
      <c r="A2443" s="14" t="s">
        <v>6105</v>
      </c>
      <c r="B2443" s="14" t="s">
        <v>1237</v>
      </c>
      <c r="C2443" s="14" t="s">
        <v>3359</v>
      </c>
      <c r="D2443" s="14">
        <v>200619.48</v>
      </c>
      <c r="E2443" s="14">
        <v>39825.94</v>
      </c>
      <c r="F2443" s="15">
        <v>44048</v>
      </c>
      <c r="G2443" s="15">
        <v>45662</v>
      </c>
      <c r="H2443" s="14" t="s">
        <v>3759</v>
      </c>
      <c r="I2443" s="14" t="s">
        <v>3373</v>
      </c>
      <c r="J2443" s="13" t="str" cm="1">
        <f t="array" ref="J2443">_xlfn.IFS(
  OR(ISBLANK(A2443),ISBLANK(B2443),ISBLANK(H2443),ISBLANK(D2443),ISBLANK(E2443)),"Missing Value",
  D2443&lt;=0,"Review – Out of Range (Coverage)",
  E2443&lt;=0,"Review – Out of Range (Premium)",
  TRUE,"OK"
)</f>
        <v>OK</v>
      </c>
    </row>
    <row r="2444" spans="1:10" ht="16.8" x14ac:dyDescent="0.3">
      <c r="A2444" s="11" t="s">
        <v>6106</v>
      </c>
      <c r="B2444" s="11" t="s">
        <v>925</v>
      </c>
      <c r="C2444" s="11" t="s">
        <v>3377</v>
      </c>
      <c r="D2444" s="11">
        <v>460836.19</v>
      </c>
      <c r="E2444" s="11">
        <v>31043.279999999999</v>
      </c>
      <c r="F2444" s="12">
        <v>44557</v>
      </c>
      <c r="G2444" s="12">
        <v>45535</v>
      </c>
      <c r="H2444" s="11" t="s">
        <v>3540</v>
      </c>
      <c r="I2444" s="11" t="s">
        <v>3361</v>
      </c>
      <c r="J2444" s="13" t="str" cm="1">
        <f t="array" ref="J2444">_xlfn.IFS(
  OR(ISBLANK(A2444),ISBLANK(B2444),ISBLANK(H2444),ISBLANK(D2444),ISBLANK(E2444)),"Missing Value",
  D2444&lt;=0,"Review – Out of Range (Coverage)",
  E2444&lt;=0,"Review – Out of Range (Premium)",
  TRUE,"OK"
)</f>
        <v>OK</v>
      </c>
    </row>
    <row r="2445" spans="1:10" ht="16.8" x14ac:dyDescent="0.3">
      <c r="A2445" s="14" t="s">
        <v>6107</v>
      </c>
      <c r="B2445" s="14" t="s">
        <v>593</v>
      </c>
      <c r="C2445" s="14" t="s">
        <v>3359</v>
      </c>
      <c r="D2445" s="14">
        <v>594308.51</v>
      </c>
      <c r="E2445" s="14">
        <v>4101.37</v>
      </c>
      <c r="F2445" s="15">
        <v>45267</v>
      </c>
      <c r="G2445" s="15">
        <v>45676</v>
      </c>
      <c r="H2445" s="14" t="s">
        <v>3407</v>
      </c>
      <c r="I2445" s="14" t="s">
        <v>3361</v>
      </c>
      <c r="J2445" s="13" t="str" cm="1">
        <f t="array" ref="J2445">_xlfn.IFS(
  OR(ISBLANK(A2445),ISBLANK(B2445),ISBLANK(H2445),ISBLANK(D2445),ISBLANK(E2445)),"Missing Value",
  D2445&lt;=0,"Review – Out of Range (Coverage)",
  E2445&lt;=0,"Review – Out of Range (Premium)",
  TRUE,"OK"
)</f>
        <v>OK</v>
      </c>
    </row>
    <row r="2446" spans="1:10" ht="16.8" x14ac:dyDescent="0.3">
      <c r="A2446" s="11" t="s">
        <v>6108</v>
      </c>
      <c r="B2446" s="11" t="s">
        <v>204</v>
      </c>
      <c r="C2446" s="11" t="s">
        <v>3377</v>
      </c>
      <c r="D2446" s="11">
        <v>342805.74</v>
      </c>
      <c r="E2446" s="11">
        <v>33013.120000000003</v>
      </c>
      <c r="F2446" s="12">
        <v>44674</v>
      </c>
      <c r="G2446" s="12">
        <v>45254</v>
      </c>
      <c r="H2446" s="11" t="s">
        <v>3798</v>
      </c>
      <c r="I2446" s="11" t="s">
        <v>3365</v>
      </c>
      <c r="J2446" s="13" t="str" cm="1">
        <f t="array" ref="J2446">_xlfn.IFS(
  OR(ISBLANK(A2446),ISBLANK(B2446),ISBLANK(H2446),ISBLANK(D2446),ISBLANK(E2446)),"Missing Value",
  D2446&lt;=0,"Review – Out of Range (Coverage)",
  E2446&lt;=0,"Review – Out of Range (Premium)",
  TRUE,"OK"
)</f>
        <v>OK</v>
      </c>
    </row>
    <row r="2447" spans="1:10" ht="16.8" x14ac:dyDescent="0.3">
      <c r="A2447" s="14" t="s">
        <v>6109</v>
      </c>
      <c r="B2447" s="14" t="s">
        <v>124</v>
      </c>
      <c r="C2447" s="14" t="s">
        <v>3363</v>
      </c>
      <c r="D2447" s="14">
        <v>609575.03</v>
      </c>
      <c r="E2447" s="14">
        <v>24873.42</v>
      </c>
      <c r="F2447" s="15">
        <v>44712</v>
      </c>
      <c r="G2447" s="15">
        <v>44799</v>
      </c>
      <c r="H2447" s="14" t="s">
        <v>3591</v>
      </c>
      <c r="I2447" s="14" t="s">
        <v>3373</v>
      </c>
      <c r="J2447" s="13" t="str" cm="1">
        <f t="array" ref="J2447">_xlfn.IFS(
  OR(ISBLANK(A2447),ISBLANK(B2447),ISBLANK(H2447),ISBLANK(D2447),ISBLANK(E2447)),"Missing Value",
  D2447&lt;=0,"Review – Out of Range (Coverage)",
  E2447&lt;=0,"Review – Out of Range (Premium)",
  TRUE,"OK"
)</f>
        <v>OK</v>
      </c>
    </row>
    <row r="2448" spans="1:10" ht="16.8" x14ac:dyDescent="0.3">
      <c r="A2448" s="11" t="s">
        <v>6110</v>
      </c>
      <c r="B2448" s="11" t="s">
        <v>2947</v>
      </c>
      <c r="C2448" s="11" t="s">
        <v>3363</v>
      </c>
      <c r="D2448" s="11">
        <v>261216.32</v>
      </c>
      <c r="E2448" s="11">
        <v>21802.81</v>
      </c>
      <c r="F2448" s="12">
        <v>45056</v>
      </c>
      <c r="G2448" s="12">
        <v>45129</v>
      </c>
      <c r="H2448" s="11" t="s">
        <v>3581</v>
      </c>
      <c r="I2448" s="11" t="s">
        <v>3373</v>
      </c>
      <c r="J2448" s="13" t="str" cm="1">
        <f t="array" ref="J2448">_xlfn.IFS(
  OR(ISBLANK(A2448),ISBLANK(B2448),ISBLANK(H2448),ISBLANK(D2448),ISBLANK(E2448)),"Missing Value",
  D2448&lt;=0,"Review – Out of Range (Coverage)",
  E2448&lt;=0,"Review – Out of Range (Premium)",
  TRUE,"OK"
)</f>
        <v>OK</v>
      </c>
    </row>
    <row r="2449" spans="1:10" ht="16.8" x14ac:dyDescent="0.3">
      <c r="A2449" s="14" t="s">
        <v>6111</v>
      </c>
      <c r="B2449" s="14" t="s">
        <v>1205</v>
      </c>
      <c r="C2449" s="14" t="s">
        <v>3371</v>
      </c>
      <c r="D2449" s="14">
        <v>198665.21</v>
      </c>
      <c r="E2449" s="14">
        <v>44951.87</v>
      </c>
      <c r="F2449" s="15">
        <v>44596</v>
      </c>
      <c r="G2449" s="15">
        <v>45698</v>
      </c>
      <c r="H2449" s="14" t="s">
        <v>4596</v>
      </c>
      <c r="I2449" s="14" t="s">
        <v>3365</v>
      </c>
      <c r="J2449" s="13" t="str" cm="1">
        <f t="array" ref="J2449">_xlfn.IFS(
  OR(ISBLANK(A2449),ISBLANK(B2449),ISBLANK(H2449),ISBLANK(D2449),ISBLANK(E2449)),"Missing Value",
  D2449&lt;=0,"Review – Out of Range (Coverage)",
  E2449&lt;=0,"Review – Out of Range (Premium)",
  TRUE,"OK"
)</f>
        <v>OK</v>
      </c>
    </row>
    <row r="2450" spans="1:10" ht="16.8" x14ac:dyDescent="0.3">
      <c r="A2450" s="11" t="s">
        <v>6112</v>
      </c>
      <c r="B2450" s="11" t="s">
        <v>2473</v>
      </c>
      <c r="C2450" s="11" t="s">
        <v>3371</v>
      </c>
      <c r="D2450" s="11">
        <v>266518.01</v>
      </c>
      <c r="E2450" s="11">
        <v>27121.26</v>
      </c>
      <c r="F2450" s="12">
        <v>44911</v>
      </c>
      <c r="G2450" s="12">
        <v>45683</v>
      </c>
      <c r="H2450" s="11" t="s">
        <v>3721</v>
      </c>
      <c r="I2450" s="11" t="s">
        <v>3365</v>
      </c>
      <c r="J2450" s="13" t="str" cm="1">
        <f t="array" ref="J2450">_xlfn.IFS(
  OR(ISBLANK(A2450),ISBLANK(B2450),ISBLANK(H2450),ISBLANK(D2450),ISBLANK(E2450)),"Missing Value",
  D2450&lt;=0,"Review – Out of Range (Coverage)",
  E2450&lt;=0,"Review – Out of Range (Premium)",
  TRUE,"OK"
)</f>
        <v>OK</v>
      </c>
    </row>
    <row r="2451" spans="1:10" ht="16.8" x14ac:dyDescent="0.3">
      <c r="A2451" s="14" t="s">
        <v>6113</v>
      </c>
      <c r="B2451" s="14" t="s">
        <v>2091</v>
      </c>
      <c r="C2451" s="14" t="s">
        <v>3380</v>
      </c>
      <c r="D2451" s="14">
        <v>801569.56</v>
      </c>
      <c r="E2451" s="14">
        <v>23863.87</v>
      </c>
      <c r="F2451" s="15">
        <v>45456</v>
      </c>
      <c r="G2451" s="15">
        <v>45604</v>
      </c>
      <c r="H2451" s="14" t="s">
        <v>3644</v>
      </c>
      <c r="I2451" s="14" t="s">
        <v>3361</v>
      </c>
      <c r="J2451" s="13" t="str" cm="1">
        <f t="array" ref="J2451">_xlfn.IFS(
  OR(ISBLANK(A2451),ISBLANK(B2451),ISBLANK(H2451),ISBLANK(D2451),ISBLANK(E2451)),"Missing Value",
  D2451&lt;=0,"Review – Out of Range (Coverage)",
  E2451&lt;=0,"Review – Out of Range (Premium)",
  TRUE,"OK"
)</f>
        <v>OK</v>
      </c>
    </row>
    <row r="2452" spans="1:10" ht="16.8" x14ac:dyDescent="0.3">
      <c r="A2452" s="11" t="s">
        <v>6114</v>
      </c>
      <c r="B2452" s="11" t="s">
        <v>2803</v>
      </c>
      <c r="C2452" s="11" t="s">
        <v>3359</v>
      </c>
      <c r="D2452" s="11">
        <v>879795.66</v>
      </c>
      <c r="E2452" s="11">
        <v>22875.91</v>
      </c>
      <c r="F2452" s="12">
        <v>45199</v>
      </c>
      <c r="G2452" s="12">
        <v>45580</v>
      </c>
      <c r="H2452" s="11" t="s">
        <v>4630</v>
      </c>
      <c r="I2452" s="11" t="s">
        <v>3361</v>
      </c>
      <c r="J2452" s="13" t="str" cm="1">
        <f t="array" ref="J2452">_xlfn.IFS(
  OR(ISBLANK(A2452),ISBLANK(B2452),ISBLANK(H2452),ISBLANK(D2452),ISBLANK(E2452)),"Missing Value",
  D2452&lt;=0,"Review – Out of Range (Coverage)",
  E2452&lt;=0,"Review – Out of Range (Premium)",
  TRUE,"OK"
)</f>
        <v>OK</v>
      </c>
    </row>
    <row r="2453" spans="1:10" ht="16.8" x14ac:dyDescent="0.3">
      <c r="A2453" s="14" t="s">
        <v>6115</v>
      </c>
      <c r="B2453" s="14" t="s">
        <v>1001</v>
      </c>
      <c r="C2453" s="14" t="s">
        <v>3380</v>
      </c>
      <c r="D2453" s="14">
        <v>976584.29</v>
      </c>
      <c r="E2453" s="14">
        <v>46141.99</v>
      </c>
      <c r="F2453" s="15">
        <v>44372</v>
      </c>
      <c r="G2453" s="15">
        <v>45410</v>
      </c>
      <c r="H2453" s="14" t="s">
        <v>3364</v>
      </c>
      <c r="I2453" s="14" t="s">
        <v>3365</v>
      </c>
      <c r="J2453" s="13" t="str" cm="1">
        <f t="array" ref="J2453">_xlfn.IFS(
  OR(ISBLANK(A2453),ISBLANK(B2453),ISBLANK(H2453),ISBLANK(D2453),ISBLANK(E2453)),"Missing Value",
  D2453&lt;=0,"Review – Out of Range (Coverage)",
  E2453&lt;=0,"Review – Out of Range (Premium)",
  TRUE,"OK"
)</f>
        <v>OK</v>
      </c>
    </row>
    <row r="2454" spans="1:10" ht="16.8" x14ac:dyDescent="0.3">
      <c r="A2454" s="11" t="s">
        <v>6116</v>
      </c>
      <c r="B2454" s="11" t="s">
        <v>3042</v>
      </c>
      <c r="C2454" s="11" t="s">
        <v>3363</v>
      </c>
      <c r="D2454" s="11">
        <v>807322.88</v>
      </c>
      <c r="E2454" s="11">
        <v>14469.81</v>
      </c>
      <c r="F2454" s="12">
        <v>44374</v>
      </c>
      <c r="G2454" s="12">
        <v>45312</v>
      </c>
      <c r="H2454" s="11" t="s">
        <v>3626</v>
      </c>
      <c r="I2454" s="11" t="s">
        <v>3373</v>
      </c>
      <c r="J2454" s="13" t="str" cm="1">
        <f t="array" ref="J2454">_xlfn.IFS(
  OR(ISBLANK(A2454),ISBLANK(B2454),ISBLANK(H2454),ISBLANK(D2454),ISBLANK(E2454)),"Missing Value",
  D2454&lt;=0,"Review – Out of Range (Coverage)",
  E2454&lt;=0,"Review – Out of Range (Premium)",
  TRUE,"OK"
)</f>
        <v>OK</v>
      </c>
    </row>
    <row r="2455" spans="1:10" ht="16.8" x14ac:dyDescent="0.3">
      <c r="A2455" s="14" t="s">
        <v>6117</v>
      </c>
      <c r="B2455" s="14" t="s">
        <v>1191</v>
      </c>
      <c r="C2455" s="14" t="s">
        <v>3363</v>
      </c>
      <c r="D2455" s="14">
        <v>825727.26</v>
      </c>
      <c r="E2455" s="14">
        <v>34612.94</v>
      </c>
      <c r="F2455" s="15">
        <v>44578</v>
      </c>
      <c r="G2455" s="15">
        <v>45259</v>
      </c>
      <c r="H2455" s="14" t="s">
        <v>4164</v>
      </c>
      <c r="I2455" s="14" t="s">
        <v>3365</v>
      </c>
      <c r="J2455" s="13" t="str" cm="1">
        <f t="array" ref="J2455">_xlfn.IFS(
  OR(ISBLANK(A2455),ISBLANK(B2455),ISBLANK(H2455),ISBLANK(D2455),ISBLANK(E2455)),"Missing Value",
  D2455&lt;=0,"Review – Out of Range (Coverage)",
  E2455&lt;=0,"Review – Out of Range (Premium)",
  TRUE,"OK"
)</f>
        <v>OK</v>
      </c>
    </row>
    <row r="2456" spans="1:10" ht="16.8" x14ac:dyDescent="0.3">
      <c r="A2456" s="11" t="s">
        <v>6118</v>
      </c>
      <c r="B2456" s="11" t="s">
        <v>1701</v>
      </c>
      <c r="C2456" s="11" t="s">
        <v>3363</v>
      </c>
      <c r="D2456" s="11">
        <v>764066.36</v>
      </c>
      <c r="E2456" s="11">
        <v>47104.73</v>
      </c>
      <c r="F2456" s="12">
        <v>45451</v>
      </c>
      <c r="G2456" s="12">
        <v>45810</v>
      </c>
      <c r="H2456" s="11" t="s">
        <v>3827</v>
      </c>
      <c r="I2456" s="11" t="s">
        <v>3361</v>
      </c>
      <c r="J2456" s="13" t="str" cm="1">
        <f t="array" ref="J2456">_xlfn.IFS(
  OR(ISBLANK(A2456),ISBLANK(B2456),ISBLANK(H2456),ISBLANK(D2456),ISBLANK(E2456)),"Missing Value",
  D2456&lt;=0,"Review – Out of Range (Coverage)",
  E2456&lt;=0,"Review – Out of Range (Premium)",
  TRUE,"OK"
)</f>
        <v>OK</v>
      </c>
    </row>
    <row r="2457" spans="1:10" ht="16.8" x14ac:dyDescent="0.3">
      <c r="A2457" s="14" t="s">
        <v>6119</v>
      </c>
      <c r="B2457" s="14" t="s">
        <v>2943</v>
      </c>
      <c r="C2457" s="14" t="s">
        <v>3363</v>
      </c>
      <c r="D2457" s="14">
        <v>774087.93</v>
      </c>
      <c r="E2457" s="14">
        <v>41790.83</v>
      </c>
      <c r="F2457" s="15">
        <v>44648</v>
      </c>
      <c r="G2457" s="15">
        <v>45223</v>
      </c>
      <c r="H2457" s="14" t="s">
        <v>3725</v>
      </c>
      <c r="I2457" s="14" t="s">
        <v>3373</v>
      </c>
      <c r="J2457" s="13" t="str" cm="1">
        <f t="array" ref="J2457">_xlfn.IFS(
  OR(ISBLANK(A2457),ISBLANK(B2457),ISBLANK(H2457),ISBLANK(D2457),ISBLANK(E2457)),"Missing Value",
  D2457&lt;=0,"Review – Out of Range (Coverage)",
  E2457&lt;=0,"Review – Out of Range (Premium)",
  TRUE,"OK"
)</f>
        <v>OK</v>
      </c>
    </row>
    <row r="2458" spans="1:10" ht="16.8" x14ac:dyDescent="0.3">
      <c r="A2458" s="11" t="s">
        <v>6120</v>
      </c>
      <c r="B2458" s="11" t="s">
        <v>1959</v>
      </c>
      <c r="C2458" s="11" t="s">
        <v>3377</v>
      </c>
      <c r="D2458" s="11">
        <v>809227.61</v>
      </c>
      <c r="E2458" s="11">
        <v>33701.08</v>
      </c>
      <c r="F2458" s="12">
        <v>44083</v>
      </c>
      <c r="G2458" s="12">
        <v>44566</v>
      </c>
      <c r="H2458" s="11" t="s">
        <v>3438</v>
      </c>
      <c r="I2458" s="11" t="s">
        <v>3373</v>
      </c>
      <c r="J2458" s="13" t="str" cm="1">
        <f t="array" ref="J2458">_xlfn.IFS(
  OR(ISBLANK(A2458),ISBLANK(B2458),ISBLANK(H2458),ISBLANK(D2458),ISBLANK(E2458)),"Missing Value",
  D2458&lt;=0,"Review – Out of Range (Coverage)",
  E2458&lt;=0,"Review – Out of Range (Premium)",
  TRUE,"OK"
)</f>
        <v>OK</v>
      </c>
    </row>
    <row r="2459" spans="1:10" ht="16.8" x14ac:dyDescent="0.3">
      <c r="A2459" s="14" t="s">
        <v>6121</v>
      </c>
      <c r="B2459" s="14" t="s">
        <v>432</v>
      </c>
      <c r="C2459" s="14" t="s">
        <v>3363</v>
      </c>
      <c r="D2459" s="14">
        <v>970908.49</v>
      </c>
      <c r="E2459" s="14">
        <v>46672.56</v>
      </c>
      <c r="F2459" s="15">
        <v>45132</v>
      </c>
      <c r="G2459" s="15">
        <v>45705</v>
      </c>
      <c r="H2459" s="14" t="s">
        <v>3486</v>
      </c>
      <c r="I2459" s="14" t="s">
        <v>3365</v>
      </c>
      <c r="J2459" s="13" t="str" cm="1">
        <f t="array" ref="J2459">_xlfn.IFS(
  OR(ISBLANK(A2459),ISBLANK(B2459),ISBLANK(H2459),ISBLANK(D2459),ISBLANK(E2459)),"Missing Value",
  D2459&lt;=0,"Review – Out of Range (Coverage)",
  E2459&lt;=0,"Review – Out of Range (Premium)",
  TRUE,"OK"
)</f>
        <v>OK</v>
      </c>
    </row>
    <row r="2460" spans="1:10" ht="16.8" x14ac:dyDescent="0.3">
      <c r="A2460" s="11" t="s">
        <v>6122</v>
      </c>
      <c r="B2460" s="11" t="s">
        <v>825</v>
      </c>
      <c r="C2460" s="11" t="s">
        <v>3363</v>
      </c>
      <c r="D2460" s="11">
        <v>515870.63</v>
      </c>
      <c r="E2460" s="11">
        <v>42317.86</v>
      </c>
      <c r="F2460" s="12">
        <v>44954</v>
      </c>
      <c r="G2460" s="12">
        <v>45576</v>
      </c>
      <c r="H2460" s="11" t="s">
        <v>3409</v>
      </c>
      <c r="I2460" s="11" t="s">
        <v>3373</v>
      </c>
      <c r="J2460" s="13" t="str" cm="1">
        <f t="array" ref="J2460">_xlfn.IFS(
  OR(ISBLANK(A2460),ISBLANK(B2460),ISBLANK(H2460),ISBLANK(D2460),ISBLANK(E2460)),"Missing Value",
  D2460&lt;=0,"Review – Out of Range (Coverage)",
  E2460&lt;=0,"Review – Out of Range (Premium)",
  TRUE,"OK"
)</f>
        <v>OK</v>
      </c>
    </row>
    <row r="2461" spans="1:10" ht="16.8" x14ac:dyDescent="0.3">
      <c r="A2461" s="14" t="s">
        <v>6123</v>
      </c>
      <c r="B2461" s="14" t="s">
        <v>901</v>
      </c>
      <c r="C2461" s="14" t="s">
        <v>3380</v>
      </c>
      <c r="D2461" s="14">
        <v>508624.02</v>
      </c>
      <c r="E2461" s="14">
        <v>3306.54</v>
      </c>
      <c r="F2461" s="15">
        <v>45116</v>
      </c>
      <c r="G2461" s="15">
        <v>45545</v>
      </c>
      <c r="H2461" s="14" t="s">
        <v>3772</v>
      </c>
      <c r="I2461" s="14" t="s">
        <v>3373</v>
      </c>
      <c r="J2461" s="13" t="str" cm="1">
        <f t="array" ref="J2461">_xlfn.IFS(
  OR(ISBLANK(A2461),ISBLANK(B2461),ISBLANK(H2461),ISBLANK(D2461),ISBLANK(E2461)),"Missing Value",
  D2461&lt;=0,"Review – Out of Range (Coverage)",
  E2461&lt;=0,"Review – Out of Range (Premium)",
  TRUE,"OK"
)</f>
        <v>OK</v>
      </c>
    </row>
    <row r="2462" spans="1:10" ht="16.8" x14ac:dyDescent="0.3">
      <c r="A2462" s="11" t="s">
        <v>6124</v>
      </c>
      <c r="B2462" s="11" t="s">
        <v>2103</v>
      </c>
      <c r="C2462" s="11" t="s">
        <v>3380</v>
      </c>
      <c r="D2462" s="11">
        <v>264524.79999999999</v>
      </c>
      <c r="E2462" s="11">
        <v>5149.96</v>
      </c>
      <c r="F2462" s="12">
        <v>45360</v>
      </c>
      <c r="G2462" s="12">
        <v>45522</v>
      </c>
      <c r="H2462" s="11" t="s">
        <v>3964</v>
      </c>
      <c r="I2462" s="11" t="s">
        <v>3365</v>
      </c>
      <c r="J2462" s="13" t="str" cm="1">
        <f t="array" ref="J2462">_xlfn.IFS(
  OR(ISBLANK(A2462),ISBLANK(B2462),ISBLANK(H2462),ISBLANK(D2462),ISBLANK(E2462)),"Missing Value",
  D2462&lt;=0,"Review – Out of Range (Coverage)",
  E2462&lt;=0,"Review – Out of Range (Premium)",
  TRUE,"OK"
)</f>
        <v>OK</v>
      </c>
    </row>
    <row r="2463" spans="1:10" ht="16.8" x14ac:dyDescent="0.3">
      <c r="A2463" s="14" t="s">
        <v>6125</v>
      </c>
      <c r="B2463" s="14" t="s">
        <v>1811</v>
      </c>
      <c r="C2463" s="14" t="s">
        <v>3377</v>
      </c>
      <c r="D2463" s="14">
        <v>596763.80000000005</v>
      </c>
      <c r="E2463" s="14">
        <v>24095.32</v>
      </c>
      <c r="F2463" s="15">
        <v>44482</v>
      </c>
      <c r="G2463" s="15">
        <v>45179</v>
      </c>
      <c r="H2463" s="14" t="s">
        <v>4064</v>
      </c>
      <c r="I2463" s="14" t="s">
        <v>3365</v>
      </c>
      <c r="J2463" s="13" t="str" cm="1">
        <f t="array" ref="J2463">_xlfn.IFS(
  OR(ISBLANK(A2463),ISBLANK(B2463),ISBLANK(H2463),ISBLANK(D2463),ISBLANK(E2463)),"Missing Value",
  D2463&lt;=0,"Review – Out of Range (Coverage)",
  E2463&lt;=0,"Review – Out of Range (Premium)",
  TRUE,"OK"
)</f>
        <v>OK</v>
      </c>
    </row>
    <row r="2464" spans="1:10" ht="16.8" x14ac:dyDescent="0.3">
      <c r="A2464" s="11" t="s">
        <v>6126</v>
      </c>
      <c r="B2464" s="11" t="s">
        <v>1325</v>
      </c>
      <c r="C2464" s="11" t="s">
        <v>3380</v>
      </c>
      <c r="D2464" s="11">
        <v>570775.97</v>
      </c>
      <c r="E2464" s="11">
        <v>4331.34</v>
      </c>
      <c r="F2464" s="12">
        <v>45175</v>
      </c>
      <c r="G2464" s="12">
        <v>45242</v>
      </c>
      <c r="H2464" s="11" t="s">
        <v>3677</v>
      </c>
      <c r="I2464" s="11" t="s">
        <v>3361</v>
      </c>
      <c r="J2464" s="13" t="str" cm="1">
        <f t="array" ref="J2464">_xlfn.IFS(
  OR(ISBLANK(A2464),ISBLANK(B2464),ISBLANK(H2464),ISBLANK(D2464),ISBLANK(E2464)),"Missing Value",
  D2464&lt;=0,"Review – Out of Range (Coverage)",
  E2464&lt;=0,"Review – Out of Range (Premium)",
  TRUE,"OK"
)</f>
        <v>OK</v>
      </c>
    </row>
    <row r="2465" spans="1:10" ht="16.8" x14ac:dyDescent="0.3">
      <c r="A2465" s="14" t="s">
        <v>6127</v>
      </c>
      <c r="B2465" s="14" t="s">
        <v>2491</v>
      </c>
      <c r="C2465" s="14" t="s">
        <v>3377</v>
      </c>
      <c r="D2465" s="14">
        <v>310512.44</v>
      </c>
      <c r="E2465" s="14">
        <v>10949.79</v>
      </c>
      <c r="F2465" s="15">
        <v>44923</v>
      </c>
      <c r="G2465" s="15">
        <v>45102</v>
      </c>
      <c r="H2465" s="14" t="s">
        <v>5488</v>
      </c>
      <c r="I2465" s="14" t="s">
        <v>3361</v>
      </c>
      <c r="J2465" s="13" t="str" cm="1">
        <f t="array" ref="J2465">_xlfn.IFS(
  OR(ISBLANK(A2465),ISBLANK(B2465),ISBLANK(H2465),ISBLANK(D2465),ISBLANK(E2465)),"Missing Value",
  D2465&lt;=0,"Review – Out of Range (Coverage)",
  E2465&lt;=0,"Review – Out of Range (Premium)",
  TRUE,"OK"
)</f>
        <v>OK</v>
      </c>
    </row>
    <row r="2466" spans="1:10" ht="16.8" x14ac:dyDescent="0.3">
      <c r="A2466" s="11" t="s">
        <v>6128</v>
      </c>
      <c r="B2466" s="11" t="s">
        <v>2945</v>
      </c>
      <c r="C2466" s="11" t="s">
        <v>3359</v>
      </c>
      <c r="D2466" s="11">
        <v>256982.08</v>
      </c>
      <c r="E2466" s="11">
        <v>18077.53</v>
      </c>
      <c r="F2466" s="12">
        <v>44399</v>
      </c>
      <c r="G2466" s="12">
        <v>45835</v>
      </c>
      <c r="H2466" s="11" t="s">
        <v>4143</v>
      </c>
      <c r="I2466" s="11" t="s">
        <v>3365</v>
      </c>
      <c r="J2466" s="13" t="str" cm="1">
        <f t="array" ref="J2466">_xlfn.IFS(
  OR(ISBLANK(A2466),ISBLANK(B2466),ISBLANK(H2466),ISBLANK(D2466),ISBLANK(E2466)),"Missing Value",
  D2466&lt;=0,"Review – Out of Range (Coverage)",
  E2466&lt;=0,"Review – Out of Range (Premium)",
  TRUE,"OK"
)</f>
        <v>OK</v>
      </c>
    </row>
    <row r="2467" spans="1:10" ht="16.8" x14ac:dyDescent="0.3">
      <c r="A2467" s="14" t="s">
        <v>6129</v>
      </c>
      <c r="B2467" s="14" t="s">
        <v>1237</v>
      </c>
      <c r="C2467" s="14" t="s">
        <v>3377</v>
      </c>
      <c r="D2467" s="14">
        <v>244427.31</v>
      </c>
      <c r="E2467" s="14">
        <v>4030.13</v>
      </c>
      <c r="F2467" s="15">
        <v>44575</v>
      </c>
      <c r="G2467" s="15">
        <v>44965</v>
      </c>
      <c r="H2467" s="14" t="s">
        <v>3391</v>
      </c>
      <c r="I2467" s="14" t="s">
        <v>3361</v>
      </c>
      <c r="J2467" s="13" t="str" cm="1">
        <f t="array" ref="J2467">_xlfn.IFS(
  OR(ISBLANK(A2467),ISBLANK(B2467),ISBLANK(H2467),ISBLANK(D2467),ISBLANK(E2467)),"Missing Value",
  D2467&lt;=0,"Review – Out of Range (Coverage)",
  E2467&lt;=0,"Review – Out of Range (Premium)",
  TRUE,"OK"
)</f>
        <v>OK</v>
      </c>
    </row>
    <row r="2468" spans="1:10" ht="16.8" x14ac:dyDescent="0.3">
      <c r="A2468" s="11" t="s">
        <v>6130</v>
      </c>
      <c r="B2468" s="11" t="s">
        <v>941</v>
      </c>
      <c r="C2468" s="11" t="s">
        <v>3363</v>
      </c>
      <c r="D2468" s="11">
        <v>385766.54</v>
      </c>
      <c r="E2468" s="11">
        <v>27966.44</v>
      </c>
      <c r="F2468" s="12">
        <v>44717</v>
      </c>
      <c r="G2468" s="12">
        <v>45715</v>
      </c>
      <c r="H2468" s="11" t="s">
        <v>3718</v>
      </c>
      <c r="I2468" s="11" t="s">
        <v>3365</v>
      </c>
      <c r="J2468" s="13" t="str" cm="1">
        <f t="array" ref="J2468">_xlfn.IFS(
  OR(ISBLANK(A2468),ISBLANK(B2468),ISBLANK(H2468),ISBLANK(D2468),ISBLANK(E2468)),"Missing Value",
  D2468&lt;=0,"Review – Out of Range (Coverage)",
  E2468&lt;=0,"Review – Out of Range (Premium)",
  TRUE,"OK"
)</f>
        <v>OK</v>
      </c>
    </row>
    <row r="2469" spans="1:10" ht="16.8" x14ac:dyDescent="0.3">
      <c r="A2469" s="14" t="s">
        <v>6131</v>
      </c>
      <c r="B2469" s="14" t="s">
        <v>853</v>
      </c>
      <c r="C2469" s="14" t="s">
        <v>3363</v>
      </c>
      <c r="D2469" s="14">
        <v>601424.34</v>
      </c>
      <c r="E2469" s="14">
        <v>41532.83</v>
      </c>
      <c r="F2469" s="15">
        <v>44041</v>
      </c>
      <c r="G2469" s="15">
        <v>45535</v>
      </c>
      <c r="H2469" s="14" t="s">
        <v>3685</v>
      </c>
      <c r="I2469" s="14" t="s">
        <v>3373</v>
      </c>
      <c r="J2469" s="13" t="str" cm="1">
        <f t="array" ref="J2469">_xlfn.IFS(
  OR(ISBLANK(A2469),ISBLANK(B2469),ISBLANK(H2469),ISBLANK(D2469),ISBLANK(E2469)),"Missing Value",
  D2469&lt;=0,"Review – Out of Range (Coverage)",
  E2469&lt;=0,"Review – Out of Range (Premium)",
  TRUE,"OK"
)</f>
        <v>OK</v>
      </c>
    </row>
    <row r="2470" spans="1:10" ht="16.8" x14ac:dyDescent="0.3">
      <c r="A2470" s="11" t="s">
        <v>6132</v>
      </c>
      <c r="B2470" s="11" t="s">
        <v>843</v>
      </c>
      <c r="C2470" s="11" t="s">
        <v>3377</v>
      </c>
      <c r="D2470" s="11">
        <v>364941.98</v>
      </c>
      <c r="E2470" s="11">
        <v>35927.93</v>
      </c>
      <c r="F2470" s="12">
        <v>45351</v>
      </c>
      <c r="G2470" s="12">
        <v>45412</v>
      </c>
      <c r="H2470" s="11" t="s">
        <v>3421</v>
      </c>
      <c r="I2470" s="11" t="s">
        <v>3365</v>
      </c>
      <c r="J2470" s="13" t="str" cm="1">
        <f t="array" ref="J2470">_xlfn.IFS(
  OR(ISBLANK(A2470),ISBLANK(B2470),ISBLANK(H2470),ISBLANK(D2470),ISBLANK(E2470)),"Missing Value",
  D2470&lt;=0,"Review – Out of Range (Coverage)",
  E2470&lt;=0,"Review – Out of Range (Premium)",
  TRUE,"OK"
)</f>
        <v>OK</v>
      </c>
    </row>
    <row r="2471" spans="1:10" ht="16.8" x14ac:dyDescent="0.3">
      <c r="A2471" s="14" t="s">
        <v>6133</v>
      </c>
      <c r="B2471" s="14" t="s">
        <v>1599</v>
      </c>
      <c r="C2471" s="14" t="s">
        <v>3380</v>
      </c>
      <c r="D2471" s="14">
        <v>961244.43</v>
      </c>
      <c r="E2471" s="14">
        <v>43870.29</v>
      </c>
      <c r="F2471" s="15">
        <v>45163</v>
      </c>
      <c r="G2471" s="15">
        <v>45347</v>
      </c>
      <c r="H2471" s="14" t="s">
        <v>4011</v>
      </c>
      <c r="I2471" s="14" t="s">
        <v>3373</v>
      </c>
      <c r="J2471" s="13" t="str" cm="1">
        <f t="array" ref="J2471">_xlfn.IFS(
  OR(ISBLANK(A2471),ISBLANK(B2471),ISBLANK(H2471),ISBLANK(D2471),ISBLANK(E2471)),"Missing Value",
  D2471&lt;=0,"Review – Out of Range (Coverage)",
  E2471&lt;=0,"Review – Out of Range (Premium)",
  TRUE,"OK"
)</f>
        <v>OK</v>
      </c>
    </row>
    <row r="2472" spans="1:10" ht="16.8" x14ac:dyDescent="0.3">
      <c r="A2472" s="11" t="s">
        <v>6134</v>
      </c>
      <c r="B2472" s="11" t="s">
        <v>1885</v>
      </c>
      <c r="C2472" s="11" t="s">
        <v>3371</v>
      </c>
      <c r="D2472" s="11">
        <v>633353.98</v>
      </c>
      <c r="E2472" s="11">
        <v>16060.36</v>
      </c>
      <c r="F2472" s="12">
        <v>44695</v>
      </c>
      <c r="G2472" s="12">
        <v>45219</v>
      </c>
      <c r="H2472" s="11" t="s">
        <v>3497</v>
      </c>
      <c r="I2472" s="11" t="s">
        <v>3365</v>
      </c>
      <c r="J2472" s="13" t="str" cm="1">
        <f t="array" ref="J2472">_xlfn.IFS(
  OR(ISBLANK(A2472),ISBLANK(B2472),ISBLANK(H2472),ISBLANK(D2472),ISBLANK(E2472)),"Missing Value",
  D2472&lt;=0,"Review – Out of Range (Coverage)",
  E2472&lt;=0,"Review – Out of Range (Premium)",
  TRUE,"OK"
)</f>
        <v>OK</v>
      </c>
    </row>
    <row r="2473" spans="1:10" ht="16.8" x14ac:dyDescent="0.3">
      <c r="A2473" s="14" t="s">
        <v>6135</v>
      </c>
      <c r="B2473" s="14" t="s">
        <v>1183</v>
      </c>
      <c r="C2473" s="14" t="s">
        <v>3377</v>
      </c>
      <c r="D2473" s="14">
        <v>616496.36</v>
      </c>
      <c r="E2473" s="14">
        <v>13656.96</v>
      </c>
      <c r="F2473" s="15">
        <v>44971</v>
      </c>
      <c r="G2473" s="15">
        <v>45102</v>
      </c>
      <c r="H2473" s="14" t="s">
        <v>4187</v>
      </c>
      <c r="I2473" s="14" t="s">
        <v>3365</v>
      </c>
      <c r="J2473" s="13" t="str" cm="1">
        <f t="array" ref="J2473">_xlfn.IFS(
  OR(ISBLANK(A2473),ISBLANK(B2473),ISBLANK(H2473),ISBLANK(D2473),ISBLANK(E2473)),"Missing Value",
  D2473&lt;=0,"Review – Out of Range (Coverage)",
  E2473&lt;=0,"Review – Out of Range (Premium)",
  TRUE,"OK"
)</f>
        <v>OK</v>
      </c>
    </row>
    <row r="2474" spans="1:10" ht="16.8" x14ac:dyDescent="0.3">
      <c r="A2474" s="11" t="s">
        <v>6136</v>
      </c>
      <c r="B2474" s="11" t="s">
        <v>2563</v>
      </c>
      <c r="C2474" s="11" t="s">
        <v>3371</v>
      </c>
      <c r="D2474" s="11">
        <v>781877.99</v>
      </c>
      <c r="E2474" s="11">
        <v>42774.879999999997</v>
      </c>
      <c r="F2474" s="12">
        <v>45185</v>
      </c>
      <c r="G2474" s="12">
        <v>45192</v>
      </c>
      <c r="H2474" s="11" t="s">
        <v>4630</v>
      </c>
      <c r="I2474" s="11" t="s">
        <v>3365</v>
      </c>
      <c r="J2474" s="13" t="str" cm="1">
        <f t="array" ref="J2474">_xlfn.IFS(
  OR(ISBLANK(A2474),ISBLANK(B2474),ISBLANK(H2474),ISBLANK(D2474),ISBLANK(E2474)),"Missing Value",
  D2474&lt;=0,"Review – Out of Range (Coverage)",
  E2474&lt;=0,"Review – Out of Range (Premium)",
  TRUE,"OK"
)</f>
        <v>OK</v>
      </c>
    </row>
    <row r="2475" spans="1:10" ht="16.8" x14ac:dyDescent="0.3">
      <c r="A2475" s="14" t="s">
        <v>6137</v>
      </c>
      <c r="B2475" s="14" t="s">
        <v>1313</v>
      </c>
      <c r="C2475" s="14" t="s">
        <v>3377</v>
      </c>
      <c r="D2475" s="14">
        <v>365633.79</v>
      </c>
      <c r="E2475" s="14">
        <v>44976.07</v>
      </c>
      <c r="F2475" s="15">
        <v>45449</v>
      </c>
      <c r="G2475" s="15">
        <v>45560</v>
      </c>
      <c r="H2475" s="14" t="s">
        <v>3536</v>
      </c>
      <c r="I2475" s="14" t="s">
        <v>3365</v>
      </c>
      <c r="J2475" s="13" t="str" cm="1">
        <f t="array" ref="J2475">_xlfn.IFS(
  OR(ISBLANK(A2475),ISBLANK(B2475),ISBLANK(H2475),ISBLANK(D2475),ISBLANK(E2475)),"Missing Value",
  D2475&lt;=0,"Review – Out of Range (Coverage)",
  E2475&lt;=0,"Review – Out of Range (Premium)",
  TRUE,"OK"
)</f>
        <v>OK</v>
      </c>
    </row>
    <row r="2476" spans="1:10" ht="16.8" x14ac:dyDescent="0.3">
      <c r="A2476" s="11" t="s">
        <v>6138</v>
      </c>
      <c r="B2476" s="11" t="s">
        <v>897</v>
      </c>
      <c r="C2476" s="11" t="s">
        <v>3359</v>
      </c>
      <c r="D2476" s="11">
        <v>295117.37</v>
      </c>
      <c r="E2476" s="11">
        <v>38598.78</v>
      </c>
      <c r="F2476" s="12">
        <v>44535</v>
      </c>
      <c r="G2476" s="12">
        <v>45465</v>
      </c>
      <c r="H2476" s="11" t="s">
        <v>3436</v>
      </c>
      <c r="I2476" s="11" t="s">
        <v>3365</v>
      </c>
      <c r="J2476" s="13" t="str" cm="1">
        <f t="array" ref="J2476">_xlfn.IFS(
  OR(ISBLANK(A2476),ISBLANK(B2476),ISBLANK(H2476),ISBLANK(D2476),ISBLANK(E2476)),"Missing Value",
  D2476&lt;=0,"Review – Out of Range (Coverage)",
  E2476&lt;=0,"Review – Out of Range (Premium)",
  TRUE,"OK"
)</f>
        <v>OK</v>
      </c>
    </row>
    <row r="2477" spans="1:10" ht="16.8" x14ac:dyDescent="0.3">
      <c r="A2477" s="14" t="s">
        <v>6139</v>
      </c>
      <c r="B2477" s="14" t="s">
        <v>783</v>
      </c>
      <c r="C2477" s="14" t="s">
        <v>3371</v>
      </c>
      <c r="D2477" s="14">
        <v>630023.31000000006</v>
      </c>
      <c r="E2477" s="14">
        <v>35876.519999999997</v>
      </c>
      <c r="F2477" s="15">
        <v>44946</v>
      </c>
      <c r="G2477" s="15">
        <v>45452</v>
      </c>
      <c r="H2477" s="14" t="s">
        <v>3754</v>
      </c>
      <c r="I2477" s="14" t="s">
        <v>3361</v>
      </c>
      <c r="J2477" s="13" t="str" cm="1">
        <f t="array" ref="J2477">_xlfn.IFS(
  OR(ISBLANK(A2477),ISBLANK(B2477),ISBLANK(H2477),ISBLANK(D2477),ISBLANK(E2477)),"Missing Value",
  D2477&lt;=0,"Review – Out of Range (Coverage)",
  E2477&lt;=0,"Review – Out of Range (Premium)",
  TRUE,"OK"
)</f>
        <v>OK</v>
      </c>
    </row>
    <row r="2478" spans="1:10" ht="16.8" x14ac:dyDescent="0.3">
      <c r="A2478" s="11" t="s">
        <v>6140</v>
      </c>
      <c r="B2478" s="11" t="s">
        <v>1283</v>
      </c>
      <c r="C2478" s="11" t="s">
        <v>3359</v>
      </c>
      <c r="D2478" s="11">
        <v>355484.79</v>
      </c>
      <c r="E2478" s="11">
        <v>39017.980000000003</v>
      </c>
      <c r="F2478" s="12">
        <v>45030</v>
      </c>
      <c r="G2478" s="12">
        <v>45701</v>
      </c>
      <c r="H2478" s="11" t="s">
        <v>3685</v>
      </c>
      <c r="I2478" s="11" t="s">
        <v>3373</v>
      </c>
      <c r="J2478" s="13" t="str" cm="1">
        <f t="array" ref="J2478">_xlfn.IFS(
  OR(ISBLANK(A2478),ISBLANK(B2478),ISBLANK(H2478),ISBLANK(D2478),ISBLANK(E2478)),"Missing Value",
  D2478&lt;=0,"Review – Out of Range (Coverage)",
  E2478&lt;=0,"Review – Out of Range (Premium)",
  TRUE,"OK"
)</f>
        <v>OK</v>
      </c>
    </row>
    <row r="2479" spans="1:10" ht="16.8" x14ac:dyDescent="0.3">
      <c r="A2479" s="14" t="s">
        <v>6141</v>
      </c>
      <c r="B2479" s="14" t="s">
        <v>1571</v>
      </c>
      <c r="C2479" s="14" t="s">
        <v>3363</v>
      </c>
      <c r="D2479" s="14">
        <v>285927.17</v>
      </c>
      <c r="E2479" s="14">
        <v>19490.849999999999</v>
      </c>
      <c r="F2479" s="15">
        <v>45297</v>
      </c>
      <c r="G2479" s="15">
        <v>45818</v>
      </c>
      <c r="H2479" s="14" t="s">
        <v>3787</v>
      </c>
      <c r="I2479" s="14" t="s">
        <v>3361</v>
      </c>
      <c r="J2479" s="13" t="str" cm="1">
        <f t="array" ref="J2479">_xlfn.IFS(
  OR(ISBLANK(A2479),ISBLANK(B2479),ISBLANK(H2479),ISBLANK(D2479),ISBLANK(E2479)),"Missing Value",
  D2479&lt;=0,"Review – Out of Range (Coverage)",
  E2479&lt;=0,"Review – Out of Range (Premium)",
  TRUE,"OK"
)</f>
        <v>OK</v>
      </c>
    </row>
    <row r="2480" spans="1:10" ht="16.8" x14ac:dyDescent="0.3">
      <c r="A2480" s="11" t="s">
        <v>6142</v>
      </c>
      <c r="B2480" s="11" t="s">
        <v>2641</v>
      </c>
      <c r="C2480" s="11" t="s">
        <v>3377</v>
      </c>
      <c r="D2480" s="11">
        <v>710245.87</v>
      </c>
      <c r="E2480" s="11">
        <v>7379.31</v>
      </c>
      <c r="F2480" s="12">
        <v>44953</v>
      </c>
      <c r="G2480" s="12">
        <v>45468</v>
      </c>
      <c r="H2480" s="11" t="s">
        <v>3687</v>
      </c>
      <c r="I2480" s="11" t="s">
        <v>3373</v>
      </c>
      <c r="J2480" s="13" t="str" cm="1">
        <f t="array" ref="J2480">_xlfn.IFS(
  OR(ISBLANK(A2480),ISBLANK(B2480),ISBLANK(H2480),ISBLANK(D2480),ISBLANK(E2480)),"Missing Value",
  D2480&lt;=0,"Review – Out of Range (Coverage)",
  E2480&lt;=0,"Review – Out of Range (Premium)",
  TRUE,"OK"
)</f>
        <v>OK</v>
      </c>
    </row>
    <row r="2481" spans="1:10" ht="16.8" x14ac:dyDescent="0.3">
      <c r="A2481" s="14" t="s">
        <v>6143</v>
      </c>
      <c r="B2481" s="14" t="s">
        <v>2795</v>
      </c>
      <c r="C2481" s="14" t="s">
        <v>3359</v>
      </c>
      <c r="D2481" s="14">
        <v>156349.14000000001</v>
      </c>
      <c r="E2481" s="14">
        <v>15702.34</v>
      </c>
      <c r="F2481" s="15">
        <v>44724</v>
      </c>
      <c r="G2481" s="15">
        <v>45235</v>
      </c>
      <c r="H2481" s="14" t="s">
        <v>3442</v>
      </c>
      <c r="I2481" s="14" t="s">
        <v>3361</v>
      </c>
      <c r="J2481" s="13" t="str" cm="1">
        <f t="array" ref="J2481">_xlfn.IFS(
  OR(ISBLANK(A2481),ISBLANK(B2481),ISBLANK(H2481),ISBLANK(D2481),ISBLANK(E2481)),"Missing Value",
  D2481&lt;=0,"Review – Out of Range (Coverage)",
  E2481&lt;=0,"Review – Out of Range (Premium)",
  TRUE,"OK"
)</f>
        <v>OK</v>
      </c>
    </row>
    <row r="2482" spans="1:10" ht="16.8" x14ac:dyDescent="0.3">
      <c r="A2482" s="11" t="s">
        <v>6144</v>
      </c>
      <c r="B2482" s="11" t="s">
        <v>1649</v>
      </c>
      <c r="C2482" s="11" t="s">
        <v>3380</v>
      </c>
      <c r="D2482" s="11">
        <v>212738.03</v>
      </c>
      <c r="E2482" s="11">
        <v>28265.279999999999</v>
      </c>
      <c r="F2482" s="12">
        <v>45265</v>
      </c>
      <c r="G2482" s="12">
        <v>45587</v>
      </c>
      <c r="H2482" s="11" t="s">
        <v>3634</v>
      </c>
      <c r="I2482" s="11" t="s">
        <v>3365</v>
      </c>
      <c r="J2482" s="13" t="str" cm="1">
        <f t="array" ref="J2482">_xlfn.IFS(
  OR(ISBLANK(A2482),ISBLANK(B2482),ISBLANK(H2482),ISBLANK(D2482),ISBLANK(E2482)),"Missing Value",
  D2482&lt;=0,"Review – Out of Range (Coverage)",
  E2482&lt;=0,"Review – Out of Range (Premium)",
  TRUE,"OK"
)</f>
        <v>OK</v>
      </c>
    </row>
    <row r="2483" spans="1:10" ht="16.8" x14ac:dyDescent="0.3">
      <c r="A2483" s="14" t="s">
        <v>6145</v>
      </c>
      <c r="B2483" s="14" t="s">
        <v>2223</v>
      </c>
      <c r="C2483" s="14" t="s">
        <v>3377</v>
      </c>
      <c r="D2483" s="14">
        <v>862559.25</v>
      </c>
      <c r="E2483" s="14">
        <v>26452.75</v>
      </c>
      <c r="F2483" s="15">
        <v>44593</v>
      </c>
      <c r="G2483" s="15">
        <v>44730</v>
      </c>
      <c r="H2483" s="14" t="s">
        <v>4114</v>
      </c>
      <c r="I2483" s="14" t="s">
        <v>3365</v>
      </c>
      <c r="J2483" s="13" t="str" cm="1">
        <f t="array" ref="J2483">_xlfn.IFS(
  OR(ISBLANK(A2483),ISBLANK(B2483),ISBLANK(H2483),ISBLANK(D2483),ISBLANK(E2483)),"Missing Value",
  D2483&lt;=0,"Review – Out of Range (Coverage)",
  E2483&lt;=0,"Review – Out of Range (Premium)",
  TRUE,"OK"
)</f>
        <v>OK</v>
      </c>
    </row>
    <row r="2484" spans="1:10" ht="16.8" x14ac:dyDescent="0.3">
      <c r="A2484" s="11" t="s">
        <v>6146</v>
      </c>
      <c r="B2484" s="11" t="s">
        <v>2287</v>
      </c>
      <c r="C2484" s="11" t="s">
        <v>3380</v>
      </c>
      <c r="D2484" s="11">
        <v>796198.25</v>
      </c>
      <c r="E2484" s="11">
        <v>18168.32</v>
      </c>
      <c r="F2484" s="12">
        <v>44590</v>
      </c>
      <c r="G2484" s="12">
        <v>45156</v>
      </c>
      <c r="H2484" s="11" t="s">
        <v>3898</v>
      </c>
      <c r="I2484" s="11" t="s">
        <v>3365</v>
      </c>
      <c r="J2484" s="13" t="str" cm="1">
        <f t="array" ref="J2484">_xlfn.IFS(
  OR(ISBLANK(A2484),ISBLANK(B2484),ISBLANK(H2484),ISBLANK(D2484),ISBLANK(E2484)),"Missing Value",
  D2484&lt;=0,"Review – Out of Range (Coverage)",
  E2484&lt;=0,"Review – Out of Range (Premium)",
  TRUE,"OK"
)</f>
        <v>OK</v>
      </c>
    </row>
    <row r="2485" spans="1:10" ht="16.8" x14ac:dyDescent="0.3">
      <c r="A2485" s="14" t="s">
        <v>6147</v>
      </c>
      <c r="B2485" s="14" t="s">
        <v>1461</v>
      </c>
      <c r="C2485" s="14" t="s">
        <v>3363</v>
      </c>
      <c r="D2485" s="14">
        <v>873667.85</v>
      </c>
      <c r="E2485" s="14">
        <v>43871.71</v>
      </c>
      <c r="F2485" s="15">
        <v>44090</v>
      </c>
      <c r="G2485" s="15">
        <v>45162</v>
      </c>
      <c r="H2485" s="14" t="s">
        <v>3624</v>
      </c>
      <c r="I2485" s="14" t="s">
        <v>3365</v>
      </c>
      <c r="J2485" s="13" t="str" cm="1">
        <f t="array" ref="J2485">_xlfn.IFS(
  OR(ISBLANK(A2485),ISBLANK(B2485),ISBLANK(H2485),ISBLANK(D2485),ISBLANK(E2485)),"Missing Value",
  D2485&lt;=0,"Review – Out of Range (Coverage)",
  E2485&lt;=0,"Review – Out of Range (Premium)",
  TRUE,"OK"
)</f>
        <v>OK</v>
      </c>
    </row>
    <row r="2486" spans="1:10" ht="16.8" x14ac:dyDescent="0.3">
      <c r="A2486" s="11" t="s">
        <v>6148</v>
      </c>
      <c r="B2486" s="11" t="s">
        <v>1021</v>
      </c>
      <c r="C2486" s="11" t="s">
        <v>3363</v>
      </c>
      <c r="D2486" s="11">
        <v>364744.38</v>
      </c>
      <c r="E2486" s="11">
        <v>8013.56</v>
      </c>
      <c r="F2486" s="12">
        <v>44758</v>
      </c>
      <c r="G2486" s="12">
        <v>45575</v>
      </c>
      <c r="H2486" s="11" t="s">
        <v>3670</v>
      </c>
      <c r="I2486" s="11" t="s">
        <v>3361</v>
      </c>
      <c r="J2486" s="13" t="str" cm="1">
        <f t="array" ref="J2486">_xlfn.IFS(
  OR(ISBLANK(A2486),ISBLANK(B2486),ISBLANK(H2486),ISBLANK(D2486),ISBLANK(E2486)),"Missing Value",
  D2486&lt;=0,"Review – Out of Range (Coverage)",
  E2486&lt;=0,"Review – Out of Range (Premium)",
  TRUE,"OK"
)</f>
        <v>OK</v>
      </c>
    </row>
    <row r="2487" spans="1:10" ht="16.8" x14ac:dyDescent="0.3">
      <c r="A2487" s="14" t="s">
        <v>6149</v>
      </c>
      <c r="B2487" s="14" t="s">
        <v>3268</v>
      </c>
      <c r="C2487" s="14" t="s">
        <v>3363</v>
      </c>
      <c r="D2487" s="14">
        <v>113081.84</v>
      </c>
      <c r="E2487" s="14">
        <v>29433.24</v>
      </c>
      <c r="F2487" s="15">
        <v>45451</v>
      </c>
      <c r="G2487" s="15">
        <v>45770</v>
      </c>
      <c r="H2487" s="14" t="s">
        <v>3372</v>
      </c>
      <c r="I2487" s="14" t="s">
        <v>3373</v>
      </c>
      <c r="J2487" s="13" t="str" cm="1">
        <f t="array" ref="J2487">_xlfn.IFS(
  OR(ISBLANK(A2487),ISBLANK(B2487),ISBLANK(H2487),ISBLANK(D2487),ISBLANK(E2487)),"Missing Value",
  D2487&lt;=0,"Review – Out of Range (Coverage)",
  E2487&lt;=0,"Review – Out of Range (Premium)",
  TRUE,"OK"
)</f>
        <v>OK</v>
      </c>
    </row>
    <row r="2488" spans="1:10" ht="16.8" x14ac:dyDescent="0.3">
      <c r="A2488" s="11" t="s">
        <v>6150</v>
      </c>
      <c r="B2488" s="11" t="s">
        <v>1331</v>
      </c>
      <c r="C2488" s="11" t="s">
        <v>3380</v>
      </c>
      <c r="D2488" s="11">
        <v>960977.37</v>
      </c>
      <c r="E2488" s="11">
        <v>33041.269999999997</v>
      </c>
      <c r="F2488" s="12">
        <v>44544</v>
      </c>
      <c r="G2488" s="12">
        <v>45023</v>
      </c>
      <c r="H2488" s="11" t="s">
        <v>3764</v>
      </c>
      <c r="I2488" s="11" t="s">
        <v>3373</v>
      </c>
      <c r="J2488" s="13" t="str" cm="1">
        <f t="array" ref="J2488">_xlfn.IFS(
  OR(ISBLANK(A2488),ISBLANK(B2488),ISBLANK(H2488),ISBLANK(D2488),ISBLANK(E2488)),"Missing Value",
  D2488&lt;=0,"Review – Out of Range (Coverage)",
  E2488&lt;=0,"Review – Out of Range (Premium)",
  TRUE,"OK"
)</f>
        <v>OK</v>
      </c>
    </row>
    <row r="2489" spans="1:10" ht="16.8" x14ac:dyDescent="0.3">
      <c r="A2489" s="14" t="s">
        <v>6151</v>
      </c>
      <c r="B2489" s="14" t="s">
        <v>2959</v>
      </c>
      <c r="C2489" s="14" t="s">
        <v>3371</v>
      </c>
      <c r="D2489" s="14">
        <v>731579.36</v>
      </c>
      <c r="E2489" s="14">
        <v>48237.43</v>
      </c>
      <c r="F2489" s="15">
        <v>45242</v>
      </c>
      <c r="G2489" s="15">
        <v>45294</v>
      </c>
      <c r="H2489" s="14" t="s">
        <v>3471</v>
      </c>
      <c r="I2489" s="14" t="s">
        <v>3373</v>
      </c>
      <c r="J2489" s="13" t="str" cm="1">
        <f t="array" ref="J2489">_xlfn.IFS(
  OR(ISBLANK(A2489),ISBLANK(B2489),ISBLANK(H2489),ISBLANK(D2489),ISBLANK(E2489)),"Missing Value",
  D2489&lt;=0,"Review – Out of Range (Coverage)",
  E2489&lt;=0,"Review – Out of Range (Premium)",
  TRUE,"OK"
)</f>
        <v>OK</v>
      </c>
    </row>
    <row r="2490" spans="1:10" ht="16.8" x14ac:dyDescent="0.3">
      <c r="A2490" s="11" t="s">
        <v>6152</v>
      </c>
      <c r="B2490" s="11" t="s">
        <v>2481</v>
      </c>
      <c r="C2490" s="11" t="s">
        <v>3377</v>
      </c>
      <c r="D2490" s="11">
        <v>398568.72</v>
      </c>
      <c r="E2490" s="11">
        <v>43027.16</v>
      </c>
      <c r="F2490" s="12">
        <v>44589</v>
      </c>
      <c r="G2490" s="12">
        <v>45569</v>
      </c>
      <c r="H2490" s="11" t="s">
        <v>4198</v>
      </c>
      <c r="I2490" s="11" t="s">
        <v>3373</v>
      </c>
      <c r="J2490" s="13" t="str" cm="1">
        <f t="array" ref="J2490">_xlfn.IFS(
  OR(ISBLANK(A2490),ISBLANK(B2490),ISBLANK(H2490),ISBLANK(D2490),ISBLANK(E2490)),"Missing Value",
  D2490&lt;=0,"Review – Out of Range (Coverage)",
  E2490&lt;=0,"Review – Out of Range (Premium)",
  TRUE,"OK"
)</f>
        <v>OK</v>
      </c>
    </row>
    <row r="2491" spans="1:10" ht="16.8" x14ac:dyDescent="0.3">
      <c r="A2491" s="14" t="s">
        <v>6153</v>
      </c>
      <c r="B2491" s="14" t="s">
        <v>3144</v>
      </c>
      <c r="C2491" s="14" t="s">
        <v>3380</v>
      </c>
      <c r="D2491" s="14">
        <v>150817.57999999999</v>
      </c>
      <c r="E2491" s="14">
        <v>49610.01</v>
      </c>
      <c r="F2491" s="15">
        <v>44144</v>
      </c>
      <c r="G2491" s="15">
        <v>45156</v>
      </c>
      <c r="H2491" s="14" t="s">
        <v>3634</v>
      </c>
      <c r="I2491" s="14" t="s">
        <v>3365</v>
      </c>
      <c r="J2491" s="13" t="str" cm="1">
        <f t="array" ref="J2491">_xlfn.IFS(
  OR(ISBLANK(A2491),ISBLANK(B2491),ISBLANK(H2491),ISBLANK(D2491),ISBLANK(E2491)),"Missing Value",
  D2491&lt;=0,"Review – Out of Range (Coverage)",
  E2491&lt;=0,"Review – Out of Range (Premium)",
  TRUE,"OK"
)</f>
        <v>OK</v>
      </c>
    </row>
    <row r="2492" spans="1:10" ht="16.8" x14ac:dyDescent="0.3">
      <c r="A2492" s="11" t="s">
        <v>6154</v>
      </c>
      <c r="B2492" s="11" t="s">
        <v>1685</v>
      </c>
      <c r="C2492" s="11" t="s">
        <v>3371</v>
      </c>
      <c r="D2492" s="11">
        <v>248440.67</v>
      </c>
      <c r="E2492" s="11">
        <v>44080.36</v>
      </c>
      <c r="F2492" s="12">
        <v>45490</v>
      </c>
      <c r="G2492" s="12">
        <v>45630</v>
      </c>
      <c r="H2492" s="11" t="s">
        <v>3575</v>
      </c>
      <c r="I2492" s="11" t="s">
        <v>3373</v>
      </c>
      <c r="J2492" s="13" t="str" cm="1">
        <f t="array" ref="J2492">_xlfn.IFS(
  OR(ISBLANK(A2492),ISBLANK(B2492),ISBLANK(H2492),ISBLANK(D2492),ISBLANK(E2492)),"Missing Value",
  D2492&lt;=0,"Review – Out of Range (Coverage)",
  E2492&lt;=0,"Review – Out of Range (Premium)",
  TRUE,"OK"
)</f>
        <v>OK</v>
      </c>
    </row>
    <row r="2493" spans="1:10" ht="16.8" x14ac:dyDescent="0.3">
      <c r="A2493" s="14" t="s">
        <v>6155</v>
      </c>
      <c r="B2493" s="14" t="s">
        <v>881</v>
      </c>
      <c r="C2493" s="14" t="s">
        <v>3371</v>
      </c>
      <c r="D2493" s="14">
        <v>142090.21</v>
      </c>
      <c r="E2493" s="14">
        <v>6841.93</v>
      </c>
      <c r="F2493" s="15">
        <v>44977</v>
      </c>
      <c r="G2493" s="15">
        <v>45001</v>
      </c>
      <c r="H2493" s="14" t="s">
        <v>3830</v>
      </c>
      <c r="I2493" s="14" t="s">
        <v>3365</v>
      </c>
      <c r="J2493" s="13" t="str" cm="1">
        <f t="array" ref="J2493">_xlfn.IFS(
  OR(ISBLANK(A2493),ISBLANK(B2493),ISBLANK(H2493),ISBLANK(D2493),ISBLANK(E2493)),"Missing Value",
  D2493&lt;=0,"Review – Out of Range (Coverage)",
  E2493&lt;=0,"Review – Out of Range (Premium)",
  TRUE,"OK"
)</f>
        <v>OK</v>
      </c>
    </row>
    <row r="2494" spans="1:10" ht="16.8" x14ac:dyDescent="0.3">
      <c r="A2494" s="11" t="s">
        <v>6156</v>
      </c>
      <c r="B2494" s="11" t="s">
        <v>1547</v>
      </c>
      <c r="C2494" s="11" t="s">
        <v>3377</v>
      </c>
      <c r="D2494" s="11">
        <v>731886.7</v>
      </c>
      <c r="E2494" s="11">
        <v>25984.68</v>
      </c>
      <c r="F2494" s="12">
        <v>44916</v>
      </c>
      <c r="G2494" s="12">
        <v>45690</v>
      </c>
      <c r="H2494" s="11" t="s">
        <v>3792</v>
      </c>
      <c r="I2494" s="11" t="s">
        <v>3361</v>
      </c>
      <c r="J2494" s="13" t="str" cm="1">
        <f t="array" ref="J2494">_xlfn.IFS(
  OR(ISBLANK(A2494),ISBLANK(B2494),ISBLANK(H2494),ISBLANK(D2494),ISBLANK(E2494)),"Missing Value",
  D2494&lt;=0,"Review – Out of Range (Coverage)",
  E2494&lt;=0,"Review – Out of Range (Premium)",
  TRUE,"OK"
)</f>
        <v>OK</v>
      </c>
    </row>
    <row r="2495" spans="1:10" ht="16.8" x14ac:dyDescent="0.3">
      <c r="A2495" s="14" t="s">
        <v>6157</v>
      </c>
      <c r="B2495" s="14" t="s">
        <v>126</v>
      </c>
      <c r="C2495" s="14" t="s">
        <v>3359</v>
      </c>
      <c r="D2495" s="14">
        <v>419449.27</v>
      </c>
      <c r="E2495" s="14">
        <v>42820.97</v>
      </c>
      <c r="F2495" s="15">
        <v>45092</v>
      </c>
      <c r="G2495" s="15">
        <v>45125</v>
      </c>
      <c r="H2495" s="14" t="s">
        <v>3974</v>
      </c>
      <c r="I2495" s="14" t="s">
        <v>3361</v>
      </c>
      <c r="J2495" s="13" t="str" cm="1">
        <f t="array" ref="J2495">_xlfn.IFS(
  OR(ISBLANK(A2495),ISBLANK(B2495),ISBLANK(H2495),ISBLANK(D2495),ISBLANK(E2495)),"Missing Value",
  D2495&lt;=0,"Review – Out of Range (Coverage)",
  E2495&lt;=0,"Review – Out of Range (Premium)",
  TRUE,"OK"
)</f>
        <v>OK</v>
      </c>
    </row>
    <row r="2496" spans="1:10" ht="16.8" x14ac:dyDescent="0.3">
      <c r="A2496" s="11" t="s">
        <v>6158</v>
      </c>
      <c r="B2496" s="11" t="s">
        <v>2977</v>
      </c>
      <c r="C2496" s="11" t="s">
        <v>3371</v>
      </c>
      <c r="D2496" s="11">
        <v>355236.69</v>
      </c>
      <c r="E2496" s="11">
        <v>44171.18</v>
      </c>
      <c r="F2496" s="12">
        <v>44548</v>
      </c>
      <c r="G2496" s="12">
        <v>45492</v>
      </c>
      <c r="H2496" s="11" t="s">
        <v>3507</v>
      </c>
      <c r="I2496" s="11" t="s">
        <v>3365</v>
      </c>
      <c r="J2496" s="13" t="str" cm="1">
        <f t="array" ref="J2496">_xlfn.IFS(
  OR(ISBLANK(A2496),ISBLANK(B2496),ISBLANK(H2496),ISBLANK(D2496),ISBLANK(E2496)),"Missing Value",
  D2496&lt;=0,"Review – Out of Range (Coverage)",
  E2496&lt;=0,"Review – Out of Range (Premium)",
  TRUE,"OK"
)</f>
        <v>OK</v>
      </c>
    </row>
    <row r="2497" spans="1:10" ht="16.8" x14ac:dyDescent="0.3">
      <c r="A2497" s="14" t="s">
        <v>6159</v>
      </c>
      <c r="B2497" s="14" t="s">
        <v>196</v>
      </c>
      <c r="C2497" s="14" t="s">
        <v>3377</v>
      </c>
      <c r="D2497" s="14">
        <v>770976.72</v>
      </c>
      <c r="E2497" s="14">
        <v>14610.02</v>
      </c>
      <c r="F2497" s="15">
        <v>45308</v>
      </c>
      <c r="G2497" s="15">
        <v>45768</v>
      </c>
      <c r="H2497" s="14" t="s">
        <v>3809</v>
      </c>
      <c r="I2497" s="14" t="s">
        <v>3365</v>
      </c>
      <c r="J2497" s="13" t="str" cm="1">
        <f t="array" ref="J2497">_xlfn.IFS(
  OR(ISBLANK(A2497),ISBLANK(B2497),ISBLANK(H2497),ISBLANK(D2497),ISBLANK(E2497)),"Missing Value",
  D2497&lt;=0,"Review – Out of Range (Coverage)",
  E2497&lt;=0,"Review – Out of Range (Premium)",
  TRUE,"OK"
)</f>
        <v>OK</v>
      </c>
    </row>
    <row r="2498" spans="1:10" ht="16.8" x14ac:dyDescent="0.3">
      <c r="A2498" s="11" t="s">
        <v>6160</v>
      </c>
      <c r="B2498" s="11" t="s">
        <v>2641</v>
      </c>
      <c r="C2498" s="11" t="s">
        <v>3380</v>
      </c>
      <c r="D2498" s="11">
        <v>406546.89</v>
      </c>
      <c r="E2498" s="11">
        <v>34731.519999999997</v>
      </c>
      <c r="F2498" s="12">
        <v>45467</v>
      </c>
      <c r="G2498" s="12">
        <v>45599</v>
      </c>
      <c r="H2498" s="11" t="s">
        <v>3964</v>
      </c>
      <c r="I2498" s="11" t="s">
        <v>3365</v>
      </c>
      <c r="J2498" s="13" t="str" cm="1">
        <f t="array" ref="J2498">_xlfn.IFS(
  OR(ISBLANK(A2498),ISBLANK(B2498),ISBLANK(H2498),ISBLANK(D2498),ISBLANK(E2498)),"Missing Value",
  D2498&lt;=0,"Review – Out of Range (Coverage)",
  E2498&lt;=0,"Review – Out of Range (Premium)",
  TRUE,"OK"
)</f>
        <v>OK</v>
      </c>
    </row>
    <row r="2499" spans="1:10" ht="16.8" x14ac:dyDescent="0.3">
      <c r="A2499" s="14" t="s">
        <v>6161</v>
      </c>
      <c r="B2499" s="14" t="s">
        <v>875</v>
      </c>
      <c r="C2499" s="14" t="s">
        <v>3371</v>
      </c>
      <c r="D2499" s="14">
        <v>656552.67000000004</v>
      </c>
      <c r="E2499" s="14">
        <v>25080.58</v>
      </c>
      <c r="F2499" s="15">
        <v>44333</v>
      </c>
      <c r="G2499" s="15">
        <v>45620</v>
      </c>
      <c r="H2499" s="14" t="s">
        <v>4671</v>
      </c>
      <c r="I2499" s="14" t="s">
        <v>3373</v>
      </c>
      <c r="J2499" s="13" t="str" cm="1">
        <f t="array" ref="J2499">_xlfn.IFS(
  OR(ISBLANK(A2499),ISBLANK(B2499),ISBLANK(H2499),ISBLANK(D2499),ISBLANK(E2499)),"Missing Value",
  D2499&lt;=0,"Review – Out of Range (Coverage)",
  E2499&lt;=0,"Review – Out of Range (Premium)",
  TRUE,"OK"
)</f>
        <v>OK</v>
      </c>
    </row>
    <row r="2500" spans="1:10" ht="16.8" x14ac:dyDescent="0.3">
      <c r="A2500" s="11" t="s">
        <v>6162</v>
      </c>
      <c r="B2500" s="11" t="s">
        <v>1391</v>
      </c>
      <c r="C2500" s="11" t="s">
        <v>3380</v>
      </c>
      <c r="D2500" s="11">
        <v>909999.97</v>
      </c>
      <c r="E2500" s="11">
        <v>44321.36</v>
      </c>
      <c r="F2500" s="12">
        <v>44719</v>
      </c>
      <c r="G2500" s="12">
        <v>45479</v>
      </c>
      <c r="H2500" s="11" t="s">
        <v>5164</v>
      </c>
      <c r="I2500" s="11" t="s">
        <v>3365</v>
      </c>
      <c r="J2500" s="13" t="str" cm="1">
        <f t="array" ref="J2500">_xlfn.IFS(
  OR(ISBLANK(A2500),ISBLANK(B2500),ISBLANK(H2500),ISBLANK(D2500),ISBLANK(E2500)),"Missing Value",
  D2500&lt;=0,"Review – Out of Range (Coverage)",
  E2500&lt;=0,"Review – Out of Range (Premium)",
  TRUE,"OK"
)</f>
        <v>OK</v>
      </c>
    </row>
    <row r="2501" spans="1:10" ht="16.8" x14ac:dyDescent="0.3">
      <c r="A2501" s="14" t="s">
        <v>6163</v>
      </c>
      <c r="B2501" s="14" t="s">
        <v>2137</v>
      </c>
      <c r="C2501" s="14" t="s">
        <v>3359</v>
      </c>
      <c r="D2501" s="14">
        <v>993478.49</v>
      </c>
      <c r="E2501" s="14">
        <v>48625.11</v>
      </c>
      <c r="F2501" s="15">
        <v>45282</v>
      </c>
      <c r="G2501" s="15">
        <v>45858</v>
      </c>
      <c r="H2501" s="14" t="s">
        <v>3375</v>
      </c>
      <c r="I2501" s="14" t="s">
        <v>3361</v>
      </c>
      <c r="J2501" s="13" t="str" cm="1">
        <f t="array" ref="J2501">_xlfn.IFS(
  OR(ISBLANK(A2501),ISBLANK(B2501),ISBLANK(H2501),ISBLANK(D2501),ISBLANK(E2501)),"Missing Value",
  D2501&lt;=0,"Review – Out of Range (Coverage)",
  E2501&lt;=0,"Review – Out of Range (Premium)",
  TRUE,"OK"
)</f>
        <v>OK</v>
      </c>
    </row>
    <row r="2502" spans="1:10" ht="16.8" x14ac:dyDescent="0.3">
      <c r="A2502" s="11" t="s">
        <v>6164</v>
      </c>
      <c r="B2502" s="11" t="s">
        <v>2925</v>
      </c>
      <c r="C2502" s="11" t="s">
        <v>3363</v>
      </c>
      <c r="D2502" s="11">
        <v>156827.14000000001</v>
      </c>
      <c r="E2502" s="11">
        <v>23776.67</v>
      </c>
      <c r="F2502" s="12">
        <v>45300</v>
      </c>
      <c r="G2502" s="12">
        <v>45303</v>
      </c>
      <c r="H2502" s="11" t="s">
        <v>3475</v>
      </c>
      <c r="I2502" s="11" t="s">
        <v>3373</v>
      </c>
      <c r="J2502" s="13" t="str" cm="1">
        <f t="array" ref="J2502">_xlfn.IFS(
  OR(ISBLANK(A2502),ISBLANK(B2502),ISBLANK(H2502),ISBLANK(D2502),ISBLANK(E2502)),"Missing Value",
  D2502&lt;=0,"Review – Out of Range (Coverage)",
  E2502&lt;=0,"Review – Out of Range (Premium)",
  TRUE,"OK"
)</f>
        <v>OK</v>
      </c>
    </row>
    <row r="2503" spans="1:10" ht="16.8" x14ac:dyDescent="0.3">
      <c r="A2503" s="14" t="s">
        <v>6165</v>
      </c>
      <c r="B2503" s="14" t="s">
        <v>1297</v>
      </c>
      <c r="C2503" s="14" t="s">
        <v>3371</v>
      </c>
      <c r="D2503" s="14">
        <v>935155.31</v>
      </c>
      <c r="E2503" s="14">
        <v>14489.42</v>
      </c>
      <c r="F2503" s="15">
        <v>44983</v>
      </c>
      <c r="G2503" s="15">
        <v>45357</v>
      </c>
      <c r="H2503" s="14" t="s">
        <v>3553</v>
      </c>
      <c r="I2503" s="14" t="s">
        <v>3365</v>
      </c>
      <c r="J2503" s="13" t="str" cm="1">
        <f t="array" ref="J2503">_xlfn.IFS(
  OR(ISBLANK(A2503),ISBLANK(B2503),ISBLANK(H2503),ISBLANK(D2503),ISBLANK(E2503)),"Missing Value",
  D2503&lt;=0,"Review – Out of Range (Coverage)",
  E2503&lt;=0,"Review – Out of Range (Premium)",
  TRUE,"OK"
)</f>
        <v>OK</v>
      </c>
    </row>
    <row r="2504" spans="1:10" ht="16.8" x14ac:dyDescent="0.3">
      <c r="A2504" s="11" t="s">
        <v>6166</v>
      </c>
      <c r="B2504" s="11" t="s">
        <v>1143</v>
      </c>
      <c r="C2504" s="11" t="s">
        <v>3377</v>
      </c>
      <c r="D2504" s="11">
        <v>709403.12</v>
      </c>
      <c r="E2504" s="11">
        <v>42644.52</v>
      </c>
      <c r="F2504" s="12">
        <v>44990</v>
      </c>
      <c r="G2504" s="12">
        <v>45620</v>
      </c>
      <c r="H2504" s="11" t="s">
        <v>3395</v>
      </c>
      <c r="I2504" s="11" t="s">
        <v>3361</v>
      </c>
      <c r="J2504" s="13" t="str" cm="1">
        <f t="array" ref="J2504">_xlfn.IFS(
  OR(ISBLANK(A2504),ISBLANK(B2504),ISBLANK(H2504),ISBLANK(D2504),ISBLANK(E2504)),"Missing Value",
  D2504&lt;=0,"Review – Out of Range (Coverage)",
  E2504&lt;=0,"Review – Out of Range (Premium)",
  TRUE,"OK"
)</f>
        <v>OK</v>
      </c>
    </row>
    <row r="2505" spans="1:10" ht="16.8" x14ac:dyDescent="0.3">
      <c r="A2505" s="14" t="s">
        <v>6167</v>
      </c>
      <c r="B2505" s="14" t="s">
        <v>3024</v>
      </c>
      <c r="C2505" s="14" t="s">
        <v>3377</v>
      </c>
      <c r="D2505" s="14">
        <v>544436.47999999998</v>
      </c>
      <c r="E2505" s="14">
        <v>4618.24</v>
      </c>
      <c r="F2505" s="15">
        <v>44694</v>
      </c>
      <c r="G2505" s="15">
        <v>45373</v>
      </c>
      <c r="H2505" s="14" t="s">
        <v>3421</v>
      </c>
      <c r="I2505" s="14" t="s">
        <v>3361</v>
      </c>
      <c r="J2505" s="13" t="str" cm="1">
        <f t="array" ref="J2505">_xlfn.IFS(
  OR(ISBLANK(A2505),ISBLANK(B2505),ISBLANK(H2505),ISBLANK(D2505),ISBLANK(E2505)),"Missing Value",
  D2505&lt;=0,"Review – Out of Range (Coverage)",
  E2505&lt;=0,"Review – Out of Range (Premium)",
  TRUE,"OK"
)</f>
        <v>OK</v>
      </c>
    </row>
    <row r="2506" spans="1:10" ht="16.8" x14ac:dyDescent="0.3">
      <c r="A2506" s="11" t="s">
        <v>6168</v>
      </c>
      <c r="B2506" s="11" t="s">
        <v>2745</v>
      </c>
      <c r="C2506" s="11" t="s">
        <v>3359</v>
      </c>
      <c r="D2506" s="11">
        <v>527507</v>
      </c>
      <c r="E2506" s="11">
        <v>29751.87</v>
      </c>
      <c r="F2506" s="12">
        <v>45147</v>
      </c>
      <c r="G2506" s="12">
        <v>45848</v>
      </c>
      <c r="H2506" s="11" t="s">
        <v>3774</v>
      </c>
      <c r="I2506" s="11" t="s">
        <v>3365</v>
      </c>
      <c r="J2506" s="13" t="str" cm="1">
        <f t="array" ref="J2506">_xlfn.IFS(
  OR(ISBLANK(A2506),ISBLANK(B2506),ISBLANK(H2506),ISBLANK(D2506),ISBLANK(E2506)),"Missing Value",
  D2506&lt;=0,"Review – Out of Range (Coverage)",
  E2506&lt;=0,"Review – Out of Range (Premium)",
  TRUE,"OK"
)</f>
        <v>OK</v>
      </c>
    </row>
    <row r="2507" spans="1:10" ht="16.8" x14ac:dyDescent="0.3">
      <c r="A2507" s="14" t="s">
        <v>6169</v>
      </c>
      <c r="B2507" s="14" t="s">
        <v>3074</v>
      </c>
      <c r="C2507" s="14" t="s">
        <v>3371</v>
      </c>
      <c r="D2507" s="14">
        <v>251571.17</v>
      </c>
      <c r="E2507" s="14">
        <v>19539.48</v>
      </c>
      <c r="F2507" s="15">
        <v>45249</v>
      </c>
      <c r="G2507" s="15">
        <v>45653</v>
      </c>
      <c r="H2507" s="14" t="s">
        <v>4136</v>
      </c>
      <c r="I2507" s="14" t="s">
        <v>3373</v>
      </c>
      <c r="J2507" s="13" t="str" cm="1">
        <f t="array" ref="J2507">_xlfn.IFS(
  OR(ISBLANK(A2507),ISBLANK(B2507),ISBLANK(H2507),ISBLANK(D2507),ISBLANK(E2507)),"Missing Value",
  D2507&lt;=0,"Review – Out of Range (Coverage)",
  E2507&lt;=0,"Review – Out of Range (Premium)",
  TRUE,"OK"
)</f>
        <v>OK</v>
      </c>
    </row>
    <row r="2508" spans="1:10" ht="16.8" x14ac:dyDescent="0.3">
      <c r="A2508" s="11" t="s">
        <v>6170</v>
      </c>
      <c r="B2508" s="11" t="s">
        <v>430</v>
      </c>
      <c r="C2508" s="11" t="s">
        <v>3359</v>
      </c>
      <c r="D2508" s="11">
        <v>620232.11</v>
      </c>
      <c r="E2508" s="11">
        <v>45513.19</v>
      </c>
      <c r="F2508" s="12">
        <v>45187</v>
      </c>
      <c r="G2508" s="12">
        <v>45741</v>
      </c>
      <c r="H2508" s="11" t="s">
        <v>3393</v>
      </c>
      <c r="I2508" s="11" t="s">
        <v>3361</v>
      </c>
      <c r="J2508" s="13" t="str" cm="1">
        <f t="array" ref="J2508">_xlfn.IFS(
  OR(ISBLANK(A2508),ISBLANK(B2508),ISBLANK(H2508),ISBLANK(D2508),ISBLANK(E2508)),"Missing Value",
  D2508&lt;=0,"Review – Out of Range (Coverage)",
  E2508&lt;=0,"Review – Out of Range (Premium)",
  TRUE,"OK"
)</f>
        <v>OK</v>
      </c>
    </row>
    <row r="2509" spans="1:10" ht="16.8" x14ac:dyDescent="0.3">
      <c r="A2509" s="14" t="s">
        <v>6171</v>
      </c>
      <c r="B2509" s="14" t="s">
        <v>390</v>
      </c>
      <c r="C2509" s="14" t="s">
        <v>3359</v>
      </c>
      <c r="D2509" s="14">
        <v>818701.52</v>
      </c>
      <c r="E2509" s="14">
        <v>8171.89</v>
      </c>
      <c r="F2509" s="15">
        <v>44785</v>
      </c>
      <c r="G2509" s="15">
        <v>45718</v>
      </c>
      <c r="H2509" s="14" t="s">
        <v>4116</v>
      </c>
      <c r="I2509" s="14" t="s">
        <v>3361</v>
      </c>
      <c r="J2509" s="13" t="str" cm="1">
        <f t="array" ref="J2509">_xlfn.IFS(
  OR(ISBLANK(A2509),ISBLANK(B2509),ISBLANK(H2509),ISBLANK(D2509),ISBLANK(E2509)),"Missing Value",
  D2509&lt;=0,"Review – Out of Range (Coverage)",
  E2509&lt;=0,"Review – Out of Range (Premium)",
  TRUE,"OK"
)</f>
        <v>OK</v>
      </c>
    </row>
    <row r="2510" spans="1:10" ht="16.8" x14ac:dyDescent="0.3">
      <c r="A2510" s="11" t="s">
        <v>6172</v>
      </c>
      <c r="B2510" s="11" t="s">
        <v>1011</v>
      </c>
      <c r="C2510" s="11" t="s">
        <v>3377</v>
      </c>
      <c r="D2510" s="11">
        <v>995544.04</v>
      </c>
      <c r="E2510" s="11">
        <v>24178.959999999999</v>
      </c>
      <c r="F2510" s="12">
        <v>45117</v>
      </c>
      <c r="G2510" s="12">
        <v>45136</v>
      </c>
      <c r="H2510" s="11" t="s">
        <v>3488</v>
      </c>
      <c r="I2510" s="11" t="s">
        <v>3365</v>
      </c>
      <c r="J2510" s="13" t="str" cm="1">
        <f t="array" ref="J2510">_xlfn.IFS(
  OR(ISBLANK(A2510),ISBLANK(B2510),ISBLANK(H2510),ISBLANK(D2510),ISBLANK(E2510)),"Missing Value",
  D2510&lt;=0,"Review – Out of Range (Coverage)",
  E2510&lt;=0,"Review – Out of Range (Premium)",
  TRUE,"OK"
)</f>
        <v>OK</v>
      </c>
    </row>
    <row r="2511" spans="1:10" ht="16.8" x14ac:dyDescent="0.3">
      <c r="A2511" s="14" t="s">
        <v>6173</v>
      </c>
      <c r="B2511" s="14" t="s">
        <v>336</v>
      </c>
      <c r="C2511" s="14" t="s">
        <v>3377</v>
      </c>
      <c r="D2511" s="14">
        <v>914589.38</v>
      </c>
      <c r="E2511" s="14">
        <v>42445.23</v>
      </c>
      <c r="F2511" s="15">
        <v>44922</v>
      </c>
      <c r="G2511" s="15">
        <v>45806</v>
      </c>
      <c r="H2511" s="14" t="s">
        <v>3459</v>
      </c>
      <c r="I2511" s="14" t="s">
        <v>3361</v>
      </c>
      <c r="J2511" s="13" t="str" cm="1">
        <f t="array" ref="J2511">_xlfn.IFS(
  OR(ISBLANK(A2511),ISBLANK(B2511),ISBLANK(H2511),ISBLANK(D2511),ISBLANK(E2511)),"Missing Value",
  D2511&lt;=0,"Review – Out of Range (Coverage)",
  E2511&lt;=0,"Review – Out of Range (Premium)",
  TRUE,"OK"
)</f>
        <v>OK</v>
      </c>
    </row>
    <row r="2512" spans="1:10" ht="16.8" x14ac:dyDescent="0.3">
      <c r="A2512" s="11" t="s">
        <v>6174</v>
      </c>
      <c r="B2512" s="11" t="s">
        <v>2261</v>
      </c>
      <c r="C2512" s="11" t="s">
        <v>3377</v>
      </c>
      <c r="D2512" s="11">
        <v>255135.57</v>
      </c>
      <c r="E2512" s="11">
        <v>29279.96</v>
      </c>
      <c r="F2512" s="12">
        <v>44358</v>
      </c>
      <c r="G2512" s="12">
        <v>45620</v>
      </c>
      <c r="H2512" s="11" t="s">
        <v>3605</v>
      </c>
      <c r="I2512" s="11" t="s">
        <v>3373</v>
      </c>
      <c r="J2512" s="13" t="str" cm="1">
        <f t="array" ref="J2512">_xlfn.IFS(
  OR(ISBLANK(A2512),ISBLANK(B2512),ISBLANK(H2512),ISBLANK(D2512),ISBLANK(E2512)),"Missing Value",
  D2512&lt;=0,"Review – Out of Range (Coverage)",
  E2512&lt;=0,"Review – Out of Range (Premium)",
  TRUE,"OK"
)</f>
        <v>OK</v>
      </c>
    </row>
    <row r="2513" spans="1:10" ht="16.8" x14ac:dyDescent="0.3">
      <c r="A2513" s="14" t="s">
        <v>6175</v>
      </c>
      <c r="B2513" s="14" t="s">
        <v>2497</v>
      </c>
      <c r="C2513" s="14" t="s">
        <v>3363</v>
      </c>
      <c r="D2513" s="14">
        <v>465052.82</v>
      </c>
      <c r="E2513" s="14">
        <v>31902.58</v>
      </c>
      <c r="F2513" s="15">
        <v>44443</v>
      </c>
      <c r="G2513" s="15">
        <v>45255</v>
      </c>
      <c r="H2513" s="14" t="s">
        <v>3762</v>
      </c>
      <c r="I2513" s="14" t="s">
        <v>3373</v>
      </c>
      <c r="J2513" s="13" t="str" cm="1">
        <f t="array" ref="J2513">_xlfn.IFS(
  OR(ISBLANK(A2513),ISBLANK(B2513),ISBLANK(H2513),ISBLANK(D2513),ISBLANK(E2513)),"Missing Value",
  D2513&lt;=0,"Review – Out of Range (Coverage)",
  E2513&lt;=0,"Review – Out of Range (Premium)",
  TRUE,"OK"
)</f>
        <v>OK</v>
      </c>
    </row>
    <row r="2514" spans="1:10" ht="16.8" x14ac:dyDescent="0.3">
      <c r="A2514" s="11" t="s">
        <v>6176</v>
      </c>
      <c r="B2514" s="11" t="s">
        <v>671</v>
      </c>
      <c r="C2514" s="11" t="s">
        <v>3377</v>
      </c>
      <c r="D2514" s="11">
        <v>205532.72</v>
      </c>
      <c r="E2514" s="11">
        <v>30047.41</v>
      </c>
      <c r="F2514" s="12">
        <v>45227</v>
      </c>
      <c r="G2514" s="12">
        <v>45269</v>
      </c>
      <c r="H2514" s="11" t="s">
        <v>3427</v>
      </c>
      <c r="I2514" s="11" t="s">
        <v>3373</v>
      </c>
      <c r="J2514" s="13" t="str" cm="1">
        <f t="array" ref="J2514">_xlfn.IFS(
  OR(ISBLANK(A2514),ISBLANK(B2514),ISBLANK(H2514),ISBLANK(D2514),ISBLANK(E2514)),"Missing Value",
  D2514&lt;=0,"Review – Out of Range (Coverage)",
  E2514&lt;=0,"Review – Out of Range (Premium)",
  TRUE,"OK"
)</f>
        <v>OK</v>
      </c>
    </row>
    <row r="2515" spans="1:10" ht="16.8" x14ac:dyDescent="0.3">
      <c r="A2515" s="14" t="s">
        <v>6177</v>
      </c>
      <c r="B2515" s="14" t="s">
        <v>1135</v>
      </c>
      <c r="C2515" s="14" t="s">
        <v>3371</v>
      </c>
      <c r="D2515" s="14">
        <v>472709.87</v>
      </c>
      <c r="E2515" s="14">
        <v>34745.25</v>
      </c>
      <c r="F2515" s="15">
        <v>44719</v>
      </c>
      <c r="G2515" s="15">
        <v>44775</v>
      </c>
      <c r="H2515" s="14" t="s">
        <v>4630</v>
      </c>
      <c r="I2515" s="14" t="s">
        <v>3373</v>
      </c>
      <c r="J2515" s="13" t="str" cm="1">
        <f t="array" ref="J2515">_xlfn.IFS(
  OR(ISBLANK(A2515),ISBLANK(B2515),ISBLANK(H2515),ISBLANK(D2515),ISBLANK(E2515)),"Missing Value",
  D2515&lt;=0,"Review – Out of Range (Coverage)",
  E2515&lt;=0,"Review – Out of Range (Premium)",
  TRUE,"OK"
)</f>
        <v>OK</v>
      </c>
    </row>
    <row r="2516" spans="1:10" ht="16.8" x14ac:dyDescent="0.3">
      <c r="A2516" s="11" t="s">
        <v>6178</v>
      </c>
      <c r="B2516" s="11" t="s">
        <v>488</v>
      </c>
      <c r="C2516" s="11" t="s">
        <v>3377</v>
      </c>
      <c r="D2516" s="11">
        <v>733865.2</v>
      </c>
      <c r="E2516" s="11">
        <v>19487.900000000001</v>
      </c>
      <c r="F2516" s="12">
        <v>45045</v>
      </c>
      <c r="G2516" s="12">
        <v>45591</v>
      </c>
      <c r="H2516" s="11" t="s">
        <v>3497</v>
      </c>
      <c r="I2516" s="11" t="s">
        <v>3365</v>
      </c>
      <c r="J2516" s="13" t="str" cm="1">
        <f t="array" ref="J2516">_xlfn.IFS(
  OR(ISBLANK(A2516),ISBLANK(B2516),ISBLANK(H2516),ISBLANK(D2516),ISBLANK(E2516)),"Missing Value",
  D2516&lt;=0,"Review – Out of Range (Coverage)",
  E2516&lt;=0,"Review – Out of Range (Premium)",
  TRUE,"OK"
)</f>
        <v>OK</v>
      </c>
    </row>
    <row r="2517" spans="1:10" ht="16.8" x14ac:dyDescent="0.3">
      <c r="A2517" s="14" t="s">
        <v>6179</v>
      </c>
      <c r="B2517" s="14" t="s">
        <v>326</v>
      </c>
      <c r="C2517" s="14" t="s">
        <v>3359</v>
      </c>
      <c r="D2517" s="14">
        <v>706101.39</v>
      </c>
      <c r="E2517" s="14">
        <v>35903.68</v>
      </c>
      <c r="F2517" s="15">
        <v>44807</v>
      </c>
      <c r="G2517" s="15">
        <v>45171</v>
      </c>
      <c r="H2517" s="14" t="s">
        <v>4187</v>
      </c>
      <c r="I2517" s="14" t="s">
        <v>3365</v>
      </c>
      <c r="J2517" s="13" t="str" cm="1">
        <f t="array" ref="J2517">_xlfn.IFS(
  OR(ISBLANK(A2517),ISBLANK(B2517),ISBLANK(H2517),ISBLANK(D2517),ISBLANK(E2517)),"Missing Value",
  D2517&lt;=0,"Review – Out of Range (Coverage)",
  E2517&lt;=0,"Review – Out of Range (Premium)",
  TRUE,"OK"
)</f>
        <v>OK</v>
      </c>
    </row>
    <row r="2518" spans="1:10" ht="16.8" x14ac:dyDescent="0.3">
      <c r="A2518" s="11" t="s">
        <v>6180</v>
      </c>
      <c r="B2518" s="11" t="s">
        <v>3017</v>
      </c>
      <c r="C2518" s="11" t="s">
        <v>3371</v>
      </c>
      <c r="D2518" s="11">
        <v>187548.88</v>
      </c>
      <c r="E2518" s="11">
        <v>47975.199999999997</v>
      </c>
      <c r="F2518" s="12">
        <v>45270</v>
      </c>
      <c r="G2518" s="12">
        <v>45666</v>
      </c>
      <c r="H2518" s="11" t="s">
        <v>3395</v>
      </c>
      <c r="I2518" s="11" t="s">
        <v>3373</v>
      </c>
      <c r="J2518" s="13" t="str" cm="1">
        <f t="array" ref="J2518">_xlfn.IFS(
  OR(ISBLANK(A2518),ISBLANK(B2518),ISBLANK(H2518),ISBLANK(D2518),ISBLANK(E2518)),"Missing Value",
  D2518&lt;=0,"Review – Out of Range (Coverage)",
  E2518&lt;=0,"Review – Out of Range (Premium)",
  TRUE,"OK"
)</f>
        <v>OK</v>
      </c>
    </row>
    <row r="2519" spans="1:10" ht="16.8" x14ac:dyDescent="0.3">
      <c r="A2519" s="14" t="s">
        <v>6181</v>
      </c>
      <c r="B2519" s="14" t="s">
        <v>703</v>
      </c>
      <c r="C2519" s="14" t="s">
        <v>3359</v>
      </c>
      <c r="D2519" s="14">
        <v>554134.96</v>
      </c>
      <c r="E2519" s="14">
        <v>4230.92</v>
      </c>
      <c r="F2519" s="15">
        <v>45045</v>
      </c>
      <c r="G2519" s="15">
        <v>45423</v>
      </c>
      <c r="H2519" s="14" t="s">
        <v>3696</v>
      </c>
      <c r="I2519" s="14" t="s">
        <v>3365</v>
      </c>
      <c r="J2519" s="13" t="str" cm="1">
        <f t="array" ref="J2519">_xlfn.IFS(
  OR(ISBLANK(A2519),ISBLANK(B2519),ISBLANK(H2519),ISBLANK(D2519),ISBLANK(E2519)),"Missing Value",
  D2519&lt;=0,"Review – Out of Range (Coverage)",
  E2519&lt;=0,"Review – Out of Range (Premium)",
  TRUE,"OK"
)</f>
        <v>OK</v>
      </c>
    </row>
    <row r="2520" spans="1:10" ht="16.8" x14ac:dyDescent="0.3">
      <c r="A2520" s="11" t="s">
        <v>6182</v>
      </c>
      <c r="B2520" s="11" t="s">
        <v>284</v>
      </c>
      <c r="C2520" s="11" t="s">
        <v>3359</v>
      </c>
      <c r="D2520" s="11">
        <v>436000.38</v>
      </c>
      <c r="E2520" s="11">
        <v>28738.29</v>
      </c>
      <c r="F2520" s="12">
        <v>45239</v>
      </c>
      <c r="G2520" s="12">
        <v>45770</v>
      </c>
      <c r="H2520" s="11" t="s">
        <v>3501</v>
      </c>
      <c r="I2520" s="11" t="s">
        <v>3373</v>
      </c>
      <c r="J2520" s="13" t="str" cm="1">
        <f t="array" ref="J2520">_xlfn.IFS(
  OR(ISBLANK(A2520),ISBLANK(B2520),ISBLANK(H2520),ISBLANK(D2520),ISBLANK(E2520)),"Missing Value",
  D2520&lt;=0,"Review – Out of Range (Coverage)",
  E2520&lt;=0,"Review – Out of Range (Premium)",
  TRUE,"OK"
)</f>
        <v>OK</v>
      </c>
    </row>
    <row r="2521" spans="1:10" ht="16.8" x14ac:dyDescent="0.3">
      <c r="A2521" s="14" t="s">
        <v>6183</v>
      </c>
      <c r="B2521" s="14" t="s">
        <v>1253</v>
      </c>
      <c r="C2521" s="14" t="s">
        <v>3359</v>
      </c>
      <c r="D2521" s="14">
        <v>997339.76</v>
      </c>
      <c r="E2521" s="14">
        <v>33606.25</v>
      </c>
      <c r="F2521" s="15">
        <v>45183</v>
      </c>
      <c r="G2521" s="15">
        <v>45240</v>
      </c>
      <c r="H2521" s="14" t="s">
        <v>3685</v>
      </c>
      <c r="I2521" s="14" t="s">
        <v>3365</v>
      </c>
      <c r="J2521" s="13" t="str" cm="1">
        <f t="array" ref="J2521">_xlfn.IFS(
  OR(ISBLANK(A2521),ISBLANK(B2521),ISBLANK(H2521),ISBLANK(D2521),ISBLANK(E2521)),"Missing Value",
  D2521&lt;=0,"Review – Out of Range (Coverage)",
  E2521&lt;=0,"Review – Out of Range (Premium)",
  TRUE,"OK"
)</f>
        <v>OK</v>
      </c>
    </row>
    <row r="2522" spans="1:10" ht="16.8" x14ac:dyDescent="0.3">
      <c r="A2522" s="11" t="s">
        <v>6184</v>
      </c>
      <c r="B2522" s="11" t="s">
        <v>559</v>
      </c>
      <c r="C2522" s="11" t="s">
        <v>3377</v>
      </c>
      <c r="D2522" s="11">
        <v>413206.59</v>
      </c>
      <c r="E2522" s="11">
        <v>11496.04</v>
      </c>
      <c r="F2522" s="12">
        <v>45056</v>
      </c>
      <c r="G2522" s="12">
        <v>45465</v>
      </c>
      <c r="H2522" s="11" t="s">
        <v>3591</v>
      </c>
      <c r="I2522" s="11" t="s">
        <v>3361</v>
      </c>
      <c r="J2522" s="13" t="str" cm="1">
        <f t="array" ref="J2522">_xlfn.IFS(
  OR(ISBLANK(A2522),ISBLANK(B2522),ISBLANK(H2522),ISBLANK(D2522),ISBLANK(E2522)),"Missing Value",
  D2522&lt;=0,"Review – Out of Range (Coverage)",
  E2522&lt;=0,"Review – Out of Range (Premium)",
  TRUE,"OK"
)</f>
        <v>OK</v>
      </c>
    </row>
    <row r="2523" spans="1:10" ht="16.8" x14ac:dyDescent="0.3">
      <c r="A2523" s="14" t="s">
        <v>6185</v>
      </c>
      <c r="B2523" s="14" t="s">
        <v>591</v>
      </c>
      <c r="C2523" s="14" t="s">
        <v>3377</v>
      </c>
      <c r="D2523" s="14">
        <v>776677.35</v>
      </c>
      <c r="E2523" s="14">
        <v>44345.48</v>
      </c>
      <c r="F2523" s="15">
        <v>45324</v>
      </c>
      <c r="G2523" s="15">
        <v>45378</v>
      </c>
      <c r="H2523" s="14" t="s">
        <v>5164</v>
      </c>
      <c r="I2523" s="14" t="s">
        <v>3361</v>
      </c>
      <c r="J2523" s="13" t="str" cm="1">
        <f t="array" ref="J2523">_xlfn.IFS(
  OR(ISBLANK(A2523),ISBLANK(B2523),ISBLANK(H2523),ISBLANK(D2523),ISBLANK(E2523)),"Missing Value",
  D2523&lt;=0,"Review – Out of Range (Coverage)",
  E2523&lt;=0,"Review – Out of Range (Premium)",
  TRUE,"OK"
)</f>
        <v>OK</v>
      </c>
    </row>
    <row r="2524" spans="1:10" ht="16.8" x14ac:dyDescent="0.3">
      <c r="A2524" s="11" t="s">
        <v>6186</v>
      </c>
      <c r="B2524" s="11" t="s">
        <v>1611</v>
      </c>
      <c r="C2524" s="11" t="s">
        <v>3377</v>
      </c>
      <c r="D2524" s="11">
        <v>161979.6</v>
      </c>
      <c r="E2524" s="11">
        <v>48902.58</v>
      </c>
      <c r="F2524" s="12">
        <v>44859</v>
      </c>
      <c r="G2524" s="12">
        <v>45287</v>
      </c>
      <c r="H2524" s="11" t="s">
        <v>3759</v>
      </c>
      <c r="I2524" s="11" t="s">
        <v>3365</v>
      </c>
      <c r="J2524" s="13" t="str" cm="1">
        <f t="array" ref="J2524">_xlfn.IFS(
  OR(ISBLANK(A2524),ISBLANK(B2524),ISBLANK(H2524),ISBLANK(D2524),ISBLANK(E2524)),"Missing Value",
  D2524&lt;=0,"Review – Out of Range (Coverage)",
  E2524&lt;=0,"Review – Out of Range (Premium)",
  TRUE,"OK"
)</f>
        <v>OK</v>
      </c>
    </row>
    <row r="2525" spans="1:10" ht="16.8" x14ac:dyDescent="0.3">
      <c r="A2525" s="14" t="s">
        <v>6187</v>
      </c>
      <c r="B2525" s="14" t="s">
        <v>885</v>
      </c>
      <c r="C2525" s="14" t="s">
        <v>3380</v>
      </c>
      <c r="D2525" s="14">
        <v>644648.87</v>
      </c>
      <c r="E2525" s="14">
        <v>38349.730000000003</v>
      </c>
      <c r="F2525" s="15">
        <v>45364</v>
      </c>
      <c r="G2525" s="15">
        <v>45516</v>
      </c>
      <c r="H2525" s="14" t="s">
        <v>3813</v>
      </c>
      <c r="I2525" s="14" t="s">
        <v>3361</v>
      </c>
      <c r="J2525" s="13" t="str" cm="1">
        <f t="array" ref="J2525">_xlfn.IFS(
  OR(ISBLANK(A2525),ISBLANK(B2525),ISBLANK(H2525),ISBLANK(D2525),ISBLANK(E2525)),"Missing Value",
  D2525&lt;=0,"Review – Out of Range (Coverage)",
  E2525&lt;=0,"Review – Out of Range (Premium)",
  TRUE,"OK"
)</f>
        <v>OK</v>
      </c>
    </row>
    <row r="2526" spans="1:10" ht="16.8" x14ac:dyDescent="0.3">
      <c r="A2526" s="11" t="s">
        <v>6188</v>
      </c>
      <c r="B2526" s="11" t="s">
        <v>2567</v>
      </c>
      <c r="C2526" s="11" t="s">
        <v>3359</v>
      </c>
      <c r="D2526" s="11">
        <v>373501.71</v>
      </c>
      <c r="E2526" s="11">
        <v>34335.83</v>
      </c>
      <c r="F2526" s="12">
        <v>44078</v>
      </c>
      <c r="G2526" s="12">
        <v>44954</v>
      </c>
      <c r="H2526" s="11" t="s">
        <v>3364</v>
      </c>
      <c r="I2526" s="11" t="s">
        <v>3365</v>
      </c>
      <c r="J2526" s="13" t="str" cm="1">
        <f t="array" ref="J2526">_xlfn.IFS(
  OR(ISBLANK(A2526),ISBLANK(B2526),ISBLANK(H2526),ISBLANK(D2526),ISBLANK(E2526)),"Missing Value",
  D2526&lt;=0,"Review – Out of Range (Coverage)",
  E2526&lt;=0,"Review – Out of Range (Premium)",
  TRUE,"OK"
)</f>
        <v>OK</v>
      </c>
    </row>
    <row r="2527" spans="1:10" ht="16.8" x14ac:dyDescent="0.3">
      <c r="A2527" s="14" t="s">
        <v>6189</v>
      </c>
      <c r="B2527" s="14" t="s">
        <v>92</v>
      </c>
      <c r="C2527" s="14" t="s">
        <v>3359</v>
      </c>
      <c r="D2527" s="14">
        <v>555136.65</v>
      </c>
      <c r="E2527" s="14">
        <v>23863.68</v>
      </c>
      <c r="F2527" s="15">
        <v>44332</v>
      </c>
      <c r="G2527" s="15">
        <v>44819</v>
      </c>
      <c r="H2527" s="14" t="s">
        <v>3675</v>
      </c>
      <c r="I2527" s="14" t="s">
        <v>3373</v>
      </c>
      <c r="J2527" s="13" t="str" cm="1">
        <f t="array" ref="J2527">_xlfn.IFS(
  OR(ISBLANK(A2527),ISBLANK(B2527),ISBLANK(H2527),ISBLANK(D2527),ISBLANK(E2527)),"Missing Value",
  D2527&lt;=0,"Review – Out of Range (Coverage)",
  E2527&lt;=0,"Review – Out of Range (Premium)",
  TRUE,"OK"
)</f>
        <v>OK</v>
      </c>
    </row>
    <row r="2528" spans="1:10" ht="16.8" x14ac:dyDescent="0.3">
      <c r="A2528" s="11" t="s">
        <v>6190</v>
      </c>
      <c r="B2528" s="11" t="s">
        <v>1261</v>
      </c>
      <c r="C2528" s="11" t="s">
        <v>3371</v>
      </c>
      <c r="D2528" s="11">
        <v>902814.67</v>
      </c>
      <c r="E2528" s="11">
        <v>33958.339999999997</v>
      </c>
      <c r="F2528" s="12">
        <v>44905</v>
      </c>
      <c r="G2528" s="12">
        <v>45279</v>
      </c>
      <c r="H2528" s="11" t="s">
        <v>3385</v>
      </c>
      <c r="I2528" s="11" t="s">
        <v>3361</v>
      </c>
      <c r="J2528" s="13" t="str" cm="1">
        <f t="array" ref="J2528">_xlfn.IFS(
  OR(ISBLANK(A2528),ISBLANK(B2528),ISBLANK(H2528),ISBLANK(D2528),ISBLANK(E2528)),"Missing Value",
  D2528&lt;=0,"Review – Out of Range (Coverage)",
  E2528&lt;=0,"Review – Out of Range (Premium)",
  TRUE,"OK"
)</f>
        <v>OK</v>
      </c>
    </row>
    <row r="2529" spans="1:10" ht="16.8" x14ac:dyDescent="0.3">
      <c r="A2529" s="14" t="s">
        <v>6191</v>
      </c>
      <c r="B2529" s="14" t="s">
        <v>765</v>
      </c>
      <c r="C2529" s="14" t="s">
        <v>3359</v>
      </c>
      <c r="D2529" s="14">
        <v>564727.98</v>
      </c>
      <c r="E2529" s="14">
        <v>16876.900000000001</v>
      </c>
      <c r="F2529" s="15">
        <v>45203</v>
      </c>
      <c r="G2529" s="15">
        <v>45656</v>
      </c>
      <c r="H2529" s="14" t="s">
        <v>3413</v>
      </c>
      <c r="I2529" s="14" t="s">
        <v>3365</v>
      </c>
      <c r="J2529" s="13" t="str" cm="1">
        <f t="array" ref="J2529">_xlfn.IFS(
  OR(ISBLANK(A2529),ISBLANK(B2529),ISBLANK(H2529),ISBLANK(D2529),ISBLANK(E2529)),"Missing Value",
  D2529&lt;=0,"Review – Out of Range (Coverage)",
  E2529&lt;=0,"Review – Out of Range (Premium)",
  TRUE,"OK"
)</f>
        <v>OK</v>
      </c>
    </row>
    <row r="2530" spans="1:10" ht="16.8" x14ac:dyDescent="0.3">
      <c r="A2530" s="11" t="s">
        <v>6192</v>
      </c>
      <c r="B2530" s="11" t="s">
        <v>2595</v>
      </c>
      <c r="C2530" s="11" t="s">
        <v>3371</v>
      </c>
      <c r="D2530" s="11">
        <v>631448.31999999995</v>
      </c>
      <c r="E2530" s="11">
        <v>32516.15</v>
      </c>
      <c r="F2530" s="12">
        <v>45484</v>
      </c>
      <c r="G2530" s="12">
        <v>45794</v>
      </c>
      <c r="H2530" s="11" t="s">
        <v>3612</v>
      </c>
      <c r="I2530" s="11" t="s">
        <v>3365</v>
      </c>
      <c r="J2530" s="13" t="str" cm="1">
        <f t="array" ref="J2530">_xlfn.IFS(
  OR(ISBLANK(A2530),ISBLANK(B2530),ISBLANK(H2530),ISBLANK(D2530),ISBLANK(E2530)),"Missing Value",
  D2530&lt;=0,"Review – Out of Range (Coverage)",
  E2530&lt;=0,"Review – Out of Range (Premium)",
  TRUE,"OK"
)</f>
        <v>OK</v>
      </c>
    </row>
    <row r="2531" spans="1:10" ht="16.8" x14ac:dyDescent="0.3">
      <c r="A2531" s="14" t="s">
        <v>6193</v>
      </c>
      <c r="B2531" s="14" t="s">
        <v>2335</v>
      </c>
      <c r="C2531" s="14" t="s">
        <v>3380</v>
      </c>
      <c r="D2531" s="14">
        <v>659990.18000000005</v>
      </c>
      <c r="E2531" s="14">
        <v>10869.94</v>
      </c>
      <c r="F2531" s="15">
        <v>44255</v>
      </c>
      <c r="G2531" s="15">
        <v>44824</v>
      </c>
      <c r="H2531" s="14" t="s">
        <v>3863</v>
      </c>
      <c r="I2531" s="14" t="s">
        <v>3361</v>
      </c>
      <c r="J2531" s="13" t="str" cm="1">
        <f t="array" ref="J2531">_xlfn.IFS(
  OR(ISBLANK(A2531),ISBLANK(B2531),ISBLANK(H2531),ISBLANK(D2531),ISBLANK(E2531)),"Missing Value",
  D2531&lt;=0,"Review – Out of Range (Coverage)",
  E2531&lt;=0,"Review – Out of Range (Premium)",
  TRUE,"OK"
)</f>
        <v>OK</v>
      </c>
    </row>
    <row r="2532" spans="1:10" ht="16.8" x14ac:dyDescent="0.3">
      <c r="A2532" s="11" t="s">
        <v>6194</v>
      </c>
      <c r="B2532" s="11" t="s">
        <v>649</v>
      </c>
      <c r="C2532" s="11" t="s">
        <v>3377</v>
      </c>
      <c r="D2532" s="11">
        <v>310957.57</v>
      </c>
      <c r="E2532" s="11">
        <v>38579.18</v>
      </c>
      <c r="F2532" s="12">
        <v>45229</v>
      </c>
      <c r="G2532" s="12">
        <v>45765</v>
      </c>
      <c r="H2532" s="11" t="s">
        <v>4900</v>
      </c>
      <c r="I2532" s="11" t="s">
        <v>3361</v>
      </c>
      <c r="J2532" s="13" t="str" cm="1">
        <f t="array" ref="J2532">_xlfn.IFS(
  OR(ISBLANK(A2532),ISBLANK(B2532),ISBLANK(H2532),ISBLANK(D2532),ISBLANK(E2532)),"Missing Value",
  D2532&lt;=0,"Review – Out of Range (Coverage)",
  E2532&lt;=0,"Review – Out of Range (Premium)",
  TRUE,"OK"
)</f>
        <v>OK</v>
      </c>
    </row>
    <row r="2533" spans="1:10" ht="16.8" x14ac:dyDescent="0.3">
      <c r="A2533" s="14" t="s">
        <v>6195</v>
      </c>
      <c r="B2533" s="14" t="s">
        <v>110</v>
      </c>
      <c r="C2533" s="14" t="s">
        <v>3377</v>
      </c>
      <c r="D2533" s="14">
        <v>148652.82999999999</v>
      </c>
      <c r="E2533" s="14">
        <v>47427.51</v>
      </c>
      <c r="F2533" s="15">
        <v>45455</v>
      </c>
      <c r="G2533" s="15">
        <v>45605</v>
      </c>
      <c r="H2533" s="14" t="s">
        <v>3581</v>
      </c>
      <c r="I2533" s="14" t="s">
        <v>3365</v>
      </c>
      <c r="J2533" s="13" t="str" cm="1">
        <f t="array" ref="J2533">_xlfn.IFS(
  OR(ISBLANK(A2533),ISBLANK(B2533),ISBLANK(H2533),ISBLANK(D2533),ISBLANK(E2533)),"Missing Value",
  D2533&lt;=0,"Review – Out of Range (Coverage)",
  E2533&lt;=0,"Review – Out of Range (Premium)",
  TRUE,"OK"
)</f>
        <v>OK</v>
      </c>
    </row>
    <row r="2534" spans="1:10" ht="16.8" x14ac:dyDescent="0.3">
      <c r="A2534" s="11" t="s">
        <v>6196</v>
      </c>
      <c r="B2534" s="11" t="s">
        <v>965</v>
      </c>
      <c r="C2534" s="11" t="s">
        <v>3377</v>
      </c>
      <c r="D2534" s="11">
        <v>300435.53999999998</v>
      </c>
      <c r="E2534" s="11">
        <v>8208.5400000000009</v>
      </c>
      <c r="F2534" s="12">
        <v>44387</v>
      </c>
      <c r="G2534" s="12">
        <v>45756</v>
      </c>
      <c r="H2534" s="11" t="s">
        <v>3567</v>
      </c>
      <c r="I2534" s="11" t="s">
        <v>3373</v>
      </c>
      <c r="J2534" s="13" t="str" cm="1">
        <f t="array" ref="J2534">_xlfn.IFS(
  OR(ISBLANK(A2534),ISBLANK(B2534),ISBLANK(H2534),ISBLANK(D2534),ISBLANK(E2534)),"Missing Value",
  D2534&lt;=0,"Review – Out of Range (Coverage)",
  E2534&lt;=0,"Review – Out of Range (Premium)",
  TRUE,"OK"
)</f>
        <v>OK</v>
      </c>
    </row>
    <row r="2535" spans="1:10" ht="16.8" x14ac:dyDescent="0.3">
      <c r="A2535" s="14" t="s">
        <v>6197</v>
      </c>
      <c r="B2535" s="14" t="s">
        <v>1457</v>
      </c>
      <c r="C2535" s="14" t="s">
        <v>3363</v>
      </c>
      <c r="D2535" s="14">
        <v>154835.13</v>
      </c>
      <c r="E2535" s="14">
        <v>28154.959999999999</v>
      </c>
      <c r="F2535" s="15">
        <v>45255</v>
      </c>
      <c r="G2535" s="15">
        <v>45823</v>
      </c>
      <c r="H2535" s="14" t="s">
        <v>3634</v>
      </c>
      <c r="I2535" s="14" t="s">
        <v>3365</v>
      </c>
      <c r="J2535" s="13" t="str" cm="1">
        <f t="array" ref="J2535">_xlfn.IFS(
  OR(ISBLANK(A2535),ISBLANK(B2535),ISBLANK(H2535),ISBLANK(D2535),ISBLANK(E2535)),"Missing Value",
  D2535&lt;=0,"Review – Out of Range (Coverage)",
  E2535&lt;=0,"Review – Out of Range (Premium)",
  TRUE,"OK"
)</f>
        <v>OK</v>
      </c>
    </row>
    <row r="2536" spans="1:10" ht="16.8" x14ac:dyDescent="0.3">
      <c r="A2536" s="11" t="s">
        <v>6198</v>
      </c>
      <c r="B2536" s="11" t="s">
        <v>2907</v>
      </c>
      <c r="C2536" s="11" t="s">
        <v>3377</v>
      </c>
      <c r="D2536" s="11">
        <v>669476.41</v>
      </c>
      <c r="E2536" s="11">
        <v>27919.24</v>
      </c>
      <c r="F2536" s="12">
        <v>45005</v>
      </c>
      <c r="G2536" s="12">
        <v>45689</v>
      </c>
      <c r="H2536" s="11" t="s">
        <v>4098</v>
      </c>
      <c r="I2536" s="11" t="s">
        <v>3361</v>
      </c>
      <c r="J2536" s="13" t="str" cm="1">
        <f t="array" ref="J2536">_xlfn.IFS(
  OR(ISBLANK(A2536),ISBLANK(B2536),ISBLANK(H2536),ISBLANK(D2536),ISBLANK(E2536)),"Missing Value",
  D2536&lt;=0,"Review – Out of Range (Coverage)",
  E2536&lt;=0,"Review – Out of Range (Premium)",
  TRUE,"OK"
)</f>
        <v>OK</v>
      </c>
    </row>
    <row r="2537" spans="1:10" ht="16.8" x14ac:dyDescent="0.3">
      <c r="A2537" s="14" t="s">
        <v>6199</v>
      </c>
      <c r="B2537" s="14" t="s">
        <v>244</v>
      </c>
      <c r="C2537" s="14" t="s">
        <v>3363</v>
      </c>
      <c r="D2537" s="14">
        <v>148198.41</v>
      </c>
      <c r="E2537" s="14">
        <v>5697.79</v>
      </c>
      <c r="F2537" s="15">
        <v>45104</v>
      </c>
      <c r="G2537" s="15">
        <v>45698</v>
      </c>
      <c r="H2537" s="14" t="s">
        <v>3442</v>
      </c>
      <c r="I2537" s="14" t="s">
        <v>3373</v>
      </c>
      <c r="J2537" s="13" t="str" cm="1">
        <f t="array" ref="J2537">_xlfn.IFS(
  OR(ISBLANK(A2537),ISBLANK(B2537),ISBLANK(H2537),ISBLANK(D2537),ISBLANK(E2537)),"Missing Value",
  D2537&lt;=0,"Review – Out of Range (Coverage)",
  E2537&lt;=0,"Review – Out of Range (Premium)",
  TRUE,"OK"
)</f>
        <v>OK</v>
      </c>
    </row>
    <row r="2538" spans="1:10" ht="16.8" x14ac:dyDescent="0.3">
      <c r="A2538" s="11" t="s">
        <v>6200</v>
      </c>
      <c r="B2538" s="11" t="s">
        <v>883</v>
      </c>
      <c r="C2538" s="11" t="s">
        <v>3363</v>
      </c>
      <c r="D2538" s="11">
        <v>106238.85</v>
      </c>
      <c r="E2538" s="11">
        <v>36960.81</v>
      </c>
      <c r="F2538" s="12">
        <v>44927</v>
      </c>
      <c r="G2538" s="12">
        <v>45256</v>
      </c>
      <c r="H2538" s="11" t="s">
        <v>3789</v>
      </c>
      <c r="I2538" s="11" t="s">
        <v>3373</v>
      </c>
      <c r="J2538" s="13" t="str" cm="1">
        <f t="array" ref="J2538">_xlfn.IFS(
  OR(ISBLANK(A2538),ISBLANK(B2538),ISBLANK(H2538),ISBLANK(D2538),ISBLANK(E2538)),"Missing Value",
  D2538&lt;=0,"Review – Out of Range (Coverage)",
  E2538&lt;=0,"Review – Out of Range (Premium)",
  TRUE,"OK"
)</f>
        <v>OK</v>
      </c>
    </row>
    <row r="2539" spans="1:10" ht="16.8" x14ac:dyDescent="0.3">
      <c r="A2539" s="14" t="s">
        <v>6201</v>
      </c>
      <c r="B2539" s="14" t="s">
        <v>2241</v>
      </c>
      <c r="C2539" s="14" t="s">
        <v>3377</v>
      </c>
      <c r="D2539" s="14">
        <v>255558.84</v>
      </c>
      <c r="E2539" s="14">
        <v>49114.76</v>
      </c>
      <c r="F2539" s="15">
        <v>44657</v>
      </c>
      <c r="G2539" s="15">
        <v>45558</v>
      </c>
      <c r="H2539" s="14" t="s">
        <v>4190</v>
      </c>
      <c r="I2539" s="14" t="s">
        <v>3361</v>
      </c>
      <c r="J2539" s="13" t="str" cm="1">
        <f t="array" ref="J2539">_xlfn.IFS(
  OR(ISBLANK(A2539),ISBLANK(B2539),ISBLANK(H2539),ISBLANK(D2539),ISBLANK(E2539)),"Missing Value",
  D2539&lt;=0,"Review – Out of Range (Coverage)",
  E2539&lt;=0,"Review – Out of Range (Premium)",
  TRUE,"OK"
)</f>
        <v>OK</v>
      </c>
    </row>
    <row r="2540" spans="1:10" ht="16.8" x14ac:dyDescent="0.3">
      <c r="A2540" s="11" t="s">
        <v>6202</v>
      </c>
      <c r="B2540" s="11" t="s">
        <v>3198</v>
      </c>
      <c r="C2540" s="11" t="s">
        <v>3380</v>
      </c>
      <c r="D2540" s="11">
        <v>579225.37</v>
      </c>
      <c r="E2540" s="11">
        <v>34032.86</v>
      </c>
      <c r="F2540" s="12">
        <v>45321</v>
      </c>
      <c r="G2540" s="12">
        <v>45713</v>
      </c>
      <c r="H2540" s="11" t="s">
        <v>4671</v>
      </c>
      <c r="I2540" s="11" t="s">
        <v>3361</v>
      </c>
      <c r="J2540" s="13" t="str" cm="1">
        <f t="array" ref="J2540">_xlfn.IFS(
  OR(ISBLANK(A2540),ISBLANK(B2540),ISBLANK(H2540),ISBLANK(D2540),ISBLANK(E2540)),"Missing Value",
  D2540&lt;=0,"Review – Out of Range (Coverage)",
  E2540&lt;=0,"Review – Out of Range (Premium)",
  TRUE,"OK"
)</f>
        <v>OK</v>
      </c>
    </row>
    <row r="2541" spans="1:10" ht="16.8" x14ac:dyDescent="0.3">
      <c r="A2541" s="14" t="s">
        <v>6203</v>
      </c>
      <c r="B2541" s="14" t="s">
        <v>180</v>
      </c>
      <c r="C2541" s="14" t="s">
        <v>3371</v>
      </c>
      <c r="D2541" s="14">
        <v>384075.35</v>
      </c>
      <c r="E2541" s="14">
        <v>26782.25</v>
      </c>
      <c r="F2541" s="15">
        <v>44644</v>
      </c>
      <c r="G2541" s="15">
        <v>45220</v>
      </c>
      <c r="H2541" s="14" t="s">
        <v>4080</v>
      </c>
      <c r="I2541" s="14" t="s">
        <v>3373</v>
      </c>
      <c r="J2541" s="13" t="str" cm="1">
        <f t="array" ref="J2541">_xlfn.IFS(
  OR(ISBLANK(A2541),ISBLANK(B2541),ISBLANK(H2541),ISBLANK(D2541),ISBLANK(E2541)),"Missing Value",
  D2541&lt;=0,"Review – Out of Range (Coverage)",
  E2541&lt;=0,"Review – Out of Range (Premium)",
  TRUE,"OK"
)</f>
        <v>OK</v>
      </c>
    </row>
    <row r="2542" spans="1:10" ht="16.8" x14ac:dyDescent="0.3">
      <c r="A2542" s="11" t="s">
        <v>6204</v>
      </c>
      <c r="B2542" s="11" t="s">
        <v>2777</v>
      </c>
      <c r="C2542" s="11" t="s">
        <v>3359</v>
      </c>
      <c r="D2542" s="11">
        <v>944353.28000000003</v>
      </c>
      <c r="E2542" s="11">
        <v>23193.25</v>
      </c>
      <c r="F2542" s="12">
        <v>44227</v>
      </c>
      <c r="G2542" s="12">
        <v>44411</v>
      </c>
      <c r="H2542" s="11" t="s">
        <v>3429</v>
      </c>
      <c r="I2542" s="11" t="s">
        <v>3373</v>
      </c>
      <c r="J2542" s="13" t="str" cm="1">
        <f t="array" ref="J2542">_xlfn.IFS(
  OR(ISBLANK(A2542),ISBLANK(B2542),ISBLANK(H2542),ISBLANK(D2542),ISBLANK(E2542)),"Missing Value",
  D2542&lt;=0,"Review – Out of Range (Coverage)",
  E2542&lt;=0,"Review – Out of Range (Premium)",
  TRUE,"OK"
)</f>
        <v>OK</v>
      </c>
    </row>
    <row r="2543" spans="1:10" ht="16.8" x14ac:dyDescent="0.3">
      <c r="A2543" s="14" t="s">
        <v>6205</v>
      </c>
      <c r="B2543" s="14" t="s">
        <v>3092</v>
      </c>
      <c r="C2543" s="14" t="s">
        <v>3363</v>
      </c>
      <c r="D2543" s="14">
        <v>951909.52</v>
      </c>
      <c r="E2543" s="14">
        <v>30163.93</v>
      </c>
      <c r="F2543" s="15">
        <v>45099</v>
      </c>
      <c r="G2543" s="15">
        <v>45299</v>
      </c>
      <c r="H2543" s="14" t="s">
        <v>3456</v>
      </c>
      <c r="I2543" s="14" t="s">
        <v>3373</v>
      </c>
      <c r="J2543" s="13" t="str" cm="1">
        <f t="array" ref="J2543">_xlfn.IFS(
  OR(ISBLANK(A2543),ISBLANK(B2543),ISBLANK(H2543),ISBLANK(D2543),ISBLANK(E2543)),"Missing Value",
  D2543&lt;=0,"Review – Out of Range (Coverage)",
  E2543&lt;=0,"Review – Out of Range (Premium)",
  TRUE,"OK"
)</f>
        <v>OK</v>
      </c>
    </row>
    <row r="2544" spans="1:10" ht="16.8" x14ac:dyDescent="0.3">
      <c r="A2544" s="11" t="s">
        <v>6206</v>
      </c>
      <c r="B2544" s="11" t="s">
        <v>903</v>
      </c>
      <c r="C2544" s="11" t="s">
        <v>3380</v>
      </c>
      <c r="D2544" s="11">
        <v>896152.92</v>
      </c>
      <c r="E2544" s="11">
        <v>11935.88</v>
      </c>
      <c r="F2544" s="12">
        <v>44583</v>
      </c>
      <c r="G2544" s="12">
        <v>45844</v>
      </c>
      <c r="H2544" s="11" t="s">
        <v>3968</v>
      </c>
      <c r="I2544" s="11" t="s">
        <v>3361</v>
      </c>
      <c r="J2544" s="13" t="str" cm="1">
        <f t="array" ref="J2544">_xlfn.IFS(
  OR(ISBLANK(A2544),ISBLANK(B2544),ISBLANK(H2544),ISBLANK(D2544),ISBLANK(E2544)),"Missing Value",
  D2544&lt;=0,"Review – Out of Range (Coverage)",
  E2544&lt;=0,"Review – Out of Range (Premium)",
  TRUE,"OK"
)</f>
        <v>OK</v>
      </c>
    </row>
    <row r="2545" spans="1:10" ht="16.8" x14ac:dyDescent="0.3">
      <c r="A2545" s="14" t="s">
        <v>6207</v>
      </c>
      <c r="B2545" s="14" t="s">
        <v>2611</v>
      </c>
      <c r="C2545" s="14" t="s">
        <v>3371</v>
      </c>
      <c r="D2545" s="14">
        <v>554088.42000000004</v>
      </c>
      <c r="E2545" s="14">
        <v>24955.26</v>
      </c>
      <c r="F2545" s="15">
        <v>45393</v>
      </c>
      <c r="G2545" s="15">
        <v>45707</v>
      </c>
      <c r="H2545" s="14" t="s">
        <v>4114</v>
      </c>
      <c r="I2545" s="14" t="s">
        <v>3361</v>
      </c>
      <c r="J2545" s="13" t="str" cm="1">
        <f t="array" ref="J2545">_xlfn.IFS(
  OR(ISBLANK(A2545),ISBLANK(B2545),ISBLANK(H2545),ISBLANK(D2545),ISBLANK(E2545)),"Missing Value",
  D2545&lt;=0,"Review – Out of Range (Coverage)",
  E2545&lt;=0,"Review – Out of Range (Premium)",
  TRUE,"OK"
)</f>
        <v>OK</v>
      </c>
    </row>
    <row r="2546" spans="1:10" ht="16.8" x14ac:dyDescent="0.3">
      <c r="A2546" s="11" t="s">
        <v>6208</v>
      </c>
      <c r="B2546" s="11" t="s">
        <v>2571</v>
      </c>
      <c r="C2546" s="11" t="s">
        <v>3380</v>
      </c>
      <c r="D2546" s="11">
        <v>718397.75</v>
      </c>
      <c r="E2546" s="11">
        <v>14959.78</v>
      </c>
      <c r="F2546" s="12">
        <v>45417</v>
      </c>
      <c r="G2546" s="12">
        <v>45709</v>
      </c>
      <c r="H2546" s="11" t="s">
        <v>3792</v>
      </c>
      <c r="I2546" s="11" t="s">
        <v>3373</v>
      </c>
      <c r="J2546" s="13" t="str" cm="1">
        <f t="array" ref="J2546">_xlfn.IFS(
  OR(ISBLANK(A2546),ISBLANK(B2546),ISBLANK(H2546),ISBLANK(D2546),ISBLANK(E2546)),"Missing Value",
  D2546&lt;=0,"Review – Out of Range (Coverage)",
  E2546&lt;=0,"Review – Out of Range (Premium)",
  TRUE,"OK"
)</f>
        <v>OK</v>
      </c>
    </row>
    <row r="2547" spans="1:10" ht="16.8" x14ac:dyDescent="0.3">
      <c r="A2547" s="14" t="s">
        <v>6209</v>
      </c>
      <c r="B2547" s="14" t="s">
        <v>1409</v>
      </c>
      <c r="C2547" s="14" t="s">
        <v>3371</v>
      </c>
      <c r="D2547" s="14">
        <v>548560.21</v>
      </c>
      <c r="E2547" s="14">
        <v>44151.05</v>
      </c>
      <c r="F2547" s="15">
        <v>44581</v>
      </c>
      <c r="G2547" s="15">
        <v>45356</v>
      </c>
      <c r="H2547" s="14" t="s">
        <v>3634</v>
      </c>
      <c r="I2547" s="14" t="s">
        <v>3365</v>
      </c>
      <c r="J2547" s="13" t="str" cm="1">
        <f t="array" ref="J2547">_xlfn.IFS(
  OR(ISBLANK(A2547),ISBLANK(B2547),ISBLANK(H2547),ISBLANK(D2547),ISBLANK(E2547)),"Missing Value",
  D2547&lt;=0,"Review – Out of Range (Coverage)",
  E2547&lt;=0,"Review – Out of Range (Premium)",
  TRUE,"OK"
)</f>
        <v>OK</v>
      </c>
    </row>
    <row r="2548" spans="1:10" ht="16.8" x14ac:dyDescent="0.3">
      <c r="A2548" s="11" t="s">
        <v>6210</v>
      </c>
      <c r="B2548" s="11" t="s">
        <v>1723</v>
      </c>
      <c r="C2548" s="11" t="s">
        <v>3377</v>
      </c>
      <c r="D2548" s="11">
        <v>635613.64</v>
      </c>
      <c r="E2548" s="11">
        <v>46638.75</v>
      </c>
      <c r="F2548" s="12">
        <v>44899</v>
      </c>
      <c r="G2548" s="12">
        <v>45624</v>
      </c>
      <c r="H2548" s="11" t="s">
        <v>5171</v>
      </c>
      <c r="I2548" s="11" t="s">
        <v>3373</v>
      </c>
      <c r="J2548" s="13" t="str" cm="1">
        <f t="array" ref="J2548">_xlfn.IFS(
  OR(ISBLANK(A2548),ISBLANK(B2548),ISBLANK(H2548),ISBLANK(D2548),ISBLANK(E2548)),"Missing Value",
  D2548&lt;=0,"Review – Out of Range (Coverage)",
  E2548&lt;=0,"Review – Out of Range (Premium)",
  TRUE,"OK"
)</f>
        <v>OK</v>
      </c>
    </row>
    <row r="2549" spans="1:10" ht="16.8" x14ac:dyDescent="0.3">
      <c r="A2549" s="14" t="s">
        <v>6211</v>
      </c>
      <c r="B2549" s="14" t="s">
        <v>2137</v>
      </c>
      <c r="C2549" s="14" t="s">
        <v>3377</v>
      </c>
      <c r="D2549" s="14">
        <v>865856.48</v>
      </c>
      <c r="E2549" s="14">
        <v>27295.77</v>
      </c>
      <c r="F2549" s="15">
        <v>44089</v>
      </c>
      <c r="G2549" s="15">
        <v>44231</v>
      </c>
      <c r="H2549" s="14" t="s">
        <v>3522</v>
      </c>
      <c r="I2549" s="14" t="s">
        <v>3365</v>
      </c>
      <c r="J2549" s="13" t="str" cm="1">
        <f t="array" ref="J2549">_xlfn.IFS(
  OR(ISBLANK(A2549),ISBLANK(B2549),ISBLANK(H2549),ISBLANK(D2549),ISBLANK(E2549)),"Missing Value",
  D2549&lt;=0,"Review – Out of Range (Coverage)",
  E2549&lt;=0,"Review – Out of Range (Premium)",
  TRUE,"OK"
)</f>
        <v>OK</v>
      </c>
    </row>
    <row r="2550" spans="1:10" ht="16.8" x14ac:dyDescent="0.3">
      <c r="A2550" s="11" t="s">
        <v>6212</v>
      </c>
      <c r="B2550" s="11" t="s">
        <v>2515</v>
      </c>
      <c r="C2550" s="11" t="s">
        <v>3371</v>
      </c>
      <c r="D2550" s="11">
        <v>570663.99</v>
      </c>
      <c r="E2550" s="11">
        <v>46622.2</v>
      </c>
      <c r="F2550" s="12">
        <v>44329</v>
      </c>
      <c r="G2550" s="12">
        <v>45398</v>
      </c>
      <c r="H2550" s="11" t="s">
        <v>3449</v>
      </c>
      <c r="I2550" s="11" t="s">
        <v>3361</v>
      </c>
      <c r="J2550" s="13" t="str" cm="1">
        <f t="array" ref="J2550">_xlfn.IFS(
  OR(ISBLANK(A2550),ISBLANK(B2550),ISBLANK(H2550),ISBLANK(D2550),ISBLANK(E2550)),"Missing Value",
  D2550&lt;=0,"Review – Out of Range (Coverage)",
  E2550&lt;=0,"Review – Out of Range (Premium)",
  TRUE,"OK"
)</f>
        <v>OK</v>
      </c>
    </row>
    <row r="2551" spans="1:10" ht="16.8" x14ac:dyDescent="0.3">
      <c r="A2551" s="14" t="s">
        <v>6213</v>
      </c>
      <c r="B2551" s="14" t="s">
        <v>2333</v>
      </c>
      <c r="C2551" s="14" t="s">
        <v>3380</v>
      </c>
      <c r="D2551" s="14">
        <v>412305.68</v>
      </c>
      <c r="E2551" s="14">
        <v>48865.3</v>
      </c>
      <c r="F2551" s="15">
        <v>45340</v>
      </c>
      <c r="G2551" s="15">
        <v>45563</v>
      </c>
      <c r="H2551" s="14" t="s">
        <v>3415</v>
      </c>
      <c r="I2551" s="14" t="s">
        <v>3365</v>
      </c>
      <c r="J2551" s="13" t="str" cm="1">
        <f t="array" ref="J2551">_xlfn.IFS(
  OR(ISBLANK(A2551),ISBLANK(B2551),ISBLANK(H2551),ISBLANK(D2551),ISBLANK(E2551)),"Missing Value",
  D2551&lt;=0,"Review – Out of Range (Coverage)",
  E2551&lt;=0,"Review – Out of Range (Premium)",
  TRUE,"OK"
)</f>
        <v>OK</v>
      </c>
    </row>
    <row r="2552" spans="1:10" ht="16.8" x14ac:dyDescent="0.3">
      <c r="A2552" s="11" t="s">
        <v>6214</v>
      </c>
      <c r="B2552" s="11" t="s">
        <v>2635</v>
      </c>
      <c r="C2552" s="11" t="s">
        <v>3371</v>
      </c>
      <c r="D2552" s="11">
        <v>307024.59999999998</v>
      </c>
      <c r="E2552" s="11">
        <v>36146.620000000003</v>
      </c>
      <c r="F2552" s="12">
        <v>44881</v>
      </c>
      <c r="G2552" s="12">
        <v>45027</v>
      </c>
      <c r="H2552" s="11" t="s">
        <v>3564</v>
      </c>
      <c r="I2552" s="11" t="s">
        <v>3365</v>
      </c>
      <c r="J2552" s="13" t="str" cm="1">
        <f t="array" ref="J2552">_xlfn.IFS(
  OR(ISBLANK(A2552),ISBLANK(B2552),ISBLANK(H2552),ISBLANK(D2552),ISBLANK(E2552)),"Missing Value",
  D2552&lt;=0,"Review – Out of Range (Coverage)",
  E2552&lt;=0,"Review – Out of Range (Premium)",
  TRUE,"OK"
)</f>
        <v>OK</v>
      </c>
    </row>
    <row r="2553" spans="1:10" ht="16.8" x14ac:dyDescent="0.3">
      <c r="A2553" s="14" t="s">
        <v>6215</v>
      </c>
      <c r="B2553" s="14" t="s">
        <v>510</v>
      </c>
      <c r="C2553" s="14" t="s">
        <v>3359</v>
      </c>
      <c r="D2553" s="14">
        <v>638167.37</v>
      </c>
      <c r="E2553" s="14">
        <v>17951.23</v>
      </c>
      <c r="F2553" s="15">
        <v>45220</v>
      </c>
      <c r="G2553" s="15">
        <v>45292</v>
      </c>
      <c r="H2553" s="14" t="s">
        <v>3789</v>
      </c>
      <c r="I2553" s="14" t="s">
        <v>3361</v>
      </c>
      <c r="J2553" s="13" t="str" cm="1">
        <f t="array" ref="J2553">_xlfn.IFS(
  OR(ISBLANK(A2553),ISBLANK(B2553),ISBLANK(H2553),ISBLANK(D2553),ISBLANK(E2553)),"Missing Value",
  D2553&lt;=0,"Review – Out of Range (Coverage)",
  E2553&lt;=0,"Review – Out of Range (Premium)",
  TRUE,"OK"
)</f>
        <v>OK</v>
      </c>
    </row>
    <row r="2554" spans="1:10" ht="16.8" x14ac:dyDescent="0.3">
      <c r="A2554" s="11" t="s">
        <v>6216</v>
      </c>
      <c r="B2554" s="11" t="s">
        <v>3180</v>
      </c>
      <c r="C2554" s="11" t="s">
        <v>3380</v>
      </c>
      <c r="D2554" s="11">
        <v>499627.06</v>
      </c>
      <c r="E2554" s="11">
        <v>12284.19</v>
      </c>
      <c r="F2554" s="12">
        <v>44892</v>
      </c>
      <c r="G2554" s="12">
        <v>45075</v>
      </c>
      <c r="H2554" s="11" t="s">
        <v>3473</v>
      </c>
      <c r="I2554" s="11" t="s">
        <v>3373</v>
      </c>
      <c r="J2554" s="13" t="str" cm="1">
        <f t="array" ref="J2554">_xlfn.IFS(
  OR(ISBLANK(A2554),ISBLANK(B2554),ISBLANK(H2554),ISBLANK(D2554),ISBLANK(E2554)),"Missing Value",
  D2554&lt;=0,"Review – Out of Range (Coverage)",
  E2554&lt;=0,"Review – Out of Range (Premium)",
  TRUE,"OK"
)</f>
        <v>OK</v>
      </c>
    </row>
    <row r="2555" spans="1:10" ht="16.8" x14ac:dyDescent="0.3">
      <c r="A2555" s="14" t="s">
        <v>6217</v>
      </c>
      <c r="B2555" s="14" t="s">
        <v>2167</v>
      </c>
      <c r="C2555" s="14" t="s">
        <v>3377</v>
      </c>
      <c r="D2555" s="14">
        <v>162083.85</v>
      </c>
      <c r="E2555" s="14">
        <v>40167.29</v>
      </c>
      <c r="F2555" s="15">
        <v>44576</v>
      </c>
      <c r="G2555" s="15">
        <v>45449</v>
      </c>
      <c r="H2555" s="14" t="s">
        <v>4623</v>
      </c>
      <c r="I2555" s="14" t="s">
        <v>3373</v>
      </c>
      <c r="J2555" s="13" t="str" cm="1">
        <f t="array" ref="J2555">_xlfn.IFS(
  OR(ISBLANK(A2555),ISBLANK(B2555),ISBLANK(H2555),ISBLANK(D2555),ISBLANK(E2555)),"Missing Value",
  D2555&lt;=0,"Review – Out of Range (Coverage)",
  E2555&lt;=0,"Review – Out of Range (Premium)",
  TRUE,"OK"
)</f>
        <v>OK</v>
      </c>
    </row>
    <row r="2556" spans="1:10" ht="16.8" x14ac:dyDescent="0.3">
      <c r="A2556" s="11" t="s">
        <v>6218</v>
      </c>
      <c r="B2556" s="11" t="s">
        <v>1815</v>
      </c>
      <c r="C2556" s="11" t="s">
        <v>3380</v>
      </c>
      <c r="D2556" s="11">
        <v>160819.9</v>
      </c>
      <c r="E2556" s="11">
        <v>6488.42</v>
      </c>
      <c r="F2556" s="12">
        <v>44348</v>
      </c>
      <c r="G2556" s="12">
        <v>44463</v>
      </c>
      <c r="H2556" s="11" t="s">
        <v>4247</v>
      </c>
      <c r="I2556" s="11" t="s">
        <v>3373</v>
      </c>
      <c r="J2556" s="13" t="str" cm="1">
        <f t="array" ref="J2556">_xlfn.IFS(
  OR(ISBLANK(A2556),ISBLANK(B2556),ISBLANK(H2556),ISBLANK(D2556),ISBLANK(E2556)),"Missing Value",
  D2556&lt;=0,"Review – Out of Range (Coverage)",
  E2556&lt;=0,"Review – Out of Range (Premium)",
  TRUE,"OK"
)</f>
        <v>OK</v>
      </c>
    </row>
    <row r="2557" spans="1:10" ht="16.8" x14ac:dyDescent="0.3">
      <c r="A2557" s="14" t="s">
        <v>6219</v>
      </c>
      <c r="B2557" s="14" t="s">
        <v>2965</v>
      </c>
      <c r="C2557" s="14" t="s">
        <v>3363</v>
      </c>
      <c r="D2557" s="14">
        <v>138890.04999999999</v>
      </c>
      <c r="E2557" s="14">
        <v>29579.88</v>
      </c>
      <c r="F2557" s="15">
        <v>45154</v>
      </c>
      <c r="G2557" s="15">
        <v>45493</v>
      </c>
      <c r="H2557" s="14" t="s">
        <v>3655</v>
      </c>
      <c r="I2557" s="14" t="s">
        <v>3365</v>
      </c>
      <c r="J2557" s="13" t="str" cm="1">
        <f t="array" ref="J2557">_xlfn.IFS(
  OR(ISBLANK(A2557),ISBLANK(B2557),ISBLANK(H2557),ISBLANK(D2557),ISBLANK(E2557)),"Missing Value",
  D2557&lt;=0,"Review – Out of Range (Coverage)",
  E2557&lt;=0,"Review – Out of Range (Premium)",
  TRUE,"OK"
)</f>
        <v>OK</v>
      </c>
    </row>
    <row r="2558" spans="1:10" ht="16.8" x14ac:dyDescent="0.3">
      <c r="A2558" s="11" t="s">
        <v>6220</v>
      </c>
      <c r="B2558" s="11" t="s">
        <v>2447</v>
      </c>
      <c r="C2558" s="11" t="s">
        <v>3363</v>
      </c>
      <c r="D2558" s="11">
        <v>173424.02</v>
      </c>
      <c r="E2558" s="11">
        <v>44909.68</v>
      </c>
      <c r="F2558" s="12">
        <v>44353</v>
      </c>
      <c r="G2558" s="12">
        <v>44837</v>
      </c>
      <c r="H2558" s="11" t="s">
        <v>3632</v>
      </c>
      <c r="I2558" s="11" t="s">
        <v>3365</v>
      </c>
      <c r="J2558" s="13" t="str" cm="1">
        <f t="array" ref="J2558">_xlfn.IFS(
  OR(ISBLANK(A2558),ISBLANK(B2558),ISBLANK(H2558),ISBLANK(D2558),ISBLANK(E2558)),"Missing Value",
  D2558&lt;=0,"Review – Out of Range (Coverage)",
  E2558&lt;=0,"Review – Out of Range (Premium)",
  TRUE,"OK"
)</f>
        <v>OK</v>
      </c>
    </row>
    <row r="2559" spans="1:10" ht="16.8" x14ac:dyDescent="0.3">
      <c r="A2559" s="14" t="s">
        <v>6221</v>
      </c>
      <c r="B2559" s="14" t="s">
        <v>1421</v>
      </c>
      <c r="C2559" s="14" t="s">
        <v>3380</v>
      </c>
      <c r="D2559" s="14">
        <v>613977.71</v>
      </c>
      <c r="E2559" s="14">
        <v>11108.68</v>
      </c>
      <c r="F2559" s="15">
        <v>45202</v>
      </c>
      <c r="G2559" s="15">
        <v>45681</v>
      </c>
      <c r="H2559" s="14" t="s">
        <v>4254</v>
      </c>
      <c r="I2559" s="14" t="s">
        <v>3361</v>
      </c>
      <c r="J2559" s="13" t="str" cm="1">
        <f t="array" ref="J2559">_xlfn.IFS(
  OR(ISBLANK(A2559),ISBLANK(B2559),ISBLANK(H2559),ISBLANK(D2559),ISBLANK(E2559)),"Missing Value",
  D2559&lt;=0,"Review – Out of Range (Coverage)",
  E2559&lt;=0,"Review – Out of Range (Premium)",
  TRUE,"OK"
)</f>
        <v>OK</v>
      </c>
    </row>
    <row r="2560" spans="1:10" ht="16.8" x14ac:dyDescent="0.3">
      <c r="A2560" s="11" t="s">
        <v>6222</v>
      </c>
      <c r="B2560" s="11" t="s">
        <v>2357</v>
      </c>
      <c r="C2560" s="11" t="s">
        <v>3363</v>
      </c>
      <c r="D2560" s="11">
        <v>448361.31</v>
      </c>
      <c r="E2560" s="11">
        <v>24635.35</v>
      </c>
      <c r="F2560" s="12">
        <v>44734</v>
      </c>
      <c r="G2560" s="12">
        <v>44996</v>
      </c>
      <c r="H2560" s="11" t="s">
        <v>4244</v>
      </c>
      <c r="I2560" s="11" t="s">
        <v>3373</v>
      </c>
      <c r="J2560" s="13" t="str" cm="1">
        <f t="array" ref="J2560">_xlfn.IFS(
  OR(ISBLANK(A2560),ISBLANK(B2560),ISBLANK(H2560),ISBLANK(D2560),ISBLANK(E2560)),"Missing Value",
  D2560&lt;=0,"Review – Out of Range (Coverage)",
  E2560&lt;=0,"Review – Out of Range (Premium)",
  TRUE,"OK"
)</f>
        <v>OK</v>
      </c>
    </row>
    <row r="2561" spans="1:10" ht="16.8" x14ac:dyDescent="0.3">
      <c r="A2561" s="14" t="s">
        <v>6223</v>
      </c>
      <c r="B2561" s="14" t="s">
        <v>2907</v>
      </c>
      <c r="C2561" s="14" t="s">
        <v>3377</v>
      </c>
      <c r="D2561" s="14">
        <v>939597.08</v>
      </c>
      <c r="E2561" s="14">
        <v>6239.98</v>
      </c>
      <c r="F2561" s="15">
        <v>44655</v>
      </c>
      <c r="G2561" s="15">
        <v>44862</v>
      </c>
      <c r="H2561" s="14" t="s">
        <v>3626</v>
      </c>
      <c r="I2561" s="14" t="s">
        <v>3373</v>
      </c>
      <c r="J2561" s="13" t="str" cm="1">
        <f t="array" ref="J2561">_xlfn.IFS(
  OR(ISBLANK(A2561),ISBLANK(B2561),ISBLANK(H2561),ISBLANK(D2561),ISBLANK(E2561)),"Missing Value",
  D2561&lt;=0,"Review – Out of Range (Coverage)",
  E2561&lt;=0,"Review – Out of Range (Premium)",
  TRUE,"OK"
)</f>
        <v>OK</v>
      </c>
    </row>
    <row r="2562" spans="1:10" ht="16.8" x14ac:dyDescent="0.3">
      <c r="A2562" s="11" t="s">
        <v>6224</v>
      </c>
      <c r="B2562" s="11" t="s">
        <v>2813</v>
      </c>
      <c r="C2562" s="11" t="s">
        <v>3377</v>
      </c>
      <c r="D2562" s="11">
        <v>198219.23</v>
      </c>
      <c r="E2562" s="11">
        <v>10327.99</v>
      </c>
      <c r="F2562" s="12">
        <v>44235</v>
      </c>
      <c r="G2562" s="12">
        <v>45335</v>
      </c>
      <c r="H2562" s="11" t="s">
        <v>4187</v>
      </c>
      <c r="I2562" s="11" t="s">
        <v>3365</v>
      </c>
      <c r="J2562" s="13" t="str" cm="1">
        <f t="array" ref="J2562">_xlfn.IFS(
  OR(ISBLANK(A2562),ISBLANK(B2562),ISBLANK(H2562),ISBLANK(D2562),ISBLANK(E2562)),"Missing Value",
  D2562&lt;=0,"Review – Out of Range (Coverage)",
  E2562&lt;=0,"Review – Out of Range (Premium)",
  TRUE,"OK"
)</f>
        <v>OK</v>
      </c>
    </row>
    <row r="2563" spans="1:10" ht="16.8" x14ac:dyDescent="0.3">
      <c r="A2563" s="14" t="s">
        <v>6225</v>
      </c>
      <c r="B2563" s="14" t="s">
        <v>232</v>
      </c>
      <c r="C2563" s="14" t="s">
        <v>3377</v>
      </c>
      <c r="D2563" s="14">
        <v>394239.77</v>
      </c>
      <c r="E2563" s="14">
        <v>42061.88</v>
      </c>
      <c r="F2563" s="15">
        <v>45170</v>
      </c>
      <c r="G2563" s="15">
        <v>45833</v>
      </c>
      <c r="H2563" s="14" t="s">
        <v>3429</v>
      </c>
      <c r="I2563" s="14" t="s">
        <v>3373</v>
      </c>
      <c r="J2563" s="13" t="str" cm="1">
        <f t="array" ref="J2563">_xlfn.IFS(
  OR(ISBLANK(A2563),ISBLANK(B2563),ISBLANK(H2563),ISBLANK(D2563),ISBLANK(E2563)),"Missing Value",
  D2563&lt;=0,"Review – Out of Range (Coverage)",
  E2563&lt;=0,"Review – Out of Range (Premium)",
  TRUE,"OK"
)</f>
        <v>OK</v>
      </c>
    </row>
    <row r="2564" spans="1:10" ht="16.8" x14ac:dyDescent="0.3">
      <c r="A2564" s="11" t="s">
        <v>6226</v>
      </c>
      <c r="B2564" s="11" t="s">
        <v>947</v>
      </c>
      <c r="C2564" s="11" t="s">
        <v>3359</v>
      </c>
      <c r="D2564" s="11">
        <v>721320.15</v>
      </c>
      <c r="E2564" s="11">
        <v>3623.88</v>
      </c>
      <c r="F2564" s="12">
        <v>44407</v>
      </c>
      <c r="G2564" s="12">
        <v>45141</v>
      </c>
      <c r="H2564" s="11" t="s">
        <v>3551</v>
      </c>
      <c r="I2564" s="11" t="s">
        <v>3361</v>
      </c>
      <c r="J2564" s="13" t="str" cm="1">
        <f t="array" ref="J2564">_xlfn.IFS(
  OR(ISBLANK(A2564),ISBLANK(B2564),ISBLANK(H2564),ISBLANK(D2564),ISBLANK(E2564)),"Missing Value",
  D2564&lt;=0,"Review – Out of Range (Coverage)",
  E2564&lt;=0,"Review – Out of Range (Premium)",
  TRUE,"OK"
)</f>
        <v>OK</v>
      </c>
    </row>
    <row r="2565" spans="1:10" ht="16.8" x14ac:dyDescent="0.3">
      <c r="A2565" s="14" t="s">
        <v>6227</v>
      </c>
      <c r="B2565" s="14" t="s">
        <v>2543</v>
      </c>
      <c r="C2565" s="14" t="s">
        <v>3359</v>
      </c>
      <c r="D2565" s="14">
        <v>486649.1</v>
      </c>
      <c r="E2565" s="14">
        <v>30697.34</v>
      </c>
      <c r="F2565" s="15">
        <v>44626</v>
      </c>
      <c r="G2565" s="15">
        <v>45683</v>
      </c>
      <c r="H2565" s="14" t="s">
        <v>3503</v>
      </c>
      <c r="I2565" s="14" t="s">
        <v>3365</v>
      </c>
      <c r="J2565" s="13" t="str" cm="1">
        <f t="array" ref="J2565">_xlfn.IFS(
  OR(ISBLANK(A2565),ISBLANK(B2565),ISBLANK(H2565),ISBLANK(D2565),ISBLANK(E2565)),"Missing Value",
  D2565&lt;=0,"Review – Out of Range (Coverage)",
  E2565&lt;=0,"Review – Out of Range (Premium)",
  TRUE,"OK"
)</f>
        <v>OK</v>
      </c>
    </row>
    <row r="2566" spans="1:10" ht="16.8" x14ac:dyDescent="0.3">
      <c r="A2566" s="11" t="s">
        <v>6228</v>
      </c>
      <c r="B2566" s="11" t="s">
        <v>2655</v>
      </c>
      <c r="C2566" s="11" t="s">
        <v>3359</v>
      </c>
      <c r="D2566" s="11">
        <v>508846.05</v>
      </c>
      <c r="E2566" s="11">
        <v>19190.099999999999</v>
      </c>
      <c r="F2566" s="12">
        <v>44897</v>
      </c>
      <c r="G2566" s="12">
        <v>45177</v>
      </c>
      <c r="H2566" s="11" t="s">
        <v>3947</v>
      </c>
      <c r="I2566" s="11" t="s">
        <v>3373</v>
      </c>
      <c r="J2566" s="13" t="str" cm="1">
        <f t="array" ref="J2566">_xlfn.IFS(
  OR(ISBLANK(A2566),ISBLANK(B2566),ISBLANK(H2566),ISBLANK(D2566),ISBLANK(E2566)),"Missing Value",
  D2566&lt;=0,"Review – Out of Range (Coverage)",
  E2566&lt;=0,"Review – Out of Range (Premium)",
  TRUE,"OK"
)</f>
        <v>OK</v>
      </c>
    </row>
    <row r="2567" spans="1:10" ht="16.8" x14ac:dyDescent="0.3">
      <c r="A2567" s="14" t="s">
        <v>6229</v>
      </c>
      <c r="B2567" s="14" t="s">
        <v>2013</v>
      </c>
      <c r="C2567" s="14" t="s">
        <v>3380</v>
      </c>
      <c r="D2567" s="14">
        <v>425594.01</v>
      </c>
      <c r="E2567" s="14">
        <v>35517.769999999997</v>
      </c>
      <c r="F2567" s="15">
        <v>44870</v>
      </c>
      <c r="G2567" s="15">
        <v>45034</v>
      </c>
      <c r="H2567" s="14" t="s">
        <v>4164</v>
      </c>
      <c r="I2567" s="14" t="s">
        <v>3365</v>
      </c>
      <c r="J2567" s="13" t="str" cm="1">
        <f t="array" ref="J2567">_xlfn.IFS(
  OR(ISBLANK(A2567),ISBLANK(B2567),ISBLANK(H2567),ISBLANK(D2567),ISBLANK(E2567)),"Missing Value",
  D2567&lt;=0,"Review – Out of Range (Coverage)",
  E2567&lt;=0,"Review – Out of Range (Premium)",
  TRUE,"OK"
)</f>
        <v>OK</v>
      </c>
    </row>
    <row r="2568" spans="1:10" ht="16.8" x14ac:dyDescent="0.3">
      <c r="A2568" s="11" t="s">
        <v>6230</v>
      </c>
      <c r="B2568" s="11" t="s">
        <v>2861</v>
      </c>
      <c r="C2568" s="11" t="s">
        <v>3377</v>
      </c>
      <c r="D2568" s="11">
        <v>967925.9</v>
      </c>
      <c r="E2568" s="11">
        <v>8522.56</v>
      </c>
      <c r="F2568" s="12">
        <v>45399</v>
      </c>
      <c r="G2568" s="12">
        <v>45767</v>
      </c>
      <c r="H2568" s="11" t="s">
        <v>6231</v>
      </c>
      <c r="I2568" s="11" t="s">
        <v>3373</v>
      </c>
      <c r="J2568" s="13" t="str" cm="1">
        <f t="array" ref="J2568">_xlfn.IFS(
  OR(ISBLANK(A2568),ISBLANK(B2568),ISBLANK(H2568),ISBLANK(D2568),ISBLANK(E2568)),"Missing Value",
  D2568&lt;=0,"Review – Out of Range (Coverage)",
  E2568&lt;=0,"Review – Out of Range (Premium)",
  TRUE,"OK"
)</f>
        <v>OK</v>
      </c>
    </row>
    <row r="2569" spans="1:10" ht="16.8" x14ac:dyDescent="0.3">
      <c r="A2569" s="14" t="s">
        <v>6232</v>
      </c>
      <c r="B2569" s="14" t="s">
        <v>2217</v>
      </c>
      <c r="C2569" s="14" t="s">
        <v>3359</v>
      </c>
      <c r="D2569" s="14">
        <v>419928.03</v>
      </c>
      <c r="E2569" s="14">
        <v>47870.45</v>
      </c>
      <c r="F2569" s="15">
        <v>44866</v>
      </c>
      <c r="G2569" s="15">
        <v>45142</v>
      </c>
      <c r="H2569" s="14" t="s">
        <v>3540</v>
      </c>
      <c r="I2569" s="14" t="s">
        <v>3361</v>
      </c>
      <c r="J2569" s="13" t="str" cm="1">
        <f t="array" ref="J2569">_xlfn.IFS(
  OR(ISBLANK(A2569),ISBLANK(B2569),ISBLANK(H2569),ISBLANK(D2569),ISBLANK(E2569)),"Missing Value",
  D2569&lt;=0,"Review – Out of Range (Coverage)",
  E2569&lt;=0,"Review – Out of Range (Premium)",
  TRUE,"OK"
)</f>
        <v>OK</v>
      </c>
    </row>
    <row r="2570" spans="1:10" ht="16.8" x14ac:dyDescent="0.3">
      <c r="A2570" s="11" t="s">
        <v>6233</v>
      </c>
      <c r="B2570" s="11" t="s">
        <v>3048</v>
      </c>
      <c r="C2570" s="11" t="s">
        <v>3377</v>
      </c>
      <c r="D2570" s="11">
        <v>351958.09</v>
      </c>
      <c r="E2570" s="11">
        <v>35568.58</v>
      </c>
      <c r="F2570" s="12">
        <v>45090</v>
      </c>
      <c r="G2570" s="12">
        <v>45743</v>
      </c>
      <c r="H2570" s="11" t="s">
        <v>3601</v>
      </c>
      <c r="I2570" s="11" t="s">
        <v>3365</v>
      </c>
      <c r="J2570" s="13" t="str" cm="1">
        <f t="array" ref="J2570">_xlfn.IFS(
  OR(ISBLANK(A2570),ISBLANK(B2570),ISBLANK(H2570),ISBLANK(D2570),ISBLANK(E2570)),"Missing Value",
  D2570&lt;=0,"Review – Out of Range (Coverage)",
  E2570&lt;=0,"Review – Out of Range (Premium)",
  TRUE,"OK"
)</f>
        <v>OK</v>
      </c>
    </row>
    <row r="2571" spans="1:10" ht="16.8" x14ac:dyDescent="0.3">
      <c r="A2571" s="14" t="s">
        <v>6234</v>
      </c>
      <c r="B2571" s="14" t="s">
        <v>1693</v>
      </c>
      <c r="C2571" s="14" t="s">
        <v>3371</v>
      </c>
      <c r="D2571" s="14">
        <v>741503.79</v>
      </c>
      <c r="E2571" s="14">
        <v>12441.76</v>
      </c>
      <c r="F2571" s="15">
        <v>44582</v>
      </c>
      <c r="G2571" s="15">
        <v>45553</v>
      </c>
      <c r="H2571" s="14" t="s">
        <v>3507</v>
      </c>
      <c r="I2571" s="14" t="s">
        <v>3373</v>
      </c>
      <c r="J2571" s="13" t="str" cm="1">
        <f t="array" ref="J2571">_xlfn.IFS(
  OR(ISBLANK(A2571),ISBLANK(B2571),ISBLANK(H2571),ISBLANK(D2571),ISBLANK(E2571)),"Missing Value",
  D2571&lt;=0,"Review – Out of Range (Coverage)",
  E2571&lt;=0,"Review – Out of Range (Premium)",
  TRUE,"OK"
)</f>
        <v>OK</v>
      </c>
    </row>
    <row r="2572" spans="1:10" ht="16.8" x14ac:dyDescent="0.3">
      <c r="A2572" s="11" t="s">
        <v>6235</v>
      </c>
      <c r="B2572" s="11" t="s">
        <v>3013</v>
      </c>
      <c r="C2572" s="11" t="s">
        <v>3359</v>
      </c>
      <c r="D2572" s="11">
        <v>169392.25</v>
      </c>
      <c r="E2572" s="11">
        <v>8911.4500000000007</v>
      </c>
      <c r="F2572" s="12">
        <v>44984</v>
      </c>
      <c r="G2572" s="12">
        <v>45262</v>
      </c>
      <c r="H2572" s="11" t="s">
        <v>3827</v>
      </c>
      <c r="I2572" s="11" t="s">
        <v>3365</v>
      </c>
      <c r="J2572" s="13" t="str" cm="1">
        <f t="array" ref="J2572">_xlfn.IFS(
  OR(ISBLANK(A2572),ISBLANK(B2572),ISBLANK(H2572),ISBLANK(D2572),ISBLANK(E2572)),"Missing Value",
  D2572&lt;=0,"Review – Out of Range (Coverage)",
  E2572&lt;=0,"Review – Out of Range (Premium)",
  TRUE,"OK"
)</f>
        <v>OK</v>
      </c>
    </row>
    <row r="2573" spans="1:10" ht="16.8" x14ac:dyDescent="0.3">
      <c r="A2573" s="14" t="s">
        <v>6236</v>
      </c>
      <c r="B2573" s="14" t="s">
        <v>1761</v>
      </c>
      <c r="C2573" s="14" t="s">
        <v>3380</v>
      </c>
      <c r="D2573" s="14">
        <v>834495.44</v>
      </c>
      <c r="E2573" s="14">
        <v>35343.22</v>
      </c>
      <c r="F2573" s="15">
        <v>45447</v>
      </c>
      <c r="G2573" s="15">
        <v>45735</v>
      </c>
      <c r="H2573" s="14" t="s">
        <v>4575</v>
      </c>
      <c r="I2573" s="14" t="s">
        <v>3361</v>
      </c>
      <c r="J2573" s="13" t="str" cm="1">
        <f t="array" ref="J2573">_xlfn.IFS(
  OR(ISBLANK(A2573),ISBLANK(B2573),ISBLANK(H2573),ISBLANK(D2573),ISBLANK(E2573)),"Missing Value",
  D2573&lt;=0,"Review – Out of Range (Coverage)",
  E2573&lt;=0,"Review – Out of Range (Premium)",
  TRUE,"OK"
)</f>
        <v>OK</v>
      </c>
    </row>
    <row r="2574" spans="1:10" ht="16.8" x14ac:dyDescent="0.3">
      <c r="A2574" s="11" t="s">
        <v>6237</v>
      </c>
      <c r="B2574" s="11" t="s">
        <v>3140</v>
      </c>
      <c r="C2574" s="11" t="s">
        <v>3363</v>
      </c>
      <c r="D2574" s="11">
        <v>353866.44</v>
      </c>
      <c r="E2574" s="11">
        <v>42202.17</v>
      </c>
      <c r="F2574" s="12">
        <v>44760</v>
      </c>
      <c r="G2574" s="12">
        <v>45292</v>
      </c>
      <c r="H2574" s="11" t="s">
        <v>3886</v>
      </c>
      <c r="I2574" s="11" t="s">
        <v>3365</v>
      </c>
      <c r="J2574" s="13" t="str" cm="1">
        <f t="array" ref="J2574">_xlfn.IFS(
  OR(ISBLANK(A2574),ISBLANK(B2574),ISBLANK(H2574),ISBLANK(D2574),ISBLANK(E2574)),"Missing Value",
  D2574&lt;=0,"Review – Out of Range (Coverage)",
  E2574&lt;=0,"Review – Out of Range (Premium)",
  TRUE,"OK"
)</f>
        <v>OK</v>
      </c>
    </row>
    <row r="2575" spans="1:10" ht="16.8" x14ac:dyDescent="0.3">
      <c r="A2575" s="14" t="s">
        <v>6238</v>
      </c>
      <c r="B2575" s="14" t="s">
        <v>262</v>
      </c>
      <c r="C2575" s="14" t="s">
        <v>3371</v>
      </c>
      <c r="D2575" s="14">
        <v>740341.47</v>
      </c>
      <c r="E2575" s="14">
        <v>37462.660000000003</v>
      </c>
      <c r="F2575" s="15">
        <v>45271</v>
      </c>
      <c r="G2575" s="15">
        <v>45317</v>
      </c>
      <c r="H2575" s="14" t="s">
        <v>4114</v>
      </c>
      <c r="I2575" s="14" t="s">
        <v>3365</v>
      </c>
      <c r="J2575" s="13" t="str" cm="1">
        <f t="array" ref="J2575">_xlfn.IFS(
  OR(ISBLANK(A2575),ISBLANK(B2575),ISBLANK(H2575),ISBLANK(D2575),ISBLANK(E2575)),"Missing Value",
  D2575&lt;=0,"Review – Out of Range (Coverage)",
  E2575&lt;=0,"Review – Out of Range (Premium)",
  TRUE,"OK"
)</f>
        <v>OK</v>
      </c>
    </row>
    <row r="2576" spans="1:10" ht="16.8" x14ac:dyDescent="0.3">
      <c r="A2576" s="11" t="s">
        <v>6239</v>
      </c>
      <c r="B2576" s="11" t="s">
        <v>2007</v>
      </c>
      <c r="C2576" s="11" t="s">
        <v>3377</v>
      </c>
      <c r="D2576" s="11">
        <v>456037.28</v>
      </c>
      <c r="E2576" s="11">
        <v>6603.67</v>
      </c>
      <c r="F2576" s="12">
        <v>44220</v>
      </c>
      <c r="G2576" s="12">
        <v>44715</v>
      </c>
      <c r="H2576" s="11" t="s">
        <v>4660</v>
      </c>
      <c r="I2576" s="11" t="s">
        <v>3361</v>
      </c>
      <c r="J2576" s="13" t="str" cm="1">
        <f t="array" ref="J2576">_xlfn.IFS(
  OR(ISBLANK(A2576),ISBLANK(B2576),ISBLANK(H2576),ISBLANK(D2576),ISBLANK(E2576)),"Missing Value",
  D2576&lt;=0,"Review – Out of Range (Coverage)",
  E2576&lt;=0,"Review – Out of Range (Premium)",
  TRUE,"OK"
)</f>
        <v>OK</v>
      </c>
    </row>
    <row r="2577" spans="1:10" ht="16.8" x14ac:dyDescent="0.3">
      <c r="A2577" s="14" t="s">
        <v>6240</v>
      </c>
      <c r="B2577" s="14" t="s">
        <v>1845</v>
      </c>
      <c r="C2577" s="14" t="s">
        <v>3363</v>
      </c>
      <c r="D2577" s="14">
        <v>167397.47</v>
      </c>
      <c r="E2577" s="14">
        <v>37617.96</v>
      </c>
      <c r="F2577" s="15">
        <v>45053</v>
      </c>
      <c r="G2577" s="15">
        <v>45108</v>
      </c>
      <c r="H2577" s="14" t="s">
        <v>4114</v>
      </c>
      <c r="I2577" s="14" t="s">
        <v>3373</v>
      </c>
      <c r="J2577" s="13" t="str" cm="1">
        <f t="array" ref="J2577">_xlfn.IFS(
  OR(ISBLANK(A2577),ISBLANK(B2577),ISBLANK(H2577),ISBLANK(D2577),ISBLANK(E2577)),"Missing Value",
  D2577&lt;=0,"Review – Out of Range (Coverage)",
  E2577&lt;=0,"Review – Out of Range (Premium)",
  TRUE,"OK"
)</f>
        <v>OK</v>
      </c>
    </row>
    <row r="2578" spans="1:10" ht="16.8" x14ac:dyDescent="0.3">
      <c r="A2578" s="11" t="s">
        <v>6241</v>
      </c>
      <c r="B2578" s="11" t="s">
        <v>1643</v>
      </c>
      <c r="C2578" s="11" t="s">
        <v>3371</v>
      </c>
      <c r="D2578" s="11">
        <v>306726.96999999997</v>
      </c>
      <c r="E2578" s="11">
        <v>16400.689999999999</v>
      </c>
      <c r="F2578" s="12">
        <v>44519</v>
      </c>
      <c r="G2578" s="12">
        <v>44992</v>
      </c>
      <c r="H2578" s="11" t="s">
        <v>3863</v>
      </c>
      <c r="I2578" s="11" t="s">
        <v>3373</v>
      </c>
      <c r="J2578" s="13" t="str" cm="1">
        <f t="array" ref="J2578">_xlfn.IFS(
  OR(ISBLANK(A2578),ISBLANK(B2578),ISBLANK(H2578),ISBLANK(D2578),ISBLANK(E2578)),"Missing Value",
  D2578&lt;=0,"Review – Out of Range (Coverage)",
  E2578&lt;=0,"Review – Out of Range (Premium)",
  TRUE,"OK"
)</f>
        <v>OK</v>
      </c>
    </row>
    <row r="2579" spans="1:10" ht="16.8" x14ac:dyDescent="0.3">
      <c r="A2579" s="14" t="s">
        <v>6242</v>
      </c>
      <c r="B2579" s="14" t="s">
        <v>2519</v>
      </c>
      <c r="C2579" s="14" t="s">
        <v>3377</v>
      </c>
      <c r="D2579" s="14">
        <v>748714.42</v>
      </c>
      <c r="E2579" s="14">
        <v>12625.32</v>
      </c>
      <c r="F2579" s="15">
        <v>45289</v>
      </c>
      <c r="G2579" s="15">
        <v>45369</v>
      </c>
      <c r="H2579" s="14" t="s">
        <v>3463</v>
      </c>
      <c r="I2579" s="14" t="s">
        <v>3373</v>
      </c>
      <c r="J2579" s="13" t="str" cm="1">
        <f t="array" ref="J2579">_xlfn.IFS(
  OR(ISBLANK(A2579),ISBLANK(B2579),ISBLANK(H2579),ISBLANK(D2579),ISBLANK(E2579)),"Missing Value",
  D2579&lt;=0,"Review – Out of Range (Coverage)",
  E2579&lt;=0,"Review – Out of Range (Premium)",
  TRUE,"OK"
)</f>
        <v>OK</v>
      </c>
    </row>
    <row r="2580" spans="1:10" ht="16.8" x14ac:dyDescent="0.3">
      <c r="A2580" s="11" t="s">
        <v>6243</v>
      </c>
      <c r="B2580" s="11" t="s">
        <v>1953</v>
      </c>
      <c r="C2580" s="11" t="s">
        <v>3377</v>
      </c>
      <c r="D2580" s="11">
        <v>743437.27</v>
      </c>
      <c r="E2580" s="11">
        <v>25559.3</v>
      </c>
      <c r="F2580" s="12">
        <v>45452</v>
      </c>
      <c r="G2580" s="12">
        <v>45517</v>
      </c>
      <c r="H2580" s="11" t="s">
        <v>3486</v>
      </c>
      <c r="I2580" s="11" t="s">
        <v>3361</v>
      </c>
      <c r="J2580" s="13" t="str" cm="1">
        <f t="array" ref="J2580">_xlfn.IFS(
  OR(ISBLANK(A2580),ISBLANK(B2580),ISBLANK(H2580),ISBLANK(D2580),ISBLANK(E2580)),"Missing Value",
  D2580&lt;=0,"Review – Out of Range (Coverage)",
  E2580&lt;=0,"Review – Out of Range (Premium)",
  TRUE,"OK"
)</f>
        <v>OK</v>
      </c>
    </row>
    <row r="2581" spans="1:10" ht="16.8" x14ac:dyDescent="0.3">
      <c r="A2581" s="14" t="s">
        <v>6244</v>
      </c>
      <c r="B2581" s="14" t="s">
        <v>114</v>
      </c>
      <c r="C2581" s="14" t="s">
        <v>3371</v>
      </c>
      <c r="D2581" s="14">
        <v>439923.91</v>
      </c>
      <c r="E2581" s="14">
        <v>46613.06</v>
      </c>
      <c r="F2581" s="15">
        <v>44941</v>
      </c>
      <c r="G2581" s="15">
        <v>45416</v>
      </c>
      <c r="H2581" s="14" t="s">
        <v>3986</v>
      </c>
      <c r="I2581" s="14" t="s">
        <v>3373</v>
      </c>
      <c r="J2581" s="13" t="str" cm="1">
        <f t="array" ref="J2581">_xlfn.IFS(
  OR(ISBLANK(A2581),ISBLANK(B2581),ISBLANK(H2581),ISBLANK(D2581),ISBLANK(E2581)),"Missing Value",
  D2581&lt;=0,"Review – Out of Range (Coverage)",
  E2581&lt;=0,"Review – Out of Range (Premium)",
  TRUE,"OK"
)</f>
        <v>OK</v>
      </c>
    </row>
    <row r="2582" spans="1:10" ht="16.8" x14ac:dyDescent="0.3">
      <c r="A2582" s="11" t="s">
        <v>6245</v>
      </c>
      <c r="B2582" s="11" t="s">
        <v>2103</v>
      </c>
      <c r="C2582" s="11" t="s">
        <v>3371</v>
      </c>
      <c r="D2582" s="11">
        <v>478117.93</v>
      </c>
      <c r="E2582" s="11">
        <v>16692.52</v>
      </c>
      <c r="F2582" s="12">
        <v>45108</v>
      </c>
      <c r="G2582" s="12">
        <v>45250</v>
      </c>
      <c r="H2582" s="11" t="s">
        <v>4045</v>
      </c>
      <c r="I2582" s="11" t="s">
        <v>3361</v>
      </c>
      <c r="J2582" s="13" t="str" cm="1">
        <f t="array" ref="J2582">_xlfn.IFS(
  OR(ISBLANK(A2582),ISBLANK(B2582),ISBLANK(H2582),ISBLANK(D2582),ISBLANK(E2582)),"Missing Value",
  D2582&lt;=0,"Review – Out of Range (Coverage)",
  E2582&lt;=0,"Review – Out of Range (Premium)",
  TRUE,"OK"
)</f>
        <v>OK</v>
      </c>
    </row>
    <row r="2583" spans="1:10" ht="16.8" x14ac:dyDescent="0.3">
      <c r="A2583" s="14" t="s">
        <v>6246</v>
      </c>
      <c r="B2583" s="14" t="s">
        <v>1639</v>
      </c>
      <c r="C2583" s="14" t="s">
        <v>3363</v>
      </c>
      <c r="D2583" s="14">
        <v>179894.58</v>
      </c>
      <c r="E2583" s="14">
        <v>37131.26</v>
      </c>
      <c r="F2583" s="15">
        <v>44695</v>
      </c>
      <c r="G2583" s="15">
        <v>45106</v>
      </c>
      <c r="H2583" s="14" t="s">
        <v>4365</v>
      </c>
      <c r="I2583" s="14" t="s">
        <v>3365</v>
      </c>
      <c r="J2583" s="13" t="str" cm="1">
        <f t="array" ref="J2583">_xlfn.IFS(
  OR(ISBLANK(A2583),ISBLANK(B2583),ISBLANK(H2583),ISBLANK(D2583),ISBLANK(E2583)),"Missing Value",
  D2583&lt;=0,"Review – Out of Range (Coverage)",
  E2583&lt;=0,"Review – Out of Range (Premium)",
  TRUE,"OK"
)</f>
        <v>OK</v>
      </c>
    </row>
    <row r="2584" spans="1:10" ht="16.8" x14ac:dyDescent="0.3">
      <c r="A2584" s="11" t="s">
        <v>6247</v>
      </c>
      <c r="B2584" s="11" t="s">
        <v>3188</v>
      </c>
      <c r="C2584" s="11" t="s">
        <v>3380</v>
      </c>
      <c r="D2584" s="11">
        <v>410308.07</v>
      </c>
      <c r="E2584" s="11">
        <v>4372.54</v>
      </c>
      <c r="F2584" s="12">
        <v>44411</v>
      </c>
      <c r="G2584" s="12">
        <v>44700</v>
      </c>
      <c r="H2584" s="11" t="s">
        <v>3401</v>
      </c>
      <c r="I2584" s="11" t="s">
        <v>3373</v>
      </c>
      <c r="J2584" s="13" t="str" cm="1">
        <f t="array" ref="J2584">_xlfn.IFS(
  OR(ISBLANK(A2584),ISBLANK(B2584),ISBLANK(H2584),ISBLANK(D2584),ISBLANK(E2584)),"Missing Value",
  D2584&lt;=0,"Review – Out of Range (Coverage)",
  E2584&lt;=0,"Review – Out of Range (Premium)",
  TRUE,"OK"
)</f>
        <v>OK</v>
      </c>
    </row>
    <row r="2585" spans="1:10" ht="16.8" x14ac:dyDescent="0.3">
      <c r="A2585" s="14" t="s">
        <v>6248</v>
      </c>
      <c r="B2585" s="14" t="s">
        <v>681</v>
      </c>
      <c r="C2585" s="14" t="s">
        <v>3380</v>
      </c>
      <c r="D2585" s="14">
        <v>125554.69</v>
      </c>
      <c r="E2585" s="14">
        <v>45777.32</v>
      </c>
      <c r="F2585" s="15">
        <v>45337</v>
      </c>
      <c r="G2585" s="15">
        <v>45753</v>
      </c>
      <c r="H2585" s="14" t="s">
        <v>3914</v>
      </c>
      <c r="I2585" s="14" t="s">
        <v>3361</v>
      </c>
      <c r="J2585" s="13" t="str" cm="1">
        <f t="array" ref="J2585">_xlfn.IFS(
  OR(ISBLANK(A2585),ISBLANK(B2585),ISBLANK(H2585),ISBLANK(D2585),ISBLANK(E2585)),"Missing Value",
  D2585&lt;=0,"Review – Out of Range (Coverage)",
  E2585&lt;=0,"Review – Out of Range (Premium)",
  TRUE,"OK"
)</f>
        <v>OK</v>
      </c>
    </row>
    <row r="2586" spans="1:10" ht="16.8" x14ac:dyDescent="0.3">
      <c r="A2586" s="11" t="s">
        <v>6249</v>
      </c>
      <c r="B2586" s="11" t="s">
        <v>2469</v>
      </c>
      <c r="C2586" s="11" t="s">
        <v>3363</v>
      </c>
      <c r="D2586" s="11">
        <v>147213.47</v>
      </c>
      <c r="E2586" s="11">
        <v>41304.04</v>
      </c>
      <c r="F2586" s="12">
        <v>45463</v>
      </c>
      <c r="G2586" s="12">
        <v>45786</v>
      </c>
      <c r="H2586" s="11" t="s">
        <v>4234</v>
      </c>
      <c r="I2586" s="11" t="s">
        <v>3361</v>
      </c>
      <c r="J2586" s="13" t="str" cm="1">
        <f t="array" ref="J2586">_xlfn.IFS(
  OR(ISBLANK(A2586),ISBLANK(B2586),ISBLANK(H2586),ISBLANK(D2586),ISBLANK(E2586)),"Missing Value",
  D2586&lt;=0,"Review – Out of Range (Coverage)",
  E2586&lt;=0,"Review – Out of Range (Premium)",
  TRUE,"OK"
)</f>
        <v>OK</v>
      </c>
    </row>
    <row r="2587" spans="1:10" ht="16.8" x14ac:dyDescent="0.3">
      <c r="A2587" s="14" t="s">
        <v>6250</v>
      </c>
      <c r="B2587" s="14" t="s">
        <v>1681</v>
      </c>
      <c r="C2587" s="14" t="s">
        <v>3371</v>
      </c>
      <c r="D2587" s="14">
        <v>241872.12</v>
      </c>
      <c r="E2587" s="14">
        <v>10968.92</v>
      </c>
      <c r="F2587" s="15">
        <v>44821</v>
      </c>
      <c r="G2587" s="15">
        <v>45159</v>
      </c>
      <c r="H2587" s="14" t="s">
        <v>4295</v>
      </c>
      <c r="I2587" s="14" t="s">
        <v>3373</v>
      </c>
      <c r="J2587" s="13" t="str" cm="1">
        <f t="array" ref="J2587">_xlfn.IFS(
  OR(ISBLANK(A2587),ISBLANK(B2587),ISBLANK(H2587),ISBLANK(D2587),ISBLANK(E2587)),"Missing Value",
  D2587&lt;=0,"Review – Out of Range (Coverage)",
  E2587&lt;=0,"Review – Out of Range (Premium)",
  TRUE,"OK"
)</f>
        <v>OK</v>
      </c>
    </row>
    <row r="2588" spans="1:10" ht="16.8" x14ac:dyDescent="0.3">
      <c r="A2588" s="11" t="s">
        <v>6251</v>
      </c>
      <c r="B2588" s="11" t="s">
        <v>164</v>
      </c>
      <c r="C2588" s="11" t="s">
        <v>3380</v>
      </c>
      <c r="D2588" s="11">
        <v>573938.72</v>
      </c>
      <c r="E2588" s="11">
        <v>44118.87</v>
      </c>
      <c r="F2588" s="12">
        <v>44621</v>
      </c>
      <c r="G2588" s="12">
        <v>45564</v>
      </c>
      <c r="H2588" s="11" t="s">
        <v>4045</v>
      </c>
      <c r="I2588" s="11" t="s">
        <v>3365</v>
      </c>
      <c r="J2588" s="13" t="str" cm="1">
        <f t="array" ref="J2588">_xlfn.IFS(
  OR(ISBLANK(A2588),ISBLANK(B2588),ISBLANK(H2588),ISBLANK(D2588),ISBLANK(E2588)),"Missing Value",
  D2588&lt;=0,"Review – Out of Range (Coverage)",
  E2588&lt;=0,"Review – Out of Range (Premium)",
  TRUE,"OK"
)</f>
        <v>OK</v>
      </c>
    </row>
    <row r="2589" spans="1:10" ht="16.8" x14ac:dyDescent="0.3">
      <c r="A2589" s="14" t="s">
        <v>6252</v>
      </c>
      <c r="B2589" s="14" t="s">
        <v>1633</v>
      </c>
      <c r="C2589" s="14" t="s">
        <v>3363</v>
      </c>
      <c r="D2589" s="14">
        <v>634766.55000000005</v>
      </c>
      <c r="E2589" s="14">
        <v>34623.56</v>
      </c>
      <c r="F2589" s="15">
        <v>44369</v>
      </c>
      <c r="G2589" s="15">
        <v>45748</v>
      </c>
      <c r="H2589" s="14" t="s">
        <v>4365</v>
      </c>
      <c r="I2589" s="14" t="s">
        <v>3373</v>
      </c>
      <c r="J2589" s="13" t="str" cm="1">
        <f t="array" ref="J2589">_xlfn.IFS(
  OR(ISBLANK(A2589),ISBLANK(B2589),ISBLANK(H2589),ISBLANK(D2589),ISBLANK(E2589)),"Missing Value",
  D2589&lt;=0,"Review – Out of Range (Coverage)",
  E2589&lt;=0,"Review – Out of Range (Premium)",
  TRUE,"OK"
)</f>
        <v>OK</v>
      </c>
    </row>
    <row r="2590" spans="1:10" ht="16.8" x14ac:dyDescent="0.3">
      <c r="A2590" s="11" t="s">
        <v>6253</v>
      </c>
      <c r="B2590" s="11" t="s">
        <v>2913</v>
      </c>
      <c r="C2590" s="11" t="s">
        <v>3363</v>
      </c>
      <c r="D2590" s="11">
        <v>505638.8</v>
      </c>
      <c r="E2590" s="11">
        <v>42476.47</v>
      </c>
      <c r="F2590" s="12">
        <v>44976</v>
      </c>
      <c r="G2590" s="12">
        <v>45218</v>
      </c>
      <c r="H2590" s="11" t="s">
        <v>3486</v>
      </c>
      <c r="I2590" s="11" t="s">
        <v>3365</v>
      </c>
      <c r="J2590" s="13" t="str" cm="1">
        <f t="array" ref="J2590">_xlfn.IFS(
  OR(ISBLANK(A2590),ISBLANK(B2590),ISBLANK(H2590),ISBLANK(D2590),ISBLANK(E2590)),"Missing Value",
  D2590&lt;=0,"Review – Out of Range (Coverage)",
  E2590&lt;=0,"Review – Out of Range (Premium)",
  TRUE,"OK"
)</f>
        <v>OK</v>
      </c>
    </row>
    <row r="2591" spans="1:10" ht="16.8" x14ac:dyDescent="0.3">
      <c r="A2591" s="14" t="s">
        <v>6254</v>
      </c>
      <c r="B2591" s="14" t="s">
        <v>1795</v>
      </c>
      <c r="C2591" s="14" t="s">
        <v>3359</v>
      </c>
      <c r="D2591" s="14">
        <v>399399.57</v>
      </c>
      <c r="E2591" s="14">
        <v>38267.879999999997</v>
      </c>
      <c r="F2591" s="15">
        <v>45208</v>
      </c>
      <c r="G2591" s="15">
        <v>45247</v>
      </c>
      <c r="H2591" s="14" t="s">
        <v>3553</v>
      </c>
      <c r="I2591" s="14" t="s">
        <v>3365</v>
      </c>
      <c r="J2591" s="13" t="str" cm="1">
        <f t="array" ref="J2591">_xlfn.IFS(
  OR(ISBLANK(A2591),ISBLANK(B2591),ISBLANK(H2591),ISBLANK(D2591),ISBLANK(E2591)),"Missing Value",
  D2591&lt;=0,"Review – Out of Range (Coverage)",
  E2591&lt;=0,"Review – Out of Range (Premium)",
  TRUE,"OK"
)</f>
        <v>OK</v>
      </c>
    </row>
    <row r="2592" spans="1:10" ht="16.8" x14ac:dyDescent="0.3">
      <c r="A2592" s="11" t="s">
        <v>6255</v>
      </c>
      <c r="B2592" s="11" t="s">
        <v>2619</v>
      </c>
      <c r="C2592" s="11" t="s">
        <v>3359</v>
      </c>
      <c r="D2592" s="11">
        <v>111388.81</v>
      </c>
      <c r="E2592" s="11">
        <v>16994.47</v>
      </c>
      <c r="F2592" s="12">
        <v>45084</v>
      </c>
      <c r="G2592" s="12">
        <v>45096</v>
      </c>
      <c r="H2592" s="11" t="s">
        <v>4003</v>
      </c>
      <c r="I2592" s="11" t="s">
        <v>3365</v>
      </c>
      <c r="J2592" s="13" t="str" cm="1">
        <f t="array" ref="J2592">_xlfn.IFS(
  OR(ISBLANK(A2592),ISBLANK(B2592),ISBLANK(H2592),ISBLANK(D2592),ISBLANK(E2592)),"Missing Value",
  D2592&lt;=0,"Review – Out of Range (Coverage)",
  E2592&lt;=0,"Review – Out of Range (Premium)",
  TRUE,"OK"
)</f>
        <v>OK</v>
      </c>
    </row>
    <row r="2593" spans="1:10" ht="16.8" x14ac:dyDescent="0.3">
      <c r="A2593" s="14" t="s">
        <v>6256</v>
      </c>
      <c r="B2593" s="14" t="s">
        <v>559</v>
      </c>
      <c r="C2593" s="14" t="s">
        <v>3380</v>
      </c>
      <c r="D2593" s="14">
        <v>753910.77</v>
      </c>
      <c r="E2593" s="14">
        <v>5614.58</v>
      </c>
      <c r="F2593" s="15">
        <v>45130</v>
      </c>
      <c r="G2593" s="15">
        <v>45477</v>
      </c>
      <c r="H2593" s="14" t="s">
        <v>4415</v>
      </c>
      <c r="I2593" s="14" t="s">
        <v>3361</v>
      </c>
      <c r="J2593" s="13" t="str" cm="1">
        <f t="array" ref="J2593">_xlfn.IFS(
  OR(ISBLANK(A2593),ISBLANK(B2593),ISBLANK(H2593),ISBLANK(D2593),ISBLANK(E2593)),"Missing Value",
  D2593&lt;=0,"Review – Out of Range (Coverage)",
  E2593&lt;=0,"Review – Out of Range (Premium)",
  TRUE,"OK"
)</f>
        <v>OK</v>
      </c>
    </row>
    <row r="2594" spans="1:10" ht="16.8" x14ac:dyDescent="0.3">
      <c r="A2594" s="11" t="s">
        <v>6257</v>
      </c>
      <c r="B2594" s="11" t="s">
        <v>332</v>
      </c>
      <c r="C2594" s="11" t="s">
        <v>3380</v>
      </c>
      <c r="D2594" s="11">
        <v>524559.49</v>
      </c>
      <c r="E2594" s="11">
        <v>5148.71</v>
      </c>
      <c r="F2594" s="12">
        <v>44946</v>
      </c>
      <c r="G2594" s="12">
        <v>45266</v>
      </c>
      <c r="H2594" s="11" t="s">
        <v>4249</v>
      </c>
      <c r="I2594" s="11" t="s">
        <v>3373</v>
      </c>
      <c r="J2594" s="13" t="str" cm="1">
        <f t="array" ref="J2594">_xlfn.IFS(
  OR(ISBLANK(A2594),ISBLANK(B2594),ISBLANK(H2594),ISBLANK(D2594),ISBLANK(E2594)),"Missing Value",
  D2594&lt;=0,"Review – Out of Range (Coverage)",
  E2594&lt;=0,"Review – Out of Range (Premium)",
  TRUE,"OK"
)</f>
        <v>OK</v>
      </c>
    </row>
    <row r="2595" spans="1:10" ht="16.8" x14ac:dyDescent="0.3">
      <c r="A2595" s="14" t="s">
        <v>6258</v>
      </c>
      <c r="B2595" s="14" t="s">
        <v>99</v>
      </c>
      <c r="C2595" s="14" t="s">
        <v>3380</v>
      </c>
      <c r="D2595" s="14">
        <v>443975.99</v>
      </c>
      <c r="E2595" s="14">
        <v>20480.7</v>
      </c>
      <c r="F2595" s="15">
        <v>45266</v>
      </c>
      <c r="G2595" s="15">
        <v>45355</v>
      </c>
      <c r="H2595" s="14" t="s">
        <v>5488</v>
      </c>
      <c r="I2595" s="14" t="s">
        <v>3365</v>
      </c>
      <c r="J2595" s="13" t="str" cm="1">
        <f t="array" ref="J2595">_xlfn.IFS(
  OR(ISBLANK(A2595),ISBLANK(B2595),ISBLANK(H2595),ISBLANK(D2595),ISBLANK(E2595)),"Missing Value",
  D2595&lt;=0,"Review – Out of Range (Coverage)",
  E2595&lt;=0,"Review – Out of Range (Premium)",
  TRUE,"OK"
)</f>
        <v>OK</v>
      </c>
    </row>
    <row r="2596" spans="1:10" ht="16.8" x14ac:dyDescent="0.3">
      <c r="A2596" s="11" t="s">
        <v>6259</v>
      </c>
      <c r="B2596" s="11" t="s">
        <v>1227</v>
      </c>
      <c r="C2596" s="11" t="s">
        <v>3359</v>
      </c>
      <c r="D2596" s="11">
        <v>829317.84</v>
      </c>
      <c r="E2596" s="11">
        <v>10427.83</v>
      </c>
      <c r="F2596" s="12">
        <v>45382</v>
      </c>
      <c r="G2596" s="12">
        <v>45382</v>
      </c>
      <c r="H2596" s="11" t="s">
        <v>5148</v>
      </c>
      <c r="I2596" s="11" t="s">
        <v>3361</v>
      </c>
      <c r="J2596" s="13" t="str" cm="1">
        <f t="array" ref="J2596">_xlfn.IFS(
  OR(ISBLANK(A2596),ISBLANK(B2596),ISBLANK(H2596),ISBLANK(D2596),ISBLANK(E2596)),"Missing Value",
  D2596&lt;=0,"Review – Out of Range (Coverage)",
  E2596&lt;=0,"Review – Out of Range (Premium)",
  TRUE,"OK"
)</f>
        <v>OK</v>
      </c>
    </row>
    <row r="2597" spans="1:10" ht="16.8" x14ac:dyDescent="0.3">
      <c r="A2597" s="14" t="s">
        <v>6260</v>
      </c>
      <c r="B2597" s="14" t="s">
        <v>376</v>
      </c>
      <c r="C2597" s="14" t="s">
        <v>3377</v>
      </c>
      <c r="D2597" s="14">
        <v>678220.4</v>
      </c>
      <c r="E2597" s="14">
        <v>11686.17</v>
      </c>
      <c r="F2597" s="15">
        <v>45280</v>
      </c>
      <c r="G2597" s="15">
        <v>45747</v>
      </c>
      <c r="H2597" s="14" t="s">
        <v>3440</v>
      </c>
      <c r="I2597" s="14" t="s">
        <v>3361</v>
      </c>
      <c r="J2597" s="13" t="str" cm="1">
        <f t="array" ref="J2597">_xlfn.IFS(
  OR(ISBLANK(A2597),ISBLANK(B2597),ISBLANK(H2597),ISBLANK(D2597),ISBLANK(E2597)),"Missing Value",
  D2597&lt;=0,"Review – Out of Range (Coverage)",
  E2597&lt;=0,"Review – Out of Range (Premium)",
  TRUE,"OK"
)</f>
        <v>OK</v>
      </c>
    </row>
    <row r="2598" spans="1:10" ht="16.8" x14ac:dyDescent="0.3">
      <c r="A2598" s="11" t="s">
        <v>6261</v>
      </c>
      <c r="B2598" s="11" t="s">
        <v>1327</v>
      </c>
      <c r="C2598" s="11" t="s">
        <v>3359</v>
      </c>
      <c r="D2598" s="11">
        <v>969977.83</v>
      </c>
      <c r="E2598" s="11">
        <v>37846.300000000003</v>
      </c>
      <c r="F2598" s="12">
        <v>44935</v>
      </c>
      <c r="G2598" s="12">
        <v>45502</v>
      </c>
      <c r="H2598" s="11" t="s">
        <v>3874</v>
      </c>
      <c r="I2598" s="11" t="s">
        <v>3361</v>
      </c>
      <c r="J2598" s="13" t="str" cm="1">
        <f t="array" ref="J2598">_xlfn.IFS(
  OR(ISBLANK(A2598),ISBLANK(B2598),ISBLANK(H2598),ISBLANK(D2598),ISBLANK(E2598)),"Missing Value",
  D2598&lt;=0,"Review – Out of Range (Coverage)",
  E2598&lt;=0,"Review – Out of Range (Premium)",
  TRUE,"OK"
)</f>
        <v>OK</v>
      </c>
    </row>
    <row r="2599" spans="1:10" ht="16.8" x14ac:dyDescent="0.3">
      <c r="A2599" s="14" t="s">
        <v>6262</v>
      </c>
      <c r="B2599" s="14" t="s">
        <v>1677</v>
      </c>
      <c r="C2599" s="14" t="s">
        <v>3377</v>
      </c>
      <c r="D2599" s="14">
        <v>716865.82</v>
      </c>
      <c r="E2599" s="14">
        <v>6288.73</v>
      </c>
      <c r="F2599" s="15">
        <v>45407</v>
      </c>
      <c r="G2599" s="15">
        <v>45700</v>
      </c>
      <c r="H2599" s="14" t="s">
        <v>3505</v>
      </c>
      <c r="I2599" s="14" t="s">
        <v>3365</v>
      </c>
      <c r="J2599" s="13" t="str" cm="1">
        <f t="array" ref="J2599">_xlfn.IFS(
  OR(ISBLANK(A2599),ISBLANK(B2599),ISBLANK(H2599),ISBLANK(D2599),ISBLANK(E2599)),"Missing Value",
  D2599&lt;=0,"Review – Out of Range (Coverage)",
  E2599&lt;=0,"Review – Out of Range (Premium)",
  TRUE,"OK"
)</f>
        <v>OK</v>
      </c>
    </row>
    <row r="2600" spans="1:10" ht="16.8" x14ac:dyDescent="0.3">
      <c r="A2600" s="11" t="s">
        <v>6263</v>
      </c>
      <c r="B2600" s="11" t="s">
        <v>1795</v>
      </c>
      <c r="C2600" s="11" t="s">
        <v>3359</v>
      </c>
      <c r="D2600" s="11">
        <v>942584.21</v>
      </c>
      <c r="E2600" s="11">
        <v>42368.86</v>
      </c>
      <c r="F2600" s="12">
        <v>45275</v>
      </c>
      <c r="G2600" s="12">
        <v>45644</v>
      </c>
      <c r="H2600" s="11" t="s">
        <v>3438</v>
      </c>
      <c r="I2600" s="11" t="s">
        <v>3361</v>
      </c>
      <c r="J2600" s="13" t="str" cm="1">
        <f t="array" ref="J2600">_xlfn.IFS(
  OR(ISBLANK(A2600),ISBLANK(B2600),ISBLANK(H2600),ISBLANK(D2600),ISBLANK(E2600)),"Missing Value",
  D2600&lt;=0,"Review – Out of Range (Coverage)",
  E2600&lt;=0,"Review – Out of Range (Premium)",
  TRUE,"OK"
)</f>
        <v>OK</v>
      </c>
    </row>
    <row r="2601" spans="1:10" ht="16.8" x14ac:dyDescent="0.3">
      <c r="A2601" s="14" t="s">
        <v>6264</v>
      </c>
      <c r="B2601" s="14" t="s">
        <v>2063</v>
      </c>
      <c r="C2601" s="14" t="s">
        <v>3371</v>
      </c>
      <c r="D2601" s="14">
        <v>478092.05</v>
      </c>
      <c r="E2601" s="14">
        <v>18447.23</v>
      </c>
      <c r="F2601" s="15">
        <v>45429</v>
      </c>
      <c r="G2601" s="15">
        <v>45520</v>
      </c>
      <c r="H2601" s="14" t="s">
        <v>3484</v>
      </c>
      <c r="I2601" s="14" t="s">
        <v>3365</v>
      </c>
      <c r="J2601" s="13" t="str" cm="1">
        <f t="array" ref="J2601">_xlfn.IFS(
  OR(ISBLANK(A2601),ISBLANK(B2601),ISBLANK(H2601),ISBLANK(D2601),ISBLANK(E2601)),"Missing Value",
  D2601&lt;=0,"Review – Out of Range (Coverage)",
  E2601&lt;=0,"Review – Out of Range (Premium)",
  TRUE,"OK"
)</f>
        <v>OK</v>
      </c>
    </row>
    <row r="2602" spans="1:10" ht="16.8" x14ac:dyDescent="0.3">
      <c r="A2602" s="11" t="s">
        <v>6265</v>
      </c>
      <c r="B2602" s="11" t="s">
        <v>2657</v>
      </c>
      <c r="C2602" s="11" t="s">
        <v>3363</v>
      </c>
      <c r="D2602" s="11">
        <v>326511.40999999997</v>
      </c>
      <c r="E2602" s="11">
        <v>25823.66</v>
      </c>
      <c r="F2602" s="12">
        <v>44963</v>
      </c>
      <c r="G2602" s="12">
        <v>45053</v>
      </c>
      <c r="H2602" s="11" t="s">
        <v>3624</v>
      </c>
      <c r="I2602" s="11" t="s">
        <v>3365</v>
      </c>
      <c r="J2602" s="13" t="str" cm="1">
        <f t="array" ref="J2602">_xlfn.IFS(
  OR(ISBLANK(A2602),ISBLANK(B2602),ISBLANK(H2602),ISBLANK(D2602),ISBLANK(E2602)),"Missing Value",
  D2602&lt;=0,"Review – Out of Range (Coverage)",
  E2602&lt;=0,"Review – Out of Range (Premium)",
  TRUE,"OK"
)</f>
        <v>OK</v>
      </c>
    </row>
    <row r="2603" spans="1:10" ht="16.8" x14ac:dyDescent="0.3">
      <c r="A2603" s="14" t="s">
        <v>6266</v>
      </c>
      <c r="B2603" s="14" t="s">
        <v>1295</v>
      </c>
      <c r="C2603" s="14" t="s">
        <v>3371</v>
      </c>
      <c r="D2603" s="14">
        <v>156811.74</v>
      </c>
      <c r="E2603" s="14">
        <v>20679.57</v>
      </c>
      <c r="F2603" s="15">
        <v>45286</v>
      </c>
      <c r="G2603" s="15">
        <v>45459</v>
      </c>
      <c r="H2603" s="14" t="s">
        <v>3622</v>
      </c>
      <c r="I2603" s="14" t="s">
        <v>3361</v>
      </c>
      <c r="J2603" s="13" t="str" cm="1">
        <f t="array" ref="J2603">_xlfn.IFS(
  OR(ISBLANK(A2603),ISBLANK(B2603),ISBLANK(H2603),ISBLANK(D2603),ISBLANK(E2603)),"Missing Value",
  D2603&lt;=0,"Review – Out of Range (Coverage)",
  E2603&lt;=0,"Review – Out of Range (Premium)",
  TRUE,"OK"
)</f>
        <v>OK</v>
      </c>
    </row>
    <row r="2604" spans="1:10" ht="16.8" x14ac:dyDescent="0.3">
      <c r="A2604" s="11" t="s">
        <v>6267</v>
      </c>
      <c r="B2604" s="11" t="s">
        <v>2223</v>
      </c>
      <c r="C2604" s="11" t="s">
        <v>3377</v>
      </c>
      <c r="D2604" s="11">
        <v>206230.04</v>
      </c>
      <c r="E2604" s="11">
        <v>16264.16</v>
      </c>
      <c r="F2604" s="12">
        <v>44638</v>
      </c>
      <c r="G2604" s="12">
        <v>45669</v>
      </c>
      <c r="H2604" s="11" t="s">
        <v>3436</v>
      </c>
      <c r="I2604" s="11" t="s">
        <v>3365</v>
      </c>
      <c r="J2604" s="13" t="str" cm="1">
        <f t="array" ref="J2604">_xlfn.IFS(
  OR(ISBLANK(A2604),ISBLANK(B2604),ISBLANK(H2604),ISBLANK(D2604),ISBLANK(E2604)),"Missing Value",
  D2604&lt;=0,"Review – Out of Range (Coverage)",
  E2604&lt;=0,"Review – Out of Range (Premium)",
  TRUE,"OK"
)</f>
        <v>OK</v>
      </c>
    </row>
    <row r="2605" spans="1:10" ht="16.8" x14ac:dyDescent="0.3">
      <c r="A2605" s="14" t="s">
        <v>6268</v>
      </c>
      <c r="B2605" s="14" t="s">
        <v>1249</v>
      </c>
      <c r="C2605" s="14" t="s">
        <v>3371</v>
      </c>
      <c r="D2605" s="14">
        <v>793309.4</v>
      </c>
      <c r="E2605" s="14">
        <v>44625.4</v>
      </c>
      <c r="F2605" s="15">
        <v>45320</v>
      </c>
      <c r="G2605" s="15">
        <v>45407</v>
      </c>
      <c r="H2605" s="14" t="s">
        <v>3425</v>
      </c>
      <c r="I2605" s="14" t="s">
        <v>3361</v>
      </c>
      <c r="J2605" s="13" t="str" cm="1">
        <f t="array" ref="J2605">_xlfn.IFS(
  OR(ISBLANK(A2605),ISBLANK(B2605),ISBLANK(H2605),ISBLANK(D2605),ISBLANK(E2605)),"Missing Value",
  D2605&lt;=0,"Review – Out of Range (Coverage)",
  E2605&lt;=0,"Review – Out of Range (Premium)",
  TRUE,"OK"
)</f>
        <v>OK</v>
      </c>
    </row>
    <row r="2606" spans="1:10" ht="16.8" x14ac:dyDescent="0.3">
      <c r="A2606" s="11" t="s">
        <v>6269</v>
      </c>
      <c r="B2606" s="11" t="s">
        <v>2459</v>
      </c>
      <c r="C2606" s="11" t="s">
        <v>3377</v>
      </c>
      <c r="D2606" s="11">
        <v>666012.29</v>
      </c>
      <c r="E2606" s="11">
        <v>21041.71</v>
      </c>
      <c r="F2606" s="12">
        <v>44645</v>
      </c>
      <c r="G2606" s="12">
        <v>44843</v>
      </c>
      <c r="H2606" s="11" t="s">
        <v>3467</v>
      </c>
      <c r="I2606" s="11" t="s">
        <v>3373</v>
      </c>
      <c r="J2606" s="13" t="str" cm="1">
        <f t="array" ref="J2606">_xlfn.IFS(
  OR(ISBLANK(A2606),ISBLANK(B2606),ISBLANK(H2606),ISBLANK(D2606),ISBLANK(E2606)),"Missing Value",
  D2606&lt;=0,"Review – Out of Range (Coverage)",
  E2606&lt;=0,"Review – Out of Range (Premium)",
  TRUE,"OK"
)</f>
        <v>OK</v>
      </c>
    </row>
    <row r="2607" spans="1:10" ht="16.8" x14ac:dyDescent="0.3">
      <c r="A2607" s="14" t="s">
        <v>6270</v>
      </c>
      <c r="B2607" s="14" t="s">
        <v>3038</v>
      </c>
      <c r="C2607" s="14" t="s">
        <v>3377</v>
      </c>
      <c r="D2607" s="14">
        <v>236816.49</v>
      </c>
      <c r="E2607" s="14">
        <v>39905.56</v>
      </c>
      <c r="F2607" s="15">
        <v>45369</v>
      </c>
      <c r="G2607" s="15">
        <v>45844</v>
      </c>
      <c r="H2607" s="14" t="s">
        <v>3528</v>
      </c>
      <c r="I2607" s="14" t="s">
        <v>3361</v>
      </c>
      <c r="J2607" s="13" t="str" cm="1">
        <f t="array" ref="J2607">_xlfn.IFS(
  OR(ISBLANK(A2607),ISBLANK(B2607),ISBLANK(H2607),ISBLANK(D2607),ISBLANK(E2607)),"Missing Value",
  D2607&lt;=0,"Review – Out of Range (Coverage)",
  E2607&lt;=0,"Review – Out of Range (Premium)",
  TRUE,"OK"
)</f>
        <v>OK</v>
      </c>
    </row>
    <row r="2608" spans="1:10" ht="16.8" x14ac:dyDescent="0.3">
      <c r="A2608" s="11" t="s">
        <v>6271</v>
      </c>
      <c r="B2608" s="11" t="s">
        <v>545</v>
      </c>
      <c r="C2608" s="11" t="s">
        <v>3377</v>
      </c>
      <c r="D2608" s="11">
        <v>263706.78999999998</v>
      </c>
      <c r="E2608" s="11">
        <v>46542.52</v>
      </c>
      <c r="F2608" s="12">
        <v>45250</v>
      </c>
      <c r="G2608" s="12">
        <v>45459</v>
      </c>
      <c r="H2608" s="11" t="s">
        <v>3534</v>
      </c>
      <c r="I2608" s="11" t="s">
        <v>3365</v>
      </c>
      <c r="J2608" s="13" t="str" cm="1">
        <f t="array" ref="J2608">_xlfn.IFS(
  OR(ISBLANK(A2608),ISBLANK(B2608),ISBLANK(H2608),ISBLANK(D2608),ISBLANK(E2608)),"Missing Value",
  D2608&lt;=0,"Review – Out of Range (Coverage)",
  E2608&lt;=0,"Review – Out of Range (Premium)",
  TRUE,"OK"
)</f>
        <v>OK</v>
      </c>
    </row>
    <row r="2609" spans="1:10" ht="16.8" x14ac:dyDescent="0.3">
      <c r="A2609" s="14" t="s">
        <v>6272</v>
      </c>
      <c r="B2609" s="14" t="s">
        <v>2667</v>
      </c>
      <c r="C2609" s="14" t="s">
        <v>3359</v>
      </c>
      <c r="D2609" s="14">
        <v>897145.81</v>
      </c>
      <c r="E2609" s="14">
        <v>8132.08</v>
      </c>
      <c r="F2609" s="15">
        <v>44403</v>
      </c>
      <c r="G2609" s="15">
        <v>44971</v>
      </c>
      <c r="H2609" s="14" t="s">
        <v>3997</v>
      </c>
      <c r="I2609" s="14" t="s">
        <v>3373</v>
      </c>
      <c r="J2609" s="13" t="str" cm="1">
        <f t="array" ref="J2609">_xlfn.IFS(
  OR(ISBLANK(A2609),ISBLANK(B2609),ISBLANK(H2609),ISBLANK(D2609),ISBLANK(E2609)),"Missing Value",
  D2609&lt;=0,"Review – Out of Range (Coverage)",
  E2609&lt;=0,"Review – Out of Range (Premium)",
  TRUE,"OK"
)</f>
        <v>OK</v>
      </c>
    </row>
    <row r="2610" spans="1:10" ht="16.8" x14ac:dyDescent="0.3">
      <c r="A2610" s="11" t="s">
        <v>6273</v>
      </c>
      <c r="B2610" s="11" t="s">
        <v>2661</v>
      </c>
      <c r="C2610" s="11" t="s">
        <v>3371</v>
      </c>
      <c r="D2610" s="11">
        <v>321655.40000000002</v>
      </c>
      <c r="E2610" s="11">
        <v>16643.810000000001</v>
      </c>
      <c r="F2610" s="12">
        <v>45073</v>
      </c>
      <c r="G2610" s="12">
        <v>45207</v>
      </c>
      <c r="H2610" s="11" t="s">
        <v>4324</v>
      </c>
      <c r="I2610" s="11" t="s">
        <v>3373</v>
      </c>
      <c r="J2610" s="13" t="str" cm="1">
        <f t="array" ref="J2610">_xlfn.IFS(
  OR(ISBLANK(A2610),ISBLANK(B2610),ISBLANK(H2610),ISBLANK(D2610),ISBLANK(E2610)),"Missing Value",
  D2610&lt;=0,"Review – Out of Range (Coverage)",
  E2610&lt;=0,"Review – Out of Range (Premium)",
  TRUE,"OK"
)</f>
        <v>OK</v>
      </c>
    </row>
    <row r="2611" spans="1:10" ht="16.8" x14ac:dyDescent="0.3">
      <c r="A2611" s="14" t="s">
        <v>6274</v>
      </c>
      <c r="B2611" s="14" t="s">
        <v>1183</v>
      </c>
      <c r="C2611" s="14" t="s">
        <v>3359</v>
      </c>
      <c r="D2611" s="14">
        <v>264406.71999999997</v>
      </c>
      <c r="E2611" s="14">
        <v>22080.57</v>
      </c>
      <c r="F2611" s="15">
        <v>45006</v>
      </c>
      <c r="G2611" s="15">
        <v>45494</v>
      </c>
      <c r="H2611" s="14" t="s">
        <v>3614</v>
      </c>
      <c r="I2611" s="14" t="s">
        <v>3365</v>
      </c>
      <c r="J2611" s="13" t="str" cm="1">
        <f t="array" ref="J2611">_xlfn.IFS(
  OR(ISBLANK(A2611),ISBLANK(B2611),ISBLANK(H2611),ISBLANK(D2611),ISBLANK(E2611)),"Missing Value",
  D2611&lt;=0,"Review – Out of Range (Coverage)",
  E2611&lt;=0,"Review – Out of Range (Premium)",
  TRUE,"OK"
)</f>
        <v>OK</v>
      </c>
    </row>
    <row r="2612" spans="1:10" ht="16.8" x14ac:dyDescent="0.3">
      <c r="A2612" s="11" t="s">
        <v>6275</v>
      </c>
      <c r="B2612" s="11" t="s">
        <v>1555</v>
      </c>
      <c r="C2612" s="11" t="s">
        <v>3359</v>
      </c>
      <c r="D2612" s="11">
        <v>593617.32999999996</v>
      </c>
      <c r="E2612" s="11">
        <v>48261.88</v>
      </c>
      <c r="F2612" s="12">
        <v>44042</v>
      </c>
      <c r="G2612" s="12">
        <v>45566</v>
      </c>
      <c r="H2612" s="11" t="s">
        <v>3964</v>
      </c>
      <c r="I2612" s="11" t="s">
        <v>3361</v>
      </c>
      <c r="J2612" s="13" t="str" cm="1">
        <f t="array" ref="J2612">_xlfn.IFS(
  OR(ISBLANK(A2612),ISBLANK(B2612),ISBLANK(H2612),ISBLANK(D2612),ISBLANK(E2612)),"Missing Value",
  D2612&lt;=0,"Review – Out of Range (Coverage)",
  E2612&lt;=0,"Review – Out of Range (Premium)",
  TRUE,"OK"
)</f>
        <v>OK</v>
      </c>
    </row>
    <row r="2613" spans="1:10" ht="16.8" x14ac:dyDescent="0.3">
      <c r="A2613" s="14" t="s">
        <v>6276</v>
      </c>
      <c r="B2613" s="14" t="s">
        <v>1331</v>
      </c>
      <c r="C2613" s="14" t="s">
        <v>3380</v>
      </c>
      <c r="D2613" s="14">
        <v>223318.86</v>
      </c>
      <c r="E2613" s="14">
        <v>26389.74</v>
      </c>
      <c r="F2613" s="15">
        <v>45010</v>
      </c>
      <c r="G2613" s="15">
        <v>45205</v>
      </c>
      <c r="H2613" s="14" t="s">
        <v>3886</v>
      </c>
      <c r="I2613" s="14" t="s">
        <v>3365</v>
      </c>
      <c r="J2613" s="13" t="str" cm="1">
        <f t="array" ref="J2613">_xlfn.IFS(
  OR(ISBLANK(A2613),ISBLANK(B2613),ISBLANK(H2613),ISBLANK(D2613),ISBLANK(E2613)),"Missing Value",
  D2613&lt;=0,"Review – Out of Range (Coverage)",
  E2613&lt;=0,"Review – Out of Range (Premium)",
  TRUE,"OK"
)</f>
        <v>OK</v>
      </c>
    </row>
    <row r="2614" spans="1:10" ht="16.8" x14ac:dyDescent="0.3">
      <c r="A2614" s="11" t="s">
        <v>6277</v>
      </c>
      <c r="B2614" s="11" t="s">
        <v>2887</v>
      </c>
      <c r="C2614" s="11" t="s">
        <v>3363</v>
      </c>
      <c r="D2614" s="11">
        <v>511832.17</v>
      </c>
      <c r="E2614" s="11">
        <v>21771.14</v>
      </c>
      <c r="F2614" s="12">
        <v>44599</v>
      </c>
      <c r="G2614" s="12">
        <v>45754</v>
      </c>
      <c r="H2614" s="11" t="s">
        <v>3584</v>
      </c>
      <c r="I2614" s="11" t="s">
        <v>3365</v>
      </c>
      <c r="J2614" s="13" t="str" cm="1">
        <f t="array" ref="J2614">_xlfn.IFS(
  OR(ISBLANK(A2614),ISBLANK(B2614),ISBLANK(H2614),ISBLANK(D2614),ISBLANK(E2614)),"Missing Value",
  D2614&lt;=0,"Review – Out of Range (Coverage)",
  E2614&lt;=0,"Review – Out of Range (Premium)",
  TRUE,"OK"
)</f>
        <v>OK</v>
      </c>
    </row>
    <row r="2615" spans="1:10" ht="16.8" x14ac:dyDescent="0.3">
      <c r="A2615" s="14" t="s">
        <v>6278</v>
      </c>
      <c r="B2615" s="14" t="s">
        <v>2851</v>
      </c>
      <c r="C2615" s="14" t="s">
        <v>3359</v>
      </c>
      <c r="D2615" s="14">
        <v>728996.55</v>
      </c>
      <c r="E2615" s="14">
        <v>20771.919999999998</v>
      </c>
      <c r="F2615" s="15">
        <v>45378</v>
      </c>
      <c r="G2615" s="15">
        <v>45767</v>
      </c>
      <c r="H2615" s="14" t="s">
        <v>3405</v>
      </c>
      <c r="I2615" s="14" t="s">
        <v>3373</v>
      </c>
      <c r="J2615" s="13" t="str" cm="1">
        <f t="array" ref="J2615">_xlfn.IFS(
  OR(ISBLANK(A2615),ISBLANK(B2615),ISBLANK(H2615),ISBLANK(D2615),ISBLANK(E2615)),"Missing Value",
  D2615&lt;=0,"Review – Out of Range (Coverage)",
  E2615&lt;=0,"Review – Out of Range (Premium)",
  TRUE,"OK"
)</f>
        <v>OK</v>
      </c>
    </row>
    <row r="2616" spans="1:10" ht="16.8" x14ac:dyDescent="0.3">
      <c r="A2616" s="11" t="s">
        <v>6279</v>
      </c>
      <c r="B2616" s="11" t="s">
        <v>2853</v>
      </c>
      <c r="C2616" s="11" t="s">
        <v>3377</v>
      </c>
      <c r="D2616" s="11">
        <v>227765.08</v>
      </c>
      <c r="E2616" s="11">
        <v>28331.06</v>
      </c>
      <c r="F2616" s="12">
        <v>45389</v>
      </c>
      <c r="G2616" s="12">
        <v>45784</v>
      </c>
      <c r="H2616" s="11" t="s">
        <v>4575</v>
      </c>
      <c r="I2616" s="11" t="s">
        <v>3361</v>
      </c>
      <c r="J2616" s="13" t="str" cm="1">
        <f t="array" ref="J2616">_xlfn.IFS(
  OR(ISBLANK(A2616),ISBLANK(B2616),ISBLANK(H2616),ISBLANK(D2616),ISBLANK(E2616)),"Missing Value",
  D2616&lt;=0,"Review – Out of Range (Coverage)",
  E2616&lt;=0,"Review – Out of Range (Premium)",
  TRUE,"OK"
)</f>
        <v>OK</v>
      </c>
    </row>
    <row r="2617" spans="1:10" ht="16.8" x14ac:dyDescent="0.3">
      <c r="A2617" s="14" t="s">
        <v>6280</v>
      </c>
      <c r="B2617" s="14" t="s">
        <v>605</v>
      </c>
      <c r="C2617" s="14" t="s">
        <v>3377</v>
      </c>
      <c r="D2617" s="14">
        <v>748872.59</v>
      </c>
      <c r="E2617" s="14">
        <v>31452.75</v>
      </c>
      <c r="F2617" s="15">
        <v>44415</v>
      </c>
      <c r="G2617" s="15">
        <v>45407</v>
      </c>
      <c r="H2617" s="14" t="s">
        <v>3427</v>
      </c>
      <c r="I2617" s="14" t="s">
        <v>3365</v>
      </c>
      <c r="J2617" s="13" t="str" cm="1">
        <f t="array" ref="J2617">_xlfn.IFS(
  OR(ISBLANK(A2617),ISBLANK(B2617),ISBLANK(H2617),ISBLANK(D2617),ISBLANK(E2617)),"Missing Value",
  D2617&lt;=0,"Review – Out of Range (Coverage)",
  E2617&lt;=0,"Review – Out of Range (Premium)",
  TRUE,"OK"
)</f>
        <v>OK</v>
      </c>
    </row>
    <row r="2618" spans="1:10" ht="16.8" x14ac:dyDescent="0.3">
      <c r="A2618" s="11" t="s">
        <v>6281</v>
      </c>
      <c r="B2618" s="11" t="s">
        <v>2531</v>
      </c>
      <c r="C2618" s="11" t="s">
        <v>3359</v>
      </c>
      <c r="D2618" s="11">
        <v>709083.87</v>
      </c>
      <c r="E2618" s="11">
        <v>35839.360000000001</v>
      </c>
      <c r="F2618" s="12">
        <v>45090</v>
      </c>
      <c r="G2618" s="12">
        <v>45129</v>
      </c>
      <c r="H2618" s="11" t="s">
        <v>3660</v>
      </c>
      <c r="I2618" s="11" t="s">
        <v>3361</v>
      </c>
      <c r="J2618" s="13" t="str" cm="1">
        <f t="array" ref="J2618">_xlfn.IFS(
  OR(ISBLANK(A2618),ISBLANK(B2618),ISBLANK(H2618),ISBLANK(D2618),ISBLANK(E2618)),"Missing Value",
  D2618&lt;=0,"Review – Out of Range (Coverage)",
  E2618&lt;=0,"Review – Out of Range (Premium)",
  TRUE,"OK"
)</f>
        <v>OK</v>
      </c>
    </row>
    <row r="2619" spans="1:10" ht="16.8" x14ac:dyDescent="0.3">
      <c r="A2619" s="14" t="s">
        <v>6282</v>
      </c>
      <c r="B2619" s="14" t="s">
        <v>943</v>
      </c>
      <c r="C2619" s="14" t="s">
        <v>3380</v>
      </c>
      <c r="D2619" s="14">
        <v>500664.18</v>
      </c>
      <c r="E2619" s="14">
        <v>4829.88</v>
      </c>
      <c r="F2619" s="15">
        <v>44111</v>
      </c>
      <c r="G2619" s="15">
        <v>45498</v>
      </c>
      <c r="H2619" s="14" t="s">
        <v>4170</v>
      </c>
      <c r="I2619" s="14" t="s">
        <v>3365</v>
      </c>
      <c r="J2619" s="13" t="str" cm="1">
        <f t="array" ref="J2619">_xlfn.IFS(
  OR(ISBLANK(A2619),ISBLANK(B2619),ISBLANK(H2619),ISBLANK(D2619),ISBLANK(E2619)),"Missing Value",
  D2619&lt;=0,"Review – Out of Range (Coverage)",
  E2619&lt;=0,"Review – Out of Range (Premium)",
  TRUE,"OK"
)</f>
        <v>OK</v>
      </c>
    </row>
    <row r="2620" spans="1:10" ht="16.8" x14ac:dyDescent="0.3">
      <c r="A2620" s="11" t="s">
        <v>6283</v>
      </c>
      <c r="B2620" s="11" t="s">
        <v>775</v>
      </c>
      <c r="C2620" s="11" t="s">
        <v>3371</v>
      </c>
      <c r="D2620" s="11">
        <v>719824.12</v>
      </c>
      <c r="E2620" s="11">
        <v>41624</v>
      </c>
      <c r="F2620" s="12">
        <v>45390</v>
      </c>
      <c r="G2620" s="12">
        <v>45639</v>
      </c>
      <c r="H2620" s="11" t="s">
        <v>3626</v>
      </c>
      <c r="I2620" s="11" t="s">
        <v>3365</v>
      </c>
      <c r="J2620" s="13" t="str" cm="1">
        <f t="array" ref="J2620">_xlfn.IFS(
  OR(ISBLANK(A2620),ISBLANK(B2620),ISBLANK(H2620),ISBLANK(D2620),ISBLANK(E2620)),"Missing Value",
  D2620&lt;=0,"Review – Out of Range (Coverage)",
  E2620&lt;=0,"Review – Out of Range (Premium)",
  TRUE,"OK"
)</f>
        <v>OK</v>
      </c>
    </row>
    <row r="2621" spans="1:10" ht="16.8" x14ac:dyDescent="0.3">
      <c r="A2621" s="14" t="s">
        <v>6284</v>
      </c>
      <c r="B2621" s="14" t="s">
        <v>2479</v>
      </c>
      <c r="C2621" s="14" t="s">
        <v>3359</v>
      </c>
      <c r="D2621" s="14">
        <v>689167.19</v>
      </c>
      <c r="E2621" s="14">
        <v>11639.64</v>
      </c>
      <c r="F2621" s="15">
        <v>45476</v>
      </c>
      <c r="G2621" s="15">
        <v>45495</v>
      </c>
      <c r="H2621" s="14" t="s">
        <v>3709</v>
      </c>
      <c r="I2621" s="14" t="s">
        <v>3361</v>
      </c>
      <c r="J2621" s="13" t="str" cm="1">
        <f t="array" ref="J2621">_xlfn.IFS(
  OR(ISBLANK(A2621),ISBLANK(B2621),ISBLANK(H2621),ISBLANK(D2621),ISBLANK(E2621)),"Missing Value",
  D2621&lt;=0,"Review – Out of Range (Coverage)",
  E2621&lt;=0,"Review – Out of Range (Premium)",
  TRUE,"OK"
)</f>
        <v>OK</v>
      </c>
    </row>
    <row r="2622" spans="1:10" ht="16.8" x14ac:dyDescent="0.3">
      <c r="A2622" s="11" t="s">
        <v>6285</v>
      </c>
      <c r="B2622" s="11" t="s">
        <v>1981</v>
      </c>
      <c r="C2622" s="11" t="s">
        <v>3359</v>
      </c>
      <c r="D2622" s="11">
        <v>604878.26</v>
      </c>
      <c r="E2622" s="11">
        <v>49451.51</v>
      </c>
      <c r="F2622" s="12">
        <v>44881</v>
      </c>
      <c r="G2622" s="12">
        <v>45641</v>
      </c>
      <c r="H2622" s="11" t="s">
        <v>4208</v>
      </c>
      <c r="I2622" s="11" t="s">
        <v>3361</v>
      </c>
      <c r="J2622" s="13" t="str" cm="1">
        <f t="array" ref="J2622">_xlfn.IFS(
  OR(ISBLANK(A2622),ISBLANK(B2622),ISBLANK(H2622),ISBLANK(D2622),ISBLANK(E2622)),"Missing Value",
  D2622&lt;=0,"Review – Out of Range (Coverage)",
  E2622&lt;=0,"Review – Out of Range (Premium)",
  TRUE,"OK"
)</f>
        <v>OK</v>
      </c>
    </row>
    <row r="2623" spans="1:10" ht="16.8" x14ac:dyDescent="0.3">
      <c r="A2623" s="14" t="s">
        <v>6286</v>
      </c>
      <c r="B2623" s="14" t="s">
        <v>3206</v>
      </c>
      <c r="C2623" s="14" t="s">
        <v>3359</v>
      </c>
      <c r="D2623" s="14">
        <v>385023.91</v>
      </c>
      <c r="E2623" s="14">
        <v>15937.55</v>
      </c>
      <c r="F2623" s="15">
        <v>44195</v>
      </c>
      <c r="G2623" s="15">
        <v>44511</v>
      </c>
      <c r="H2623" s="14" t="s">
        <v>3638</v>
      </c>
      <c r="I2623" s="14" t="s">
        <v>3365</v>
      </c>
      <c r="J2623" s="13" t="str" cm="1">
        <f t="array" ref="J2623">_xlfn.IFS(
  OR(ISBLANK(A2623),ISBLANK(B2623),ISBLANK(H2623),ISBLANK(D2623),ISBLANK(E2623)),"Missing Value",
  D2623&lt;=0,"Review – Out of Range (Coverage)",
  E2623&lt;=0,"Review – Out of Range (Premium)",
  TRUE,"OK"
)</f>
        <v>OK</v>
      </c>
    </row>
    <row r="2624" spans="1:10" ht="16.8" x14ac:dyDescent="0.3">
      <c r="A2624" s="11" t="s">
        <v>6287</v>
      </c>
      <c r="B2624" s="11" t="s">
        <v>2653</v>
      </c>
      <c r="C2624" s="11" t="s">
        <v>3380</v>
      </c>
      <c r="D2624" s="11">
        <v>395601.02</v>
      </c>
      <c r="E2624" s="11">
        <v>29618.17</v>
      </c>
      <c r="F2624" s="12">
        <v>44231</v>
      </c>
      <c r="G2624" s="12">
        <v>44655</v>
      </c>
      <c r="H2624" s="11" t="s">
        <v>4187</v>
      </c>
      <c r="I2624" s="11" t="s">
        <v>3361</v>
      </c>
      <c r="J2624" s="13" t="str" cm="1">
        <f t="array" ref="J2624">_xlfn.IFS(
  OR(ISBLANK(A2624),ISBLANK(B2624),ISBLANK(H2624),ISBLANK(D2624),ISBLANK(E2624)),"Missing Value",
  D2624&lt;=0,"Review – Out of Range (Coverage)",
  E2624&lt;=0,"Review – Out of Range (Premium)",
  TRUE,"OK"
)</f>
        <v>OK</v>
      </c>
    </row>
    <row r="2625" spans="1:10" ht="16.8" x14ac:dyDescent="0.3">
      <c r="A2625" s="14" t="s">
        <v>6288</v>
      </c>
      <c r="B2625" s="14" t="s">
        <v>1175</v>
      </c>
      <c r="C2625" s="14" t="s">
        <v>3359</v>
      </c>
      <c r="D2625" s="14">
        <v>512283.77</v>
      </c>
      <c r="E2625" s="14">
        <v>3537.63</v>
      </c>
      <c r="F2625" s="15">
        <v>45151</v>
      </c>
      <c r="G2625" s="15">
        <v>45211</v>
      </c>
      <c r="H2625" s="14" t="s">
        <v>4056</v>
      </c>
      <c r="I2625" s="14" t="s">
        <v>3361</v>
      </c>
      <c r="J2625" s="13" t="str" cm="1">
        <f t="array" ref="J2625">_xlfn.IFS(
  OR(ISBLANK(A2625),ISBLANK(B2625),ISBLANK(H2625),ISBLANK(D2625),ISBLANK(E2625)),"Missing Value",
  D2625&lt;=0,"Review – Out of Range (Coverage)",
  E2625&lt;=0,"Review – Out of Range (Premium)",
  TRUE,"OK"
)</f>
        <v>OK</v>
      </c>
    </row>
    <row r="2626" spans="1:10" ht="16.8" x14ac:dyDescent="0.3">
      <c r="A2626" s="11" t="s">
        <v>6289</v>
      </c>
      <c r="B2626" s="11" t="s">
        <v>2013</v>
      </c>
      <c r="C2626" s="11" t="s">
        <v>3363</v>
      </c>
      <c r="D2626" s="11">
        <v>110064.65</v>
      </c>
      <c r="E2626" s="11">
        <v>32846.129999999997</v>
      </c>
      <c r="F2626" s="12">
        <v>44749</v>
      </c>
      <c r="G2626" s="12">
        <v>45194</v>
      </c>
      <c r="H2626" s="11" t="s">
        <v>4102</v>
      </c>
      <c r="I2626" s="11" t="s">
        <v>3373</v>
      </c>
      <c r="J2626" s="13" t="str" cm="1">
        <f t="array" ref="J2626">_xlfn.IFS(
  OR(ISBLANK(A2626),ISBLANK(B2626),ISBLANK(H2626),ISBLANK(D2626),ISBLANK(E2626)),"Missing Value",
  D2626&lt;=0,"Review – Out of Range (Coverage)",
  E2626&lt;=0,"Review – Out of Range (Premium)",
  TRUE,"OK"
)</f>
        <v>OK</v>
      </c>
    </row>
    <row r="2627" spans="1:10" ht="16.8" x14ac:dyDescent="0.3">
      <c r="A2627" s="14" t="s">
        <v>6290</v>
      </c>
      <c r="B2627" s="14" t="s">
        <v>2705</v>
      </c>
      <c r="C2627" s="14" t="s">
        <v>3380</v>
      </c>
      <c r="D2627" s="14">
        <v>213433.01</v>
      </c>
      <c r="E2627" s="14">
        <v>46322.9</v>
      </c>
      <c r="F2627" s="15">
        <v>44596</v>
      </c>
      <c r="G2627" s="15">
        <v>44648</v>
      </c>
      <c r="H2627" s="14" t="s">
        <v>4116</v>
      </c>
      <c r="I2627" s="14" t="s">
        <v>3365</v>
      </c>
      <c r="J2627" s="13" t="str" cm="1">
        <f t="array" ref="J2627">_xlfn.IFS(
  OR(ISBLANK(A2627),ISBLANK(B2627),ISBLANK(H2627),ISBLANK(D2627),ISBLANK(E2627)),"Missing Value",
  D2627&lt;=0,"Review – Out of Range (Coverage)",
  E2627&lt;=0,"Review – Out of Range (Premium)",
  TRUE,"OK"
)</f>
        <v>OK</v>
      </c>
    </row>
    <row r="2628" spans="1:10" ht="16.8" x14ac:dyDescent="0.3">
      <c r="A2628" s="11" t="s">
        <v>6291</v>
      </c>
      <c r="B2628" s="11" t="s">
        <v>2933</v>
      </c>
      <c r="C2628" s="11" t="s">
        <v>3380</v>
      </c>
      <c r="D2628" s="11">
        <v>548365.57999999996</v>
      </c>
      <c r="E2628" s="11">
        <v>17321.29</v>
      </c>
      <c r="F2628" s="12">
        <v>44924</v>
      </c>
      <c r="G2628" s="12">
        <v>45333</v>
      </c>
      <c r="H2628" s="11" t="s">
        <v>3824</v>
      </c>
      <c r="I2628" s="11" t="s">
        <v>3361</v>
      </c>
      <c r="J2628" s="13" t="str" cm="1">
        <f t="array" ref="J2628">_xlfn.IFS(
  OR(ISBLANK(A2628),ISBLANK(B2628),ISBLANK(H2628),ISBLANK(D2628),ISBLANK(E2628)),"Missing Value",
  D2628&lt;=0,"Review – Out of Range (Coverage)",
  E2628&lt;=0,"Review – Out of Range (Premium)",
  TRUE,"OK"
)</f>
        <v>OK</v>
      </c>
    </row>
    <row r="2629" spans="1:10" ht="16.8" x14ac:dyDescent="0.3">
      <c r="A2629" s="14" t="s">
        <v>6292</v>
      </c>
      <c r="B2629" s="14" t="s">
        <v>1791</v>
      </c>
      <c r="C2629" s="14" t="s">
        <v>3371</v>
      </c>
      <c r="D2629" s="14">
        <v>110000.23</v>
      </c>
      <c r="E2629" s="14">
        <v>16769.150000000001</v>
      </c>
      <c r="F2629" s="15">
        <v>45007</v>
      </c>
      <c r="G2629" s="15">
        <v>45080</v>
      </c>
      <c r="H2629" s="14" t="s">
        <v>3499</v>
      </c>
      <c r="I2629" s="14" t="s">
        <v>3361</v>
      </c>
      <c r="J2629" s="13" t="str" cm="1">
        <f t="array" ref="J2629">_xlfn.IFS(
  OR(ISBLANK(A2629),ISBLANK(B2629),ISBLANK(H2629),ISBLANK(D2629),ISBLANK(E2629)),"Missing Value",
  D2629&lt;=0,"Review – Out of Range (Coverage)",
  E2629&lt;=0,"Review – Out of Range (Premium)",
  TRUE,"OK"
)</f>
        <v>OK</v>
      </c>
    </row>
    <row r="2630" spans="1:10" ht="16.8" x14ac:dyDescent="0.3">
      <c r="A2630" s="11" t="s">
        <v>6293</v>
      </c>
      <c r="B2630" s="11" t="s">
        <v>3284</v>
      </c>
      <c r="C2630" s="11" t="s">
        <v>3359</v>
      </c>
      <c r="D2630" s="11">
        <v>318690.57</v>
      </c>
      <c r="E2630" s="11">
        <v>7219.18</v>
      </c>
      <c r="F2630" s="12">
        <v>45106</v>
      </c>
      <c r="G2630" s="12">
        <v>45793</v>
      </c>
      <c r="H2630" s="11" t="s">
        <v>4123</v>
      </c>
      <c r="I2630" s="11" t="s">
        <v>3361</v>
      </c>
      <c r="J2630" s="13" t="str" cm="1">
        <f t="array" ref="J2630">_xlfn.IFS(
  OR(ISBLANK(A2630),ISBLANK(B2630),ISBLANK(H2630),ISBLANK(D2630),ISBLANK(E2630)),"Missing Value",
  D2630&lt;=0,"Review – Out of Range (Coverage)",
  E2630&lt;=0,"Review – Out of Range (Premium)",
  TRUE,"OK"
)</f>
        <v>OK</v>
      </c>
    </row>
    <row r="2631" spans="1:10" ht="16.8" x14ac:dyDescent="0.3">
      <c r="A2631" s="14" t="s">
        <v>6294</v>
      </c>
      <c r="B2631" s="14" t="s">
        <v>128</v>
      </c>
      <c r="C2631" s="14" t="s">
        <v>3380</v>
      </c>
      <c r="D2631" s="14">
        <v>320360.57</v>
      </c>
      <c r="E2631" s="14">
        <v>20151.14</v>
      </c>
      <c r="F2631" s="15">
        <v>44431</v>
      </c>
      <c r="G2631" s="15">
        <v>44705</v>
      </c>
      <c r="H2631" s="14" t="s">
        <v>3670</v>
      </c>
      <c r="I2631" s="14" t="s">
        <v>3365</v>
      </c>
      <c r="J2631" s="13" t="str" cm="1">
        <f t="array" ref="J2631">_xlfn.IFS(
  OR(ISBLANK(A2631),ISBLANK(B2631),ISBLANK(H2631),ISBLANK(D2631),ISBLANK(E2631)),"Missing Value",
  D2631&lt;=0,"Review – Out of Range (Coverage)",
  E2631&lt;=0,"Review – Out of Range (Premium)",
  TRUE,"OK"
)</f>
        <v>OK</v>
      </c>
    </row>
    <row r="2632" spans="1:10" ht="16.8" x14ac:dyDescent="0.3">
      <c r="A2632" s="11" t="s">
        <v>6295</v>
      </c>
      <c r="B2632" s="11" t="s">
        <v>426</v>
      </c>
      <c r="C2632" s="11" t="s">
        <v>3371</v>
      </c>
      <c r="D2632" s="11">
        <v>330799.42</v>
      </c>
      <c r="E2632" s="11">
        <v>47941.63</v>
      </c>
      <c r="F2632" s="12">
        <v>45021</v>
      </c>
      <c r="G2632" s="12">
        <v>45387</v>
      </c>
      <c r="H2632" s="11" t="s">
        <v>3846</v>
      </c>
      <c r="I2632" s="11" t="s">
        <v>3365</v>
      </c>
      <c r="J2632" s="13" t="str" cm="1">
        <f t="array" ref="J2632">_xlfn.IFS(
  OR(ISBLANK(A2632),ISBLANK(B2632),ISBLANK(H2632),ISBLANK(D2632),ISBLANK(E2632)),"Missing Value",
  D2632&lt;=0,"Review – Out of Range (Coverage)",
  E2632&lt;=0,"Review – Out of Range (Premium)",
  TRUE,"OK"
)</f>
        <v>OK</v>
      </c>
    </row>
    <row r="2633" spans="1:10" ht="16.8" x14ac:dyDescent="0.3">
      <c r="A2633" s="14" t="s">
        <v>6296</v>
      </c>
      <c r="B2633" s="14" t="s">
        <v>2657</v>
      </c>
      <c r="C2633" s="14" t="s">
        <v>3371</v>
      </c>
      <c r="D2633" s="14">
        <v>536392.68999999994</v>
      </c>
      <c r="E2633" s="14">
        <v>44295.96</v>
      </c>
      <c r="F2633" s="15">
        <v>45410</v>
      </c>
      <c r="G2633" s="15">
        <v>45773</v>
      </c>
      <c r="H2633" s="14" t="s">
        <v>3584</v>
      </c>
      <c r="I2633" s="14" t="s">
        <v>3373</v>
      </c>
      <c r="J2633" s="13" t="str" cm="1">
        <f t="array" ref="J2633">_xlfn.IFS(
  OR(ISBLANK(A2633),ISBLANK(B2633),ISBLANK(H2633),ISBLANK(D2633),ISBLANK(E2633)),"Missing Value",
  D2633&lt;=0,"Review – Out of Range (Coverage)",
  E2633&lt;=0,"Review – Out of Range (Premium)",
  TRUE,"OK"
)</f>
        <v>OK</v>
      </c>
    </row>
    <row r="2634" spans="1:10" ht="16.8" x14ac:dyDescent="0.3">
      <c r="A2634" s="11" t="s">
        <v>6297</v>
      </c>
      <c r="B2634" s="11" t="s">
        <v>3322</v>
      </c>
      <c r="C2634" s="11" t="s">
        <v>3380</v>
      </c>
      <c r="D2634" s="11">
        <v>943820.54</v>
      </c>
      <c r="E2634" s="11">
        <v>25155.01</v>
      </c>
      <c r="F2634" s="12">
        <v>44135</v>
      </c>
      <c r="G2634" s="12">
        <v>45699</v>
      </c>
      <c r="H2634" s="11" t="s">
        <v>3622</v>
      </c>
      <c r="I2634" s="11" t="s">
        <v>3365</v>
      </c>
      <c r="J2634" s="13" t="str" cm="1">
        <f t="array" ref="J2634">_xlfn.IFS(
  OR(ISBLANK(A2634),ISBLANK(B2634),ISBLANK(H2634),ISBLANK(D2634),ISBLANK(E2634)),"Missing Value",
  D2634&lt;=0,"Review – Out of Range (Coverage)",
  E2634&lt;=0,"Review – Out of Range (Premium)",
  TRUE,"OK"
)</f>
        <v>OK</v>
      </c>
    </row>
    <row r="2635" spans="1:10" ht="16.8" x14ac:dyDescent="0.3">
      <c r="A2635" s="14" t="s">
        <v>6298</v>
      </c>
      <c r="B2635" s="14" t="s">
        <v>3074</v>
      </c>
      <c r="C2635" s="14" t="s">
        <v>3359</v>
      </c>
      <c r="D2635" s="14">
        <v>236566.98</v>
      </c>
      <c r="E2635" s="14">
        <v>41930.83</v>
      </c>
      <c r="F2635" s="15">
        <v>45054</v>
      </c>
      <c r="G2635" s="15">
        <v>45766</v>
      </c>
      <c r="H2635" s="14" t="s">
        <v>3530</v>
      </c>
      <c r="I2635" s="14" t="s">
        <v>3365</v>
      </c>
      <c r="J2635" s="13" t="str" cm="1">
        <f t="array" ref="J2635">_xlfn.IFS(
  OR(ISBLANK(A2635),ISBLANK(B2635),ISBLANK(H2635),ISBLANK(D2635),ISBLANK(E2635)),"Missing Value",
  D2635&lt;=0,"Review – Out of Range (Coverage)",
  E2635&lt;=0,"Review – Out of Range (Premium)",
  TRUE,"OK"
)</f>
        <v>OK</v>
      </c>
    </row>
    <row r="2636" spans="1:10" ht="16.8" x14ac:dyDescent="0.3">
      <c r="A2636" s="11" t="s">
        <v>6299</v>
      </c>
      <c r="B2636" s="11" t="s">
        <v>3310</v>
      </c>
      <c r="C2636" s="11" t="s">
        <v>3380</v>
      </c>
      <c r="D2636" s="11">
        <v>701227.97</v>
      </c>
      <c r="E2636" s="11">
        <v>28075.88</v>
      </c>
      <c r="F2636" s="12">
        <v>44843</v>
      </c>
      <c r="G2636" s="12">
        <v>45291</v>
      </c>
      <c r="H2636" s="11" t="s">
        <v>3670</v>
      </c>
      <c r="I2636" s="11" t="s">
        <v>3373</v>
      </c>
      <c r="J2636" s="13" t="str" cm="1">
        <f t="array" ref="J2636">_xlfn.IFS(
  OR(ISBLANK(A2636),ISBLANK(B2636),ISBLANK(H2636),ISBLANK(D2636),ISBLANK(E2636)),"Missing Value",
  D2636&lt;=0,"Review – Out of Range (Coverage)",
  E2636&lt;=0,"Review – Out of Range (Premium)",
  TRUE,"OK"
)</f>
        <v>OK</v>
      </c>
    </row>
    <row r="2637" spans="1:10" ht="16.8" x14ac:dyDescent="0.3">
      <c r="A2637" s="14" t="s">
        <v>6300</v>
      </c>
      <c r="B2637" s="14" t="s">
        <v>565</v>
      </c>
      <c r="C2637" s="14" t="s">
        <v>3359</v>
      </c>
      <c r="D2637" s="14">
        <v>243237.45</v>
      </c>
      <c r="E2637" s="14">
        <v>21188.04</v>
      </c>
      <c r="F2637" s="15">
        <v>45099</v>
      </c>
      <c r="G2637" s="15">
        <v>45518</v>
      </c>
      <c r="H2637" s="14" t="s">
        <v>3806</v>
      </c>
      <c r="I2637" s="14" t="s">
        <v>3361</v>
      </c>
      <c r="J2637" s="13" t="str" cm="1">
        <f t="array" ref="J2637">_xlfn.IFS(
  OR(ISBLANK(A2637),ISBLANK(B2637),ISBLANK(H2637),ISBLANK(D2637),ISBLANK(E2637)),"Missing Value",
  D2637&lt;=0,"Review – Out of Range (Coverage)",
  E2637&lt;=0,"Review – Out of Range (Premium)",
  TRUE,"OK"
)</f>
        <v>OK</v>
      </c>
    </row>
    <row r="2638" spans="1:10" ht="16.8" x14ac:dyDescent="0.3">
      <c r="A2638" s="11" t="s">
        <v>6301</v>
      </c>
      <c r="B2638" s="11" t="s">
        <v>2867</v>
      </c>
      <c r="C2638" s="11" t="s">
        <v>3371</v>
      </c>
      <c r="D2638" s="11">
        <v>506867.53</v>
      </c>
      <c r="E2638" s="11">
        <v>41084.230000000003</v>
      </c>
      <c r="F2638" s="12">
        <v>44863</v>
      </c>
      <c r="G2638" s="12">
        <v>45567</v>
      </c>
      <c r="H2638" s="11" t="s">
        <v>3658</v>
      </c>
      <c r="I2638" s="11" t="s">
        <v>3365</v>
      </c>
      <c r="J2638" s="13" t="str" cm="1">
        <f t="array" ref="J2638">_xlfn.IFS(
  OR(ISBLANK(A2638),ISBLANK(B2638),ISBLANK(H2638),ISBLANK(D2638),ISBLANK(E2638)),"Missing Value",
  D2638&lt;=0,"Review – Out of Range (Coverage)",
  E2638&lt;=0,"Review – Out of Range (Premium)",
  TRUE,"OK"
)</f>
        <v>OK</v>
      </c>
    </row>
    <row r="2639" spans="1:10" ht="16.8" x14ac:dyDescent="0.3">
      <c r="A2639" s="14" t="s">
        <v>6302</v>
      </c>
      <c r="B2639" s="14" t="s">
        <v>621</v>
      </c>
      <c r="C2639" s="14" t="s">
        <v>3363</v>
      </c>
      <c r="D2639" s="14">
        <v>687716.24</v>
      </c>
      <c r="E2639" s="14">
        <v>47637.95</v>
      </c>
      <c r="F2639" s="15">
        <v>44296</v>
      </c>
      <c r="G2639" s="15">
        <v>45555</v>
      </c>
      <c r="H2639" s="14" t="s">
        <v>3597</v>
      </c>
      <c r="I2639" s="14" t="s">
        <v>3361</v>
      </c>
      <c r="J2639" s="13" t="str" cm="1">
        <f t="array" ref="J2639">_xlfn.IFS(
  OR(ISBLANK(A2639),ISBLANK(B2639),ISBLANK(H2639),ISBLANK(D2639),ISBLANK(E2639)),"Missing Value",
  D2639&lt;=0,"Review – Out of Range (Coverage)",
  E2639&lt;=0,"Review – Out of Range (Premium)",
  TRUE,"OK"
)</f>
        <v>OK</v>
      </c>
    </row>
    <row r="2640" spans="1:10" ht="16.8" x14ac:dyDescent="0.3">
      <c r="A2640" s="11" t="s">
        <v>6303</v>
      </c>
      <c r="B2640" s="11" t="s">
        <v>2511</v>
      </c>
      <c r="C2640" s="11" t="s">
        <v>3371</v>
      </c>
      <c r="D2640" s="11">
        <v>602835.09</v>
      </c>
      <c r="E2640" s="11">
        <v>37205.25</v>
      </c>
      <c r="F2640" s="12">
        <v>44902</v>
      </c>
      <c r="G2640" s="12">
        <v>45065</v>
      </c>
      <c r="H2640" s="11" t="s">
        <v>4630</v>
      </c>
      <c r="I2640" s="11" t="s">
        <v>3361</v>
      </c>
      <c r="J2640" s="13" t="str" cm="1">
        <f t="array" ref="J2640">_xlfn.IFS(
  OR(ISBLANK(A2640),ISBLANK(B2640),ISBLANK(H2640),ISBLANK(D2640),ISBLANK(E2640)),"Missing Value",
  D2640&lt;=0,"Review – Out of Range (Coverage)",
  E2640&lt;=0,"Review – Out of Range (Premium)",
  TRUE,"OK"
)</f>
        <v>OK</v>
      </c>
    </row>
    <row r="2641" spans="1:10" ht="16.8" x14ac:dyDescent="0.3">
      <c r="A2641" s="14" t="s">
        <v>6304</v>
      </c>
      <c r="B2641" s="14" t="s">
        <v>2249</v>
      </c>
      <c r="C2641" s="14" t="s">
        <v>3363</v>
      </c>
      <c r="D2641" s="14">
        <v>628999.79</v>
      </c>
      <c r="E2641" s="14">
        <v>40627.07</v>
      </c>
      <c r="F2641" s="15">
        <v>45226</v>
      </c>
      <c r="G2641" s="15">
        <v>45776</v>
      </c>
      <c r="H2641" s="14" t="s">
        <v>4011</v>
      </c>
      <c r="I2641" s="14" t="s">
        <v>3373</v>
      </c>
      <c r="J2641" s="13" t="str" cm="1">
        <f t="array" ref="J2641">_xlfn.IFS(
  OR(ISBLANK(A2641),ISBLANK(B2641),ISBLANK(H2641),ISBLANK(D2641),ISBLANK(E2641)),"Missing Value",
  D2641&lt;=0,"Review – Out of Range (Coverage)",
  E2641&lt;=0,"Review – Out of Range (Premium)",
  TRUE,"OK"
)</f>
        <v>OK</v>
      </c>
    </row>
    <row r="2642" spans="1:10" ht="16.8" x14ac:dyDescent="0.3">
      <c r="A2642" s="11" t="s">
        <v>6305</v>
      </c>
      <c r="B2642" s="11" t="s">
        <v>2799</v>
      </c>
      <c r="C2642" s="11" t="s">
        <v>3377</v>
      </c>
      <c r="D2642" s="11">
        <v>991918.67</v>
      </c>
      <c r="E2642" s="11">
        <v>49637.63</v>
      </c>
      <c r="F2642" s="12">
        <v>44976</v>
      </c>
      <c r="G2642" s="12">
        <v>45067</v>
      </c>
      <c r="H2642" s="11" t="s">
        <v>3754</v>
      </c>
      <c r="I2642" s="11" t="s">
        <v>3373</v>
      </c>
      <c r="J2642" s="13" t="str" cm="1">
        <f t="array" ref="J2642">_xlfn.IFS(
  OR(ISBLANK(A2642),ISBLANK(B2642),ISBLANK(H2642),ISBLANK(D2642),ISBLANK(E2642)),"Missing Value",
  D2642&lt;=0,"Review – Out of Range (Coverage)",
  E2642&lt;=0,"Review – Out of Range (Premium)",
  TRUE,"OK"
)</f>
        <v>OK</v>
      </c>
    </row>
    <row r="2643" spans="1:10" ht="16.8" x14ac:dyDescent="0.3">
      <c r="A2643" s="14" t="s">
        <v>6306</v>
      </c>
      <c r="B2643" s="14" t="s">
        <v>1507</v>
      </c>
      <c r="C2643" s="14" t="s">
        <v>3363</v>
      </c>
      <c r="D2643" s="14">
        <v>834803.42</v>
      </c>
      <c r="E2643" s="14">
        <v>19488.25</v>
      </c>
      <c r="F2643" s="15">
        <v>45367</v>
      </c>
      <c r="G2643" s="15">
        <v>45501</v>
      </c>
      <c r="H2643" s="14" t="s">
        <v>4423</v>
      </c>
      <c r="I2643" s="14" t="s">
        <v>3373</v>
      </c>
      <c r="J2643" s="13" t="str" cm="1">
        <f t="array" ref="J2643">_xlfn.IFS(
  OR(ISBLANK(A2643),ISBLANK(B2643),ISBLANK(H2643),ISBLANK(D2643),ISBLANK(E2643)),"Missing Value",
  D2643&lt;=0,"Review – Out of Range (Coverage)",
  E2643&lt;=0,"Review – Out of Range (Premium)",
  TRUE,"OK"
)</f>
        <v>OK</v>
      </c>
    </row>
    <row r="2644" spans="1:10" ht="16.8" x14ac:dyDescent="0.3">
      <c r="A2644" s="11" t="s">
        <v>6307</v>
      </c>
      <c r="B2644" s="11" t="s">
        <v>2957</v>
      </c>
      <c r="C2644" s="11" t="s">
        <v>3371</v>
      </c>
      <c r="D2644" s="11">
        <v>177631.37</v>
      </c>
      <c r="E2644" s="11">
        <v>11629.1</v>
      </c>
      <c r="F2644" s="12">
        <v>45228</v>
      </c>
      <c r="G2644" s="12">
        <v>45839</v>
      </c>
      <c r="H2644" s="11" t="s">
        <v>3409</v>
      </c>
      <c r="I2644" s="11" t="s">
        <v>3365</v>
      </c>
      <c r="J2644" s="13" t="str" cm="1">
        <f t="array" ref="J2644">_xlfn.IFS(
  OR(ISBLANK(A2644),ISBLANK(B2644),ISBLANK(H2644),ISBLANK(D2644),ISBLANK(E2644)),"Missing Value",
  D2644&lt;=0,"Review – Out of Range (Coverage)",
  E2644&lt;=0,"Review – Out of Range (Premium)",
  TRUE,"OK"
)</f>
        <v>OK</v>
      </c>
    </row>
    <row r="2645" spans="1:10" ht="16.8" x14ac:dyDescent="0.3">
      <c r="A2645" s="14" t="s">
        <v>6308</v>
      </c>
      <c r="B2645" s="14" t="s">
        <v>292</v>
      </c>
      <c r="C2645" s="14" t="s">
        <v>3363</v>
      </c>
      <c r="D2645" s="14">
        <v>933602.38</v>
      </c>
      <c r="E2645" s="14">
        <v>49650.47</v>
      </c>
      <c r="F2645" s="15">
        <v>44880</v>
      </c>
      <c r="G2645" s="15">
        <v>45066</v>
      </c>
      <c r="H2645" s="14" t="s">
        <v>3526</v>
      </c>
      <c r="I2645" s="14" t="s">
        <v>3365</v>
      </c>
      <c r="J2645" s="13" t="str" cm="1">
        <f t="array" ref="J2645">_xlfn.IFS(
  OR(ISBLANK(A2645),ISBLANK(B2645),ISBLANK(H2645),ISBLANK(D2645),ISBLANK(E2645)),"Missing Value",
  D2645&lt;=0,"Review – Out of Range (Coverage)",
  E2645&lt;=0,"Review – Out of Range (Premium)",
  TRUE,"OK"
)</f>
        <v>OK</v>
      </c>
    </row>
    <row r="2646" spans="1:10" ht="16.8" x14ac:dyDescent="0.3">
      <c r="A2646" s="11" t="s">
        <v>6309</v>
      </c>
      <c r="B2646" s="11" t="s">
        <v>2299</v>
      </c>
      <c r="C2646" s="11" t="s">
        <v>3363</v>
      </c>
      <c r="D2646" s="11">
        <v>711394.94</v>
      </c>
      <c r="E2646" s="11">
        <v>44112.84</v>
      </c>
      <c r="F2646" s="12">
        <v>44213</v>
      </c>
      <c r="G2646" s="12">
        <v>45624</v>
      </c>
      <c r="H2646" s="11" t="s">
        <v>3824</v>
      </c>
      <c r="I2646" s="11" t="s">
        <v>3361</v>
      </c>
      <c r="J2646" s="13" t="str" cm="1">
        <f t="array" ref="J2646">_xlfn.IFS(
  OR(ISBLANK(A2646),ISBLANK(B2646),ISBLANK(H2646),ISBLANK(D2646),ISBLANK(E2646)),"Missing Value",
  D2646&lt;=0,"Review – Out of Range (Coverage)",
  E2646&lt;=0,"Review – Out of Range (Premium)",
  TRUE,"OK"
)</f>
        <v>OK</v>
      </c>
    </row>
    <row r="2647" spans="1:10" ht="16.8" x14ac:dyDescent="0.3">
      <c r="A2647" s="14" t="s">
        <v>6310</v>
      </c>
      <c r="B2647" s="14" t="s">
        <v>1345</v>
      </c>
      <c r="C2647" s="14" t="s">
        <v>3377</v>
      </c>
      <c r="D2647" s="14">
        <v>439880.74</v>
      </c>
      <c r="E2647" s="14">
        <v>4225.8900000000003</v>
      </c>
      <c r="F2647" s="15">
        <v>44639</v>
      </c>
      <c r="G2647" s="15">
        <v>44827</v>
      </c>
      <c r="H2647" s="14" t="s">
        <v>4114</v>
      </c>
      <c r="I2647" s="14" t="s">
        <v>3361</v>
      </c>
      <c r="J2647" s="13" t="str" cm="1">
        <f t="array" ref="J2647">_xlfn.IFS(
  OR(ISBLANK(A2647),ISBLANK(B2647),ISBLANK(H2647),ISBLANK(D2647),ISBLANK(E2647)),"Missing Value",
  D2647&lt;=0,"Review – Out of Range (Coverage)",
  E2647&lt;=0,"Review – Out of Range (Premium)",
  TRUE,"OK"
)</f>
        <v>OK</v>
      </c>
    </row>
    <row r="2648" spans="1:10" ht="16.8" x14ac:dyDescent="0.3">
      <c r="A2648" s="11" t="s">
        <v>6311</v>
      </c>
      <c r="B2648" s="11" t="s">
        <v>1531</v>
      </c>
      <c r="C2648" s="11" t="s">
        <v>3377</v>
      </c>
      <c r="D2648" s="11">
        <v>733282.03</v>
      </c>
      <c r="E2648" s="11">
        <v>14824.99</v>
      </c>
      <c r="F2648" s="12">
        <v>45360</v>
      </c>
      <c r="G2648" s="12">
        <v>45777</v>
      </c>
      <c r="H2648" s="11" t="s">
        <v>3787</v>
      </c>
      <c r="I2648" s="11" t="s">
        <v>3361</v>
      </c>
      <c r="J2648" s="13" t="str" cm="1">
        <f t="array" ref="J2648">_xlfn.IFS(
  OR(ISBLANK(A2648),ISBLANK(B2648),ISBLANK(H2648),ISBLANK(D2648),ISBLANK(E2648)),"Missing Value",
  D2648&lt;=0,"Review – Out of Range (Coverage)",
  E2648&lt;=0,"Review – Out of Range (Premium)",
  TRUE,"OK"
)</f>
        <v>OK</v>
      </c>
    </row>
    <row r="2649" spans="1:10" ht="16.8" x14ac:dyDescent="0.3">
      <c r="A2649" s="14" t="s">
        <v>6312</v>
      </c>
      <c r="B2649" s="14" t="s">
        <v>2687</v>
      </c>
      <c r="C2649" s="14" t="s">
        <v>3380</v>
      </c>
      <c r="D2649" s="14">
        <v>323979.25</v>
      </c>
      <c r="E2649" s="14">
        <v>29382.77</v>
      </c>
      <c r="F2649" s="15">
        <v>45236</v>
      </c>
      <c r="G2649" s="15">
        <v>45255</v>
      </c>
      <c r="H2649" s="14" t="s">
        <v>3469</v>
      </c>
      <c r="I2649" s="14" t="s">
        <v>3361</v>
      </c>
      <c r="J2649" s="13" t="str" cm="1">
        <f t="array" ref="J2649">_xlfn.IFS(
  OR(ISBLANK(A2649),ISBLANK(B2649),ISBLANK(H2649),ISBLANK(D2649),ISBLANK(E2649)),"Missing Value",
  D2649&lt;=0,"Review – Out of Range (Coverage)",
  E2649&lt;=0,"Review – Out of Range (Premium)",
  TRUE,"OK"
)</f>
        <v>OK</v>
      </c>
    </row>
    <row r="2650" spans="1:10" ht="16.8" x14ac:dyDescent="0.3">
      <c r="A2650" s="11" t="s">
        <v>6313</v>
      </c>
      <c r="B2650" s="11" t="s">
        <v>869</v>
      </c>
      <c r="C2650" s="11" t="s">
        <v>3380</v>
      </c>
      <c r="D2650" s="11">
        <v>817355.01</v>
      </c>
      <c r="E2650" s="11">
        <v>38429.160000000003</v>
      </c>
      <c r="F2650" s="12">
        <v>44694</v>
      </c>
      <c r="G2650" s="12">
        <v>45735</v>
      </c>
      <c r="H2650" s="11" t="s">
        <v>3982</v>
      </c>
      <c r="I2650" s="11" t="s">
        <v>3365</v>
      </c>
      <c r="J2650" s="13" t="str" cm="1">
        <f t="array" ref="J2650">_xlfn.IFS(
  OR(ISBLANK(A2650),ISBLANK(B2650),ISBLANK(H2650),ISBLANK(D2650),ISBLANK(E2650)),"Missing Value",
  D2650&lt;=0,"Review – Out of Range (Coverage)",
  E2650&lt;=0,"Review – Out of Range (Premium)",
  TRUE,"OK"
)</f>
        <v>OK</v>
      </c>
    </row>
    <row r="2651" spans="1:10" ht="16.8" x14ac:dyDescent="0.3">
      <c r="A2651" s="14" t="s">
        <v>6314</v>
      </c>
      <c r="B2651" s="14" t="s">
        <v>3001</v>
      </c>
      <c r="C2651" s="14" t="s">
        <v>3371</v>
      </c>
      <c r="D2651" s="14">
        <v>329549.3</v>
      </c>
      <c r="E2651" s="14">
        <v>29290.14</v>
      </c>
      <c r="F2651" s="15">
        <v>44776</v>
      </c>
      <c r="G2651" s="15">
        <v>45105</v>
      </c>
      <c r="H2651" s="14" t="s">
        <v>5488</v>
      </c>
      <c r="I2651" s="14" t="s">
        <v>3365</v>
      </c>
      <c r="J2651" s="13" t="str" cm="1">
        <f t="array" ref="J2651">_xlfn.IFS(
  OR(ISBLANK(A2651),ISBLANK(B2651),ISBLANK(H2651),ISBLANK(D2651),ISBLANK(E2651)),"Missing Value",
  D2651&lt;=0,"Review – Out of Range (Coverage)",
  E2651&lt;=0,"Review – Out of Range (Premium)",
  TRUE,"OK"
)</f>
        <v>OK</v>
      </c>
    </row>
    <row r="2652" spans="1:10" ht="16.8" x14ac:dyDescent="0.3">
      <c r="A2652" s="11" t="s">
        <v>6315</v>
      </c>
      <c r="B2652" s="11" t="s">
        <v>378</v>
      </c>
      <c r="C2652" s="11" t="s">
        <v>3363</v>
      </c>
      <c r="D2652" s="11">
        <v>519977.56</v>
      </c>
      <c r="E2652" s="11">
        <v>35406.480000000003</v>
      </c>
      <c r="F2652" s="12">
        <v>44485</v>
      </c>
      <c r="G2652" s="12">
        <v>45337</v>
      </c>
      <c r="H2652" s="11" t="s">
        <v>3573</v>
      </c>
      <c r="I2652" s="11" t="s">
        <v>3361</v>
      </c>
      <c r="J2652" s="13" t="str" cm="1">
        <f t="array" ref="J2652">_xlfn.IFS(
  OR(ISBLANK(A2652),ISBLANK(B2652),ISBLANK(H2652),ISBLANK(D2652),ISBLANK(E2652)),"Missing Value",
  D2652&lt;=0,"Review – Out of Range (Coverage)",
  E2652&lt;=0,"Review – Out of Range (Premium)",
  TRUE,"OK"
)</f>
        <v>OK</v>
      </c>
    </row>
    <row r="2653" spans="1:10" ht="16.8" x14ac:dyDescent="0.3">
      <c r="A2653" s="14" t="s">
        <v>6316</v>
      </c>
      <c r="B2653" s="14" t="s">
        <v>1919</v>
      </c>
      <c r="C2653" s="14" t="s">
        <v>3380</v>
      </c>
      <c r="D2653" s="14">
        <v>509289.07</v>
      </c>
      <c r="E2653" s="14">
        <v>27114.61</v>
      </c>
      <c r="F2653" s="15">
        <v>44772</v>
      </c>
      <c r="G2653" s="15">
        <v>45820</v>
      </c>
      <c r="H2653" s="14" t="s">
        <v>4439</v>
      </c>
      <c r="I2653" s="14" t="s">
        <v>3365</v>
      </c>
      <c r="J2653" s="13" t="str" cm="1">
        <f t="array" ref="J2653">_xlfn.IFS(
  OR(ISBLANK(A2653),ISBLANK(B2653),ISBLANK(H2653),ISBLANK(D2653),ISBLANK(E2653)),"Missing Value",
  D2653&lt;=0,"Review – Out of Range (Coverage)",
  E2653&lt;=0,"Review – Out of Range (Premium)",
  TRUE,"OK"
)</f>
        <v>OK</v>
      </c>
    </row>
    <row r="2654" spans="1:10" ht="16.8" x14ac:dyDescent="0.3">
      <c r="A2654" s="11" t="s">
        <v>6317</v>
      </c>
      <c r="B2654" s="11" t="s">
        <v>2313</v>
      </c>
      <c r="C2654" s="11" t="s">
        <v>3377</v>
      </c>
      <c r="D2654" s="11">
        <v>329687.09000000003</v>
      </c>
      <c r="E2654" s="11">
        <v>29210.73</v>
      </c>
      <c r="F2654" s="12">
        <v>44608</v>
      </c>
      <c r="G2654" s="12">
        <v>45065</v>
      </c>
      <c r="H2654" s="11" t="s">
        <v>3809</v>
      </c>
      <c r="I2654" s="11" t="s">
        <v>3361</v>
      </c>
      <c r="J2654" s="13" t="str" cm="1">
        <f t="array" ref="J2654">_xlfn.IFS(
  OR(ISBLANK(A2654),ISBLANK(B2654),ISBLANK(H2654),ISBLANK(D2654),ISBLANK(E2654)),"Missing Value",
  D2654&lt;=0,"Review – Out of Range (Coverage)",
  E2654&lt;=0,"Review – Out of Range (Premium)",
  TRUE,"OK"
)</f>
        <v>OK</v>
      </c>
    </row>
    <row r="2655" spans="1:10" ht="16.8" x14ac:dyDescent="0.3">
      <c r="A2655" s="14" t="s">
        <v>6318</v>
      </c>
      <c r="B2655" s="14" t="s">
        <v>2247</v>
      </c>
      <c r="C2655" s="14" t="s">
        <v>3371</v>
      </c>
      <c r="D2655" s="14">
        <v>800297.59</v>
      </c>
      <c r="E2655" s="14">
        <v>31715.52</v>
      </c>
      <c r="F2655" s="15">
        <v>44471</v>
      </c>
      <c r="G2655" s="15">
        <v>44574</v>
      </c>
      <c r="H2655" s="14" t="s">
        <v>3522</v>
      </c>
      <c r="I2655" s="14" t="s">
        <v>3361</v>
      </c>
      <c r="J2655" s="13" t="str" cm="1">
        <f t="array" ref="J2655">_xlfn.IFS(
  OR(ISBLANK(A2655),ISBLANK(B2655),ISBLANK(H2655),ISBLANK(D2655),ISBLANK(E2655)),"Missing Value",
  D2655&lt;=0,"Review – Out of Range (Coverage)",
  E2655&lt;=0,"Review – Out of Range (Premium)",
  TRUE,"OK"
)</f>
        <v>OK</v>
      </c>
    </row>
    <row r="2656" spans="1:10" ht="16.8" x14ac:dyDescent="0.3">
      <c r="A2656" s="11" t="s">
        <v>6319</v>
      </c>
      <c r="B2656" s="11" t="s">
        <v>807</v>
      </c>
      <c r="C2656" s="11" t="s">
        <v>3363</v>
      </c>
      <c r="D2656" s="11">
        <v>537832.46</v>
      </c>
      <c r="E2656" s="11">
        <v>29741.53</v>
      </c>
      <c r="F2656" s="12">
        <v>44829</v>
      </c>
      <c r="G2656" s="12">
        <v>45308</v>
      </c>
      <c r="H2656" s="11" t="s">
        <v>3391</v>
      </c>
      <c r="I2656" s="11" t="s">
        <v>3361</v>
      </c>
      <c r="J2656" s="13" t="str" cm="1">
        <f t="array" ref="J2656">_xlfn.IFS(
  OR(ISBLANK(A2656),ISBLANK(B2656),ISBLANK(H2656),ISBLANK(D2656),ISBLANK(E2656)),"Missing Value",
  D2656&lt;=0,"Review – Out of Range (Coverage)",
  E2656&lt;=0,"Review – Out of Range (Premium)",
  TRUE,"OK"
)</f>
        <v>OK</v>
      </c>
    </row>
    <row r="2657" spans="1:10" ht="16.8" x14ac:dyDescent="0.3">
      <c r="A2657" s="14" t="s">
        <v>6320</v>
      </c>
      <c r="B2657" s="14" t="s">
        <v>2445</v>
      </c>
      <c r="C2657" s="14" t="s">
        <v>3363</v>
      </c>
      <c r="D2657" s="14">
        <v>384444.28</v>
      </c>
      <c r="E2657" s="14">
        <v>18407.45</v>
      </c>
      <c r="F2657" s="15">
        <v>45409</v>
      </c>
      <c r="G2657" s="15">
        <v>45681</v>
      </c>
      <c r="H2657" s="14" t="s">
        <v>3707</v>
      </c>
      <c r="I2657" s="14" t="s">
        <v>3361</v>
      </c>
      <c r="J2657" s="13" t="str" cm="1">
        <f t="array" ref="J2657">_xlfn.IFS(
  OR(ISBLANK(A2657),ISBLANK(B2657),ISBLANK(H2657),ISBLANK(D2657),ISBLANK(E2657)),"Missing Value",
  D2657&lt;=0,"Review – Out of Range (Coverage)",
  E2657&lt;=0,"Review – Out of Range (Premium)",
  TRUE,"OK"
)</f>
        <v>OK</v>
      </c>
    </row>
    <row r="2658" spans="1:10" ht="16.8" x14ac:dyDescent="0.3">
      <c r="A2658" s="11" t="s">
        <v>6321</v>
      </c>
      <c r="B2658" s="11" t="s">
        <v>1941</v>
      </c>
      <c r="C2658" s="11" t="s">
        <v>3377</v>
      </c>
      <c r="D2658" s="11">
        <v>470284.04</v>
      </c>
      <c r="E2658" s="11">
        <v>32685.02</v>
      </c>
      <c r="F2658" s="12">
        <v>45332</v>
      </c>
      <c r="G2658" s="12">
        <v>45505</v>
      </c>
      <c r="H2658" s="11" t="s">
        <v>4247</v>
      </c>
      <c r="I2658" s="11" t="s">
        <v>3365</v>
      </c>
      <c r="J2658" s="13" t="str" cm="1">
        <f t="array" ref="J2658">_xlfn.IFS(
  OR(ISBLANK(A2658),ISBLANK(B2658),ISBLANK(H2658),ISBLANK(D2658),ISBLANK(E2658)),"Missing Value",
  D2658&lt;=0,"Review – Out of Range (Coverage)",
  E2658&lt;=0,"Review – Out of Range (Premium)",
  TRUE,"OK"
)</f>
        <v>OK</v>
      </c>
    </row>
    <row r="2659" spans="1:10" ht="16.8" x14ac:dyDescent="0.3">
      <c r="A2659" s="14" t="s">
        <v>6322</v>
      </c>
      <c r="B2659" s="14" t="s">
        <v>1589</v>
      </c>
      <c r="C2659" s="14" t="s">
        <v>3377</v>
      </c>
      <c r="D2659" s="14">
        <v>322079.93</v>
      </c>
      <c r="E2659" s="14">
        <v>29751.58</v>
      </c>
      <c r="F2659" s="15">
        <v>44923</v>
      </c>
      <c r="G2659" s="15">
        <v>45018</v>
      </c>
      <c r="H2659" s="14" t="s">
        <v>3364</v>
      </c>
      <c r="I2659" s="14" t="s">
        <v>3373</v>
      </c>
      <c r="J2659" s="13" t="str" cm="1">
        <f t="array" ref="J2659">_xlfn.IFS(
  OR(ISBLANK(A2659),ISBLANK(B2659),ISBLANK(H2659),ISBLANK(D2659),ISBLANK(E2659)),"Missing Value",
  D2659&lt;=0,"Review – Out of Range (Coverage)",
  E2659&lt;=0,"Review – Out of Range (Premium)",
  TRUE,"OK"
)</f>
        <v>OK</v>
      </c>
    </row>
    <row r="2660" spans="1:10" ht="16.8" x14ac:dyDescent="0.3">
      <c r="A2660" s="11" t="s">
        <v>6323</v>
      </c>
      <c r="B2660" s="11" t="s">
        <v>1277</v>
      </c>
      <c r="C2660" s="11" t="s">
        <v>3380</v>
      </c>
      <c r="D2660" s="11">
        <v>630727.82999999996</v>
      </c>
      <c r="E2660" s="11">
        <v>6806.45</v>
      </c>
      <c r="F2660" s="12">
        <v>44645</v>
      </c>
      <c r="G2660" s="12">
        <v>45811</v>
      </c>
      <c r="H2660" s="11" t="s">
        <v>4143</v>
      </c>
      <c r="I2660" s="11" t="s">
        <v>3373</v>
      </c>
      <c r="J2660" s="13" t="str" cm="1">
        <f t="array" ref="J2660">_xlfn.IFS(
  OR(ISBLANK(A2660),ISBLANK(B2660),ISBLANK(H2660),ISBLANK(D2660),ISBLANK(E2660)),"Missing Value",
  D2660&lt;=0,"Review – Out of Range (Coverage)",
  E2660&lt;=0,"Review – Out of Range (Premium)",
  TRUE,"OK"
)</f>
        <v>OK</v>
      </c>
    </row>
    <row r="2661" spans="1:10" ht="16.8" x14ac:dyDescent="0.3">
      <c r="A2661" s="14" t="s">
        <v>6324</v>
      </c>
      <c r="B2661" s="14" t="s">
        <v>3280</v>
      </c>
      <c r="C2661" s="14" t="s">
        <v>3380</v>
      </c>
      <c r="D2661" s="14">
        <v>300471.05</v>
      </c>
      <c r="E2661" s="14">
        <v>25949.17</v>
      </c>
      <c r="F2661" s="15">
        <v>45492</v>
      </c>
      <c r="G2661" s="15">
        <v>45851</v>
      </c>
      <c r="H2661" s="14" t="s">
        <v>4003</v>
      </c>
      <c r="I2661" s="14" t="s">
        <v>3361</v>
      </c>
      <c r="J2661" s="13" t="str" cm="1">
        <f t="array" ref="J2661">_xlfn.IFS(
  OR(ISBLANK(A2661),ISBLANK(B2661),ISBLANK(H2661),ISBLANK(D2661),ISBLANK(E2661)),"Missing Value",
  D2661&lt;=0,"Review – Out of Range (Coverage)",
  E2661&lt;=0,"Review – Out of Range (Premium)",
  TRUE,"OK"
)</f>
        <v>OK</v>
      </c>
    </row>
    <row r="2662" spans="1:10" ht="16.8" x14ac:dyDescent="0.3">
      <c r="A2662" s="11" t="s">
        <v>6325</v>
      </c>
      <c r="B2662" s="11" t="s">
        <v>1857</v>
      </c>
      <c r="C2662" s="11" t="s">
        <v>3380</v>
      </c>
      <c r="D2662" s="11">
        <v>395505.91999999998</v>
      </c>
      <c r="E2662" s="11">
        <v>29773.05</v>
      </c>
      <c r="F2662" s="12">
        <v>44316</v>
      </c>
      <c r="G2662" s="12">
        <v>44547</v>
      </c>
      <c r="H2662" s="11" t="s">
        <v>3581</v>
      </c>
      <c r="I2662" s="11" t="s">
        <v>3373</v>
      </c>
      <c r="J2662" s="13" t="str" cm="1">
        <f t="array" ref="J2662">_xlfn.IFS(
  OR(ISBLANK(A2662),ISBLANK(B2662),ISBLANK(H2662),ISBLANK(D2662),ISBLANK(E2662)),"Missing Value",
  D2662&lt;=0,"Review – Out of Range (Coverage)",
  E2662&lt;=0,"Review – Out of Range (Premium)",
  TRUE,"OK"
)</f>
        <v>OK</v>
      </c>
    </row>
    <row r="2663" spans="1:10" ht="16.8" x14ac:dyDescent="0.3">
      <c r="A2663" s="14" t="s">
        <v>6326</v>
      </c>
      <c r="B2663" s="14" t="s">
        <v>3198</v>
      </c>
      <c r="C2663" s="14" t="s">
        <v>3359</v>
      </c>
      <c r="D2663" s="14">
        <v>907403.58</v>
      </c>
      <c r="E2663" s="14">
        <v>15490.69</v>
      </c>
      <c r="F2663" s="15">
        <v>45340</v>
      </c>
      <c r="G2663" s="15">
        <v>45391</v>
      </c>
      <c r="H2663" s="14" t="s">
        <v>3547</v>
      </c>
      <c r="I2663" s="14" t="s">
        <v>3365</v>
      </c>
      <c r="J2663" s="13" t="str" cm="1">
        <f t="array" ref="J2663">_xlfn.IFS(
  OR(ISBLANK(A2663),ISBLANK(B2663),ISBLANK(H2663),ISBLANK(D2663),ISBLANK(E2663)),"Missing Value",
  D2663&lt;=0,"Review – Out of Range (Coverage)",
  E2663&lt;=0,"Review – Out of Range (Premium)",
  TRUE,"OK"
)</f>
        <v>OK</v>
      </c>
    </row>
    <row r="2664" spans="1:10" ht="16.8" x14ac:dyDescent="0.3">
      <c r="A2664" s="11" t="s">
        <v>6327</v>
      </c>
      <c r="B2664" s="11" t="s">
        <v>2219</v>
      </c>
      <c r="C2664" s="11" t="s">
        <v>3363</v>
      </c>
      <c r="D2664" s="11">
        <v>442428.73</v>
      </c>
      <c r="E2664" s="11">
        <v>5419.81</v>
      </c>
      <c r="F2664" s="12">
        <v>44127</v>
      </c>
      <c r="G2664" s="12">
        <v>44673</v>
      </c>
      <c r="H2664" s="11" t="s">
        <v>4240</v>
      </c>
      <c r="I2664" s="11" t="s">
        <v>3373</v>
      </c>
      <c r="J2664" s="13" t="str" cm="1">
        <f t="array" ref="J2664">_xlfn.IFS(
  OR(ISBLANK(A2664),ISBLANK(B2664),ISBLANK(H2664),ISBLANK(D2664),ISBLANK(E2664)),"Missing Value",
  D2664&lt;=0,"Review – Out of Range (Coverage)",
  E2664&lt;=0,"Review – Out of Range (Premium)",
  TRUE,"OK"
)</f>
        <v>OK</v>
      </c>
    </row>
    <row r="2665" spans="1:10" ht="16.8" x14ac:dyDescent="0.3">
      <c r="A2665" s="14" t="s">
        <v>6328</v>
      </c>
      <c r="B2665" s="14" t="s">
        <v>2529</v>
      </c>
      <c r="C2665" s="14" t="s">
        <v>3363</v>
      </c>
      <c r="D2665" s="14">
        <v>669937.42000000004</v>
      </c>
      <c r="E2665" s="14">
        <v>3400.23</v>
      </c>
      <c r="F2665" s="15">
        <v>45158</v>
      </c>
      <c r="G2665" s="15">
        <v>45784</v>
      </c>
      <c r="H2665" s="14" t="s">
        <v>3992</v>
      </c>
      <c r="I2665" s="14" t="s">
        <v>3373</v>
      </c>
      <c r="J2665" s="13" t="str" cm="1">
        <f t="array" ref="J2665">_xlfn.IFS(
  OR(ISBLANK(A2665),ISBLANK(B2665),ISBLANK(H2665),ISBLANK(D2665),ISBLANK(E2665)),"Missing Value",
  D2665&lt;=0,"Review – Out of Range (Coverage)",
  E2665&lt;=0,"Review – Out of Range (Premium)",
  TRUE,"OK"
)</f>
        <v>OK</v>
      </c>
    </row>
    <row r="2666" spans="1:10" ht="16.8" x14ac:dyDescent="0.3">
      <c r="A2666" s="11" t="s">
        <v>6329</v>
      </c>
      <c r="B2666" s="11" t="s">
        <v>1259</v>
      </c>
      <c r="C2666" s="11" t="s">
        <v>3363</v>
      </c>
      <c r="D2666" s="11">
        <v>617579.19999999995</v>
      </c>
      <c r="E2666" s="11">
        <v>25010.83</v>
      </c>
      <c r="F2666" s="12">
        <v>44381</v>
      </c>
      <c r="G2666" s="12">
        <v>44652</v>
      </c>
      <c r="H2666" s="11" t="s">
        <v>3813</v>
      </c>
      <c r="I2666" s="11" t="s">
        <v>3365</v>
      </c>
      <c r="J2666" s="13" t="str" cm="1">
        <f t="array" ref="J2666">_xlfn.IFS(
  OR(ISBLANK(A2666),ISBLANK(B2666),ISBLANK(H2666),ISBLANK(D2666),ISBLANK(E2666)),"Missing Value",
  D2666&lt;=0,"Review – Out of Range (Coverage)",
  E2666&lt;=0,"Review – Out of Range (Premium)",
  TRUE,"OK"
)</f>
        <v>OK</v>
      </c>
    </row>
    <row r="2667" spans="1:10" ht="16.8" x14ac:dyDescent="0.3">
      <c r="A2667" s="14" t="s">
        <v>6330</v>
      </c>
      <c r="B2667" s="14" t="s">
        <v>2371</v>
      </c>
      <c r="C2667" s="14" t="s">
        <v>3380</v>
      </c>
      <c r="D2667" s="14">
        <v>963791.95</v>
      </c>
      <c r="E2667" s="14">
        <v>3697.86</v>
      </c>
      <c r="F2667" s="15">
        <v>45324</v>
      </c>
      <c r="G2667" s="15">
        <v>45797</v>
      </c>
      <c r="H2667" s="14" t="s">
        <v>4170</v>
      </c>
      <c r="I2667" s="14" t="s">
        <v>3365</v>
      </c>
      <c r="J2667" s="13" t="str" cm="1">
        <f t="array" ref="J2667">_xlfn.IFS(
  OR(ISBLANK(A2667),ISBLANK(B2667),ISBLANK(H2667),ISBLANK(D2667),ISBLANK(E2667)),"Missing Value",
  D2667&lt;=0,"Review – Out of Range (Coverage)",
  E2667&lt;=0,"Review – Out of Range (Premium)",
  TRUE,"OK"
)</f>
        <v>OK</v>
      </c>
    </row>
    <row r="2668" spans="1:10" ht="16.8" x14ac:dyDescent="0.3">
      <c r="A2668" s="11" t="s">
        <v>6331</v>
      </c>
      <c r="B2668" s="11" t="s">
        <v>1349</v>
      </c>
      <c r="C2668" s="11" t="s">
        <v>3377</v>
      </c>
      <c r="D2668" s="11">
        <v>203345.12</v>
      </c>
      <c r="E2668" s="11">
        <v>15190.9</v>
      </c>
      <c r="F2668" s="12">
        <v>45382</v>
      </c>
      <c r="G2668" s="12">
        <v>45572</v>
      </c>
      <c r="H2668" s="11" t="s">
        <v>4716</v>
      </c>
      <c r="I2668" s="11" t="s">
        <v>3373</v>
      </c>
      <c r="J2668" s="13" t="str" cm="1">
        <f t="array" ref="J2668">_xlfn.IFS(
  OR(ISBLANK(A2668),ISBLANK(B2668),ISBLANK(H2668),ISBLANK(D2668),ISBLANK(E2668)),"Missing Value",
  D2668&lt;=0,"Review – Out of Range (Coverage)",
  E2668&lt;=0,"Review – Out of Range (Premium)",
  TRUE,"OK"
)</f>
        <v>OK</v>
      </c>
    </row>
    <row r="2669" spans="1:10" ht="16.8" x14ac:dyDescent="0.3">
      <c r="A2669" s="14" t="s">
        <v>6332</v>
      </c>
      <c r="B2669" s="14" t="s">
        <v>184</v>
      </c>
      <c r="C2669" s="14" t="s">
        <v>3359</v>
      </c>
      <c r="D2669" s="14">
        <v>308932.59999999998</v>
      </c>
      <c r="E2669" s="14">
        <v>30812.29</v>
      </c>
      <c r="F2669" s="15">
        <v>45414</v>
      </c>
      <c r="G2669" s="15">
        <v>45628</v>
      </c>
      <c r="H2669" s="14" t="s">
        <v>4116</v>
      </c>
      <c r="I2669" s="14" t="s">
        <v>3373</v>
      </c>
      <c r="J2669" s="13" t="str" cm="1">
        <f t="array" ref="J2669">_xlfn.IFS(
  OR(ISBLANK(A2669),ISBLANK(B2669),ISBLANK(H2669),ISBLANK(D2669),ISBLANK(E2669)),"Missing Value",
  D2669&lt;=0,"Review – Out of Range (Coverage)",
  E2669&lt;=0,"Review – Out of Range (Premium)",
  TRUE,"OK"
)</f>
        <v>OK</v>
      </c>
    </row>
    <row r="2670" spans="1:10" ht="16.8" x14ac:dyDescent="0.3">
      <c r="A2670" s="11" t="s">
        <v>6333</v>
      </c>
      <c r="B2670" s="11" t="s">
        <v>901</v>
      </c>
      <c r="C2670" s="11" t="s">
        <v>3359</v>
      </c>
      <c r="D2670" s="11">
        <v>373655.82</v>
      </c>
      <c r="E2670" s="11">
        <v>5674.12</v>
      </c>
      <c r="F2670" s="12">
        <v>44156</v>
      </c>
      <c r="G2670" s="12">
        <v>44570</v>
      </c>
      <c r="H2670" s="11" t="s">
        <v>3423</v>
      </c>
      <c r="I2670" s="11" t="s">
        <v>3365</v>
      </c>
      <c r="J2670" s="13" t="str" cm="1">
        <f t="array" ref="J2670">_xlfn.IFS(
  OR(ISBLANK(A2670),ISBLANK(B2670),ISBLANK(H2670),ISBLANK(D2670),ISBLANK(E2670)),"Missing Value",
  D2670&lt;=0,"Review – Out of Range (Coverage)",
  E2670&lt;=0,"Review – Out of Range (Premium)",
  TRUE,"OK"
)</f>
        <v>OK</v>
      </c>
    </row>
    <row r="2671" spans="1:10" ht="16.8" x14ac:dyDescent="0.3">
      <c r="A2671" s="14" t="s">
        <v>6334</v>
      </c>
      <c r="B2671" s="14" t="s">
        <v>2747</v>
      </c>
      <c r="C2671" s="14" t="s">
        <v>3380</v>
      </c>
      <c r="D2671" s="14">
        <v>751659.31</v>
      </c>
      <c r="E2671" s="14">
        <v>7584.5</v>
      </c>
      <c r="F2671" s="15">
        <v>45177</v>
      </c>
      <c r="G2671" s="15">
        <v>45183</v>
      </c>
      <c r="H2671" s="14" t="s">
        <v>3634</v>
      </c>
      <c r="I2671" s="14" t="s">
        <v>3361</v>
      </c>
      <c r="J2671" s="13" t="str" cm="1">
        <f t="array" ref="J2671">_xlfn.IFS(
  OR(ISBLANK(A2671),ISBLANK(B2671),ISBLANK(H2671),ISBLANK(D2671),ISBLANK(E2671)),"Missing Value",
  D2671&lt;=0,"Review – Out of Range (Coverage)",
  E2671&lt;=0,"Review – Out of Range (Premium)",
  TRUE,"OK"
)</f>
        <v>OK</v>
      </c>
    </row>
    <row r="2672" spans="1:10" ht="16.8" x14ac:dyDescent="0.3">
      <c r="A2672" s="11" t="s">
        <v>6335</v>
      </c>
      <c r="B2672" s="11" t="s">
        <v>955</v>
      </c>
      <c r="C2672" s="11" t="s">
        <v>3380</v>
      </c>
      <c r="D2672" s="11">
        <v>831709.73</v>
      </c>
      <c r="E2672" s="11">
        <v>31521.919999999998</v>
      </c>
      <c r="F2672" s="12">
        <v>44240</v>
      </c>
      <c r="G2672" s="12">
        <v>44640</v>
      </c>
      <c r="H2672" s="11" t="s">
        <v>3689</v>
      </c>
      <c r="I2672" s="11" t="s">
        <v>3365</v>
      </c>
      <c r="J2672" s="13" t="str" cm="1">
        <f t="array" ref="J2672">_xlfn.IFS(
  OR(ISBLANK(A2672),ISBLANK(B2672),ISBLANK(H2672),ISBLANK(D2672),ISBLANK(E2672)),"Missing Value",
  D2672&lt;=0,"Review – Out of Range (Coverage)",
  E2672&lt;=0,"Review – Out of Range (Premium)",
  TRUE,"OK"
)</f>
        <v>OK</v>
      </c>
    </row>
    <row r="2673" spans="1:10" ht="16.8" x14ac:dyDescent="0.3">
      <c r="A2673" s="14" t="s">
        <v>6336</v>
      </c>
      <c r="B2673" s="14" t="s">
        <v>2897</v>
      </c>
      <c r="C2673" s="14" t="s">
        <v>3363</v>
      </c>
      <c r="D2673" s="14">
        <v>949471.04</v>
      </c>
      <c r="E2673" s="14">
        <v>45279.76</v>
      </c>
      <c r="F2673" s="15">
        <v>45256</v>
      </c>
      <c r="G2673" s="15">
        <v>45716</v>
      </c>
      <c r="H2673" s="14" t="s">
        <v>4473</v>
      </c>
      <c r="I2673" s="14" t="s">
        <v>3373</v>
      </c>
      <c r="J2673" s="13" t="str" cm="1">
        <f t="array" ref="J2673">_xlfn.IFS(
  OR(ISBLANK(A2673),ISBLANK(B2673),ISBLANK(H2673),ISBLANK(D2673),ISBLANK(E2673)),"Missing Value",
  D2673&lt;=0,"Review – Out of Range (Coverage)",
  E2673&lt;=0,"Review – Out of Range (Premium)",
  TRUE,"OK"
)</f>
        <v>OK</v>
      </c>
    </row>
    <row r="2674" spans="1:10" ht="16.8" x14ac:dyDescent="0.3">
      <c r="A2674" s="11" t="s">
        <v>6337</v>
      </c>
      <c r="B2674" s="11" t="s">
        <v>645</v>
      </c>
      <c r="C2674" s="11" t="s">
        <v>3377</v>
      </c>
      <c r="D2674" s="11">
        <v>622756.94999999995</v>
      </c>
      <c r="E2674" s="11">
        <v>30908.54</v>
      </c>
      <c r="F2674" s="12">
        <v>44656</v>
      </c>
      <c r="G2674" s="12">
        <v>45622</v>
      </c>
      <c r="H2674" s="11" t="s">
        <v>3503</v>
      </c>
      <c r="I2674" s="11" t="s">
        <v>3365</v>
      </c>
      <c r="J2674" s="13" t="str" cm="1">
        <f t="array" ref="J2674">_xlfn.IFS(
  OR(ISBLANK(A2674),ISBLANK(B2674),ISBLANK(H2674),ISBLANK(D2674),ISBLANK(E2674)),"Missing Value",
  D2674&lt;=0,"Review – Out of Range (Coverage)",
  E2674&lt;=0,"Review – Out of Range (Premium)",
  TRUE,"OK"
)</f>
        <v>OK</v>
      </c>
    </row>
    <row r="2675" spans="1:10" ht="16.8" x14ac:dyDescent="0.3">
      <c r="A2675" s="14" t="s">
        <v>6338</v>
      </c>
      <c r="B2675" s="14" t="s">
        <v>1467</v>
      </c>
      <c r="C2675" s="14" t="s">
        <v>3371</v>
      </c>
      <c r="D2675" s="14">
        <v>405990.14</v>
      </c>
      <c r="E2675" s="14">
        <v>11425.66</v>
      </c>
      <c r="F2675" s="15">
        <v>45225</v>
      </c>
      <c r="G2675" s="15">
        <v>45527</v>
      </c>
      <c r="H2675" s="14" t="s">
        <v>3584</v>
      </c>
      <c r="I2675" s="14" t="s">
        <v>3373</v>
      </c>
      <c r="J2675" s="13" t="str" cm="1">
        <f t="array" ref="J2675">_xlfn.IFS(
  OR(ISBLANK(A2675),ISBLANK(B2675),ISBLANK(H2675),ISBLANK(D2675),ISBLANK(E2675)),"Missing Value",
  D2675&lt;=0,"Review – Out of Range (Coverage)",
  E2675&lt;=0,"Review – Out of Range (Premium)",
  TRUE,"OK"
)</f>
        <v>OK</v>
      </c>
    </row>
    <row r="2676" spans="1:10" ht="16.8" x14ac:dyDescent="0.3">
      <c r="A2676" s="11" t="s">
        <v>6339</v>
      </c>
      <c r="B2676" s="11" t="s">
        <v>482</v>
      </c>
      <c r="C2676" s="11" t="s">
        <v>3380</v>
      </c>
      <c r="D2676" s="11">
        <v>304374.43</v>
      </c>
      <c r="E2676" s="11">
        <v>3766.67</v>
      </c>
      <c r="F2676" s="12">
        <v>44941</v>
      </c>
      <c r="G2676" s="12">
        <v>45616</v>
      </c>
      <c r="H2676" s="11" t="s">
        <v>3477</v>
      </c>
      <c r="I2676" s="11" t="s">
        <v>3361</v>
      </c>
      <c r="J2676" s="13" t="str" cm="1">
        <f t="array" ref="J2676">_xlfn.IFS(
  OR(ISBLANK(A2676),ISBLANK(B2676),ISBLANK(H2676),ISBLANK(D2676),ISBLANK(E2676)),"Missing Value",
  D2676&lt;=0,"Review – Out of Range (Coverage)",
  E2676&lt;=0,"Review – Out of Range (Premium)",
  TRUE,"OK"
)</f>
        <v>OK</v>
      </c>
    </row>
    <row r="2677" spans="1:10" ht="16.8" x14ac:dyDescent="0.3">
      <c r="A2677" s="14" t="s">
        <v>6340</v>
      </c>
      <c r="B2677" s="14" t="s">
        <v>3120</v>
      </c>
      <c r="C2677" s="14" t="s">
        <v>3363</v>
      </c>
      <c r="D2677" s="14">
        <v>410101.83</v>
      </c>
      <c r="E2677" s="14">
        <v>5404.37</v>
      </c>
      <c r="F2677" s="15">
        <v>44989</v>
      </c>
      <c r="G2677" s="15">
        <v>45544</v>
      </c>
      <c r="H2677" s="14" t="s">
        <v>4575</v>
      </c>
      <c r="I2677" s="14" t="s">
        <v>3361</v>
      </c>
      <c r="J2677" s="13" t="str" cm="1">
        <f t="array" ref="J2677">_xlfn.IFS(
  OR(ISBLANK(A2677),ISBLANK(B2677),ISBLANK(H2677),ISBLANK(D2677),ISBLANK(E2677)),"Missing Value",
  D2677&lt;=0,"Review – Out of Range (Coverage)",
  E2677&lt;=0,"Review – Out of Range (Premium)",
  TRUE,"OK"
)</f>
        <v>OK</v>
      </c>
    </row>
    <row r="2678" spans="1:10" ht="16.8" x14ac:dyDescent="0.3">
      <c r="A2678" s="11" t="s">
        <v>6341</v>
      </c>
      <c r="B2678" s="11" t="s">
        <v>2499</v>
      </c>
      <c r="C2678" s="11" t="s">
        <v>3359</v>
      </c>
      <c r="D2678" s="11">
        <v>809565.22</v>
      </c>
      <c r="E2678" s="11">
        <v>6776.11</v>
      </c>
      <c r="F2678" s="12">
        <v>45002</v>
      </c>
      <c r="G2678" s="12">
        <v>45510</v>
      </c>
      <c r="H2678" s="11" t="s">
        <v>4032</v>
      </c>
      <c r="I2678" s="11" t="s">
        <v>3361</v>
      </c>
      <c r="J2678" s="13" t="str" cm="1">
        <f t="array" ref="J2678">_xlfn.IFS(
  OR(ISBLANK(A2678),ISBLANK(B2678),ISBLANK(H2678),ISBLANK(D2678),ISBLANK(E2678)),"Missing Value",
  D2678&lt;=0,"Review – Out of Range (Coverage)",
  E2678&lt;=0,"Review – Out of Range (Premium)",
  TRUE,"OK"
)</f>
        <v>OK</v>
      </c>
    </row>
    <row r="2679" spans="1:10" ht="16.8" x14ac:dyDescent="0.3">
      <c r="A2679" s="14" t="s">
        <v>6342</v>
      </c>
      <c r="B2679" s="14" t="s">
        <v>705</v>
      </c>
      <c r="C2679" s="14" t="s">
        <v>3371</v>
      </c>
      <c r="D2679" s="14">
        <v>532935.80000000005</v>
      </c>
      <c r="E2679" s="14">
        <v>7193.35</v>
      </c>
      <c r="F2679" s="15">
        <v>45366</v>
      </c>
      <c r="G2679" s="15">
        <v>45578</v>
      </c>
      <c r="H2679" s="14" t="s">
        <v>4151</v>
      </c>
      <c r="I2679" s="14" t="s">
        <v>3361</v>
      </c>
      <c r="J2679" s="13" t="str" cm="1">
        <f t="array" ref="J2679">_xlfn.IFS(
  OR(ISBLANK(A2679),ISBLANK(B2679),ISBLANK(H2679),ISBLANK(D2679),ISBLANK(E2679)),"Missing Value",
  D2679&lt;=0,"Review – Out of Range (Coverage)",
  E2679&lt;=0,"Review – Out of Range (Premium)",
  TRUE,"OK"
)</f>
        <v>OK</v>
      </c>
    </row>
    <row r="2680" spans="1:10" ht="16.8" x14ac:dyDescent="0.3">
      <c r="A2680" s="11" t="s">
        <v>6343</v>
      </c>
      <c r="B2680" s="11" t="s">
        <v>2611</v>
      </c>
      <c r="C2680" s="11" t="s">
        <v>3371</v>
      </c>
      <c r="D2680" s="11">
        <v>290796.93</v>
      </c>
      <c r="E2680" s="11">
        <v>7576.99</v>
      </c>
      <c r="F2680" s="12">
        <v>44614</v>
      </c>
      <c r="G2680" s="12">
        <v>45201</v>
      </c>
      <c r="H2680" s="11" t="s">
        <v>3401</v>
      </c>
      <c r="I2680" s="11" t="s">
        <v>3361</v>
      </c>
      <c r="J2680" s="13" t="str" cm="1">
        <f t="array" ref="J2680">_xlfn.IFS(
  OR(ISBLANK(A2680),ISBLANK(B2680),ISBLANK(H2680),ISBLANK(D2680),ISBLANK(E2680)),"Missing Value",
  D2680&lt;=0,"Review – Out of Range (Coverage)",
  E2680&lt;=0,"Review – Out of Range (Premium)",
  TRUE,"OK"
)</f>
        <v>OK</v>
      </c>
    </row>
    <row r="2681" spans="1:10" ht="16.8" x14ac:dyDescent="0.3">
      <c r="A2681" s="14" t="s">
        <v>6344</v>
      </c>
      <c r="B2681" s="14" t="s">
        <v>3062</v>
      </c>
      <c r="C2681" s="14" t="s">
        <v>3380</v>
      </c>
      <c r="D2681" s="14">
        <v>548399.72</v>
      </c>
      <c r="E2681" s="14">
        <v>14963.99</v>
      </c>
      <c r="F2681" s="15">
        <v>45317</v>
      </c>
      <c r="G2681" s="15">
        <v>45790</v>
      </c>
      <c r="H2681" s="14" t="s">
        <v>3528</v>
      </c>
      <c r="I2681" s="14" t="s">
        <v>3365</v>
      </c>
      <c r="J2681" s="13" t="str" cm="1">
        <f t="array" ref="J2681">_xlfn.IFS(
  OR(ISBLANK(A2681),ISBLANK(B2681),ISBLANK(H2681),ISBLANK(D2681),ISBLANK(E2681)),"Missing Value",
  D2681&lt;=0,"Review – Out of Range (Coverage)",
  E2681&lt;=0,"Review – Out of Range (Premium)",
  TRUE,"OK"
)</f>
        <v>OK</v>
      </c>
    </row>
    <row r="2682" spans="1:10" ht="16.8" x14ac:dyDescent="0.3">
      <c r="A2682" s="11" t="s">
        <v>6345</v>
      </c>
      <c r="B2682" s="11" t="s">
        <v>2939</v>
      </c>
      <c r="C2682" s="11" t="s">
        <v>3377</v>
      </c>
      <c r="D2682" s="11">
        <v>120992.54</v>
      </c>
      <c r="E2682" s="11">
        <v>27381.07</v>
      </c>
      <c r="F2682" s="12">
        <v>44748</v>
      </c>
      <c r="G2682" s="12">
        <v>44897</v>
      </c>
      <c r="H2682" s="11" t="s">
        <v>3923</v>
      </c>
      <c r="I2682" s="11" t="s">
        <v>3361</v>
      </c>
      <c r="J2682" s="13" t="str" cm="1">
        <f t="array" ref="J2682">_xlfn.IFS(
  OR(ISBLANK(A2682),ISBLANK(B2682),ISBLANK(H2682),ISBLANK(D2682),ISBLANK(E2682)),"Missing Value",
  D2682&lt;=0,"Review – Out of Range (Coverage)",
  E2682&lt;=0,"Review – Out of Range (Premium)",
  TRUE,"OK"
)</f>
        <v>OK</v>
      </c>
    </row>
    <row r="2683" spans="1:10" ht="16.8" x14ac:dyDescent="0.3">
      <c r="A2683" s="14" t="s">
        <v>6346</v>
      </c>
      <c r="B2683" s="14" t="s">
        <v>1085</v>
      </c>
      <c r="C2683" s="14" t="s">
        <v>3380</v>
      </c>
      <c r="D2683" s="14">
        <v>752418.91</v>
      </c>
      <c r="E2683" s="14">
        <v>6382.85</v>
      </c>
      <c r="F2683" s="15">
        <v>45042</v>
      </c>
      <c r="G2683" s="15">
        <v>45058</v>
      </c>
      <c r="H2683" s="14" t="s">
        <v>3360</v>
      </c>
      <c r="I2683" s="14" t="s">
        <v>3365</v>
      </c>
      <c r="J2683" s="13" t="str" cm="1">
        <f t="array" ref="J2683">_xlfn.IFS(
  OR(ISBLANK(A2683),ISBLANK(B2683),ISBLANK(H2683),ISBLANK(D2683),ISBLANK(E2683)),"Missing Value",
  D2683&lt;=0,"Review – Out of Range (Coverage)",
  E2683&lt;=0,"Review – Out of Range (Premium)",
  TRUE,"OK"
)</f>
        <v>OK</v>
      </c>
    </row>
    <row r="2684" spans="1:10" ht="16.8" x14ac:dyDescent="0.3">
      <c r="A2684" s="11" t="s">
        <v>6347</v>
      </c>
      <c r="B2684" s="11" t="s">
        <v>567</v>
      </c>
      <c r="C2684" s="11" t="s">
        <v>3363</v>
      </c>
      <c r="D2684" s="11">
        <v>872901.14</v>
      </c>
      <c r="E2684" s="11">
        <v>21281.71</v>
      </c>
      <c r="F2684" s="12">
        <v>45253</v>
      </c>
      <c r="G2684" s="12">
        <v>45680</v>
      </c>
      <c r="H2684" s="11" t="s">
        <v>3381</v>
      </c>
      <c r="I2684" s="11" t="s">
        <v>3361</v>
      </c>
      <c r="J2684" s="13" t="str" cm="1">
        <f t="array" ref="J2684">_xlfn.IFS(
  OR(ISBLANK(A2684),ISBLANK(B2684),ISBLANK(H2684),ISBLANK(D2684),ISBLANK(E2684)),"Missing Value",
  D2684&lt;=0,"Review – Out of Range (Coverage)",
  E2684&lt;=0,"Review – Out of Range (Premium)",
  TRUE,"OK"
)</f>
        <v>OK</v>
      </c>
    </row>
    <row r="2685" spans="1:10" ht="16.8" x14ac:dyDescent="0.3">
      <c r="A2685" s="14" t="s">
        <v>6348</v>
      </c>
      <c r="B2685" s="14" t="s">
        <v>1023</v>
      </c>
      <c r="C2685" s="14" t="s">
        <v>3359</v>
      </c>
      <c r="D2685" s="14">
        <v>387502.87</v>
      </c>
      <c r="E2685" s="14">
        <v>9107.6299999999992</v>
      </c>
      <c r="F2685" s="15">
        <v>45326</v>
      </c>
      <c r="G2685" s="15">
        <v>45525</v>
      </c>
      <c r="H2685" s="14" t="s">
        <v>4076</v>
      </c>
      <c r="I2685" s="14" t="s">
        <v>3365</v>
      </c>
      <c r="J2685" s="13" t="str" cm="1">
        <f t="array" ref="J2685">_xlfn.IFS(
  OR(ISBLANK(A2685),ISBLANK(B2685),ISBLANK(H2685),ISBLANK(D2685),ISBLANK(E2685)),"Missing Value",
  D2685&lt;=0,"Review – Out of Range (Coverage)",
  E2685&lt;=0,"Review – Out of Range (Premium)",
  TRUE,"OK"
)</f>
        <v>OK</v>
      </c>
    </row>
    <row r="2686" spans="1:10" ht="16.8" x14ac:dyDescent="0.3">
      <c r="A2686" s="11" t="s">
        <v>6349</v>
      </c>
      <c r="B2686" s="11" t="s">
        <v>633</v>
      </c>
      <c r="C2686" s="11" t="s">
        <v>3371</v>
      </c>
      <c r="D2686" s="11">
        <v>418979.52</v>
      </c>
      <c r="E2686" s="11">
        <v>13561.27</v>
      </c>
      <c r="F2686" s="12">
        <v>45226</v>
      </c>
      <c r="G2686" s="12">
        <v>45707</v>
      </c>
      <c r="H2686" s="11" t="s">
        <v>3733</v>
      </c>
      <c r="I2686" s="11" t="s">
        <v>3361</v>
      </c>
      <c r="J2686" s="13" t="str" cm="1">
        <f t="array" ref="J2686">_xlfn.IFS(
  OR(ISBLANK(A2686),ISBLANK(B2686),ISBLANK(H2686),ISBLANK(D2686),ISBLANK(E2686)),"Missing Value",
  D2686&lt;=0,"Review – Out of Range (Coverage)",
  E2686&lt;=0,"Review – Out of Range (Premium)",
  TRUE,"OK"
)</f>
        <v>OK</v>
      </c>
    </row>
    <row r="2687" spans="1:10" ht="16.8" x14ac:dyDescent="0.3">
      <c r="A2687" s="14" t="s">
        <v>6350</v>
      </c>
      <c r="B2687" s="14" t="s">
        <v>1955</v>
      </c>
      <c r="C2687" s="14" t="s">
        <v>3377</v>
      </c>
      <c r="D2687" s="14">
        <v>779169.57</v>
      </c>
      <c r="E2687" s="14">
        <v>15230.71</v>
      </c>
      <c r="F2687" s="15">
        <v>45081</v>
      </c>
      <c r="G2687" s="15">
        <v>45467</v>
      </c>
      <c r="H2687" s="14" t="s">
        <v>4732</v>
      </c>
      <c r="I2687" s="14" t="s">
        <v>3361</v>
      </c>
      <c r="J2687" s="13" t="str" cm="1">
        <f t="array" ref="J2687">_xlfn.IFS(
  OR(ISBLANK(A2687),ISBLANK(B2687),ISBLANK(H2687),ISBLANK(D2687),ISBLANK(E2687)),"Missing Value",
  D2687&lt;=0,"Review – Out of Range (Coverage)",
  E2687&lt;=0,"Review – Out of Range (Premium)",
  TRUE,"OK"
)</f>
        <v>OK</v>
      </c>
    </row>
    <row r="2688" spans="1:10" ht="16.8" x14ac:dyDescent="0.3">
      <c r="A2688" s="11" t="s">
        <v>6351</v>
      </c>
      <c r="B2688" s="11" t="s">
        <v>2299</v>
      </c>
      <c r="C2688" s="11" t="s">
        <v>3363</v>
      </c>
      <c r="D2688" s="11">
        <v>152745.31</v>
      </c>
      <c r="E2688" s="11">
        <v>9569.23</v>
      </c>
      <c r="F2688" s="12">
        <v>45377</v>
      </c>
      <c r="G2688" s="12">
        <v>45515</v>
      </c>
      <c r="H2688" s="11" t="s">
        <v>4900</v>
      </c>
      <c r="I2688" s="11" t="s">
        <v>3361</v>
      </c>
      <c r="J2688" s="13" t="str" cm="1">
        <f t="array" ref="J2688">_xlfn.IFS(
  OR(ISBLANK(A2688),ISBLANK(B2688),ISBLANK(H2688),ISBLANK(D2688),ISBLANK(E2688)),"Missing Value",
  D2688&lt;=0,"Review – Out of Range (Coverage)",
  E2688&lt;=0,"Review – Out of Range (Premium)",
  TRUE,"OK"
)</f>
        <v>OK</v>
      </c>
    </row>
    <row r="2689" spans="1:10" ht="16.8" x14ac:dyDescent="0.3">
      <c r="A2689" s="14" t="s">
        <v>6352</v>
      </c>
      <c r="B2689" s="14" t="s">
        <v>2299</v>
      </c>
      <c r="C2689" s="14" t="s">
        <v>3359</v>
      </c>
      <c r="D2689" s="14">
        <v>516159.25</v>
      </c>
      <c r="E2689" s="14">
        <v>9502.0499999999993</v>
      </c>
      <c r="F2689" s="15">
        <v>44540</v>
      </c>
      <c r="G2689" s="15">
        <v>44782</v>
      </c>
      <c r="H2689" s="14" t="s">
        <v>3438</v>
      </c>
      <c r="I2689" s="14" t="s">
        <v>3361</v>
      </c>
      <c r="J2689" s="13" t="str" cm="1">
        <f t="array" ref="J2689">_xlfn.IFS(
  OR(ISBLANK(A2689),ISBLANK(B2689),ISBLANK(H2689),ISBLANK(D2689),ISBLANK(E2689)),"Missing Value",
  D2689&lt;=0,"Review – Out of Range (Coverage)",
  E2689&lt;=0,"Review – Out of Range (Premium)",
  TRUE,"OK"
)</f>
        <v>OK</v>
      </c>
    </row>
    <row r="2690" spans="1:10" ht="16.8" x14ac:dyDescent="0.3">
      <c r="A2690" s="11" t="s">
        <v>6353</v>
      </c>
      <c r="B2690" s="11" t="s">
        <v>3244</v>
      </c>
      <c r="C2690" s="11" t="s">
        <v>3380</v>
      </c>
      <c r="D2690" s="11">
        <v>748321.15</v>
      </c>
      <c r="E2690" s="11">
        <v>24804.39</v>
      </c>
      <c r="F2690" s="12">
        <v>45481</v>
      </c>
      <c r="G2690" s="12">
        <v>45707</v>
      </c>
      <c r="H2690" s="11" t="s">
        <v>3538</v>
      </c>
      <c r="I2690" s="11" t="s">
        <v>3373</v>
      </c>
      <c r="J2690" s="13" t="str" cm="1">
        <f t="array" ref="J2690">_xlfn.IFS(
  OR(ISBLANK(A2690),ISBLANK(B2690),ISBLANK(H2690),ISBLANK(D2690),ISBLANK(E2690)),"Missing Value",
  D2690&lt;=0,"Review – Out of Range (Coverage)",
  E2690&lt;=0,"Review – Out of Range (Premium)",
  TRUE,"OK"
)</f>
        <v>OK</v>
      </c>
    </row>
    <row r="2691" spans="1:10" ht="16.8" x14ac:dyDescent="0.3">
      <c r="A2691" s="14" t="s">
        <v>6354</v>
      </c>
      <c r="B2691" s="14" t="s">
        <v>3328</v>
      </c>
      <c r="C2691" s="14" t="s">
        <v>3363</v>
      </c>
      <c r="D2691" s="14">
        <v>274464.74</v>
      </c>
      <c r="E2691" s="14">
        <v>3712.15</v>
      </c>
      <c r="F2691" s="15">
        <v>45495</v>
      </c>
      <c r="G2691" s="15">
        <v>45655</v>
      </c>
      <c r="H2691" s="14" t="s">
        <v>3612</v>
      </c>
      <c r="I2691" s="14" t="s">
        <v>3365</v>
      </c>
      <c r="J2691" s="13" t="str" cm="1">
        <f t="array" ref="J2691">_xlfn.IFS(
  OR(ISBLANK(A2691),ISBLANK(B2691),ISBLANK(H2691),ISBLANK(D2691),ISBLANK(E2691)),"Missing Value",
  D2691&lt;=0,"Review – Out of Range (Coverage)",
  E2691&lt;=0,"Review – Out of Range (Premium)",
  TRUE,"OK"
)</f>
        <v>OK</v>
      </c>
    </row>
    <row r="2692" spans="1:10" ht="16.8" x14ac:dyDescent="0.3">
      <c r="A2692" s="11" t="s">
        <v>6355</v>
      </c>
      <c r="B2692" s="11" t="s">
        <v>2491</v>
      </c>
      <c r="C2692" s="11" t="s">
        <v>3363</v>
      </c>
      <c r="D2692" s="11">
        <v>164299.24</v>
      </c>
      <c r="E2692" s="11">
        <v>36558.85</v>
      </c>
      <c r="F2692" s="12">
        <v>45094</v>
      </c>
      <c r="G2692" s="12">
        <v>45674</v>
      </c>
      <c r="H2692" s="11" t="s">
        <v>4123</v>
      </c>
      <c r="I2692" s="11" t="s">
        <v>3365</v>
      </c>
      <c r="J2692" s="13" t="str" cm="1">
        <f t="array" ref="J2692">_xlfn.IFS(
  OR(ISBLANK(A2692),ISBLANK(B2692),ISBLANK(H2692),ISBLANK(D2692),ISBLANK(E2692)),"Missing Value",
  D2692&lt;=0,"Review – Out of Range (Coverage)",
  E2692&lt;=0,"Review – Out of Range (Premium)",
  TRUE,"OK"
)</f>
        <v>OK</v>
      </c>
    </row>
    <row r="2693" spans="1:10" ht="16.8" x14ac:dyDescent="0.3">
      <c r="A2693" s="14" t="s">
        <v>6356</v>
      </c>
      <c r="B2693" s="14" t="s">
        <v>1309</v>
      </c>
      <c r="C2693" s="14" t="s">
        <v>3363</v>
      </c>
      <c r="D2693" s="14">
        <v>972148.25</v>
      </c>
      <c r="E2693" s="14">
        <v>29392.01</v>
      </c>
      <c r="F2693" s="15">
        <v>45079</v>
      </c>
      <c r="G2693" s="15">
        <v>45535</v>
      </c>
      <c r="H2693" s="14" t="s">
        <v>3488</v>
      </c>
      <c r="I2693" s="14" t="s">
        <v>3373</v>
      </c>
      <c r="J2693" s="13" t="str" cm="1">
        <f t="array" ref="J2693">_xlfn.IFS(
  OR(ISBLANK(A2693),ISBLANK(B2693),ISBLANK(H2693),ISBLANK(D2693),ISBLANK(E2693)),"Missing Value",
  D2693&lt;=0,"Review – Out of Range (Coverage)",
  E2693&lt;=0,"Review – Out of Range (Premium)",
  TRUE,"OK"
)</f>
        <v>OK</v>
      </c>
    </row>
    <row r="2694" spans="1:10" ht="16.8" x14ac:dyDescent="0.3">
      <c r="A2694" s="11" t="s">
        <v>6357</v>
      </c>
      <c r="B2694" s="11" t="s">
        <v>839</v>
      </c>
      <c r="C2694" s="11" t="s">
        <v>3380</v>
      </c>
      <c r="D2694" s="11">
        <v>707757.11</v>
      </c>
      <c r="E2694" s="11">
        <v>44159.61</v>
      </c>
      <c r="F2694" s="12">
        <v>44503</v>
      </c>
      <c r="G2694" s="12">
        <v>44755</v>
      </c>
      <c r="H2694" s="11" t="s">
        <v>3484</v>
      </c>
      <c r="I2694" s="11" t="s">
        <v>3361</v>
      </c>
      <c r="J2694" s="13" t="str" cm="1">
        <f t="array" ref="J2694">_xlfn.IFS(
  OR(ISBLANK(A2694),ISBLANK(B2694),ISBLANK(H2694),ISBLANK(D2694),ISBLANK(E2694)),"Missing Value",
  D2694&lt;=0,"Review – Out of Range (Coverage)",
  E2694&lt;=0,"Review – Out of Range (Premium)",
  TRUE,"OK"
)</f>
        <v>OK</v>
      </c>
    </row>
    <row r="2695" spans="1:10" ht="16.8" x14ac:dyDescent="0.3">
      <c r="A2695" s="14" t="s">
        <v>6358</v>
      </c>
      <c r="B2695" s="14" t="s">
        <v>3330</v>
      </c>
      <c r="C2695" s="14" t="s">
        <v>3380</v>
      </c>
      <c r="D2695" s="14">
        <v>710722.98</v>
      </c>
      <c r="E2695" s="14">
        <v>9646.93</v>
      </c>
      <c r="F2695" s="15">
        <v>44848</v>
      </c>
      <c r="G2695" s="15">
        <v>44953</v>
      </c>
      <c r="H2695" s="14" t="s">
        <v>4198</v>
      </c>
      <c r="I2695" s="14" t="s">
        <v>3365</v>
      </c>
      <c r="J2695" s="13" t="str" cm="1">
        <f t="array" ref="J2695">_xlfn.IFS(
  OR(ISBLANK(A2695),ISBLANK(B2695),ISBLANK(H2695),ISBLANK(D2695),ISBLANK(E2695)),"Missing Value",
  D2695&lt;=0,"Review – Out of Range (Coverage)",
  E2695&lt;=0,"Review – Out of Range (Premium)",
  TRUE,"OK"
)</f>
        <v>OK</v>
      </c>
    </row>
    <row r="2696" spans="1:10" ht="16.8" x14ac:dyDescent="0.3">
      <c r="A2696" s="11" t="s">
        <v>6359</v>
      </c>
      <c r="B2696" s="11" t="s">
        <v>2487</v>
      </c>
      <c r="C2696" s="11" t="s">
        <v>3380</v>
      </c>
      <c r="D2696" s="11">
        <v>890844.57</v>
      </c>
      <c r="E2696" s="11">
        <v>49964.15</v>
      </c>
      <c r="F2696" s="12">
        <v>44842</v>
      </c>
      <c r="G2696" s="12">
        <v>45654</v>
      </c>
      <c r="H2696" s="11" t="s">
        <v>4660</v>
      </c>
      <c r="I2696" s="11" t="s">
        <v>3365</v>
      </c>
      <c r="J2696" s="13" t="str" cm="1">
        <f t="array" ref="J2696">_xlfn.IFS(
  OR(ISBLANK(A2696),ISBLANK(B2696),ISBLANK(H2696),ISBLANK(D2696),ISBLANK(E2696)),"Missing Value",
  D2696&lt;=0,"Review – Out of Range (Coverage)",
  E2696&lt;=0,"Review – Out of Range (Premium)",
  TRUE,"OK"
)</f>
        <v>OK</v>
      </c>
    </row>
    <row r="2697" spans="1:10" ht="16.8" x14ac:dyDescent="0.3">
      <c r="A2697" s="14" t="s">
        <v>6360</v>
      </c>
      <c r="B2697" s="14" t="s">
        <v>2689</v>
      </c>
      <c r="C2697" s="14" t="s">
        <v>3359</v>
      </c>
      <c r="D2697" s="14">
        <v>168426.7</v>
      </c>
      <c r="E2697" s="14">
        <v>6666.55</v>
      </c>
      <c r="F2697" s="15">
        <v>44783</v>
      </c>
      <c r="G2697" s="15">
        <v>44989</v>
      </c>
      <c r="H2697" s="14" t="s">
        <v>3725</v>
      </c>
      <c r="I2697" s="14" t="s">
        <v>3361</v>
      </c>
      <c r="J2697" s="13" t="str" cm="1">
        <f t="array" ref="J2697">_xlfn.IFS(
  OR(ISBLANK(A2697),ISBLANK(B2697),ISBLANK(H2697),ISBLANK(D2697),ISBLANK(E2697)),"Missing Value",
  D2697&lt;=0,"Review – Out of Range (Coverage)",
  E2697&lt;=0,"Review – Out of Range (Premium)",
  TRUE,"OK"
)</f>
        <v>OK</v>
      </c>
    </row>
    <row r="2698" spans="1:10" ht="16.8" x14ac:dyDescent="0.3">
      <c r="A2698" s="11" t="s">
        <v>6361</v>
      </c>
      <c r="B2698" s="11" t="s">
        <v>733</v>
      </c>
      <c r="C2698" s="11" t="s">
        <v>3363</v>
      </c>
      <c r="D2698" s="11">
        <v>174518.05</v>
      </c>
      <c r="E2698" s="11">
        <v>5679.44</v>
      </c>
      <c r="F2698" s="12">
        <v>44594</v>
      </c>
      <c r="G2698" s="12">
        <v>44837</v>
      </c>
      <c r="H2698" s="11" t="s">
        <v>3599</v>
      </c>
      <c r="I2698" s="11" t="s">
        <v>3373</v>
      </c>
      <c r="J2698" s="13" t="str" cm="1">
        <f t="array" ref="J2698">_xlfn.IFS(
  OR(ISBLANK(A2698),ISBLANK(B2698),ISBLANK(H2698),ISBLANK(D2698),ISBLANK(E2698)),"Missing Value",
  D2698&lt;=0,"Review – Out of Range (Coverage)",
  E2698&lt;=0,"Review – Out of Range (Premium)",
  TRUE,"OK"
)</f>
        <v>OK</v>
      </c>
    </row>
    <row r="2699" spans="1:10" ht="16.8" x14ac:dyDescent="0.3">
      <c r="A2699" s="14" t="s">
        <v>6362</v>
      </c>
      <c r="B2699" s="14" t="s">
        <v>1275</v>
      </c>
      <c r="C2699" s="14" t="s">
        <v>3380</v>
      </c>
      <c r="D2699" s="14">
        <v>703127.65</v>
      </c>
      <c r="E2699" s="14">
        <v>26228.62</v>
      </c>
      <c r="F2699" s="15">
        <v>45016</v>
      </c>
      <c r="G2699" s="15">
        <v>45157</v>
      </c>
      <c r="H2699" s="14" t="s">
        <v>3709</v>
      </c>
      <c r="I2699" s="14" t="s">
        <v>3365</v>
      </c>
      <c r="J2699" s="13" t="str" cm="1">
        <f t="array" ref="J2699">_xlfn.IFS(
  OR(ISBLANK(A2699),ISBLANK(B2699),ISBLANK(H2699),ISBLANK(D2699),ISBLANK(E2699)),"Missing Value",
  D2699&lt;=0,"Review – Out of Range (Coverage)",
  E2699&lt;=0,"Review – Out of Range (Premium)",
  TRUE,"OK"
)</f>
        <v>OK</v>
      </c>
    </row>
    <row r="2700" spans="1:10" ht="16.8" x14ac:dyDescent="0.3">
      <c r="A2700" s="11" t="s">
        <v>6363</v>
      </c>
      <c r="B2700" s="11" t="s">
        <v>1237</v>
      </c>
      <c r="C2700" s="11" t="s">
        <v>3380</v>
      </c>
      <c r="D2700" s="11">
        <v>704950.31</v>
      </c>
      <c r="E2700" s="11">
        <v>23424.29</v>
      </c>
      <c r="F2700" s="12">
        <v>45255</v>
      </c>
      <c r="G2700" s="12">
        <v>45589</v>
      </c>
      <c r="H2700" s="11" t="s">
        <v>3903</v>
      </c>
      <c r="I2700" s="11" t="s">
        <v>3361</v>
      </c>
      <c r="J2700" s="13" t="str" cm="1">
        <f t="array" ref="J2700">_xlfn.IFS(
  OR(ISBLANK(A2700),ISBLANK(B2700),ISBLANK(H2700),ISBLANK(D2700),ISBLANK(E2700)),"Missing Value",
  D2700&lt;=0,"Review – Out of Range (Coverage)",
  E2700&lt;=0,"Review – Out of Range (Premium)",
  TRUE,"OK"
)</f>
        <v>OK</v>
      </c>
    </row>
    <row r="2701" spans="1:10" ht="16.8" x14ac:dyDescent="0.3">
      <c r="A2701" s="14" t="s">
        <v>6364</v>
      </c>
      <c r="B2701" s="14" t="s">
        <v>82</v>
      </c>
      <c r="C2701" s="14" t="s">
        <v>3371</v>
      </c>
      <c r="D2701" s="14">
        <v>453013.14</v>
      </c>
      <c r="E2701" s="14">
        <v>28742.06</v>
      </c>
      <c r="F2701" s="15">
        <v>45329</v>
      </c>
      <c r="G2701" s="15">
        <v>45723</v>
      </c>
      <c r="H2701" s="14" t="s">
        <v>3923</v>
      </c>
      <c r="I2701" s="14" t="s">
        <v>3373</v>
      </c>
      <c r="J2701" s="13" t="str" cm="1">
        <f t="array" ref="J2701">_xlfn.IFS(
  OR(ISBLANK(A2701),ISBLANK(B2701),ISBLANK(H2701),ISBLANK(D2701),ISBLANK(E2701)),"Missing Value",
  D2701&lt;=0,"Review – Out of Range (Coverage)",
  E2701&lt;=0,"Review – Out of Range (Premium)",
  TRUE,"OK"
)</f>
        <v>OK</v>
      </c>
    </row>
    <row r="2702" spans="1:10" ht="16.8" x14ac:dyDescent="0.3">
      <c r="A2702" s="11" t="s">
        <v>6365</v>
      </c>
      <c r="B2702" s="11" t="s">
        <v>1843</v>
      </c>
      <c r="C2702" s="11" t="s">
        <v>3380</v>
      </c>
      <c r="D2702" s="11">
        <v>191152.08</v>
      </c>
      <c r="E2702" s="11">
        <v>47546.52</v>
      </c>
      <c r="F2702" s="12">
        <v>45317</v>
      </c>
      <c r="G2702" s="12">
        <v>45509</v>
      </c>
      <c r="H2702" s="11" t="s">
        <v>6366</v>
      </c>
      <c r="I2702" s="11" t="s">
        <v>3373</v>
      </c>
      <c r="J2702" s="13" t="str" cm="1">
        <f t="array" ref="J2702">_xlfn.IFS(
  OR(ISBLANK(A2702),ISBLANK(B2702),ISBLANK(H2702),ISBLANK(D2702),ISBLANK(E2702)),"Missing Value",
  D2702&lt;=0,"Review – Out of Range (Coverage)",
  E2702&lt;=0,"Review – Out of Range (Premium)",
  TRUE,"OK"
)</f>
        <v>OK</v>
      </c>
    </row>
    <row r="2703" spans="1:10" ht="16.8" x14ac:dyDescent="0.3">
      <c r="A2703" s="14" t="s">
        <v>6367</v>
      </c>
      <c r="B2703" s="14" t="s">
        <v>1119</v>
      </c>
      <c r="C2703" s="14" t="s">
        <v>3359</v>
      </c>
      <c r="D2703" s="14">
        <v>902830.63</v>
      </c>
      <c r="E2703" s="14">
        <v>38402.480000000003</v>
      </c>
      <c r="F2703" s="15">
        <v>45372</v>
      </c>
      <c r="G2703" s="15">
        <v>45752</v>
      </c>
      <c r="H2703" s="14" t="s">
        <v>4190</v>
      </c>
      <c r="I2703" s="14" t="s">
        <v>3365</v>
      </c>
      <c r="J2703" s="13" t="str" cm="1">
        <f t="array" ref="J2703">_xlfn.IFS(
  OR(ISBLANK(A2703),ISBLANK(B2703),ISBLANK(H2703),ISBLANK(D2703),ISBLANK(E2703)),"Missing Value",
  D2703&lt;=0,"Review – Out of Range (Coverage)",
  E2703&lt;=0,"Review – Out of Range (Premium)",
  TRUE,"OK"
)</f>
        <v>OK</v>
      </c>
    </row>
    <row r="2704" spans="1:10" ht="16.8" x14ac:dyDescent="0.3">
      <c r="A2704" s="11" t="s">
        <v>6368</v>
      </c>
      <c r="B2704" s="11" t="s">
        <v>1935</v>
      </c>
      <c r="C2704" s="11" t="s">
        <v>3363</v>
      </c>
      <c r="D2704" s="11">
        <v>684577.87</v>
      </c>
      <c r="E2704" s="11">
        <v>30132.37</v>
      </c>
      <c r="F2704" s="12">
        <v>44374</v>
      </c>
      <c r="G2704" s="12">
        <v>45150</v>
      </c>
      <c r="H2704" s="11" t="s">
        <v>3806</v>
      </c>
      <c r="I2704" s="11" t="s">
        <v>3361</v>
      </c>
      <c r="J2704" s="13" t="str" cm="1">
        <f t="array" ref="J2704">_xlfn.IFS(
  OR(ISBLANK(A2704),ISBLANK(B2704),ISBLANK(H2704),ISBLANK(D2704),ISBLANK(E2704)),"Missing Value",
  D2704&lt;=0,"Review – Out of Range (Coverage)",
  E2704&lt;=0,"Review – Out of Range (Premium)",
  TRUE,"OK"
)</f>
        <v>OK</v>
      </c>
    </row>
    <row r="2705" spans="1:10" ht="16.8" x14ac:dyDescent="0.3">
      <c r="A2705" s="14" t="s">
        <v>6369</v>
      </c>
      <c r="B2705" s="14" t="s">
        <v>813</v>
      </c>
      <c r="C2705" s="14" t="s">
        <v>3371</v>
      </c>
      <c r="D2705" s="14">
        <v>468982.5</v>
      </c>
      <c r="E2705" s="14">
        <v>41596.04</v>
      </c>
      <c r="F2705" s="15">
        <v>44916</v>
      </c>
      <c r="G2705" s="15">
        <v>45464</v>
      </c>
      <c r="H2705" s="14" t="s">
        <v>3369</v>
      </c>
      <c r="I2705" s="14" t="s">
        <v>3365</v>
      </c>
      <c r="J2705" s="13" t="str" cm="1">
        <f t="array" ref="J2705">_xlfn.IFS(
  OR(ISBLANK(A2705),ISBLANK(B2705),ISBLANK(H2705),ISBLANK(D2705),ISBLANK(E2705)),"Missing Value",
  D2705&lt;=0,"Review – Out of Range (Coverage)",
  E2705&lt;=0,"Review – Out of Range (Premium)",
  TRUE,"OK"
)</f>
        <v>OK</v>
      </c>
    </row>
    <row r="2706" spans="1:10" ht="16.8" x14ac:dyDescent="0.3">
      <c r="A2706" s="11" t="s">
        <v>6370</v>
      </c>
      <c r="B2706" s="11" t="s">
        <v>2295</v>
      </c>
      <c r="C2706" s="11" t="s">
        <v>3377</v>
      </c>
      <c r="D2706" s="11">
        <v>837677.9</v>
      </c>
      <c r="E2706" s="11">
        <v>11107.06</v>
      </c>
      <c r="F2706" s="12">
        <v>44659</v>
      </c>
      <c r="G2706" s="12">
        <v>45356</v>
      </c>
      <c r="H2706" s="11" t="s">
        <v>4158</v>
      </c>
      <c r="I2706" s="11" t="s">
        <v>3373</v>
      </c>
      <c r="J2706" s="13" t="str" cm="1">
        <f t="array" ref="J2706">_xlfn.IFS(
  OR(ISBLANK(A2706),ISBLANK(B2706),ISBLANK(H2706),ISBLANK(D2706),ISBLANK(E2706)),"Missing Value",
  D2706&lt;=0,"Review – Out of Range (Coverage)",
  E2706&lt;=0,"Review – Out of Range (Premium)",
  TRUE,"OK"
)</f>
        <v>OK</v>
      </c>
    </row>
    <row r="2707" spans="1:10" ht="16.8" x14ac:dyDescent="0.3">
      <c r="A2707" s="14" t="s">
        <v>6371</v>
      </c>
      <c r="B2707" s="14" t="s">
        <v>1457</v>
      </c>
      <c r="C2707" s="14" t="s">
        <v>3377</v>
      </c>
      <c r="D2707" s="14">
        <v>130281.62</v>
      </c>
      <c r="E2707" s="14">
        <v>6610.5</v>
      </c>
      <c r="F2707" s="15">
        <v>45070</v>
      </c>
      <c r="G2707" s="15">
        <v>45641</v>
      </c>
      <c r="H2707" s="14" t="s">
        <v>3393</v>
      </c>
      <c r="I2707" s="14" t="s">
        <v>3373</v>
      </c>
      <c r="J2707" s="13" t="str" cm="1">
        <f t="array" ref="J2707">_xlfn.IFS(
  OR(ISBLANK(A2707),ISBLANK(B2707),ISBLANK(H2707),ISBLANK(D2707),ISBLANK(E2707)),"Missing Value",
  D2707&lt;=0,"Review – Out of Range (Coverage)",
  E2707&lt;=0,"Review – Out of Range (Premium)",
  TRUE,"OK"
)</f>
        <v>OK</v>
      </c>
    </row>
    <row r="2708" spans="1:10" ht="16.8" x14ac:dyDescent="0.3">
      <c r="A2708" s="11" t="s">
        <v>6372</v>
      </c>
      <c r="B2708" s="11" t="s">
        <v>1057</v>
      </c>
      <c r="C2708" s="11" t="s">
        <v>3359</v>
      </c>
      <c r="D2708" s="11">
        <v>774742.01</v>
      </c>
      <c r="E2708" s="11">
        <v>36027.9</v>
      </c>
      <c r="F2708" s="12">
        <v>45473</v>
      </c>
      <c r="G2708" s="12">
        <v>45862</v>
      </c>
      <c r="H2708" s="11" t="s">
        <v>3923</v>
      </c>
      <c r="I2708" s="11" t="s">
        <v>3361</v>
      </c>
      <c r="J2708" s="13" t="str" cm="1">
        <f t="array" ref="J2708">_xlfn.IFS(
  OR(ISBLANK(A2708),ISBLANK(B2708),ISBLANK(H2708),ISBLANK(D2708),ISBLANK(E2708)),"Missing Value",
  D2708&lt;=0,"Review – Out of Range (Coverage)",
  E2708&lt;=0,"Review – Out of Range (Premium)",
  TRUE,"OK"
)</f>
        <v>OK</v>
      </c>
    </row>
    <row r="2709" spans="1:10" ht="16.8" x14ac:dyDescent="0.3">
      <c r="A2709" s="14" t="s">
        <v>6373</v>
      </c>
      <c r="B2709" s="14" t="s">
        <v>1291</v>
      </c>
      <c r="C2709" s="14" t="s">
        <v>3371</v>
      </c>
      <c r="D2709" s="14">
        <v>423187.32</v>
      </c>
      <c r="E2709" s="14">
        <v>43095.06</v>
      </c>
      <c r="F2709" s="15">
        <v>45379</v>
      </c>
      <c r="G2709" s="15">
        <v>45816</v>
      </c>
      <c r="H2709" s="14" t="s">
        <v>4090</v>
      </c>
      <c r="I2709" s="14" t="s">
        <v>3365</v>
      </c>
      <c r="J2709" s="13" t="str" cm="1">
        <f t="array" ref="J2709">_xlfn.IFS(
  OR(ISBLANK(A2709),ISBLANK(B2709),ISBLANK(H2709),ISBLANK(D2709),ISBLANK(E2709)),"Missing Value",
  D2709&lt;=0,"Review – Out of Range (Coverage)",
  E2709&lt;=0,"Review – Out of Range (Premium)",
  TRUE,"OK"
)</f>
        <v>OK</v>
      </c>
    </row>
    <row r="2710" spans="1:10" ht="16.8" x14ac:dyDescent="0.3">
      <c r="A2710" s="11" t="s">
        <v>6374</v>
      </c>
      <c r="B2710" s="11" t="s">
        <v>1127</v>
      </c>
      <c r="C2710" s="11" t="s">
        <v>3380</v>
      </c>
      <c r="D2710" s="11">
        <v>279659.75</v>
      </c>
      <c r="E2710" s="11">
        <v>43045.96</v>
      </c>
      <c r="F2710" s="12">
        <v>44864</v>
      </c>
      <c r="G2710" s="12">
        <v>45522</v>
      </c>
      <c r="H2710" s="11" t="s">
        <v>4671</v>
      </c>
      <c r="I2710" s="11" t="s">
        <v>3365</v>
      </c>
      <c r="J2710" s="13" t="str" cm="1">
        <f t="array" ref="J2710">_xlfn.IFS(
  OR(ISBLANK(A2710),ISBLANK(B2710),ISBLANK(H2710),ISBLANK(D2710),ISBLANK(E2710)),"Missing Value",
  D2710&lt;=0,"Review – Out of Range (Coverage)",
  E2710&lt;=0,"Review – Out of Range (Premium)",
  TRUE,"OK"
)</f>
        <v>OK</v>
      </c>
    </row>
    <row r="2711" spans="1:10" ht="16.8" x14ac:dyDescent="0.3">
      <c r="A2711" s="14" t="s">
        <v>6375</v>
      </c>
      <c r="B2711" s="14" t="s">
        <v>418</v>
      </c>
      <c r="C2711" s="14" t="s">
        <v>3380</v>
      </c>
      <c r="D2711" s="14">
        <v>259338.56</v>
      </c>
      <c r="E2711" s="14">
        <v>15367.17</v>
      </c>
      <c r="F2711" s="15">
        <v>44927</v>
      </c>
      <c r="G2711" s="15">
        <v>45669</v>
      </c>
      <c r="H2711" s="14" t="s">
        <v>3968</v>
      </c>
      <c r="I2711" s="14" t="s">
        <v>3365</v>
      </c>
      <c r="J2711" s="13" t="str" cm="1">
        <f t="array" ref="J2711">_xlfn.IFS(
  OR(ISBLANK(A2711),ISBLANK(B2711),ISBLANK(H2711),ISBLANK(D2711),ISBLANK(E2711)),"Missing Value",
  D2711&lt;=0,"Review – Out of Range (Coverage)",
  E2711&lt;=0,"Review – Out of Range (Premium)",
  TRUE,"OK"
)</f>
        <v>OK</v>
      </c>
    </row>
    <row r="2712" spans="1:10" ht="16.8" x14ac:dyDescent="0.3">
      <c r="A2712" s="11" t="s">
        <v>6376</v>
      </c>
      <c r="B2712" s="11" t="s">
        <v>1001</v>
      </c>
      <c r="C2712" s="11" t="s">
        <v>3371</v>
      </c>
      <c r="D2712" s="11">
        <v>362027.35</v>
      </c>
      <c r="E2712" s="11">
        <v>11976.97</v>
      </c>
      <c r="F2712" s="12">
        <v>44620</v>
      </c>
      <c r="G2712" s="12">
        <v>45593</v>
      </c>
      <c r="H2712" s="11" t="s">
        <v>3770</v>
      </c>
      <c r="I2712" s="11" t="s">
        <v>3365</v>
      </c>
      <c r="J2712" s="13" t="str" cm="1">
        <f t="array" ref="J2712">_xlfn.IFS(
  OR(ISBLANK(A2712),ISBLANK(B2712),ISBLANK(H2712),ISBLANK(D2712),ISBLANK(E2712)),"Missing Value",
  D2712&lt;=0,"Review – Out of Range (Coverage)",
  E2712&lt;=0,"Review – Out of Range (Premium)",
  TRUE,"OK"
)</f>
        <v>OK</v>
      </c>
    </row>
    <row r="2713" spans="1:10" ht="16.8" x14ac:dyDescent="0.3">
      <c r="A2713" s="14" t="s">
        <v>6377</v>
      </c>
      <c r="B2713" s="14" t="s">
        <v>841</v>
      </c>
      <c r="C2713" s="14" t="s">
        <v>3359</v>
      </c>
      <c r="D2713" s="14">
        <v>227275.72</v>
      </c>
      <c r="E2713" s="14">
        <v>17201.96</v>
      </c>
      <c r="F2713" s="15">
        <v>45066</v>
      </c>
      <c r="G2713" s="15">
        <v>45396</v>
      </c>
      <c r="H2713" s="14" t="s">
        <v>3534</v>
      </c>
      <c r="I2713" s="14" t="s">
        <v>3361</v>
      </c>
      <c r="J2713" s="13" t="str" cm="1">
        <f t="array" ref="J2713">_xlfn.IFS(
  OR(ISBLANK(A2713),ISBLANK(B2713),ISBLANK(H2713),ISBLANK(D2713),ISBLANK(E2713)),"Missing Value",
  D2713&lt;=0,"Review – Out of Range (Coverage)",
  E2713&lt;=0,"Review – Out of Range (Premium)",
  TRUE,"OK"
)</f>
        <v>OK</v>
      </c>
    </row>
    <row r="2714" spans="1:10" ht="16.8" x14ac:dyDescent="0.3">
      <c r="A2714" s="11" t="s">
        <v>6378</v>
      </c>
      <c r="B2714" s="11" t="s">
        <v>3096</v>
      </c>
      <c r="C2714" s="11" t="s">
        <v>3377</v>
      </c>
      <c r="D2714" s="11">
        <v>899662.9</v>
      </c>
      <c r="E2714" s="11">
        <v>19695.09</v>
      </c>
      <c r="F2714" s="12">
        <v>45160</v>
      </c>
      <c r="G2714" s="12">
        <v>45327</v>
      </c>
      <c r="H2714" s="11" t="s">
        <v>3767</v>
      </c>
      <c r="I2714" s="11" t="s">
        <v>3361</v>
      </c>
      <c r="J2714" s="13" t="str" cm="1">
        <f t="array" ref="J2714">_xlfn.IFS(
  OR(ISBLANK(A2714),ISBLANK(B2714),ISBLANK(H2714),ISBLANK(D2714),ISBLANK(E2714)),"Missing Value",
  D2714&lt;=0,"Review – Out of Range (Coverage)",
  E2714&lt;=0,"Review – Out of Range (Premium)",
  TRUE,"OK"
)</f>
        <v>OK</v>
      </c>
    </row>
    <row r="2715" spans="1:10" ht="16.8" x14ac:dyDescent="0.3">
      <c r="A2715" s="14" t="s">
        <v>6379</v>
      </c>
      <c r="B2715" s="14" t="s">
        <v>2741</v>
      </c>
      <c r="C2715" s="14" t="s">
        <v>3377</v>
      </c>
      <c r="D2715" s="14">
        <v>447369.69</v>
      </c>
      <c r="E2715" s="14">
        <v>43101.26</v>
      </c>
      <c r="F2715" s="15">
        <v>45402</v>
      </c>
      <c r="G2715" s="15">
        <v>45777</v>
      </c>
      <c r="H2715" s="14" t="s">
        <v>3480</v>
      </c>
      <c r="I2715" s="14" t="s">
        <v>3373</v>
      </c>
      <c r="J2715" s="13" t="str" cm="1">
        <f t="array" ref="J2715">_xlfn.IFS(
  OR(ISBLANK(A2715),ISBLANK(B2715),ISBLANK(H2715),ISBLANK(D2715),ISBLANK(E2715)),"Missing Value",
  D2715&lt;=0,"Review – Out of Range (Coverage)",
  E2715&lt;=0,"Review – Out of Range (Premium)",
  TRUE,"OK"
)</f>
        <v>OK</v>
      </c>
    </row>
    <row r="2716" spans="1:10" ht="16.8" x14ac:dyDescent="0.3">
      <c r="A2716" s="11" t="s">
        <v>6380</v>
      </c>
      <c r="B2716" s="11" t="s">
        <v>2495</v>
      </c>
      <c r="C2716" s="11" t="s">
        <v>3377</v>
      </c>
      <c r="D2716" s="11">
        <v>747067.25</v>
      </c>
      <c r="E2716" s="11">
        <v>10345.25</v>
      </c>
      <c r="F2716" s="12">
        <v>45369</v>
      </c>
      <c r="G2716" s="12">
        <v>45546</v>
      </c>
      <c r="H2716" s="11" t="s">
        <v>3665</v>
      </c>
      <c r="I2716" s="11" t="s">
        <v>3373</v>
      </c>
      <c r="J2716" s="13" t="str" cm="1">
        <f t="array" ref="J2716">_xlfn.IFS(
  OR(ISBLANK(A2716),ISBLANK(B2716),ISBLANK(H2716),ISBLANK(D2716),ISBLANK(E2716)),"Missing Value",
  D2716&lt;=0,"Review – Out of Range (Coverage)",
  E2716&lt;=0,"Review – Out of Range (Premium)",
  TRUE,"OK"
)</f>
        <v>OK</v>
      </c>
    </row>
    <row r="2717" spans="1:10" ht="16.8" x14ac:dyDescent="0.3">
      <c r="A2717" s="14" t="s">
        <v>6381</v>
      </c>
      <c r="B2717" s="14" t="s">
        <v>2061</v>
      </c>
      <c r="C2717" s="14" t="s">
        <v>3359</v>
      </c>
      <c r="D2717" s="14">
        <v>449174.24</v>
      </c>
      <c r="E2717" s="14">
        <v>17907.11</v>
      </c>
      <c r="F2717" s="15">
        <v>44929</v>
      </c>
      <c r="G2717" s="15">
        <v>45698</v>
      </c>
      <c r="H2717" s="14" t="s">
        <v>4716</v>
      </c>
      <c r="I2717" s="14" t="s">
        <v>3361</v>
      </c>
      <c r="J2717" s="13" t="str" cm="1">
        <f t="array" ref="J2717">_xlfn.IFS(
  OR(ISBLANK(A2717),ISBLANK(B2717),ISBLANK(H2717),ISBLANK(D2717),ISBLANK(E2717)),"Missing Value",
  D2717&lt;=0,"Review – Out of Range (Coverage)",
  E2717&lt;=0,"Review – Out of Range (Premium)",
  TRUE,"OK"
)</f>
        <v>OK</v>
      </c>
    </row>
    <row r="2718" spans="1:10" ht="16.8" x14ac:dyDescent="0.3">
      <c r="A2718" s="11" t="s">
        <v>6382</v>
      </c>
      <c r="B2718" s="11" t="s">
        <v>2787</v>
      </c>
      <c r="C2718" s="11" t="s">
        <v>3363</v>
      </c>
      <c r="D2718" s="11">
        <v>416717.23</v>
      </c>
      <c r="E2718" s="11">
        <v>38433.32</v>
      </c>
      <c r="F2718" s="12">
        <v>44844</v>
      </c>
      <c r="G2718" s="12">
        <v>45598</v>
      </c>
      <c r="H2718" s="11" t="s">
        <v>3622</v>
      </c>
      <c r="I2718" s="11" t="s">
        <v>3373</v>
      </c>
      <c r="J2718" s="13" t="str" cm="1">
        <f t="array" ref="J2718">_xlfn.IFS(
  OR(ISBLANK(A2718),ISBLANK(B2718),ISBLANK(H2718),ISBLANK(D2718),ISBLANK(E2718)),"Missing Value",
  D2718&lt;=0,"Review – Out of Range (Coverage)",
  E2718&lt;=0,"Review – Out of Range (Premium)",
  TRUE,"OK"
)</f>
        <v>OK</v>
      </c>
    </row>
    <row r="2719" spans="1:10" ht="16.8" x14ac:dyDescent="0.3">
      <c r="A2719" s="14" t="s">
        <v>6383</v>
      </c>
      <c r="B2719" s="14" t="s">
        <v>95</v>
      </c>
      <c r="C2719" s="14" t="s">
        <v>3380</v>
      </c>
      <c r="D2719" s="14">
        <v>248272.79</v>
      </c>
      <c r="E2719" s="14">
        <v>24209.4</v>
      </c>
      <c r="F2719" s="15">
        <v>44443</v>
      </c>
      <c r="G2719" s="15">
        <v>44686</v>
      </c>
      <c r="H2719" s="14" t="s">
        <v>3536</v>
      </c>
      <c r="I2719" s="14" t="s">
        <v>3361</v>
      </c>
      <c r="J2719" s="13" t="str" cm="1">
        <f t="array" ref="J2719">_xlfn.IFS(
  OR(ISBLANK(A2719),ISBLANK(B2719),ISBLANK(H2719),ISBLANK(D2719),ISBLANK(E2719)),"Missing Value",
  D2719&lt;=0,"Review – Out of Range (Coverage)",
  E2719&lt;=0,"Review – Out of Range (Premium)",
  TRUE,"OK"
)</f>
        <v>OK</v>
      </c>
    </row>
    <row r="2720" spans="1:10" ht="16.8" x14ac:dyDescent="0.3">
      <c r="A2720" s="11" t="s">
        <v>6384</v>
      </c>
      <c r="B2720" s="11" t="s">
        <v>1515</v>
      </c>
      <c r="C2720" s="11" t="s">
        <v>3371</v>
      </c>
      <c r="D2720" s="11">
        <v>268472.62</v>
      </c>
      <c r="E2720" s="11">
        <v>48163.29</v>
      </c>
      <c r="F2720" s="12">
        <v>45352</v>
      </c>
      <c r="G2720" s="12">
        <v>45650</v>
      </c>
      <c r="H2720" s="11" t="s">
        <v>4671</v>
      </c>
      <c r="I2720" s="11" t="s">
        <v>3361</v>
      </c>
      <c r="J2720" s="13" t="str" cm="1">
        <f t="array" ref="J2720">_xlfn.IFS(
  OR(ISBLANK(A2720),ISBLANK(B2720),ISBLANK(H2720),ISBLANK(D2720),ISBLANK(E2720)),"Missing Value",
  D2720&lt;=0,"Review – Out of Range (Coverage)",
  E2720&lt;=0,"Review – Out of Range (Premium)",
  TRUE,"OK"
)</f>
        <v>OK</v>
      </c>
    </row>
    <row r="2721" spans="1:10" ht="16.8" x14ac:dyDescent="0.3">
      <c r="A2721" s="14" t="s">
        <v>6385</v>
      </c>
      <c r="B2721" s="14" t="s">
        <v>847</v>
      </c>
      <c r="C2721" s="14" t="s">
        <v>3380</v>
      </c>
      <c r="D2721" s="14">
        <v>269307.59999999998</v>
      </c>
      <c r="E2721" s="14">
        <v>34888.639999999999</v>
      </c>
      <c r="F2721" s="15">
        <v>44528</v>
      </c>
      <c r="G2721" s="15">
        <v>44790</v>
      </c>
      <c r="H2721" s="14" t="s">
        <v>4045</v>
      </c>
      <c r="I2721" s="14" t="s">
        <v>3361</v>
      </c>
      <c r="J2721" s="13" t="str" cm="1">
        <f t="array" ref="J2721">_xlfn.IFS(
  OR(ISBLANK(A2721),ISBLANK(B2721),ISBLANK(H2721),ISBLANK(D2721),ISBLANK(E2721)),"Missing Value",
  D2721&lt;=0,"Review – Out of Range (Coverage)",
  E2721&lt;=0,"Review – Out of Range (Premium)",
  TRUE,"OK"
)</f>
        <v>OK</v>
      </c>
    </row>
    <row r="2722" spans="1:10" ht="16.8" x14ac:dyDescent="0.3">
      <c r="A2722" s="11" t="s">
        <v>6386</v>
      </c>
      <c r="B2722" s="11" t="s">
        <v>2043</v>
      </c>
      <c r="C2722" s="11" t="s">
        <v>3377</v>
      </c>
      <c r="D2722" s="11">
        <v>391828.53</v>
      </c>
      <c r="E2722" s="11">
        <v>49002.94</v>
      </c>
      <c r="F2722" s="12">
        <v>45273</v>
      </c>
      <c r="G2722" s="12">
        <v>45384</v>
      </c>
      <c r="H2722" s="11" t="s">
        <v>3846</v>
      </c>
      <c r="I2722" s="11" t="s">
        <v>3365</v>
      </c>
      <c r="J2722" s="13" t="str" cm="1">
        <f t="array" ref="J2722">_xlfn.IFS(
  OR(ISBLANK(A2722),ISBLANK(B2722),ISBLANK(H2722),ISBLANK(D2722),ISBLANK(E2722)),"Missing Value",
  D2722&lt;=0,"Review – Out of Range (Coverage)",
  E2722&lt;=0,"Review – Out of Range (Premium)",
  TRUE,"OK"
)</f>
        <v>OK</v>
      </c>
    </row>
    <row r="2723" spans="1:10" ht="16.8" x14ac:dyDescent="0.3">
      <c r="A2723" s="14" t="s">
        <v>6387</v>
      </c>
      <c r="B2723" s="14" t="s">
        <v>3118</v>
      </c>
      <c r="C2723" s="14" t="s">
        <v>3377</v>
      </c>
      <c r="D2723" s="14">
        <v>580530.44999999995</v>
      </c>
      <c r="E2723" s="14">
        <v>49133.72</v>
      </c>
      <c r="F2723" s="15">
        <v>44887</v>
      </c>
      <c r="G2723" s="15">
        <v>45090</v>
      </c>
      <c r="H2723" s="14" t="s">
        <v>3463</v>
      </c>
      <c r="I2723" s="14" t="s">
        <v>3361</v>
      </c>
      <c r="J2723" s="13" t="str" cm="1">
        <f t="array" ref="J2723">_xlfn.IFS(
  OR(ISBLANK(A2723),ISBLANK(B2723),ISBLANK(H2723),ISBLANK(D2723),ISBLANK(E2723)),"Missing Value",
  D2723&lt;=0,"Review – Out of Range (Coverage)",
  E2723&lt;=0,"Review – Out of Range (Premium)",
  TRUE,"OK"
)</f>
        <v>OK</v>
      </c>
    </row>
    <row r="2724" spans="1:10" ht="16.8" x14ac:dyDescent="0.3">
      <c r="A2724" s="11" t="s">
        <v>6388</v>
      </c>
      <c r="B2724" s="11" t="s">
        <v>2303</v>
      </c>
      <c r="C2724" s="11" t="s">
        <v>3363</v>
      </c>
      <c r="D2724" s="11">
        <v>981626.24</v>
      </c>
      <c r="E2724" s="11">
        <v>10383.85</v>
      </c>
      <c r="F2724" s="12">
        <v>45043</v>
      </c>
      <c r="G2724" s="12">
        <v>45133</v>
      </c>
      <c r="H2724" s="11" t="s">
        <v>3383</v>
      </c>
      <c r="I2724" s="11" t="s">
        <v>3373</v>
      </c>
      <c r="J2724" s="13" t="str" cm="1">
        <f t="array" ref="J2724">_xlfn.IFS(
  OR(ISBLANK(A2724),ISBLANK(B2724),ISBLANK(H2724),ISBLANK(D2724),ISBLANK(E2724)),"Missing Value",
  D2724&lt;=0,"Review – Out of Range (Coverage)",
  E2724&lt;=0,"Review – Out of Range (Premium)",
  TRUE,"OK"
)</f>
        <v>OK</v>
      </c>
    </row>
    <row r="2725" spans="1:10" ht="16.8" x14ac:dyDescent="0.3">
      <c r="A2725" s="14" t="s">
        <v>6389</v>
      </c>
      <c r="B2725" s="14" t="s">
        <v>244</v>
      </c>
      <c r="C2725" s="14" t="s">
        <v>3377</v>
      </c>
      <c r="D2725" s="14">
        <v>528655.11</v>
      </c>
      <c r="E2725" s="14">
        <v>32802.370000000003</v>
      </c>
      <c r="F2725" s="15">
        <v>45129</v>
      </c>
      <c r="G2725" s="15">
        <v>45808</v>
      </c>
      <c r="H2725" s="14" t="s">
        <v>3841</v>
      </c>
      <c r="I2725" s="14" t="s">
        <v>3365</v>
      </c>
      <c r="J2725" s="13" t="str" cm="1">
        <f t="array" ref="J2725">_xlfn.IFS(
  OR(ISBLANK(A2725),ISBLANK(B2725),ISBLANK(H2725),ISBLANK(D2725),ISBLANK(E2725)),"Missing Value",
  D2725&lt;=0,"Review – Out of Range (Coverage)",
  E2725&lt;=0,"Review – Out of Range (Premium)",
  TRUE,"OK"
)</f>
        <v>OK</v>
      </c>
    </row>
    <row r="2726" spans="1:10" ht="16.8" x14ac:dyDescent="0.3">
      <c r="A2726" s="11" t="s">
        <v>6390</v>
      </c>
      <c r="B2726" s="11" t="s">
        <v>394</v>
      </c>
      <c r="C2726" s="11" t="s">
        <v>3363</v>
      </c>
      <c r="D2726" s="11">
        <v>586258.89</v>
      </c>
      <c r="E2726" s="11">
        <v>24144.080000000002</v>
      </c>
      <c r="F2726" s="12">
        <v>44182</v>
      </c>
      <c r="G2726" s="12">
        <v>45185</v>
      </c>
      <c r="H2726" s="11" t="s">
        <v>3974</v>
      </c>
      <c r="I2726" s="11" t="s">
        <v>3373</v>
      </c>
      <c r="J2726" s="13" t="str" cm="1">
        <f t="array" ref="J2726">_xlfn.IFS(
  OR(ISBLANK(A2726),ISBLANK(B2726),ISBLANK(H2726),ISBLANK(D2726),ISBLANK(E2726)),"Missing Value",
  D2726&lt;=0,"Review – Out of Range (Coverage)",
  E2726&lt;=0,"Review – Out of Range (Premium)",
  TRUE,"OK"
)</f>
        <v>OK</v>
      </c>
    </row>
    <row r="2727" spans="1:10" ht="16.8" x14ac:dyDescent="0.3">
      <c r="A2727" s="14" t="s">
        <v>6391</v>
      </c>
      <c r="B2727" s="14" t="s">
        <v>1449</v>
      </c>
      <c r="C2727" s="14" t="s">
        <v>3377</v>
      </c>
      <c r="D2727" s="14">
        <v>903162.26</v>
      </c>
      <c r="E2727" s="14">
        <v>11937.11</v>
      </c>
      <c r="F2727" s="15">
        <v>44764</v>
      </c>
      <c r="G2727" s="15">
        <v>45140</v>
      </c>
      <c r="H2727" s="14" t="s">
        <v>3939</v>
      </c>
      <c r="I2727" s="14" t="s">
        <v>3373</v>
      </c>
      <c r="J2727" s="13" t="str" cm="1">
        <f t="array" ref="J2727">_xlfn.IFS(
  OR(ISBLANK(A2727),ISBLANK(B2727),ISBLANK(H2727),ISBLANK(D2727),ISBLANK(E2727)),"Missing Value",
  D2727&lt;=0,"Review – Out of Range (Coverage)",
  E2727&lt;=0,"Review – Out of Range (Premium)",
  TRUE,"OK"
)</f>
        <v>OK</v>
      </c>
    </row>
    <row r="2728" spans="1:10" ht="16.8" x14ac:dyDescent="0.3">
      <c r="A2728" s="11" t="s">
        <v>6392</v>
      </c>
      <c r="B2728" s="11" t="s">
        <v>879</v>
      </c>
      <c r="C2728" s="11" t="s">
        <v>3377</v>
      </c>
      <c r="D2728" s="11">
        <v>542122.35</v>
      </c>
      <c r="E2728" s="11">
        <v>29647.99</v>
      </c>
      <c r="F2728" s="12">
        <v>45019</v>
      </c>
      <c r="G2728" s="12">
        <v>45844</v>
      </c>
      <c r="H2728" s="11" t="s">
        <v>3395</v>
      </c>
      <c r="I2728" s="11" t="s">
        <v>3365</v>
      </c>
      <c r="J2728" s="13" t="str" cm="1">
        <f t="array" ref="J2728">_xlfn.IFS(
  OR(ISBLANK(A2728),ISBLANK(B2728),ISBLANK(H2728),ISBLANK(D2728),ISBLANK(E2728)),"Missing Value",
  D2728&lt;=0,"Review – Out of Range (Coverage)",
  E2728&lt;=0,"Review – Out of Range (Premium)",
  TRUE,"OK"
)</f>
        <v>OK</v>
      </c>
    </row>
    <row r="2729" spans="1:10" ht="16.8" x14ac:dyDescent="0.3">
      <c r="A2729" s="14" t="s">
        <v>6393</v>
      </c>
      <c r="B2729" s="14" t="s">
        <v>2731</v>
      </c>
      <c r="C2729" s="14" t="s">
        <v>3377</v>
      </c>
      <c r="D2729" s="14">
        <v>308760.78999999998</v>
      </c>
      <c r="E2729" s="14">
        <v>28389.82</v>
      </c>
      <c r="F2729" s="15">
        <v>45215</v>
      </c>
      <c r="G2729" s="15">
        <v>45493</v>
      </c>
      <c r="H2729" s="14" t="s">
        <v>4410</v>
      </c>
      <c r="I2729" s="14" t="s">
        <v>3365</v>
      </c>
      <c r="J2729" s="13" t="str" cm="1">
        <f t="array" ref="J2729">_xlfn.IFS(
  OR(ISBLANK(A2729),ISBLANK(B2729),ISBLANK(H2729),ISBLANK(D2729),ISBLANK(E2729)),"Missing Value",
  D2729&lt;=0,"Review – Out of Range (Coverage)",
  E2729&lt;=0,"Review – Out of Range (Premium)",
  TRUE,"OK"
)</f>
        <v>OK</v>
      </c>
    </row>
    <row r="2730" spans="1:10" ht="16.8" x14ac:dyDescent="0.3">
      <c r="A2730" s="11" t="s">
        <v>6394</v>
      </c>
      <c r="B2730" s="11" t="s">
        <v>841</v>
      </c>
      <c r="C2730" s="11" t="s">
        <v>3363</v>
      </c>
      <c r="D2730" s="11">
        <v>322722.45</v>
      </c>
      <c r="E2730" s="11">
        <v>23970.31</v>
      </c>
      <c r="F2730" s="12">
        <v>44624</v>
      </c>
      <c r="G2730" s="12">
        <v>45064</v>
      </c>
      <c r="H2730" s="11" t="s">
        <v>3449</v>
      </c>
      <c r="I2730" s="11" t="s">
        <v>3361</v>
      </c>
      <c r="J2730" s="13" t="str" cm="1">
        <f t="array" ref="J2730">_xlfn.IFS(
  OR(ISBLANK(A2730),ISBLANK(B2730),ISBLANK(H2730),ISBLANK(D2730),ISBLANK(E2730)),"Missing Value",
  D2730&lt;=0,"Review – Out of Range (Coverage)",
  E2730&lt;=0,"Review – Out of Range (Premium)",
  TRUE,"OK"
)</f>
        <v>OK</v>
      </c>
    </row>
    <row r="2731" spans="1:10" ht="16.8" x14ac:dyDescent="0.3">
      <c r="A2731" s="14" t="s">
        <v>6395</v>
      </c>
      <c r="B2731" s="14" t="s">
        <v>1221</v>
      </c>
      <c r="C2731" s="14" t="s">
        <v>3371</v>
      </c>
      <c r="D2731" s="14">
        <v>969061.63</v>
      </c>
      <c r="E2731" s="14">
        <v>32161.37</v>
      </c>
      <c r="F2731" s="15">
        <v>44921</v>
      </c>
      <c r="G2731" s="15">
        <v>45810</v>
      </c>
      <c r="H2731" s="14" t="s">
        <v>3475</v>
      </c>
      <c r="I2731" s="14" t="s">
        <v>3361</v>
      </c>
      <c r="J2731" s="13" t="str" cm="1">
        <f t="array" ref="J2731">_xlfn.IFS(
  OR(ISBLANK(A2731),ISBLANK(B2731),ISBLANK(H2731),ISBLANK(D2731),ISBLANK(E2731)),"Missing Value",
  D2731&lt;=0,"Review – Out of Range (Coverage)",
  E2731&lt;=0,"Review – Out of Range (Premium)",
  TRUE,"OK"
)</f>
        <v>OK</v>
      </c>
    </row>
    <row r="2732" spans="1:10" ht="16.8" x14ac:dyDescent="0.3">
      <c r="A2732" s="11" t="s">
        <v>6396</v>
      </c>
      <c r="B2732" s="11" t="s">
        <v>468</v>
      </c>
      <c r="C2732" s="11" t="s">
        <v>3363</v>
      </c>
      <c r="D2732" s="11">
        <v>301437.65999999997</v>
      </c>
      <c r="E2732" s="11">
        <v>22975.279999999999</v>
      </c>
      <c r="F2732" s="12">
        <v>44526</v>
      </c>
      <c r="G2732" s="12">
        <v>44566</v>
      </c>
      <c r="H2732" s="11" t="s">
        <v>3614</v>
      </c>
      <c r="I2732" s="11" t="s">
        <v>3365</v>
      </c>
      <c r="J2732" s="13" t="str" cm="1">
        <f t="array" ref="J2732">_xlfn.IFS(
  OR(ISBLANK(A2732),ISBLANK(B2732),ISBLANK(H2732),ISBLANK(D2732),ISBLANK(E2732)),"Missing Value",
  D2732&lt;=0,"Review – Out of Range (Coverage)",
  E2732&lt;=0,"Review – Out of Range (Premium)",
  TRUE,"OK"
)</f>
        <v>OK</v>
      </c>
    </row>
    <row r="2733" spans="1:10" ht="16.8" x14ac:dyDescent="0.3">
      <c r="A2733" s="14" t="s">
        <v>6397</v>
      </c>
      <c r="B2733" s="14" t="s">
        <v>3238</v>
      </c>
      <c r="C2733" s="14" t="s">
        <v>3377</v>
      </c>
      <c r="D2733" s="14">
        <v>804301.47</v>
      </c>
      <c r="E2733" s="14">
        <v>23976.59</v>
      </c>
      <c r="F2733" s="15">
        <v>44131</v>
      </c>
      <c r="G2733" s="15">
        <v>44542</v>
      </c>
      <c r="H2733" s="14" t="s">
        <v>3427</v>
      </c>
      <c r="I2733" s="14" t="s">
        <v>3361</v>
      </c>
      <c r="J2733" s="13" t="str" cm="1">
        <f t="array" ref="J2733">_xlfn.IFS(
  OR(ISBLANK(A2733),ISBLANK(B2733),ISBLANK(H2733),ISBLANK(D2733),ISBLANK(E2733)),"Missing Value",
  D2733&lt;=0,"Review – Out of Range (Coverage)",
  E2733&lt;=0,"Review – Out of Range (Premium)",
  TRUE,"OK"
)</f>
        <v>OK</v>
      </c>
    </row>
    <row r="2734" spans="1:10" ht="16.8" x14ac:dyDescent="0.3">
      <c r="A2734" s="11" t="s">
        <v>6398</v>
      </c>
      <c r="B2734" s="11" t="s">
        <v>134</v>
      </c>
      <c r="C2734" s="11" t="s">
        <v>3371</v>
      </c>
      <c r="D2734" s="11">
        <v>824713.44</v>
      </c>
      <c r="E2734" s="11">
        <v>4552.66</v>
      </c>
      <c r="F2734" s="12">
        <v>45326</v>
      </c>
      <c r="G2734" s="12">
        <v>45813</v>
      </c>
      <c r="H2734" s="11" t="s">
        <v>3819</v>
      </c>
      <c r="I2734" s="11" t="s">
        <v>3373</v>
      </c>
      <c r="J2734" s="13" t="str" cm="1">
        <f t="array" ref="J2734">_xlfn.IFS(
  OR(ISBLANK(A2734),ISBLANK(B2734),ISBLANK(H2734),ISBLANK(D2734),ISBLANK(E2734)),"Missing Value",
  D2734&lt;=0,"Review – Out of Range (Coverage)",
  E2734&lt;=0,"Review – Out of Range (Premium)",
  TRUE,"OK"
)</f>
        <v>OK</v>
      </c>
    </row>
    <row r="2735" spans="1:10" ht="16.8" x14ac:dyDescent="0.3">
      <c r="A2735" s="14" t="s">
        <v>6399</v>
      </c>
      <c r="B2735" s="14" t="s">
        <v>2787</v>
      </c>
      <c r="C2735" s="14" t="s">
        <v>3371</v>
      </c>
      <c r="D2735" s="14">
        <v>255982.27</v>
      </c>
      <c r="E2735" s="14">
        <v>44824.24</v>
      </c>
      <c r="F2735" s="15">
        <v>44650</v>
      </c>
      <c r="G2735" s="15">
        <v>45502</v>
      </c>
      <c r="H2735" s="14" t="s">
        <v>3712</v>
      </c>
      <c r="I2735" s="14" t="s">
        <v>3365</v>
      </c>
      <c r="J2735" s="13" t="str" cm="1">
        <f t="array" ref="J2735">_xlfn.IFS(
  OR(ISBLANK(A2735),ISBLANK(B2735),ISBLANK(H2735),ISBLANK(D2735),ISBLANK(E2735)),"Missing Value",
  D2735&lt;=0,"Review – Out of Range (Coverage)",
  E2735&lt;=0,"Review – Out of Range (Premium)",
  TRUE,"OK"
)</f>
        <v>OK</v>
      </c>
    </row>
    <row r="2736" spans="1:10" ht="16.8" x14ac:dyDescent="0.3">
      <c r="A2736" s="11" t="s">
        <v>6400</v>
      </c>
      <c r="B2736" s="11" t="s">
        <v>1531</v>
      </c>
      <c r="C2736" s="11" t="s">
        <v>3371</v>
      </c>
      <c r="D2736" s="11">
        <v>124368.48</v>
      </c>
      <c r="E2736" s="11">
        <v>32817.870000000003</v>
      </c>
      <c r="F2736" s="12">
        <v>45269</v>
      </c>
      <c r="G2736" s="12">
        <v>45737</v>
      </c>
      <c r="H2736" s="11" t="s">
        <v>4328</v>
      </c>
      <c r="I2736" s="11" t="s">
        <v>3365</v>
      </c>
      <c r="J2736" s="13" t="str" cm="1">
        <f t="array" ref="J2736">_xlfn.IFS(
  OR(ISBLANK(A2736),ISBLANK(B2736),ISBLANK(H2736),ISBLANK(D2736),ISBLANK(E2736)),"Missing Value",
  D2736&lt;=0,"Review – Out of Range (Coverage)",
  E2736&lt;=0,"Review – Out of Range (Premium)",
  TRUE,"OK"
)</f>
        <v>OK</v>
      </c>
    </row>
    <row r="2737" spans="1:10" ht="16.8" x14ac:dyDescent="0.3">
      <c r="A2737" s="14" t="s">
        <v>6401</v>
      </c>
      <c r="B2737" s="14" t="s">
        <v>97</v>
      </c>
      <c r="C2737" s="14" t="s">
        <v>3363</v>
      </c>
      <c r="D2737" s="14">
        <v>366273.1</v>
      </c>
      <c r="E2737" s="14">
        <v>21274.720000000001</v>
      </c>
      <c r="F2737" s="15">
        <v>45327</v>
      </c>
      <c r="G2737" s="15">
        <v>45770</v>
      </c>
      <c r="H2737" s="14" t="s">
        <v>3649</v>
      </c>
      <c r="I2737" s="14" t="s">
        <v>3373</v>
      </c>
      <c r="J2737" s="13" t="str" cm="1">
        <f t="array" ref="J2737">_xlfn.IFS(
  OR(ISBLANK(A2737),ISBLANK(B2737),ISBLANK(H2737),ISBLANK(D2737),ISBLANK(E2737)),"Missing Value",
  D2737&lt;=0,"Review – Out of Range (Coverage)",
  E2737&lt;=0,"Review – Out of Range (Premium)",
  TRUE,"OK"
)</f>
        <v>OK</v>
      </c>
    </row>
    <row r="2738" spans="1:10" ht="16.8" x14ac:dyDescent="0.3">
      <c r="A2738" s="11" t="s">
        <v>6402</v>
      </c>
      <c r="B2738" s="11" t="s">
        <v>2969</v>
      </c>
      <c r="C2738" s="11" t="s">
        <v>3359</v>
      </c>
      <c r="D2738" s="11">
        <v>996234.77</v>
      </c>
      <c r="E2738" s="11">
        <v>9879.86</v>
      </c>
      <c r="F2738" s="12">
        <v>44289</v>
      </c>
      <c r="G2738" s="12">
        <v>45286</v>
      </c>
      <c r="H2738" s="11" t="s">
        <v>3610</v>
      </c>
      <c r="I2738" s="11" t="s">
        <v>3373</v>
      </c>
      <c r="J2738" s="13" t="str" cm="1">
        <f t="array" ref="J2738">_xlfn.IFS(
  OR(ISBLANK(A2738),ISBLANK(B2738),ISBLANK(H2738),ISBLANK(D2738),ISBLANK(E2738)),"Missing Value",
  D2738&lt;=0,"Review – Out of Range (Coverage)",
  E2738&lt;=0,"Review – Out of Range (Premium)",
  TRUE,"OK"
)</f>
        <v>OK</v>
      </c>
    </row>
    <row r="2739" spans="1:10" ht="16.8" x14ac:dyDescent="0.3">
      <c r="A2739" s="14" t="s">
        <v>6403</v>
      </c>
      <c r="B2739" s="14" t="s">
        <v>2975</v>
      </c>
      <c r="C2739" s="14" t="s">
        <v>3380</v>
      </c>
      <c r="D2739" s="14">
        <v>145131.46</v>
      </c>
      <c r="E2739" s="14">
        <v>27086.45</v>
      </c>
      <c r="F2739" s="15">
        <v>44833</v>
      </c>
      <c r="G2739" s="15">
        <v>44977</v>
      </c>
      <c r="H2739" s="14" t="s">
        <v>3658</v>
      </c>
      <c r="I2739" s="14" t="s">
        <v>3373</v>
      </c>
      <c r="J2739" s="13" t="str" cm="1">
        <f t="array" ref="J2739">_xlfn.IFS(
  OR(ISBLANK(A2739),ISBLANK(B2739),ISBLANK(H2739),ISBLANK(D2739),ISBLANK(E2739)),"Missing Value",
  D2739&lt;=0,"Review – Out of Range (Coverage)",
  E2739&lt;=0,"Review – Out of Range (Premium)",
  TRUE,"OK"
)</f>
        <v>OK</v>
      </c>
    </row>
    <row r="2740" spans="1:10" ht="16.8" x14ac:dyDescent="0.3">
      <c r="A2740" s="11" t="s">
        <v>6404</v>
      </c>
      <c r="B2740" s="11" t="s">
        <v>1503</v>
      </c>
      <c r="C2740" s="11" t="s">
        <v>3380</v>
      </c>
      <c r="D2740" s="11">
        <v>269886.15999999997</v>
      </c>
      <c r="E2740" s="11">
        <v>22974.01</v>
      </c>
      <c r="F2740" s="12">
        <v>44154</v>
      </c>
      <c r="G2740" s="12">
        <v>44261</v>
      </c>
      <c r="H2740" s="11" t="s">
        <v>3522</v>
      </c>
      <c r="I2740" s="11" t="s">
        <v>3365</v>
      </c>
      <c r="J2740" s="13" t="str" cm="1">
        <f t="array" ref="J2740">_xlfn.IFS(
  OR(ISBLANK(A2740),ISBLANK(B2740),ISBLANK(H2740),ISBLANK(D2740),ISBLANK(E2740)),"Missing Value",
  D2740&lt;=0,"Review – Out of Range (Coverage)",
  E2740&lt;=0,"Review – Out of Range (Premium)",
  TRUE,"OK"
)</f>
        <v>OK</v>
      </c>
    </row>
    <row r="2741" spans="1:10" ht="16.8" x14ac:dyDescent="0.3">
      <c r="A2741" s="14" t="s">
        <v>6405</v>
      </c>
      <c r="B2741" s="14" t="s">
        <v>3013</v>
      </c>
      <c r="C2741" s="14" t="s">
        <v>3377</v>
      </c>
      <c r="D2741" s="14">
        <v>690642.69</v>
      </c>
      <c r="E2741" s="14">
        <v>34272.21</v>
      </c>
      <c r="F2741" s="15">
        <v>45194</v>
      </c>
      <c r="G2741" s="15">
        <v>45546</v>
      </c>
      <c r="H2741" s="14" t="s">
        <v>4254</v>
      </c>
      <c r="I2741" s="14" t="s">
        <v>3361</v>
      </c>
      <c r="J2741" s="13" t="str" cm="1">
        <f t="array" ref="J2741">_xlfn.IFS(
  OR(ISBLANK(A2741),ISBLANK(B2741),ISBLANK(H2741),ISBLANK(D2741),ISBLANK(E2741)),"Missing Value",
  D2741&lt;=0,"Review – Out of Range (Coverage)",
  E2741&lt;=0,"Review – Out of Range (Premium)",
  TRUE,"OK"
)</f>
        <v>OK</v>
      </c>
    </row>
    <row r="2742" spans="1:10" ht="16.8" x14ac:dyDescent="0.3">
      <c r="A2742" s="11" t="s">
        <v>6406</v>
      </c>
      <c r="B2742" s="11" t="s">
        <v>575</v>
      </c>
      <c r="C2742" s="11" t="s">
        <v>3380</v>
      </c>
      <c r="D2742" s="11">
        <v>220766.97</v>
      </c>
      <c r="E2742" s="11">
        <v>45122.93</v>
      </c>
      <c r="F2742" s="12">
        <v>45132</v>
      </c>
      <c r="G2742" s="12">
        <v>45390</v>
      </c>
      <c r="H2742" s="11" t="s">
        <v>4415</v>
      </c>
      <c r="I2742" s="11" t="s">
        <v>3361</v>
      </c>
      <c r="J2742" s="13" t="str" cm="1">
        <f t="array" ref="J2742">_xlfn.IFS(
  OR(ISBLANK(A2742),ISBLANK(B2742),ISBLANK(H2742),ISBLANK(D2742),ISBLANK(E2742)),"Missing Value",
  D2742&lt;=0,"Review – Out of Range (Coverage)",
  E2742&lt;=0,"Review – Out of Range (Premium)",
  TRUE,"OK"
)</f>
        <v>OK</v>
      </c>
    </row>
    <row r="2743" spans="1:10" ht="16.8" x14ac:dyDescent="0.3">
      <c r="A2743" s="14" t="s">
        <v>6407</v>
      </c>
      <c r="B2743" s="14" t="s">
        <v>308</v>
      </c>
      <c r="C2743" s="14" t="s">
        <v>3359</v>
      </c>
      <c r="D2743" s="14">
        <v>912837.69</v>
      </c>
      <c r="E2743" s="14">
        <v>18186.66</v>
      </c>
      <c r="F2743" s="15">
        <v>45294</v>
      </c>
      <c r="G2743" s="15">
        <v>45678</v>
      </c>
      <c r="H2743" s="14" t="s">
        <v>4749</v>
      </c>
      <c r="I2743" s="14" t="s">
        <v>3365</v>
      </c>
      <c r="J2743" s="13" t="str" cm="1">
        <f t="array" ref="J2743">_xlfn.IFS(
  OR(ISBLANK(A2743),ISBLANK(B2743),ISBLANK(H2743),ISBLANK(D2743),ISBLANK(E2743)),"Missing Value",
  D2743&lt;=0,"Review – Out of Range (Coverage)",
  E2743&lt;=0,"Review – Out of Range (Premium)",
  TRUE,"OK"
)</f>
        <v>OK</v>
      </c>
    </row>
    <row r="2744" spans="1:10" ht="16.8" x14ac:dyDescent="0.3">
      <c r="A2744" s="11" t="s">
        <v>6408</v>
      </c>
      <c r="B2744" s="11" t="s">
        <v>1269</v>
      </c>
      <c r="C2744" s="11" t="s">
        <v>3363</v>
      </c>
      <c r="D2744" s="11">
        <v>960162.83</v>
      </c>
      <c r="E2744" s="11">
        <v>24017.98</v>
      </c>
      <c r="F2744" s="12">
        <v>45120</v>
      </c>
      <c r="G2744" s="12">
        <v>45753</v>
      </c>
      <c r="H2744" s="11" t="s">
        <v>3770</v>
      </c>
      <c r="I2744" s="11" t="s">
        <v>3361</v>
      </c>
      <c r="J2744" s="13" t="str" cm="1">
        <f t="array" ref="J2744">_xlfn.IFS(
  OR(ISBLANK(A2744),ISBLANK(B2744),ISBLANK(H2744),ISBLANK(D2744),ISBLANK(E2744)),"Missing Value",
  D2744&lt;=0,"Review – Out of Range (Coverage)",
  E2744&lt;=0,"Review – Out of Range (Premium)",
  TRUE,"OK"
)</f>
        <v>OK</v>
      </c>
    </row>
    <row r="2745" spans="1:10" ht="16.8" x14ac:dyDescent="0.3">
      <c r="A2745" s="14" t="s">
        <v>6409</v>
      </c>
      <c r="B2745" s="14" t="s">
        <v>382</v>
      </c>
      <c r="C2745" s="14" t="s">
        <v>3359</v>
      </c>
      <c r="D2745" s="14">
        <v>262200.86</v>
      </c>
      <c r="E2745" s="14">
        <v>48064.62</v>
      </c>
      <c r="F2745" s="15">
        <v>44504</v>
      </c>
      <c r="G2745" s="15">
        <v>44693</v>
      </c>
      <c r="H2745" s="14" t="s">
        <v>3571</v>
      </c>
      <c r="I2745" s="14" t="s">
        <v>3365</v>
      </c>
      <c r="J2745" s="13" t="str" cm="1">
        <f t="array" ref="J2745">_xlfn.IFS(
  OR(ISBLANK(A2745),ISBLANK(B2745),ISBLANK(H2745),ISBLANK(D2745),ISBLANK(E2745)),"Missing Value",
  D2745&lt;=0,"Review – Out of Range (Coverage)",
  E2745&lt;=0,"Review – Out of Range (Premium)",
  TRUE,"OK"
)</f>
        <v>OK</v>
      </c>
    </row>
    <row r="2746" spans="1:10" ht="16.8" x14ac:dyDescent="0.3">
      <c r="A2746" s="11" t="s">
        <v>6410</v>
      </c>
      <c r="B2746" s="11" t="s">
        <v>296</v>
      </c>
      <c r="C2746" s="11" t="s">
        <v>3377</v>
      </c>
      <c r="D2746" s="11">
        <v>904360.2</v>
      </c>
      <c r="E2746" s="11">
        <v>45518.45</v>
      </c>
      <c r="F2746" s="12">
        <v>45236</v>
      </c>
      <c r="G2746" s="12">
        <v>45280</v>
      </c>
      <c r="H2746" s="11" t="s">
        <v>3689</v>
      </c>
      <c r="I2746" s="11" t="s">
        <v>3373</v>
      </c>
      <c r="J2746" s="13" t="str" cm="1">
        <f t="array" ref="J2746">_xlfn.IFS(
  OR(ISBLANK(A2746),ISBLANK(B2746),ISBLANK(H2746),ISBLANK(D2746),ISBLANK(E2746)),"Missing Value",
  D2746&lt;=0,"Review – Out of Range (Coverage)",
  E2746&lt;=0,"Review – Out of Range (Premium)",
  TRUE,"OK"
)</f>
        <v>OK</v>
      </c>
    </row>
    <row r="2747" spans="1:10" ht="16.8" x14ac:dyDescent="0.3">
      <c r="A2747" s="14" t="s">
        <v>6411</v>
      </c>
      <c r="B2747" s="14" t="s">
        <v>1049</v>
      </c>
      <c r="C2747" s="14" t="s">
        <v>3377</v>
      </c>
      <c r="D2747" s="14">
        <v>550179.43000000005</v>
      </c>
      <c r="E2747" s="14">
        <v>5139.1499999999996</v>
      </c>
      <c r="F2747" s="15">
        <v>45422</v>
      </c>
      <c r="G2747" s="15">
        <v>45609</v>
      </c>
      <c r="H2747" s="14" t="s">
        <v>4671</v>
      </c>
      <c r="I2747" s="14" t="s">
        <v>3373</v>
      </c>
      <c r="J2747" s="13" t="str" cm="1">
        <f t="array" ref="J2747">_xlfn.IFS(
  OR(ISBLANK(A2747),ISBLANK(B2747),ISBLANK(H2747),ISBLANK(D2747),ISBLANK(E2747)),"Missing Value",
  D2747&lt;=0,"Review – Out of Range (Coverage)",
  E2747&lt;=0,"Review – Out of Range (Premium)",
  TRUE,"OK"
)</f>
        <v>OK</v>
      </c>
    </row>
    <row r="2748" spans="1:10" ht="16.8" x14ac:dyDescent="0.3">
      <c r="A2748" s="11" t="s">
        <v>6412</v>
      </c>
      <c r="B2748" s="11" t="s">
        <v>116</v>
      </c>
      <c r="C2748" s="11" t="s">
        <v>3380</v>
      </c>
      <c r="D2748" s="11">
        <v>229655.37</v>
      </c>
      <c r="E2748" s="11">
        <v>14484.89</v>
      </c>
      <c r="F2748" s="12">
        <v>45143</v>
      </c>
      <c r="G2748" s="12">
        <v>45502</v>
      </c>
      <c r="H2748" s="11" t="s">
        <v>3413</v>
      </c>
      <c r="I2748" s="11" t="s">
        <v>3365</v>
      </c>
      <c r="J2748" s="13" t="str" cm="1">
        <f t="array" ref="J2748">_xlfn.IFS(
  OR(ISBLANK(A2748),ISBLANK(B2748),ISBLANK(H2748),ISBLANK(D2748),ISBLANK(E2748)),"Missing Value",
  D2748&lt;=0,"Review – Out of Range (Coverage)",
  E2748&lt;=0,"Review – Out of Range (Premium)",
  TRUE,"OK"
)</f>
        <v>OK</v>
      </c>
    </row>
    <row r="2749" spans="1:10" ht="16.8" x14ac:dyDescent="0.3">
      <c r="A2749" s="14" t="s">
        <v>6413</v>
      </c>
      <c r="B2749" s="14" t="s">
        <v>2991</v>
      </c>
      <c r="C2749" s="14" t="s">
        <v>3359</v>
      </c>
      <c r="D2749" s="14">
        <v>611913.76</v>
      </c>
      <c r="E2749" s="14">
        <v>22344.95</v>
      </c>
      <c r="F2749" s="15">
        <v>45230</v>
      </c>
      <c r="G2749" s="15">
        <v>45274</v>
      </c>
      <c r="H2749" s="14" t="s">
        <v>3442</v>
      </c>
      <c r="I2749" s="14" t="s">
        <v>3373</v>
      </c>
      <c r="J2749" s="13" t="str" cm="1">
        <f t="array" ref="J2749">_xlfn.IFS(
  OR(ISBLANK(A2749),ISBLANK(B2749),ISBLANK(H2749),ISBLANK(D2749),ISBLANK(E2749)),"Missing Value",
  D2749&lt;=0,"Review – Out of Range (Coverage)",
  E2749&lt;=0,"Review – Out of Range (Premium)",
  TRUE,"OK"
)</f>
        <v>OK</v>
      </c>
    </row>
    <row r="2750" spans="1:10" ht="16.8" x14ac:dyDescent="0.3">
      <c r="A2750" s="11" t="s">
        <v>6414</v>
      </c>
      <c r="B2750" s="11" t="s">
        <v>961</v>
      </c>
      <c r="C2750" s="11" t="s">
        <v>3371</v>
      </c>
      <c r="D2750" s="11">
        <v>669680.29</v>
      </c>
      <c r="E2750" s="11">
        <v>10762.94</v>
      </c>
      <c r="F2750" s="12">
        <v>44190</v>
      </c>
      <c r="G2750" s="12">
        <v>44217</v>
      </c>
      <c r="H2750" s="11" t="s">
        <v>3649</v>
      </c>
      <c r="I2750" s="11" t="s">
        <v>3365</v>
      </c>
      <c r="J2750" s="13" t="str" cm="1">
        <f t="array" ref="J2750">_xlfn.IFS(
  OR(ISBLANK(A2750),ISBLANK(B2750),ISBLANK(H2750),ISBLANK(D2750),ISBLANK(E2750)),"Missing Value",
  D2750&lt;=0,"Review – Out of Range (Coverage)",
  E2750&lt;=0,"Review – Out of Range (Premium)",
  TRUE,"OK"
)</f>
        <v>OK</v>
      </c>
    </row>
    <row r="2751" spans="1:10" ht="16.8" x14ac:dyDescent="0.3">
      <c r="A2751" s="14" t="s">
        <v>6415</v>
      </c>
      <c r="B2751" s="14" t="s">
        <v>1533</v>
      </c>
      <c r="C2751" s="14" t="s">
        <v>3359</v>
      </c>
      <c r="D2751" s="14">
        <v>857979.52</v>
      </c>
      <c r="E2751" s="14">
        <v>49003.05</v>
      </c>
      <c r="F2751" s="15">
        <v>44818</v>
      </c>
      <c r="G2751" s="15">
        <v>45239</v>
      </c>
      <c r="H2751" s="14" t="s">
        <v>4391</v>
      </c>
      <c r="I2751" s="14" t="s">
        <v>3365</v>
      </c>
      <c r="J2751" s="13" t="str" cm="1">
        <f t="array" ref="J2751">_xlfn.IFS(
  OR(ISBLANK(A2751),ISBLANK(B2751),ISBLANK(H2751),ISBLANK(D2751),ISBLANK(E2751)),"Missing Value",
  D2751&lt;=0,"Review – Out of Range (Coverage)",
  E2751&lt;=0,"Review – Out of Range (Premium)",
  TRUE,"OK"
)</f>
        <v>OK</v>
      </c>
    </row>
    <row r="2752" spans="1:10" ht="16.8" x14ac:dyDescent="0.3">
      <c r="A2752" s="11" t="s">
        <v>6416</v>
      </c>
      <c r="B2752" s="11" t="s">
        <v>2727</v>
      </c>
      <c r="C2752" s="11" t="s">
        <v>3380</v>
      </c>
      <c r="D2752" s="11">
        <v>674078.79</v>
      </c>
      <c r="E2752" s="11">
        <v>28974.5</v>
      </c>
      <c r="F2752" s="12">
        <v>45459</v>
      </c>
      <c r="G2752" s="12">
        <v>45480</v>
      </c>
      <c r="H2752" s="11" t="s">
        <v>4098</v>
      </c>
      <c r="I2752" s="11" t="s">
        <v>3373</v>
      </c>
      <c r="J2752" s="13" t="str" cm="1">
        <f t="array" ref="J2752">_xlfn.IFS(
  OR(ISBLANK(A2752),ISBLANK(B2752),ISBLANK(H2752),ISBLANK(D2752),ISBLANK(E2752)),"Missing Value",
  D2752&lt;=0,"Review – Out of Range (Coverage)",
  E2752&lt;=0,"Review – Out of Range (Premium)",
  TRUE,"OK"
)</f>
        <v>OK</v>
      </c>
    </row>
    <row r="2753" spans="1:10" ht="16.8" x14ac:dyDescent="0.3">
      <c r="A2753" s="14" t="s">
        <v>6417</v>
      </c>
      <c r="B2753" s="14" t="s">
        <v>316</v>
      </c>
      <c r="C2753" s="14" t="s">
        <v>3371</v>
      </c>
      <c r="D2753" s="14">
        <v>465289.35</v>
      </c>
      <c r="E2753" s="14">
        <v>21041.54</v>
      </c>
      <c r="F2753" s="15">
        <v>45178</v>
      </c>
      <c r="G2753" s="15">
        <v>45576</v>
      </c>
      <c r="H2753" s="14" t="s">
        <v>3646</v>
      </c>
      <c r="I2753" s="14" t="s">
        <v>3365</v>
      </c>
      <c r="J2753" s="13" t="str" cm="1">
        <f t="array" ref="J2753">_xlfn.IFS(
  OR(ISBLANK(A2753),ISBLANK(B2753),ISBLANK(H2753),ISBLANK(D2753),ISBLANK(E2753)),"Missing Value",
  D2753&lt;=0,"Review – Out of Range (Coverage)",
  E2753&lt;=0,"Review – Out of Range (Premium)",
  TRUE,"OK"
)</f>
        <v>OK</v>
      </c>
    </row>
    <row r="2754" spans="1:10" ht="16.8" x14ac:dyDescent="0.3">
      <c r="A2754" s="11" t="s">
        <v>6418</v>
      </c>
      <c r="B2754" s="11" t="s">
        <v>264</v>
      </c>
      <c r="C2754" s="11" t="s">
        <v>3377</v>
      </c>
      <c r="D2754" s="11">
        <v>161522.45000000001</v>
      </c>
      <c r="E2754" s="11">
        <v>25548.3</v>
      </c>
      <c r="F2754" s="12">
        <v>44815</v>
      </c>
      <c r="G2754" s="12">
        <v>45349</v>
      </c>
      <c r="H2754" s="11" t="s">
        <v>3813</v>
      </c>
      <c r="I2754" s="11" t="s">
        <v>3361</v>
      </c>
      <c r="J2754" s="13" t="str" cm="1">
        <f t="array" ref="J2754">_xlfn.IFS(
  OR(ISBLANK(A2754),ISBLANK(B2754),ISBLANK(H2754),ISBLANK(D2754),ISBLANK(E2754)),"Missing Value",
  D2754&lt;=0,"Review – Out of Range (Coverage)",
  E2754&lt;=0,"Review – Out of Range (Premium)",
  TRUE,"OK"
)</f>
        <v>OK</v>
      </c>
    </row>
    <row r="2755" spans="1:10" ht="16.8" x14ac:dyDescent="0.3">
      <c r="A2755" s="14" t="s">
        <v>6419</v>
      </c>
      <c r="B2755" s="14" t="s">
        <v>593</v>
      </c>
      <c r="C2755" s="14" t="s">
        <v>3359</v>
      </c>
      <c r="D2755" s="14">
        <v>109754.66</v>
      </c>
      <c r="E2755" s="14">
        <v>26766.81</v>
      </c>
      <c r="F2755" s="15">
        <v>44064</v>
      </c>
      <c r="G2755" s="15">
        <v>45332</v>
      </c>
      <c r="H2755" s="14" t="s">
        <v>3735</v>
      </c>
      <c r="I2755" s="14" t="s">
        <v>3365</v>
      </c>
      <c r="J2755" s="13" t="str" cm="1">
        <f t="array" ref="J2755">_xlfn.IFS(
  OR(ISBLANK(A2755),ISBLANK(B2755),ISBLANK(H2755),ISBLANK(D2755),ISBLANK(E2755)),"Missing Value",
  D2755&lt;=0,"Review – Out of Range (Coverage)",
  E2755&lt;=0,"Review – Out of Range (Premium)",
  TRUE,"OK"
)</f>
        <v>OK</v>
      </c>
    </row>
    <row r="2756" spans="1:10" ht="16.8" x14ac:dyDescent="0.3">
      <c r="A2756" s="11" t="s">
        <v>6420</v>
      </c>
      <c r="B2756" s="11" t="s">
        <v>985</v>
      </c>
      <c r="C2756" s="11" t="s">
        <v>3380</v>
      </c>
      <c r="D2756" s="11">
        <v>304349.15999999997</v>
      </c>
      <c r="E2756" s="11">
        <v>25477.52</v>
      </c>
      <c r="F2756" s="12">
        <v>45081</v>
      </c>
      <c r="G2756" s="12">
        <v>45611</v>
      </c>
      <c r="H2756" s="11" t="s">
        <v>3992</v>
      </c>
      <c r="I2756" s="11" t="s">
        <v>3373</v>
      </c>
      <c r="J2756" s="13" t="str" cm="1">
        <f t="array" ref="J2756">_xlfn.IFS(
  OR(ISBLANK(A2756),ISBLANK(B2756),ISBLANK(H2756),ISBLANK(D2756),ISBLANK(E2756)),"Missing Value",
  D2756&lt;=0,"Review – Out of Range (Coverage)",
  E2756&lt;=0,"Review – Out of Range (Premium)",
  TRUE,"OK"
)</f>
        <v>OK</v>
      </c>
    </row>
    <row r="2757" spans="1:10" ht="16.8" x14ac:dyDescent="0.3">
      <c r="A2757" s="14" t="s">
        <v>6421</v>
      </c>
      <c r="B2757" s="14" t="s">
        <v>2675</v>
      </c>
      <c r="C2757" s="14" t="s">
        <v>3377</v>
      </c>
      <c r="D2757" s="14">
        <v>892020.82</v>
      </c>
      <c r="E2757" s="14">
        <v>30104.52</v>
      </c>
      <c r="F2757" s="15">
        <v>45377</v>
      </c>
      <c r="G2757" s="15">
        <v>45439</v>
      </c>
      <c r="H2757" s="14" t="s">
        <v>4032</v>
      </c>
      <c r="I2757" s="14" t="s">
        <v>3365</v>
      </c>
      <c r="J2757" s="13" t="str" cm="1">
        <f t="array" ref="J2757">_xlfn.IFS(
  OR(ISBLANK(A2757),ISBLANK(B2757),ISBLANK(H2757),ISBLANK(D2757),ISBLANK(E2757)),"Missing Value",
  D2757&lt;=0,"Review – Out of Range (Coverage)",
  E2757&lt;=0,"Review – Out of Range (Premium)",
  TRUE,"OK"
)</f>
        <v>OK</v>
      </c>
    </row>
    <row r="2758" spans="1:10" ht="16.8" x14ac:dyDescent="0.3">
      <c r="A2758" s="11" t="s">
        <v>6422</v>
      </c>
      <c r="B2758" s="11" t="s">
        <v>1631</v>
      </c>
      <c r="C2758" s="11" t="s">
        <v>3359</v>
      </c>
      <c r="D2758" s="11">
        <v>242709</v>
      </c>
      <c r="E2758" s="11">
        <v>22285.4</v>
      </c>
      <c r="F2758" s="12">
        <v>45069</v>
      </c>
      <c r="G2758" s="12">
        <v>45087</v>
      </c>
      <c r="H2758" s="11" t="s">
        <v>3852</v>
      </c>
      <c r="I2758" s="11" t="s">
        <v>3373</v>
      </c>
      <c r="J2758" s="13" t="str" cm="1">
        <f t="array" ref="J2758">_xlfn.IFS(
  OR(ISBLANK(A2758),ISBLANK(B2758),ISBLANK(H2758),ISBLANK(D2758),ISBLANK(E2758)),"Missing Value",
  D2758&lt;=0,"Review – Out of Range (Coverage)",
  E2758&lt;=0,"Review – Out of Range (Premium)",
  TRUE,"OK"
)</f>
        <v>OK</v>
      </c>
    </row>
    <row r="2759" spans="1:10" ht="16.8" x14ac:dyDescent="0.3">
      <c r="A2759" s="14" t="s">
        <v>6423</v>
      </c>
      <c r="B2759" s="14" t="s">
        <v>2753</v>
      </c>
      <c r="C2759" s="14" t="s">
        <v>3359</v>
      </c>
      <c r="D2759" s="14">
        <v>938179.91</v>
      </c>
      <c r="E2759" s="14">
        <v>6440.96</v>
      </c>
      <c r="F2759" s="15">
        <v>45194</v>
      </c>
      <c r="G2759" s="15">
        <v>45322</v>
      </c>
      <c r="H2759" s="14" t="s">
        <v>3779</v>
      </c>
      <c r="I2759" s="14" t="s">
        <v>3361</v>
      </c>
      <c r="J2759" s="13" t="str" cm="1">
        <f t="array" ref="J2759">_xlfn.IFS(
  OR(ISBLANK(A2759),ISBLANK(B2759),ISBLANK(H2759),ISBLANK(D2759),ISBLANK(E2759)),"Missing Value",
  D2759&lt;=0,"Review – Out of Range (Coverage)",
  E2759&lt;=0,"Review – Out of Range (Premium)",
  TRUE,"OK"
)</f>
        <v>OK</v>
      </c>
    </row>
    <row r="2760" spans="1:10" ht="16.8" x14ac:dyDescent="0.3">
      <c r="A2760" s="11" t="s">
        <v>6424</v>
      </c>
      <c r="B2760" s="11" t="s">
        <v>1635</v>
      </c>
      <c r="C2760" s="11" t="s">
        <v>3363</v>
      </c>
      <c r="D2760" s="11">
        <v>199818.29</v>
      </c>
      <c r="E2760" s="11">
        <v>24111.56</v>
      </c>
      <c r="F2760" s="12">
        <v>45146</v>
      </c>
      <c r="G2760" s="12">
        <v>45348</v>
      </c>
      <c r="H2760" s="11" t="s">
        <v>3558</v>
      </c>
      <c r="I2760" s="11" t="s">
        <v>3361</v>
      </c>
      <c r="J2760" s="13" t="str" cm="1">
        <f t="array" ref="J2760">_xlfn.IFS(
  OR(ISBLANK(A2760),ISBLANK(B2760),ISBLANK(H2760),ISBLANK(D2760),ISBLANK(E2760)),"Missing Value",
  D2760&lt;=0,"Review – Out of Range (Coverage)",
  E2760&lt;=0,"Review – Out of Range (Premium)",
  TRUE,"OK"
)</f>
        <v>OK</v>
      </c>
    </row>
    <row r="2761" spans="1:10" ht="16.8" x14ac:dyDescent="0.3">
      <c r="A2761" s="14" t="s">
        <v>6425</v>
      </c>
      <c r="B2761" s="14" t="s">
        <v>3116</v>
      </c>
      <c r="C2761" s="14" t="s">
        <v>3380</v>
      </c>
      <c r="D2761" s="14">
        <v>744064.56</v>
      </c>
      <c r="E2761" s="14">
        <v>40122.370000000003</v>
      </c>
      <c r="F2761" s="15">
        <v>45373</v>
      </c>
      <c r="G2761" s="15">
        <v>45378</v>
      </c>
      <c r="H2761" s="14" t="s">
        <v>4231</v>
      </c>
      <c r="I2761" s="14" t="s">
        <v>3373</v>
      </c>
      <c r="J2761" s="13" t="str" cm="1">
        <f t="array" ref="J2761">_xlfn.IFS(
  OR(ISBLANK(A2761),ISBLANK(B2761),ISBLANK(H2761),ISBLANK(D2761),ISBLANK(E2761)),"Missing Value",
  D2761&lt;=0,"Review – Out of Range (Coverage)",
  E2761&lt;=0,"Review – Out of Range (Premium)",
  TRUE,"OK"
)</f>
        <v>OK</v>
      </c>
    </row>
    <row r="2762" spans="1:10" ht="16.8" x14ac:dyDescent="0.3">
      <c r="A2762" s="11" t="s">
        <v>6426</v>
      </c>
      <c r="B2762" s="11" t="s">
        <v>867</v>
      </c>
      <c r="C2762" s="11" t="s">
        <v>3377</v>
      </c>
      <c r="D2762" s="11">
        <v>374093.06</v>
      </c>
      <c r="E2762" s="11">
        <v>47964.72</v>
      </c>
      <c r="F2762" s="12">
        <v>45008</v>
      </c>
      <c r="G2762" s="12">
        <v>45832</v>
      </c>
      <c r="H2762" s="11" t="s">
        <v>3456</v>
      </c>
      <c r="I2762" s="11" t="s">
        <v>3365</v>
      </c>
      <c r="J2762" s="13" t="str" cm="1">
        <f t="array" ref="J2762">_xlfn.IFS(
  OR(ISBLANK(A2762),ISBLANK(B2762),ISBLANK(H2762),ISBLANK(D2762),ISBLANK(E2762)),"Missing Value",
  D2762&lt;=0,"Review – Out of Range (Coverage)",
  E2762&lt;=0,"Review – Out of Range (Premium)",
  TRUE,"OK"
)</f>
        <v>OK</v>
      </c>
    </row>
    <row r="2763" spans="1:10" ht="16.8" x14ac:dyDescent="0.3">
      <c r="A2763" s="14" t="s">
        <v>6427</v>
      </c>
      <c r="B2763" s="14" t="s">
        <v>727</v>
      </c>
      <c r="C2763" s="14" t="s">
        <v>3380</v>
      </c>
      <c r="D2763" s="14">
        <v>614223.73</v>
      </c>
      <c r="E2763" s="14">
        <v>47252.800000000003</v>
      </c>
      <c r="F2763" s="15">
        <v>44446</v>
      </c>
      <c r="G2763" s="15">
        <v>45359</v>
      </c>
      <c r="H2763" s="14" t="s">
        <v>3456</v>
      </c>
      <c r="I2763" s="14" t="s">
        <v>3365</v>
      </c>
      <c r="J2763" s="13" t="str" cm="1">
        <f t="array" ref="J2763">_xlfn.IFS(
  OR(ISBLANK(A2763),ISBLANK(B2763),ISBLANK(H2763),ISBLANK(D2763),ISBLANK(E2763)),"Missing Value",
  D2763&lt;=0,"Review – Out of Range (Coverage)",
  E2763&lt;=0,"Review – Out of Range (Premium)",
  TRUE,"OK"
)</f>
        <v>OK</v>
      </c>
    </row>
    <row r="2764" spans="1:10" ht="16.8" x14ac:dyDescent="0.3">
      <c r="A2764" s="11" t="s">
        <v>6428</v>
      </c>
      <c r="B2764" s="11" t="s">
        <v>1295</v>
      </c>
      <c r="C2764" s="11" t="s">
        <v>3359</v>
      </c>
      <c r="D2764" s="11">
        <v>316519.11</v>
      </c>
      <c r="E2764" s="11">
        <v>34810.25</v>
      </c>
      <c r="F2764" s="12">
        <v>45007</v>
      </c>
      <c r="G2764" s="12">
        <v>45226</v>
      </c>
      <c r="H2764" s="11" t="s">
        <v>3454</v>
      </c>
      <c r="I2764" s="11" t="s">
        <v>3365</v>
      </c>
      <c r="J2764" s="13" t="str" cm="1">
        <f t="array" ref="J2764">_xlfn.IFS(
  OR(ISBLANK(A2764),ISBLANK(B2764),ISBLANK(H2764),ISBLANK(D2764),ISBLANK(E2764)),"Missing Value",
  D2764&lt;=0,"Review – Out of Range (Coverage)",
  E2764&lt;=0,"Review – Out of Range (Premium)",
  TRUE,"OK"
)</f>
        <v>OK</v>
      </c>
    </row>
    <row r="2765" spans="1:10" ht="16.8" x14ac:dyDescent="0.3">
      <c r="A2765" s="14" t="s">
        <v>6429</v>
      </c>
      <c r="B2765" s="14" t="s">
        <v>122</v>
      </c>
      <c r="C2765" s="14" t="s">
        <v>3380</v>
      </c>
      <c r="D2765" s="14">
        <v>439504.3</v>
      </c>
      <c r="E2765" s="14">
        <v>33566.85</v>
      </c>
      <c r="F2765" s="15">
        <v>45095</v>
      </c>
      <c r="G2765" s="15">
        <v>45330</v>
      </c>
      <c r="H2765" s="14" t="s">
        <v>4423</v>
      </c>
      <c r="I2765" s="14" t="s">
        <v>3361</v>
      </c>
      <c r="J2765" s="13" t="str" cm="1">
        <f t="array" ref="J2765">_xlfn.IFS(
  OR(ISBLANK(A2765),ISBLANK(B2765),ISBLANK(H2765),ISBLANK(D2765),ISBLANK(E2765)),"Missing Value",
  D2765&lt;=0,"Review – Out of Range (Coverage)",
  E2765&lt;=0,"Review – Out of Range (Premium)",
  TRUE,"OK"
)</f>
        <v>OK</v>
      </c>
    </row>
    <row r="2766" spans="1:10" ht="16.8" x14ac:dyDescent="0.3">
      <c r="A2766" s="11" t="s">
        <v>6430</v>
      </c>
      <c r="B2766" s="11" t="s">
        <v>1441</v>
      </c>
      <c r="C2766" s="11" t="s">
        <v>3377</v>
      </c>
      <c r="D2766" s="11">
        <v>896275.96</v>
      </c>
      <c r="E2766" s="11">
        <v>45703.31</v>
      </c>
      <c r="F2766" s="12">
        <v>44226</v>
      </c>
      <c r="G2766" s="12">
        <v>44297</v>
      </c>
      <c r="H2766" s="11" t="s">
        <v>3427</v>
      </c>
      <c r="I2766" s="11" t="s">
        <v>3373</v>
      </c>
      <c r="J2766" s="13" t="str" cm="1">
        <f t="array" ref="J2766">_xlfn.IFS(
  OR(ISBLANK(A2766),ISBLANK(B2766),ISBLANK(H2766),ISBLANK(D2766),ISBLANK(E2766)),"Missing Value",
  D2766&lt;=0,"Review – Out of Range (Coverage)",
  E2766&lt;=0,"Review – Out of Range (Premium)",
  TRUE,"OK"
)</f>
        <v>OK</v>
      </c>
    </row>
    <row r="2767" spans="1:10" ht="16.8" x14ac:dyDescent="0.3">
      <c r="A2767" s="14" t="s">
        <v>6431</v>
      </c>
      <c r="B2767" s="14" t="s">
        <v>2039</v>
      </c>
      <c r="C2767" s="14" t="s">
        <v>3363</v>
      </c>
      <c r="D2767" s="14">
        <v>333579.75</v>
      </c>
      <c r="E2767" s="14">
        <v>19051.84</v>
      </c>
      <c r="F2767" s="15">
        <v>45212</v>
      </c>
      <c r="G2767" s="15">
        <v>45403</v>
      </c>
      <c r="H2767" s="14" t="s">
        <v>4236</v>
      </c>
      <c r="I2767" s="14" t="s">
        <v>3361</v>
      </c>
      <c r="J2767" s="13" t="str" cm="1">
        <f t="array" ref="J2767">_xlfn.IFS(
  OR(ISBLANK(A2767),ISBLANK(B2767),ISBLANK(H2767),ISBLANK(D2767),ISBLANK(E2767)),"Missing Value",
  D2767&lt;=0,"Review – Out of Range (Coverage)",
  E2767&lt;=0,"Review – Out of Range (Premium)",
  TRUE,"OK"
)</f>
        <v>OK</v>
      </c>
    </row>
    <row r="2768" spans="1:10" ht="16.8" x14ac:dyDescent="0.3">
      <c r="A2768" s="11" t="s">
        <v>6432</v>
      </c>
      <c r="B2768" s="11" t="s">
        <v>1565</v>
      </c>
      <c r="C2768" s="11" t="s">
        <v>3377</v>
      </c>
      <c r="D2768" s="11">
        <v>730119.06</v>
      </c>
      <c r="E2768" s="11">
        <v>3777.38</v>
      </c>
      <c r="F2768" s="12">
        <v>44614</v>
      </c>
      <c r="G2768" s="12">
        <v>44696</v>
      </c>
      <c r="H2768" s="11" t="s">
        <v>4892</v>
      </c>
      <c r="I2768" s="11" t="s">
        <v>3361</v>
      </c>
      <c r="J2768" s="13" t="str" cm="1">
        <f t="array" ref="J2768">_xlfn.IFS(
  OR(ISBLANK(A2768),ISBLANK(B2768),ISBLANK(H2768),ISBLANK(D2768),ISBLANK(E2768)),"Missing Value",
  D2768&lt;=0,"Review – Out of Range (Coverage)",
  E2768&lt;=0,"Review – Out of Range (Premium)",
  TRUE,"OK"
)</f>
        <v>OK</v>
      </c>
    </row>
    <row r="2769" spans="1:10" ht="16.8" x14ac:dyDescent="0.3">
      <c r="A2769" s="14" t="s">
        <v>6433</v>
      </c>
      <c r="B2769" s="14" t="s">
        <v>3170</v>
      </c>
      <c r="C2769" s="14" t="s">
        <v>3363</v>
      </c>
      <c r="D2769" s="14">
        <v>918687.03</v>
      </c>
      <c r="E2769" s="14">
        <v>22324.09</v>
      </c>
      <c r="F2769" s="15">
        <v>44955</v>
      </c>
      <c r="G2769" s="15">
        <v>45055</v>
      </c>
      <c r="H2769" s="14" t="s">
        <v>4006</v>
      </c>
      <c r="I2769" s="14" t="s">
        <v>3365</v>
      </c>
      <c r="J2769" s="13" t="str" cm="1">
        <f t="array" ref="J2769">_xlfn.IFS(
  OR(ISBLANK(A2769),ISBLANK(B2769),ISBLANK(H2769),ISBLANK(D2769),ISBLANK(E2769)),"Missing Value",
  D2769&lt;=0,"Review – Out of Range (Coverage)",
  E2769&lt;=0,"Review – Out of Range (Premium)",
  TRUE,"OK"
)</f>
        <v>OK</v>
      </c>
    </row>
    <row r="2770" spans="1:10" ht="16.8" x14ac:dyDescent="0.3">
      <c r="A2770" s="11" t="s">
        <v>6434</v>
      </c>
      <c r="B2770" s="11" t="s">
        <v>2451</v>
      </c>
      <c r="C2770" s="11" t="s">
        <v>3371</v>
      </c>
      <c r="D2770" s="11">
        <v>497760.74</v>
      </c>
      <c r="E2770" s="11">
        <v>15397.45</v>
      </c>
      <c r="F2770" s="12">
        <v>44524</v>
      </c>
      <c r="G2770" s="12">
        <v>45522</v>
      </c>
      <c r="H2770" s="11" t="s">
        <v>4511</v>
      </c>
      <c r="I2770" s="11" t="s">
        <v>3365</v>
      </c>
      <c r="J2770" s="13" t="str" cm="1">
        <f t="array" ref="J2770">_xlfn.IFS(
  OR(ISBLANK(A2770),ISBLANK(B2770),ISBLANK(H2770),ISBLANK(D2770),ISBLANK(E2770)),"Missing Value",
  D2770&lt;=0,"Review – Out of Range (Coverage)",
  E2770&lt;=0,"Review – Out of Range (Premium)",
  TRUE,"OK"
)</f>
        <v>OK</v>
      </c>
    </row>
    <row r="2771" spans="1:10" ht="16.8" x14ac:dyDescent="0.3">
      <c r="A2771" s="14" t="s">
        <v>6435</v>
      </c>
      <c r="B2771" s="14" t="s">
        <v>3032</v>
      </c>
      <c r="C2771" s="14" t="s">
        <v>3380</v>
      </c>
      <c r="D2771" s="14">
        <v>169044.06</v>
      </c>
      <c r="E2771" s="14">
        <v>32206.17</v>
      </c>
      <c r="F2771" s="15">
        <v>45090</v>
      </c>
      <c r="G2771" s="15">
        <v>45678</v>
      </c>
      <c r="H2771" s="14" t="s">
        <v>3372</v>
      </c>
      <c r="I2771" s="14" t="s">
        <v>3361</v>
      </c>
      <c r="J2771" s="13" t="str" cm="1">
        <f t="array" ref="J2771">_xlfn.IFS(
  OR(ISBLANK(A2771),ISBLANK(B2771),ISBLANK(H2771),ISBLANK(D2771),ISBLANK(E2771)),"Missing Value",
  D2771&lt;=0,"Review – Out of Range (Coverage)",
  E2771&lt;=0,"Review – Out of Range (Premium)",
  TRUE,"OK"
)</f>
        <v>OK</v>
      </c>
    </row>
    <row r="2772" spans="1:10" ht="16.8" x14ac:dyDescent="0.3">
      <c r="A2772" s="11" t="s">
        <v>6436</v>
      </c>
      <c r="B2772" s="11" t="s">
        <v>1087</v>
      </c>
      <c r="C2772" s="11" t="s">
        <v>3363</v>
      </c>
      <c r="D2772" s="11">
        <v>608998.85</v>
      </c>
      <c r="E2772" s="11">
        <v>12077.95</v>
      </c>
      <c r="F2772" s="12">
        <v>45495</v>
      </c>
      <c r="G2772" s="12">
        <v>45747</v>
      </c>
      <c r="H2772" s="11" t="s">
        <v>3968</v>
      </c>
      <c r="I2772" s="11" t="s">
        <v>3373</v>
      </c>
      <c r="J2772" s="13" t="str" cm="1">
        <f t="array" ref="J2772">_xlfn.IFS(
  OR(ISBLANK(A2772),ISBLANK(B2772),ISBLANK(H2772),ISBLANK(D2772),ISBLANK(E2772)),"Missing Value",
  D2772&lt;=0,"Review – Out of Range (Coverage)",
  E2772&lt;=0,"Review – Out of Range (Premium)",
  TRUE,"OK"
)</f>
        <v>OK</v>
      </c>
    </row>
    <row r="2773" spans="1:10" ht="16.8" x14ac:dyDescent="0.3">
      <c r="A2773" s="14" t="s">
        <v>6437</v>
      </c>
      <c r="B2773" s="14" t="s">
        <v>935</v>
      </c>
      <c r="C2773" s="14" t="s">
        <v>3363</v>
      </c>
      <c r="D2773" s="14">
        <v>830331.91</v>
      </c>
      <c r="E2773" s="14">
        <v>19953.169999999998</v>
      </c>
      <c r="F2773" s="15">
        <v>44223</v>
      </c>
      <c r="G2773" s="15">
        <v>44603</v>
      </c>
      <c r="H2773" s="14" t="s">
        <v>3806</v>
      </c>
      <c r="I2773" s="14" t="s">
        <v>3365</v>
      </c>
      <c r="J2773" s="13" t="str" cm="1">
        <f t="array" ref="J2773">_xlfn.IFS(
  OR(ISBLANK(A2773),ISBLANK(B2773),ISBLANK(H2773),ISBLANK(D2773),ISBLANK(E2773)),"Missing Value",
  D2773&lt;=0,"Review – Out of Range (Coverage)",
  E2773&lt;=0,"Review – Out of Range (Premium)",
  TRUE,"OK"
)</f>
        <v>OK</v>
      </c>
    </row>
    <row r="2774" spans="1:10" ht="16.8" x14ac:dyDescent="0.3">
      <c r="A2774" s="11" t="s">
        <v>6438</v>
      </c>
      <c r="B2774" s="11" t="s">
        <v>2537</v>
      </c>
      <c r="C2774" s="11" t="s">
        <v>3359</v>
      </c>
      <c r="D2774" s="11">
        <v>420556.63</v>
      </c>
      <c r="E2774" s="11">
        <v>23148.86</v>
      </c>
      <c r="F2774" s="12">
        <v>45439</v>
      </c>
      <c r="G2774" s="12">
        <v>45618</v>
      </c>
      <c r="H2774" s="11" t="s">
        <v>3488</v>
      </c>
      <c r="I2774" s="11" t="s">
        <v>3373</v>
      </c>
      <c r="J2774" s="13" t="str" cm="1">
        <f t="array" ref="J2774">_xlfn.IFS(
  OR(ISBLANK(A2774),ISBLANK(B2774),ISBLANK(H2774),ISBLANK(D2774),ISBLANK(E2774)),"Missing Value",
  D2774&lt;=0,"Review – Out of Range (Coverage)",
  E2774&lt;=0,"Review – Out of Range (Premium)",
  TRUE,"OK"
)</f>
        <v>OK</v>
      </c>
    </row>
    <row r="2775" spans="1:10" ht="16.8" x14ac:dyDescent="0.3">
      <c r="A2775" s="14" t="s">
        <v>6439</v>
      </c>
      <c r="B2775" s="14" t="s">
        <v>2015</v>
      </c>
      <c r="C2775" s="14" t="s">
        <v>3363</v>
      </c>
      <c r="D2775" s="14">
        <v>400266.65</v>
      </c>
      <c r="E2775" s="14">
        <v>37311.620000000003</v>
      </c>
      <c r="F2775" s="15">
        <v>45294</v>
      </c>
      <c r="G2775" s="15">
        <v>45688</v>
      </c>
      <c r="H2775" s="14" t="s">
        <v>4404</v>
      </c>
      <c r="I2775" s="14" t="s">
        <v>3365</v>
      </c>
      <c r="J2775" s="13" t="str" cm="1">
        <f t="array" ref="J2775">_xlfn.IFS(
  OR(ISBLANK(A2775),ISBLANK(B2775),ISBLANK(H2775),ISBLANK(D2775),ISBLANK(E2775)),"Missing Value",
  D2775&lt;=0,"Review – Out of Range (Coverage)",
  E2775&lt;=0,"Review – Out of Range (Premium)",
  TRUE,"OK"
)</f>
        <v>OK</v>
      </c>
    </row>
    <row r="2776" spans="1:10" ht="16.8" x14ac:dyDescent="0.3">
      <c r="A2776" s="11" t="s">
        <v>6440</v>
      </c>
      <c r="B2776" s="11" t="s">
        <v>735</v>
      </c>
      <c r="C2776" s="11" t="s">
        <v>3371</v>
      </c>
      <c r="D2776" s="11">
        <v>666777.05000000005</v>
      </c>
      <c r="E2776" s="11">
        <v>14633.44</v>
      </c>
      <c r="F2776" s="12">
        <v>44588</v>
      </c>
      <c r="G2776" s="12">
        <v>45584</v>
      </c>
      <c r="H2776" s="11" t="s">
        <v>4095</v>
      </c>
      <c r="I2776" s="11" t="s">
        <v>3373</v>
      </c>
      <c r="J2776" s="13" t="str" cm="1">
        <f t="array" ref="J2776">_xlfn.IFS(
  OR(ISBLANK(A2776),ISBLANK(B2776),ISBLANK(H2776),ISBLANK(D2776),ISBLANK(E2776)),"Missing Value",
  D2776&lt;=0,"Review – Out of Range (Coverage)",
  E2776&lt;=0,"Review – Out of Range (Premium)",
  TRUE,"OK"
)</f>
        <v>OK</v>
      </c>
    </row>
    <row r="2777" spans="1:10" ht="16.8" x14ac:dyDescent="0.3">
      <c r="A2777" s="14" t="s">
        <v>6441</v>
      </c>
      <c r="B2777" s="14" t="s">
        <v>683</v>
      </c>
      <c r="C2777" s="14" t="s">
        <v>3359</v>
      </c>
      <c r="D2777" s="14">
        <v>731801.18</v>
      </c>
      <c r="E2777" s="14">
        <v>24800.080000000002</v>
      </c>
      <c r="F2777" s="15">
        <v>45075</v>
      </c>
      <c r="G2777" s="15">
        <v>45706</v>
      </c>
      <c r="H2777" s="14" t="s">
        <v>4170</v>
      </c>
      <c r="I2777" s="14" t="s">
        <v>3373</v>
      </c>
      <c r="J2777" s="13" t="str" cm="1">
        <f t="array" ref="J2777">_xlfn.IFS(
  OR(ISBLANK(A2777),ISBLANK(B2777),ISBLANK(H2777),ISBLANK(D2777),ISBLANK(E2777)),"Missing Value",
  D2777&lt;=0,"Review – Out of Range (Coverage)",
  E2777&lt;=0,"Review – Out of Range (Premium)",
  TRUE,"OK"
)</f>
        <v>OK</v>
      </c>
    </row>
    <row r="2778" spans="1:10" ht="16.8" x14ac:dyDescent="0.3">
      <c r="A2778" s="11" t="s">
        <v>6442</v>
      </c>
      <c r="B2778" s="11" t="s">
        <v>2825</v>
      </c>
      <c r="C2778" s="11" t="s">
        <v>3359</v>
      </c>
      <c r="D2778" s="11">
        <v>112062.79</v>
      </c>
      <c r="E2778" s="11">
        <v>34408.800000000003</v>
      </c>
      <c r="F2778" s="12">
        <v>44913</v>
      </c>
      <c r="G2778" s="12">
        <v>45634</v>
      </c>
      <c r="H2778" s="11" t="s">
        <v>4295</v>
      </c>
      <c r="I2778" s="11" t="s">
        <v>3361</v>
      </c>
      <c r="J2778" s="13" t="str" cm="1">
        <f t="array" ref="J2778">_xlfn.IFS(
  OR(ISBLANK(A2778),ISBLANK(B2778),ISBLANK(H2778),ISBLANK(D2778),ISBLANK(E2778)),"Missing Value",
  D2778&lt;=0,"Review – Out of Range (Coverage)",
  E2778&lt;=0,"Review – Out of Range (Premium)",
  TRUE,"OK"
)</f>
        <v>OK</v>
      </c>
    </row>
    <row r="2779" spans="1:10" ht="16.8" x14ac:dyDescent="0.3">
      <c r="A2779" s="14" t="s">
        <v>6443</v>
      </c>
      <c r="B2779" s="14" t="s">
        <v>214</v>
      </c>
      <c r="C2779" s="14" t="s">
        <v>3363</v>
      </c>
      <c r="D2779" s="14">
        <v>657574.27</v>
      </c>
      <c r="E2779" s="14">
        <v>22368.49</v>
      </c>
      <c r="F2779" s="15">
        <v>45411</v>
      </c>
      <c r="G2779" s="15">
        <v>45662</v>
      </c>
      <c r="H2779" s="14" t="s">
        <v>3707</v>
      </c>
      <c r="I2779" s="14" t="s">
        <v>3373</v>
      </c>
      <c r="J2779" s="13" t="str" cm="1">
        <f t="array" ref="J2779">_xlfn.IFS(
  OR(ISBLANK(A2779),ISBLANK(B2779),ISBLANK(H2779),ISBLANK(D2779),ISBLANK(E2779)),"Missing Value",
  D2779&lt;=0,"Review – Out of Range (Coverage)",
  E2779&lt;=0,"Review – Out of Range (Premium)",
  TRUE,"OK"
)</f>
        <v>OK</v>
      </c>
    </row>
    <row r="2780" spans="1:10" ht="16.8" x14ac:dyDescent="0.3">
      <c r="A2780" s="11" t="s">
        <v>6444</v>
      </c>
      <c r="B2780" s="11" t="s">
        <v>3138</v>
      </c>
      <c r="C2780" s="11" t="s">
        <v>3380</v>
      </c>
      <c r="D2780" s="11">
        <v>561154.23</v>
      </c>
      <c r="E2780" s="11">
        <v>6184.11</v>
      </c>
      <c r="F2780" s="12">
        <v>45082</v>
      </c>
      <c r="G2780" s="12">
        <v>45790</v>
      </c>
      <c r="H2780" s="11" t="s">
        <v>3636</v>
      </c>
      <c r="I2780" s="11" t="s">
        <v>3373</v>
      </c>
      <c r="J2780" s="13" t="str" cm="1">
        <f t="array" ref="J2780">_xlfn.IFS(
  OR(ISBLANK(A2780),ISBLANK(B2780),ISBLANK(H2780),ISBLANK(D2780),ISBLANK(E2780)),"Missing Value",
  D2780&lt;=0,"Review – Out of Range (Coverage)",
  E2780&lt;=0,"Review – Out of Range (Premium)",
  TRUE,"OK"
)</f>
        <v>OK</v>
      </c>
    </row>
    <row r="2781" spans="1:10" ht="16.8" x14ac:dyDescent="0.3">
      <c r="A2781" s="14" t="s">
        <v>6445</v>
      </c>
      <c r="B2781" s="14" t="s">
        <v>184</v>
      </c>
      <c r="C2781" s="14" t="s">
        <v>3380</v>
      </c>
      <c r="D2781" s="14">
        <v>376587.38</v>
      </c>
      <c r="E2781" s="14">
        <v>5058.8900000000003</v>
      </c>
      <c r="F2781" s="15">
        <v>45239</v>
      </c>
      <c r="G2781" s="15">
        <v>45545</v>
      </c>
      <c r="H2781" s="14" t="s">
        <v>3822</v>
      </c>
      <c r="I2781" s="14" t="s">
        <v>3361</v>
      </c>
      <c r="J2781" s="13" t="str" cm="1">
        <f t="array" ref="J2781">_xlfn.IFS(
  OR(ISBLANK(A2781),ISBLANK(B2781),ISBLANK(H2781),ISBLANK(D2781),ISBLANK(E2781)),"Missing Value",
  D2781&lt;=0,"Review – Out of Range (Coverage)",
  E2781&lt;=0,"Review – Out of Range (Premium)",
  TRUE,"OK"
)</f>
        <v>OK</v>
      </c>
    </row>
    <row r="2782" spans="1:10" ht="16.8" x14ac:dyDescent="0.3">
      <c r="A2782" s="11" t="s">
        <v>6446</v>
      </c>
      <c r="B2782" s="11" t="s">
        <v>3284</v>
      </c>
      <c r="C2782" s="11" t="s">
        <v>3380</v>
      </c>
      <c r="D2782" s="11">
        <v>757847.85</v>
      </c>
      <c r="E2782" s="11">
        <v>34702.15</v>
      </c>
      <c r="F2782" s="12">
        <v>44579</v>
      </c>
      <c r="G2782" s="12">
        <v>44660</v>
      </c>
      <c r="H2782" s="11" t="s">
        <v>4247</v>
      </c>
      <c r="I2782" s="11" t="s">
        <v>3373</v>
      </c>
      <c r="J2782" s="13" t="str" cm="1">
        <f t="array" ref="J2782">_xlfn.IFS(
  OR(ISBLANK(A2782),ISBLANK(B2782),ISBLANK(H2782),ISBLANK(D2782),ISBLANK(E2782)),"Missing Value",
  D2782&lt;=0,"Review – Out of Range (Coverage)",
  E2782&lt;=0,"Review – Out of Range (Premium)",
  TRUE,"OK"
)</f>
        <v>OK</v>
      </c>
    </row>
    <row r="2783" spans="1:10" ht="16.8" x14ac:dyDescent="0.3">
      <c r="A2783" s="14" t="s">
        <v>6447</v>
      </c>
      <c r="B2783" s="14" t="s">
        <v>637</v>
      </c>
      <c r="C2783" s="14" t="s">
        <v>3380</v>
      </c>
      <c r="D2783" s="14">
        <v>756635.6</v>
      </c>
      <c r="E2783" s="14">
        <v>10434.09</v>
      </c>
      <c r="F2783" s="15">
        <v>44767</v>
      </c>
      <c r="G2783" s="15">
        <v>45276</v>
      </c>
      <c r="H2783" s="14" t="s">
        <v>6366</v>
      </c>
      <c r="I2783" s="14" t="s">
        <v>3365</v>
      </c>
      <c r="J2783" s="13" t="str" cm="1">
        <f t="array" ref="J2783">_xlfn.IFS(
  OR(ISBLANK(A2783),ISBLANK(B2783),ISBLANK(H2783),ISBLANK(D2783),ISBLANK(E2783)),"Missing Value",
  D2783&lt;=0,"Review – Out of Range (Coverage)",
  E2783&lt;=0,"Review – Out of Range (Premium)",
  TRUE,"OK"
)</f>
        <v>OK</v>
      </c>
    </row>
    <row r="2784" spans="1:10" ht="16.8" x14ac:dyDescent="0.3">
      <c r="A2784" s="11" t="s">
        <v>6448</v>
      </c>
      <c r="B2784" s="11" t="s">
        <v>1887</v>
      </c>
      <c r="C2784" s="11" t="s">
        <v>3371</v>
      </c>
      <c r="D2784" s="11">
        <v>426999.77</v>
      </c>
      <c r="E2784" s="11">
        <v>17254.03</v>
      </c>
      <c r="F2784" s="12">
        <v>44923</v>
      </c>
      <c r="G2784" s="12">
        <v>45002</v>
      </c>
      <c r="H2784" s="11" t="s">
        <v>3696</v>
      </c>
      <c r="I2784" s="11" t="s">
        <v>3373</v>
      </c>
      <c r="J2784" s="13" t="str" cm="1">
        <f t="array" ref="J2784">_xlfn.IFS(
  OR(ISBLANK(A2784),ISBLANK(B2784),ISBLANK(H2784),ISBLANK(D2784),ISBLANK(E2784)),"Missing Value",
  D2784&lt;=0,"Review – Out of Range (Coverage)",
  E2784&lt;=0,"Review – Out of Range (Premium)",
  TRUE,"OK"
)</f>
        <v>OK</v>
      </c>
    </row>
    <row r="2785" spans="1:10" ht="16.8" x14ac:dyDescent="0.3">
      <c r="A2785" s="14" t="s">
        <v>6449</v>
      </c>
      <c r="B2785" s="14" t="s">
        <v>2613</v>
      </c>
      <c r="C2785" s="14" t="s">
        <v>3363</v>
      </c>
      <c r="D2785" s="14">
        <v>159374.63</v>
      </c>
      <c r="E2785" s="14">
        <v>20577.39</v>
      </c>
      <c r="F2785" s="15">
        <v>45455</v>
      </c>
      <c r="G2785" s="15">
        <v>45546</v>
      </c>
      <c r="H2785" s="14" t="s">
        <v>4766</v>
      </c>
      <c r="I2785" s="14" t="s">
        <v>3361</v>
      </c>
      <c r="J2785" s="13" t="str" cm="1">
        <f t="array" ref="J2785">_xlfn.IFS(
  OR(ISBLANK(A2785),ISBLANK(B2785),ISBLANK(H2785),ISBLANK(D2785),ISBLANK(E2785)),"Missing Value",
  D2785&lt;=0,"Review – Out of Range (Coverage)",
  E2785&lt;=0,"Review – Out of Range (Premium)",
  TRUE,"OK"
)</f>
        <v>OK</v>
      </c>
    </row>
    <row r="2786" spans="1:10" ht="16.8" x14ac:dyDescent="0.3">
      <c r="A2786" s="11" t="s">
        <v>6450</v>
      </c>
      <c r="B2786" s="11" t="s">
        <v>2273</v>
      </c>
      <c r="C2786" s="11" t="s">
        <v>3380</v>
      </c>
      <c r="D2786" s="11">
        <v>852014.15</v>
      </c>
      <c r="E2786" s="11">
        <v>14602.52</v>
      </c>
      <c r="F2786" s="12">
        <v>44703</v>
      </c>
      <c r="G2786" s="12">
        <v>45441</v>
      </c>
      <c r="H2786" s="11" t="s">
        <v>3599</v>
      </c>
      <c r="I2786" s="11" t="s">
        <v>3361</v>
      </c>
      <c r="J2786" s="13" t="str" cm="1">
        <f t="array" ref="J2786">_xlfn.IFS(
  OR(ISBLANK(A2786),ISBLANK(B2786),ISBLANK(H2786),ISBLANK(D2786),ISBLANK(E2786)),"Missing Value",
  D2786&lt;=0,"Review – Out of Range (Coverage)",
  E2786&lt;=0,"Review – Out of Range (Premium)",
  TRUE,"OK"
)</f>
        <v>OK</v>
      </c>
    </row>
    <row r="2787" spans="1:10" ht="16.8" x14ac:dyDescent="0.3">
      <c r="A2787" s="14" t="s">
        <v>6451</v>
      </c>
      <c r="B2787" s="14" t="s">
        <v>1143</v>
      </c>
      <c r="C2787" s="14" t="s">
        <v>3380</v>
      </c>
      <c r="D2787" s="14">
        <v>377060.45</v>
      </c>
      <c r="E2787" s="14">
        <v>38513.699999999997</v>
      </c>
      <c r="F2787" s="15">
        <v>44733</v>
      </c>
      <c r="G2787" s="15">
        <v>44776</v>
      </c>
      <c r="H2787" s="14" t="s">
        <v>4887</v>
      </c>
      <c r="I2787" s="14" t="s">
        <v>3373</v>
      </c>
      <c r="J2787" s="13" t="str" cm="1">
        <f t="array" ref="J2787">_xlfn.IFS(
  OR(ISBLANK(A2787),ISBLANK(B2787),ISBLANK(H2787),ISBLANK(D2787),ISBLANK(E2787)),"Missing Value",
  D2787&lt;=0,"Review – Out of Range (Coverage)",
  E2787&lt;=0,"Review – Out of Range (Premium)",
  TRUE,"OK"
)</f>
        <v>OK</v>
      </c>
    </row>
    <row r="2788" spans="1:10" ht="16.8" x14ac:dyDescent="0.3">
      <c r="A2788" s="11" t="s">
        <v>6452</v>
      </c>
      <c r="B2788" s="11" t="s">
        <v>1771</v>
      </c>
      <c r="C2788" s="11" t="s">
        <v>3377</v>
      </c>
      <c r="D2788" s="11">
        <v>706700.67</v>
      </c>
      <c r="E2788" s="11">
        <v>15723.24</v>
      </c>
      <c r="F2788" s="12">
        <v>44564</v>
      </c>
      <c r="G2788" s="12">
        <v>45327</v>
      </c>
      <c r="H2788" s="11" t="s">
        <v>3364</v>
      </c>
      <c r="I2788" s="11" t="s">
        <v>3373</v>
      </c>
      <c r="J2788" s="13" t="str" cm="1">
        <f t="array" ref="J2788">_xlfn.IFS(
  OR(ISBLANK(A2788),ISBLANK(B2788),ISBLANK(H2788),ISBLANK(D2788),ISBLANK(E2788)),"Missing Value",
  D2788&lt;=0,"Review – Out of Range (Coverage)",
  E2788&lt;=0,"Review – Out of Range (Premium)",
  TRUE,"OK"
)</f>
        <v>OK</v>
      </c>
    </row>
    <row r="2789" spans="1:10" ht="16.8" x14ac:dyDescent="0.3">
      <c r="A2789" s="14" t="s">
        <v>6453</v>
      </c>
      <c r="B2789" s="14" t="s">
        <v>571</v>
      </c>
      <c r="C2789" s="14" t="s">
        <v>3359</v>
      </c>
      <c r="D2789" s="14">
        <v>746037.65</v>
      </c>
      <c r="E2789" s="14">
        <v>22390.54</v>
      </c>
      <c r="F2789" s="15">
        <v>45248</v>
      </c>
      <c r="G2789" s="15">
        <v>45645</v>
      </c>
      <c r="H2789" s="14" t="s">
        <v>3687</v>
      </c>
      <c r="I2789" s="14" t="s">
        <v>3365</v>
      </c>
      <c r="J2789" s="13" t="str" cm="1">
        <f t="array" ref="J2789">_xlfn.IFS(
  OR(ISBLANK(A2789),ISBLANK(B2789),ISBLANK(H2789),ISBLANK(D2789),ISBLANK(E2789)),"Missing Value",
  D2789&lt;=0,"Review – Out of Range (Coverage)",
  E2789&lt;=0,"Review – Out of Range (Premium)",
  TRUE,"OK"
)</f>
        <v>OK</v>
      </c>
    </row>
    <row r="2790" spans="1:10" ht="16.8" x14ac:dyDescent="0.3">
      <c r="A2790" s="11" t="s">
        <v>6454</v>
      </c>
      <c r="B2790" s="11" t="s">
        <v>1863</v>
      </c>
      <c r="C2790" s="11" t="s">
        <v>3359</v>
      </c>
      <c r="D2790" s="11">
        <v>825519.58</v>
      </c>
      <c r="E2790" s="11">
        <v>20394.25</v>
      </c>
      <c r="F2790" s="12">
        <v>45191</v>
      </c>
      <c r="G2790" s="12">
        <v>45748</v>
      </c>
      <c r="H2790" s="11" t="s">
        <v>3827</v>
      </c>
      <c r="I2790" s="11" t="s">
        <v>3361</v>
      </c>
      <c r="J2790" s="13" t="str" cm="1">
        <f t="array" ref="J2790">_xlfn.IFS(
  OR(ISBLANK(A2790),ISBLANK(B2790),ISBLANK(H2790),ISBLANK(D2790),ISBLANK(E2790)),"Missing Value",
  D2790&lt;=0,"Review – Out of Range (Coverage)",
  E2790&lt;=0,"Review – Out of Range (Premium)",
  TRUE,"OK"
)</f>
        <v>OK</v>
      </c>
    </row>
    <row r="2791" spans="1:10" ht="16.8" x14ac:dyDescent="0.3">
      <c r="A2791" s="14" t="s">
        <v>6455</v>
      </c>
      <c r="B2791" s="14" t="s">
        <v>3102</v>
      </c>
      <c r="C2791" s="14" t="s">
        <v>3377</v>
      </c>
      <c r="D2791" s="14">
        <v>201113.89</v>
      </c>
      <c r="E2791" s="14">
        <v>19943.16</v>
      </c>
      <c r="F2791" s="15">
        <v>44765</v>
      </c>
      <c r="G2791" s="15">
        <v>45835</v>
      </c>
      <c r="H2791" s="14" t="s">
        <v>3524</v>
      </c>
      <c r="I2791" s="14" t="s">
        <v>3361</v>
      </c>
      <c r="J2791" s="13" t="str" cm="1">
        <f t="array" ref="J2791">_xlfn.IFS(
  OR(ISBLANK(A2791),ISBLANK(B2791),ISBLANK(H2791),ISBLANK(D2791),ISBLANK(E2791)),"Missing Value",
  D2791&lt;=0,"Review – Out of Range (Coverage)",
  E2791&lt;=0,"Review – Out of Range (Premium)",
  TRUE,"OK"
)</f>
        <v>OK</v>
      </c>
    </row>
    <row r="2792" spans="1:10" ht="16.8" x14ac:dyDescent="0.3">
      <c r="A2792" s="11" t="s">
        <v>6456</v>
      </c>
      <c r="B2792" s="11" t="s">
        <v>1051</v>
      </c>
      <c r="C2792" s="11" t="s">
        <v>3359</v>
      </c>
      <c r="D2792" s="11">
        <v>531969.59</v>
      </c>
      <c r="E2792" s="11">
        <v>14156.71</v>
      </c>
      <c r="F2792" s="12">
        <v>44997</v>
      </c>
      <c r="G2792" s="12">
        <v>45672</v>
      </c>
      <c r="H2792" s="11" t="s">
        <v>3892</v>
      </c>
      <c r="I2792" s="11" t="s">
        <v>3365</v>
      </c>
      <c r="J2792" s="13" t="str" cm="1">
        <f t="array" ref="J2792">_xlfn.IFS(
  OR(ISBLANK(A2792),ISBLANK(B2792),ISBLANK(H2792),ISBLANK(D2792),ISBLANK(E2792)),"Missing Value",
  D2792&lt;=0,"Review – Out of Range (Coverage)",
  E2792&lt;=0,"Review – Out of Range (Premium)",
  TRUE,"OK"
)</f>
        <v>OK</v>
      </c>
    </row>
    <row r="2793" spans="1:10" ht="16.8" x14ac:dyDescent="0.3">
      <c r="A2793" s="14" t="s">
        <v>6457</v>
      </c>
      <c r="B2793" s="14" t="s">
        <v>2281</v>
      </c>
      <c r="C2793" s="14" t="s">
        <v>3371</v>
      </c>
      <c r="D2793" s="14">
        <v>388260.41</v>
      </c>
      <c r="E2793" s="14">
        <v>13682.67</v>
      </c>
      <c r="F2793" s="15">
        <v>45100</v>
      </c>
      <c r="G2793" s="15">
        <v>45130</v>
      </c>
      <c r="H2793" s="14" t="s">
        <v>4716</v>
      </c>
      <c r="I2793" s="14" t="s">
        <v>3373</v>
      </c>
      <c r="J2793" s="13" t="str" cm="1">
        <f t="array" ref="J2793">_xlfn.IFS(
  OR(ISBLANK(A2793),ISBLANK(B2793),ISBLANK(H2793),ISBLANK(D2793),ISBLANK(E2793)),"Missing Value",
  D2793&lt;=0,"Review – Out of Range (Coverage)",
  E2793&lt;=0,"Review – Out of Range (Premium)",
  TRUE,"OK"
)</f>
        <v>OK</v>
      </c>
    </row>
    <row r="2794" spans="1:10" ht="16.8" x14ac:dyDescent="0.3">
      <c r="A2794" s="11" t="s">
        <v>6458</v>
      </c>
      <c r="B2794" s="11" t="s">
        <v>591</v>
      </c>
      <c r="C2794" s="11" t="s">
        <v>3380</v>
      </c>
      <c r="D2794" s="11">
        <v>298505.23</v>
      </c>
      <c r="E2794" s="11">
        <v>9121.24</v>
      </c>
      <c r="F2794" s="12">
        <v>44952</v>
      </c>
      <c r="G2794" s="12">
        <v>45677</v>
      </c>
      <c r="H2794" s="11" t="s">
        <v>3569</v>
      </c>
      <c r="I2794" s="11" t="s">
        <v>3373</v>
      </c>
      <c r="J2794" s="13" t="str" cm="1">
        <f t="array" ref="J2794">_xlfn.IFS(
  OR(ISBLANK(A2794),ISBLANK(B2794),ISBLANK(H2794),ISBLANK(D2794),ISBLANK(E2794)),"Missing Value",
  D2794&lt;=0,"Review – Out of Range (Coverage)",
  E2794&lt;=0,"Review – Out of Range (Premium)",
  TRUE,"OK"
)</f>
        <v>OK</v>
      </c>
    </row>
    <row r="2795" spans="1:10" ht="16.8" x14ac:dyDescent="0.3">
      <c r="A2795" s="14" t="s">
        <v>6459</v>
      </c>
      <c r="B2795" s="14" t="s">
        <v>2399</v>
      </c>
      <c r="C2795" s="14" t="s">
        <v>3363</v>
      </c>
      <c r="D2795" s="14">
        <v>367640.43</v>
      </c>
      <c r="E2795" s="14">
        <v>13755.02</v>
      </c>
      <c r="F2795" s="15">
        <v>45157</v>
      </c>
      <c r="G2795" s="15">
        <v>45538</v>
      </c>
      <c r="H2795" s="14" t="s">
        <v>3865</v>
      </c>
      <c r="I2795" s="14" t="s">
        <v>3373</v>
      </c>
      <c r="J2795" s="13" t="str" cm="1">
        <f t="array" ref="J2795">_xlfn.IFS(
  OR(ISBLANK(A2795),ISBLANK(B2795),ISBLANK(H2795),ISBLANK(D2795),ISBLANK(E2795)),"Missing Value",
  D2795&lt;=0,"Review – Out of Range (Coverage)",
  E2795&lt;=0,"Review – Out of Range (Premium)",
  TRUE,"OK"
)</f>
        <v>OK</v>
      </c>
    </row>
    <row r="2796" spans="1:10" ht="16.8" x14ac:dyDescent="0.3">
      <c r="A2796" s="11" t="s">
        <v>6460</v>
      </c>
      <c r="B2796" s="11" t="s">
        <v>771</v>
      </c>
      <c r="C2796" s="11" t="s">
        <v>3377</v>
      </c>
      <c r="D2796" s="11">
        <v>129462.53</v>
      </c>
      <c r="E2796" s="11">
        <v>42240.62</v>
      </c>
      <c r="F2796" s="12">
        <v>45089</v>
      </c>
      <c r="G2796" s="12">
        <v>45114</v>
      </c>
      <c r="H2796" s="11" t="s">
        <v>3364</v>
      </c>
      <c r="I2796" s="11" t="s">
        <v>3365</v>
      </c>
      <c r="J2796" s="13" t="str" cm="1">
        <f t="array" ref="J2796">_xlfn.IFS(
  OR(ISBLANK(A2796),ISBLANK(B2796),ISBLANK(H2796),ISBLANK(D2796),ISBLANK(E2796)),"Missing Value",
  D2796&lt;=0,"Review – Out of Range (Coverage)",
  E2796&lt;=0,"Review – Out of Range (Premium)",
  TRUE,"OK"
)</f>
        <v>OK</v>
      </c>
    </row>
    <row r="2797" spans="1:10" ht="16.8" x14ac:dyDescent="0.3">
      <c r="A2797" s="14" t="s">
        <v>6461</v>
      </c>
      <c r="B2797" s="14" t="s">
        <v>1163</v>
      </c>
      <c r="C2797" s="14" t="s">
        <v>3371</v>
      </c>
      <c r="D2797" s="14">
        <v>754900.57</v>
      </c>
      <c r="E2797" s="14">
        <v>18208.63</v>
      </c>
      <c r="F2797" s="15">
        <v>45352</v>
      </c>
      <c r="G2797" s="15">
        <v>45775</v>
      </c>
      <c r="H2797" s="14" t="s">
        <v>3419</v>
      </c>
      <c r="I2797" s="14" t="s">
        <v>3365</v>
      </c>
      <c r="J2797" s="13" t="str" cm="1">
        <f t="array" ref="J2797">_xlfn.IFS(
  OR(ISBLANK(A2797),ISBLANK(B2797),ISBLANK(H2797),ISBLANK(D2797),ISBLANK(E2797)),"Missing Value",
  D2797&lt;=0,"Review – Out of Range (Coverage)",
  E2797&lt;=0,"Review – Out of Range (Premium)",
  TRUE,"OK"
)</f>
        <v>OK</v>
      </c>
    </row>
    <row r="2798" spans="1:10" ht="16.8" x14ac:dyDescent="0.3">
      <c r="A2798" s="11" t="s">
        <v>6462</v>
      </c>
      <c r="B2798" s="11" t="s">
        <v>631</v>
      </c>
      <c r="C2798" s="11" t="s">
        <v>3363</v>
      </c>
      <c r="D2798" s="11">
        <v>257269.84</v>
      </c>
      <c r="E2798" s="11">
        <v>44546.77</v>
      </c>
      <c r="F2798" s="12">
        <v>44914</v>
      </c>
      <c r="G2798" s="12">
        <v>45642</v>
      </c>
      <c r="H2798" s="11" t="s">
        <v>3918</v>
      </c>
      <c r="I2798" s="11" t="s">
        <v>3373</v>
      </c>
      <c r="J2798" s="13" t="str" cm="1">
        <f t="array" ref="J2798">_xlfn.IFS(
  OR(ISBLANK(A2798),ISBLANK(B2798),ISBLANK(H2798),ISBLANK(D2798),ISBLANK(E2798)),"Missing Value",
  D2798&lt;=0,"Review – Out of Range (Coverage)",
  E2798&lt;=0,"Review – Out of Range (Premium)",
  TRUE,"OK"
)</f>
        <v>OK</v>
      </c>
    </row>
    <row r="2799" spans="1:10" ht="16.8" x14ac:dyDescent="0.3">
      <c r="A2799" s="14" t="s">
        <v>6463</v>
      </c>
      <c r="B2799" s="14" t="s">
        <v>172</v>
      </c>
      <c r="C2799" s="14" t="s">
        <v>3363</v>
      </c>
      <c r="D2799" s="14">
        <v>702337.99</v>
      </c>
      <c r="E2799" s="14">
        <v>35315.599999999999</v>
      </c>
      <c r="F2799" s="15">
        <v>44889</v>
      </c>
      <c r="G2799" s="15">
        <v>45325</v>
      </c>
      <c r="H2799" s="14" t="s">
        <v>3571</v>
      </c>
      <c r="I2799" s="14" t="s">
        <v>3361</v>
      </c>
      <c r="J2799" s="13" t="str" cm="1">
        <f t="array" ref="J2799">_xlfn.IFS(
  OR(ISBLANK(A2799),ISBLANK(B2799),ISBLANK(H2799),ISBLANK(D2799),ISBLANK(E2799)),"Missing Value",
  D2799&lt;=0,"Review – Out of Range (Coverage)",
  E2799&lt;=0,"Review – Out of Range (Premium)",
  TRUE,"OK"
)</f>
        <v>OK</v>
      </c>
    </row>
    <row r="2800" spans="1:10" ht="16.8" x14ac:dyDescent="0.3">
      <c r="A2800" s="11" t="s">
        <v>6464</v>
      </c>
      <c r="B2800" s="11" t="s">
        <v>1137</v>
      </c>
      <c r="C2800" s="11" t="s">
        <v>3363</v>
      </c>
      <c r="D2800" s="11">
        <v>108940.17</v>
      </c>
      <c r="E2800" s="11">
        <v>48589.79</v>
      </c>
      <c r="F2800" s="12">
        <v>45022</v>
      </c>
      <c r="G2800" s="12">
        <v>45288</v>
      </c>
      <c r="H2800" s="11" t="s">
        <v>4123</v>
      </c>
      <c r="I2800" s="11" t="s">
        <v>3365</v>
      </c>
      <c r="J2800" s="13" t="str" cm="1">
        <f t="array" ref="J2800">_xlfn.IFS(
  OR(ISBLANK(A2800),ISBLANK(B2800),ISBLANK(H2800),ISBLANK(D2800),ISBLANK(E2800)),"Missing Value",
  D2800&lt;=0,"Review – Out of Range (Coverage)",
  E2800&lt;=0,"Review – Out of Range (Premium)",
  TRUE,"OK"
)</f>
        <v>OK</v>
      </c>
    </row>
    <row r="2801" spans="1:10" ht="16.8" x14ac:dyDescent="0.3">
      <c r="A2801" s="14" t="s">
        <v>6465</v>
      </c>
      <c r="B2801" s="14" t="s">
        <v>66</v>
      </c>
      <c r="C2801" s="14" t="s">
        <v>3359</v>
      </c>
      <c r="D2801" s="14">
        <v>826461.51</v>
      </c>
      <c r="E2801" s="14">
        <v>40890.839999999997</v>
      </c>
      <c r="F2801" s="15">
        <v>44791</v>
      </c>
      <c r="G2801" s="15">
        <v>45700</v>
      </c>
      <c r="H2801" s="14" t="s">
        <v>3454</v>
      </c>
      <c r="I2801" s="14" t="s">
        <v>3373</v>
      </c>
      <c r="J2801" s="13" t="str" cm="1">
        <f t="array" ref="J2801">_xlfn.IFS(
  OR(ISBLANK(A2801),ISBLANK(B2801),ISBLANK(H2801),ISBLANK(D2801),ISBLANK(E2801)),"Missing Value",
  D2801&lt;=0,"Review – Out of Range (Coverage)",
  E2801&lt;=0,"Review – Out of Range (Premium)",
  TRUE,"OK"
)</f>
        <v>OK</v>
      </c>
    </row>
    <row r="2802" spans="1:10" ht="16.8" x14ac:dyDescent="0.3">
      <c r="A2802" s="11" t="s">
        <v>6466</v>
      </c>
      <c r="B2802" s="11" t="s">
        <v>1079</v>
      </c>
      <c r="C2802" s="11" t="s">
        <v>3371</v>
      </c>
      <c r="D2802" s="11">
        <v>280042.94</v>
      </c>
      <c r="E2802" s="11">
        <v>10805.58</v>
      </c>
      <c r="F2802" s="12">
        <v>45346</v>
      </c>
      <c r="G2802" s="12">
        <v>45350</v>
      </c>
      <c r="H2802" s="11" t="s">
        <v>4439</v>
      </c>
      <c r="I2802" s="11" t="s">
        <v>3365</v>
      </c>
      <c r="J2802" s="13" t="str" cm="1">
        <f t="array" ref="J2802">_xlfn.IFS(
  OR(ISBLANK(A2802),ISBLANK(B2802),ISBLANK(H2802),ISBLANK(D2802),ISBLANK(E2802)),"Missing Value",
  D2802&lt;=0,"Review – Out of Range (Coverage)",
  E2802&lt;=0,"Review – Out of Range (Premium)",
  TRUE,"OK"
)</f>
        <v>OK</v>
      </c>
    </row>
    <row r="2803" spans="1:10" ht="16.8" x14ac:dyDescent="0.3">
      <c r="A2803" s="14" t="s">
        <v>6467</v>
      </c>
      <c r="B2803" s="14" t="s">
        <v>1471</v>
      </c>
      <c r="C2803" s="14" t="s">
        <v>3363</v>
      </c>
      <c r="D2803" s="14">
        <v>744727.3</v>
      </c>
      <c r="E2803" s="14">
        <v>19440.580000000002</v>
      </c>
      <c r="F2803" s="15">
        <v>45464</v>
      </c>
      <c r="G2803" s="15">
        <v>45759</v>
      </c>
      <c r="H2803" s="14" t="s">
        <v>3436</v>
      </c>
      <c r="I2803" s="14" t="s">
        <v>3365</v>
      </c>
      <c r="J2803" s="13" t="str" cm="1">
        <f t="array" ref="J2803">_xlfn.IFS(
  OR(ISBLANK(A2803),ISBLANK(B2803),ISBLANK(H2803),ISBLANK(D2803),ISBLANK(E2803)),"Missing Value",
  D2803&lt;=0,"Review – Out of Range (Coverage)",
  E2803&lt;=0,"Review – Out of Range (Premium)",
  TRUE,"OK"
)</f>
        <v>OK</v>
      </c>
    </row>
    <row r="2804" spans="1:10" ht="16.8" x14ac:dyDescent="0.3">
      <c r="A2804" s="11" t="s">
        <v>6468</v>
      </c>
      <c r="B2804" s="11" t="s">
        <v>2971</v>
      </c>
      <c r="C2804" s="11" t="s">
        <v>3377</v>
      </c>
      <c r="D2804" s="11">
        <v>803555.42</v>
      </c>
      <c r="E2804" s="11">
        <v>32432.91</v>
      </c>
      <c r="F2804" s="12">
        <v>45444</v>
      </c>
      <c r="G2804" s="12">
        <v>45475</v>
      </c>
      <c r="H2804" s="11" t="s">
        <v>3662</v>
      </c>
      <c r="I2804" s="11" t="s">
        <v>3361</v>
      </c>
      <c r="J2804" s="13" t="str" cm="1">
        <f t="array" ref="J2804">_xlfn.IFS(
  OR(ISBLANK(A2804),ISBLANK(B2804),ISBLANK(H2804),ISBLANK(D2804),ISBLANK(E2804)),"Missing Value",
  D2804&lt;=0,"Review – Out of Range (Coverage)",
  E2804&lt;=0,"Review – Out of Range (Premium)",
  TRUE,"OK"
)</f>
        <v>OK</v>
      </c>
    </row>
    <row r="2805" spans="1:10" ht="16.8" x14ac:dyDescent="0.3">
      <c r="A2805" s="14" t="s">
        <v>6469</v>
      </c>
      <c r="B2805" s="14" t="s">
        <v>194</v>
      </c>
      <c r="C2805" s="14" t="s">
        <v>3359</v>
      </c>
      <c r="D2805" s="14">
        <v>421764.33</v>
      </c>
      <c r="E2805" s="14">
        <v>39240.07</v>
      </c>
      <c r="F2805" s="15">
        <v>44555</v>
      </c>
      <c r="G2805" s="15">
        <v>45155</v>
      </c>
      <c r="H2805" s="14" t="s">
        <v>3767</v>
      </c>
      <c r="I2805" s="14" t="s">
        <v>3361</v>
      </c>
      <c r="J2805" s="13" t="str" cm="1">
        <f t="array" ref="J2805">_xlfn.IFS(
  OR(ISBLANK(A2805),ISBLANK(B2805),ISBLANK(H2805),ISBLANK(D2805),ISBLANK(E2805)),"Missing Value",
  D2805&lt;=0,"Review – Out of Range (Coverage)",
  E2805&lt;=0,"Review – Out of Range (Premium)",
  TRUE,"OK"
)</f>
        <v>OK</v>
      </c>
    </row>
    <row r="2806" spans="1:10" ht="16.8" x14ac:dyDescent="0.3">
      <c r="A2806" s="11" t="s">
        <v>6470</v>
      </c>
      <c r="B2806" s="11" t="s">
        <v>1829</v>
      </c>
      <c r="C2806" s="11" t="s">
        <v>3363</v>
      </c>
      <c r="D2806" s="11">
        <v>855742.11</v>
      </c>
      <c r="E2806" s="11">
        <v>43688.91</v>
      </c>
      <c r="F2806" s="12">
        <v>44996</v>
      </c>
      <c r="G2806" s="12">
        <v>45157</v>
      </c>
      <c r="H2806" s="11" t="s">
        <v>3687</v>
      </c>
      <c r="I2806" s="11" t="s">
        <v>3365</v>
      </c>
      <c r="J2806" s="13" t="str" cm="1">
        <f t="array" ref="J2806">_xlfn.IFS(
  OR(ISBLANK(A2806),ISBLANK(B2806),ISBLANK(H2806),ISBLANK(D2806),ISBLANK(E2806)),"Missing Value",
  D2806&lt;=0,"Review – Out of Range (Coverage)",
  E2806&lt;=0,"Review – Out of Range (Premium)",
  TRUE,"OK"
)</f>
        <v>OK</v>
      </c>
    </row>
    <row r="2807" spans="1:10" ht="16.8" x14ac:dyDescent="0.3">
      <c r="A2807" s="14" t="s">
        <v>6471</v>
      </c>
      <c r="B2807" s="14" t="s">
        <v>2147</v>
      </c>
      <c r="C2807" s="14" t="s">
        <v>3363</v>
      </c>
      <c r="D2807" s="14">
        <v>746706.17</v>
      </c>
      <c r="E2807" s="14">
        <v>15816.22</v>
      </c>
      <c r="F2807" s="15">
        <v>44503</v>
      </c>
      <c r="G2807" s="15">
        <v>44887</v>
      </c>
      <c r="H2807" s="14" t="s">
        <v>3744</v>
      </c>
      <c r="I2807" s="14" t="s">
        <v>3361</v>
      </c>
      <c r="J2807" s="13" t="str" cm="1">
        <f t="array" ref="J2807">_xlfn.IFS(
  OR(ISBLANK(A2807),ISBLANK(B2807),ISBLANK(H2807),ISBLANK(D2807),ISBLANK(E2807)),"Missing Value",
  D2807&lt;=0,"Review – Out of Range (Coverage)",
  E2807&lt;=0,"Review – Out of Range (Premium)",
  TRUE,"OK"
)</f>
        <v>OK</v>
      </c>
    </row>
    <row r="2808" spans="1:10" ht="16.8" x14ac:dyDescent="0.3">
      <c r="A2808" s="11" t="s">
        <v>6472</v>
      </c>
      <c r="B2808" s="11" t="s">
        <v>1273</v>
      </c>
      <c r="C2808" s="11" t="s">
        <v>3371</v>
      </c>
      <c r="D2808" s="11">
        <v>145699.22</v>
      </c>
      <c r="E2808" s="11">
        <v>48582.42</v>
      </c>
      <c r="F2808" s="12">
        <v>45146</v>
      </c>
      <c r="G2808" s="12">
        <v>45171</v>
      </c>
      <c r="H2808" s="11" t="s">
        <v>4045</v>
      </c>
      <c r="I2808" s="11" t="s">
        <v>3365</v>
      </c>
      <c r="J2808" s="13" t="str" cm="1">
        <f t="array" ref="J2808">_xlfn.IFS(
  OR(ISBLANK(A2808),ISBLANK(B2808),ISBLANK(H2808),ISBLANK(D2808),ISBLANK(E2808)),"Missing Value",
  D2808&lt;=0,"Review – Out of Range (Coverage)",
  E2808&lt;=0,"Review – Out of Range (Premium)",
  TRUE,"OK"
)</f>
        <v>OK</v>
      </c>
    </row>
    <row r="2809" spans="1:10" ht="16.8" x14ac:dyDescent="0.3">
      <c r="A2809" s="14" t="s">
        <v>6473</v>
      </c>
      <c r="B2809" s="14" t="s">
        <v>3292</v>
      </c>
      <c r="C2809" s="14" t="s">
        <v>3380</v>
      </c>
      <c r="D2809" s="14">
        <v>196258.66</v>
      </c>
      <c r="E2809" s="14">
        <v>28022.35</v>
      </c>
      <c r="F2809" s="15">
        <v>45145</v>
      </c>
      <c r="G2809" s="15">
        <v>45805</v>
      </c>
      <c r="H2809" s="14" t="s">
        <v>3854</v>
      </c>
      <c r="I2809" s="14" t="s">
        <v>3373</v>
      </c>
      <c r="J2809" s="13" t="str" cm="1">
        <f t="array" ref="J2809">_xlfn.IFS(
  OR(ISBLANK(A2809),ISBLANK(B2809),ISBLANK(H2809),ISBLANK(D2809),ISBLANK(E2809)),"Missing Value",
  D2809&lt;=0,"Review – Out of Range (Coverage)",
  E2809&lt;=0,"Review – Out of Range (Premium)",
  TRUE,"OK"
)</f>
        <v>OK</v>
      </c>
    </row>
    <row r="2810" spans="1:10" ht="16.8" x14ac:dyDescent="0.3">
      <c r="A2810" s="11" t="s">
        <v>6474</v>
      </c>
      <c r="B2810" s="11" t="s">
        <v>3034</v>
      </c>
      <c r="C2810" s="11" t="s">
        <v>3359</v>
      </c>
      <c r="D2810" s="11">
        <v>707320.96</v>
      </c>
      <c r="E2810" s="11">
        <v>44521.34</v>
      </c>
      <c r="F2810" s="12">
        <v>45071</v>
      </c>
      <c r="G2810" s="12">
        <v>45608</v>
      </c>
      <c r="H2810" s="11" t="s">
        <v>3555</v>
      </c>
      <c r="I2810" s="11" t="s">
        <v>3365</v>
      </c>
      <c r="J2810" s="13" t="str" cm="1">
        <f t="array" ref="J2810">_xlfn.IFS(
  OR(ISBLANK(A2810),ISBLANK(B2810),ISBLANK(H2810),ISBLANK(D2810),ISBLANK(E2810)),"Missing Value",
  D2810&lt;=0,"Review – Out of Range (Coverage)",
  E2810&lt;=0,"Review – Out of Range (Premium)",
  TRUE,"OK"
)</f>
        <v>OK</v>
      </c>
    </row>
    <row r="2811" spans="1:10" ht="16.8" x14ac:dyDescent="0.3">
      <c r="A2811" s="14" t="s">
        <v>6475</v>
      </c>
      <c r="B2811" s="14" t="s">
        <v>2375</v>
      </c>
      <c r="C2811" s="14" t="s">
        <v>3380</v>
      </c>
      <c r="D2811" s="14">
        <v>356364.57</v>
      </c>
      <c r="E2811" s="14">
        <v>22312.639999999999</v>
      </c>
      <c r="F2811" s="15">
        <v>44772</v>
      </c>
      <c r="G2811" s="15">
        <v>45345</v>
      </c>
      <c r="H2811" s="14" t="s">
        <v>3854</v>
      </c>
      <c r="I2811" s="14" t="s">
        <v>3365</v>
      </c>
      <c r="J2811" s="13" t="str" cm="1">
        <f t="array" ref="J2811">_xlfn.IFS(
  OR(ISBLANK(A2811),ISBLANK(B2811),ISBLANK(H2811),ISBLANK(D2811),ISBLANK(E2811)),"Missing Value",
  D2811&lt;=0,"Review – Out of Range (Coverage)",
  E2811&lt;=0,"Review – Out of Range (Premium)",
  TRUE,"OK"
)</f>
        <v>OK</v>
      </c>
    </row>
    <row r="2812" spans="1:10" ht="16.8" x14ac:dyDescent="0.3">
      <c r="A2812" s="11" t="s">
        <v>6476</v>
      </c>
      <c r="B2812" s="11" t="s">
        <v>1691</v>
      </c>
      <c r="C2812" s="11" t="s">
        <v>3377</v>
      </c>
      <c r="D2812" s="11">
        <v>522444.85</v>
      </c>
      <c r="E2812" s="11">
        <v>24592.23</v>
      </c>
      <c r="F2812" s="12">
        <v>45457</v>
      </c>
      <c r="G2812" s="12">
        <v>45696</v>
      </c>
      <c r="H2812" s="11" t="s">
        <v>6231</v>
      </c>
      <c r="I2812" s="11" t="s">
        <v>3365</v>
      </c>
      <c r="J2812" s="13" t="str" cm="1">
        <f t="array" ref="J2812">_xlfn.IFS(
  OR(ISBLANK(A2812),ISBLANK(B2812),ISBLANK(H2812),ISBLANK(D2812),ISBLANK(E2812)),"Missing Value",
  D2812&lt;=0,"Review – Out of Range (Coverage)",
  E2812&lt;=0,"Review – Out of Range (Premium)",
  TRUE,"OK"
)</f>
        <v>OK</v>
      </c>
    </row>
    <row r="2813" spans="1:10" ht="16.8" x14ac:dyDescent="0.3">
      <c r="A2813" s="14" t="s">
        <v>6477</v>
      </c>
      <c r="B2813" s="14" t="s">
        <v>2329</v>
      </c>
      <c r="C2813" s="14" t="s">
        <v>3371</v>
      </c>
      <c r="D2813" s="14">
        <v>482585.59999999998</v>
      </c>
      <c r="E2813" s="14">
        <v>30903.599999999999</v>
      </c>
      <c r="F2813" s="15">
        <v>45317</v>
      </c>
      <c r="G2813" s="15">
        <v>45669</v>
      </c>
      <c r="H2813" s="14" t="s">
        <v>3456</v>
      </c>
      <c r="I2813" s="14" t="s">
        <v>3373</v>
      </c>
      <c r="J2813" s="13" t="str" cm="1">
        <f t="array" ref="J2813">_xlfn.IFS(
  OR(ISBLANK(A2813),ISBLANK(B2813),ISBLANK(H2813),ISBLANK(D2813),ISBLANK(E2813)),"Missing Value",
  D2813&lt;=0,"Review – Out of Range (Coverage)",
  E2813&lt;=0,"Review – Out of Range (Premium)",
  TRUE,"OK"
)</f>
        <v>OK</v>
      </c>
    </row>
    <row r="2814" spans="1:10" ht="16.8" x14ac:dyDescent="0.3">
      <c r="A2814" s="11" t="s">
        <v>6478</v>
      </c>
      <c r="B2814" s="11" t="s">
        <v>585</v>
      </c>
      <c r="C2814" s="11" t="s">
        <v>3359</v>
      </c>
      <c r="D2814" s="11">
        <v>145669.96</v>
      </c>
      <c r="E2814" s="11">
        <v>6268.78</v>
      </c>
      <c r="F2814" s="12">
        <v>45348</v>
      </c>
      <c r="G2814" s="12">
        <v>45417</v>
      </c>
      <c r="H2814" s="11" t="s">
        <v>4732</v>
      </c>
      <c r="I2814" s="11" t="s">
        <v>3373</v>
      </c>
      <c r="J2814" s="13" t="str" cm="1">
        <f t="array" ref="J2814">_xlfn.IFS(
  OR(ISBLANK(A2814),ISBLANK(B2814),ISBLANK(H2814),ISBLANK(D2814),ISBLANK(E2814)),"Missing Value",
  D2814&lt;=0,"Review – Out of Range (Coverage)",
  E2814&lt;=0,"Review – Out of Range (Premium)",
  TRUE,"OK"
)</f>
        <v>OK</v>
      </c>
    </row>
    <row r="2815" spans="1:10" ht="16.8" x14ac:dyDescent="0.3">
      <c r="A2815" s="14" t="s">
        <v>6479</v>
      </c>
      <c r="B2815" s="14" t="s">
        <v>2999</v>
      </c>
      <c r="C2815" s="14" t="s">
        <v>3380</v>
      </c>
      <c r="D2815" s="14">
        <v>542290.15</v>
      </c>
      <c r="E2815" s="14">
        <v>15702.33</v>
      </c>
      <c r="F2815" s="15">
        <v>45459</v>
      </c>
      <c r="G2815" s="15">
        <v>45501</v>
      </c>
      <c r="H2815" s="14" t="s">
        <v>3419</v>
      </c>
      <c r="I2815" s="14" t="s">
        <v>3361</v>
      </c>
      <c r="J2815" s="13" t="str" cm="1">
        <f t="array" ref="J2815">_xlfn.IFS(
  OR(ISBLANK(A2815),ISBLANK(B2815),ISBLANK(H2815),ISBLANK(D2815),ISBLANK(E2815)),"Missing Value",
  D2815&lt;=0,"Review – Out of Range (Coverage)",
  E2815&lt;=0,"Review – Out of Range (Premium)",
  TRUE,"OK"
)</f>
        <v>OK</v>
      </c>
    </row>
    <row r="2816" spans="1:10" ht="16.8" x14ac:dyDescent="0.3">
      <c r="A2816" s="11" t="s">
        <v>6480</v>
      </c>
      <c r="B2816" s="11" t="s">
        <v>180</v>
      </c>
      <c r="C2816" s="11" t="s">
        <v>3380</v>
      </c>
      <c r="D2816" s="11">
        <v>365636.17</v>
      </c>
      <c r="E2816" s="11">
        <v>39452.47</v>
      </c>
      <c r="F2816" s="12">
        <v>45388</v>
      </c>
      <c r="G2816" s="12">
        <v>45740</v>
      </c>
      <c r="H2816" s="11" t="s">
        <v>4630</v>
      </c>
      <c r="I2816" s="11" t="s">
        <v>3361</v>
      </c>
      <c r="J2816" s="13" t="str" cm="1">
        <f t="array" ref="J2816">_xlfn.IFS(
  OR(ISBLANK(A2816),ISBLANK(B2816),ISBLANK(H2816),ISBLANK(D2816),ISBLANK(E2816)),"Missing Value",
  D2816&lt;=0,"Review – Out of Range (Coverage)",
  E2816&lt;=0,"Review – Out of Range (Premium)",
  TRUE,"OK"
)</f>
        <v>OK</v>
      </c>
    </row>
    <row r="2817" spans="1:10" ht="16.8" x14ac:dyDescent="0.3">
      <c r="A2817" s="14" t="s">
        <v>6481</v>
      </c>
      <c r="B2817" s="14" t="s">
        <v>226</v>
      </c>
      <c r="C2817" s="14" t="s">
        <v>3363</v>
      </c>
      <c r="D2817" s="14">
        <v>797226.38</v>
      </c>
      <c r="E2817" s="14">
        <v>32775.49</v>
      </c>
      <c r="F2817" s="15">
        <v>44702</v>
      </c>
      <c r="G2817" s="15">
        <v>44864</v>
      </c>
      <c r="H2817" s="14" t="s">
        <v>3918</v>
      </c>
      <c r="I2817" s="14" t="s">
        <v>3361</v>
      </c>
      <c r="J2817" s="13" t="str" cm="1">
        <f t="array" ref="J2817">_xlfn.IFS(
  OR(ISBLANK(A2817),ISBLANK(B2817),ISBLANK(H2817),ISBLANK(D2817),ISBLANK(E2817)),"Missing Value",
  D2817&lt;=0,"Review – Out of Range (Coverage)",
  E2817&lt;=0,"Review – Out of Range (Premium)",
  TRUE,"OK"
)</f>
        <v>OK</v>
      </c>
    </row>
    <row r="2818" spans="1:10" ht="16.8" x14ac:dyDescent="0.3">
      <c r="A2818" s="11" t="s">
        <v>6482</v>
      </c>
      <c r="B2818" s="11" t="s">
        <v>2849</v>
      </c>
      <c r="C2818" s="11" t="s">
        <v>3363</v>
      </c>
      <c r="D2818" s="11">
        <v>152265.32999999999</v>
      </c>
      <c r="E2818" s="11">
        <v>12374.1</v>
      </c>
      <c r="F2818" s="12">
        <v>45010</v>
      </c>
      <c r="G2818" s="12">
        <v>45800</v>
      </c>
      <c r="H2818" s="11" t="s">
        <v>4143</v>
      </c>
      <c r="I2818" s="11" t="s">
        <v>3365</v>
      </c>
      <c r="J2818" s="13" t="str" cm="1">
        <f t="array" ref="J2818">_xlfn.IFS(
  OR(ISBLANK(A2818),ISBLANK(B2818),ISBLANK(H2818),ISBLANK(D2818),ISBLANK(E2818)),"Missing Value",
  D2818&lt;=0,"Review – Out of Range (Coverage)",
  E2818&lt;=0,"Review – Out of Range (Premium)",
  TRUE,"OK"
)</f>
        <v>OK</v>
      </c>
    </row>
    <row r="2819" spans="1:10" ht="16.8" x14ac:dyDescent="0.3">
      <c r="A2819" s="14" t="s">
        <v>6483</v>
      </c>
      <c r="B2819" s="14" t="s">
        <v>3284</v>
      </c>
      <c r="C2819" s="14" t="s">
        <v>3380</v>
      </c>
      <c r="D2819" s="14">
        <v>626911.91</v>
      </c>
      <c r="E2819" s="14">
        <v>40890.239999999998</v>
      </c>
      <c r="F2819" s="15">
        <v>45042</v>
      </c>
      <c r="G2819" s="15">
        <v>45343</v>
      </c>
      <c r="H2819" s="14" t="s">
        <v>3451</v>
      </c>
      <c r="I2819" s="14" t="s">
        <v>3361</v>
      </c>
      <c r="J2819" s="13" t="str" cm="1">
        <f t="array" ref="J2819">_xlfn.IFS(
  OR(ISBLANK(A2819),ISBLANK(B2819),ISBLANK(H2819),ISBLANK(D2819),ISBLANK(E2819)),"Missing Value",
  D2819&lt;=0,"Review – Out of Range (Coverage)",
  E2819&lt;=0,"Review – Out of Range (Premium)",
  TRUE,"OK"
)</f>
        <v>OK</v>
      </c>
    </row>
    <row r="2820" spans="1:10" ht="16.8" x14ac:dyDescent="0.3">
      <c r="A2820" s="11" t="s">
        <v>6484</v>
      </c>
      <c r="B2820" s="11" t="s">
        <v>3320</v>
      </c>
      <c r="C2820" s="11" t="s">
        <v>3371</v>
      </c>
      <c r="D2820" s="11">
        <v>691889.18</v>
      </c>
      <c r="E2820" s="11">
        <v>12740.35</v>
      </c>
      <c r="F2820" s="12">
        <v>44755</v>
      </c>
      <c r="G2820" s="12">
        <v>45523</v>
      </c>
      <c r="H2820" s="11" t="s">
        <v>3696</v>
      </c>
      <c r="I2820" s="11" t="s">
        <v>3365</v>
      </c>
      <c r="J2820" s="13" t="str" cm="1">
        <f t="array" ref="J2820">_xlfn.IFS(
  OR(ISBLANK(A2820),ISBLANK(B2820),ISBLANK(H2820),ISBLANK(D2820),ISBLANK(E2820)),"Missing Value",
  D2820&lt;=0,"Review – Out of Range (Coverage)",
  E2820&lt;=0,"Review – Out of Range (Premium)",
  TRUE,"OK"
)</f>
        <v>OK</v>
      </c>
    </row>
    <row r="2821" spans="1:10" ht="16.8" x14ac:dyDescent="0.3">
      <c r="A2821" s="14" t="s">
        <v>6485</v>
      </c>
      <c r="B2821" s="14" t="s">
        <v>1957</v>
      </c>
      <c r="C2821" s="14" t="s">
        <v>3363</v>
      </c>
      <c r="D2821" s="14">
        <v>326332.86</v>
      </c>
      <c r="E2821" s="14">
        <v>11035.82</v>
      </c>
      <c r="F2821" s="15">
        <v>45340</v>
      </c>
      <c r="G2821" s="15">
        <v>45486</v>
      </c>
      <c r="H2821" s="14" t="s">
        <v>3601</v>
      </c>
      <c r="I2821" s="14" t="s">
        <v>3373</v>
      </c>
      <c r="J2821" s="13" t="str" cm="1">
        <f t="array" ref="J2821">_xlfn.IFS(
  OR(ISBLANK(A2821),ISBLANK(B2821),ISBLANK(H2821),ISBLANK(D2821),ISBLANK(E2821)),"Missing Value",
  D2821&lt;=0,"Review – Out of Range (Coverage)",
  E2821&lt;=0,"Review – Out of Range (Premium)",
  TRUE,"OK"
)</f>
        <v>OK</v>
      </c>
    </row>
    <row r="2822" spans="1:10" ht="16.8" x14ac:dyDescent="0.3">
      <c r="A2822" s="11" t="s">
        <v>6486</v>
      </c>
      <c r="B2822" s="11" t="s">
        <v>2149</v>
      </c>
      <c r="C2822" s="11" t="s">
        <v>3380</v>
      </c>
      <c r="D2822" s="11">
        <v>696161.61</v>
      </c>
      <c r="E2822" s="11">
        <v>37676.28</v>
      </c>
      <c r="F2822" s="12">
        <v>45414</v>
      </c>
      <c r="G2822" s="12">
        <v>45424</v>
      </c>
      <c r="H2822" s="11" t="s">
        <v>3543</v>
      </c>
      <c r="I2822" s="11" t="s">
        <v>3361</v>
      </c>
      <c r="J2822" s="13" t="str" cm="1">
        <f t="array" ref="J2822">_xlfn.IFS(
  OR(ISBLANK(A2822),ISBLANK(B2822),ISBLANK(H2822),ISBLANK(D2822),ISBLANK(E2822)),"Missing Value",
  D2822&lt;=0,"Review – Out of Range (Coverage)",
  E2822&lt;=0,"Review – Out of Range (Premium)",
  TRUE,"OK"
)</f>
        <v>OK</v>
      </c>
    </row>
    <row r="2823" spans="1:10" ht="16.8" x14ac:dyDescent="0.3">
      <c r="A2823" s="14" t="s">
        <v>6487</v>
      </c>
      <c r="B2823" s="14" t="s">
        <v>1979</v>
      </c>
      <c r="C2823" s="14" t="s">
        <v>3371</v>
      </c>
      <c r="D2823" s="14">
        <v>335218.98</v>
      </c>
      <c r="E2823" s="14">
        <v>3079.49</v>
      </c>
      <c r="F2823" s="15">
        <v>45051</v>
      </c>
      <c r="G2823" s="15">
        <v>45303</v>
      </c>
      <c r="H2823" s="14" t="s">
        <v>4043</v>
      </c>
      <c r="I2823" s="14" t="s">
        <v>3373</v>
      </c>
      <c r="J2823" s="13" t="str" cm="1">
        <f t="array" ref="J2823">_xlfn.IFS(
  OR(ISBLANK(A2823),ISBLANK(B2823),ISBLANK(H2823),ISBLANK(D2823),ISBLANK(E2823)),"Missing Value",
  D2823&lt;=0,"Review – Out of Range (Coverage)",
  E2823&lt;=0,"Review – Out of Range (Premium)",
  TRUE,"OK"
)</f>
        <v>OK</v>
      </c>
    </row>
    <row r="2824" spans="1:10" ht="16.8" x14ac:dyDescent="0.3">
      <c r="A2824" s="11" t="s">
        <v>6488</v>
      </c>
      <c r="B2824" s="11" t="s">
        <v>2375</v>
      </c>
      <c r="C2824" s="11" t="s">
        <v>3380</v>
      </c>
      <c r="D2824" s="11">
        <v>702534.86</v>
      </c>
      <c r="E2824" s="11">
        <v>45017.09</v>
      </c>
      <c r="F2824" s="12">
        <v>44661</v>
      </c>
      <c r="G2824" s="12">
        <v>45242</v>
      </c>
      <c r="H2824" s="11" t="s">
        <v>3859</v>
      </c>
      <c r="I2824" s="11" t="s">
        <v>3365</v>
      </c>
      <c r="J2824" s="13" t="str" cm="1">
        <f t="array" ref="J2824">_xlfn.IFS(
  OR(ISBLANK(A2824),ISBLANK(B2824),ISBLANK(H2824),ISBLANK(D2824),ISBLANK(E2824)),"Missing Value",
  D2824&lt;=0,"Review – Out of Range (Coverage)",
  E2824&lt;=0,"Review – Out of Range (Premium)",
  TRUE,"OK"
)</f>
        <v>OK</v>
      </c>
    </row>
    <row r="2825" spans="1:10" ht="16.8" x14ac:dyDescent="0.3">
      <c r="A2825" s="14" t="s">
        <v>6489</v>
      </c>
      <c r="B2825" s="14" t="s">
        <v>53</v>
      </c>
      <c r="C2825" s="14" t="s">
        <v>3359</v>
      </c>
      <c r="D2825" s="14">
        <v>300039.56</v>
      </c>
      <c r="E2825" s="14">
        <v>33337.519999999997</v>
      </c>
      <c r="F2825" s="15">
        <v>44799</v>
      </c>
      <c r="G2825" s="15">
        <v>45072</v>
      </c>
      <c r="H2825" s="14" t="s">
        <v>3660</v>
      </c>
      <c r="I2825" s="14" t="s">
        <v>3373</v>
      </c>
      <c r="J2825" s="13" t="str" cm="1">
        <f t="array" ref="J2825">_xlfn.IFS(
  OR(ISBLANK(A2825),ISBLANK(B2825),ISBLANK(H2825),ISBLANK(D2825),ISBLANK(E2825)),"Missing Value",
  D2825&lt;=0,"Review – Out of Range (Coverage)",
  E2825&lt;=0,"Review – Out of Range (Premium)",
  TRUE,"OK"
)</f>
        <v>OK</v>
      </c>
    </row>
    <row r="2826" spans="1:10" ht="16.8" x14ac:dyDescent="0.3">
      <c r="A2826" s="11" t="s">
        <v>6490</v>
      </c>
      <c r="B2826" s="11" t="s">
        <v>2919</v>
      </c>
      <c r="C2826" s="11" t="s">
        <v>3371</v>
      </c>
      <c r="D2826" s="11">
        <v>329263.38</v>
      </c>
      <c r="E2826" s="11">
        <v>13782.59</v>
      </c>
      <c r="F2826" s="12">
        <v>45240</v>
      </c>
      <c r="G2826" s="12">
        <v>45839</v>
      </c>
      <c r="H2826" s="11" t="s">
        <v>4290</v>
      </c>
      <c r="I2826" s="11" t="s">
        <v>3365</v>
      </c>
      <c r="J2826" s="13" t="str" cm="1">
        <f t="array" ref="J2826">_xlfn.IFS(
  OR(ISBLANK(A2826),ISBLANK(B2826),ISBLANK(H2826),ISBLANK(D2826),ISBLANK(E2826)),"Missing Value",
  D2826&lt;=0,"Review – Out of Range (Coverage)",
  E2826&lt;=0,"Review – Out of Range (Premium)",
  TRUE,"OK"
)</f>
        <v>OK</v>
      </c>
    </row>
    <row r="2827" spans="1:10" ht="16.8" x14ac:dyDescent="0.3">
      <c r="A2827" s="14" t="s">
        <v>6491</v>
      </c>
      <c r="B2827" s="14" t="s">
        <v>2465</v>
      </c>
      <c r="C2827" s="14" t="s">
        <v>3359</v>
      </c>
      <c r="D2827" s="14">
        <v>139846.91</v>
      </c>
      <c r="E2827" s="14">
        <v>15519.76</v>
      </c>
      <c r="F2827" s="15">
        <v>44838</v>
      </c>
      <c r="G2827" s="15">
        <v>45320</v>
      </c>
      <c r="H2827" s="14" t="s">
        <v>3411</v>
      </c>
      <c r="I2827" s="14" t="s">
        <v>3365</v>
      </c>
      <c r="J2827" s="13" t="str" cm="1">
        <f t="array" ref="J2827">_xlfn.IFS(
  OR(ISBLANK(A2827),ISBLANK(B2827),ISBLANK(H2827),ISBLANK(D2827),ISBLANK(E2827)),"Missing Value",
  D2827&lt;=0,"Review – Out of Range (Coverage)",
  E2827&lt;=0,"Review – Out of Range (Premium)",
  TRUE,"OK"
)</f>
        <v>OK</v>
      </c>
    </row>
    <row r="2828" spans="1:10" ht="16.8" x14ac:dyDescent="0.3">
      <c r="A2828" s="11" t="s">
        <v>6492</v>
      </c>
      <c r="B2828" s="11" t="s">
        <v>2865</v>
      </c>
      <c r="C2828" s="11" t="s">
        <v>3363</v>
      </c>
      <c r="D2828" s="11">
        <v>165202.48000000001</v>
      </c>
      <c r="E2828" s="11">
        <v>35222.07</v>
      </c>
      <c r="F2828" s="12">
        <v>44208</v>
      </c>
      <c r="G2828" s="12">
        <v>44975</v>
      </c>
      <c r="H2828" s="11" t="s">
        <v>3393</v>
      </c>
      <c r="I2828" s="11" t="s">
        <v>3365</v>
      </c>
      <c r="J2828" s="13" t="str" cm="1">
        <f t="array" ref="J2828">_xlfn.IFS(
  OR(ISBLANK(A2828),ISBLANK(B2828),ISBLANK(H2828),ISBLANK(D2828),ISBLANK(E2828)),"Missing Value",
  D2828&lt;=0,"Review – Out of Range (Coverage)",
  E2828&lt;=0,"Review – Out of Range (Premium)",
  TRUE,"OK"
)</f>
        <v>OK</v>
      </c>
    </row>
    <row r="2829" spans="1:10" ht="16.8" x14ac:dyDescent="0.3">
      <c r="A2829" s="14" t="s">
        <v>6493</v>
      </c>
      <c r="B2829" s="14" t="s">
        <v>1205</v>
      </c>
      <c r="C2829" s="14" t="s">
        <v>3363</v>
      </c>
      <c r="D2829" s="14">
        <v>253091.07</v>
      </c>
      <c r="E2829" s="14">
        <v>44683.35</v>
      </c>
      <c r="F2829" s="15">
        <v>45174</v>
      </c>
      <c r="G2829" s="15">
        <v>45333</v>
      </c>
      <c r="H2829" s="14" t="s">
        <v>4151</v>
      </c>
      <c r="I2829" s="14" t="s">
        <v>3361</v>
      </c>
      <c r="J2829" s="13" t="str" cm="1">
        <f t="array" ref="J2829">_xlfn.IFS(
  OR(ISBLANK(A2829),ISBLANK(B2829),ISBLANK(H2829),ISBLANK(D2829),ISBLANK(E2829)),"Missing Value",
  D2829&lt;=0,"Review – Out of Range (Coverage)",
  E2829&lt;=0,"Review – Out of Range (Premium)",
  TRUE,"OK"
)</f>
        <v>OK</v>
      </c>
    </row>
  </sheetData>
  <autoFilter ref="A1:J2829" xr:uid="{00000000-0009-0000-0000-000003000000}"/>
  <conditionalFormatting sqref="A2:B2829">
    <cfRule type="cellIs" dxfId="29" priority="7" operator="equal">
      <formula>""</formula>
    </cfRule>
  </conditionalFormatting>
  <conditionalFormatting sqref="D2:E2829">
    <cfRule type="expression" dxfId="28" priority="8">
      <formula>D2&lt;=0</formula>
    </cfRule>
  </conditionalFormatting>
  <conditionalFormatting sqref="J2:J2829">
    <cfRule type="expression" dxfId="27" priority="3">
      <formula>J2="OK"</formula>
    </cfRule>
    <cfRule type="expression" dxfId="26" priority="4">
      <formula>ISNUMBER(SEARCH("Review", J2))</formula>
    </cfRule>
    <cfRule type="expression" dxfId="25" priority="5">
      <formula>ISNUMBER(SEARCH("Missing", J2))</formula>
    </cfRule>
    <cfRule type="expression" dxfId="24" priority="6">
      <formula>ISNUMBER(SEARCH("Retained", J2))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74A6"/>
  </sheetPr>
  <dimension ref="A1:I1407"/>
  <sheetViews>
    <sheetView showGridLines="0" workbookViewId="0">
      <pane ySplit="1" topLeftCell="A2" activePane="bottomLeft" state="frozen"/>
      <selection pane="bottomLeft" activeCell="I2" sqref="I2:I1407"/>
    </sheetView>
  </sheetViews>
  <sheetFormatPr defaultRowHeight="14.4" x14ac:dyDescent="0.3"/>
  <cols>
    <col min="1" max="1" width="11" bestFit="1" customWidth="1"/>
    <col min="2" max="2" width="12" bestFit="1" customWidth="1"/>
    <col min="3" max="3" width="22" bestFit="1" customWidth="1"/>
    <col min="4" max="5" width="15" bestFit="1" customWidth="1"/>
    <col min="6" max="7" width="13" bestFit="1" customWidth="1"/>
    <col min="8" max="8" width="18" bestFit="1" customWidth="1"/>
    <col min="9" max="9" width="21.77734375" customWidth="1"/>
  </cols>
  <sheetData>
    <row r="1" spans="1:9" ht="22.05" customHeight="1" x14ac:dyDescent="0.3">
      <c r="A1" s="10" t="s">
        <v>6494</v>
      </c>
      <c r="B1" s="10" t="s">
        <v>3350</v>
      </c>
      <c r="C1" s="10" t="s">
        <v>6495</v>
      </c>
      <c r="D1" s="10" t="s">
        <v>6496</v>
      </c>
      <c r="E1" s="10" t="s">
        <v>6497</v>
      </c>
      <c r="F1" s="10" t="s">
        <v>6498</v>
      </c>
      <c r="G1" s="10" t="s">
        <v>6499</v>
      </c>
      <c r="H1" s="10" t="s">
        <v>6500</v>
      </c>
      <c r="I1" s="10" t="s">
        <v>38</v>
      </c>
    </row>
    <row r="2" spans="1:9" ht="16.8" x14ac:dyDescent="0.3">
      <c r="A2" s="11" t="s">
        <v>6501</v>
      </c>
      <c r="B2" s="11" t="s">
        <v>5012</v>
      </c>
      <c r="C2" s="12">
        <v>44844</v>
      </c>
      <c r="D2" s="11">
        <v>379127.79</v>
      </c>
      <c r="E2" s="11" t="s">
        <v>6502</v>
      </c>
      <c r="F2" s="11" t="s">
        <v>6503</v>
      </c>
      <c r="G2" s="11" t="s">
        <v>45</v>
      </c>
      <c r="H2" s="11">
        <v>40</v>
      </c>
      <c r="I2" s="13" t="str" cm="1">
        <f t="array" ref="I2">_xlfn.IFS(
  OR(ISBLANK(A2),ISBLANK(B2),ISBLANK(D2),ISBLANK(E2),ISBLANK(H2)),"Missing Value",
  D2&lt;0,"Review – Out of Range (Claim Amount)",
  H2&lt;0,"Review – Out of Range (Days to Process)",
  TRUE,"OK"
)</f>
        <v>OK</v>
      </c>
    </row>
    <row r="3" spans="1:9" ht="16.8" x14ac:dyDescent="0.3">
      <c r="A3" s="14" t="s">
        <v>6504</v>
      </c>
      <c r="B3" s="14" t="s">
        <v>3358</v>
      </c>
      <c r="C3" s="15">
        <v>44536</v>
      </c>
      <c r="D3" s="14">
        <v>431984.06</v>
      </c>
      <c r="E3" s="14" t="s">
        <v>6505</v>
      </c>
      <c r="F3" s="14" t="s">
        <v>6506</v>
      </c>
      <c r="G3" s="14" t="s">
        <v>45</v>
      </c>
      <c r="H3" s="14">
        <v>56</v>
      </c>
      <c r="I3" s="13" t="str" cm="1">
        <f t="array" ref="I3">_xlfn.IFS(
  OR(ISBLANK(A3),ISBLANK(B3),ISBLANK(D3),ISBLANK(E3),ISBLANK(H3)),"Missing Value",
  D3&lt;0,"Review – Out of Range (Claim Amount)",
  H3&lt;0,"Review – Out of Range (Days to Process)",
  TRUE,"OK"
)</f>
        <v>OK</v>
      </c>
    </row>
    <row r="4" spans="1:9" ht="16.8" x14ac:dyDescent="0.3">
      <c r="A4" s="11" t="s">
        <v>6507</v>
      </c>
      <c r="B4" s="11" t="s">
        <v>6284</v>
      </c>
      <c r="C4" s="12">
        <v>45490</v>
      </c>
      <c r="D4" s="11">
        <v>206765.82</v>
      </c>
      <c r="E4" s="11" t="s">
        <v>6508</v>
      </c>
      <c r="F4" s="11" t="s">
        <v>6509</v>
      </c>
      <c r="G4" s="11" t="s">
        <v>45</v>
      </c>
      <c r="H4" s="11">
        <v>39</v>
      </c>
      <c r="I4" s="13" t="str" cm="1">
        <f t="array" ref="I4">_xlfn.IFS(
  OR(ISBLANK(A4),ISBLANK(B4),ISBLANK(D4),ISBLANK(E4),ISBLANK(H4)),"Missing Value",
  D4&lt;0,"Review – Out of Range (Claim Amount)",
  H4&lt;0,"Review – Out of Range (Days to Process)",
  TRUE,"OK"
)</f>
        <v>OK</v>
      </c>
    </row>
    <row r="5" spans="1:9" ht="16.8" x14ac:dyDescent="0.3">
      <c r="A5" s="14" t="s">
        <v>6510</v>
      </c>
      <c r="B5" s="14" t="s">
        <v>6236</v>
      </c>
      <c r="C5" s="15">
        <v>45455</v>
      </c>
      <c r="D5" s="14">
        <v>225358.05</v>
      </c>
      <c r="E5" s="14" t="s">
        <v>6505</v>
      </c>
      <c r="F5" s="14" t="s">
        <v>6511</v>
      </c>
      <c r="G5" s="14" t="s">
        <v>46</v>
      </c>
      <c r="H5" s="14">
        <v>22</v>
      </c>
      <c r="I5" s="13" t="str" cm="1">
        <f t="array" ref="I5">_xlfn.IFS(
  OR(ISBLANK(A5),ISBLANK(B5),ISBLANK(D5),ISBLANK(E5),ISBLANK(H5)),"Missing Value",
  D5&lt;0,"Review – Out of Range (Claim Amount)",
  H5&lt;0,"Review – Out of Range (Days to Process)",
  TRUE,"OK"
)</f>
        <v>OK</v>
      </c>
    </row>
    <row r="6" spans="1:9" ht="16.8" x14ac:dyDescent="0.3">
      <c r="A6" s="11" t="s">
        <v>6512</v>
      </c>
      <c r="B6" s="11" t="s">
        <v>4903</v>
      </c>
      <c r="C6" s="12">
        <v>45456</v>
      </c>
      <c r="D6" s="11">
        <v>340208.27</v>
      </c>
      <c r="E6" s="11" t="s">
        <v>6508</v>
      </c>
      <c r="F6" s="11" t="s">
        <v>6503</v>
      </c>
      <c r="G6" s="11" t="s">
        <v>45</v>
      </c>
      <c r="H6" s="11">
        <v>31</v>
      </c>
      <c r="I6" s="13" t="str" cm="1">
        <f t="array" ref="I6">_xlfn.IFS(
  OR(ISBLANK(A6),ISBLANK(B6),ISBLANK(D6),ISBLANK(E6),ISBLANK(H6)),"Missing Value",
  D6&lt;0,"Review – Out of Range (Claim Amount)",
  H6&lt;0,"Review – Out of Range (Days to Process)",
  TRUE,"OK"
)</f>
        <v>OK</v>
      </c>
    </row>
    <row r="7" spans="1:9" ht="16.8" x14ac:dyDescent="0.3">
      <c r="A7" s="14" t="s">
        <v>6513</v>
      </c>
      <c r="B7" s="14" t="s">
        <v>5916</v>
      </c>
      <c r="C7" s="15">
        <v>44801</v>
      </c>
      <c r="D7" s="14">
        <v>124603.36</v>
      </c>
      <c r="E7" s="14" t="s">
        <v>6508</v>
      </c>
      <c r="F7" s="14" t="s">
        <v>6509</v>
      </c>
      <c r="G7" s="14" t="s">
        <v>45</v>
      </c>
      <c r="H7" s="14">
        <v>31</v>
      </c>
      <c r="I7" s="13" t="str" cm="1">
        <f t="array" ref="I7">_xlfn.IFS(
  OR(ISBLANK(A7),ISBLANK(B7),ISBLANK(D7),ISBLANK(E7),ISBLANK(H7)),"Missing Value",
  D7&lt;0,"Review – Out of Range (Claim Amount)",
  H7&lt;0,"Review – Out of Range (Days to Process)",
  TRUE,"OK"
)</f>
        <v>OK</v>
      </c>
    </row>
    <row r="8" spans="1:9" ht="16.8" x14ac:dyDescent="0.3">
      <c r="A8" s="11" t="s">
        <v>6514</v>
      </c>
      <c r="B8" s="11" t="s">
        <v>4923</v>
      </c>
      <c r="C8" s="12">
        <v>45145</v>
      </c>
      <c r="D8" s="11">
        <v>83575.259999999995</v>
      </c>
      <c r="E8" s="11" t="s">
        <v>6505</v>
      </c>
      <c r="F8" s="11" t="s">
        <v>6503</v>
      </c>
      <c r="G8" s="11" t="s">
        <v>46</v>
      </c>
      <c r="H8" s="11">
        <v>40</v>
      </c>
      <c r="I8" s="13" t="str" cm="1">
        <f t="array" ref="I8">_xlfn.IFS(
  OR(ISBLANK(A8),ISBLANK(B8),ISBLANK(D8),ISBLANK(E8),ISBLANK(H8)),"Missing Value",
  D8&lt;0,"Review – Out of Range (Claim Amount)",
  H8&lt;0,"Review – Out of Range (Days to Process)",
  TRUE,"OK"
)</f>
        <v>OK</v>
      </c>
    </row>
    <row r="9" spans="1:9" ht="16.8" x14ac:dyDescent="0.3">
      <c r="A9" s="14" t="s">
        <v>6515</v>
      </c>
      <c r="B9" s="14" t="s">
        <v>4371</v>
      </c>
      <c r="C9" s="15">
        <v>45832</v>
      </c>
      <c r="D9" s="14">
        <v>239279.38</v>
      </c>
      <c r="E9" s="14" t="s">
        <v>6502</v>
      </c>
      <c r="F9" s="14" t="s">
        <v>6516</v>
      </c>
      <c r="G9" s="14" t="s">
        <v>46</v>
      </c>
      <c r="H9" s="14">
        <v>58</v>
      </c>
      <c r="I9" s="13" t="str" cm="1">
        <f t="array" ref="I9">_xlfn.IFS(
  OR(ISBLANK(A9),ISBLANK(B9),ISBLANK(D9),ISBLANK(E9),ISBLANK(H9)),"Missing Value",
  D9&lt;0,"Review – Out of Range (Claim Amount)",
  H9&lt;0,"Review – Out of Range (Days to Process)",
  TRUE,"OK"
)</f>
        <v>OK</v>
      </c>
    </row>
    <row r="10" spans="1:9" ht="16.8" x14ac:dyDescent="0.3">
      <c r="A10" s="11" t="s">
        <v>6517</v>
      </c>
      <c r="B10" s="11" t="s">
        <v>6181</v>
      </c>
      <c r="C10" s="12">
        <v>45375</v>
      </c>
      <c r="D10" s="11">
        <v>394794.62</v>
      </c>
      <c r="E10" s="11" t="s">
        <v>6508</v>
      </c>
      <c r="F10" s="11" t="s">
        <v>6516</v>
      </c>
      <c r="G10" s="11" t="s">
        <v>45</v>
      </c>
      <c r="H10" s="11">
        <v>5</v>
      </c>
      <c r="I10" s="13" t="str" cm="1">
        <f t="array" ref="I10">_xlfn.IFS(
  OR(ISBLANK(A10),ISBLANK(B10),ISBLANK(D10),ISBLANK(E10),ISBLANK(H10)),"Missing Value",
  D10&lt;0,"Review – Out of Range (Claim Amount)",
  H10&lt;0,"Review – Out of Range (Days to Process)",
  TRUE,"OK"
)</f>
        <v>OK</v>
      </c>
    </row>
    <row r="11" spans="1:9" ht="16.8" x14ac:dyDescent="0.3">
      <c r="A11" s="14" t="s">
        <v>6518</v>
      </c>
      <c r="B11" s="14" t="s">
        <v>4322</v>
      </c>
      <c r="C11" s="15">
        <v>44472</v>
      </c>
      <c r="D11" s="14">
        <v>375987.61</v>
      </c>
      <c r="E11" s="14" t="s">
        <v>6508</v>
      </c>
      <c r="F11" s="14" t="s">
        <v>6509</v>
      </c>
      <c r="G11" s="14" t="s">
        <v>46</v>
      </c>
      <c r="H11" s="14">
        <v>25</v>
      </c>
      <c r="I11" s="13" t="str" cm="1">
        <f t="array" ref="I11">_xlfn.IFS(
  OR(ISBLANK(A11),ISBLANK(B11),ISBLANK(D11),ISBLANK(E11),ISBLANK(H11)),"Missing Value",
  D11&lt;0,"Review – Out of Range (Claim Amount)",
  H11&lt;0,"Review – Out of Range (Days to Process)",
  TRUE,"OK"
)</f>
        <v>OK</v>
      </c>
    </row>
    <row r="12" spans="1:9" ht="16.8" x14ac:dyDescent="0.3">
      <c r="A12" s="11" t="s">
        <v>6519</v>
      </c>
      <c r="B12" s="11" t="s">
        <v>4323</v>
      </c>
      <c r="C12" s="12">
        <v>45427</v>
      </c>
      <c r="D12" s="11">
        <v>495032.58</v>
      </c>
      <c r="E12" s="11" t="s">
        <v>6502</v>
      </c>
      <c r="F12" s="11" t="s">
        <v>6509</v>
      </c>
      <c r="G12" s="11" t="s">
        <v>45</v>
      </c>
      <c r="H12" s="11">
        <v>40</v>
      </c>
      <c r="I12" s="13" t="str" cm="1">
        <f t="array" ref="I12">_xlfn.IFS(
  OR(ISBLANK(A12),ISBLANK(B12),ISBLANK(D12),ISBLANK(E12),ISBLANK(H12)),"Missing Value",
  D12&lt;0,"Review – Out of Range (Claim Amount)",
  H12&lt;0,"Review – Out of Range (Days to Process)",
  TRUE,"OK"
)</f>
        <v>OK</v>
      </c>
    </row>
    <row r="13" spans="1:9" ht="16.8" x14ac:dyDescent="0.3">
      <c r="A13" s="14" t="s">
        <v>6520</v>
      </c>
      <c r="B13" s="14" t="s">
        <v>3884</v>
      </c>
      <c r="C13" s="15">
        <v>45185</v>
      </c>
      <c r="D13" s="14">
        <v>468259.32</v>
      </c>
      <c r="E13" s="14" t="s">
        <v>6508</v>
      </c>
      <c r="F13" s="14" t="s">
        <v>6511</v>
      </c>
      <c r="G13" s="14" t="s">
        <v>45</v>
      </c>
      <c r="H13" s="14">
        <v>11</v>
      </c>
      <c r="I13" s="13" t="str" cm="1">
        <f t="array" ref="I13">_xlfn.IFS(
  OR(ISBLANK(A13),ISBLANK(B13),ISBLANK(D13),ISBLANK(E13),ISBLANK(H13)),"Missing Value",
  D13&lt;0,"Review – Out of Range (Claim Amount)",
  H13&lt;0,"Review – Out of Range (Days to Process)",
  TRUE,"OK"
)</f>
        <v>OK</v>
      </c>
    </row>
    <row r="14" spans="1:9" ht="16.8" x14ac:dyDescent="0.3">
      <c r="A14" s="11" t="s">
        <v>6521</v>
      </c>
      <c r="B14" s="11" t="s">
        <v>5745</v>
      </c>
      <c r="C14" s="12">
        <v>45426</v>
      </c>
      <c r="D14" s="11">
        <v>470562.44</v>
      </c>
      <c r="E14" s="11" t="s">
        <v>6508</v>
      </c>
      <c r="F14" s="11" t="s">
        <v>6506</v>
      </c>
      <c r="G14" s="11" t="s">
        <v>46</v>
      </c>
      <c r="H14" s="11">
        <v>42</v>
      </c>
      <c r="I14" s="13" t="str" cm="1">
        <f t="array" ref="I14">_xlfn.IFS(
  OR(ISBLANK(A14),ISBLANK(B14),ISBLANK(D14),ISBLANK(E14),ISBLANK(H14)),"Missing Value",
  D14&lt;0,"Review – Out of Range (Claim Amount)",
  H14&lt;0,"Review – Out of Range (Days to Process)",
  TRUE,"OK"
)</f>
        <v>OK</v>
      </c>
    </row>
    <row r="15" spans="1:9" ht="16.8" x14ac:dyDescent="0.3">
      <c r="A15" s="14" t="s">
        <v>6522</v>
      </c>
      <c r="B15" s="14" t="s">
        <v>4260</v>
      </c>
      <c r="C15" s="15">
        <v>44951</v>
      </c>
      <c r="D15" s="14">
        <v>421414.85</v>
      </c>
      <c r="E15" s="14" t="s">
        <v>6502</v>
      </c>
      <c r="F15" s="14" t="s">
        <v>6509</v>
      </c>
      <c r="G15" s="14" t="s">
        <v>45</v>
      </c>
      <c r="H15" s="14">
        <v>27</v>
      </c>
      <c r="I15" s="13" t="str" cm="1">
        <f t="array" ref="I15">_xlfn.IFS(
  OR(ISBLANK(A15),ISBLANK(B15),ISBLANK(D15),ISBLANK(E15),ISBLANK(H15)),"Missing Value",
  D15&lt;0,"Review – Out of Range (Claim Amount)",
  H15&lt;0,"Review – Out of Range (Days to Process)",
  TRUE,"OK"
)</f>
        <v>OK</v>
      </c>
    </row>
    <row r="16" spans="1:9" ht="16.8" x14ac:dyDescent="0.3">
      <c r="A16" s="11" t="s">
        <v>6523</v>
      </c>
      <c r="B16" s="11" t="s">
        <v>4228</v>
      </c>
      <c r="C16" s="12">
        <v>45415</v>
      </c>
      <c r="D16" s="11">
        <v>155992.82</v>
      </c>
      <c r="E16" s="11" t="s">
        <v>6505</v>
      </c>
      <c r="F16" s="11" t="s">
        <v>6503</v>
      </c>
      <c r="G16" s="11" t="s">
        <v>45</v>
      </c>
      <c r="H16" s="11">
        <v>33</v>
      </c>
      <c r="I16" s="13" t="str" cm="1">
        <f t="array" ref="I16">_xlfn.IFS(
  OR(ISBLANK(A16),ISBLANK(B16),ISBLANK(D16),ISBLANK(E16),ISBLANK(H16)),"Missing Value",
  D16&lt;0,"Review – Out of Range (Claim Amount)",
  H16&lt;0,"Review – Out of Range (Days to Process)",
  TRUE,"OK"
)</f>
        <v>OK</v>
      </c>
    </row>
    <row r="17" spans="1:9" ht="16.8" x14ac:dyDescent="0.3">
      <c r="A17" s="14" t="s">
        <v>6524</v>
      </c>
      <c r="B17" s="14" t="s">
        <v>5526</v>
      </c>
      <c r="C17" s="15">
        <v>44666</v>
      </c>
      <c r="D17" s="14">
        <v>255073.2</v>
      </c>
      <c r="E17" s="14" t="s">
        <v>6502</v>
      </c>
      <c r="F17" s="14" t="s">
        <v>6516</v>
      </c>
      <c r="G17" s="14" t="s">
        <v>46</v>
      </c>
      <c r="H17" s="14">
        <v>29</v>
      </c>
      <c r="I17" s="13" t="str" cm="1">
        <f t="array" ref="I17">_xlfn.IFS(
  OR(ISBLANK(A17),ISBLANK(B17),ISBLANK(D17),ISBLANK(E17),ISBLANK(H17)),"Missing Value",
  D17&lt;0,"Review – Out of Range (Claim Amount)",
  H17&lt;0,"Review – Out of Range (Days to Process)",
  TRUE,"OK"
)</f>
        <v>OK</v>
      </c>
    </row>
    <row r="18" spans="1:9" ht="16.8" x14ac:dyDescent="0.3">
      <c r="A18" s="11" t="s">
        <v>6525</v>
      </c>
      <c r="B18" s="11" t="s">
        <v>3817</v>
      </c>
      <c r="C18" s="12">
        <v>45445</v>
      </c>
      <c r="D18" s="11">
        <v>67527.06</v>
      </c>
      <c r="E18" s="11" t="s">
        <v>6502</v>
      </c>
      <c r="F18" s="11" t="s">
        <v>6506</v>
      </c>
      <c r="G18" s="11" t="s">
        <v>45</v>
      </c>
      <c r="H18" s="11">
        <v>47</v>
      </c>
      <c r="I18" s="13" t="str" cm="1">
        <f t="array" ref="I18">_xlfn.IFS(
  OR(ISBLANK(A18),ISBLANK(B18),ISBLANK(D18),ISBLANK(E18),ISBLANK(H18)),"Missing Value",
  D18&lt;0,"Review – Out of Range (Claim Amount)",
  H18&lt;0,"Review – Out of Range (Days to Process)",
  TRUE,"OK"
)</f>
        <v>OK</v>
      </c>
    </row>
    <row r="19" spans="1:9" ht="16.8" x14ac:dyDescent="0.3">
      <c r="A19" s="14" t="s">
        <v>6526</v>
      </c>
      <c r="B19" s="14" t="s">
        <v>6136</v>
      </c>
      <c r="C19" s="15">
        <v>45190</v>
      </c>
      <c r="D19" s="14">
        <v>22088.7</v>
      </c>
      <c r="E19" s="14" t="s">
        <v>6505</v>
      </c>
      <c r="F19" s="14" t="s">
        <v>6503</v>
      </c>
      <c r="G19" s="14" t="s">
        <v>46</v>
      </c>
      <c r="H19" s="14">
        <v>56</v>
      </c>
      <c r="I19" s="13" t="str" cm="1">
        <f t="array" ref="I19">_xlfn.IFS(
  OR(ISBLANK(A19),ISBLANK(B19),ISBLANK(D19),ISBLANK(E19),ISBLANK(H19)),"Missing Value",
  D19&lt;0,"Review – Out of Range (Claim Amount)",
  H19&lt;0,"Review – Out of Range (Days to Process)",
  TRUE,"OK"
)</f>
        <v>OK</v>
      </c>
    </row>
    <row r="20" spans="1:9" ht="16.8" x14ac:dyDescent="0.3">
      <c r="A20" s="11" t="s">
        <v>6527</v>
      </c>
      <c r="B20" s="11" t="s">
        <v>6242</v>
      </c>
      <c r="C20" s="12">
        <v>45324</v>
      </c>
      <c r="D20" s="11">
        <v>350386.21</v>
      </c>
      <c r="E20" s="11" t="s">
        <v>6505</v>
      </c>
      <c r="F20" s="11" t="s">
        <v>6506</v>
      </c>
      <c r="G20" s="11" t="s">
        <v>45</v>
      </c>
      <c r="H20" s="11">
        <v>8</v>
      </c>
      <c r="I20" s="13" t="str" cm="1">
        <f t="array" ref="I20">_xlfn.IFS(
  OR(ISBLANK(A20),ISBLANK(B20),ISBLANK(D20),ISBLANK(E20),ISBLANK(H20)),"Missing Value",
  D20&lt;0,"Review – Out of Range (Claim Amount)",
  H20&lt;0,"Review – Out of Range (Days to Process)",
  TRUE,"OK"
)</f>
        <v>OK</v>
      </c>
    </row>
    <row r="21" spans="1:9" ht="16.8" x14ac:dyDescent="0.3">
      <c r="A21" s="14" t="s">
        <v>6528</v>
      </c>
      <c r="B21" s="14" t="s">
        <v>3812</v>
      </c>
      <c r="C21" s="15">
        <v>45401</v>
      </c>
      <c r="D21" s="14">
        <v>124876.51</v>
      </c>
      <c r="E21" s="14" t="s">
        <v>6508</v>
      </c>
      <c r="F21" s="14" t="s">
        <v>6503</v>
      </c>
      <c r="G21" s="14" t="s">
        <v>46</v>
      </c>
      <c r="H21" s="14">
        <v>10</v>
      </c>
      <c r="I21" s="13" t="str" cm="1">
        <f t="array" ref="I21">_xlfn.IFS(
  OR(ISBLANK(A21),ISBLANK(B21),ISBLANK(D21),ISBLANK(E21),ISBLANK(H21)),"Missing Value",
  D21&lt;0,"Review – Out of Range (Claim Amount)",
  H21&lt;0,"Review – Out of Range (Days to Process)",
  TRUE,"OK"
)</f>
        <v>OK</v>
      </c>
    </row>
    <row r="22" spans="1:9" ht="16.8" x14ac:dyDescent="0.3">
      <c r="A22" s="11" t="s">
        <v>6529</v>
      </c>
      <c r="B22" s="11" t="s">
        <v>3860</v>
      </c>
      <c r="C22" s="12">
        <v>45337</v>
      </c>
      <c r="D22" s="11">
        <v>401659.17</v>
      </c>
      <c r="E22" s="11" t="s">
        <v>6502</v>
      </c>
      <c r="F22" s="11" t="s">
        <v>6503</v>
      </c>
      <c r="G22" s="11" t="s">
        <v>46</v>
      </c>
      <c r="H22" s="11">
        <v>21</v>
      </c>
      <c r="I22" s="13" t="str" cm="1">
        <f t="array" ref="I22">_xlfn.IFS(
  OR(ISBLANK(A22),ISBLANK(B22),ISBLANK(D22),ISBLANK(E22),ISBLANK(H22)),"Missing Value",
  D22&lt;0,"Review – Out of Range (Claim Amount)",
  H22&lt;0,"Review – Out of Range (Days to Process)",
  TRUE,"OK"
)</f>
        <v>OK</v>
      </c>
    </row>
    <row r="23" spans="1:9" ht="16.8" x14ac:dyDescent="0.3">
      <c r="A23" s="14" t="s">
        <v>6530</v>
      </c>
      <c r="B23" s="14" t="s">
        <v>4110</v>
      </c>
      <c r="C23" s="15">
        <v>45193</v>
      </c>
      <c r="D23" s="14">
        <v>285832.96999999997</v>
      </c>
      <c r="E23" s="14" t="s">
        <v>6508</v>
      </c>
      <c r="F23" s="14" t="s">
        <v>6503</v>
      </c>
      <c r="G23" s="14" t="s">
        <v>45</v>
      </c>
      <c r="H23" s="14">
        <v>48</v>
      </c>
      <c r="I23" s="13" t="str" cm="1">
        <f t="array" ref="I23">_xlfn.IFS(
  OR(ISBLANK(A23),ISBLANK(B23),ISBLANK(D23),ISBLANK(E23),ISBLANK(H23)),"Missing Value",
  D23&lt;0,"Review – Out of Range (Claim Amount)",
  H23&lt;0,"Review – Out of Range (Days to Process)",
  TRUE,"OK"
)</f>
        <v>OK</v>
      </c>
    </row>
    <row r="24" spans="1:9" ht="16.8" x14ac:dyDescent="0.3">
      <c r="A24" s="11" t="s">
        <v>6531</v>
      </c>
      <c r="B24" s="11" t="s">
        <v>4037</v>
      </c>
      <c r="C24" s="12">
        <v>44984</v>
      </c>
      <c r="D24" s="11">
        <v>480795.2</v>
      </c>
      <c r="E24" s="11" t="s">
        <v>6502</v>
      </c>
      <c r="F24" s="11" t="s">
        <v>6511</v>
      </c>
      <c r="G24" s="11" t="s">
        <v>46</v>
      </c>
      <c r="H24" s="11">
        <v>33</v>
      </c>
      <c r="I24" s="13" t="str" cm="1">
        <f t="array" ref="I24">_xlfn.IFS(
  OR(ISBLANK(A24),ISBLANK(B24),ISBLANK(D24),ISBLANK(E24),ISBLANK(H24)),"Missing Value",
  D24&lt;0,"Review – Out of Range (Claim Amount)",
  H24&lt;0,"Review – Out of Range (Days to Process)",
  TRUE,"OK"
)</f>
        <v>OK</v>
      </c>
    </row>
    <row r="25" spans="1:9" ht="16.8" x14ac:dyDescent="0.3">
      <c r="A25" s="14" t="s">
        <v>6532</v>
      </c>
      <c r="B25" s="14" t="s">
        <v>6028</v>
      </c>
      <c r="C25" s="15">
        <v>45504</v>
      </c>
      <c r="D25" s="14">
        <v>367933.53</v>
      </c>
      <c r="E25" s="14" t="s">
        <v>6505</v>
      </c>
      <c r="F25" s="14" t="s">
        <v>6503</v>
      </c>
      <c r="G25" s="14" t="s">
        <v>45</v>
      </c>
      <c r="H25" s="14">
        <v>56</v>
      </c>
      <c r="I25" s="13" t="str" cm="1">
        <f t="array" ref="I25">_xlfn.IFS(
  OR(ISBLANK(A25),ISBLANK(B25),ISBLANK(D25),ISBLANK(E25),ISBLANK(H25)),"Missing Value",
  D25&lt;0,"Review – Out of Range (Claim Amount)",
  H25&lt;0,"Review – Out of Range (Days to Process)",
  TRUE,"OK"
)</f>
        <v>OK</v>
      </c>
    </row>
    <row r="26" spans="1:9" ht="16.8" x14ac:dyDescent="0.3">
      <c r="A26" s="11" t="s">
        <v>6533</v>
      </c>
      <c r="B26" s="11" t="s">
        <v>5241</v>
      </c>
      <c r="C26" s="12">
        <v>45436</v>
      </c>
      <c r="D26" s="11">
        <v>107721.44</v>
      </c>
      <c r="E26" s="11" t="s">
        <v>6502</v>
      </c>
      <c r="F26" s="11" t="s">
        <v>6516</v>
      </c>
      <c r="G26" s="11" t="s">
        <v>46</v>
      </c>
      <c r="H26" s="11">
        <v>4</v>
      </c>
      <c r="I26" s="13" t="str" cm="1">
        <f t="array" ref="I26">_xlfn.IFS(
  OR(ISBLANK(A26),ISBLANK(B26),ISBLANK(D26),ISBLANK(E26),ISBLANK(H26)),"Missing Value",
  D26&lt;0,"Review – Out of Range (Claim Amount)",
  H26&lt;0,"Review – Out of Range (Days to Process)",
  TRUE,"OK"
)</f>
        <v>OK</v>
      </c>
    </row>
    <row r="27" spans="1:9" ht="16.8" x14ac:dyDescent="0.3">
      <c r="A27" s="14" t="s">
        <v>6534</v>
      </c>
      <c r="B27" s="14" t="s">
        <v>5190</v>
      </c>
      <c r="C27" s="15">
        <v>45099</v>
      </c>
      <c r="D27" s="14">
        <v>397208.6</v>
      </c>
      <c r="E27" s="14" t="s">
        <v>6502</v>
      </c>
      <c r="F27" s="14" t="s">
        <v>6511</v>
      </c>
      <c r="G27" s="14" t="s">
        <v>46</v>
      </c>
      <c r="H27" s="14">
        <v>47</v>
      </c>
      <c r="I27" s="13" t="str" cm="1">
        <f t="array" ref="I27">_xlfn.IFS(
  OR(ISBLANK(A27),ISBLANK(B27),ISBLANK(D27),ISBLANK(E27),ISBLANK(H27)),"Missing Value",
  D27&lt;0,"Review – Out of Range (Claim Amount)",
  H27&lt;0,"Review – Out of Range (Days to Process)",
  TRUE,"OK"
)</f>
        <v>OK</v>
      </c>
    </row>
    <row r="28" spans="1:9" ht="16.8" x14ac:dyDescent="0.3">
      <c r="A28" s="11" t="s">
        <v>6535</v>
      </c>
      <c r="B28" s="11" t="s">
        <v>3832</v>
      </c>
      <c r="C28" s="12">
        <v>44802</v>
      </c>
      <c r="D28" s="11">
        <v>135683.89000000001</v>
      </c>
      <c r="E28" s="11" t="s">
        <v>6502</v>
      </c>
      <c r="F28" s="11" t="s">
        <v>6511</v>
      </c>
      <c r="G28" s="11" t="s">
        <v>46</v>
      </c>
      <c r="H28" s="11">
        <v>38</v>
      </c>
      <c r="I28" s="13" t="str" cm="1">
        <f t="array" ref="I28">_xlfn.IFS(
  OR(ISBLANK(A28),ISBLANK(B28),ISBLANK(D28),ISBLANK(E28),ISBLANK(H28)),"Missing Value",
  D28&lt;0,"Review – Out of Range (Claim Amount)",
  H28&lt;0,"Review – Out of Range (Days to Process)",
  TRUE,"OK"
)</f>
        <v>OK</v>
      </c>
    </row>
    <row r="29" spans="1:9" ht="16.8" x14ac:dyDescent="0.3">
      <c r="A29" s="14" t="s">
        <v>6536</v>
      </c>
      <c r="B29" s="14" t="s">
        <v>5833</v>
      </c>
      <c r="C29" s="15">
        <v>45201</v>
      </c>
      <c r="D29" s="14">
        <v>379326.31</v>
      </c>
      <c r="E29" s="14" t="s">
        <v>6502</v>
      </c>
      <c r="F29" s="14" t="s">
        <v>6511</v>
      </c>
      <c r="G29" s="14" t="s">
        <v>46</v>
      </c>
      <c r="H29" s="14">
        <v>25</v>
      </c>
      <c r="I29" s="13" t="str" cm="1">
        <f t="array" ref="I29">_xlfn.IFS(
  OR(ISBLANK(A29),ISBLANK(B29),ISBLANK(D29),ISBLANK(E29),ISBLANK(H29)),"Missing Value",
  D29&lt;0,"Review – Out of Range (Claim Amount)",
  H29&lt;0,"Review – Out of Range (Days to Process)",
  TRUE,"OK"
)</f>
        <v>OK</v>
      </c>
    </row>
    <row r="30" spans="1:9" ht="16.8" x14ac:dyDescent="0.3">
      <c r="A30" s="11" t="s">
        <v>6537</v>
      </c>
      <c r="B30" s="11" t="s">
        <v>5729</v>
      </c>
      <c r="C30" s="12">
        <v>45364</v>
      </c>
      <c r="D30" s="11">
        <v>446549.2</v>
      </c>
      <c r="E30" s="11" t="s">
        <v>6508</v>
      </c>
      <c r="F30" s="11" t="s">
        <v>6503</v>
      </c>
      <c r="G30" s="11" t="s">
        <v>45</v>
      </c>
      <c r="H30" s="11">
        <v>48</v>
      </c>
      <c r="I30" s="13" t="str" cm="1">
        <f t="array" ref="I30">_xlfn.IFS(
  OR(ISBLANK(A30),ISBLANK(B30),ISBLANK(D30),ISBLANK(E30),ISBLANK(H30)),"Missing Value",
  D30&lt;0,"Review – Out of Range (Claim Amount)",
  H30&lt;0,"Review – Out of Range (Days to Process)",
  TRUE,"OK"
)</f>
        <v>OK</v>
      </c>
    </row>
    <row r="31" spans="1:9" ht="16.8" x14ac:dyDescent="0.3">
      <c r="A31" s="14" t="s">
        <v>6538</v>
      </c>
      <c r="B31" s="14" t="s">
        <v>3878</v>
      </c>
      <c r="C31" s="15">
        <v>45063</v>
      </c>
      <c r="D31" s="14">
        <v>127488.96000000001</v>
      </c>
      <c r="E31" s="14" t="s">
        <v>6502</v>
      </c>
      <c r="F31" s="14" t="s">
        <v>6503</v>
      </c>
      <c r="G31" s="14" t="s">
        <v>46</v>
      </c>
      <c r="H31" s="14">
        <v>33</v>
      </c>
      <c r="I31" s="13" t="str" cm="1">
        <f t="array" ref="I31">_xlfn.IFS(
  OR(ISBLANK(A31),ISBLANK(B31),ISBLANK(D31),ISBLANK(E31),ISBLANK(H31)),"Missing Value",
  D31&lt;0,"Review – Out of Range (Claim Amount)",
  H31&lt;0,"Review – Out of Range (Days to Process)",
  TRUE,"OK"
)</f>
        <v>OK</v>
      </c>
    </row>
    <row r="32" spans="1:9" ht="16.8" x14ac:dyDescent="0.3">
      <c r="A32" s="11" t="s">
        <v>6539</v>
      </c>
      <c r="B32" s="11" t="s">
        <v>4968</v>
      </c>
      <c r="C32" s="12">
        <v>45531</v>
      </c>
      <c r="D32" s="11">
        <v>365730.12</v>
      </c>
      <c r="E32" s="11" t="s">
        <v>6505</v>
      </c>
      <c r="F32" s="11" t="s">
        <v>6516</v>
      </c>
      <c r="G32" s="11" t="s">
        <v>46</v>
      </c>
      <c r="H32" s="11">
        <v>17</v>
      </c>
      <c r="I32" s="13" t="str" cm="1">
        <f t="array" ref="I32">_xlfn.IFS(
  OR(ISBLANK(A32),ISBLANK(B32),ISBLANK(D32),ISBLANK(E32),ISBLANK(H32)),"Missing Value",
  D32&lt;0,"Review – Out of Range (Claim Amount)",
  H32&lt;0,"Review – Out of Range (Days to Process)",
  TRUE,"OK"
)</f>
        <v>OK</v>
      </c>
    </row>
    <row r="33" spans="1:9" ht="16.8" x14ac:dyDescent="0.3">
      <c r="A33" s="14" t="s">
        <v>6540</v>
      </c>
      <c r="B33" s="14" t="s">
        <v>6208</v>
      </c>
      <c r="C33" s="15">
        <v>45654</v>
      </c>
      <c r="D33" s="14">
        <v>486508.65</v>
      </c>
      <c r="E33" s="14" t="s">
        <v>6505</v>
      </c>
      <c r="F33" s="14" t="s">
        <v>6511</v>
      </c>
      <c r="G33" s="14" t="s">
        <v>46</v>
      </c>
      <c r="H33" s="14">
        <v>7</v>
      </c>
      <c r="I33" s="13" t="str" cm="1">
        <f t="array" ref="I33">_xlfn.IFS(
  OR(ISBLANK(A33),ISBLANK(B33),ISBLANK(D33),ISBLANK(E33),ISBLANK(H33)),"Missing Value",
  D33&lt;0,"Review – Out of Range (Claim Amount)",
  H33&lt;0,"Review – Out of Range (Days to Process)",
  TRUE,"OK"
)</f>
        <v>OK</v>
      </c>
    </row>
    <row r="34" spans="1:9" ht="16.8" x14ac:dyDescent="0.3">
      <c r="A34" s="11" t="s">
        <v>6541</v>
      </c>
      <c r="B34" s="11" t="s">
        <v>4051</v>
      </c>
      <c r="C34" s="12">
        <v>45702</v>
      </c>
      <c r="D34" s="11">
        <v>27907.74</v>
      </c>
      <c r="E34" s="11" t="s">
        <v>6505</v>
      </c>
      <c r="F34" s="11" t="s">
        <v>6506</v>
      </c>
      <c r="G34" s="11" t="s">
        <v>46</v>
      </c>
      <c r="H34" s="11">
        <v>9</v>
      </c>
      <c r="I34" s="13" t="str" cm="1">
        <f t="array" ref="I34">_xlfn.IFS(
  OR(ISBLANK(A34),ISBLANK(B34),ISBLANK(D34),ISBLANK(E34),ISBLANK(H34)),"Missing Value",
  D34&lt;0,"Review – Out of Range (Claim Amount)",
  H34&lt;0,"Review – Out of Range (Days to Process)",
  TRUE,"OK"
)</f>
        <v>OK</v>
      </c>
    </row>
    <row r="35" spans="1:9" ht="16.8" x14ac:dyDescent="0.3">
      <c r="A35" s="14" t="s">
        <v>6542</v>
      </c>
      <c r="B35" s="14" t="s">
        <v>6171</v>
      </c>
      <c r="C35" s="15">
        <v>45428</v>
      </c>
      <c r="D35" s="14">
        <v>489315.33</v>
      </c>
      <c r="E35" s="14" t="s">
        <v>6505</v>
      </c>
      <c r="F35" s="14" t="s">
        <v>6511</v>
      </c>
      <c r="G35" s="14" t="s">
        <v>45</v>
      </c>
      <c r="H35" s="14">
        <v>50</v>
      </c>
      <c r="I35" s="13" t="str" cm="1">
        <f t="array" ref="I35">_xlfn.IFS(
  OR(ISBLANK(A35),ISBLANK(B35),ISBLANK(D35),ISBLANK(E35),ISBLANK(H35)),"Missing Value",
  D35&lt;0,"Review – Out of Range (Claim Amount)",
  H35&lt;0,"Review – Out of Range (Days to Process)",
  TRUE,"OK"
)</f>
        <v>OK</v>
      </c>
    </row>
    <row r="36" spans="1:9" ht="16.8" x14ac:dyDescent="0.3">
      <c r="A36" s="11" t="s">
        <v>6543</v>
      </c>
      <c r="B36" s="11" t="s">
        <v>5917</v>
      </c>
      <c r="C36" s="12">
        <v>45322</v>
      </c>
      <c r="D36" s="11">
        <v>274741.44</v>
      </c>
      <c r="E36" s="11" t="s">
        <v>6508</v>
      </c>
      <c r="F36" s="11" t="s">
        <v>6503</v>
      </c>
      <c r="G36" s="11" t="s">
        <v>46</v>
      </c>
      <c r="H36" s="11">
        <v>53</v>
      </c>
      <c r="I36" s="13" t="str" cm="1">
        <f t="array" ref="I36">_xlfn.IFS(
  OR(ISBLANK(A36),ISBLANK(B36),ISBLANK(D36),ISBLANK(E36),ISBLANK(H36)),"Missing Value",
  D36&lt;0,"Review – Out of Range (Claim Amount)",
  H36&lt;0,"Review – Out of Range (Days to Process)",
  TRUE,"OK"
)</f>
        <v>OK</v>
      </c>
    </row>
    <row r="37" spans="1:9" ht="16.8" x14ac:dyDescent="0.3">
      <c r="A37" s="14" t="s">
        <v>6544</v>
      </c>
      <c r="B37" s="14" t="s">
        <v>5583</v>
      </c>
      <c r="C37" s="15">
        <v>44922</v>
      </c>
      <c r="D37" s="14">
        <v>301554.48</v>
      </c>
      <c r="E37" s="14" t="s">
        <v>6508</v>
      </c>
      <c r="F37" s="14" t="s">
        <v>6516</v>
      </c>
      <c r="G37" s="14" t="s">
        <v>46</v>
      </c>
      <c r="H37" s="14">
        <v>32</v>
      </c>
      <c r="I37" s="13" t="str" cm="1">
        <f t="array" ref="I37">_xlfn.IFS(
  OR(ISBLANK(A37),ISBLANK(B37),ISBLANK(D37),ISBLANK(E37),ISBLANK(H37)),"Missing Value",
  D37&lt;0,"Review – Out of Range (Claim Amount)",
  H37&lt;0,"Review – Out of Range (Days to Process)",
  TRUE,"OK"
)</f>
        <v>OK</v>
      </c>
    </row>
    <row r="38" spans="1:9" ht="16.8" x14ac:dyDescent="0.3">
      <c r="A38" s="11" t="s">
        <v>6545</v>
      </c>
      <c r="B38" s="11" t="s">
        <v>5465</v>
      </c>
      <c r="C38" s="12">
        <v>45061</v>
      </c>
      <c r="D38" s="11">
        <v>155059.69</v>
      </c>
      <c r="E38" s="11" t="s">
        <v>6502</v>
      </c>
      <c r="F38" s="11" t="s">
        <v>6516</v>
      </c>
      <c r="G38" s="11" t="s">
        <v>45</v>
      </c>
      <c r="H38" s="11">
        <v>2</v>
      </c>
      <c r="I38" s="13" t="str" cm="1">
        <f t="array" ref="I38">_xlfn.IFS(
  OR(ISBLANK(A38),ISBLANK(B38),ISBLANK(D38),ISBLANK(E38),ISBLANK(H38)),"Missing Value",
  D38&lt;0,"Review – Out of Range (Claim Amount)",
  H38&lt;0,"Review – Out of Range (Days to Process)",
  TRUE,"OK"
)</f>
        <v>OK</v>
      </c>
    </row>
    <row r="39" spans="1:9" ht="16.8" x14ac:dyDescent="0.3">
      <c r="A39" s="14" t="s">
        <v>6546</v>
      </c>
      <c r="B39" s="14" t="s">
        <v>4585</v>
      </c>
      <c r="C39" s="15">
        <v>45444</v>
      </c>
      <c r="D39" s="14">
        <v>487345.7</v>
      </c>
      <c r="E39" s="14" t="s">
        <v>6508</v>
      </c>
      <c r="F39" s="14" t="s">
        <v>6509</v>
      </c>
      <c r="G39" s="14" t="s">
        <v>46</v>
      </c>
      <c r="H39" s="14">
        <v>33</v>
      </c>
      <c r="I39" s="13" t="str" cm="1">
        <f t="array" ref="I39">_xlfn.IFS(
  OR(ISBLANK(A39),ISBLANK(B39),ISBLANK(D39),ISBLANK(E39),ISBLANK(H39)),"Missing Value",
  D39&lt;0,"Review – Out of Range (Claim Amount)",
  H39&lt;0,"Review – Out of Range (Days to Process)",
  TRUE,"OK"
)</f>
        <v>OK</v>
      </c>
    </row>
    <row r="40" spans="1:9" ht="16.8" x14ac:dyDescent="0.3">
      <c r="A40" s="11" t="s">
        <v>6547</v>
      </c>
      <c r="B40" s="11" t="s">
        <v>4253</v>
      </c>
      <c r="C40" s="12">
        <v>44617</v>
      </c>
      <c r="D40" s="11">
        <v>122203.19</v>
      </c>
      <c r="E40" s="11" t="s">
        <v>6502</v>
      </c>
      <c r="F40" s="11" t="s">
        <v>6503</v>
      </c>
      <c r="G40" s="11" t="s">
        <v>45</v>
      </c>
      <c r="H40" s="11">
        <v>35</v>
      </c>
      <c r="I40" s="13" t="str" cm="1">
        <f t="array" ref="I40">_xlfn.IFS(
  OR(ISBLANK(A40),ISBLANK(B40),ISBLANK(D40),ISBLANK(E40),ISBLANK(H40)),"Missing Value",
  D40&lt;0,"Review – Out of Range (Claim Amount)",
  H40&lt;0,"Review – Out of Range (Days to Process)",
  TRUE,"OK"
)</f>
        <v>OK</v>
      </c>
    </row>
    <row r="41" spans="1:9" ht="16.8" x14ac:dyDescent="0.3">
      <c r="A41" s="14" t="s">
        <v>6548</v>
      </c>
      <c r="B41" s="14" t="s">
        <v>5406</v>
      </c>
      <c r="C41" s="15">
        <v>44372</v>
      </c>
      <c r="D41" s="14">
        <v>23474.7</v>
      </c>
      <c r="E41" s="14" t="s">
        <v>6502</v>
      </c>
      <c r="F41" s="14" t="s">
        <v>6516</v>
      </c>
      <c r="G41" s="14" t="s">
        <v>45</v>
      </c>
      <c r="H41" s="14">
        <v>19</v>
      </c>
      <c r="I41" s="13" t="str" cm="1">
        <f t="array" ref="I41">_xlfn.IFS(
  OR(ISBLANK(A41),ISBLANK(B41),ISBLANK(D41),ISBLANK(E41),ISBLANK(H41)),"Missing Value",
  D41&lt;0,"Review – Out of Range (Claim Amount)",
  H41&lt;0,"Review – Out of Range (Days to Process)",
  TRUE,"OK"
)</f>
        <v>OK</v>
      </c>
    </row>
    <row r="42" spans="1:9" ht="16.8" x14ac:dyDescent="0.3">
      <c r="A42" s="11" t="s">
        <v>6549</v>
      </c>
      <c r="B42" s="11" t="s">
        <v>5817</v>
      </c>
      <c r="C42" s="12">
        <v>45261</v>
      </c>
      <c r="D42" s="11">
        <v>156041.48000000001</v>
      </c>
      <c r="E42" s="11" t="s">
        <v>6505</v>
      </c>
      <c r="F42" s="11" t="s">
        <v>6509</v>
      </c>
      <c r="G42" s="11" t="s">
        <v>46</v>
      </c>
      <c r="H42" s="11">
        <v>51</v>
      </c>
      <c r="I42" s="13" t="str" cm="1">
        <f t="array" ref="I42">_xlfn.IFS(
  OR(ISBLANK(A42),ISBLANK(B42),ISBLANK(D42),ISBLANK(E42),ISBLANK(H42)),"Missing Value",
  D42&lt;0,"Review – Out of Range (Claim Amount)",
  H42&lt;0,"Review – Out of Range (Days to Process)",
  TRUE,"OK"
)</f>
        <v>OK</v>
      </c>
    </row>
    <row r="43" spans="1:9" ht="16.8" x14ac:dyDescent="0.3">
      <c r="A43" s="14" t="s">
        <v>6550</v>
      </c>
      <c r="B43" s="14" t="s">
        <v>6442</v>
      </c>
      <c r="C43" s="15">
        <v>45087</v>
      </c>
      <c r="D43" s="14">
        <v>189563.24</v>
      </c>
      <c r="E43" s="14" t="s">
        <v>6505</v>
      </c>
      <c r="F43" s="14" t="s">
        <v>6511</v>
      </c>
      <c r="G43" s="14" t="s">
        <v>46</v>
      </c>
      <c r="H43" s="14">
        <v>12</v>
      </c>
      <c r="I43" s="13" t="str" cm="1">
        <f t="array" ref="I43">_xlfn.IFS(
  OR(ISBLANK(A43),ISBLANK(B43),ISBLANK(D43),ISBLANK(E43),ISBLANK(H43)),"Missing Value",
  D43&lt;0,"Review – Out of Range (Claim Amount)",
  H43&lt;0,"Review – Out of Range (Days to Process)",
  TRUE,"OK"
)</f>
        <v>OK</v>
      </c>
    </row>
    <row r="44" spans="1:9" ht="16.8" x14ac:dyDescent="0.3">
      <c r="A44" s="11" t="s">
        <v>6551</v>
      </c>
      <c r="B44" s="11" t="s">
        <v>5811</v>
      </c>
      <c r="C44" s="12">
        <v>45177</v>
      </c>
      <c r="D44" s="11">
        <v>413787.2</v>
      </c>
      <c r="E44" s="11" t="s">
        <v>6508</v>
      </c>
      <c r="F44" s="11" t="s">
        <v>6506</v>
      </c>
      <c r="G44" s="11" t="s">
        <v>45</v>
      </c>
      <c r="H44" s="11">
        <v>9</v>
      </c>
      <c r="I44" s="13" t="str" cm="1">
        <f t="array" ref="I44">_xlfn.IFS(
  OR(ISBLANK(A44),ISBLANK(B44),ISBLANK(D44),ISBLANK(E44),ISBLANK(H44)),"Missing Value",
  D44&lt;0,"Review – Out of Range (Claim Amount)",
  H44&lt;0,"Review – Out of Range (Days to Process)",
  TRUE,"OK"
)</f>
        <v>OK</v>
      </c>
    </row>
    <row r="45" spans="1:9" ht="16.8" x14ac:dyDescent="0.3">
      <c r="A45" s="14" t="s">
        <v>6552</v>
      </c>
      <c r="B45" s="14" t="s">
        <v>6290</v>
      </c>
      <c r="C45" s="15">
        <v>44642</v>
      </c>
      <c r="D45" s="14">
        <v>445095.51</v>
      </c>
      <c r="E45" s="14" t="s">
        <v>6508</v>
      </c>
      <c r="F45" s="14" t="s">
        <v>6503</v>
      </c>
      <c r="G45" s="14" t="s">
        <v>46</v>
      </c>
      <c r="H45" s="14">
        <v>16</v>
      </c>
      <c r="I45" s="13" t="str" cm="1">
        <f t="array" ref="I45">_xlfn.IFS(
  OR(ISBLANK(A45),ISBLANK(B45),ISBLANK(D45),ISBLANK(E45),ISBLANK(H45)),"Missing Value",
  D45&lt;0,"Review – Out of Range (Claim Amount)",
  H45&lt;0,"Review – Out of Range (Days to Process)",
  TRUE,"OK"
)</f>
        <v>OK</v>
      </c>
    </row>
    <row r="46" spans="1:9" ht="16.8" x14ac:dyDescent="0.3">
      <c r="A46" s="11" t="s">
        <v>6553</v>
      </c>
      <c r="B46" s="11" t="s">
        <v>4690</v>
      </c>
      <c r="C46" s="12">
        <v>45322</v>
      </c>
      <c r="D46" s="11">
        <v>79263.210000000006</v>
      </c>
      <c r="E46" s="11" t="s">
        <v>6505</v>
      </c>
      <c r="F46" s="11" t="s">
        <v>6516</v>
      </c>
      <c r="G46" s="11" t="s">
        <v>46</v>
      </c>
      <c r="H46" s="11">
        <v>30</v>
      </c>
      <c r="I46" s="13" t="str" cm="1">
        <f t="array" ref="I46">_xlfn.IFS(
  OR(ISBLANK(A46),ISBLANK(B46),ISBLANK(D46),ISBLANK(E46),ISBLANK(H46)),"Missing Value",
  D46&lt;0,"Review – Out of Range (Claim Amount)",
  H46&lt;0,"Review – Out of Range (Days to Process)",
  TRUE,"OK"
)</f>
        <v>OK</v>
      </c>
    </row>
    <row r="47" spans="1:9" ht="16.8" x14ac:dyDescent="0.3">
      <c r="A47" s="14" t="s">
        <v>6554</v>
      </c>
      <c r="B47" s="14" t="s">
        <v>6336</v>
      </c>
      <c r="C47" s="15">
        <v>45629</v>
      </c>
      <c r="D47" s="14">
        <v>172221.13</v>
      </c>
      <c r="E47" s="14" t="s">
        <v>6505</v>
      </c>
      <c r="F47" s="14" t="s">
        <v>6506</v>
      </c>
      <c r="G47" s="14" t="s">
        <v>45</v>
      </c>
      <c r="H47" s="14">
        <v>59</v>
      </c>
      <c r="I47" s="13" t="str" cm="1">
        <f t="array" ref="I47">_xlfn.IFS(
  OR(ISBLANK(A47),ISBLANK(B47),ISBLANK(D47),ISBLANK(E47),ISBLANK(H47)),"Missing Value",
  D47&lt;0,"Review – Out of Range (Claim Amount)",
  H47&lt;0,"Review – Out of Range (Days to Process)",
  TRUE,"OK"
)</f>
        <v>OK</v>
      </c>
    </row>
    <row r="48" spans="1:9" ht="16.8" x14ac:dyDescent="0.3">
      <c r="A48" s="11" t="s">
        <v>6555</v>
      </c>
      <c r="B48" s="11" t="s">
        <v>3552</v>
      </c>
      <c r="C48" s="12">
        <v>45626</v>
      </c>
      <c r="D48" s="11">
        <v>191244.94</v>
      </c>
      <c r="E48" s="11" t="s">
        <v>6502</v>
      </c>
      <c r="F48" s="11" t="s">
        <v>6506</v>
      </c>
      <c r="G48" s="11" t="s">
        <v>46</v>
      </c>
      <c r="H48" s="11">
        <v>48</v>
      </c>
      <c r="I48" s="13" t="str" cm="1">
        <f t="array" ref="I48">_xlfn.IFS(
  OR(ISBLANK(A48),ISBLANK(B48),ISBLANK(D48),ISBLANK(E48),ISBLANK(H48)),"Missing Value",
  D48&lt;0,"Review – Out of Range (Claim Amount)",
  H48&lt;0,"Review – Out of Range (Days to Process)",
  TRUE,"OK"
)</f>
        <v>OK</v>
      </c>
    </row>
    <row r="49" spans="1:9" ht="16.8" x14ac:dyDescent="0.3">
      <c r="A49" s="14" t="s">
        <v>6556</v>
      </c>
      <c r="B49" s="14" t="s">
        <v>5753</v>
      </c>
      <c r="C49" s="15">
        <v>45517</v>
      </c>
      <c r="D49" s="14">
        <v>267667.93</v>
      </c>
      <c r="E49" s="14" t="s">
        <v>6508</v>
      </c>
      <c r="F49" s="14" t="s">
        <v>6503</v>
      </c>
      <c r="G49" s="14" t="s">
        <v>46</v>
      </c>
      <c r="H49" s="14">
        <v>58</v>
      </c>
      <c r="I49" s="13" t="str" cm="1">
        <f t="array" ref="I49">_xlfn.IFS(
  OR(ISBLANK(A49),ISBLANK(B49),ISBLANK(D49),ISBLANK(E49),ISBLANK(H49)),"Missing Value",
  D49&lt;0,"Review – Out of Range (Claim Amount)",
  H49&lt;0,"Review – Out of Range (Days to Process)",
  TRUE,"OK"
)</f>
        <v>OK</v>
      </c>
    </row>
    <row r="50" spans="1:9" ht="16.8" x14ac:dyDescent="0.3">
      <c r="A50" s="11" t="s">
        <v>6557</v>
      </c>
      <c r="B50" s="11" t="s">
        <v>4762</v>
      </c>
      <c r="C50" s="12">
        <v>44831</v>
      </c>
      <c r="D50" s="11">
        <v>422381.21</v>
      </c>
      <c r="E50" s="11" t="s">
        <v>6502</v>
      </c>
      <c r="F50" s="11" t="s">
        <v>6509</v>
      </c>
      <c r="G50" s="11" t="s">
        <v>46</v>
      </c>
      <c r="H50" s="11">
        <v>13</v>
      </c>
      <c r="I50" s="13" t="str" cm="1">
        <f t="array" ref="I50">_xlfn.IFS(
  OR(ISBLANK(A50),ISBLANK(B50),ISBLANK(D50),ISBLANK(E50),ISBLANK(H50)),"Missing Value",
  D50&lt;0,"Review – Out of Range (Claim Amount)",
  H50&lt;0,"Review – Out of Range (Days to Process)",
  TRUE,"OK"
)</f>
        <v>OK</v>
      </c>
    </row>
    <row r="51" spans="1:9" ht="16.8" x14ac:dyDescent="0.3">
      <c r="A51" s="14" t="s">
        <v>6558</v>
      </c>
      <c r="B51" s="14" t="s">
        <v>4872</v>
      </c>
      <c r="C51" s="15">
        <v>45731</v>
      </c>
      <c r="D51" s="14">
        <v>435372.41</v>
      </c>
      <c r="E51" s="14" t="s">
        <v>6505</v>
      </c>
      <c r="F51" s="14" t="s">
        <v>6511</v>
      </c>
      <c r="G51" s="14" t="s">
        <v>46</v>
      </c>
      <c r="H51" s="14">
        <v>11</v>
      </c>
      <c r="I51" s="13" t="str" cm="1">
        <f t="array" ref="I51">_xlfn.IFS(
  OR(ISBLANK(A51),ISBLANK(B51),ISBLANK(D51),ISBLANK(E51),ISBLANK(H51)),"Missing Value",
  D51&lt;0,"Review – Out of Range (Claim Amount)",
  H51&lt;0,"Review – Out of Range (Days to Process)",
  TRUE,"OK"
)</f>
        <v>OK</v>
      </c>
    </row>
    <row r="52" spans="1:9" ht="16.8" x14ac:dyDescent="0.3">
      <c r="A52" s="11" t="s">
        <v>6559</v>
      </c>
      <c r="B52" s="11" t="s">
        <v>5836</v>
      </c>
      <c r="C52" s="12">
        <v>44955</v>
      </c>
      <c r="D52" s="11">
        <v>342793.84</v>
      </c>
      <c r="E52" s="11" t="s">
        <v>6505</v>
      </c>
      <c r="F52" s="11" t="s">
        <v>6506</v>
      </c>
      <c r="G52" s="11" t="s">
        <v>45</v>
      </c>
      <c r="H52" s="11">
        <v>5</v>
      </c>
      <c r="I52" s="13" t="str" cm="1">
        <f t="array" ref="I52">_xlfn.IFS(
  OR(ISBLANK(A52),ISBLANK(B52),ISBLANK(D52),ISBLANK(E52),ISBLANK(H52)),"Missing Value",
  D52&lt;0,"Review – Out of Range (Claim Amount)",
  H52&lt;0,"Review – Out of Range (Days to Process)",
  TRUE,"OK"
)</f>
        <v>OK</v>
      </c>
    </row>
    <row r="53" spans="1:9" ht="16.8" x14ac:dyDescent="0.3">
      <c r="A53" s="14" t="s">
        <v>6560</v>
      </c>
      <c r="B53" s="14" t="s">
        <v>4714</v>
      </c>
      <c r="C53" s="15">
        <v>44799</v>
      </c>
      <c r="D53" s="14">
        <v>271007.14</v>
      </c>
      <c r="E53" s="14" t="s">
        <v>6502</v>
      </c>
      <c r="F53" s="14" t="s">
        <v>6503</v>
      </c>
      <c r="G53" s="14" t="s">
        <v>45</v>
      </c>
      <c r="H53" s="14">
        <v>16</v>
      </c>
      <c r="I53" s="13" t="str" cm="1">
        <f t="array" ref="I53">_xlfn.IFS(
  OR(ISBLANK(A53),ISBLANK(B53),ISBLANK(D53),ISBLANK(E53),ISBLANK(H53)),"Missing Value",
  D53&lt;0,"Review – Out of Range (Claim Amount)",
  H53&lt;0,"Review – Out of Range (Days to Process)",
  TRUE,"OK"
)</f>
        <v>OK</v>
      </c>
    </row>
    <row r="54" spans="1:9" ht="16.8" x14ac:dyDescent="0.3">
      <c r="A54" s="11" t="s">
        <v>6561</v>
      </c>
      <c r="B54" s="11" t="s">
        <v>4383</v>
      </c>
      <c r="C54" s="12">
        <v>45767</v>
      </c>
      <c r="D54" s="11">
        <v>389411.04</v>
      </c>
      <c r="E54" s="11" t="s">
        <v>6505</v>
      </c>
      <c r="F54" s="11" t="s">
        <v>6506</v>
      </c>
      <c r="G54" s="11" t="s">
        <v>45</v>
      </c>
      <c r="H54" s="11">
        <v>56</v>
      </c>
      <c r="I54" s="13" t="str" cm="1">
        <f t="array" ref="I54">_xlfn.IFS(
  OR(ISBLANK(A54),ISBLANK(B54),ISBLANK(D54),ISBLANK(E54),ISBLANK(H54)),"Missing Value",
  D54&lt;0,"Review – Out of Range (Claim Amount)",
  H54&lt;0,"Review – Out of Range (Days to Process)",
  TRUE,"OK"
)</f>
        <v>OK</v>
      </c>
    </row>
    <row r="55" spans="1:9" ht="16.8" x14ac:dyDescent="0.3">
      <c r="A55" s="14" t="s">
        <v>6562</v>
      </c>
      <c r="B55" s="14" t="s">
        <v>4294</v>
      </c>
      <c r="C55" s="15">
        <v>44961</v>
      </c>
      <c r="D55" s="14">
        <v>112536.24</v>
      </c>
      <c r="E55" s="14" t="s">
        <v>6508</v>
      </c>
      <c r="F55" s="14" t="s">
        <v>6506</v>
      </c>
      <c r="G55" s="14" t="s">
        <v>45</v>
      </c>
      <c r="H55" s="14">
        <v>53</v>
      </c>
      <c r="I55" s="13" t="str" cm="1">
        <f t="array" ref="I55">_xlfn.IFS(
  OR(ISBLANK(A55),ISBLANK(B55),ISBLANK(D55),ISBLANK(E55),ISBLANK(H55)),"Missing Value",
  D55&lt;0,"Review – Out of Range (Claim Amount)",
  H55&lt;0,"Review – Out of Range (Days to Process)",
  TRUE,"OK"
)</f>
        <v>OK</v>
      </c>
    </row>
    <row r="56" spans="1:9" ht="16.8" x14ac:dyDescent="0.3">
      <c r="A56" s="11" t="s">
        <v>6563</v>
      </c>
      <c r="B56" s="11" t="s">
        <v>5144</v>
      </c>
      <c r="C56" s="12">
        <v>44985</v>
      </c>
      <c r="D56" s="11">
        <v>296977.2</v>
      </c>
      <c r="E56" s="11" t="s">
        <v>6505</v>
      </c>
      <c r="F56" s="11" t="s">
        <v>6503</v>
      </c>
      <c r="G56" s="11" t="s">
        <v>45</v>
      </c>
      <c r="H56" s="11">
        <v>35</v>
      </c>
      <c r="I56" s="13" t="str" cm="1">
        <f t="array" ref="I56">_xlfn.IFS(
  OR(ISBLANK(A56),ISBLANK(B56),ISBLANK(D56),ISBLANK(E56),ISBLANK(H56)),"Missing Value",
  D56&lt;0,"Review – Out of Range (Claim Amount)",
  H56&lt;0,"Review – Out of Range (Days to Process)",
  TRUE,"OK"
)</f>
        <v>OK</v>
      </c>
    </row>
    <row r="57" spans="1:9" ht="16.8" x14ac:dyDescent="0.3">
      <c r="A57" s="14" t="s">
        <v>6564</v>
      </c>
      <c r="B57" s="14" t="s">
        <v>3866</v>
      </c>
      <c r="C57" s="15">
        <v>45153</v>
      </c>
      <c r="D57" s="14">
        <v>386747.78</v>
      </c>
      <c r="E57" s="14" t="s">
        <v>6502</v>
      </c>
      <c r="F57" s="14" t="s">
        <v>6503</v>
      </c>
      <c r="G57" s="14" t="s">
        <v>45</v>
      </c>
      <c r="H57" s="14">
        <v>45</v>
      </c>
      <c r="I57" s="13" t="str" cm="1">
        <f t="array" ref="I57">_xlfn.IFS(
  OR(ISBLANK(A57),ISBLANK(B57),ISBLANK(D57),ISBLANK(E57),ISBLANK(H57)),"Missing Value",
  D57&lt;0,"Review – Out of Range (Claim Amount)",
  H57&lt;0,"Review – Out of Range (Days to Process)",
  TRUE,"OK"
)</f>
        <v>OK</v>
      </c>
    </row>
    <row r="58" spans="1:9" ht="16.8" x14ac:dyDescent="0.3">
      <c r="A58" s="11" t="s">
        <v>6565</v>
      </c>
      <c r="B58" s="11" t="s">
        <v>6021</v>
      </c>
      <c r="C58" s="12">
        <v>45330</v>
      </c>
      <c r="D58" s="11">
        <v>182099.71</v>
      </c>
      <c r="E58" s="11" t="s">
        <v>6505</v>
      </c>
      <c r="F58" s="11" t="s">
        <v>6516</v>
      </c>
      <c r="G58" s="11" t="s">
        <v>45</v>
      </c>
      <c r="H58" s="11">
        <v>12</v>
      </c>
      <c r="I58" s="13" t="str" cm="1">
        <f t="array" ref="I58">_xlfn.IFS(
  OR(ISBLANK(A58),ISBLANK(B58),ISBLANK(D58),ISBLANK(E58),ISBLANK(H58)),"Missing Value",
  D58&lt;0,"Review – Out of Range (Claim Amount)",
  H58&lt;0,"Review – Out of Range (Days to Process)",
  TRUE,"OK"
)</f>
        <v>OK</v>
      </c>
    </row>
    <row r="59" spans="1:9" ht="16.8" x14ac:dyDescent="0.3">
      <c r="A59" s="14" t="s">
        <v>6566</v>
      </c>
      <c r="B59" s="14" t="s">
        <v>5828</v>
      </c>
      <c r="C59" s="15">
        <v>45568</v>
      </c>
      <c r="D59" s="14">
        <v>405963.06</v>
      </c>
      <c r="E59" s="14" t="s">
        <v>6505</v>
      </c>
      <c r="F59" s="14" t="s">
        <v>6511</v>
      </c>
      <c r="G59" s="14" t="s">
        <v>45</v>
      </c>
      <c r="H59" s="14">
        <v>26</v>
      </c>
      <c r="I59" s="13" t="str" cm="1">
        <f t="array" ref="I59">_xlfn.IFS(
  OR(ISBLANK(A59),ISBLANK(B59),ISBLANK(D59),ISBLANK(E59),ISBLANK(H59)),"Missing Value",
  D59&lt;0,"Review – Out of Range (Claim Amount)",
  H59&lt;0,"Review – Out of Range (Days to Process)",
  TRUE,"OK"
)</f>
        <v>OK</v>
      </c>
    </row>
    <row r="60" spans="1:9" ht="16.8" x14ac:dyDescent="0.3">
      <c r="A60" s="11" t="s">
        <v>6567</v>
      </c>
      <c r="B60" s="11" t="s">
        <v>4425</v>
      </c>
      <c r="C60" s="12">
        <v>44889</v>
      </c>
      <c r="D60" s="11">
        <v>243607.52</v>
      </c>
      <c r="E60" s="11" t="s">
        <v>6508</v>
      </c>
      <c r="F60" s="11" t="s">
        <v>6506</v>
      </c>
      <c r="G60" s="11" t="s">
        <v>46</v>
      </c>
      <c r="H60" s="11">
        <v>52</v>
      </c>
      <c r="I60" s="13" t="str" cm="1">
        <f t="array" ref="I60">_xlfn.IFS(
  OR(ISBLANK(A60),ISBLANK(B60),ISBLANK(D60),ISBLANK(E60),ISBLANK(H60)),"Missing Value",
  D60&lt;0,"Review – Out of Range (Claim Amount)",
  H60&lt;0,"Review – Out of Range (Days to Process)",
  TRUE,"OK"
)</f>
        <v>OK</v>
      </c>
    </row>
    <row r="61" spans="1:9" ht="16.8" x14ac:dyDescent="0.3">
      <c r="A61" s="14" t="s">
        <v>6568</v>
      </c>
      <c r="B61" s="14" t="s">
        <v>5578</v>
      </c>
      <c r="C61" s="15">
        <v>44427</v>
      </c>
      <c r="D61" s="14">
        <v>498110.26</v>
      </c>
      <c r="E61" s="14" t="s">
        <v>6505</v>
      </c>
      <c r="F61" s="14" t="s">
        <v>6506</v>
      </c>
      <c r="G61" s="14" t="s">
        <v>46</v>
      </c>
      <c r="H61" s="14">
        <v>29</v>
      </c>
      <c r="I61" s="13" t="str" cm="1">
        <f t="array" ref="I61">_xlfn.IFS(
  OR(ISBLANK(A61),ISBLANK(B61),ISBLANK(D61),ISBLANK(E61),ISBLANK(H61)),"Missing Value",
  D61&lt;0,"Review – Out of Range (Claim Amount)",
  H61&lt;0,"Review – Out of Range (Days to Process)",
  TRUE,"OK"
)</f>
        <v>OK</v>
      </c>
    </row>
    <row r="62" spans="1:9" ht="16.8" x14ac:dyDescent="0.3">
      <c r="A62" s="11" t="s">
        <v>6569</v>
      </c>
      <c r="B62" s="11" t="s">
        <v>5002</v>
      </c>
      <c r="C62" s="12">
        <v>45515</v>
      </c>
      <c r="D62" s="11">
        <v>269337.03000000003</v>
      </c>
      <c r="E62" s="11" t="s">
        <v>6508</v>
      </c>
      <c r="F62" s="11" t="s">
        <v>6516</v>
      </c>
      <c r="G62" s="11" t="s">
        <v>45</v>
      </c>
      <c r="H62" s="11">
        <v>59</v>
      </c>
      <c r="I62" s="13" t="str" cm="1">
        <f t="array" ref="I62">_xlfn.IFS(
  OR(ISBLANK(A62),ISBLANK(B62),ISBLANK(D62),ISBLANK(E62),ISBLANK(H62)),"Missing Value",
  D62&lt;0,"Review – Out of Range (Claim Amount)",
  H62&lt;0,"Review – Out of Range (Days to Process)",
  TRUE,"OK"
)</f>
        <v>OK</v>
      </c>
    </row>
    <row r="63" spans="1:9" ht="16.8" x14ac:dyDescent="0.3">
      <c r="A63" s="14" t="s">
        <v>6570</v>
      </c>
      <c r="B63" s="14" t="s">
        <v>4485</v>
      </c>
      <c r="C63" s="15">
        <v>45698</v>
      </c>
      <c r="D63" s="14">
        <v>86152.38</v>
      </c>
      <c r="E63" s="14" t="s">
        <v>6508</v>
      </c>
      <c r="F63" s="14" t="s">
        <v>6516</v>
      </c>
      <c r="G63" s="14" t="s">
        <v>45</v>
      </c>
      <c r="H63" s="14">
        <v>36</v>
      </c>
      <c r="I63" s="13" t="str" cm="1">
        <f t="array" ref="I63">_xlfn.IFS(
  OR(ISBLANK(A63),ISBLANK(B63),ISBLANK(D63),ISBLANK(E63),ISBLANK(H63)),"Missing Value",
  D63&lt;0,"Review – Out of Range (Claim Amount)",
  H63&lt;0,"Review – Out of Range (Days to Process)",
  TRUE,"OK"
)</f>
        <v>OK</v>
      </c>
    </row>
    <row r="64" spans="1:9" ht="16.8" x14ac:dyDescent="0.3">
      <c r="A64" s="11" t="s">
        <v>6571</v>
      </c>
      <c r="B64" s="11" t="s">
        <v>3890</v>
      </c>
      <c r="C64" s="12">
        <v>45457</v>
      </c>
      <c r="D64" s="11">
        <v>411616.47</v>
      </c>
      <c r="E64" s="11" t="s">
        <v>6505</v>
      </c>
      <c r="F64" s="11" t="s">
        <v>6506</v>
      </c>
      <c r="G64" s="11" t="s">
        <v>46</v>
      </c>
      <c r="H64" s="11">
        <v>8</v>
      </c>
      <c r="I64" s="13" t="str" cm="1">
        <f t="array" ref="I64">_xlfn.IFS(
  OR(ISBLANK(A64),ISBLANK(B64),ISBLANK(D64),ISBLANK(E64),ISBLANK(H64)),"Missing Value",
  D64&lt;0,"Review – Out of Range (Claim Amount)",
  H64&lt;0,"Review – Out of Range (Days to Process)",
  TRUE,"OK"
)</f>
        <v>OK</v>
      </c>
    </row>
    <row r="65" spans="1:9" ht="16.8" x14ac:dyDescent="0.3">
      <c r="A65" s="14" t="s">
        <v>6572</v>
      </c>
      <c r="B65" s="14" t="s">
        <v>3845</v>
      </c>
      <c r="C65" s="15">
        <v>45628</v>
      </c>
      <c r="D65" s="14">
        <v>345978.75</v>
      </c>
      <c r="E65" s="14" t="s">
        <v>6502</v>
      </c>
      <c r="F65" s="14" t="s">
        <v>6503</v>
      </c>
      <c r="G65" s="14" t="s">
        <v>45</v>
      </c>
      <c r="H65" s="14">
        <v>9</v>
      </c>
      <c r="I65" s="13" t="str" cm="1">
        <f t="array" ref="I65">_xlfn.IFS(
  OR(ISBLANK(A65),ISBLANK(B65),ISBLANK(D65),ISBLANK(E65),ISBLANK(H65)),"Missing Value",
  D65&lt;0,"Review – Out of Range (Claim Amount)",
  H65&lt;0,"Review – Out of Range (Days to Process)",
  TRUE,"OK"
)</f>
        <v>OK</v>
      </c>
    </row>
    <row r="66" spans="1:9" ht="16.8" x14ac:dyDescent="0.3">
      <c r="A66" s="11" t="s">
        <v>6573</v>
      </c>
      <c r="B66" s="11" t="s">
        <v>3769</v>
      </c>
      <c r="C66" s="12">
        <v>45531</v>
      </c>
      <c r="D66" s="11">
        <v>48118.03</v>
      </c>
      <c r="E66" s="11" t="s">
        <v>6508</v>
      </c>
      <c r="F66" s="11" t="s">
        <v>6516</v>
      </c>
      <c r="G66" s="11" t="s">
        <v>45</v>
      </c>
      <c r="H66" s="11">
        <v>18</v>
      </c>
      <c r="I66" s="13" t="str" cm="1">
        <f t="array" ref="I66">_xlfn.IFS(
  OR(ISBLANK(A66),ISBLANK(B66),ISBLANK(D66),ISBLANK(E66),ISBLANK(H66)),"Missing Value",
  D66&lt;0,"Review – Out of Range (Claim Amount)",
  H66&lt;0,"Review – Out of Range (Days to Process)",
  TRUE,"OK"
)</f>
        <v>OK</v>
      </c>
    </row>
    <row r="67" spans="1:9" ht="16.8" x14ac:dyDescent="0.3">
      <c r="A67" s="14" t="s">
        <v>6574</v>
      </c>
      <c r="B67" s="14" t="s">
        <v>5822</v>
      </c>
      <c r="C67" s="15">
        <v>45482</v>
      </c>
      <c r="D67" s="14">
        <v>308159.53999999998</v>
      </c>
      <c r="E67" s="14" t="s">
        <v>6505</v>
      </c>
      <c r="F67" s="14" t="s">
        <v>6509</v>
      </c>
      <c r="G67" s="14" t="s">
        <v>45</v>
      </c>
      <c r="H67" s="14">
        <v>17</v>
      </c>
      <c r="I67" s="13" t="str" cm="1">
        <f t="array" ref="I67">_xlfn.IFS(
  OR(ISBLANK(A67),ISBLANK(B67),ISBLANK(D67),ISBLANK(E67),ISBLANK(H67)),"Missing Value",
  D67&lt;0,"Review – Out of Range (Claim Amount)",
  H67&lt;0,"Review – Out of Range (Days to Process)",
  TRUE,"OK"
)</f>
        <v>OK</v>
      </c>
    </row>
    <row r="68" spans="1:9" ht="16.8" x14ac:dyDescent="0.3">
      <c r="A68" s="11" t="s">
        <v>6575</v>
      </c>
      <c r="B68" s="11" t="s">
        <v>3478</v>
      </c>
      <c r="C68" s="12">
        <v>45469</v>
      </c>
      <c r="D68" s="11">
        <v>97264.45</v>
      </c>
      <c r="E68" s="11" t="s">
        <v>6508</v>
      </c>
      <c r="F68" s="11" t="s">
        <v>6509</v>
      </c>
      <c r="G68" s="11" t="s">
        <v>46</v>
      </c>
      <c r="H68" s="11">
        <v>10</v>
      </c>
      <c r="I68" s="13" t="str" cm="1">
        <f t="array" ref="I68">_xlfn.IFS(
  OR(ISBLANK(A68),ISBLANK(B68),ISBLANK(D68),ISBLANK(E68),ISBLANK(H68)),"Missing Value",
  D68&lt;0,"Review – Out of Range (Claim Amount)",
  H68&lt;0,"Review – Out of Range (Days to Process)",
  TRUE,"OK"
)</f>
        <v>OK</v>
      </c>
    </row>
    <row r="69" spans="1:9" ht="16.8" x14ac:dyDescent="0.3">
      <c r="A69" s="14" t="s">
        <v>6576</v>
      </c>
      <c r="B69" s="14" t="s">
        <v>6190</v>
      </c>
      <c r="C69" s="15">
        <v>45154</v>
      </c>
      <c r="D69" s="14">
        <v>128300.14</v>
      </c>
      <c r="E69" s="14" t="s">
        <v>6505</v>
      </c>
      <c r="F69" s="14" t="s">
        <v>6509</v>
      </c>
      <c r="G69" s="14" t="s">
        <v>45</v>
      </c>
      <c r="H69" s="14">
        <v>42</v>
      </c>
      <c r="I69" s="13" t="str" cm="1">
        <f t="array" ref="I69">_xlfn.IFS(
  OR(ISBLANK(A69),ISBLANK(B69),ISBLANK(D69),ISBLANK(E69),ISBLANK(H69)),"Missing Value",
  D69&lt;0,"Review – Out of Range (Claim Amount)",
  H69&lt;0,"Review – Out of Range (Days to Process)",
  TRUE,"OK"
)</f>
        <v>OK</v>
      </c>
    </row>
    <row r="70" spans="1:9" ht="16.8" x14ac:dyDescent="0.3">
      <c r="A70" s="11" t="s">
        <v>6577</v>
      </c>
      <c r="B70" s="11" t="s">
        <v>5221</v>
      </c>
      <c r="C70" s="12">
        <v>45205</v>
      </c>
      <c r="D70" s="11">
        <v>462147.09</v>
      </c>
      <c r="E70" s="11" t="s">
        <v>6502</v>
      </c>
      <c r="F70" s="11" t="s">
        <v>6503</v>
      </c>
      <c r="G70" s="11" t="s">
        <v>45</v>
      </c>
      <c r="H70" s="11">
        <v>44</v>
      </c>
      <c r="I70" s="13" t="str" cm="1">
        <f t="array" ref="I70">_xlfn.IFS(
  OR(ISBLANK(A70),ISBLANK(B70),ISBLANK(D70),ISBLANK(E70),ISBLANK(H70)),"Missing Value",
  D70&lt;0,"Review – Out of Range (Claim Amount)",
  H70&lt;0,"Review – Out of Range (Days to Process)",
  TRUE,"OK"
)</f>
        <v>OK</v>
      </c>
    </row>
    <row r="71" spans="1:9" ht="16.8" x14ac:dyDescent="0.3">
      <c r="A71" s="14" t="s">
        <v>6578</v>
      </c>
      <c r="B71" s="14" t="s">
        <v>4026</v>
      </c>
      <c r="C71" s="15">
        <v>45341</v>
      </c>
      <c r="D71" s="14">
        <v>192823.07</v>
      </c>
      <c r="E71" s="14" t="s">
        <v>6508</v>
      </c>
      <c r="F71" s="14" t="s">
        <v>6511</v>
      </c>
      <c r="G71" s="14" t="s">
        <v>46</v>
      </c>
      <c r="H71" s="14">
        <v>50</v>
      </c>
      <c r="I71" s="13" t="str" cm="1">
        <f t="array" ref="I71">_xlfn.IFS(
  OR(ISBLANK(A71),ISBLANK(B71),ISBLANK(D71),ISBLANK(E71),ISBLANK(H71)),"Missing Value",
  D71&lt;0,"Review – Out of Range (Claim Amount)",
  H71&lt;0,"Review – Out of Range (Days to Process)",
  TRUE,"OK"
)</f>
        <v>OK</v>
      </c>
    </row>
    <row r="72" spans="1:9" ht="16.8" x14ac:dyDescent="0.3">
      <c r="A72" s="11" t="s">
        <v>6579</v>
      </c>
      <c r="B72" s="11" t="s">
        <v>6141</v>
      </c>
      <c r="C72" s="12">
        <v>45459</v>
      </c>
      <c r="D72" s="11">
        <v>88266.82</v>
      </c>
      <c r="E72" s="11" t="s">
        <v>6505</v>
      </c>
      <c r="F72" s="11" t="s">
        <v>6506</v>
      </c>
      <c r="G72" s="11" t="s">
        <v>45</v>
      </c>
      <c r="H72" s="11">
        <v>12</v>
      </c>
      <c r="I72" s="13" t="str" cm="1">
        <f t="array" ref="I72">_xlfn.IFS(
  OR(ISBLANK(A72),ISBLANK(B72),ISBLANK(D72),ISBLANK(E72),ISBLANK(H72)),"Missing Value",
  D72&lt;0,"Review – Out of Range (Claim Amount)",
  H72&lt;0,"Review – Out of Range (Days to Process)",
  TRUE,"OK"
)</f>
        <v>OK</v>
      </c>
    </row>
    <row r="73" spans="1:9" ht="16.8" x14ac:dyDescent="0.3">
      <c r="A73" s="14" t="s">
        <v>6580</v>
      </c>
      <c r="B73" s="14" t="s">
        <v>5764</v>
      </c>
      <c r="C73" s="15">
        <v>45458</v>
      </c>
      <c r="D73" s="14">
        <v>16861.39</v>
      </c>
      <c r="E73" s="14" t="s">
        <v>6502</v>
      </c>
      <c r="F73" s="14" t="s">
        <v>6503</v>
      </c>
      <c r="G73" s="14" t="s">
        <v>45</v>
      </c>
      <c r="H73" s="14">
        <v>19</v>
      </c>
      <c r="I73" s="13" t="str" cm="1">
        <f t="array" ref="I73">_xlfn.IFS(
  OR(ISBLANK(A73),ISBLANK(B73),ISBLANK(D73),ISBLANK(E73),ISBLANK(H73)),"Missing Value",
  D73&lt;0,"Review – Out of Range (Claim Amount)",
  H73&lt;0,"Review – Out of Range (Days to Process)",
  TRUE,"OK"
)</f>
        <v>OK</v>
      </c>
    </row>
    <row r="74" spans="1:9" ht="16.8" x14ac:dyDescent="0.3">
      <c r="A74" s="11" t="s">
        <v>6581</v>
      </c>
      <c r="B74" s="11" t="s">
        <v>5439</v>
      </c>
      <c r="C74" s="12">
        <v>45527</v>
      </c>
      <c r="D74" s="11">
        <v>309197.71000000002</v>
      </c>
      <c r="E74" s="11" t="s">
        <v>6508</v>
      </c>
      <c r="F74" s="11" t="s">
        <v>6511</v>
      </c>
      <c r="G74" s="11" t="s">
        <v>45</v>
      </c>
      <c r="H74" s="11">
        <v>4</v>
      </c>
      <c r="I74" s="13" t="str" cm="1">
        <f t="array" ref="I74">_xlfn.IFS(
  OR(ISBLANK(A74),ISBLANK(B74),ISBLANK(D74),ISBLANK(E74),ISBLANK(H74)),"Missing Value",
  D74&lt;0,"Review – Out of Range (Claim Amount)",
  H74&lt;0,"Review – Out of Range (Days to Process)",
  TRUE,"OK"
)</f>
        <v>OK</v>
      </c>
    </row>
    <row r="75" spans="1:9" ht="16.8" x14ac:dyDescent="0.3">
      <c r="A75" s="14" t="s">
        <v>6582</v>
      </c>
      <c r="B75" s="14" t="s">
        <v>3416</v>
      </c>
      <c r="C75" s="15">
        <v>45545</v>
      </c>
      <c r="D75" s="14">
        <v>50005.2</v>
      </c>
      <c r="E75" s="14" t="s">
        <v>6502</v>
      </c>
      <c r="F75" s="14" t="s">
        <v>6516</v>
      </c>
      <c r="G75" s="14" t="s">
        <v>45</v>
      </c>
      <c r="H75" s="14">
        <v>42</v>
      </c>
      <c r="I75" s="13" t="str" cm="1">
        <f t="array" ref="I75">_xlfn.IFS(
  OR(ISBLANK(A75),ISBLANK(B75),ISBLANK(D75),ISBLANK(E75),ISBLANK(H75)),"Missing Value",
  D75&lt;0,"Review – Out of Range (Claim Amount)",
  H75&lt;0,"Review – Out of Range (Days to Process)",
  TRUE,"OK"
)</f>
        <v>OK</v>
      </c>
    </row>
    <row r="76" spans="1:9" ht="16.8" x14ac:dyDescent="0.3">
      <c r="A76" s="11" t="s">
        <v>6583</v>
      </c>
      <c r="B76" s="11" t="s">
        <v>6117</v>
      </c>
      <c r="C76" s="12">
        <v>45157</v>
      </c>
      <c r="D76" s="11">
        <v>26489.24</v>
      </c>
      <c r="E76" s="11" t="s">
        <v>6505</v>
      </c>
      <c r="F76" s="11" t="s">
        <v>6511</v>
      </c>
      <c r="G76" s="11" t="s">
        <v>46</v>
      </c>
      <c r="H76" s="11">
        <v>32</v>
      </c>
      <c r="I76" s="13" t="str" cm="1">
        <f t="array" ref="I76">_xlfn.IFS(
  OR(ISBLANK(A76),ISBLANK(B76),ISBLANK(D76),ISBLANK(E76),ISBLANK(H76)),"Missing Value",
  D76&lt;0,"Review – Out of Range (Claim Amount)",
  H76&lt;0,"Review – Out of Range (Days to Process)",
  TRUE,"OK"
)</f>
        <v>OK</v>
      </c>
    </row>
    <row r="77" spans="1:9" ht="16.8" x14ac:dyDescent="0.3">
      <c r="A77" s="14" t="s">
        <v>6584</v>
      </c>
      <c r="B77" s="14" t="s">
        <v>5085</v>
      </c>
      <c r="C77" s="15">
        <v>45210</v>
      </c>
      <c r="D77" s="14">
        <v>336815.69</v>
      </c>
      <c r="E77" s="14" t="s">
        <v>6508</v>
      </c>
      <c r="F77" s="14" t="s">
        <v>6509</v>
      </c>
      <c r="G77" s="14" t="s">
        <v>46</v>
      </c>
      <c r="H77" s="14">
        <v>32</v>
      </c>
      <c r="I77" s="13" t="str" cm="1">
        <f t="array" ref="I77">_xlfn.IFS(
  OR(ISBLANK(A77),ISBLANK(B77),ISBLANK(D77),ISBLANK(E77),ISBLANK(H77)),"Missing Value",
  D77&lt;0,"Review – Out of Range (Claim Amount)",
  H77&lt;0,"Review – Out of Range (Days to Process)",
  TRUE,"OK"
)</f>
        <v>OK</v>
      </c>
    </row>
    <row r="78" spans="1:9" ht="16.8" x14ac:dyDescent="0.3">
      <c r="A78" s="11" t="s">
        <v>6585</v>
      </c>
      <c r="B78" s="11" t="s">
        <v>5237</v>
      </c>
      <c r="C78" s="12">
        <v>45562</v>
      </c>
      <c r="D78" s="11">
        <v>453099.96</v>
      </c>
      <c r="E78" s="11" t="s">
        <v>6502</v>
      </c>
      <c r="F78" s="11" t="s">
        <v>6511</v>
      </c>
      <c r="G78" s="11" t="s">
        <v>45</v>
      </c>
      <c r="H78" s="11">
        <v>21</v>
      </c>
      <c r="I78" s="13" t="str" cm="1">
        <f t="array" ref="I78">_xlfn.IFS(
  OR(ISBLANK(A78),ISBLANK(B78),ISBLANK(D78),ISBLANK(E78),ISBLANK(H78)),"Missing Value",
  D78&lt;0,"Review – Out of Range (Claim Amount)",
  H78&lt;0,"Review – Out of Range (Days to Process)",
  TRUE,"OK"
)</f>
        <v>OK</v>
      </c>
    </row>
    <row r="79" spans="1:9" ht="16.8" x14ac:dyDescent="0.3">
      <c r="A79" s="14" t="s">
        <v>6586</v>
      </c>
      <c r="B79" s="14" t="s">
        <v>3683</v>
      </c>
      <c r="C79" s="15">
        <v>45262</v>
      </c>
      <c r="D79" s="14">
        <v>133918.39999999999</v>
      </c>
      <c r="E79" s="14" t="s">
        <v>6502</v>
      </c>
      <c r="F79" s="14" t="s">
        <v>6506</v>
      </c>
      <c r="G79" s="14" t="s">
        <v>45</v>
      </c>
      <c r="H79" s="14">
        <v>18</v>
      </c>
      <c r="I79" s="13" t="str" cm="1">
        <f t="array" ref="I79">_xlfn.IFS(
  OR(ISBLANK(A79),ISBLANK(B79),ISBLANK(D79),ISBLANK(E79),ISBLANK(H79)),"Missing Value",
  D79&lt;0,"Review – Out of Range (Claim Amount)",
  H79&lt;0,"Review – Out of Range (Days to Process)",
  TRUE,"OK"
)</f>
        <v>OK</v>
      </c>
    </row>
    <row r="80" spans="1:9" ht="16.8" x14ac:dyDescent="0.3">
      <c r="A80" s="11" t="s">
        <v>6587</v>
      </c>
      <c r="B80" s="11" t="s">
        <v>4796</v>
      </c>
      <c r="C80" s="12">
        <v>45541</v>
      </c>
      <c r="D80" s="11">
        <v>121826.81</v>
      </c>
      <c r="E80" s="11" t="s">
        <v>6502</v>
      </c>
      <c r="F80" s="11" t="s">
        <v>6516</v>
      </c>
      <c r="G80" s="11" t="s">
        <v>45</v>
      </c>
      <c r="H80" s="11">
        <v>25</v>
      </c>
      <c r="I80" s="13" t="str" cm="1">
        <f t="array" ref="I80">_xlfn.IFS(
  OR(ISBLANK(A80),ISBLANK(B80),ISBLANK(D80),ISBLANK(E80),ISBLANK(H80)),"Missing Value",
  D80&lt;0,"Review – Out of Range (Claim Amount)",
  H80&lt;0,"Review – Out of Range (Days to Process)",
  TRUE,"OK"
)</f>
        <v>OK</v>
      </c>
    </row>
    <row r="81" spans="1:9" ht="16.8" x14ac:dyDescent="0.3">
      <c r="A81" s="14" t="s">
        <v>6588</v>
      </c>
      <c r="B81" s="14" t="s">
        <v>3682</v>
      </c>
      <c r="C81" s="15">
        <v>45251</v>
      </c>
      <c r="D81" s="14">
        <v>239290.7</v>
      </c>
      <c r="E81" s="14" t="s">
        <v>6502</v>
      </c>
      <c r="F81" s="14" t="s">
        <v>6511</v>
      </c>
      <c r="G81" s="14" t="s">
        <v>45</v>
      </c>
      <c r="H81" s="14">
        <v>57</v>
      </c>
      <c r="I81" s="13" t="str" cm="1">
        <f t="array" ref="I81">_xlfn.IFS(
  OR(ISBLANK(A81),ISBLANK(B81),ISBLANK(D81),ISBLANK(E81),ISBLANK(H81)),"Missing Value",
  D81&lt;0,"Review – Out of Range (Claim Amount)",
  H81&lt;0,"Review – Out of Range (Days to Process)",
  TRUE,"OK"
)</f>
        <v>OK</v>
      </c>
    </row>
    <row r="82" spans="1:9" ht="16.8" x14ac:dyDescent="0.3">
      <c r="A82" s="11" t="s">
        <v>6589</v>
      </c>
      <c r="B82" s="11" t="s">
        <v>6088</v>
      </c>
      <c r="C82" s="12">
        <v>45344</v>
      </c>
      <c r="D82" s="11">
        <v>39974.79</v>
      </c>
      <c r="E82" s="11" t="s">
        <v>6505</v>
      </c>
      <c r="F82" s="11" t="s">
        <v>6503</v>
      </c>
      <c r="G82" s="11" t="s">
        <v>45</v>
      </c>
      <c r="H82" s="11">
        <v>31</v>
      </c>
      <c r="I82" s="13" t="str" cm="1">
        <f t="array" ref="I82">_xlfn.IFS(
  OR(ISBLANK(A82),ISBLANK(B82),ISBLANK(D82),ISBLANK(E82),ISBLANK(H82)),"Missing Value",
  D82&lt;0,"Review – Out of Range (Claim Amount)",
  H82&lt;0,"Review – Out of Range (Days to Process)",
  TRUE,"OK"
)</f>
        <v>OK</v>
      </c>
    </row>
    <row r="83" spans="1:9" ht="16.8" x14ac:dyDescent="0.3">
      <c r="A83" s="14" t="s">
        <v>6590</v>
      </c>
      <c r="B83" s="14" t="s">
        <v>5401</v>
      </c>
      <c r="C83" s="15">
        <v>45594</v>
      </c>
      <c r="D83" s="14">
        <v>40452.32</v>
      </c>
      <c r="E83" s="14" t="s">
        <v>6502</v>
      </c>
      <c r="F83" s="14" t="s">
        <v>6511</v>
      </c>
      <c r="G83" s="14" t="s">
        <v>46</v>
      </c>
      <c r="H83" s="14">
        <v>36</v>
      </c>
      <c r="I83" s="13" t="str" cm="1">
        <f t="array" ref="I83">_xlfn.IFS(
  OR(ISBLANK(A83),ISBLANK(B83),ISBLANK(D83),ISBLANK(E83),ISBLANK(H83)),"Missing Value",
  D83&lt;0,"Review – Out of Range (Claim Amount)",
  H83&lt;0,"Review – Out of Range (Days to Process)",
  TRUE,"OK"
)</f>
        <v>OK</v>
      </c>
    </row>
    <row r="84" spans="1:9" ht="16.8" x14ac:dyDescent="0.3">
      <c r="A84" s="11" t="s">
        <v>6591</v>
      </c>
      <c r="B84" s="11" t="s">
        <v>5069</v>
      </c>
      <c r="C84" s="12">
        <v>45175</v>
      </c>
      <c r="D84" s="11">
        <v>263130.25</v>
      </c>
      <c r="E84" s="11" t="s">
        <v>6508</v>
      </c>
      <c r="F84" s="11" t="s">
        <v>6503</v>
      </c>
      <c r="G84" s="11" t="s">
        <v>45</v>
      </c>
      <c r="H84" s="11">
        <v>43</v>
      </c>
      <c r="I84" s="13" t="str" cm="1">
        <f t="array" ref="I84">_xlfn.IFS(
  OR(ISBLANK(A84),ISBLANK(B84),ISBLANK(D84),ISBLANK(E84),ISBLANK(H84)),"Missing Value",
  D84&lt;0,"Review – Out of Range (Claim Amount)",
  H84&lt;0,"Review – Out of Range (Days to Process)",
  TRUE,"OK"
)</f>
        <v>OK</v>
      </c>
    </row>
    <row r="85" spans="1:9" ht="16.8" x14ac:dyDescent="0.3">
      <c r="A85" s="14" t="s">
        <v>6592</v>
      </c>
      <c r="B85" s="14" t="s">
        <v>3682</v>
      </c>
      <c r="C85" s="15">
        <v>45313</v>
      </c>
      <c r="D85" s="14">
        <v>29898.86</v>
      </c>
      <c r="E85" s="14" t="s">
        <v>6505</v>
      </c>
      <c r="F85" s="14" t="s">
        <v>6506</v>
      </c>
      <c r="G85" s="14" t="s">
        <v>45</v>
      </c>
      <c r="H85" s="14">
        <v>8</v>
      </c>
      <c r="I85" s="13" t="str" cm="1">
        <f t="array" ref="I85">_xlfn.IFS(
  OR(ISBLANK(A85),ISBLANK(B85),ISBLANK(D85),ISBLANK(E85),ISBLANK(H85)),"Missing Value",
  D85&lt;0,"Review – Out of Range (Claim Amount)",
  H85&lt;0,"Review – Out of Range (Days to Process)",
  TRUE,"OK"
)</f>
        <v>OK</v>
      </c>
    </row>
    <row r="86" spans="1:9" ht="16.8" x14ac:dyDescent="0.3">
      <c r="A86" s="11" t="s">
        <v>6593</v>
      </c>
      <c r="B86" s="11" t="s">
        <v>3804</v>
      </c>
      <c r="C86" s="12">
        <v>44662</v>
      </c>
      <c r="D86" s="11">
        <v>259993.08</v>
      </c>
      <c r="E86" s="11" t="s">
        <v>6502</v>
      </c>
      <c r="F86" s="11" t="s">
        <v>6511</v>
      </c>
      <c r="G86" s="11" t="s">
        <v>46</v>
      </c>
      <c r="H86" s="11">
        <v>10</v>
      </c>
      <c r="I86" s="13" t="str" cm="1">
        <f t="array" ref="I86">_xlfn.IFS(
  OR(ISBLANK(A86),ISBLANK(B86),ISBLANK(D86),ISBLANK(E86),ISBLANK(H86)),"Missing Value",
  D86&lt;0,"Review – Out of Range (Claim Amount)",
  H86&lt;0,"Review – Out of Range (Days to Process)",
  TRUE,"OK"
)</f>
        <v>OK</v>
      </c>
    </row>
    <row r="87" spans="1:9" ht="16.8" x14ac:dyDescent="0.3">
      <c r="A87" s="14" t="s">
        <v>6594</v>
      </c>
      <c r="B87" s="14" t="s">
        <v>4248</v>
      </c>
      <c r="C87" s="15">
        <v>44834</v>
      </c>
      <c r="D87" s="14">
        <v>282324.3</v>
      </c>
      <c r="E87" s="14" t="s">
        <v>6502</v>
      </c>
      <c r="F87" s="14" t="s">
        <v>6503</v>
      </c>
      <c r="G87" s="14" t="s">
        <v>45</v>
      </c>
      <c r="H87" s="14">
        <v>16</v>
      </c>
      <c r="I87" s="13" t="str" cm="1">
        <f t="array" ref="I87">_xlfn.IFS(
  OR(ISBLANK(A87),ISBLANK(B87),ISBLANK(D87),ISBLANK(E87),ISBLANK(H87)),"Missing Value",
  D87&lt;0,"Review – Out of Range (Claim Amount)",
  H87&lt;0,"Review – Out of Range (Days to Process)",
  TRUE,"OK"
)</f>
        <v>OK</v>
      </c>
    </row>
    <row r="88" spans="1:9" ht="16.8" x14ac:dyDescent="0.3">
      <c r="A88" s="11" t="s">
        <v>6595</v>
      </c>
      <c r="B88" s="11" t="s">
        <v>4615</v>
      </c>
      <c r="C88" s="12">
        <v>44565</v>
      </c>
      <c r="D88" s="11">
        <v>415196.39</v>
      </c>
      <c r="E88" s="11" t="s">
        <v>6505</v>
      </c>
      <c r="F88" s="11" t="s">
        <v>6509</v>
      </c>
      <c r="G88" s="11" t="s">
        <v>45</v>
      </c>
      <c r="H88" s="11">
        <v>29</v>
      </c>
      <c r="I88" s="13" t="str" cm="1">
        <f t="array" ref="I88">_xlfn.IFS(
  OR(ISBLANK(A88),ISBLANK(B88),ISBLANK(D88),ISBLANK(E88),ISBLANK(H88)),"Missing Value",
  D88&lt;0,"Review – Out of Range (Claim Amount)",
  H88&lt;0,"Review – Out of Range (Days to Process)",
  TRUE,"OK"
)</f>
        <v>OK</v>
      </c>
    </row>
    <row r="89" spans="1:9" ht="16.8" x14ac:dyDescent="0.3">
      <c r="A89" s="14" t="s">
        <v>6596</v>
      </c>
      <c r="B89" s="14" t="s">
        <v>3932</v>
      </c>
      <c r="C89" s="15">
        <v>45276</v>
      </c>
      <c r="D89" s="14">
        <v>362825.55</v>
      </c>
      <c r="E89" s="14" t="s">
        <v>6508</v>
      </c>
      <c r="F89" s="14" t="s">
        <v>6509</v>
      </c>
      <c r="G89" s="14" t="s">
        <v>46</v>
      </c>
      <c r="H89" s="14">
        <v>6</v>
      </c>
      <c r="I89" s="13" t="str" cm="1">
        <f t="array" ref="I89">_xlfn.IFS(
  OR(ISBLANK(A89),ISBLANK(B89),ISBLANK(D89),ISBLANK(E89),ISBLANK(H89)),"Missing Value",
  D89&lt;0,"Review – Out of Range (Claim Amount)",
  H89&lt;0,"Review – Out of Range (Days to Process)",
  TRUE,"OK"
)</f>
        <v>OK</v>
      </c>
    </row>
    <row r="90" spans="1:9" ht="16.8" x14ac:dyDescent="0.3">
      <c r="A90" s="11" t="s">
        <v>6597</v>
      </c>
      <c r="B90" s="11" t="s">
        <v>6192</v>
      </c>
      <c r="C90" s="12">
        <v>45739</v>
      </c>
      <c r="D90" s="11">
        <v>109215.32</v>
      </c>
      <c r="E90" s="11" t="s">
        <v>6502</v>
      </c>
      <c r="F90" s="11" t="s">
        <v>6511</v>
      </c>
      <c r="G90" s="11" t="s">
        <v>46</v>
      </c>
      <c r="H90" s="11">
        <v>46</v>
      </c>
      <c r="I90" s="13" t="str" cm="1">
        <f t="array" ref="I90">_xlfn.IFS(
  OR(ISBLANK(A90),ISBLANK(B90),ISBLANK(D90),ISBLANK(E90),ISBLANK(H90)),"Missing Value",
  D90&lt;0,"Review – Out of Range (Claim Amount)",
  H90&lt;0,"Review – Out of Range (Days to Process)",
  TRUE,"OK"
)</f>
        <v>OK</v>
      </c>
    </row>
    <row r="91" spans="1:9" ht="16.8" x14ac:dyDescent="0.3">
      <c r="A91" s="14" t="s">
        <v>6598</v>
      </c>
      <c r="B91" s="14" t="s">
        <v>5881</v>
      </c>
      <c r="C91" s="15">
        <v>45475</v>
      </c>
      <c r="D91" s="14">
        <v>426039.67</v>
      </c>
      <c r="E91" s="14" t="s">
        <v>6505</v>
      </c>
      <c r="F91" s="14" t="s">
        <v>6509</v>
      </c>
      <c r="G91" s="14" t="s">
        <v>46</v>
      </c>
      <c r="H91" s="14">
        <v>55</v>
      </c>
      <c r="I91" s="13" t="str" cm="1">
        <f t="array" ref="I91">_xlfn.IFS(
  OR(ISBLANK(A91),ISBLANK(B91),ISBLANK(D91),ISBLANK(E91),ISBLANK(H91)),"Missing Value",
  D91&lt;0,"Review – Out of Range (Claim Amount)",
  H91&lt;0,"Review – Out of Range (Days to Process)",
  TRUE,"OK"
)</f>
        <v>OK</v>
      </c>
    </row>
    <row r="92" spans="1:9" ht="16.8" x14ac:dyDescent="0.3">
      <c r="A92" s="11" t="s">
        <v>6599</v>
      </c>
      <c r="B92" s="11" t="s">
        <v>4872</v>
      </c>
      <c r="C92" s="12">
        <v>45801</v>
      </c>
      <c r="D92" s="11">
        <v>102228.31</v>
      </c>
      <c r="E92" s="11" t="s">
        <v>6508</v>
      </c>
      <c r="F92" s="11" t="s">
        <v>6511</v>
      </c>
      <c r="G92" s="11" t="s">
        <v>45</v>
      </c>
      <c r="H92" s="11">
        <v>9</v>
      </c>
      <c r="I92" s="13" t="str" cm="1">
        <f t="array" ref="I92">_xlfn.IFS(
  OR(ISBLANK(A92),ISBLANK(B92),ISBLANK(D92),ISBLANK(E92),ISBLANK(H92)),"Missing Value",
  D92&lt;0,"Review – Out of Range (Claim Amount)",
  H92&lt;0,"Review – Out of Range (Days to Process)",
  TRUE,"OK"
)</f>
        <v>OK</v>
      </c>
    </row>
    <row r="93" spans="1:9" ht="16.8" x14ac:dyDescent="0.3">
      <c r="A93" s="14" t="s">
        <v>6600</v>
      </c>
      <c r="B93" s="14" t="s">
        <v>5422</v>
      </c>
      <c r="C93" s="15">
        <v>44404</v>
      </c>
      <c r="D93" s="14">
        <v>164633.69</v>
      </c>
      <c r="E93" s="14" t="s">
        <v>6502</v>
      </c>
      <c r="F93" s="14" t="s">
        <v>6511</v>
      </c>
      <c r="G93" s="14" t="s">
        <v>45</v>
      </c>
      <c r="H93" s="14">
        <v>28</v>
      </c>
      <c r="I93" s="13" t="str" cm="1">
        <f t="array" ref="I93">_xlfn.IFS(
  OR(ISBLANK(A93),ISBLANK(B93),ISBLANK(D93),ISBLANK(E93),ISBLANK(H93)),"Missing Value",
  D93&lt;0,"Review – Out of Range (Claim Amount)",
  H93&lt;0,"Review – Out of Range (Days to Process)",
  TRUE,"OK"
)</f>
        <v>OK</v>
      </c>
    </row>
    <row r="94" spans="1:9" ht="16.8" x14ac:dyDescent="0.3">
      <c r="A94" s="11" t="s">
        <v>6601</v>
      </c>
      <c r="B94" s="11" t="s">
        <v>4748</v>
      </c>
      <c r="C94" s="12">
        <v>44792</v>
      </c>
      <c r="D94" s="11">
        <v>436651.52000000002</v>
      </c>
      <c r="E94" s="11" t="s">
        <v>6505</v>
      </c>
      <c r="F94" s="11" t="s">
        <v>6511</v>
      </c>
      <c r="G94" s="11" t="s">
        <v>46</v>
      </c>
      <c r="H94" s="11">
        <v>59</v>
      </c>
      <c r="I94" s="13" t="str" cm="1">
        <f t="array" ref="I94">_xlfn.IFS(
  OR(ISBLANK(A94),ISBLANK(B94),ISBLANK(D94),ISBLANK(E94),ISBLANK(H94)),"Missing Value",
  D94&lt;0,"Review – Out of Range (Claim Amount)",
  H94&lt;0,"Review – Out of Range (Days to Process)",
  TRUE,"OK"
)</f>
        <v>OK</v>
      </c>
    </row>
    <row r="95" spans="1:9" ht="16.8" x14ac:dyDescent="0.3">
      <c r="A95" s="14" t="s">
        <v>6602</v>
      </c>
      <c r="B95" s="14" t="s">
        <v>5692</v>
      </c>
      <c r="C95" s="15">
        <v>45201</v>
      </c>
      <c r="D95" s="14">
        <v>217480.8</v>
      </c>
      <c r="E95" s="14" t="s">
        <v>6505</v>
      </c>
      <c r="F95" s="14" t="s">
        <v>6506</v>
      </c>
      <c r="G95" s="14" t="s">
        <v>45</v>
      </c>
      <c r="H95" s="14">
        <v>30</v>
      </c>
      <c r="I95" s="13" t="str" cm="1">
        <f t="array" ref="I95">_xlfn.IFS(
  OR(ISBLANK(A95),ISBLANK(B95),ISBLANK(D95),ISBLANK(E95),ISBLANK(H95)),"Missing Value",
  D95&lt;0,"Review – Out of Range (Claim Amount)",
  H95&lt;0,"Review – Out of Range (Days to Process)",
  TRUE,"OK"
)</f>
        <v>OK</v>
      </c>
    </row>
    <row r="96" spans="1:9" ht="16.8" x14ac:dyDescent="0.3">
      <c r="A96" s="11" t="s">
        <v>6603</v>
      </c>
      <c r="B96" s="11" t="s">
        <v>5516</v>
      </c>
      <c r="C96" s="12">
        <v>45139</v>
      </c>
      <c r="D96" s="11">
        <v>341474.05</v>
      </c>
      <c r="E96" s="11" t="s">
        <v>6508</v>
      </c>
      <c r="F96" s="11" t="s">
        <v>6509</v>
      </c>
      <c r="G96" s="11" t="s">
        <v>46</v>
      </c>
      <c r="H96" s="11">
        <v>12</v>
      </c>
      <c r="I96" s="13" t="str" cm="1">
        <f t="array" ref="I96">_xlfn.IFS(
  OR(ISBLANK(A96),ISBLANK(B96),ISBLANK(D96),ISBLANK(E96),ISBLANK(H96)),"Missing Value",
  D96&lt;0,"Review – Out of Range (Claim Amount)",
  H96&lt;0,"Review – Out of Range (Days to Process)",
  TRUE,"OK"
)</f>
        <v>OK</v>
      </c>
    </row>
    <row r="97" spans="1:9" ht="16.8" x14ac:dyDescent="0.3">
      <c r="A97" s="14" t="s">
        <v>6604</v>
      </c>
      <c r="B97" s="14" t="s">
        <v>3681</v>
      </c>
      <c r="C97" s="15">
        <v>45207</v>
      </c>
      <c r="D97" s="14">
        <v>256398.09</v>
      </c>
      <c r="E97" s="14" t="s">
        <v>6505</v>
      </c>
      <c r="F97" s="14" t="s">
        <v>6516</v>
      </c>
      <c r="G97" s="14" t="s">
        <v>46</v>
      </c>
      <c r="H97" s="14">
        <v>44</v>
      </c>
      <c r="I97" s="13" t="str" cm="1">
        <f t="array" ref="I97">_xlfn.IFS(
  OR(ISBLANK(A97),ISBLANK(B97),ISBLANK(D97),ISBLANK(E97),ISBLANK(H97)),"Missing Value",
  D97&lt;0,"Review – Out of Range (Claim Amount)",
  H97&lt;0,"Review – Out of Range (Days to Process)",
  TRUE,"OK"
)</f>
        <v>OK</v>
      </c>
    </row>
    <row r="98" spans="1:9" ht="16.8" x14ac:dyDescent="0.3">
      <c r="A98" s="11" t="s">
        <v>6605</v>
      </c>
      <c r="B98" s="11" t="s">
        <v>5887</v>
      </c>
      <c r="C98" s="12">
        <v>44787</v>
      </c>
      <c r="D98" s="11">
        <v>10635.02</v>
      </c>
      <c r="E98" s="11" t="s">
        <v>6505</v>
      </c>
      <c r="F98" s="11" t="s">
        <v>6516</v>
      </c>
      <c r="G98" s="11" t="s">
        <v>45</v>
      </c>
      <c r="H98" s="11">
        <v>4</v>
      </c>
      <c r="I98" s="13" t="str" cm="1">
        <f t="array" ref="I98">_xlfn.IFS(
  OR(ISBLANK(A98),ISBLANK(B98),ISBLANK(D98),ISBLANK(E98),ISBLANK(H98)),"Missing Value",
  D98&lt;0,"Review – Out of Range (Claim Amount)",
  H98&lt;0,"Review – Out of Range (Days to Process)",
  TRUE,"OK"
)</f>
        <v>OK</v>
      </c>
    </row>
    <row r="99" spans="1:9" ht="16.8" x14ac:dyDescent="0.3">
      <c r="A99" s="14" t="s">
        <v>6606</v>
      </c>
      <c r="B99" s="14" t="s">
        <v>5617</v>
      </c>
      <c r="C99" s="15">
        <v>44870</v>
      </c>
      <c r="D99" s="14">
        <v>107740.44</v>
      </c>
      <c r="E99" s="14" t="s">
        <v>6502</v>
      </c>
      <c r="F99" s="14" t="s">
        <v>6511</v>
      </c>
      <c r="G99" s="14" t="s">
        <v>46</v>
      </c>
      <c r="H99" s="14">
        <v>12</v>
      </c>
      <c r="I99" s="13" t="str" cm="1">
        <f t="array" ref="I99">_xlfn.IFS(
  OR(ISBLANK(A99),ISBLANK(B99),ISBLANK(D99),ISBLANK(E99),ISBLANK(H99)),"Missing Value",
  D99&lt;0,"Review – Out of Range (Claim Amount)",
  H99&lt;0,"Review – Out of Range (Days to Process)",
  TRUE,"OK"
)</f>
        <v>OK</v>
      </c>
    </row>
    <row r="100" spans="1:9" ht="16.8" x14ac:dyDescent="0.3">
      <c r="A100" s="11" t="s">
        <v>6607</v>
      </c>
      <c r="B100" s="11" t="s">
        <v>6386</v>
      </c>
      <c r="C100" s="12">
        <v>45328</v>
      </c>
      <c r="D100" s="11">
        <v>256866.78</v>
      </c>
      <c r="E100" s="11" t="s">
        <v>6505</v>
      </c>
      <c r="F100" s="11" t="s">
        <v>6516</v>
      </c>
      <c r="G100" s="11" t="s">
        <v>45</v>
      </c>
      <c r="H100" s="11">
        <v>16</v>
      </c>
      <c r="I100" s="13" t="str" cm="1">
        <f t="array" ref="I100">_xlfn.IFS(
  OR(ISBLANK(A100),ISBLANK(B100),ISBLANK(D100),ISBLANK(E100),ISBLANK(H100)),"Missing Value",
  D100&lt;0,"Review – Out of Range (Claim Amount)",
  H100&lt;0,"Review – Out of Range (Days to Process)",
  TRUE,"OK"
)</f>
        <v>OK</v>
      </c>
    </row>
    <row r="101" spans="1:9" ht="16.8" x14ac:dyDescent="0.3">
      <c r="A101" s="14" t="s">
        <v>6608</v>
      </c>
      <c r="B101" s="14" t="s">
        <v>4130</v>
      </c>
      <c r="C101" s="15">
        <v>45503</v>
      </c>
      <c r="D101" s="14">
        <v>458792.01</v>
      </c>
      <c r="E101" s="14" t="s">
        <v>6502</v>
      </c>
      <c r="F101" s="14" t="s">
        <v>6516</v>
      </c>
      <c r="G101" s="14" t="s">
        <v>46</v>
      </c>
      <c r="H101" s="14">
        <v>29</v>
      </c>
      <c r="I101" s="13" t="str" cm="1">
        <f t="array" ref="I101">_xlfn.IFS(
  OR(ISBLANK(A101),ISBLANK(B101),ISBLANK(D101),ISBLANK(E101),ISBLANK(H101)),"Missing Value",
  D101&lt;0,"Review – Out of Range (Claim Amount)",
  H101&lt;0,"Review – Out of Range (Days to Process)",
  TRUE,"OK"
)</f>
        <v>OK</v>
      </c>
    </row>
    <row r="102" spans="1:9" ht="16.8" x14ac:dyDescent="0.3">
      <c r="A102" s="11" t="s">
        <v>6609</v>
      </c>
      <c r="B102" s="11" t="s">
        <v>3872</v>
      </c>
      <c r="C102" s="12">
        <v>44592</v>
      </c>
      <c r="D102" s="11">
        <v>152733.62</v>
      </c>
      <c r="E102" s="11" t="s">
        <v>6502</v>
      </c>
      <c r="F102" s="11" t="s">
        <v>6506</v>
      </c>
      <c r="G102" s="11" t="s">
        <v>46</v>
      </c>
      <c r="H102" s="11">
        <v>9</v>
      </c>
      <c r="I102" s="13" t="str" cm="1">
        <f t="array" ref="I102">_xlfn.IFS(
  OR(ISBLANK(A102),ISBLANK(B102),ISBLANK(D102),ISBLANK(E102),ISBLANK(H102)),"Missing Value",
  D102&lt;0,"Review – Out of Range (Claim Amount)",
  H102&lt;0,"Review – Out of Range (Days to Process)",
  TRUE,"OK"
)</f>
        <v>OK</v>
      </c>
    </row>
    <row r="103" spans="1:9" ht="16.8" x14ac:dyDescent="0.3">
      <c r="A103" s="14" t="s">
        <v>6610</v>
      </c>
      <c r="B103" s="14" t="s">
        <v>6147</v>
      </c>
      <c r="C103" s="15">
        <v>44971</v>
      </c>
      <c r="D103" s="14">
        <v>61139.51</v>
      </c>
      <c r="E103" s="14" t="s">
        <v>6502</v>
      </c>
      <c r="F103" s="14" t="s">
        <v>6516</v>
      </c>
      <c r="G103" s="14" t="s">
        <v>45</v>
      </c>
      <c r="H103" s="14">
        <v>39</v>
      </c>
      <c r="I103" s="13" t="str" cm="1">
        <f t="array" ref="I103">_xlfn.IFS(
  OR(ISBLANK(A103),ISBLANK(B103),ISBLANK(D103),ISBLANK(E103),ISBLANK(H103)),"Missing Value",
  D103&lt;0,"Review – Out of Range (Claim Amount)",
  H103&lt;0,"Review – Out of Range (Days to Process)",
  TRUE,"OK"
)</f>
        <v>OK</v>
      </c>
    </row>
    <row r="104" spans="1:9" ht="16.8" x14ac:dyDescent="0.3">
      <c r="A104" s="11" t="s">
        <v>6611</v>
      </c>
      <c r="B104" s="11" t="s">
        <v>4627</v>
      </c>
      <c r="C104" s="12">
        <v>45470</v>
      </c>
      <c r="D104" s="11">
        <v>476174.32</v>
      </c>
      <c r="E104" s="11" t="s">
        <v>6508</v>
      </c>
      <c r="F104" s="11" t="s">
        <v>6516</v>
      </c>
      <c r="G104" s="11" t="s">
        <v>45</v>
      </c>
      <c r="H104" s="11">
        <v>28</v>
      </c>
      <c r="I104" s="13" t="str" cm="1">
        <f t="array" ref="I104">_xlfn.IFS(
  OR(ISBLANK(A104),ISBLANK(B104),ISBLANK(D104),ISBLANK(E104),ISBLANK(H104)),"Missing Value",
  D104&lt;0,"Review – Out of Range (Claim Amount)",
  H104&lt;0,"Review – Out of Range (Days to Process)",
  TRUE,"OK"
)</f>
        <v>OK</v>
      </c>
    </row>
    <row r="105" spans="1:9" ht="16.8" x14ac:dyDescent="0.3">
      <c r="A105" s="14" t="s">
        <v>6612</v>
      </c>
      <c r="B105" s="14" t="s">
        <v>6248</v>
      </c>
      <c r="C105" s="15">
        <v>45485</v>
      </c>
      <c r="D105" s="14">
        <v>92787.13</v>
      </c>
      <c r="E105" s="14" t="s">
        <v>6502</v>
      </c>
      <c r="F105" s="14" t="s">
        <v>6516</v>
      </c>
      <c r="G105" s="14" t="s">
        <v>45</v>
      </c>
      <c r="H105" s="14">
        <v>28</v>
      </c>
      <c r="I105" s="13" t="str" cm="1">
        <f t="array" ref="I105">_xlfn.IFS(
  OR(ISBLANK(A105),ISBLANK(B105),ISBLANK(D105),ISBLANK(E105),ISBLANK(H105)),"Missing Value",
  D105&lt;0,"Review – Out of Range (Claim Amount)",
  H105&lt;0,"Review – Out of Range (Days to Process)",
  TRUE,"OK"
)</f>
        <v>OK</v>
      </c>
    </row>
    <row r="106" spans="1:9" ht="16.8" x14ac:dyDescent="0.3">
      <c r="A106" s="11" t="s">
        <v>6613</v>
      </c>
      <c r="B106" s="11" t="s">
        <v>5379</v>
      </c>
      <c r="C106" s="12">
        <v>45369</v>
      </c>
      <c r="D106" s="11">
        <v>295545.45</v>
      </c>
      <c r="E106" s="11" t="s">
        <v>6508</v>
      </c>
      <c r="F106" s="11" t="s">
        <v>6509</v>
      </c>
      <c r="G106" s="11" t="s">
        <v>45</v>
      </c>
      <c r="H106" s="11">
        <v>12</v>
      </c>
      <c r="I106" s="13" t="str" cm="1">
        <f t="array" ref="I106">_xlfn.IFS(
  OR(ISBLANK(A106),ISBLANK(B106),ISBLANK(D106),ISBLANK(E106),ISBLANK(H106)),"Missing Value",
  D106&lt;0,"Review – Out of Range (Claim Amount)",
  H106&lt;0,"Review – Out of Range (Days to Process)",
  TRUE,"OK"
)</f>
        <v>OK</v>
      </c>
    </row>
    <row r="107" spans="1:9" ht="16.8" x14ac:dyDescent="0.3">
      <c r="A107" s="14" t="s">
        <v>6614</v>
      </c>
      <c r="B107" s="14" t="s">
        <v>4472</v>
      </c>
      <c r="C107" s="15">
        <v>45541</v>
      </c>
      <c r="D107" s="14">
        <v>306260.24</v>
      </c>
      <c r="E107" s="14" t="s">
        <v>6505</v>
      </c>
      <c r="F107" s="14" t="s">
        <v>6511</v>
      </c>
      <c r="G107" s="14" t="s">
        <v>45</v>
      </c>
      <c r="H107" s="14">
        <v>3</v>
      </c>
      <c r="I107" s="13" t="str" cm="1">
        <f t="array" ref="I107">_xlfn.IFS(
  OR(ISBLANK(A107),ISBLANK(B107),ISBLANK(D107),ISBLANK(E107),ISBLANK(H107)),"Missing Value",
  D107&lt;0,"Review – Out of Range (Claim Amount)",
  H107&lt;0,"Review – Out of Range (Days to Process)",
  TRUE,"OK"
)</f>
        <v>OK</v>
      </c>
    </row>
    <row r="108" spans="1:9" ht="16.8" x14ac:dyDescent="0.3">
      <c r="A108" s="11" t="s">
        <v>6615</v>
      </c>
      <c r="B108" s="11" t="s">
        <v>6418</v>
      </c>
      <c r="C108" s="12">
        <v>44967</v>
      </c>
      <c r="D108" s="11">
        <v>364034.51</v>
      </c>
      <c r="E108" s="11" t="s">
        <v>6508</v>
      </c>
      <c r="F108" s="11" t="s">
        <v>6509</v>
      </c>
      <c r="G108" s="11" t="s">
        <v>45</v>
      </c>
      <c r="H108" s="11">
        <v>28</v>
      </c>
      <c r="I108" s="13" t="str" cm="1">
        <f t="array" ref="I108">_xlfn.IFS(
  OR(ISBLANK(A108),ISBLANK(B108),ISBLANK(D108),ISBLANK(E108),ISBLANK(H108)),"Missing Value",
  D108&lt;0,"Review – Out of Range (Claim Amount)",
  H108&lt;0,"Review – Out of Range (Days to Process)",
  TRUE,"OK"
)</f>
        <v>OK</v>
      </c>
    </row>
    <row r="109" spans="1:9" ht="16.8" x14ac:dyDescent="0.3">
      <c r="A109" s="14" t="s">
        <v>6616</v>
      </c>
      <c r="B109" s="14" t="s">
        <v>4134</v>
      </c>
      <c r="C109" s="15">
        <v>45774</v>
      </c>
      <c r="D109" s="14">
        <v>184869.23</v>
      </c>
      <c r="E109" s="14" t="s">
        <v>6502</v>
      </c>
      <c r="F109" s="14" t="s">
        <v>6503</v>
      </c>
      <c r="G109" s="14" t="s">
        <v>45</v>
      </c>
      <c r="H109" s="14">
        <v>8</v>
      </c>
      <c r="I109" s="13" t="str" cm="1">
        <f t="array" ref="I109">_xlfn.IFS(
  OR(ISBLANK(A109),ISBLANK(B109),ISBLANK(D109),ISBLANK(E109),ISBLANK(H109)),"Missing Value",
  D109&lt;0,"Review – Out of Range (Claim Amount)",
  H109&lt;0,"Review – Out of Range (Days to Process)",
  TRUE,"OK"
)</f>
        <v>OK</v>
      </c>
    </row>
    <row r="110" spans="1:9" ht="16.8" x14ac:dyDescent="0.3">
      <c r="A110" s="11" t="s">
        <v>6617</v>
      </c>
      <c r="B110" s="11" t="s">
        <v>4042</v>
      </c>
      <c r="C110" s="12">
        <v>44787</v>
      </c>
      <c r="D110" s="11">
        <v>221156.11</v>
      </c>
      <c r="E110" s="11" t="s">
        <v>6508</v>
      </c>
      <c r="F110" s="11" t="s">
        <v>6511</v>
      </c>
      <c r="G110" s="11" t="s">
        <v>46</v>
      </c>
      <c r="H110" s="11">
        <v>23</v>
      </c>
      <c r="I110" s="13" t="str" cm="1">
        <f t="array" ref="I110">_xlfn.IFS(
  OR(ISBLANK(A110),ISBLANK(B110),ISBLANK(D110),ISBLANK(E110),ISBLANK(H110)),"Missing Value",
  D110&lt;0,"Review – Out of Range (Claim Amount)",
  H110&lt;0,"Review – Out of Range (Days to Process)",
  TRUE,"OK"
)</f>
        <v>OK</v>
      </c>
    </row>
    <row r="111" spans="1:9" ht="16.8" x14ac:dyDescent="0.3">
      <c r="A111" s="14" t="s">
        <v>6618</v>
      </c>
      <c r="B111" s="14" t="s">
        <v>4104</v>
      </c>
      <c r="C111" s="15">
        <v>45403</v>
      </c>
      <c r="D111" s="14">
        <v>258943.83</v>
      </c>
      <c r="E111" s="14" t="s">
        <v>6505</v>
      </c>
      <c r="F111" s="14" t="s">
        <v>6506</v>
      </c>
      <c r="G111" s="14" t="s">
        <v>46</v>
      </c>
      <c r="H111" s="14">
        <v>52</v>
      </c>
      <c r="I111" s="13" t="str" cm="1">
        <f t="array" ref="I111">_xlfn.IFS(
  OR(ISBLANK(A111),ISBLANK(B111),ISBLANK(D111),ISBLANK(E111),ISBLANK(H111)),"Missing Value",
  D111&lt;0,"Review – Out of Range (Claim Amount)",
  H111&lt;0,"Review – Out of Range (Days to Process)",
  TRUE,"OK"
)</f>
        <v>OK</v>
      </c>
    </row>
    <row r="112" spans="1:9" ht="16.8" x14ac:dyDescent="0.3">
      <c r="A112" s="11" t="s">
        <v>6619</v>
      </c>
      <c r="B112" s="11" t="s">
        <v>4355</v>
      </c>
      <c r="C112" s="12">
        <v>44115</v>
      </c>
      <c r="D112" s="11">
        <v>213356.52</v>
      </c>
      <c r="E112" s="11" t="s">
        <v>6505</v>
      </c>
      <c r="F112" s="11" t="s">
        <v>6509</v>
      </c>
      <c r="G112" s="11" t="s">
        <v>46</v>
      </c>
      <c r="H112" s="11">
        <v>50</v>
      </c>
      <c r="I112" s="13" t="str" cm="1">
        <f t="array" ref="I112">_xlfn.IFS(
  OR(ISBLANK(A112),ISBLANK(B112),ISBLANK(D112),ISBLANK(E112),ISBLANK(H112)),"Missing Value",
  D112&lt;0,"Review – Out of Range (Claim Amount)",
  H112&lt;0,"Review – Out of Range (Days to Process)",
  TRUE,"OK"
)</f>
        <v>OK</v>
      </c>
    </row>
    <row r="113" spans="1:9" ht="16.8" x14ac:dyDescent="0.3">
      <c r="A113" s="14" t="s">
        <v>6620</v>
      </c>
      <c r="B113" s="14" t="s">
        <v>4408</v>
      </c>
      <c r="C113" s="15">
        <v>45444</v>
      </c>
      <c r="D113" s="14">
        <v>112452.52</v>
      </c>
      <c r="E113" s="14" t="s">
        <v>6508</v>
      </c>
      <c r="F113" s="14" t="s">
        <v>6516</v>
      </c>
      <c r="G113" s="14" t="s">
        <v>45</v>
      </c>
      <c r="H113" s="14">
        <v>14</v>
      </c>
      <c r="I113" s="13" t="str" cm="1">
        <f t="array" ref="I113">_xlfn.IFS(
  OR(ISBLANK(A113),ISBLANK(B113),ISBLANK(D113),ISBLANK(E113),ISBLANK(H113)),"Missing Value",
  D113&lt;0,"Review – Out of Range (Claim Amount)",
  H113&lt;0,"Review – Out of Range (Days to Process)",
  TRUE,"OK"
)</f>
        <v>OK</v>
      </c>
    </row>
    <row r="114" spans="1:9" ht="16.8" x14ac:dyDescent="0.3">
      <c r="A114" s="11" t="s">
        <v>6621</v>
      </c>
      <c r="B114" s="11" t="s">
        <v>4325</v>
      </c>
      <c r="C114" s="12">
        <v>44186</v>
      </c>
      <c r="D114" s="11">
        <v>488577.23</v>
      </c>
      <c r="E114" s="11" t="s">
        <v>6505</v>
      </c>
      <c r="F114" s="11" t="s">
        <v>6503</v>
      </c>
      <c r="G114" s="11" t="s">
        <v>45</v>
      </c>
      <c r="H114" s="11">
        <v>12</v>
      </c>
      <c r="I114" s="13" t="str" cm="1">
        <f t="array" ref="I114">_xlfn.IFS(
  OR(ISBLANK(A114),ISBLANK(B114),ISBLANK(D114),ISBLANK(E114),ISBLANK(H114)),"Missing Value",
  D114&lt;0,"Review – Out of Range (Claim Amount)",
  H114&lt;0,"Review – Out of Range (Days to Process)",
  TRUE,"OK"
)</f>
        <v>OK</v>
      </c>
    </row>
    <row r="115" spans="1:9" ht="16.8" x14ac:dyDescent="0.3">
      <c r="A115" s="14" t="s">
        <v>6622</v>
      </c>
      <c r="B115" s="14" t="s">
        <v>5918</v>
      </c>
      <c r="C115" s="15">
        <v>44907</v>
      </c>
      <c r="D115" s="14">
        <v>327390.71000000002</v>
      </c>
      <c r="E115" s="14" t="s">
        <v>6505</v>
      </c>
      <c r="F115" s="14" t="s">
        <v>6511</v>
      </c>
      <c r="G115" s="14" t="s">
        <v>46</v>
      </c>
      <c r="H115" s="14">
        <v>24</v>
      </c>
      <c r="I115" s="13" t="str" cm="1">
        <f t="array" ref="I115">_xlfn.IFS(
  OR(ISBLANK(A115),ISBLANK(B115),ISBLANK(D115),ISBLANK(E115),ISBLANK(H115)),"Missing Value",
  D115&lt;0,"Review – Out of Range (Claim Amount)",
  H115&lt;0,"Review – Out of Range (Days to Process)",
  TRUE,"OK"
)</f>
        <v>OK</v>
      </c>
    </row>
    <row r="116" spans="1:9" ht="16.8" x14ac:dyDescent="0.3">
      <c r="A116" s="11" t="s">
        <v>6623</v>
      </c>
      <c r="B116" s="11" t="s">
        <v>5190</v>
      </c>
      <c r="C116" s="12">
        <v>45496</v>
      </c>
      <c r="D116" s="11">
        <v>135977.79999999999</v>
      </c>
      <c r="E116" s="11" t="s">
        <v>6508</v>
      </c>
      <c r="F116" s="11" t="s">
        <v>6516</v>
      </c>
      <c r="G116" s="11" t="s">
        <v>45</v>
      </c>
      <c r="H116" s="11">
        <v>40</v>
      </c>
      <c r="I116" s="13" t="str" cm="1">
        <f t="array" ref="I116">_xlfn.IFS(
  OR(ISBLANK(A116),ISBLANK(B116),ISBLANK(D116),ISBLANK(E116),ISBLANK(H116)),"Missing Value",
  D116&lt;0,"Review – Out of Range (Claim Amount)",
  H116&lt;0,"Review – Out of Range (Days to Process)",
  TRUE,"OK"
)</f>
        <v>OK</v>
      </c>
    </row>
    <row r="117" spans="1:9" ht="16.8" x14ac:dyDescent="0.3">
      <c r="A117" s="14" t="s">
        <v>6624</v>
      </c>
      <c r="B117" s="14" t="s">
        <v>4594</v>
      </c>
      <c r="C117" s="15">
        <v>45361</v>
      </c>
      <c r="D117" s="14">
        <v>394219.55</v>
      </c>
      <c r="E117" s="14" t="s">
        <v>6505</v>
      </c>
      <c r="F117" s="14" t="s">
        <v>6509</v>
      </c>
      <c r="G117" s="14" t="s">
        <v>46</v>
      </c>
      <c r="H117" s="14">
        <v>42</v>
      </c>
      <c r="I117" s="13" t="str" cm="1">
        <f t="array" ref="I117">_xlfn.IFS(
  OR(ISBLANK(A117),ISBLANK(B117),ISBLANK(D117),ISBLANK(E117),ISBLANK(H117)),"Missing Value",
  D117&lt;0,"Review – Out of Range (Claim Amount)",
  H117&lt;0,"Review – Out of Range (Days to Process)",
  TRUE,"OK"
)</f>
        <v>OK</v>
      </c>
    </row>
    <row r="118" spans="1:9" ht="16.8" x14ac:dyDescent="0.3">
      <c r="A118" s="11" t="s">
        <v>6625</v>
      </c>
      <c r="B118" s="11" t="s">
        <v>4741</v>
      </c>
      <c r="C118" s="12">
        <v>45372</v>
      </c>
      <c r="D118" s="11">
        <v>336857.47</v>
      </c>
      <c r="E118" s="11" t="s">
        <v>6502</v>
      </c>
      <c r="F118" s="11" t="s">
        <v>6509</v>
      </c>
      <c r="G118" s="11" t="s">
        <v>45</v>
      </c>
      <c r="H118" s="11">
        <v>22</v>
      </c>
      <c r="I118" s="13" t="str" cm="1">
        <f t="array" ref="I118">_xlfn.IFS(
  OR(ISBLANK(A118),ISBLANK(B118),ISBLANK(D118),ISBLANK(E118),ISBLANK(H118)),"Missing Value",
  D118&lt;0,"Review – Out of Range (Claim Amount)",
  H118&lt;0,"Review – Out of Range (Days to Process)",
  TRUE,"OK"
)</f>
        <v>OK</v>
      </c>
    </row>
    <row r="119" spans="1:9" ht="16.8" x14ac:dyDescent="0.3">
      <c r="A119" s="14" t="s">
        <v>6626</v>
      </c>
      <c r="B119" s="14" t="s">
        <v>4870</v>
      </c>
      <c r="C119" s="15">
        <v>45599</v>
      </c>
      <c r="D119" s="14">
        <v>247989.67</v>
      </c>
      <c r="E119" s="14" t="s">
        <v>6508</v>
      </c>
      <c r="F119" s="14" t="s">
        <v>6503</v>
      </c>
      <c r="G119" s="14" t="s">
        <v>46</v>
      </c>
      <c r="H119" s="14">
        <v>28</v>
      </c>
      <c r="I119" s="13" t="str" cm="1">
        <f t="array" ref="I119">_xlfn.IFS(
  OR(ISBLANK(A119),ISBLANK(B119),ISBLANK(D119),ISBLANK(E119),ISBLANK(H119)),"Missing Value",
  D119&lt;0,"Review – Out of Range (Claim Amount)",
  H119&lt;0,"Review – Out of Range (Days to Process)",
  TRUE,"OK"
)</f>
        <v>OK</v>
      </c>
    </row>
    <row r="120" spans="1:9" ht="16.8" x14ac:dyDescent="0.3">
      <c r="A120" s="11" t="s">
        <v>6627</v>
      </c>
      <c r="B120" s="11" t="s">
        <v>4948</v>
      </c>
      <c r="C120" s="12">
        <v>44508</v>
      </c>
      <c r="D120" s="11">
        <v>273144.38</v>
      </c>
      <c r="E120" s="11" t="s">
        <v>6505</v>
      </c>
      <c r="F120" s="11" t="s">
        <v>6511</v>
      </c>
      <c r="G120" s="11" t="s">
        <v>45</v>
      </c>
      <c r="H120" s="11">
        <v>46</v>
      </c>
      <c r="I120" s="13" t="str" cm="1">
        <f t="array" ref="I120">_xlfn.IFS(
  OR(ISBLANK(A120),ISBLANK(B120),ISBLANK(D120),ISBLANK(E120),ISBLANK(H120)),"Missing Value",
  D120&lt;0,"Review – Out of Range (Claim Amount)",
  H120&lt;0,"Review – Out of Range (Days to Process)",
  TRUE,"OK"
)</f>
        <v>OK</v>
      </c>
    </row>
    <row r="121" spans="1:9" ht="16.8" x14ac:dyDescent="0.3">
      <c r="A121" s="14" t="s">
        <v>6628</v>
      </c>
      <c r="B121" s="14" t="s">
        <v>5397</v>
      </c>
      <c r="C121" s="15">
        <v>45395</v>
      </c>
      <c r="D121" s="14">
        <v>154687.21</v>
      </c>
      <c r="E121" s="14" t="s">
        <v>6508</v>
      </c>
      <c r="F121" s="14" t="s">
        <v>6511</v>
      </c>
      <c r="G121" s="14" t="s">
        <v>46</v>
      </c>
      <c r="H121" s="14">
        <v>56</v>
      </c>
      <c r="I121" s="13" t="str" cm="1">
        <f t="array" ref="I121">_xlfn.IFS(
  OR(ISBLANK(A121),ISBLANK(B121),ISBLANK(D121),ISBLANK(E121),ISBLANK(H121)),"Missing Value",
  D121&lt;0,"Review – Out of Range (Claim Amount)",
  H121&lt;0,"Review – Out of Range (Days to Process)",
  TRUE,"OK"
)</f>
        <v>OK</v>
      </c>
    </row>
    <row r="122" spans="1:9" ht="16.8" x14ac:dyDescent="0.3">
      <c r="A122" s="11" t="s">
        <v>6629</v>
      </c>
      <c r="B122" s="11" t="s">
        <v>4788</v>
      </c>
      <c r="C122" s="12">
        <v>45339</v>
      </c>
      <c r="D122" s="11">
        <v>457612.09</v>
      </c>
      <c r="E122" s="11" t="s">
        <v>6505</v>
      </c>
      <c r="F122" s="11" t="s">
        <v>6503</v>
      </c>
      <c r="G122" s="11" t="s">
        <v>45</v>
      </c>
      <c r="H122" s="11">
        <v>42</v>
      </c>
      <c r="I122" s="13" t="str" cm="1">
        <f t="array" ref="I122">_xlfn.IFS(
  OR(ISBLANK(A122),ISBLANK(B122),ISBLANK(D122),ISBLANK(E122),ISBLANK(H122)),"Missing Value",
  D122&lt;0,"Review – Out of Range (Claim Amount)",
  H122&lt;0,"Review – Out of Range (Days to Process)",
  TRUE,"OK"
)</f>
        <v>OK</v>
      </c>
    </row>
    <row r="123" spans="1:9" ht="16.8" x14ac:dyDescent="0.3">
      <c r="A123" s="14" t="s">
        <v>6630</v>
      </c>
      <c r="B123" s="14" t="s">
        <v>4778</v>
      </c>
      <c r="C123" s="15">
        <v>44882</v>
      </c>
      <c r="D123" s="14">
        <v>488187.59</v>
      </c>
      <c r="E123" s="14" t="s">
        <v>6502</v>
      </c>
      <c r="F123" s="14" t="s">
        <v>6509</v>
      </c>
      <c r="G123" s="14" t="s">
        <v>46</v>
      </c>
      <c r="H123" s="14">
        <v>34</v>
      </c>
      <c r="I123" s="13" t="str" cm="1">
        <f t="array" ref="I123">_xlfn.IFS(
  OR(ISBLANK(A123),ISBLANK(B123),ISBLANK(D123),ISBLANK(E123),ISBLANK(H123)),"Missing Value",
  D123&lt;0,"Review – Out of Range (Claim Amount)",
  H123&lt;0,"Review – Out of Range (Days to Process)",
  TRUE,"OK"
)</f>
        <v>OK</v>
      </c>
    </row>
    <row r="124" spans="1:9" ht="16.8" x14ac:dyDescent="0.3">
      <c r="A124" s="11" t="s">
        <v>6631</v>
      </c>
      <c r="B124" s="11" t="s">
        <v>3669</v>
      </c>
      <c r="C124" s="12">
        <v>45582</v>
      </c>
      <c r="D124" s="11">
        <v>29479.3</v>
      </c>
      <c r="E124" s="11" t="s">
        <v>6505</v>
      </c>
      <c r="F124" s="11" t="s">
        <v>6503</v>
      </c>
      <c r="G124" s="11" t="s">
        <v>46</v>
      </c>
      <c r="H124" s="11">
        <v>24</v>
      </c>
      <c r="I124" s="13" t="str" cm="1">
        <f t="array" ref="I124">_xlfn.IFS(
  OR(ISBLANK(A124),ISBLANK(B124),ISBLANK(D124),ISBLANK(E124),ISBLANK(H124)),"Missing Value",
  D124&lt;0,"Review – Out of Range (Claim Amount)",
  H124&lt;0,"Review – Out of Range (Days to Process)",
  TRUE,"OK"
)</f>
        <v>OK</v>
      </c>
    </row>
    <row r="125" spans="1:9" ht="16.8" x14ac:dyDescent="0.3">
      <c r="A125" s="14" t="s">
        <v>6632</v>
      </c>
      <c r="B125" s="14" t="s">
        <v>4739</v>
      </c>
      <c r="C125" s="15">
        <v>45138</v>
      </c>
      <c r="D125" s="14">
        <v>163193.93</v>
      </c>
      <c r="E125" s="14" t="s">
        <v>6502</v>
      </c>
      <c r="F125" s="14" t="s">
        <v>6509</v>
      </c>
      <c r="G125" s="14" t="s">
        <v>45</v>
      </c>
      <c r="H125" s="14">
        <v>24</v>
      </c>
      <c r="I125" s="13" t="str" cm="1">
        <f t="array" ref="I125">_xlfn.IFS(
  OR(ISBLANK(A125),ISBLANK(B125),ISBLANK(D125),ISBLANK(E125),ISBLANK(H125)),"Missing Value",
  D125&lt;0,"Review – Out of Range (Claim Amount)",
  H125&lt;0,"Review – Out of Range (Days to Process)",
  TRUE,"OK"
)</f>
        <v>OK</v>
      </c>
    </row>
    <row r="126" spans="1:9" ht="16.8" x14ac:dyDescent="0.3">
      <c r="A126" s="11" t="s">
        <v>6633</v>
      </c>
      <c r="B126" s="11" t="s">
        <v>4175</v>
      </c>
      <c r="C126" s="12">
        <v>45440</v>
      </c>
      <c r="D126" s="11">
        <v>189978.06</v>
      </c>
      <c r="E126" s="11" t="s">
        <v>6508</v>
      </c>
      <c r="F126" s="11" t="s">
        <v>6503</v>
      </c>
      <c r="G126" s="11" t="s">
        <v>46</v>
      </c>
      <c r="H126" s="11">
        <v>7</v>
      </c>
      <c r="I126" s="13" t="str" cm="1">
        <f t="array" ref="I126">_xlfn.IFS(
  OR(ISBLANK(A126),ISBLANK(B126),ISBLANK(D126),ISBLANK(E126),ISBLANK(H126)),"Missing Value",
  D126&lt;0,"Review – Out of Range (Claim Amount)",
  H126&lt;0,"Review – Out of Range (Days to Process)",
  TRUE,"OK"
)</f>
        <v>OK</v>
      </c>
    </row>
    <row r="127" spans="1:9" ht="16.8" x14ac:dyDescent="0.3">
      <c r="A127" s="14" t="s">
        <v>6634</v>
      </c>
      <c r="B127" s="14" t="s">
        <v>5593</v>
      </c>
      <c r="C127" s="15">
        <v>45477</v>
      </c>
      <c r="D127" s="14">
        <v>328753.52</v>
      </c>
      <c r="E127" s="14" t="s">
        <v>6505</v>
      </c>
      <c r="F127" s="14" t="s">
        <v>6503</v>
      </c>
      <c r="G127" s="14" t="s">
        <v>45</v>
      </c>
      <c r="H127" s="14">
        <v>3</v>
      </c>
      <c r="I127" s="13" t="str" cm="1">
        <f t="array" ref="I127">_xlfn.IFS(
  OR(ISBLANK(A127),ISBLANK(B127),ISBLANK(D127),ISBLANK(E127),ISBLANK(H127)),"Missing Value",
  D127&lt;0,"Review – Out of Range (Claim Amount)",
  H127&lt;0,"Review – Out of Range (Days to Process)",
  TRUE,"OK"
)</f>
        <v>OK</v>
      </c>
    </row>
    <row r="128" spans="1:9" ht="16.8" x14ac:dyDescent="0.3">
      <c r="A128" s="11" t="s">
        <v>6635</v>
      </c>
      <c r="B128" s="11" t="s">
        <v>4031</v>
      </c>
      <c r="C128" s="12">
        <v>45435</v>
      </c>
      <c r="D128" s="11">
        <v>321517.03999999998</v>
      </c>
      <c r="E128" s="11" t="s">
        <v>6502</v>
      </c>
      <c r="F128" s="11" t="s">
        <v>6509</v>
      </c>
      <c r="G128" s="11" t="s">
        <v>46</v>
      </c>
      <c r="H128" s="11">
        <v>58</v>
      </c>
      <c r="I128" s="13" t="str" cm="1">
        <f t="array" ref="I128">_xlfn.IFS(
  OR(ISBLANK(A128),ISBLANK(B128),ISBLANK(D128),ISBLANK(E128),ISBLANK(H128)),"Missing Value",
  D128&lt;0,"Review – Out of Range (Claim Amount)",
  H128&lt;0,"Review – Out of Range (Days to Process)",
  TRUE,"OK"
)</f>
        <v>OK</v>
      </c>
    </row>
    <row r="129" spans="1:9" ht="16.8" x14ac:dyDescent="0.3">
      <c r="A129" s="14" t="s">
        <v>6636</v>
      </c>
      <c r="B129" s="14" t="s">
        <v>6118</v>
      </c>
      <c r="C129" s="15">
        <v>45587</v>
      </c>
      <c r="D129" s="14">
        <v>262646.40999999997</v>
      </c>
      <c r="E129" s="14" t="s">
        <v>6508</v>
      </c>
      <c r="F129" s="14" t="s">
        <v>6503</v>
      </c>
      <c r="G129" s="14" t="s">
        <v>45</v>
      </c>
      <c r="H129" s="14">
        <v>59</v>
      </c>
      <c r="I129" s="13" t="str" cm="1">
        <f t="array" ref="I129">_xlfn.IFS(
  OR(ISBLANK(A129),ISBLANK(B129),ISBLANK(D129),ISBLANK(E129),ISBLANK(H129)),"Missing Value",
  D129&lt;0,"Review – Out of Range (Claim Amount)",
  H129&lt;0,"Review – Out of Range (Days to Process)",
  TRUE,"OK"
)</f>
        <v>OK</v>
      </c>
    </row>
    <row r="130" spans="1:9" ht="16.8" x14ac:dyDescent="0.3">
      <c r="A130" s="11" t="s">
        <v>6637</v>
      </c>
      <c r="B130" s="11" t="s">
        <v>5036</v>
      </c>
      <c r="C130" s="12">
        <v>45184</v>
      </c>
      <c r="D130" s="11">
        <v>33763.5</v>
      </c>
      <c r="E130" s="11" t="s">
        <v>6508</v>
      </c>
      <c r="F130" s="11" t="s">
        <v>6503</v>
      </c>
      <c r="G130" s="11" t="s">
        <v>46</v>
      </c>
      <c r="H130" s="11">
        <v>43</v>
      </c>
      <c r="I130" s="13" t="str" cm="1">
        <f t="array" ref="I130">_xlfn.IFS(
  OR(ISBLANK(A130),ISBLANK(B130),ISBLANK(D130),ISBLANK(E130),ISBLANK(H130)),"Missing Value",
  D130&lt;0,"Review – Out of Range (Claim Amount)",
  H130&lt;0,"Review – Out of Range (Days to Process)",
  TRUE,"OK"
)</f>
        <v>OK</v>
      </c>
    </row>
    <row r="131" spans="1:9" ht="16.8" x14ac:dyDescent="0.3">
      <c r="A131" s="14" t="s">
        <v>6638</v>
      </c>
      <c r="B131" s="14" t="s">
        <v>4924</v>
      </c>
      <c r="C131" s="15">
        <v>45120</v>
      </c>
      <c r="D131" s="14">
        <v>77044.320000000007</v>
      </c>
      <c r="E131" s="14" t="s">
        <v>6505</v>
      </c>
      <c r="F131" s="14" t="s">
        <v>6506</v>
      </c>
      <c r="G131" s="14" t="s">
        <v>46</v>
      </c>
      <c r="H131" s="14">
        <v>53</v>
      </c>
      <c r="I131" s="13" t="str" cm="1">
        <f t="array" ref="I131">_xlfn.IFS(
  OR(ISBLANK(A131),ISBLANK(B131),ISBLANK(D131),ISBLANK(E131),ISBLANK(H131)),"Missing Value",
  D131&lt;0,"Review – Out of Range (Claim Amount)",
  H131&lt;0,"Review – Out of Range (Days to Process)",
  TRUE,"OK"
)</f>
        <v>OK</v>
      </c>
    </row>
    <row r="132" spans="1:9" ht="16.8" x14ac:dyDescent="0.3">
      <c r="A132" s="11" t="s">
        <v>6639</v>
      </c>
      <c r="B132" s="11" t="s">
        <v>4839</v>
      </c>
      <c r="C132" s="12">
        <v>45703</v>
      </c>
      <c r="D132" s="11">
        <v>339920.91</v>
      </c>
      <c r="E132" s="11" t="s">
        <v>6502</v>
      </c>
      <c r="F132" s="11" t="s">
        <v>6503</v>
      </c>
      <c r="G132" s="11" t="s">
        <v>45</v>
      </c>
      <c r="H132" s="11">
        <v>4</v>
      </c>
      <c r="I132" s="13" t="str" cm="1">
        <f t="array" ref="I132">_xlfn.IFS(
  OR(ISBLANK(A132),ISBLANK(B132),ISBLANK(D132),ISBLANK(E132),ISBLANK(H132)),"Missing Value",
  D132&lt;0,"Review – Out of Range (Claim Amount)",
  H132&lt;0,"Review – Out of Range (Days to Process)",
  TRUE,"OK"
)</f>
        <v>OK</v>
      </c>
    </row>
    <row r="133" spans="1:9" ht="16.8" x14ac:dyDescent="0.3">
      <c r="A133" s="14" t="s">
        <v>6640</v>
      </c>
      <c r="B133" s="14" t="s">
        <v>4985</v>
      </c>
      <c r="C133" s="15">
        <v>44643</v>
      </c>
      <c r="D133" s="14">
        <v>372678.92</v>
      </c>
      <c r="E133" s="14" t="s">
        <v>6502</v>
      </c>
      <c r="F133" s="14" t="s">
        <v>6506</v>
      </c>
      <c r="G133" s="14" t="s">
        <v>45</v>
      </c>
      <c r="H133" s="14">
        <v>33</v>
      </c>
      <c r="I133" s="13" t="str" cm="1">
        <f t="array" ref="I133">_xlfn.IFS(
  OR(ISBLANK(A133),ISBLANK(B133),ISBLANK(D133),ISBLANK(E133),ISBLANK(H133)),"Missing Value",
  D133&lt;0,"Review – Out of Range (Claim Amount)",
  H133&lt;0,"Review – Out of Range (Days to Process)",
  TRUE,"OK"
)</f>
        <v>OK</v>
      </c>
    </row>
    <row r="134" spans="1:9" ht="16.8" x14ac:dyDescent="0.3">
      <c r="A134" s="11" t="s">
        <v>6641</v>
      </c>
      <c r="B134" s="11" t="s">
        <v>4310</v>
      </c>
      <c r="C134" s="12">
        <v>44798</v>
      </c>
      <c r="D134" s="11">
        <v>31637.5</v>
      </c>
      <c r="E134" s="11" t="s">
        <v>6502</v>
      </c>
      <c r="F134" s="11" t="s">
        <v>6509</v>
      </c>
      <c r="G134" s="11" t="s">
        <v>46</v>
      </c>
      <c r="H134" s="11">
        <v>26</v>
      </c>
      <c r="I134" s="13" t="str" cm="1">
        <f t="array" ref="I134">_xlfn.IFS(
  OR(ISBLANK(A134),ISBLANK(B134),ISBLANK(D134),ISBLANK(E134),ISBLANK(H134)),"Missing Value",
  D134&lt;0,"Review – Out of Range (Claim Amount)",
  H134&lt;0,"Review – Out of Range (Days to Process)",
  TRUE,"OK"
)</f>
        <v>OK</v>
      </c>
    </row>
    <row r="135" spans="1:9" ht="16.8" x14ac:dyDescent="0.3">
      <c r="A135" s="14" t="s">
        <v>6642</v>
      </c>
      <c r="B135" s="14" t="s">
        <v>4256</v>
      </c>
      <c r="C135" s="15">
        <v>45020</v>
      </c>
      <c r="D135" s="14">
        <v>149235.4</v>
      </c>
      <c r="E135" s="14" t="s">
        <v>6502</v>
      </c>
      <c r="F135" s="14" t="s">
        <v>6516</v>
      </c>
      <c r="G135" s="14" t="s">
        <v>46</v>
      </c>
      <c r="H135" s="14">
        <v>20</v>
      </c>
      <c r="I135" s="13" t="str" cm="1">
        <f t="array" ref="I135">_xlfn.IFS(
  OR(ISBLANK(A135),ISBLANK(B135),ISBLANK(D135),ISBLANK(E135),ISBLANK(H135)),"Missing Value",
  D135&lt;0,"Review – Out of Range (Claim Amount)",
  H135&lt;0,"Review – Out of Range (Days to Process)",
  TRUE,"OK"
)</f>
        <v>OK</v>
      </c>
    </row>
    <row r="136" spans="1:9" ht="16.8" x14ac:dyDescent="0.3">
      <c r="A136" s="11" t="s">
        <v>6643</v>
      </c>
      <c r="B136" s="11" t="s">
        <v>5860</v>
      </c>
      <c r="C136" s="12">
        <v>44813</v>
      </c>
      <c r="D136" s="11">
        <v>48669.74</v>
      </c>
      <c r="E136" s="11" t="s">
        <v>6508</v>
      </c>
      <c r="F136" s="11" t="s">
        <v>6506</v>
      </c>
      <c r="G136" s="11" t="s">
        <v>46</v>
      </c>
      <c r="H136" s="11">
        <v>48</v>
      </c>
      <c r="I136" s="13" t="str" cm="1">
        <f t="array" ref="I136">_xlfn.IFS(
  OR(ISBLANK(A136),ISBLANK(B136),ISBLANK(D136),ISBLANK(E136),ISBLANK(H136)),"Missing Value",
  D136&lt;0,"Review – Out of Range (Claim Amount)",
  H136&lt;0,"Review – Out of Range (Days to Process)",
  TRUE,"OK"
)</f>
        <v>OK</v>
      </c>
    </row>
    <row r="137" spans="1:9" ht="16.8" x14ac:dyDescent="0.3">
      <c r="A137" s="14" t="s">
        <v>6644</v>
      </c>
      <c r="B137" s="14" t="s">
        <v>5767</v>
      </c>
      <c r="C137" s="15">
        <v>44562</v>
      </c>
      <c r="D137" s="14">
        <v>482295.33</v>
      </c>
      <c r="E137" s="14" t="s">
        <v>6508</v>
      </c>
      <c r="F137" s="14" t="s">
        <v>6503</v>
      </c>
      <c r="G137" s="14" t="s">
        <v>46</v>
      </c>
      <c r="H137" s="14">
        <v>52</v>
      </c>
      <c r="I137" s="13" t="str" cm="1">
        <f t="array" ref="I137">_xlfn.IFS(
  OR(ISBLANK(A137),ISBLANK(B137),ISBLANK(D137),ISBLANK(E137),ISBLANK(H137)),"Missing Value",
  D137&lt;0,"Review – Out of Range (Claim Amount)",
  H137&lt;0,"Review – Out of Range (Days to Process)",
  TRUE,"OK"
)</f>
        <v>OK</v>
      </c>
    </row>
    <row r="138" spans="1:9" ht="16.8" x14ac:dyDescent="0.3">
      <c r="A138" s="11" t="s">
        <v>6645</v>
      </c>
      <c r="B138" s="11" t="s">
        <v>3736</v>
      </c>
      <c r="C138" s="12">
        <v>44789</v>
      </c>
      <c r="D138" s="11">
        <v>67178.490000000005</v>
      </c>
      <c r="E138" s="11" t="s">
        <v>6508</v>
      </c>
      <c r="F138" s="11" t="s">
        <v>6506</v>
      </c>
      <c r="G138" s="11" t="s">
        <v>46</v>
      </c>
      <c r="H138" s="11">
        <v>9</v>
      </c>
      <c r="I138" s="13" t="str" cm="1">
        <f t="array" ref="I138">_xlfn.IFS(
  OR(ISBLANK(A138),ISBLANK(B138),ISBLANK(D138),ISBLANK(E138),ISBLANK(H138)),"Missing Value",
  D138&lt;0,"Review – Out of Range (Claim Amount)",
  H138&lt;0,"Review – Out of Range (Days to Process)",
  TRUE,"OK"
)</f>
        <v>OK</v>
      </c>
    </row>
    <row r="139" spans="1:9" ht="16.8" x14ac:dyDescent="0.3">
      <c r="A139" s="14" t="s">
        <v>6646</v>
      </c>
      <c r="B139" s="14" t="s">
        <v>6069</v>
      </c>
      <c r="C139" s="15">
        <v>45322</v>
      </c>
      <c r="D139" s="14">
        <v>440231.31</v>
      </c>
      <c r="E139" s="14" t="s">
        <v>6508</v>
      </c>
      <c r="F139" s="14" t="s">
        <v>6509</v>
      </c>
      <c r="G139" s="14" t="s">
        <v>46</v>
      </c>
      <c r="H139" s="14">
        <v>34</v>
      </c>
      <c r="I139" s="13" t="str" cm="1">
        <f t="array" ref="I139">_xlfn.IFS(
  OR(ISBLANK(A139),ISBLANK(B139),ISBLANK(D139),ISBLANK(E139),ISBLANK(H139)),"Missing Value",
  D139&lt;0,"Review – Out of Range (Claim Amount)",
  H139&lt;0,"Review – Out of Range (Days to Process)",
  TRUE,"OK"
)</f>
        <v>OK</v>
      </c>
    </row>
    <row r="140" spans="1:9" ht="16.8" x14ac:dyDescent="0.3">
      <c r="A140" s="11" t="s">
        <v>6647</v>
      </c>
      <c r="B140" s="11" t="s">
        <v>4912</v>
      </c>
      <c r="C140" s="12">
        <v>44677</v>
      </c>
      <c r="D140" s="11">
        <v>194724.57</v>
      </c>
      <c r="E140" s="11" t="s">
        <v>6502</v>
      </c>
      <c r="F140" s="11" t="s">
        <v>6516</v>
      </c>
      <c r="G140" s="11" t="s">
        <v>45</v>
      </c>
      <c r="H140" s="11">
        <v>19</v>
      </c>
      <c r="I140" s="13" t="str" cm="1">
        <f t="array" ref="I140">_xlfn.IFS(
  OR(ISBLANK(A140),ISBLANK(B140),ISBLANK(D140),ISBLANK(E140),ISBLANK(H140)),"Missing Value",
  D140&lt;0,"Review – Out of Range (Claim Amount)",
  H140&lt;0,"Review – Out of Range (Days to Process)",
  TRUE,"OK"
)</f>
        <v>OK</v>
      </c>
    </row>
    <row r="141" spans="1:9" ht="16.8" x14ac:dyDescent="0.3">
      <c r="A141" s="14" t="s">
        <v>6648</v>
      </c>
      <c r="B141" s="14" t="s">
        <v>6190</v>
      </c>
      <c r="C141" s="15">
        <v>45209</v>
      </c>
      <c r="D141" s="14">
        <v>152037.89000000001</v>
      </c>
      <c r="E141" s="14" t="s">
        <v>6505</v>
      </c>
      <c r="F141" s="14" t="s">
        <v>6509</v>
      </c>
      <c r="G141" s="14" t="s">
        <v>46</v>
      </c>
      <c r="H141" s="14">
        <v>16</v>
      </c>
      <c r="I141" s="13" t="str" cm="1">
        <f t="array" ref="I141">_xlfn.IFS(
  OR(ISBLANK(A141),ISBLANK(B141),ISBLANK(D141),ISBLANK(E141),ISBLANK(H141)),"Missing Value",
  D141&lt;0,"Review – Out of Range (Claim Amount)",
  H141&lt;0,"Review – Out of Range (Days to Process)",
  TRUE,"OK"
)</f>
        <v>OK</v>
      </c>
    </row>
    <row r="142" spans="1:9" ht="16.8" x14ac:dyDescent="0.3">
      <c r="A142" s="11" t="s">
        <v>6649</v>
      </c>
      <c r="B142" s="11" t="s">
        <v>5823</v>
      </c>
      <c r="C142" s="12">
        <v>45273</v>
      </c>
      <c r="D142" s="11">
        <v>330986.68</v>
      </c>
      <c r="E142" s="11" t="s">
        <v>6502</v>
      </c>
      <c r="F142" s="11" t="s">
        <v>6516</v>
      </c>
      <c r="G142" s="11" t="s">
        <v>45</v>
      </c>
      <c r="H142" s="11">
        <v>54</v>
      </c>
      <c r="I142" s="13" t="str" cm="1">
        <f t="array" ref="I142">_xlfn.IFS(
  OR(ISBLANK(A142),ISBLANK(B142),ISBLANK(D142),ISBLANK(E142),ISBLANK(H142)),"Missing Value",
  D142&lt;0,"Review – Out of Range (Claim Amount)",
  H142&lt;0,"Review – Out of Range (Days to Process)",
  TRUE,"OK"
)</f>
        <v>OK</v>
      </c>
    </row>
    <row r="143" spans="1:9" ht="16.8" x14ac:dyDescent="0.3">
      <c r="A143" s="14" t="s">
        <v>6650</v>
      </c>
      <c r="B143" s="14" t="s">
        <v>4205</v>
      </c>
      <c r="C143" s="15">
        <v>44972</v>
      </c>
      <c r="D143" s="14">
        <v>56257.37</v>
      </c>
      <c r="E143" s="14" t="s">
        <v>6505</v>
      </c>
      <c r="F143" s="14" t="s">
        <v>6516</v>
      </c>
      <c r="G143" s="14" t="s">
        <v>45</v>
      </c>
      <c r="H143" s="14">
        <v>3</v>
      </c>
      <c r="I143" s="13" t="str" cm="1">
        <f t="array" ref="I143">_xlfn.IFS(
  OR(ISBLANK(A143),ISBLANK(B143),ISBLANK(D143),ISBLANK(E143),ISBLANK(H143)),"Missing Value",
  D143&lt;0,"Review – Out of Range (Claim Amount)",
  H143&lt;0,"Review – Out of Range (Days to Process)",
  TRUE,"OK"
)</f>
        <v>OK</v>
      </c>
    </row>
    <row r="144" spans="1:9" ht="16.8" x14ac:dyDescent="0.3">
      <c r="A144" s="11" t="s">
        <v>6651</v>
      </c>
      <c r="B144" s="11" t="s">
        <v>4530</v>
      </c>
      <c r="C144" s="12">
        <v>45240</v>
      </c>
      <c r="D144" s="11">
        <v>261627.82</v>
      </c>
      <c r="E144" s="11" t="s">
        <v>6505</v>
      </c>
      <c r="F144" s="11" t="s">
        <v>6506</v>
      </c>
      <c r="G144" s="11" t="s">
        <v>46</v>
      </c>
      <c r="H144" s="11">
        <v>17</v>
      </c>
      <c r="I144" s="13" t="str" cm="1">
        <f t="array" ref="I144">_xlfn.IFS(
  OR(ISBLANK(A144),ISBLANK(B144),ISBLANK(D144),ISBLANK(E144),ISBLANK(H144)),"Missing Value",
  D144&lt;0,"Review – Out of Range (Claim Amount)",
  H144&lt;0,"Review – Out of Range (Days to Process)",
  TRUE,"OK"
)</f>
        <v>OK</v>
      </c>
    </row>
    <row r="145" spans="1:9" ht="16.8" x14ac:dyDescent="0.3">
      <c r="A145" s="14" t="s">
        <v>6652</v>
      </c>
      <c r="B145" s="14" t="s">
        <v>4784</v>
      </c>
      <c r="C145" s="15">
        <v>45466</v>
      </c>
      <c r="D145" s="14">
        <v>101663.74</v>
      </c>
      <c r="E145" s="14" t="s">
        <v>6502</v>
      </c>
      <c r="F145" s="14" t="s">
        <v>6506</v>
      </c>
      <c r="G145" s="14" t="s">
        <v>45</v>
      </c>
      <c r="H145" s="14">
        <v>17</v>
      </c>
      <c r="I145" s="13" t="str" cm="1">
        <f t="array" ref="I145">_xlfn.IFS(
  OR(ISBLANK(A145),ISBLANK(B145),ISBLANK(D145),ISBLANK(E145),ISBLANK(H145)),"Missing Value",
  D145&lt;0,"Review – Out of Range (Claim Amount)",
  H145&lt;0,"Review – Out of Range (Days to Process)",
  TRUE,"OK"
)</f>
        <v>OK</v>
      </c>
    </row>
    <row r="146" spans="1:9" ht="16.8" x14ac:dyDescent="0.3">
      <c r="A146" s="11" t="s">
        <v>6653</v>
      </c>
      <c r="B146" s="11" t="s">
        <v>5246</v>
      </c>
      <c r="C146" s="12">
        <v>45308</v>
      </c>
      <c r="D146" s="11">
        <v>308304.73</v>
      </c>
      <c r="E146" s="11" t="s">
        <v>6508</v>
      </c>
      <c r="F146" s="11" t="s">
        <v>6511</v>
      </c>
      <c r="G146" s="11" t="s">
        <v>45</v>
      </c>
      <c r="H146" s="11">
        <v>18</v>
      </c>
      <c r="I146" s="13" t="str" cm="1">
        <f t="array" ref="I146">_xlfn.IFS(
  OR(ISBLANK(A146),ISBLANK(B146),ISBLANK(D146),ISBLANK(E146),ISBLANK(H146)),"Missing Value",
  D146&lt;0,"Review – Out of Range (Claim Amount)",
  H146&lt;0,"Review – Out of Range (Days to Process)",
  TRUE,"OK"
)</f>
        <v>OK</v>
      </c>
    </row>
    <row r="147" spans="1:9" ht="16.8" x14ac:dyDescent="0.3">
      <c r="A147" s="14" t="s">
        <v>6654</v>
      </c>
      <c r="B147" s="14" t="s">
        <v>5579</v>
      </c>
      <c r="C147" s="15">
        <v>44960</v>
      </c>
      <c r="D147" s="14">
        <v>207683.66</v>
      </c>
      <c r="E147" s="14" t="s">
        <v>6505</v>
      </c>
      <c r="F147" s="14" t="s">
        <v>6506</v>
      </c>
      <c r="G147" s="14" t="s">
        <v>45</v>
      </c>
      <c r="H147" s="14">
        <v>42</v>
      </c>
      <c r="I147" s="13" t="str" cm="1">
        <f t="array" ref="I147">_xlfn.IFS(
  OR(ISBLANK(A147),ISBLANK(B147),ISBLANK(D147),ISBLANK(E147),ISBLANK(H147)),"Missing Value",
  D147&lt;0,"Review – Out of Range (Claim Amount)",
  H147&lt;0,"Review – Out of Range (Days to Process)",
  TRUE,"OK"
)</f>
        <v>OK</v>
      </c>
    </row>
    <row r="148" spans="1:9" ht="16.8" x14ac:dyDescent="0.3">
      <c r="A148" s="11" t="s">
        <v>6655</v>
      </c>
      <c r="B148" s="11" t="s">
        <v>6125</v>
      </c>
      <c r="C148" s="12">
        <v>45104</v>
      </c>
      <c r="D148" s="11">
        <v>356339.89</v>
      </c>
      <c r="E148" s="11" t="s">
        <v>6505</v>
      </c>
      <c r="F148" s="11" t="s">
        <v>6509</v>
      </c>
      <c r="G148" s="11" t="s">
        <v>46</v>
      </c>
      <c r="H148" s="11">
        <v>34</v>
      </c>
      <c r="I148" s="13" t="str" cm="1">
        <f t="array" ref="I148">_xlfn.IFS(
  OR(ISBLANK(A148),ISBLANK(B148),ISBLANK(D148),ISBLANK(E148),ISBLANK(H148)),"Missing Value",
  D148&lt;0,"Review – Out of Range (Claim Amount)",
  H148&lt;0,"Review – Out of Range (Days to Process)",
  TRUE,"OK"
)</f>
        <v>OK</v>
      </c>
    </row>
    <row r="149" spans="1:9" ht="16.8" x14ac:dyDescent="0.3">
      <c r="A149" s="14" t="s">
        <v>6656</v>
      </c>
      <c r="B149" s="14" t="s">
        <v>5707</v>
      </c>
      <c r="C149" s="15">
        <v>44553</v>
      </c>
      <c r="D149" s="14">
        <v>447750.98</v>
      </c>
      <c r="E149" s="14" t="s">
        <v>6505</v>
      </c>
      <c r="F149" s="14" t="s">
        <v>6503</v>
      </c>
      <c r="G149" s="14" t="s">
        <v>45</v>
      </c>
      <c r="H149" s="14">
        <v>44</v>
      </c>
      <c r="I149" s="13" t="str" cm="1">
        <f t="array" ref="I149">_xlfn.IFS(
  OR(ISBLANK(A149),ISBLANK(B149),ISBLANK(D149),ISBLANK(E149),ISBLANK(H149)),"Missing Value",
  D149&lt;0,"Review – Out of Range (Claim Amount)",
  H149&lt;0,"Review – Out of Range (Days to Process)",
  TRUE,"OK"
)</f>
        <v>OK</v>
      </c>
    </row>
    <row r="150" spans="1:9" ht="16.8" x14ac:dyDescent="0.3">
      <c r="A150" s="11" t="s">
        <v>6657</v>
      </c>
      <c r="B150" s="11" t="s">
        <v>5147</v>
      </c>
      <c r="C150" s="12">
        <v>45578</v>
      </c>
      <c r="D150" s="11">
        <v>455651.57</v>
      </c>
      <c r="E150" s="11" t="s">
        <v>6508</v>
      </c>
      <c r="F150" s="11" t="s">
        <v>6516</v>
      </c>
      <c r="G150" s="11" t="s">
        <v>46</v>
      </c>
      <c r="H150" s="11">
        <v>4</v>
      </c>
      <c r="I150" s="13" t="str" cm="1">
        <f t="array" ref="I150">_xlfn.IFS(
  OR(ISBLANK(A150),ISBLANK(B150),ISBLANK(D150),ISBLANK(E150),ISBLANK(H150)),"Missing Value",
  D150&lt;0,"Review – Out of Range (Claim Amount)",
  H150&lt;0,"Review – Out of Range (Days to Process)",
  TRUE,"OK"
)</f>
        <v>OK</v>
      </c>
    </row>
    <row r="151" spans="1:9" ht="16.8" x14ac:dyDescent="0.3">
      <c r="A151" s="14" t="s">
        <v>6658</v>
      </c>
      <c r="B151" s="14" t="s">
        <v>4031</v>
      </c>
      <c r="C151" s="15">
        <v>45083</v>
      </c>
      <c r="D151" s="14">
        <v>450164.55</v>
      </c>
      <c r="E151" s="14" t="s">
        <v>6508</v>
      </c>
      <c r="F151" s="14" t="s">
        <v>6509</v>
      </c>
      <c r="G151" s="14" t="s">
        <v>46</v>
      </c>
      <c r="H151" s="14">
        <v>3</v>
      </c>
      <c r="I151" s="13" t="str" cm="1">
        <f t="array" ref="I151">_xlfn.IFS(
  OR(ISBLANK(A151),ISBLANK(B151),ISBLANK(D151),ISBLANK(E151),ISBLANK(H151)),"Missing Value",
  D151&lt;0,"Review – Out of Range (Claim Amount)",
  H151&lt;0,"Review – Out of Range (Days to Process)",
  TRUE,"OK"
)</f>
        <v>OK</v>
      </c>
    </row>
    <row r="152" spans="1:9" ht="16.8" x14ac:dyDescent="0.3">
      <c r="A152" s="11" t="s">
        <v>6659</v>
      </c>
      <c r="B152" s="11" t="s">
        <v>6316</v>
      </c>
      <c r="C152" s="12">
        <v>45490</v>
      </c>
      <c r="D152" s="11">
        <v>81896.600000000006</v>
      </c>
      <c r="E152" s="11" t="s">
        <v>6508</v>
      </c>
      <c r="F152" s="11" t="s">
        <v>6511</v>
      </c>
      <c r="G152" s="11" t="s">
        <v>45</v>
      </c>
      <c r="H152" s="11">
        <v>2</v>
      </c>
      <c r="I152" s="13" t="str" cm="1">
        <f t="array" ref="I152">_xlfn.IFS(
  OR(ISBLANK(A152),ISBLANK(B152),ISBLANK(D152),ISBLANK(E152),ISBLANK(H152)),"Missing Value",
  D152&lt;0,"Review – Out of Range (Claim Amount)",
  H152&lt;0,"Review – Out of Range (Days to Process)",
  TRUE,"OK"
)</f>
        <v>OK</v>
      </c>
    </row>
    <row r="153" spans="1:9" ht="16.8" x14ac:dyDescent="0.3">
      <c r="A153" s="14" t="s">
        <v>6660</v>
      </c>
      <c r="B153" s="14" t="s">
        <v>5064</v>
      </c>
      <c r="C153" s="15">
        <v>45142</v>
      </c>
      <c r="D153" s="14">
        <v>353734.5</v>
      </c>
      <c r="E153" s="14" t="s">
        <v>6505</v>
      </c>
      <c r="F153" s="14" t="s">
        <v>6516</v>
      </c>
      <c r="G153" s="14" t="s">
        <v>46</v>
      </c>
      <c r="H153" s="14">
        <v>37</v>
      </c>
      <c r="I153" s="13" t="str" cm="1">
        <f t="array" ref="I153">_xlfn.IFS(
  OR(ISBLANK(A153),ISBLANK(B153),ISBLANK(D153),ISBLANK(E153),ISBLANK(H153)),"Missing Value",
  D153&lt;0,"Review – Out of Range (Claim Amount)",
  H153&lt;0,"Review – Out of Range (Days to Process)",
  TRUE,"OK"
)</f>
        <v>OK</v>
      </c>
    </row>
    <row r="154" spans="1:9" ht="16.8" x14ac:dyDescent="0.3">
      <c r="A154" s="11" t="s">
        <v>6661</v>
      </c>
      <c r="B154" s="11" t="s">
        <v>4895</v>
      </c>
      <c r="C154" s="12">
        <v>45451</v>
      </c>
      <c r="D154" s="11">
        <v>395342.72</v>
      </c>
      <c r="E154" s="11" t="s">
        <v>6502</v>
      </c>
      <c r="F154" s="11" t="s">
        <v>6511</v>
      </c>
      <c r="G154" s="11" t="s">
        <v>46</v>
      </c>
      <c r="H154" s="11">
        <v>47</v>
      </c>
      <c r="I154" s="13" t="str" cm="1">
        <f t="array" ref="I154">_xlfn.IFS(
  OR(ISBLANK(A154),ISBLANK(B154),ISBLANK(D154),ISBLANK(E154),ISBLANK(H154)),"Missing Value",
  D154&lt;0,"Review – Out of Range (Claim Amount)",
  H154&lt;0,"Review – Out of Range (Days to Process)",
  TRUE,"OK"
)</f>
        <v>OK</v>
      </c>
    </row>
    <row r="155" spans="1:9" ht="16.8" x14ac:dyDescent="0.3">
      <c r="A155" s="14" t="s">
        <v>6662</v>
      </c>
      <c r="B155" s="14" t="s">
        <v>5708</v>
      </c>
      <c r="C155" s="15">
        <v>44321</v>
      </c>
      <c r="D155" s="14">
        <v>494578.94</v>
      </c>
      <c r="E155" s="14" t="s">
        <v>6505</v>
      </c>
      <c r="F155" s="14" t="s">
        <v>6503</v>
      </c>
      <c r="G155" s="14" t="s">
        <v>46</v>
      </c>
      <c r="H155" s="14">
        <v>22</v>
      </c>
      <c r="I155" s="13" t="str" cm="1">
        <f t="array" ref="I155">_xlfn.IFS(
  OR(ISBLANK(A155),ISBLANK(B155),ISBLANK(D155),ISBLANK(E155),ISBLANK(H155)),"Missing Value",
  D155&lt;0,"Review – Out of Range (Claim Amount)",
  H155&lt;0,"Review – Out of Range (Days to Process)",
  TRUE,"OK"
)</f>
        <v>OK</v>
      </c>
    </row>
    <row r="156" spans="1:9" ht="16.8" x14ac:dyDescent="0.3">
      <c r="A156" s="11" t="s">
        <v>6663</v>
      </c>
      <c r="B156" s="11" t="s">
        <v>3446</v>
      </c>
      <c r="C156" s="12">
        <v>44756</v>
      </c>
      <c r="D156" s="11">
        <v>245270.42</v>
      </c>
      <c r="E156" s="11" t="s">
        <v>6505</v>
      </c>
      <c r="F156" s="11" t="s">
        <v>6509</v>
      </c>
      <c r="G156" s="11" t="s">
        <v>45</v>
      </c>
      <c r="H156" s="11">
        <v>29</v>
      </c>
      <c r="I156" s="13" t="str" cm="1">
        <f t="array" ref="I156">_xlfn.IFS(
  OR(ISBLANK(A156),ISBLANK(B156),ISBLANK(D156),ISBLANK(E156),ISBLANK(H156)),"Missing Value",
  D156&lt;0,"Review – Out of Range (Claim Amount)",
  H156&lt;0,"Review – Out of Range (Days to Process)",
  TRUE,"OK"
)</f>
        <v>OK</v>
      </c>
    </row>
    <row r="157" spans="1:9" ht="16.8" x14ac:dyDescent="0.3">
      <c r="A157" s="14" t="s">
        <v>6664</v>
      </c>
      <c r="B157" s="14" t="s">
        <v>4325</v>
      </c>
      <c r="C157" s="15">
        <v>45212</v>
      </c>
      <c r="D157" s="14">
        <v>101342.84</v>
      </c>
      <c r="E157" s="14" t="s">
        <v>6505</v>
      </c>
      <c r="F157" s="14" t="s">
        <v>6511</v>
      </c>
      <c r="G157" s="14" t="s">
        <v>45</v>
      </c>
      <c r="H157" s="14">
        <v>28</v>
      </c>
      <c r="I157" s="13" t="str" cm="1">
        <f t="array" ref="I157">_xlfn.IFS(
  OR(ISBLANK(A157),ISBLANK(B157),ISBLANK(D157),ISBLANK(E157),ISBLANK(H157)),"Missing Value",
  D157&lt;0,"Review – Out of Range (Claim Amount)",
  H157&lt;0,"Review – Out of Range (Days to Process)",
  TRUE,"OK"
)</f>
        <v>OK</v>
      </c>
    </row>
    <row r="158" spans="1:9" ht="16.8" x14ac:dyDescent="0.3">
      <c r="A158" s="11" t="s">
        <v>6665</v>
      </c>
      <c r="B158" s="11" t="s">
        <v>3926</v>
      </c>
      <c r="C158" s="12">
        <v>45496</v>
      </c>
      <c r="D158" s="11">
        <v>340497.59</v>
      </c>
      <c r="E158" s="11" t="s">
        <v>6502</v>
      </c>
      <c r="F158" s="11" t="s">
        <v>6516</v>
      </c>
      <c r="G158" s="11" t="s">
        <v>46</v>
      </c>
      <c r="H158" s="11">
        <v>52</v>
      </c>
      <c r="I158" s="13" t="str" cm="1">
        <f t="array" ref="I158">_xlfn.IFS(
  OR(ISBLANK(A158),ISBLANK(B158),ISBLANK(D158),ISBLANK(E158),ISBLANK(H158)),"Missing Value",
  D158&lt;0,"Review – Out of Range (Claim Amount)",
  H158&lt;0,"Review – Out of Range (Days to Process)",
  TRUE,"OK"
)</f>
        <v>OK</v>
      </c>
    </row>
    <row r="159" spans="1:9" ht="16.8" x14ac:dyDescent="0.3">
      <c r="A159" s="14" t="s">
        <v>6666</v>
      </c>
      <c r="B159" s="14" t="s">
        <v>5887</v>
      </c>
      <c r="C159" s="15">
        <v>44820</v>
      </c>
      <c r="D159" s="14">
        <v>114187.16</v>
      </c>
      <c r="E159" s="14" t="s">
        <v>6505</v>
      </c>
      <c r="F159" s="14" t="s">
        <v>6506</v>
      </c>
      <c r="G159" s="14" t="s">
        <v>45</v>
      </c>
      <c r="H159" s="14">
        <v>35</v>
      </c>
      <c r="I159" s="13" t="str" cm="1">
        <f t="array" ref="I159">_xlfn.IFS(
  OR(ISBLANK(A159),ISBLANK(B159),ISBLANK(D159),ISBLANK(E159),ISBLANK(H159)),"Missing Value",
  D159&lt;0,"Review – Out of Range (Claim Amount)",
  H159&lt;0,"Review – Out of Range (Days to Process)",
  TRUE,"OK"
)</f>
        <v>OK</v>
      </c>
    </row>
    <row r="160" spans="1:9" ht="16.8" x14ac:dyDescent="0.3">
      <c r="A160" s="11" t="s">
        <v>6667</v>
      </c>
      <c r="B160" s="11" t="s">
        <v>6179</v>
      </c>
      <c r="C160" s="12">
        <v>44974</v>
      </c>
      <c r="D160" s="11">
        <v>282092.68</v>
      </c>
      <c r="E160" s="11" t="s">
        <v>6502</v>
      </c>
      <c r="F160" s="11" t="s">
        <v>6509</v>
      </c>
      <c r="G160" s="11" t="s">
        <v>45</v>
      </c>
      <c r="H160" s="11">
        <v>13</v>
      </c>
      <c r="I160" s="13" t="str" cm="1">
        <f t="array" ref="I160">_xlfn.IFS(
  OR(ISBLANK(A160),ISBLANK(B160),ISBLANK(D160),ISBLANK(E160),ISBLANK(H160)),"Missing Value",
  D160&lt;0,"Review – Out of Range (Claim Amount)",
  H160&lt;0,"Review – Out of Range (Days to Process)",
  TRUE,"OK"
)</f>
        <v>OK</v>
      </c>
    </row>
    <row r="161" spans="1:9" ht="16.8" x14ac:dyDescent="0.3">
      <c r="A161" s="14" t="s">
        <v>6668</v>
      </c>
      <c r="B161" s="14" t="s">
        <v>3390</v>
      </c>
      <c r="C161" s="15">
        <v>44751</v>
      </c>
      <c r="D161" s="14">
        <v>336832.73</v>
      </c>
      <c r="E161" s="14" t="s">
        <v>6502</v>
      </c>
      <c r="F161" s="14" t="s">
        <v>6503</v>
      </c>
      <c r="G161" s="14" t="s">
        <v>45</v>
      </c>
      <c r="H161" s="14">
        <v>55</v>
      </c>
      <c r="I161" s="13" t="str" cm="1">
        <f t="array" ref="I161">_xlfn.IFS(
  OR(ISBLANK(A161),ISBLANK(B161),ISBLANK(D161),ISBLANK(E161),ISBLANK(H161)),"Missing Value",
  D161&lt;0,"Review – Out of Range (Claim Amount)",
  H161&lt;0,"Review – Out of Range (Days to Process)",
  TRUE,"OK"
)</f>
        <v>OK</v>
      </c>
    </row>
    <row r="162" spans="1:9" ht="16.8" x14ac:dyDescent="0.3">
      <c r="A162" s="11" t="s">
        <v>6669</v>
      </c>
      <c r="B162" s="11" t="s">
        <v>3374</v>
      </c>
      <c r="C162" s="12">
        <v>44412</v>
      </c>
      <c r="D162" s="11">
        <v>291861</v>
      </c>
      <c r="E162" s="11" t="s">
        <v>6505</v>
      </c>
      <c r="F162" s="11" t="s">
        <v>6506</v>
      </c>
      <c r="G162" s="11" t="s">
        <v>45</v>
      </c>
      <c r="H162" s="11">
        <v>3</v>
      </c>
      <c r="I162" s="13" t="str" cm="1">
        <f t="array" ref="I162">_xlfn.IFS(
  OR(ISBLANK(A162),ISBLANK(B162),ISBLANK(D162),ISBLANK(E162),ISBLANK(H162)),"Missing Value",
  D162&lt;0,"Review – Out of Range (Claim Amount)",
  H162&lt;0,"Review – Out of Range (Days to Process)",
  TRUE,"OK"
)</f>
        <v>OK</v>
      </c>
    </row>
    <row r="163" spans="1:9" ht="16.8" x14ac:dyDescent="0.3">
      <c r="A163" s="14" t="s">
        <v>6670</v>
      </c>
      <c r="B163" s="14" t="s">
        <v>5989</v>
      </c>
      <c r="C163" s="15">
        <v>45513</v>
      </c>
      <c r="D163" s="14">
        <v>427818.99</v>
      </c>
      <c r="E163" s="14" t="s">
        <v>6502</v>
      </c>
      <c r="F163" s="14" t="s">
        <v>6511</v>
      </c>
      <c r="G163" s="14" t="s">
        <v>45</v>
      </c>
      <c r="H163" s="14">
        <v>44</v>
      </c>
      <c r="I163" s="13" t="str" cm="1">
        <f t="array" ref="I163">_xlfn.IFS(
  OR(ISBLANK(A163),ISBLANK(B163),ISBLANK(D163),ISBLANK(E163),ISBLANK(H163)),"Missing Value",
  D163&lt;0,"Review – Out of Range (Claim Amount)",
  H163&lt;0,"Review – Out of Range (Days to Process)",
  TRUE,"OK"
)</f>
        <v>OK</v>
      </c>
    </row>
    <row r="164" spans="1:9" ht="16.8" x14ac:dyDescent="0.3">
      <c r="A164" s="11" t="s">
        <v>6671</v>
      </c>
      <c r="B164" s="11" t="s">
        <v>3460</v>
      </c>
      <c r="C164" s="12">
        <v>45318</v>
      </c>
      <c r="D164" s="11">
        <v>457507.89</v>
      </c>
      <c r="E164" s="11" t="s">
        <v>6505</v>
      </c>
      <c r="F164" s="11" t="s">
        <v>6509</v>
      </c>
      <c r="G164" s="11" t="s">
        <v>45</v>
      </c>
      <c r="H164" s="11">
        <v>35</v>
      </c>
      <c r="I164" s="13" t="str" cm="1">
        <f t="array" ref="I164">_xlfn.IFS(
  OR(ISBLANK(A164),ISBLANK(B164),ISBLANK(D164),ISBLANK(E164),ISBLANK(H164)),"Missing Value",
  D164&lt;0,"Review – Out of Range (Claim Amount)",
  H164&lt;0,"Review – Out of Range (Days to Process)",
  TRUE,"OK"
)</f>
        <v>OK</v>
      </c>
    </row>
    <row r="165" spans="1:9" ht="16.8" x14ac:dyDescent="0.3">
      <c r="A165" s="14" t="s">
        <v>6672</v>
      </c>
      <c r="B165" s="14" t="s">
        <v>6144</v>
      </c>
      <c r="C165" s="15">
        <v>45448</v>
      </c>
      <c r="D165" s="14">
        <v>493129.9</v>
      </c>
      <c r="E165" s="14" t="s">
        <v>6505</v>
      </c>
      <c r="F165" s="14" t="s">
        <v>6506</v>
      </c>
      <c r="G165" s="14" t="s">
        <v>46</v>
      </c>
      <c r="H165" s="14">
        <v>38</v>
      </c>
      <c r="I165" s="13" t="str" cm="1">
        <f t="array" ref="I165">_xlfn.IFS(
  OR(ISBLANK(A165),ISBLANK(B165),ISBLANK(D165),ISBLANK(E165),ISBLANK(H165)),"Missing Value",
  D165&lt;0,"Review – Out of Range (Claim Amount)",
  H165&lt;0,"Review – Out of Range (Days to Process)",
  TRUE,"OK"
)</f>
        <v>OK</v>
      </c>
    </row>
    <row r="166" spans="1:9" ht="16.8" x14ac:dyDescent="0.3">
      <c r="A166" s="11" t="s">
        <v>6673</v>
      </c>
      <c r="B166" s="11" t="s">
        <v>3953</v>
      </c>
      <c r="C166" s="12">
        <v>45405</v>
      </c>
      <c r="D166" s="11">
        <v>185218.51</v>
      </c>
      <c r="E166" s="11" t="s">
        <v>6508</v>
      </c>
      <c r="F166" s="11" t="s">
        <v>6509</v>
      </c>
      <c r="G166" s="11" t="s">
        <v>45</v>
      </c>
      <c r="H166" s="11">
        <v>9</v>
      </c>
      <c r="I166" s="13" t="str" cm="1">
        <f t="array" ref="I166">_xlfn.IFS(
  OR(ISBLANK(A166),ISBLANK(B166),ISBLANK(D166),ISBLANK(E166),ISBLANK(H166)),"Missing Value",
  D166&lt;0,"Review – Out of Range (Claim Amount)",
  H166&lt;0,"Review – Out of Range (Days to Process)",
  TRUE,"OK"
)</f>
        <v>OK</v>
      </c>
    </row>
    <row r="167" spans="1:9" ht="16.8" x14ac:dyDescent="0.3">
      <c r="A167" s="14" t="s">
        <v>6674</v>
      </c>
      <c r="B167" s="14" t="s">
        <v>4655</v>
      </c>
      <c r="C167" s="15">
        <v>44741</v>
      </c>
      <c r="D167" s="14">
        <v>115903.76</v>
      </c>
      <c r="E167" s="14" t="s">
        <v>6505</v>
      </c>
      <c r="F167" s="14" t="s">
        <v>6516</v>
      </c>
      <c r="G167" s="14" t="s">
        <v>45</v>
      </c>
      <c r="H167" s="14">
        <v>35</v>
      </c>
      <c r="I167" s="13" t="str" cm="1">
        <f t="array" ref="I167">_xlfn.IFS(
  OR(ISBLANK(A167),ISBLANK(B167),ISBLANK(D167),ISBLANK(E167),ISBLANK(H167)),"Missing Value",
  D167&lt;0,"Review – Out of Range (Claim Amount)",
  H167&lt;0,"Review – Out of Range (Days to Process)",
  TRUE,"OK"
)</f>
        <v>OK</v>
      </c>
    </row>
    <row r="168" spans="1:9" ht="16.8" x14ac:dyDescent="0.3">
      <c r="A168" s="11" t="s">
        <v>6675</v>
      </c>
      <c r="B168" s="11" t="s">
        <v>5313</v>
      </c>
      <c r="C168" s="12">
        <v>45413</v>
      </c>
      <c r="D168" s="11">
        <v>393178.33</v>
      </c>
      <c r="E168" s="11" t="s">
        <v>6505</v>
      </c>
      <c r="F168" s="11" t="s">
        <v>6509</v>
      </c>
      <c r="G168" s="11" t="s">
        <v>46</v>
      </c>
      <c r="H168" s="11">
        <v>7</v>
      </c>
      <c r="I168" s="13" t="str" cm="1">
        <f t="array" ref="I168">_xlfn.IFS(
  OR(ISBLANK(A168),ISBLANK(B168),ISBLANK(D168),ISBLANK(E168),ISBLANK(H168)),"Missing Value",
  D168&lt;0,"Review – Out of Range (Claim Amount)",
  H168&lt;0,"Review – Out of Range (Days to Process)",
  TRUE,"OK"
)</f>
        <v>OK</v>
      </c>
    </row>
    <row r="169" spans="1:9" ht="16.8" x14ac:dyDescent="0.3">
      <c r="A169" s="14" t="s">
        <v>6676</v>
      </c>
      <c r="B169" s="14" t="s">
        <v>3784</v>
      </c>
      <c r="C169" s="15">
        <v>45305</v>
      </c>
      <c r="D169" s="14">
        <v>190001.79</v>
      </c>
      <c r="E169" s="14" t="s">
        <v>6505</v>
      </c>
      <c r="F169" s="14" t="s">
        <v>6509</v>
      </c>
      <c r="G169" s="14" t="s">
        <v>46</v>
      </c>
      <c r="H169" s="14">
        <v>51</v>
      </c>
      <c r="I169" s="13" t="str" cm="1">
        <f t="array" ref="I169">_xlfn.IFS(
  OR(ISBLANK(A169),ISBLANK(B169),ISBLANK(D169),ISBLANK(E169),ISBLANK(H169)),"Missing Value",
  D169&lt;0,"Review – Out of Range (Claim Amount)",
  H169&lt;0,"Review – Out of Range (Days to Process)",
  TRUE,"OK"
)</f>
        <v>OK</v>
      </c>
    </row>
    <row r="170" spans="1:9" ht="16.8" x14ac:dyDescent="0.3">
      <c r="A170" s="11" t="s">
        <v>6677</v>
      </c>
      <c r="B170" s="11" t="s">
        <v>5669</v>
      </c>
      <c r="C170" s="12">
        <v>45439</v>
      </c>
      <c r="D170" s="11">
        <v>366097.3</v>
      </c>
      <c r="E170" s="11" t="s">
        <v>6508</v>
      </c>
      <c r="F170" s="11" t="s">
        <v>6509</v>
      </c>
      <c r="G170" s="11" t="s">
        <v>46</v>
      </c>
      <c r="H170" s="11">
        <v>49</v>
      </c>
      <c r="I170" s="13" t="str" cm="1">
        <f t="array" ref="I170">_xlfn.IFS(
  OR(ISBLANK(A170),ISBLANK(B170),ISBLANK(D170),ISBLANK(E170),ISBLANK(H170)),"Missing Value",
  D170&lt;0,"Review – Out of Range (Claim Amount)",
  H170&lt;0,"Review – Out of Range (Days to Process)",
  TRUE,"OK"
)</f>
        <v>OK</v>
      </c>
    </row>
    <row r="171" spans="1:9" ht="16.8" x14ac:dyDescent="0.3">
      <c r="A171" s="14" t="s">
        <v>6678</v>
      </c>
      <c r="B171" s="14" t="s">
        <v>4532</v>
      </c>
      <c r="C171" s="15">
        <v>44218</v>
      </c>
      <c r="D171" s="14">
        <v>433352.03</v>
      </c>
      <c r="E171" s="14" t="s">
        <v>6508</v>
      </c>
      <c r="F171" s="14" t="s">
        <v>6506</v>
      </c>
      <c r="G171" s="14" t="s">
        <v>45</v>
      </c>
      <c r="H171" s="14">
        <v>29</v>
      </c>
      <c r="I171" s="13" t="str" cm="1">
        <f t="array" ref="I171">_xlfn.IFS(
  OR(ISBLANK(A171),ISBLANK(B171),ISBLANK(D171),ISBLANK(E171),ISBLANK(H171)),"Missing Value",
  D171&lt;0,"Review – Out of Range (Claim Amount)",
  H171&lt;0,"Review – Out of Range (Days to Process)",
  TRUE,"OK"
)</f>
        <v>OK</v>
      </c>
    </row>
    <row r="172" spans="1:9" ht="16.8" x14ac:dyDescent="0.3">
      <c r="A172" s="11" t="s">
        <v>6679</v>
      </c>
      <c r="B172" s="11" t="s">
        <v>4742</v>
      </c>
      <c r="C172" s="12">
        <v>45279</v>
      </c>
      <c r="D172" s="11">
        <v>412188.8</v>
      </c>
      <c r="E172" s="11" t="s">
        <v>6502</v>
      </c>
      <c r="F172" s="11" t="s">
        <v>6511</v>
      </c>
      <c r="G172" s="11" t="s">
        <v>45</v>
      </c>
      <c r="H172" s="11">
        <v>25</v>
      </c>
      <c r="I172" s="13" t="str" cm="1">
        <f t="array" ref="I172">_xlfn.IFS(
  OR(ISBLANK(A172),ISBLANK(B172),ISBLANK(D172),ISBLANK(E172),ISBLANK(H172)),"Missing Value",
  D172&lt;0,"Review – Out of Range (Claim Amount)",
  H172&lt;0,"Review – Out of Range (Days to Process)",
  TRUE,"OK"
)</f>
        <v>OK</v>
      </c>
    </row>
    <row r="173" spans="1:9" ht="16.8" x14ac:dyDescent="0.3">
      <c r="A173" s="14" t="s">
        <v>6680</v>
      </c>
      <c r="B173" s="14" t="s">
        <v>4896</v>
      </c>
      <c r="C173" s="15">
        <v>45318</v>
      </c>
      <c r="D173" s="14">
        <v>467606.14</v>
      </c>
      <c r="E173" s="14" t="s">
        <v>6505</v>
      </c>
      <c r="F173" s="14" t="s">
        <v>6503</v>
      </c>
      <c r="G173" s="14" t="s">
        <v>46</v>
      </c>
      <c r="H173" s="14">
        <v>15</v>
      </c>
      <c r="I173" s="13" t="str" cm="1">
        <f t="array" ref="I173">_xlfn.IFS(
  OR(ISBLANK(A173),ISBLANK(B173),ISBLANK(D173),ISBLANK(E173),ISBLANK(H173)),"Missing Value",
  D173&lt;0,"Review – Out of Range (Claim Amount)",
  H173&lt;0,"Review – Out of Range (Days to Process)",
  TRUE,"OK"
)</f>
        <v>OK</v>
      </c>
    </row>
    <row r="174" spans="1:9" ht="16.8" x14ac:dyDescent="0.3">
      <c r="A174" s="11" t="s">
        <v>6681</v>
      </c>
      <c r="B174" s="11" t="s">
        <v>3929</v>
      </c>
      <c r="C174" s="12">
        <v>45182</v>
      </c>
      <c r="D174" s="11">
        <v>126099.15</v>
      </c>
      <c r="E174" s="11" t="s">
        <v>6508</v>
      </c>
      <c r="F174" s="11" t="s">
        <v>6511</v>
      </c>
      <c r="G174" s="11" t="s">
        <v>45</v>
      </c>
      <c r="H174" s="11">
        <v>50</v>
      </c>
      <c r="I174" s="13" t="str" cm="1">
        <f t="array" ref="I174">_xlfn.IFS(
  OR(ISBLANK(A174),ISBLANK(B174),ISBLANK(D174),ISBLANK(E174),ISBLANK(H174)),"Missing Value",
  D174&lt;0,"Review – Out of Range (Claim Amount)",
  H174&lt;0,"Review – Out of Range (Days to Process)",
  TRUE,"OK"
)</f>
        <v>OK</v>
      </c>
    </row>
    <row r="175" spans="1:9" ht="16.8" x14ac:dyDescent="0.3">
      <c r="A175" s="14" t="s">
        <v>6682</v>
      </c>
      <c r="B175" s="14" t="s">
        <v>5060</v>
      </c>
      <c r="C175" s="15">
        <v>45434</v>
      </c>
      <c r="D175" s="14">
        <v>449234.45</v>
      </c>
      <c r="E175" s="14" t="s">
        <v>6505</v>
      </c>
      <c r="F175" s="14" t="s">
        <v>6506</v>
      </c>
      <c r="G175" s="14" t="s">
        <v>45</v>
      </c>
      <c r="H175" s="14">
        <v>50</v>
      </c>
      <c r="I175" s="13" t="str" cm="1">
        <f t="array" ref="I175">_xlfn.IFS(
  OR(ISBLANK(A175),ISBLANK(B175),ISBLANK(D175),ISBLANK(E175),ISBLANK(H175)),"Missing Value",
  D175&lt;0,"Review – Out of Range (Claim Amount)",
  H175&lt;0,"Review – Out of Range (Days to Process)",
  TRUE,"OK"
)</f>
        <v>OK</v>
      </c>
    </row>
    <row r="176" spans="1:9" ht="16.8" x14ac:dyDescent="0.3">
      <c r="A176" s="11" t="s">
        <v>6683</v>
      </c>
      <c r="B176" s="11" t="s">
        <v>5351</v>
      </c>
      <c r="C176" s="12">
        <v>44691</v>
      </c>
      <c r="D176" s="11">
        <v>405661.21</v>
      </c>
      <c r="E176" s="11" t="s">
        <v>6502</v>
      </c>
      <c r="F176" s="11" t="s">
        <v>6509</v>
      </c>
      <c r="G176" s="11" t="s">
        <v>45</v>
      </c>
      <c r="H176" s="11">
        <v>31</v>
      </c>
      <c r="I176" s="13" t="str" cm="1">
        <f t="array" ref="I176">_xlfn.IFS(
  OR(ISBLANK(A176),ISBLANK(B176),ISBLANK(D176),ISBLANK(E176),ISBLANK(H176)),"Missing Value",
  D176&lt;0,"Review – Out of Range (Claim Amount)",
  H176&lt;0,"Review – Out of Range (Days to Process)",
  TRUE,"OK"
)</f>
        <v>OK</v>
      </c>
    </row>
    <row r="177" spans="1:9" ht="16.8" x14ac:dyDescent="0.3">
      <c r="A177" s="14" t="s">
        <v>6684</v>
      </c>
      <c r="B177" s="14" t="s">
        <v>6429</v>
      </c>
      <c r="C177" s="15">
        <v>45300</v>
      </c>
      <c r="D177" s="14">
        <v>272997.51</v>
      </c>
      <c r="E177" s="14" t="s">
        <v>6502</v>
      </c>
      <c r="F177" s="14" t="s">
        <v>6516</v>
      </c>
      <c r="G177" s="14" t="s">
        <v>45</v>
      </c>
      <c r="H177" s="14">
        <v>43</v>
      </c>
      <c r="I177" s="13" t="str" cm="1">
        <f t="array" ref="I177">_xlfn.IFS(
  OR(ISBLANK(A177),ISBLANK(B177),ISBLANK(D177),ISBLANK(E177),ISBLANK(H177)),"Missing Value",
  D177&lt;0,"Review – Out of Range (Claim Amount)",
  H177&lt;0,"Review – Out of Range (Days to Process)",
  TRUE,"OK"
)</f>
        <v>OK</v>
      </c>
    </row>
    <row r="178" spans="1:9" ht="16.8" x14ac:dyDescent="0.3">
      <c r="A178" s="11" t="s">
        <v>6685</v>
      </c>
      <c r="B178" s="11" t="s">
        <v>6322</v>
      </c>
      <c r="C178" s="12">
        <v>44987</v>
      </c>
      <c r="D178" s="11">
        <v>49245.39</v>
      </c>
      <c r="E178" s="11" t="s">
        <v>6508</v>
      </c>
      <c r="F178" s="11" t="s">
        <v>6516</v>
      </c>
      <c r="G178" s="11" t="s">
        <v>45</v>
      </c>
      <c r="H178" s="11">
        <v>57</v>
      </c>
      <c r="I178" s="13" t="str" cm="1">
        <f t="array" ref="I178">_xlfn.IFS(
  OR(ISBLANK(A178),ISBLANK(B178),ISBLANK(D178),ISBLANK(E178),ISBLANK(H178)),"Missing Value",
  D178&lt;0,"Review – Out of Range (Claim Amount)",
  H178&lt;0,"Review – Out of Range (Days to Process)",
  TRUE,"OK"
)</f>
        <v>OK</v>
      </c>
    </row>
    <row r="179" spans="1:9" ht="16.8" x14ac:dyDescent="0.3">
      <c r="A179" s="14" t="s">
        <v>6686</v>
      </c>
      <c r="B179" s="14" t="s">
        <v>6108</v>
      </c>
      <c r="C179" s="15">
        <v>45174</v>
      </c>
      <c r="D179" s="14">
        <v>447811.8</v>
      </c>
      <c r="E179" s="14" t="s">
        <v>6505</v>
      </c>
      <c r="F179" s="14" t="s">
        <v>6511</v>
      </c>
      <c r="G179" s="14" t="s">
        <v>46</v>
      </c>
      <c r="H179" s="14">
        <v>57</v>
      </c>
      <c r="I179" s="13" t="str" cm="1">
        <f t="array" ref="I179">_xlfn.IFS(
  OR(ISBLANK(A179),ISBLANK(B179),ISBLANK(D179),ISBLANK(E179),ISBLANK(H179)),"Missing Value",
  D179&lt;0,"Review – Out of Range (Claim Amount)",
  H179&lt;0,"Review – Out of Range (Days to Process)",
  TRUE,"OK"
)</f>
        <v>OK</v>
      </c>
    </row>
    <row r="180" spans="1:9" ht="16.8" x14ac:dyDescent="0.3">
      <c r="A180" s="11" t="s">
        <v>6687</v>
      </c>
      <c r="B180" s="11" t="s">
        <v>4347</v>
      </c>
      <c r="C180" s="12">
        <v>44610</v>
      </c>
      <c r="D180" s="11">
        <v>184987.88</v>
      </c>
      <c r="E180" s="11" t="s">
        <v>6505</v>
      </c>
      <c r="F180" s="11" t="s">
        <v>6516</v>
      </c>
      <c r="G180" s="11" t="s">
        <v>46</v>
      </c>
      <c r="H180" s="11">
        <v>50</v>
      </c>
      <c r="I180" s="13" t="str" cm="1">
        <f t="array" ref="I180">_xlfn.IFS(
  OR(ISBLANK(A180),ISBLANK(B180),ISBLANK(D180),ISBLANK(E180),ISBLANK(H180)),"Missing Value",
  D180&lt;0,"Review – Out of Range (Claim Amount)",
  H180&lt;0,"Review – Out of Range (Days to Process)",
  TRUE,"OK"
)</f>
        <v>OK</v>
      </c>
    </row>
    <row r="181" spans="1:9" ht="16.8" x14ac:dyDescent="0.3">
      <c r="A181" s="14" t="s">
        <v>6688</v>
      </c>
      <c r="B181" s="14" t="s">
        <v>5591</v>
      </c>
      <c r="C181" s="15">
        <v>45481</v>
      </c>
      <c r="D181" s="14">
        <v>406639.31</v>
      </c>
      <c r="E181" s="14" t="s">
        <v>6508</v>
      </c>
      <c r="F181" s="14" t="s">
        <v>6503</v>
      </c>
      <c r="G181" s="14" t="s">
        <v>45</v>
      </c>
      <c r="H181" s="14">
        <v>36</v>
      </c>
      <c r="I181" s="13" t="str" cm="1">
        <f t="array" ref="I181">_xlfn.IFS(
  OR(ISBLANK(A181),ISBLANK(B181),ISBLANK(D181),ISBLANK(E181),ISBLANK(H181)),"Missing Value",
  D181&lt;0,"Review – Out of Range (Claim Amount)",
  H181&lt;0,"Review – Out of Range (Days to Process)",
  TRUE,"OK"
)</f>
        <v>OK</v>
      </c>
    </row>
    <row r="182" spans="1:9" ht="16.8" x14ac:dyDescent="0.3">
      <c r="A182" s="11" t="s">
        <v>6689</v>
      </c>
      <c r="B182" s="11" t="s">
        <v>6081</v>
      </c>
      <c r="C182" s="12">
        <v>45530</v>
      </c>
      <c r="D182" s="11">
        <v>457481.83</v>
      </c>
      <c r="E182" s="11" t="s">
        <v>6505</v>
      </c>
      <c r="F182" s="11" t="s">
        <v>6509</v>
      </c>
      <c r="G182" s="11" t="s">
        <v>46</v>
      </c>
      <c r="H182" s="11">
        <v>44</v>
      </c>
      <c r="I182" s="13" t="str" cm="1">
        <f t="array" ref="I182">_xlfn.IFS(
  OR(ISBLANK(A182),ISBLANK(B182),ISBLANK(D182),ISBLANK(E182),ISBLANK(H182)),"Missing Value",
  D182&lt;0,"Review – Out of Range (Claim Amount)",
  H182&lt;0,"Review – Out of Range (Days to Process)",
  TRUE,"OK"
)</f>
        <v>OK</v>
      </c>
    </row>
    <row r="183" spans="1:9" ht="16.8" x14ac:dyDescent="0.3">
      <c r="A183" s="14" t="s">
        <v>6690</v>
      </c>
      <c r="B183" s="14" t="s">
        <v>6134</v>
      </c>
      <c r="C183" s="15">
        <v>45183</v>
      </c>
      <c r="D183" s="14">
        <v>59758.77</v>
      </c>
      <c r="E183" s="14" t="s">
        <v>6508</v>
      </c>
      <c r="F183" s="14" t="s">
        <v>6516</v>
      </c>
      <c r="G183" s="14" t="s">
        <v>46</v>
      </c>
      <c r="H183" s="14">
        <v>50</v>
      </c>
      <c r="I183" s="13" t="str" cm="1">
        <f t="array" ref="I183">_xlfn.IFS(
  OR(ISBLANK(A183),ISBLANK(B183),ISBLANK(D183),ISBLANK(E183),ISBLANK(H183)),"Missing Value",
  D183&lt;0,"Review – Out of Range (Claim Amount)",
  H183&lt;0,"Review – Out of Range (Days to Process)",
  TRUE,"OK"
)</f>
        <v>OK</v>
      </c>
    </row>
    <row r="184" spans="1:9" ht="16.8" x14ac:dyDescent="0.3">
      <c r="A184" s="11" t="s">
        <v>6691</v>
      </c>
      <c r="B184" s="11" t="s">
        <v>3853</v>
      </c>
      <c r="C184" s="12">
        <v>45466</v>
      </c>
      <c r="D184" s="11">
        <v>78435.73</v>
      </c>
      <c r="E184" s="11" t="s">
        <v>6502</v>
      </c>
      <c r="F184" s="11" t="s">
        <v>6509</v>
      </c>
      <c r="G184" s="11" t="s">
        <v>45</v>
      </c>
      <c r="H184" s="11">
        <v>28</v>
      </c>
      <c r="I184" s="13" t="str" cm="1">
        <f t="array" ref="I184">_xlfn.IFS(
  OR(ISBLANK(A184),ISBLANK(B184),ISBLANK(D184),ISBLANK(E184),ISBLANK(H184)),"Missing Value",
  D184&lt;0,"Review – Out of Range (Claim Amount)",
  H184&lt;0,"Review – Out of Range (Days to Process)",
  TRUE,"OK"
)</f>
        <v>OK</v>
      </c>
    </row>
    <row r="185" spans="1:9" ht="16.8" x14ac:dyDescent="0.3">
      <c r="A185" s="14" t="s">
        <v>6692</v>
      </c>
      <c r="B185" s="14" t="s">
        <v>6000</v>
      </c>
      <c r="C185" s="15">
        <v>45342</v>
      </c>
      <c r="D185" s="14">
        <v>402854.59</v>
      </c>
      <c r="E185" s="14" t="s">
        <v>6508</v>
      </c>
      <c r="F185" s="14" t="s">
        <v>6509</v>
      </c>
      <c r="G185" s="14" t="s">
        <v>46</v>
      </c>
      <c r="H185" s="14">
        <v>34</v>
      </c>
      <c r="I185" s="13" t="str" cm="1">
        <f t="array" ref="I185">_xlfn.IFS(
  OR(ISBLANK(A185),ISBLANK(B185),ISBLANK(D185),ISBLANK(E185),ISBLANK(H185)),"Missing Value",
  D185&lt;0,"Review – Out of Range (Claim Amount)",
  H185&lt;0,"Review – Out of Range (Days to Process)",
  TRUE,"OK"
)</f>
        <v>OK</v>
      </c>
    </row>
    <row r="186" spans="1:9" ht="16.8" x14ac:dyDescent="0.3">
      <c r="A186" s="11" t="s">
        <v>6693</v>
      </c>
      <c r="B186" s="11" t="s">
        <v>3594</v>
      </c>
      <c r="C186" s="12">
        <v>45732</v>
      </c>
      <c r="D186" s="11">
        <v>318254.95</v>
      </c>
      <c r="E186" s="11" t="s">
        <v>6508</v>
      </c>
      <c r="F186" s="11" t="s">
        <v>6503</v>
      </c>
      <c r="G186" s="11" t="s">
        <v>45</v>
      </c>
      <c r="H186" s="11">
        <v>22</v>
      </c>
      <c r="I186" s="13" t="str" cm="1">
        <f t="array" ref="I186">_xlfn.IFS(
  OR(ISBLANK(A186),ISBLANK(B186),ISBLANK(D186),ISBLANK(E186),ISBLANK(H186)),"Missing Value",
  D186&lt;0,"Review – Out of Range (Claim Amount)",
  H186&lt;0,"Review – Out of Range (Days to Process)",
  TRUE,"OK"
)</f>
        <v>OK</v>
      </c>
    </row>
    <row r="187" spans="1:9" ht="16.8" x14ac:dyDescent="0.3">
      <c r="A187" s="14" t="s">
        <v>6694</v>
      </c>
      <c r="B187" s="14" t="s">
        <v>6375</v>
      </c>
      <c r="C187" s="15">
        <v>45219</v>
      </c>
      <c r="D187" s="14">
        <v>267764.89</v>
      </c>
      <c r="E187" s="14" t="s">
        <v>6508</v>
      </c>
      <c r="F187" s="14" t="s">
        <v>6511</v>
      </c>
      <c r="G187" s="14" t="s">
        <v>46</v>
      </c>
      <c r="H187" s="14">
        <v>35</v>
      </c>
      <c r="I187" s="13" t="str" cm="1">
        <f t="array" ref="I187">_xlfn.IFS(
  OR(ISBLANK(A187),ISBLANK(B187),ISBLANK(D187),ISBLANK(E187),ISBLANK(H187)),"Missing Value",
  D187&lt;0,"Review – Out of Range (Claim Amount)",
  H187&lt;0,"Review – Out of Range (Days to Process)",
  TRUE,"OK"
)</f>
        <v>OK</v>
      </c>
    </row>
    <row r="188" spans="1:9" ht="16.8" x14ac:dyDescent="0.3">
      <c r="A188" s="11" t="s">
        <v>6695</v>
      </c>
      <c r="B188" s="11" t="s">
        <v>5546</v>
      </c>
      <c r="C188" s="12">
        <v>44463</v>
      </c>
      <c r="D188" s="11">
        <v>309627.51</v>
      </c>
      <c r="E188" s="11" t="s">
        <v>6502</v>
      </c>
      <c r="F188" s="11" t="s">
        <v>6506</v>
      </c>
      <c r="G188" s="11" t="s">
        <v>46</v>
      </c>
      <c r="H188" s="11">
        <v>21</v>
      </c>
      <c r="I188" s="13" t="str" cm="1">
        <f t="array" ref="I188">_xlfn.IFS(
  OR(ISBLANK(A188),ISBLANK(B188),ISBLANK(D188),ISBLANK(E188),ISBLANK(H188)),"Missing Value",
  D188&lt;0,"Review – Out of Range (Claim Amount)",
  H188&lt;0,"Review – Out of Range (Days to Process)",
  TRUE,"OK"
)</f>
        <v>OK</v>
      </c>
    </row>
    <row r="189" spans="1:9" ht="16.8" x14ac:dyDescent="0.3">
      <c r="A189" s="14" t="s">
        <v>6696</v>
      </c>
      <c r="B189" s="14" t="s">
        <v>4830</v>
      </c>
      <c r="C189" s="15">
        <v>44790</v>
      </c>
      <c r="D189" s="14">
        <v>133966.5</v>
      </c>
      <c r="E189" s="14" t="s">
        <v>6505</v>
      </c>
      <c r="F189" s="14" t="s">
        <v>6503</v>
      </c>
      <c r="G189" s="14" t="s">
        <v>46</v>
      </c>
      <c r="H189" s="14">
        <v>16</v>
      </c>
      <c r="I189" s="13" t="str" cm="1">
        <f t="array" ref="I189">_xlfn.IFS(
  OR(ISBLANK(A189),ISBLANK(B189),ISBLANK(D189),ISBLANK(E189),ISBLANK(H189)),"Missing Value",
  D189&lt;0,"Review – Out of Range (Claim Amount)",
  H189&lt;0,"Review – Out of Range (Days to Process)",
  TRUE,"OK"
)</f>
        <v>OK</v>
      </c>
    </row>
    <row r="190" spans="1:9" ht="16.8" x14ac:dyDescent="0.3">
      <c r="A190" s="11" t="s">
        <v>6697</v>
      </c>
      <c r="B190" s="11" t="s">
        <v>6402</v>
      </c>
      <c r="C190" s="12">
        <v>44749</v>
      </c>
      <c r="D190" s="11">
        <v>304419.8</v>
      </c>
      <c r="E190" s="11" t="s">
        <v>6505</v>
      </c>
      <c r="F190" s="11" t="s">
        <v>6503</v>
      </c>
      <c r="G190" s="11" t="s">
        <v>46</v>
      </c>
      <c r="H190" s="11">
        <v>58</v>
      </c>
      <c r="I190" s="13" t="str" cm="1">
        <f t="array" ref="I190">_xlfn.IFS(
  OR(ISBLANK(A190),ISBLANK(B190),ISBLANK(D190),ISBLANK(E190),ISBLANK(H190)),"Missing Value",
  D190&lt;0,"Review – Out of Range (Claim Amount)",
  H190&lt;0,"Review – Out of Range (Days to Process)",
  TRUE,"OK"
)</f>
        <v>OK</v>
      </c>
    </row>
    <row r="191" spans="1:9" ht="16.8" x14ac:dyDescent="0.3">
      <c r="A191" s="14" t="s">
        <v>6698</v>
      </c>
      <c r="B191" s="14" t="s">
        <v>6019</v>
      </c>
      <c r="C191" s="15">
        <v>44817</v>
      </c>
      <c r="D191" s="14">
        <v>57482.06</v>
      </c>
      <c r="E191" s="14" t="s">
        <v>6502</v>
      </c>
      <c r="F191" s="14" t="s">
        <v>6509</v>
      </c>
      <c r="G191" s="14" t="s">
        <v>45</v>
      </c>
      <c r="H191" s="14">
        <v>58</v>
      </c>
      <c r="I191" s="13" t="str" cm="1">
        <f t="array" ref="I191">_xlfn.IFS(
  OR(ISBLANK(A191),ISBLANK(B191),ISBLANK(D191),ISBLANK(E191),ISBLANK(H191)),"Missing Value",
  D191&lt;0,"Review – Out of Range (Claim Amount)",
  H191&lt;0,"Review – Out of Range (Days to Process)",
  TRUE,"OK"
)</f>
        <v>OK</v>
      </c>
    </row>
    <row r="192" spans="1:9" ht="16.8" x14ac:dyDescent="0.3">
      <c r="A192" s="11" t="s">
        <v>6699</v>
      </c>
      <c r="B192" s="11" t="s">
        <v>4299</v>
      </c>
      <c r="C192" s="12">
        <v>45541</v>
      </c>
      <c r="D192" s="11">
        <v>455029.32</v>
      </c>
      <c r="E192" s="11" t="s">
        <v>6505</v>
      </c>
      <c r="F192" s="11" t="s">
        <v>6511</v>
      </c>
      <c r="G192" s="11" t="s">
        <v>45</v>
      </c>
      <c r="H192" s="11">
        <v>39</v>
      </c>
      <c r="I192" s="13" t="str" cm="1">
        <f t="array" ref="I192">_xlfn.IFS(
  OR(ISBLANK(A192),ISBLANK(B192),ISBLANK(D192),ISBLANK(E192),ISBLANK(H192)),"Missing Value",
  D192&lt;0,"Review – Out of Range (Claim Amount)",
  H192&lt;0,"Review – Out of Range (Days to Process)",
  TRUE,"OK"
)</f>
        <v>OK</v>
      </c>
    </row>
    <row r="193" spans="1:9" ht="16.8" x14ac:dyDescent="0.3">
      <c r="A193" s="14" t="s">
        <v>6700</v>
      </c>
      <c r="B193" s="14" t="s">
        <v>4193</v>
      </c>
      <c r="C193" s="15">
        <v>45749</v>
      </c>
      <c r="D193" s="14">
        <v>476956.81</v>
      </c>
      <c r="E193" s="14" t="s">
        <v>6505</v>
      </c>
      <c r="F193" s="14" t="s">
        <v>6509</v>
      </c>
      <c r="G193" s="14" t="s">
        <v>46</v>
      </c>
      <c r="H193" s="14">
        <v>18</v>
      </c>
      <c r="I193" s="13" t="str" cm="1">
        <f t="array" ref="I193">_xlfn.IFS(
  OR(ISBLANK(A193),ISBLANK(B193),ISBLANK(D193),ISBLANK(E193),ISBLANK(H193)),"Missing Value",
  D193&lt;0,"Review – Out of Range (Claim Amount)",
  H193&lt;0,"Review – Out of Range (Days to Process)",
  TRUE,"OK"
)</f>
        <v>OK</v>
      </c>
    </row>
    <row r="194" spans="1:9" ht="16.8" x14ac:dyDescent="0.3">
      <c r="A194" s="11" t="s">
        <v>6701</v>
      </c>
      <c r="B194" s="11" t="s">
        <v>5915</v>
      </c>
      <c r="C194" s="12">
        <v>45043</v>
      </c>
      <c r="D194" s="11">
        <v>94138.78</v>
      </c>
      <c r="E194" s="11" t="s">
        <v>6502</v>
      </c>
      <c r="F194" s="11" t="s">
        <v>6509</v>
      </c>
      <c r="G194" s="11" t="s">
        <v>45</v>
      </c>
      <c r="H194" s="11">
        <v>41</v>
      </c>
      <c r="I194" s="13" t="str" cm="1">
        <f t="array" ref="I194">_xlfn.IFS(
  OR(ISBLANK(A194),ISBLANK(B194),ISBLANK(D194),ISBLANK(E194),ISBLANK(H194)),"Missing Value",
  D194&lt;0,"Review – Out of Range (Claim Amount)",
  H194&lt;0,"Review – Out of Range (Days to Process)",
  TRUE,"OK"
)</f>
        <v>OK</v>
      </c>
    </row>
    <row r="195" spans="1:9" ht="16.8" x14ac:dyDescent="0.3">
      <c r="A195" s="14" t="s">
        <v>6702</v>
      </c>
      <c r="B195" s="14" t="s">
        <v>5222</v>
      </c>
      <c r="C195" s="15">
        <v>44640</v>
      </c>
      <c r="D195" s="14">
        <v>356676.7</v>
      </c>
      <c r="E195" s="14" t="s">
        <v>6505</v>
      </c>
      <c r="F195" s="14" t="s">
        <v>6509</v>
      </c>
      <c r="G195" s="14" t="s">
        <v>45</v>
      </c>
      <c r="H195" s="14">
        <v>39</v>
      </c>
      <c r="I195" s="13" t="str" cm="1">
        <f t="array" ref="I195">_xlfn.IFS(
  OR(ISBLANK(A195),ISBLANK(B195),ISBLANK(D195),ISBLANK(E195),ISBLANK(H195)),"Missing Value",
  D195&lt;0,"Review – Out of Range (Claim Amount)",
  H195&lt;0,"Review – Out of Range (Days to Process)",
  TRUE,"OK"
)</f>
        <v>OK</v>
      </c>
    </row>
    <row r="196" spans="1:9" ht="16.8" x14ac:dyDescent="0.3">
      <c r="A196" s="11" t="s">
        <v>6703</v>
      </c>
      <c r="B196" s="11" t="s">
        <v>5844</v>
      </c>
      <c r="C196" s="12">
        <v>45004</v>
      </c>
      <c r="D196" s="11">
        <v>367641.93</v>
      </c>
      <c r="E196" s="11" t="s">
        <v>6502</v>
      </c>
      <c r="F196" s="11" t="s">
        <v>6516</v>
      </c>
      <c r="G196" s="11" t="s">
        <v>46</v>
      </c>
      <c r="H196" s="11">
        <v>38</v>
      </c>
      <c r="I196" s="13" t="str" cm="1">
        <f t="array" ref="I196">_xlfn.IFS(
  OR(ISBLANK(A196),ISBLANK(B196),ISBLANK(D196),ISBLANK(E196),ISBLANK(H196)),"Missing Value",
  D196&lt;0,"Review – Out of Range (Claim Amount)",
  H196&lt;0,"Review – Out of Range (Days to Process)",
  TRUE,"OK"
)</f>
        <v>OK</v>
      </c>
    </row>
    <row r="197" spans="1:9" ht="16.8" x14ac:dyDescent="0.3">
      <c r="A197" s="14" t="s">
        <v>6704</v>
      </c>
      <c r="B197" s="14" t="s">
        <v>5884</v>
      </c>
      <c r="C197" s="15">
        <v>45121</v>
      </c>
      <c r="D197" s="14">
        <v>484327.59</v>
      </c>
      <c r="E197" s="14" t="s">
        <v>6505</v>
      </c>
      <c r="F197" s="14" t="s">
        <v>6509</v>
      </c>
      <c r="G197" s="14" t="s">
        <v>46</v>
      </c>
      <c r="H197" s="14">
        <v>2</v>
      </c>
      <c r="I197" s="13" t="str" cm="1">
        <f t="array" ref="I197">_xlfn.IFS(
  OR(ISBLANK(A197),ISBLANK(B197),ISBLANK(D197),ISBLANK(E197),ISBLANK(H197)),"Missing Value",
  D197&lt;0,"Review – Out of Range (Claim Amount)",
  H197&lt;0,"Review – Out of Range (Days to Process)",
  TRUE,"OK"
)</f>
        <v>OK</v>
      </c>
    </row>
    <row r="198" spans="1:9" ht="16.8" x14ac:dyDescent="0.3">
      <c r="A198" s="11" t="s">
        <v>6705</v>
      </c>
      <c r="B198" s="11" t="s">
        <v>5267</v>
      </c>
      <c r="C198" s="12">
        <v>45189</v>
      </c>
      <c r="D198" s="11">
        <v>38339.699999999997</v>
      </c>
      <c r="E198" s="11" t="s">
        <v>6505</v>
      </c>
      <c r="F198" s="11" t="s">
        <v>6511</v>
      </c>
      <c r="G198" s="11" t="s">
        <v>45</v>
      </c>
      <c r="H198" s="11">
        <v>3</v>
      </c>
      <c r="I198" s="13" t="str" cm="1">
        <f t="array" ref="I198">_xlfn.IFS(
  OR(ISBLANK(A198),ISBLANK(B198),ISBLANK(D198),ISBLANK(E198),ISBLANK(H198)),"Missing Value",
  D198&lt;0,"Review – Out of Range (Claim Amount)",
  H198&lt;0,"Review – Out of Range (Days to Process)",
  TRUE,"OK"
)</f>
        <v>OK</v>
      </c>
    </row>
    <row r="199" spans="1:9" ht="16.8" x14ac:dyDescent="0.3">
      <c r="A199" s="14" t="s">
        <v>6706</v>
      </c>
      <c r="B199" s="14" t="s">
        <v>6215</v>
      </c>
      <c r="C199" s="15">
        <v>45236</v>
      </c>
      <c r="D199" s="14">
        <v>264250.76</v>
      </c>
      <c r="E199" s="14" t="s">
        <v>6508</v>
      </c>
      <c r="F199" s="14" t="s">
        <v>6509</v>
      </c>
      <c r="G199" s="14" t="s">
        <v>45</v>
      </c>
      <c r="H199" s="14">
        <v>13</v>
      </c>
      <c r="I199" s="13" t="str" cm="1">
        <f t="array" ref="I199">_xlfn.IFS(
  OR(ISBLANK(A199),ISBLANK(B199),ISBLANK(D199),ISBLANK(E199),ISBLANK(H199)),"Missing Value",
  D199&lt;0,"Review – Out of Range (Claim Amount)",
  H199&lt;0,"Review – Out of Range (Days to Process)",
  TRUE,"OK"
)</f>
        <v>OK</v>
      </c>
    </row>
    <row r="200" spans="1:9" ht="16.8" x14ac:dyDescent="0.3">
      <c r="A200" s="11" t="s">
        <v>6707</v>
      </c>
      <c r="B200" s="11" t="s">
        <v>3989</v>
      </c>
      <c r="C200" s="12">
        <v>45197</v>
      </c>
      <c r="D200" s="11">
        <v>287492.87</v>
      </c>
      <c r="E200" s="11" t="s">
        <v>6502</v>
      </c>
      <c r="F200" s="11" t="s">
        <v>6516</v>
      </c>
      <c r="G200" s="11" t="s">
        <v>46</v>
      </c>
      <c r="H200" s="11">
        <v>58</v>
      </c>
      <c r="I200" s="13" t="str" cm="1">
        <f t="array" ref="I200">_xlfn.IFS(
  OR(ISBLANK(A200),ISBLANK(B200),ISBLANK(D200),ISBLANK(E200),ISBLANK(H200)),"Missing Value",
  D200&lt;0,"Review – Out of Range (Claim Amount)",
  H200&lt;0,"Review – Out of Range (Days to Process)",
  TRUE,"OK"
)</f>
        <v>OK</v>
      </c>
    </row>
    <row r="201" spans="1:9" ht="16.8" x14ac:dyDescent="0.3">
      <c r="A201" s="14" t="s">
        <v>6708</v>
      </c>
      <c r="B201" s="14" t="s">
        <v>4820</v>
      </c>
      <c r="C201" s="15">
        <v>45476</v>
      </c>
      <c r="D201" s="14">
        <v>104562.49</v>
      </c>
      <c r="E201" s="14" t="s">
        <v>6505</v>
      </c>
      <c r="F201" s="14" t="s">
        <v>6511</v>
      </c>
      <c r="G201" s="14" t="s">
        <v>45</v>
      </c>
      <c r="H201" s="14">
        <v>11</v>
      </c>
      <c r="I201" s="13" t="str" cm="1">
        <f t="array" ref="I201">_xlfn.IFS(
  OR(ISBLANK(A201),ISBLANK(B201),ISBLANK(D201),ISBLANK(E201),ISBLANK(H201)),"Missing Value",
  D201&lt;0,"Review – Out of Range (Claim Amount)",
  H201&lt;0,"Review – Out of Range (Days to Process)",
  TRUE,"OK"
)</f>
        <v>OK</v>
      </c>
    </row>
    <row r="202" spans="1:9" ht="16.8" x14ac:dyDescent="0.3">
      <c r="A202" s="11" t="s">
        <v>6709</v>
      </c>
      <c r="B202" s="11" t="s">
        <v>4313</v>
      </c>
      <c r="C202" s="12">
        <v>45209</v>
      </c>
      <c r="D202" s="11">
        <v>129279.97</v>
      </c>
      <c r="E202" s="11" t="s">
        <v>6508</v>
      </c>
      <c r="F202" s="11" t="s">
        <v>6506</v>
      </c>
      <c r="G202" s="11" t="s">
        <v>45</v>
      </c>
      <c r="H202" s="11">
        <v>30</v>
      </c>
      <c r="I202" s="13" t="str" cm="1">
        <f t="array" ref="I202">_xlfn.IFS(
  OR(ISBLANK(A202),ISBLANK(B202),ISBLANK(D202),ISBLANK(E202),ISBLANK(H202)),"Missing Value",
  D202&lt;0,"Review – Out of Range (Claim Amount)",
  H202&lt;0,"Review – Out of Range (Days to Process)",
  TRUE,"OK"
)</f>
        <v>OK</v>
      </c>
    </row>
    <row r="203" spans="1:9" ht="16.8" x14ac:dyDescent="0.3">
      <c r="A203" s="14" t="s">
        <v>6710</v>
      </c>
      <c r="B203" s="14" t="s">
        <v>5891</v>
      </c>
      <c r="C203" s="15">
        <v>44667</v>
      </c>
      <c r="D203" s="14">
        <v>37067.339999999997</v>
      </c>
      <c r="E203" s="14" t="s">
        <v>6505</v>
      </c>
      <c r="F203" s="14" t="s">
        <v>6511</v>
      </c>
      <c r="G203" s="14" t="s">
        <v>46</v>
      </c>
      <c r="H203" s="14">
        <v>46</v>
      </c>
      <c r="I203" s="13" t="str" cm="1">
        <f t="array" ref="I203">_xlfn.IFS(
  OR(ISBLANK(A203),ISBLANK(B203),ISBLANK(D203),ISBLANK(E203),ISBLANK(H203)),"Missing Value",
  D203&lt;0,"Review – Out of Range (Claim Amount)",
  H203&lt;0,"Review – Out of Range (Days to Process)",
  TRUE,"OK"
)</f>
        <v>OK</v>
      </c>
    </row>
    <row r="204" spans="1:9" ht="16.8" x14ac:dyDescent="0.3">
      <c r="A204" s="11" t="s">
        <v>6711</v>
      </c>
      <c r="B204" s="11" t="s">
        <v>5973</v>
      </c>
      <c r="C204" s="12">
        <v>45428</v>
      </c>
      <c r="D204" s="11">
        <v>493334.36</v>
      </c>
      <c r="E204" s="11" t="s">
        <v>6502</v>
      </c>
      <c r="F204" s="11" t="s">
        <v>6511</v>
      </c>
      <c r="G204" s="11" t="s">
        <v>46</v>
      </c>
      <c r="H204" s="11">
        <v>30</v>
      </c>
      <c r="I204" s="13" t="str" cm="1">
        <f t="array" ref="I204">_xlfn.IFS(
  OR(ISBLANK(A204),ISBLANK(B204),ISBLANK(D204),ISBLANK(E204),ISBLANK(H204)),"Missing Value",
  D204&lt;0,"Review – Out of Range (Claim Amount)",
  H204&lt;0,"Review – Out of Range (Days to Process)",
  TRUE,"OK"
)</f>
        <v>OK</v>
      </c>
    </row>
    <row r="205" spans="1:9" ht="16.8" x14ac:dyDescent="0.3">
      <c r="A205" s="14" t="s">
        <v>6712</v>
      </c>
      <c r="B205" s="14" t="s">
        <v>6349</v>
      </c>
      <c r="C205" s="15">
        <v>45303</v>
      </c>
      <c r="D205" s="14">
        <v>73512.63</v>
      </c>
      <c r="E205" s="14" t="s">
        <v>6505</v>
      </c>
      <c r="F205" s="14" t="s">
        <v>6509</v>
      </c>
      <c r="G205" s="14" t="s">
        <v>46</v>
      </c>
      <c r="H205" s="14">
        <v>22</v>
      </c>
      <c r="I205" s="13" t="str" cm="1">
        <f t="array" ref="I205">_xlfn.IFS(
  OR(ISBLANK(A205),ISBLANK(B205),ISBLANK(D205),ISBLANK(E205),ISBLANK(H205)),"Missing Value",
  D205&lt;0,"Review – Out of Range (Claim Amount)",
  H205&lt;0,"Review – Out of Range (Days to Process)",
  TRUE,"OK"
)</f>
        <v>OK</v>
      </c>
    </row>
    <row r="206" spans="1:9" ht="16.8" x14ac:dyDescent="0.3">
      <c r="A206" s="11" t="s">
        <v>6713</v>
      </c>
      <c r="B206" s="11" t="s">
        <v>5926</v>
      </c>
      <c r="C206" s="12">
        <v>45054</v>
      </c>
      <c r="D206" s="11">
        <v>85769.61</v>
      </c>
      <c r="E206" s="11" t="s">
        <v>6502</v>
      </c>
      <c r="F206" s="11" t="s">
        <v>6511</v>
      </c>
      <c r="G206" s="11" t="s">
        <v>46</v>
      </c>
      <c r="H206" s="11">
        <v>32</v>
      </c>
      <c r="I206" s="13" t="str" cm="1">
        <f t="array" ref="I206">_xlfn.IFS(
  OR(ISBLANK(A206),ISBLANK(B206),ISBLANK(D206),ISBLANK(E206),ISBLANK(H206)),"Missing Value",
  D206&lt;0,"Review – Out of Range (Claim Amount)",
  H206&lt;0,"Review – Out of Range (Days to Process)",
  TRUE,"OK"
)</f>
        <v>OK</v>
      </c>
    </row>
    <row r="207" spans="1:9" ht="16.8" x14ac:dyDescent="0.3">
      <c r="A207" s="14" t="s">
        <v>6714</v>
      </c>
      <c r="B207" s="14" t="s">
        <v>4250</v>
      </c>
      <c r="C207" s="15">
        <v>45261</v>
      </c>
      <c r="D207" s="14">
        <v>233959.67999999999</v>
      </c>
      <c r="E207" s="14" t="s">
        <v>6502</v>
      </c>
      <c r="F207" s="14" t="s">
        <v>6509</v>
      </c>
      <c r="G207" s="14" t="s">
        <v>46</v>
      </c>
      <c r="H207" s="14">
        <v>41</v>
      </c>
      <c r="I207" s="13" t="str" cm="1">
        <f t="array" ref="I207">_xlfn.IFS(
  OR(ISBLANK(A207),ISBLANK(B207),ISBLANK(D207),ISBLANK(E207),ISBLANK(H207)),"Missing Value",
  D207&lt;0,"Review – Out of Range (Claim Amount)",
  H207&lt;0,"Review – Out of Range (Days to Process)",
  TRUE,"OK"
)</f>
        <v>OK</v>
      </c>
    </row>
    <row r="208" spans="1:9" ht="16.8" x14ac:dyDescent="0.3">
      <c r="A208" s="11" t="s">
        <v>6715</v>
      </c>
      <c r="B208" s="11" t="s">
        <v>5693</v>
      </c>
      <c r="C208" s="12">
        <v>45462</v>
      </c>
      <c r="D208" s="11">
        <v>114582.05</v>
      </c>
      <c r="E208" s="11" t="s">
        <v>6505</v>
      </c>
      <c r="F208" s="11" t="s">
        <v>6511</v>
      </c>
      <c r="G208" s="11" t="s">
        <v>46</v>
      </c>
      <c r="H208" s="11">
        <v>29</v>
      </c>
      <c r="I208" s="13" t="str" cm="1">
        <f t="array" ref="I208">_xlfn.IFS(
  OR(ISBLANK(A208),ISBLANK(B208),ISBLANK(D208),ISBLANK(E208),ISBLANK(H208)),"Missing Value",
  D208&lt;0,"Review – Out of Range (Claim Amount)",
  H208&lt;0,"Review – Out of Range (Days to Process)",
  TRUE,"OK"
)</f>
        <v>OK</v>
      </c>
    </row>
    <row r="209" spans="1:9" ht="16.8" x14ac:dyDescent="0.3">
      <c r="A209" s="14" t="s">
        <v>6716</v>
      </c>
      <c r="B209" s="14" t="s">
        <v>5443</v>
      </c>
      <c r="C209" s="15">
        <v>45553</v>
      </c>
      <c r="D209" s="14">
        <v>387845.4</v>
      </c>
      <c r="E209" s="14" t="s">
        <v>6502</v>
      </c>
      <c r="F209" s="14" t="s">
        <v>6516</v>
      </c>
      <c r="G209" s="14" t="s">
        <v>45</v>
      </c>
      <c r="H209" s="14">
        <v>59</v>
      </c>
      <c r="I209" s="13" t="str" cm="1">
        <f t="array" ref="I209">_xlfn.IFS(
  OR(ISBLANK(A209),ISBLANK(B209),ISBLANK(D209),ISBLANK(E209),ISBLANK(H209)),"Missing Value",
  D209&lt;0,"Review – Out of Range (Claim Amount)",
  H209&lt;0,"Review – Out of Range (Days to Process)",
  TRUE,"OK"
)</f>
        <v>OK</v>
      </c>
    </row>
    <row r="210" spans="1:9" ht="16.8" x14ac:dyDescent="0.3">
      <c r="A210" s="11" t="s">
        <v>6717</v>
      </c>
      <c r="B210" s="11" t="s">
        <v>5731</v>
      </c>
      <c r="C210" s="12">
        <v>44765</v>
      </c>
      <c r="D210" s="11">
        <v>258879.73</v>
      </c>
      <c r="E210" s="11" t="s">
        <v>6502</v>
      </c>
      <c r="F210" s="11" t="s">
        <v>6511</v>
      </c>
      <c r="G210" s="11" t="s">
        <v>45</v>
      </c>
      <c r="H210" s="11">
        <v>45</v>
      </c>
      <c r="I210" s="13" t="str" cm="1">
        <f t="array" ref="I210">_xlfn.IFS(
  OR(ISBLANK(A210),ISBLANK(B210),ISBLANK(D210),ISBLANK(E210),ISBLANK(H210)),"Missing Value",
  D210&lt;0,"Review – Out of Range (Claim Amount)",
  H210&lt;0,"Review – Out of Range (Days to Process)",
  TRUE,"OK"
)</f>
        <v>OK</v>
      </c>
    </row>
    <row r="211" spans="1:9" ht="16.8" x14ac:dyDescent="0.3">
      <c r="A211" s="14" t="s">
        <v>6718</v>
      </c>
      <c r="B211" s="14" t="s">
        <v>3751</v>
      </c>
      <c r="C211" s="15">
        <v>45015</v>
      </c>
      <c r="D211" s="14">
        <v>65520.15</v>
      </c>
      <c r="E211" s="14" t="s">
        <v>6508</v>
      </c>
      <c r="F211" s="14" t="s">
        <v>6503</v>
      </c>
      <c r="G211" s="14" t="s">
        <v>45</v>
      </c>
      <c r="H211" s="14">
        <v>39</v>
      </c>
      <c r="I211" s="13" t="str" cm="1">
        <f t="array" ref="I211">_xlfn.IFS(
  OR(ISBLANK(A211),ISBLANK(B211),ISBLANK(D211),ISBLANK(E211),ISBLANK(H211)),"Missing Value",
  D211&lt;0,"Review – Out of Range (Claim Amount)",
  H211&lt;0,"Review – Out of Range (Days to Process)",
  TRUE,"OK"
)</f>
        <v>OK</v>
      </c>
    </row>
    <row r="212" spans="1:9" ht="16.8" x14ac:dyDescent="0.3">
      <c r="A212" s="11" t="s">
        <v>6719</v>
      </c>
      <c r="B212" s="11" t="s">
        <v>4624</v>
      </c>
      <c r="C212" s="12">
        <v>45410</v>
      </c>
      <c r="D212" s="11">
        <v>196494.94</v>
      </c>
      <c r="E212" s="11" t="s">
        <v>6502</v>
      </c>
      <c r="F212" s="11" t="s">
        <v>6509</v>
      </c>
      <c r="G212" s="11" t="s">
        <v>46</v>
      </c>
      <c r="H212" s="11">
        <v>43</v>
      </c>
      <c r="I212" s="13" t="str" cm="1">
        <f t="array" ref="I212">_xlfn.IFS(
  OR(ISBLANK(A212),ISBLANK(B212),ISBLANK(D212),ISBLANK(E212),ISBLANK(H212)),"Missing Value",
  D212&lt;0,"Review – Out of Range (Claim Amount)",
  H212&lt;0,"Review – Out of Range (Days to Process)",
  TRUE,"OK"
)</f>
        <v>OK</v>
      </c>
    </row>
    <row r="213" spans="1:9" ht="16.8" x14ac:dyDescent="0.3">
      <c r="A213" s="14" t="s">
        <v>6720</v>
      </c>
      <c r="B213" s="14" t="s">
        <v>6108</v>
      </c>
      <c r="C213" s="15">
        <v>44953</v>
      </c>
      <c r="D213" s="14">
        <v>322079.89</v>
      </c>
      <c r="E213" s="14" t="s">
        <v>6502</v>
      </c>
      <c r="F213" s="14" t="s">
        <v>6516</v>
      </c>
      <c r="G213" s="14" t="s">
        <v>45</v>
      </c>
      <c r="H213" s="14">
        <v>35</v>
      </c>
      <c r="I213" s="13" t="str" cm="1">
        <f t="array" ref="I213">_xlfn.IFS(
  OR(ISBLANK(A213),ISBLANK(B213),ISBLANK(D213),ISBLANK(E213),ISBLANK(H213)),"Missing Value",
  D213&lt;0,"Review – Out of Range (Claim Amount)",
  H213&lt;0,"Review – Out of Range (Days to Process)",
  TRUE,"OK"
)</f>
        <v>OK</v>
      </c>
    </row>
    <row r="214" spans="1:9" ht="16.8" x14ac:dyDescent="0.3">
      <c r="A214" s="11" t="s">
        <v>6721</v>
      </c>
      <c r="B214" s="11" t="s">
        <v>5325</v>
      </c>
      <c r="C214" s="12">
        <v>45249</v>
      </c>
      <c r="D214" s="11">
        <v>214631.35</v>
      </c>
      <c r="E214" s="11" t="s">
        <v>6502</v>
      </c>
      <c r="F214" s="11" t="s">
        <v>6506</v>
      </c>
      <c r="G214" s="11" t="s">
        <v>45</v>
      </c>
      <c r="H214" s="11">
        <v>7</v>
      </c>
      <c r="I214" s="13" t="str" cm="1">
        <f t="array" ref="I214">_xlfn.IFS(
  OR(ISBLANK(A214),ISBLANK(B214),ISBLANK(D214),ISBLANK(E214),ISBLANK(H214)),"Missing Value",
  D214&lt;0,"Review – Out of Range (Claim Amount)",
  H214&lt;0,"Review – Out of Range (Days to Process)",
  TRUE,"OK"
)</f>
        <v>OK</v>
      </c>
    </row>
    <row r="215" spans="1:9" ht="16.8" x14ac:dyDescent="0.3">
      <c r="A215" s="14" t="s">
        <v>6722</v>
      </c>
      <c r="B215" s="14" t="s">
        <v>4258</v>
      </c>
      <c r="C215" s="15">
        <v>45514</v>
      </c>
      <c r="D215" s="14">
        <v>277848.06</v>
      </c>
      <c r="E215" s="14" t="s">
        <v>6502</v>
      </c>
      <c r="F215" s="14" t="s">
        <v>6509</v>
      </c>
      <c r="G215" s="14" t="s">
        <v>46</v>
      </c>
      <c r="H215" s="14">
        <v>42</v>
      </c>
      <c r="I215" s="13" t="str" cm="1">
        <f t="array" ref="I215">_xlfn.IFS(
  OR(ISBLANK(A215),ISBLANK(B215),ISBLANK(D215),ISBLANK(E215),ISBLANK(H215)),"Missing Value",
  D215&lt;0,"Review – Out of Range (Claim Amount)",
  H215&lt;0,"Review – Out of Range (Days to Process)",
  TRUE,"OK"
)</f>
        <v>OK</v>
      </c>
    </row>
    <row r="216" spans="1:9" ht="16.8" x14ac:dyDescent="0.3">
      <c r="A216" s="11" t="s">
        <v>6723</v>
      </c>
      <c r="B216" s="11" t="s">
        <v>5554</v>
      </c>
      <c r="C216" s="12">
        <v>45425</v>
      </c>
      <c r="D216" s="11">
        <v>292666.33</v>
      </c>
      <c r="E216" s="11" t="s">
        <v>6505</v>
      </c>
      <c r="F216" s="11" t="s">
        <v>6509</v>
      </c>
      <c r="G216" s="11" t="s">
        <v>45</v>
      </c>
      <c r="H216" s="11">
        <v>27</v>
      </c>
      <c r="I216" s="13" t="str" cm="1">
        <f t="array" ref="I216">_xlfn.IFS(
  OR(ISBLANK(A216),ISBLANK(B216),ISBLANK(D216),ISBLANK(E216),ISBLANK(H216)),"Missing Value",
  D216&lt;0,"Review – Out of Range (Claim Amount)",
  H216&lt;0,"Review – Out of Range (Days to Process)",
  TRUE,"OK"
)</f>
        <v>OK</v>
      </c>
    </row>
    <row r="217" spans="1:9" ht="16.8" x14ac:dyDescent="0.3">
      <c r="A217" s="14" t="s">
        <v>6724</v>
      </c>
      <c r="B217" s="14" t="s">
        <v>5816</v>
      </c>
      <c r="C217" s="15">
        <v>45643</v>
      </c>
      <c r="D217" s="14">
        <v>148607.14000000001</v>
      </c>
      <c r="E217" s="14" t="s">
        <v>6508</v>
      </c>
      <c r="F217" s="14" t="s">
        <v>6509</v>
      </c>
      <c r="G217" s="14" t="s">
        <v>46</v>
      </c>
      <c r="H217" s="14">
        <v>33</v>
      </c>
      <c r="I217" s="13" t="str" cm="1">
        <f t="array" ref="I217">_xlfn.IFS(
  OR(ISBLANK(A217),ISBLANK(B217),ISBLANK(D217),ISBLANK(E217),ISBLANK(H217)),"Missing Value",
  D217&lt;0,"Review – Out of Range (Claim Amount)",
  H217&lt;0,"Review – Out of Range (Days to Process)",
  TRUE,"OK"
)</f>
        <v>OK</v>
      </c>
    </row>
    <row r="218" spans="1:9" ht="16.8" x14ac:dyDescent="0.3">
      <c r="A218" s="11" t="s">
        <v>6725</v>
      </c>
      <c r="B218" s="11" t="s">
        <v>6490</v>
      </c>
      <c r="C218" s="12">
        <v>45369</v>
      </c>
      <c r="D218" s="11">
        <v>452035.42</v>
      </c>
      <c r="E218" s="11" t="s">
        <v>6502</v>
      </c>
      <c r="F218" s="11" t="s">
        <v>6511</v>
      </c>
      <c r="G218" s="11" t="s">
        <v>45</v>
      </c>
      <c r="H218" s="11">
        <v>48</v>
      </c>
      <c r="I218" s="13" t="str" cm="1">
        <f t="array" ref="I218">_xlfn.IFS(
  OR(ISBLANK(A218),ISBLANK(B218),ISBLANK(D218),ISBLANK(E218),ISBLANK(H218)),"Missing Value",
  D218&lt;0,"Review – Out of Range (Claim Amount)",
  H218&lt;0,"Review – Out of Range (Days to Process)",
  TRUE,"OK"
)</f>
        <v>OK</v>
      </c>
    </row>
    <row r="219" spans="1:9" ht="16.8" x14ac:dyDescent="0.3">
      <c r="A219" s="14" t="s">
        <v>6726</v>
      </c>
      <c r="B219" s="14" t="s">
        <v>4350</v>
      </c>
      <c r="C219" s="15">
        <v>45348</v>
      </c>
      <c r="D219" s="14">
        <v>195376.45</v>
      </c>
      <c r="E219" s="14" t="s">
        <v>6508</v>
      </c>
      <c r="F219" s="14" t="s">
        <v>6503</v>
      </c>
      <c r="G219" s="14" t="s">
        <v>46</v>
      </c>
      <c r="H219" s="14">
        <v>55</v>
      </c>
      <c r="I219" s="13" t="str" cm="1">
        <f t="array" ref="I219">_xlfn.IFS(
  OR(ISBLANK(A219),ISBLANK(B219),ISBLANK(D219),ISBLANK(E219),ISBLANK(H219)),"Missing Value",
  D219&lt;0,"Review – Out of Range (Claim Amount)",
  H219&lt;0,"Review – Out of Range (Days to Process)",
  TRUE,"OK"
)</f>
        <v>OK</v>
      </c>
    </row>
    <row r="220" spans="1:9" ht="16.8" x14ac:dyDescent="0.3">
      <c r="A220" s="11" t="s">
        <v>6727</v>
      </c>
      <c r="B220" s="11" t="s">
        <v>3905</v>
      </c>
      <c r="C220" s="12">
        <v>45376</v>
      </c>
      <c r="D220" s="11">
        <v>461141.71</v>
      </c>
      <c r="E220" s="11" t="s">
        <v>6508</v>
      </c>
      <c r="F220" s="11" t="s">
        <v>6509</v>
      </c>
      <c r="G220" s="11" t="s">
        <v>45</v>
      </c>
      <c r="H220" s="11">
        <v>35</v>
      </c>
      <c r="I220" s="13" t="str" cm="1">
        <f t="array" ref="I220">_xlfn.IFS(
  OR(ISBLANK(A220),ISBLANK(B220),ISBLANK(D220),ISBLANK(E220),ISBLANK(H220)),"Missing Value",
  D220&lt;0,"Review – Out of Range (Claim Amount)",
  H220&lt;0,"Review – Out of Range (Days to Process)",
  TRUE,"OK"
)</f>
        <v>OK</v>
      </c>
    </row>
    <row r="221" spans="1:9" ht="16.8" x14ac:dyDescent="0.3">
      <c r="A221" s="14" t="s">
        <v>6728</v>
      </c>
      <c r="B221" s="14" t="s">
        <v>4430</v>
      </c>
      <c r="C221" s="15">
        <v>45837</v>
      </c>
      <c r="D221" s="14">
        <v>45462.26</v>
      </c>
      <c r="E221" s="14" t="s">
        <v>6505</v>
      </c>
      <c r="F221" s="14" t="s">
        <v>6516</v>
      </c>
      <c r="G221" s="14" t="s">
        <v>46</v>
      </c>
      <c r="H221" s="14">
        <v>10</v>
      </c>
      <c r="I221" s="13" t="str" cm="1">
        <f t="array" ref="I221">_xlfn.IFS(
  OR(ISBLANK(A221),ISBLANK(B221),ISBLANK(D221),ISBLANK(E221),ISBLANK(H221)),"Missing Value",
  D221&lt;0,"Review – Out of Range (Claim Amount)",
  H221&lt;0,"Review – Out of Range (Days to Process)",
  TRUE,"OK"
)</f>
        <v>OK</v>
      </c>
    </row>
    <row r="222" spans="1:9" ht="16.8" x14ac:dyDescent="0.3">
      <c r="A222" s="11" t="s">
        <v>6729</v>
      </c>
      <c r="B222" s="11" t="s">
        <v>5369</v>
      </c>
      <c r="C222" s="12">
        <v>44176</v>
      </c>
      <c r="D222" s="11">
        <v>56771.81</v>
      </c>
      <c r="E222" s="11" t="s">
        <v>6505</v>
      </c>
      <c r="F222" s="11" t="s">
        <v>6516</v>
      </c>
      <c r="G222" s="11" t="s">
        <v>45</v>
      </c>
      <c r="H222" s="11">
        <v>31</v>
      </c>
      <c r="I222" s="13" t="str" cm="1">
        <f t="array" ref="I222">_xlfn.IFS(
  OR(ISBLANK(A222),ISBLANK(B222),ISBLANK(D222),ISBLANK(E222),ISBLANK(H222)),"Missing Value",
  D222&lt;0,"Review – Out of Range (Claim Amount)",
  H222&lt;0,"Review – Out of Range (Days to Process)",
  TRUE,"OK"
)</f>
        <v>OK</v>
      </c>
    </row>
    <row r="223" spans="1:9" ht="16.8" x14ac:dyDescent="0.3">
      <c r="A223" s="14" t="s">
        <v>6730</v>
      </c>
      <c r="B223" s="14" t="s">
        <v>4516</v>
      </c>
      <c r="C223" s="15">
        <v>44556</v>
      </c>
      <c r="D223" s="14">
        <v>411558.37</v>
      </c>
      <c r="E223" s="14" t="s">
        <v>6505</v>
      </c>
      <c r="F223" s="14" t="s">
        <v>6503</v>
      </c>
      <c r="G223" s="14" t="s">
        <v>45</v>
      </c>
      <c r="H223" s="14">
        <v>49</v>
      </c>
      <c r="I223" s="13" t="str" cm="1">
        <f t="array" ref="I223">_xlfn.IFS(
  OR(ISBLANK(A223),ISBLANK(B223),ISBLANK(D223),ISBLANK(E223),ISBLANK(H223)),"Missing Value",
  D223&lt;0,"Review – Out of Range (Claim Amount)",
  H223&lt;0,"Review – Out of Range (Days to Process)",
  TRUE,"OK"
)</f>
        <v>OK</v>
      </c>
    </row>
    <row r="224" spans="1:9" ht="16.8" x14ac:dyDescent="0.3">
      <c r="A224" s="11" t="s">
        <v>6731</v>
      </c>
      <c r="B224" s="11" t="s">
        <v>5453</v>
      </c>
      <c r="C224" s="12">
        <v>44421</v>
      </c>
      <c r="D224" s="11">
        <v>466337.77</v>
      </c>
      <c r="E224" s="11" t="s">
        <v>6508</v>
      </c>
      <c r="F224" s="11" t="s">
        <v>6511</v>
      </c>
      <c r="G224" s="11" t="s">
        <v>46</v>
      </c>
      <c r="H224" s="11">
        <v>43</v>
      </c>
      <c r="I224" s="13" t="str" cm="1">
        <f t="array" ref="I224">_xlfn.IFS(
  OR(ISBLANK(A224),ISBLANK(B224),ISBLANK(D224),ISBLANK(E224),ISBLANK(H224)),"Missing Value",
  D224&lt;0,"Review – Out of Range (Claim Amount)",
  H224&lt;0,"Review – Out of Range (Days to Process)",
  TRUE,"OK"
)</f>
        <v>OK</v>
      </c>
    </row>
    <row r="225" spans="1:9" ht="16.8" x14ac:dyDescent="0.3">
      <c r="A225" s="14" t="s">
        <v>6732</v>
      </c>
      <c r="B225" s="14" t="s">
        <v>4163</v>
      </c>
      <c r="C225" s="15">
        <v>44669</v>
      </c>
      <c r="D225" s="14">
        <v>185521.49</v>
      </c>
      <c r="E225" s="14" t="s">
        <v>6508</v>
      </c>
      <c r="F225" s="14" t="s">
        <v>6511</v>
      </c>
      <c r="G225" s="14" t="s">
        <v>46</v>
      </c>
      <c r="H225" s="14">
        <v>45</v>
      </c>
      <c r="I225" s="13" t="str" cm="1">
        <f t="array" ref="I225">_xlfn.IFS(
  OR(ISBLANK(A225),ISBLANK(B225),ISBLANK(D225),ISBLANK(E225),ISBLANK(H225)),"Missing Value",
  D225&lt;0,"Review – Out of Range (Claim Amount)",
  H225&lt;0,"Review – Out of Range (Days to Process)",
  TRUE,"OK"
)</f>
        <v>OK</v>
      </c>
    </row>
    <row r="226" spans="1:9" ht="16.8" x14ac:dyDescent="0.3">
      <c r="A226" s="11" t="s">
        <v>6733</v>
      </c>
      <c r="B226" s="11" t="s">
        <v>3729</v>
      </c>
      <c r="C226" s="12">
        <v>45304</v>
      </c>
      <c r="D226" s="11">
        <v>439452.89</v>
      </c>
      <c r="E226" s="11" t="s">
        <v>6502</v>
      </c>
      <c r="F226" s="11" t="s">
        <v>6506</v>
      </c>
      <c r="G226" s="11" t="s">
        <v>46</v>
      </c>
      <c r="H226" s="11">
        <v>9</v>
      </c>
      <c r="I226" s="13" t="str" cm="1">
        <f t="array" ref="I226">_xlfn.IFS(
  OR(ISBLANK(A226),ISBLANK(B226),ISBLANK(D226),ISBLANK(E226),ISBLANK(H226)),"Missing Value",
  D226&lt;0,"Review – Out of Range (Claim Amount)",
  H226&lt;0,"Review – Out of Range (Days to Process)",
  TRUE,"OK"
)</f>
        <v>OK</v>
      </c>
    </row>
    <row r="227" spans="1:9" ht="16.8" x14ac:dyDescent="0.3">
      <c r="A227" s="14" t="s">
        <v>6734</v>
      </c>
      <c r="B227" s="14" t="s">
        <v>4588</v>
      </c>
      <c r="C227" s="15">
        <v>44506</v>
      </c>
      <c r="D227" s="14">
        <v>52119.21</v>
      </c>
      <c r="E227" s="14" t="s">
        <v>6508</v>
      </c>
      <c r="F227" s="14" t="s">
        <v>6516</v>
      </c>
      <c r="G227" s="14" t="s">
        <v>46</v>
      </c>
      <c r="H227" s="14">
        <v>48</v>
      </c>
      <c r="I227" s="13" t="str" cm="1">
        <f t="array" ref="I227">_xlfn.IFS(
  OR(ISBLANK(A227),ISBLANK(B227),ISBLANK(D227),ISBLANK(E227),ISBLANK(H227)),"Missing Value",
  D227&lt;0,"Review – Out of Range (Claim Amount)",
  H227&lt;0,"Review – Out of Range (Days to Process)",
  TRUE,"OK"
)</f>
        <v>OK</v>
      </c>
    </row>
    <row r="228" spans="1:9" ht="16.8" x14ac:dyDescent="0.3">
      <c r="A228" s="11" t="s">
        <v>6735</v>
      </c>
      <c r="B228" s="11" t="s">
        <v>5279</v>
      </c>
      <c r="C228" s="12">
        <v>45390</v>
      </c>
      <c r="D228" s="11">
        <v>66734.87</v>
      </c>
      <c r="E228" s="11" t="s">
        <v>6508</v>
      </c>
      <c r="F228" s="11" t="s">
        <v>6516</v>
      </c>
      <c r="G228" s="11" t="s">
        <v>45</v>
      </c>
      <c r="H228" s="11">
        <v>53</v>
      </c>
      <c r="I228" s="13" t="str" cm="1">
        <f t="array" ref="I228">_xlfn.IFS(
  OR(ISBLANK(A228),ISBLANK(B228),ISBLANK(D228),ISBLANK(E228),ISBLANK(H228)),"Missing Value",
  D228&lt;0,"Review – Out of Range (Claim Amount)",
  H228&lt;0,"Review – Out of Range (Days to Process)",
  TRUE,"OK"
)</f>
        <v>OK</v>
      </c>
    </row>
    <row r="229" spans="1:9" ht="16.8" x14ac:dyDescent="0.3">
      <c r="A229" s="14" t="s">
        <v>6736</v>
      </c>
      <c r="B229" s="14" t="s">
        <v>5677</v>
      </c>
      <c r="C229" s="15">
        <v>45339</v>
      </c>
      <c r="D229" s="14">
        <v>338952.13</v>
      </c>
      <c r="E229" s="14" t="s">
        <v>6508</v>
      </c>
      <c r="F229" s="14" t="s">
        <v>6506</v>
      </c>
      <c r="G229" s="14" t="s">
        <v>45</v>
      </c>
      <c r="H229" s="14">
        <v>22</v>
      </c>
      <c r="I229" s="13" t="str" cm="1">
        <f t="array" ref="I229">_xlfn.IFS(
  OR(ISBLANK(A229),ISBLANK(B229),ISBLANK(D229),ISBLANK(E229),ISBLANK(H229)),"Missing Value",
  D229&lt;0,"Review – Out of Range (Claim Amount)",
  H229&lt;0,"Review – Out of Range (Days to Process)",
  TRUE,"OK"
)</f>
        <v>OK</v>
      </c>
    </row>
    <row r="230" spans="1:9" ht="16.8" x14ac:dyDescent="0.3">
      <c r="A230" s="11" t="s">
        <v>6737</v>
      </c>
      <c r="B230" s="11" t="s">
        <v>6051</v>
      </c>
      <c r="C230" s="12">
        <v>44435</v>
      </c>
      <c r="D230" s="11">
        <v>12604.61</v>
      </c>
      <c r="E230" s="11" t="s">
        <v>6508</v>
      </c>
      <c r="F230" s="11" t="s">
        <v>6509</v>
      </c>
      <c r="G230" s="11" t="s">
        <v>45</v>
      </c>
      <c r="H230" s="11">
        <v>25</v>
      </c>
      <c r="I230" s="13" t="str" cm="1">
        <f t="array" ref="I230">_xlfn.IFS(
  OR(ISBLANK(A230),ISBLANK(B230),ISBLANK(D230),ISBLANK(E230),ISBLANK(H230)),"Missing Value",
  D230&lt;0,"Review – Out of Range (Claim Amount)",
  H230&lt;0,"Review – Out of Range (Days to Process)",
  TRUE,"OK"
)</f>
        <v>OK</v>
      </c>
    </row>
    <row r="231" spans="1:9" ht="16.8" x14ac:dyDescent="0.3">
      <c r="A231" s="14" t="s">
        <v>6738</v>
      </c>
      <c r="B231" s="14" t="s">
        <v>4572</v>
      </c>
      <c r="C231" s="15">
        <v>45064</v>
      </c>
      <c r="D231" s="14">
        <v>34321.730000000003</v>
      </c>
      <c r="E231" s="14" t="s">
        <v>6508</v>
      </c>
      <c r="F231" s="14" t="s">
        <v>6503</v>
      </c>
      <c r="G231" s="14" t="s">
        <v>45</v>
      </c>
      <c r="H231" s="14">
        <v>2</v>
      </c>
      <c r="I231" s="13" t="str" cm="1">
        <f t="array" ref="I231">_xlfn.IFS(
  OR(ISBLANK(A231),ISBLANK(B231),ISBLANK(D231),ISBLANK(E231),ISBLANK(H231)),"Missing Value",
  D231&lt;0,"Review – Out of Range (Claim Amount)",
  H231&lt;0,"Review – Out of Range (Days to Process)",
  TRUE,"OK"
)</f>
        <v>OK</v>
      </c>
    </row>
    <row r="232" spans="1:9" ht="16.8" x14ac:dyDescent="0.3">
      <c r="A232" s="11" t="s">
        <v>6739</v>
      </c>
      <c r="B232" s="11" t="s">
        <v>6178</v>
      </c>
      <c r="C232" s="12">
        <v>45458</v>
      </c>
      <c r="D232" s="11">
        <v>56954.14</v>
      </c>
      <c r="E232" s="11" t="s">
        <v>6508</v>
      </c>
      <c r="F232" s="11" t="s">
        <v>6509</v>
      </c>
      <c r="G232" s="11" t="s">
        <v>46</v>
      </c>
      <c r="H232" s="11">
        <v>24</v>
      </c>
      <c r="I232" s="13" t="str" cm="1">
        <f t="array" ref="I232">_xlfn.IFS(
  OR(ISBLANK(A232),ISBLANK(B232),ISBLANK(D232),ISBLANK(E232),ISBLANK(H232)),"Missing Value",
  D232&lt;0,"Review – Out of Range (Claim Amount)",
  H232&lt;0,"Review – Out of Range (Days to Process)",
  TRUE,"OK"
)</f>
        <v>OK</v>
      </c>
    </row>
    <row r="233" spans="1:9" ht="16.8" x14ac:dyDescent="0.3">
      <c r="A233" s="14" t="s">
        <v>6740</v>
      </c>
      <c r="B233" s="14" t="s">
        <v>3758</v>
      </c>
      <c r="C233" s="15">
        <v>45515</v>
      </c>
      <c r="D233" s="14">
        <v>168832.54</v>
      </c>
      <c r="E233" s="14" t="s">
        <v>6508</v>
      </c>
      <c r="F233" s="14" t="s">
        <v>6509</v>
      </c>
      <c r="G233" s="14" t="s">
        <v>46</v>
      </c>
      <c r="H233" s="14">
        <v>11</v>
      </c>
      <c r="I233" s="13" t="str" cm="1">
        <f t="array" ref="I233">_xlfn.IFS(
  OR(ISBLANK(A233),ISBLANK(B233),ISBLANK(D233),ISBLANK(E233),ISBLANK(H233)),"Missing Value",
  D233&lt;0,"Review – Out of Range (Claim Amount)",
  H233&lt;0,"Review – Out of Range (Days to Process)",
  TRUE,"OK"
)</f>
        <v>OK</v>
      </c>
    </row>
    <row r="234" spans="1:9" ht="16.8" x14ac:dyDescent="0.3">
      <c r="A234" s="11" t="s">
        <v>6741</v>
      </c>
      <c r="B234" s="11" t="s">
        <v>3983</v>
      </c>
      <c r="C234" s="12">
        <v>45519</v>
      </c>
      <c r="D234" s="11">
        <v>253134.89</v>
      </c>
      <c r="E234" s="11" t="s">
        <v>6502</v>
      </c>
      <c r="F234" s="11" t="s">
        <v>6511</v>
      </c>
      <c r="G234" s="11" t="s">
        <v>45</v>
      </c>
      <c r="H234" s="11">
        <v>22</v>
      </c>
      <c r="I234" s="13" t="str" cm="1">
        <f t="array" ref="I234">_xlfn.IFS(
  OR(ISBLANK(A234),ISBLANK(B234),ISBLANK(D234),ISBLANK(E234),ISBLANK(H234)),"Missing Value",
  D234&lt;0,"Review – Out of Range (Claim Amount)",
  H234&lt;0,"Review – Out of Range (Days to Process)",
  TRUE,"OK"
)</f>
        <v>OK</v>
      </c>
    </row>
    <row r="235" spans="1:9" ht="16.8" x14ac:dyDescent="0.3">
      <c r="A235" s="14" t="s">
        <v>6742</v>
      </c>
      <c r="B235" s="14" t="s">
        <v>3408</v>
      </c>
      <c r="C235" s="15">
        <v>45224</v>
      </c>
      <c r="D235" s="14">
        <v>244964.94</v>
      </c>
      <c r="E235" s="14" t="s">
        <v>6508</v>
      </c>
      <c r="F235" s="14" t="s">
        <v>6503</v>
      </c>
      <c r="G235" s="14" t="s">
        <v>46</v>
      </c>
      <c r="H235" s="14">
        <v>5</v>
      </c>
      <c r="I235" s="13" t="str" cm="1">
        <f t="array" ref="I235">_xlfn.IFS(
  OR(ISBLANK(A235),ISBLANK(B235),ISBLANK(D235),ISBLANK(E235),ISBLANK(H235)),"Missing Value",
  D235&lt;0,"Review – Out of Range (Claim Amount)",
  H235&lt;0,"Review – Out of Range (Days to Process)",
  TRUE,"OK"
)</f>
        <v>OK</v>
      </c>
    </row>
    <row r="236" spans="1:9" ht="16.8" x14ac:dyDescent="0.3">
      <c r="A236" s="11" t="s">
        <v>6743</v>
      </c>
      <c r="B236" s="11" t="s">
        <v>4490</v>
      </c>
      <c r="C236" s="12">
        <v>45670</v>
      </c>
      <c r="D236" s="11">
        <v>479361.52</v>
      </c>
      <c r="E236" s="11" t="s">
        <v>6502</v>
      </c>
      <c r="F236" s="11" t="s">
        <v>6511</v>
      </c>
      <c r="G236" s="11" t="s">
        <v>46</v>
      </c>
      <c r="H236" s="11">
        <v>10</v>
      </c>
      <c r="I236" s="13" t="str" cm="1">
        <f t="array" ref="I236">_xlfn.IFS(
  OR(ISBLANK(A236),ISBLANK(B236),ISBLANK(D236),ISBLANK(E236),ISBLANK(H236)),"Missing Value",
  D236&lt;0,"Review – Out of Range (Claim Amount)",
  H236&lt;0,"Review – Out of Range (Days to Process)",
  TRUE,"OK"
)</f>
        <v>OK</v>
      </c>
    </row>
    <row r="237" spans="1:9" ht="16.8" x14ac:dyDescent="0.3">
      <c r="A237" s="14" t="s">
        <v>6744</v>
      </c>
      <c r="B237" s="14" t="s">
        <v>4079</v>
      </c>
      <c r="C237" s="15">
        <v>44929</v>
      </c>
      <c r="D237" s="14">
        <v>453898.36</v>
      </c>
      <c r="E237" s="14" t="s">
        <v>6508</v>
      </c>
      <c r="F237" s="14" t="s">
        <v>6516</v>
      </c>
      <c r="G237" s="14" t="s">
        <v>45</v>
      </c>
      <c r="H237" s="14">
        <v>18</v>
      </c>
      <c r="I237" s="13" t="str" cm="1">
        <f t="array" ref="I237">_xlfn.IFS(
  OR(ISBLANK(A237),ISBLANK(B237),ISBLANK(D237),ISBLANK(E237),ISBLANK(H237)),"Missing Value",
  D237&lt;0,"Review – Out of Range (Claim Amount)",
  H237&lt;0,"Review – Out of Range (Days to Process)",
  TRUE,"OK"
)</f>
        <v>OK</v>
      </c>
    </row>
    <row r="238" spans="1:9" ht="16.8" x14ac:dyDescent="0.3">
      <c r="A238" s="11" t="s">
        <v>6745</v>
      </c>
      <c r="B238" s="11" t="s">
        <v>5170</v>
      </c>
      <c r="C238" s="12">
        <v>45065</v>
      </c>
      <c r="D238" s="11">
        <v>425694.53</v>
      </c>
      <c r="E238" s="11" t="s">
        <v>6508</v>
      </c>
      <c r="F238" s="11" t="s">
        <v>6509</v>
      </c>
      <c r="G238" s="11" t="s">
        <v>46</v>
      </c>
      <c r="H238" s="11">
        <v>48</v>
      </c>
      <c r="I238" s="13" t="str" cm="1">
        <f t="array" ref="I238">_xlfn.IFS(
  OR(ISBLANK(A238),ISBLANK(B238),ISBLANK(D238),ISBLANK(E238),ISBLANK(H238)),"Missing Value",
  D238&lt;0,"Review – Out of Range (Claim Amount)",
  H238&lt;0,"Review – Out of Range (Days to Process)",
  TRUE,"OK"
)</f>
        <v>OK</v>
      </c>
    </row>
    <row r="239" spans="1:9" ht="16.8" x14ac:dyDescent="0.3">
      <c r="A239" s="14" t="s">
        <v>6746</v>
      </c>
      <c r="B239" s="14" t="s">
        <v>3525</v>
      </c>
      <c r="C239" s="15">
        <v>44474</v>
      </c>
      <c r="D239" s="14">
        <v>379946.05</v>
      </c>
      <c r="E239" s="14" t="s">
        <v>6508</v>
      </c>
      <c r="F239" s="14" t="s">
        <v>6516</v>
      </c>
      <c r="G239" s="14" t="s">
        <v>46</v>
      </c>
      <c r="H239" s="14">
        <v>8</v>
      </c>
      <c r="I239" s="13" t="str" cm="1">
        <f t="array" ref="I239">_xlfn.IFS(
  OR(ISBLANK(A239),ISBLANK(B239),ISBLANK(D239),ISBLANK(E239),ISBLANK(H239)),"Missing Value",
  D239&lt;0,"Review – Out of Range (Claim Amount)",
  H239&lt;0,"Review – Out of Range (Days to Process)",
  TRUE,"OK"
)</f>
        <v>OK</v>
      </c>
    </row>
    <row r="240" spans="1:9" ht="16.8" x14ac:dyDescent="0.3">
      <c r="A240" s="11" t="s">
        <v>6747</v>
      </c>
      <c r="B240" s="11" t="s">
        <v>3572</v>
      </c>
      <c r="C240" s="12">
        <v>45647</v>
      </c>
      <c r="D240" s="11">
        <v>436254.47</v>
      </c>
      <c r="E240" s="11" t="s">
        <v>6505</v>
      </c>
      <c r="F240" s="11" t="s">
        <v>6511</v>
      </c>
      <c r="G240" s="11" t="s">
        <v>46</v>
      </c>
      <c r="H240" s="11">
        <v>32</v>
      </c>
      <c r="I240" s="13" t="str" cm="1">
        <f t="array" ref="I240">_xlfn.IFS(
  OR(ISBLANK(A240),ISBLANK(B240),ISBLANK(D240),ISBLANK(E240),ISBLANK(H240)),"Missing Value",
  D240&lt;0,"Review – Out of Range (Claim Amount)",
  H240&lt;0,"Review – Out of Range (Days to Process)",
  TRUE,"OK"
)</f>
        <v>OK</v>
      </c>
    </row>
    <row r="241" spans="1:9" ht="16.8" x14ac:dyDescent="0.3">
      <c r="A241" s="14" t="s">
        <v>6748</v>
      </c>
      <c r="B241" s="14" t="s">
        <v>5542</v>
      </c>
      <c r="C241" s="15">
        <v>45727</v>
      </c>
      <c r="D241" s="14">
        <v>78660.289999999994</v>
      </c>
      <c r="E241" s="14" t="s">
        <v>6502</v>
      </c>
      <c r="F241" s="14" t="s">
        <v>6509</v>
      </c>
      <c r="G241" s="14" t="s">
        <v>45</v>
      </c>
      <c r="H241" s="14">
        <v>55</v>
      </c>
      <c r="I241" s="13" t="str" cm="1">
        <f t="array" ref="I241">_xlfn.IFS(
  OR(ISBLANK(A241),ISBLANK(B241),ISBLANK(D241),ISBLANK(E241),ISBLANK(H241)),"Missing Value",
  D241&lt;0,"Review – Out of Range (Claim Amount)",
  H241&lt;0,"Review – Out of Range (Days to Process)",
  TRUE,"OK"
)</f>
        <v>OK</v>
      </c>
    </row>
    <row r="242" spans="1:9" ht="16.8" x14ac:dyDescent="0.3">
      <c r="A242" s="11" t="s">
        <v>6749</v>
      </c>
      <c r="B242" s="11" t="s">
        <v>6024</v>
      </c>
      <c r="C242" s="12">
        <v>45343</v>
      </c>
      <c r="D242" s="11">
        <v>406097.65</v>
      </c>
      <c r="E242" s="11" t="s">
        <v>6508</v>
      </c>
      <c r="F242" s="11" t="s">
        <v>6506</v>
      </c>
      <c r="G242" s="11" t="s">
        <v>45</v>
      </c>
      <c r="H242" s="11">
        <v>42</v>
      </c>
      <c r="I242" s="13" t="str" cm="1">
        <f t="array" ref="I242">_xlfn.IFS(
  OR(ISBLANK(A242),ISBLANK(B242),ISBLANK(D242),ISBLANK(E242),ISBLANK(H242)),"Missing Value",
  D242&lt;0,"Review – Out of Range (Claim Amount)",
  H242&lt;0,"Review – Out of Range (Days to Process)",
  TRUE,"OK"
)</f>
        <v>OK</v>
      </c>
    </row>
    <row r="243" spans="1:9" ht="16.8" x14ac:dyDescent="0.3">
      <c r="A243" s="14" t="s">
        <v>6750</v>
      </c>
      <c r="B243" s="14" t="s">
        <v>5064</v>
      </c>
      <c r="C243" s="15">
        <v>45113</v>
      </c>
      <c r="D243" s="14">
        <v>71824.289999999994</v>
      </c>
      <c r="E243" s="14" t="s">
        <v>6502</v>
      </c>
      <c r="F243" s="14" t="s">
        <v>6503</v>
      </c>
      <c r="G243" s="14" t="s">
        <v>45</v>
      </c>
      <c r="H243" s="14">
        <v>58</v>
      </c>
      <c r="I243" s="13" t="str" cm="1">
        <f t="array" ref="I243">_xlfn.IFS(
  OR(ISBLANK(A243),ISBLANK(B243),ISBLANK(D243),ISBLANK(E243),ISBLANK(H243)),"Missing Value",
  D243&lt;0,"Review – Out of Range (Claim Amount)",
  H243&lt;0,"Review – Out of Range (Days to Process)",
  TRUE,"OK"
)</f>
        <v>OK</v>
      </c>
    </row>
    <row r="244" spans="1:9" ht="16.8" x14ac:dyDescent="0.3">
      <c r="A244" s="11" t="s">
        <v>6751</v>
      </c>
      <c r="B244" s="11" t="s">
        <v>4480</v>
      </c>
      <c r="C244" s="12">
        <v>45644</v>
      </c>
      <c r="D244" s="11">
        <v>417200.51</v>
      </c>
      <c r="E244" s="11" t="s">
        <v>6508</v>
      </c>
      <c r="F244" s="11" t="s">
        <v>6509</v>
      </c>
      <c r="G244" s="11" t="s">
        <v>45</v>
      </c>
      <c r="H244" s="11">
        <v>7</v>
      </c>
      <c r="I244" s="13" t="str" cm="1">
        <f t="array" ref="I244">_xlfn.IFS(
  OR(ISBLANK(A244),ISBLANK(B244),ISBLANK(D244),ISBLANK(E244),ISBLANK(H244)),"Missing Value",
  D244&lt;0,"Review – Out of Range (Claim Amount)",
  H244&lt;0,"Review – Out of Range (Days to Process)",
  TRUE,"OK"
)</f>
        <v>OK</v>
      </c>
    </row>
    <row r="245" spans="1:9" ht="16.8" x14ac:dyDescent="0.3">
      <c r="A245" s="14" t="s">
        <v>6752</v>
      </c>
      <c r="B245" s="14" t="s">
        <v>4460</v>
      </c>
      <c r="C245" s="15">
        <v>44750</v>
      </c>
      <c r="D245" s="14">
        <v>181390.99</v>
      </c>
      <c r="E245" s="14" t="s">
        <v>6505</v>
      </c>
      <c r="F245" s="14" t="s">
        <v>6511</v>
      </c>
      <c r="G245" s="14" t="s">
        <v>45</v>
      </c>
      <c r="H245" s="14">
        <v>21</v>
      </c>
      <c r="I245" s="13" t="str" cm="1">
        <f t="array" ref="I245">_xlfn.IFS(
  OR(ISBLANK(A245),ISBLANK(B245),ISBLANK(D245),ISBLANK(E245),ISBLANK(H245)),"Missing Value",
  D245&lt;0,"Review – Out of Range (Claim Amount)",
  H245&lt;0,"Review – Out of Range (Days to Process)",
  TRUE,"OK"
)</f>
        <v>OK</v>
      </c>
    </row>
    <row r="246" spans="1:9" ht="16.8" x14ac:dyDescent="0.3">
      <c r="A246" s="11" t="s">
        <v>6753</v>
      </c>
      <c r="B246" s="11" t="s">
        <v>6416</v>
      </c>
      <c r="C246" s="12">
        <v>45477</v>
      </c>
      <c r="D246" s="11">
        <v>12370.26</v>
      </c>
      <c r="E246" s="11" t="s">
        <v>6502</v>
      </c>
      <c r="F246" s="11" t="s">
        <v>6516</v>
      </c>
      <c r="G246" s="11" t="s">
        <v>46</v>
      </c>
      <c r="H246" s="11">
        <v>24</v>
      </c>
      <c r="I246" s="13" t="str" cm="1">
        <f t="array" ref="I246">_xlfn.IFS(
  OR(ISBLANK(A246),ISBLANK(B246),ISBLANK(D246),ISBLANK(E246),ISBLANK(H246)),"Missing Value",
  D246&lt;0,"Review – Out of Range (Claim Amount)",
  H246&lt;0,"Review – Out of Range (Days to Process)",
  TRUE,"OK"
)</f>
        <v>OK</v>
      </c>
    </row>
    <row r="247" spans="1:9" ht="16.8" x14ac:dyDescent="0.3">
      <c r="A247" s="14" t="s">
        <v>6754</v>
      </c>
      <c r="B247" s="14" t="s">
        <v>6390</v>
      </c>
      <c r="C247" s="15">
        <v>44364</v>
      </c>
      <c r="D247" s="14">
        <v>26383.02</v>
      </c>
      <c r="E247" s="14" t="s">
        <v>6502</v>
      </c>
      <c r="F247" s="14" t="s">
        <v>6511</v>
      </c>
      <c r="G247" s="14" t="s">
        <v>46</v>
      </c>
      <c r="H247" s="14">
        <v>52</v>
      </c>
      <c r="I247" s="13" t="str" cm="1">
        <f t="array" ref="I247">_xlfn.IFS(
  OR(ISBLANK(A247),ISBLANK(B247),ISBLANK(D247),ISBLANK(E247),ISBLANK(H247)),"Missing Value",
  D247&lt;0,"Review – Out of Range (Claim Amount)",
  H247&lt;0,"Review – Out of Range (Days to Process)",
  TRUE,"OK"
)</f>
        <v>OK</v>
      </c>
    </row>
    <row r="248" spans="1:9" ht="16.8" x14ac:dyDescent="0.3">
      <c r="A248" s="11" t="s">
        <v>6755</v>
      </c>
      <c r="B248" s="11" t="s">
        <v>6032</v>
      </c>
      <c r="C248" s="12">
        <v>45001</v>
      </c>
      <c r="D248" s="11">
        <v>39795.760000000002</v>
      </c>
      <c r="E248" s="11" t="s">
        <v>6502</v>
      </c>
      <c r="F248" s="11" t="s">
        <v>6511</v>
      </c>
      <c r="G248" s="11" t="s">
        <v>46</v>
      </c>
      <c r="H248" s="11">
        <v>18</v>
      </c>
      <c r="I248" s="13" t="str" cm="1">
        <f t="array" ref="I248">_xlfn.IFS(
  OR(ISBLANK(A248),ISBLANK(B248),ISBLANK(D248),ISBLANK(E248),ISBLANK(H248)),"Missing Value",
  D248&lt;0,"Review – Out of Range (Claim Amount)",
  H248&lt;0,"Review – Out of Range (Days to Process)",
  TRUE,"OK"
)</f>
        <v>OK</v>
      </c>
    </row>
    <row r="249" spans="1:9" ht="16.8" x14ac:dyDescent="0.3">
      <c r="A249" s="14" t="s">
        <v>6756</v>
      </c>
      <c r="B249" s="14" t="s">
        <v>5038</v>
      </c>
      <c r="C249" s="15">
        <v>45585</v>
      </c>
      <c r="D249" s="14">
        <v>477370.67</v>
      </c>
      <c r="E249" s="14" t="s">
        <v>6502</v>
      </c>
      <c r="F249" s="14" t="s">
        <v>6516</v>
      </c>
      <c r="G249" s="14" t="s">
        <v>45</v>
      </c>
      <c r="H249" s="14">
        <v>40</v>
      </c>
      <c r="I249" s="13" t="str" cm="1">
        <f t="array" ref="I249">_xlfn.IFS(
  OR(ISBLANK(A249),ISBLANK(B249),ISBLANK(D249),ISBLANK(E249),ISBLANK(H249)),"Missing Value",
  D249&lt;0,"Review – Out of Range (Claim Amount)",
  H249&lt;0,"Review – Out of Range (Days to Process)",
  TRUE,"OK"
)</f>
        <v>OK</v>
      </c>
    </row>
    <row r="250" spans="1:9" ht="16.8" x14ac:dyDescent="0.3">
      <c r="A250" s="11" t="s">
        <v>6757</v>
      </c>
      <c r="B250" s="11" t="s">
        <v>4850</v>
      </c>
      <c r="C250" s="12">
        <v>45257</v>
      </c>
      <c r="D250" s="11">
        <v>150690.37</v>
      </c>
      <c r="E250" s="11" t="s">
        <v>6508</v>
      </c>
      <c r="F250" s="11" t="s">
        <v>6516</v>
      </c>
      <c r="G250" s="11" t="s">
        <v>45</v>
      </c>
      <c r="H250" s="11">
        <v>27</v>
      </c>
      <c r="I250" s="13" t="str" cm="1">
        <f t="array" ref="I250">_xlfn.IFS(
  OR(ISBLANK(A250),ISBLANK(B250),ISBLANK(D250),ISBLANK(E250),ISBLANK(H250)),"Missing Value",
  D250&lt;0,"Review – Out of Range (Claim Amount)",
  H250&lt;0,"Review – Out of Range (Days to Process)",
  TRUE,"OK"
)</f>
        <v>OK</v>
      </c>
    </row>
    <row r="251" spans="1:9" ht="16.8" x14ac:dyDescent="0.3">
      <c r="A251" s="14" t="s">
        <v>6758</v>
      </c>
      <c r="B251" s="14" t="s">
        <v>4429</v>
      </c>
      <c r="C251" s="15">
        <v>45406</v>
      </c>
      <c r="D251" s="14">
        <v>241520.88</v>
      </c>
      <c r="E251" s="14" t="s">
        <v>6502</v>
      </c>
      <c r="F251" s="14" t="s">
        <v>6503</v>
      </c>
      <c r="G251" s="14" t="s">
        <v>46</v>
      </c>
      <c r="H251" s="14">
        <v>42</v>
      </c>
      <c r="I251" s="13" t="str" cm="1">
        <f t="array" ref="I251">_xlfn.IFS(
  OR(ISBLANK(A251),ISBLANK(B251),ISBLANK(D251),ISBLANK(E251),ISBLANK(H251)),"Missing Value",
  D251&lt;0,"Review – Out of Range (Claim Amount)",
  H251&lt;0,"Review – Out of Range (Days to Process)",
  TRUE,"OK"
)</f>
        <v>OK</v>
      </c>
    </row>
    <row r="252" spans="1:9" ht="16.8" x14ac:dyDescent="0.3">
      <c r="A252" s="11" t="s">
        <v>6759</v>
      </c>
      <c r="B252" s="11" t="s">
        <v>5768</v>
      </c>
      <c r="C252" s="12">
        <v>45382</v>
      </c>
      <c r="D252" s="11">
        <v>140627.29</v>
      </c>
      <c r="E252" s="11" t="s">
        <v>6505</v>
      </c>
      <c r="F252" s="11" t="s">
        <v>6503</v>
      </c>
      <c r="G252" s="11" t="s">
        <v>45</v>
      </c>
      <c r="H252" s="11">
        <v>3</v>
      </c>
      <c r="I252" s="13" t="str" cm="1">
        <f t="array" ref="I252">_xlfn.IFS(
  OR(ISBLANK(A252),ISBLANK(B252),ISBLANK(D252),ISBLANK(E252),ISBLANK(H252)),"Missing Value",
  D252&lt;0,"Review – Out of Range (Claim Amount)",
  H252&lt;0,"Review – Out of Range (Days to Process)",
  TRUE,"OK"
)</f>
        <v>OK</v>
      </c>
    </row>
    <row r="253" spans="1:9" ht="16.8" x14ac:dyDescent="0.3">
      <c r="A253" s="14" t="s">
        <v>6760</v>
      </c>
      <c r="B253" s="14" t="s">
        <v>5083</v>
      </c>
      <c r="C253" s="15">
        <v>45065</v>
      </c>
      <c r="D253" s="14">
        <v>436313.09</v>
      </c>
      <c r="E253" s="14" t="s">
        <v>6508</v>
      </c>
      <c r="F253" s="14" t="s">
        <v>6506</v>
      </c>
      <c r="G253" s="14" t="s">
        <v>46</v>
      </c>
      <c r="H253" s="14">
        <v>5</v>
      </c>
      <c r="I253" s="13" t="str" cm="1">
        <f t="array" ref="I253">_xlfn.IFS(
  OR(ISBLANK(A253),ISBLANK(B253),ISBLANK(D253),ISBLANK(E253),ISBLANK(H253)),"Missing Value",
  D253&lt;0,"Review – Out of Range (Claim Amount)",
  H253&lt;0,"Review – Out of Range (Days to Process)",
  TRUE,"OK"
)</f>
        <v>OK</v>
      </c>
    </row>
    <row r="254" spans="1:9" ht="16.8" x14ac:dyDescent="0.3">
      <c r="A254" s="11" t="s">
        <v>6761</v>
      </c>
      <c r="B254" s="11" t="s">
        <v>4148</v>
      </c>
      <c r="C254" s="12">
        <v>44649</v>
      </c>
      <c r="D254" s="11">
        <v>124872.37</v>
      </c>
      <c r="E254" s="11" t="s">
        <v>6508</v>
      </c>
      <c r="F254" s="11" t="s">
        <v>6516</v>
      </c>
      <c r="G254" s="11" t="s">
        <v>45</v>
      </c>
      <c r="H254" s="11">
        <v>38</v>
      </c>
      <c r="I254" s="13" t="str" cm="1">
        <f t="array" ref="I254">_xlfn.IFS(
  OR(ISBLANK(A254),ISBLANK(B254),ISBLANK(D254),ISBLANK(E254),ISBLANK(H254)),"Missing Value",
  D254&lt;0,"Review – Out of Range (Claim Amount)",
  H254&lt;0,"Review – Out of Range (Days to Process)",
  TRUE,"OK"
)</f>
        <v>OK</v>
      </c>
    </row>
    <row r="255" spans="1:9" ht="16.8" x14ac:dyDescent="0.3">
      <c r="A255" s="14" t="s">
        <v>6762</v>
      </c>
      <c r="B255" s="14" t="s">
        <v>5290</v>
      </c>
      <c r="C255" s="15">
        <v>45321</v>
      </c>
      <c r="D255" s="14">
        <v>169556.1</v>
      </c>
      <c r="E255" s="14" t="s">
        <v>6502</v>
      </c>
      <c r="F255" s="14" t="s">
        <v>6506</v>
      </c>
      <c r="G255" s="14" t="s">
        <v>46</v>
      </c>
      <c r="H255" s="14">
        <v>41</v>
      </c>
      <c r="I255" s="13" t="str" cm="1">
        <f t="array" ref="I255">_xlfn.IFS(
  OR(ISBLANK(A255),ISBLANK(B255),ISBLANK(D255),ISBLANK(E255),ISBLANK(H255)),"Missing Value",
  D255&lt;0,"Review – Out of Range (Claim Amount)",
  H255&lt;0,"Review – Out of Range (Days to Process)",
  TRUE,"OK"
)</f>
        <v>OK</v>
      </c>
    </row>
    <row r="256" spans="1:9" ht="16.8" x14ac:dyDescent="0.3">
      <c r="A256" s="11" t="s">
        <v>6763</v>
      </c>
      <c r="B256" s="11" t="s">
        <v>6138</v>
      </c>
      <c r="C256" s="12">
        <v>45415</v>
      </c>
      <c r="D256" s="11">
        <v>208210.04</v>
      </c>
      <c r="E256" s="11" t="s">
        <v>6508</v>
      </c>
      <c r="F256" s="11" t="s">
        <v>6511</v>
      </c>
      <c r="G256" s="11" t="s">
        <v>45</v>
      </c>
      <c r="H256" s="11">
        <v>52</v>
      </c>
      <c r="I256" s="13" t="str" cm="1">
        <f t="array" ref="I256">_xlfn.IFS(
  OR(ISBLANK(A256),ISBLANK(B256),ISBLANK(D256),ISBLANK(E256),ISBLANK(H256)),"Missing Value",
  D256&lt;0,"Review – Out of Range (Claim Amount)",
  H256&lt;0,"Review – Out of Range (Days to Process)",
  TRUE,"OK"
)</f>
        <v>OK</v>
      </c>
    </row>
    <row r="257" spans="1:9" ht="16.8" x14ac:dyDescent="0.3">
      <c r="A257" s="14" t="s">
        <v>6764</v>
      </c>
      <c r="B257" s="14" t="s">
        <v>6016</v>
      </c>
      <c r="C257" s="15">
        <v>44792</v>
      </c>
      <c r="D257" s="14">
        <v>191858.29</v>
      </c>
      <c r="E257" s="14" t="s">
        <v>6502</v>
      </c>
      <c r="F257" s="14" t="s">
        <v>6516</v>
      </c>
      <c r="G257" s="14" t="s">
        <v>45</v>
      </c>
      <c r="H257" s="14">
        <v>30</v>
      </c>
      <c r="I257" s="13" t="str" cm="1">
        <f t="array" ref="I257">_xlfn.IFS(
  OR(ISBLANK(A257),ISBLANK(B257),ISBLANK(D257),ISBLANK(E257),ISBLANK(H257)),"Missing Value",
  D257&lt;0,"Review – Out of Range (Claim Amount)",
  H257&lt;0,"Review – Out of Range (Days to Process)",
  TRUE,"OK"
)</f>
        <v>OK</v>
      </c>
    </row>
    <row r="258" spans="1:9" ht="16.8" x14ac:dyDescent="0.3">
      <c r="A258" s="11" t="s">
        <v>6765</v>
      </c>
      <c r="B258" s="11" t="s">
        <v>3845</v>
      </c>
      <c r="C258" s="12">
        <v>44763</v>
      </c>
      <c r="D258" s="11">
        <v>475162.44</v>
      </c>
      <c r="E258" s="11" t="s">
        <v>6502</v>
      </c>
      <c r="F258" s="11" t="s">
        <v>6516</v>
      </c>
      <c r="G258" s="11" t="s">
        <v>45</v>
      </c>
      <c r="H258" s="11">
        <v>50</v>
      </c>
      <c r="I258" s="13" t="str" cm="1">
        <f t="array" ref="I258">_xlfn.IFS(
  OR(ISBLANK(A258),ISBLANK(B258),ISBLANK(D258),ISBLANK(E258),ISBLANK(H258)),"Missing Value",
  D258&lt;0,"Review – Out of Range (Claim Amount)",
  H258&lt;0,"Review – Out of Range (Days to Process)",
  TRUE,"OK"
)</f>
        <v>OK</v>
      </c>
    </row>
    <row r="259" spans="1:9" ht="16.8" x14ac:dyDescent="0.3">
      <c r="A259" s="14" t="s">
        <v>6766</v>
      </c>
      <c r="B259" s="14" t="s">
        <v>5994</v>
      </c>
      <c r="C259" s="15">
        <v>45758</v>
      </c>
      <c r="D259" s="14">
        <v>168784.33</v>
      </c>
      <c r="E259" s="14" t="s">
        <v>6502</v>
      </c>
      <c r="F259" s="14" t="s">
        <v>6506</v>
      </c>
      <c r="G259" s="14" t="s">
        <v>46</v>
      </c>
      <c r="H259" s="14">
        <v>22</v>
      </c>
      <c r="I259" s="13" t="str" cm="1">
        <f t="array" ref="I259">_xlfn.IFS(
  OR(ISBLANK(A259),ISBLANK(B259),ISBLANK(D259),ISBLANK(E259),ISBLANK(H259)),"Missing Value",
  D259&lt;0,"Review – Out of Range (Claim Amount)",
  H259&lt;0,"Review – Out of Range (Days to Process)",
  TRUE,"OK"
)</f>
        <v>OK</v>
      </c>
    </row>
    <row r="260" spans="1:9" ht="16.8" x14ac:dyDescent="0.3">
      <c r="A260" s="11" t="s">
        <v>6767</v>
      </c>
      <c r="B260" s="11" t="s">
        <v>4425</v>
      </c>
      <c r="C260" s="12">
        <v>44820</v>
      </c>
      <c r="D260" s="11">
        <v>310249.27</v>
      </c>
      <c r="E260" s="11" t="s">
        <v>6508</v>
      </c>
      <c r="F260" s="11" t="s">
        <v>6509</v>
      </c>
      <c r="G260" s="11" t="s">
        <v>46</v>
      </c>
      <c r="H260" s="11">
        <v>15</v>
      </c>
      <c r="I260" s="13" t="str" cm="1">
        <f t="array" ref="I260">_xlfn.IFS(
  OR(ISBLANK(A260),ISBLANK(B260),ISBLANK(D260),ISBLANK(E260),ISBLANK(H260)),"Missing Value",
  D260&lt;0,"Review – Out of Range (Claim Amount)",
  H260&lt;0,"Review – Out of Range (Days to Process)",
  TRUE,"OK"
)</f>
        <v>OK</v>
      </c>
    </row>
    <row r="261" spans="1:9" ht="16.8" x14ac:dyDescent="0.3">
      <c r="A261" s="14" t="s">
        <v>6768</v>
      </c>
      <c r="B261" s="14" t="s">
        <v>4603</v>
      </c>
      <c r="C261" s="15">
        <v>44614</v>
      </c>
      <c r="D261" s="14">
        <v>233644.36</v>
      </c>
      <c r="E261" s="14" t="s">
        <v>6508</v>
      </c>
      <c r="F261" s="14" t="s">
        <v>6506</v>
      </c>
      <c r="G261" s="14" t="s">
        <v>45</v>
      </c>
      <c r="H261" s="14">
        <v>55</v>
      </c>
      <c r="I261" s="13" t="str" cm="1">
        <f t="array" ref="I261">_xlfn.IFS(
  OR(ISBLANK(A261),ISBLANK(B261),ISBLANK(D261),ISBLANK(E261),ISBLANK(H261)),"Missing Value",
  D261&lt;0,"Review – Out of Range (Claim Amount)",
  H261&lt;0,"Review – Out of Range (Days to Process)",
  TRUE,"OK"
)</f>
        <v>OK</v>
      </c>
    </row>
    <row r="262" spans="1:9" ht="16.8" x14ac:dyDescent="0.3">
      <c r="A262" s="11" t="s">
        <v>6769</v>
      </c>
      <c r="B262" s="11" t="s">
        <v>4144</v>
      </c>
      <c r="C262" s="12">
        <v>45277</v>
      </c>
      <c r="D262" s="11">
        <v>386320.76</v>
      </c>
      <c r="E262" s="11" t="s">
        <v>6505</v>
      </c>
      <c r="F262" s="11" t="s">
        <v>6511</v>
      </c>
      <c r="G262" s="11" t="s">
        <v>45</v>
      </c>
      <c r="H262" s="11">
        <v>46</v>
      </c>
      <c r="I262" s="13" t="str" cm="1">
        <f t="array" ref="I262">_xlfn.IFS(
  OR(ISBLANK(A262),ISBLANK(B262),ISBLANK(D262),ISBLANK(E262),ISBLANK(H262)),"Missing Value",
  D262&lt;0,"Review – Out of Range (Claim Amount)",
  H262&lt;0,"Review – Out of Range (Days to Process)",
  TRUE,"OK"
)</f>
        <v>OK</v>
      </c>
    </row>
    <row r="263" spans="1:9" ht="16.8" x14ac:dyDescent="0.3">
      <c r="A263" s="14" t="s">
        <v>6770</v>
      </c>
      <c r="B263" s="14" t="s">
        <v>4130</v>
      </c>
      <c r="C263" s="15">
        <v>45560</v>
      </c>
      <c r="D263" s="14">
        <v>60178.34</v>
      </c>
      <c r="E263" s="14" t="s">
        <v>6508</v>
      </c>
      <c r="F263" s="14" t="s">
        <v>6506</v>
      </c>
      <c r="G263" s="14" t="s">
        <v>45</v>
      </c>
      <c r="H263" s="14">
        <v>57</v>
      </c>
      <c r="I263" s="13" t="str" cm="1">
        <f t="array" ref="I263">_xlfn.IFS(
  OR(ISBLANK(A263),ISBLANK(B263),ISBLANK(D263),ISBLANK(E263),ISBLANK(H263)),"Missing Value",
  D263&lt;0,"Review – Out of Range (Claim Amount)",
  H263&lt;0,"Review – Out of Range (Days to Process)",
  TRUE,"OK"
)</f>
        <v>OK</v>
      </c>
    </row>
    <row r="264" spans="1:9" ht="16.8" x14ac:dyDescent="0.3">
      <c r="A264" s="11" t="s">
        <v>6771</v>
      </c>
      <c r="B264" s="11" t="s">
        <v>5486</v>
      </c>
      <c r="C264" s="12">
        <v>45060</v>
      </c>
      <c r="D264" s="11">
        <v>117904.19</v>
      </c>
      <c r="E264" s="11" t="s">
        <v>6508</v>
      </c>
      <c r="F264" s="11" t="s">
        <v>6506</v>
      </c>
      <c r="G264" s="11" t="s">
        <v>46</v>
      </c>
      <c r="H264" s="11">
        <v>54</v>
      </c>
      <c r="I264" s="13" t="str" cm="1">
        <f t="array" ref="I264">_xlfn.IFS(
  OR(ISBLANK(A264),ISBLANK(B264),ISBLANK(D264),ISBLANK(E264),ISBLANK(H264)),"Missing Value",
  D264&lt;0,"Review – Out of Range (Claim Amount)",
  H264&lt;0,"Review – Out of Range (Days to Process)",
  TRUE,"OK"
)</f>
        <v>OK</v>
      </c>
    </row>
    <row r="265" spans="1:9" ht="16.8" x14ac:dyDescent="0.3">
      <c r="A265" s="14" t="s">
        <v>6772</v>
      </c>
      <c r="B265" s="14" t="s">
        <v>4195</v>
      </c>
      <c r="C265" s="15">
        <v>44276</v>
      </c>
      <c r="D265" s="14">
        <v>36841.730000000003</v>
      </c>
      <c r="E265" s="14" t="s">
        <v>6502</v>
      </c>
      <c r="F265" s="14" t="s">
        <v>6503</v>
      </c>
      <c r="G265" s="14" t="s">
        <v>46</v>
      </c>
      <c r="H265" s="14">
        <v>19</v>
      </c>
      <c r="I265" s="13" t="str" cm="1">
        <f t="array" ref="I265">_xlfn.IFS(
  OR(ISBLANK(A265),ISBLANK(B265),ISBLANK(D265),ISBLANK(E265),ISBLANK(H265)),"Missing Value",
  D265&lt;0,"Review – Out of Range (Claim Amount)",
  H265&lt;0,"Review – Out of Range (Days to Process)",
  TRUE,"OK"
)</f>
        <v>OK</v>
      </c>
    </row>
    <row r="266" spans="1:9" ht="16.8" x14ac:dyDescent="0.3">
      <c r="A266" s="11" t="s">
        <v>6773</v>
      </c>
      <c r="B266" s="11" t="s">
        <v>5243</v>
      </c>
      <c r="C266" s="12">
        <v>45348</v>
      </c>
      <c r="D266" s="11">
        <v>280442.42</v>
      </c>
      <c r="E266" s="11" t="s">
        <v>6502</v>
      </c>
      <c r="F266" s="11" t="s">
        <v>6511</v>
      </c>
      <c r="G266" s="11" t="s">
        <v>45</v>
      </c>
      <c r="H266" s="11">
        <v>31</v>
      </c>
      <c r="I266" s="13" t="str" cm="1">
        <f t="array" ref="I266">_xlfn.IFS(
  OR(ISBLANK(A266),ISBLANK(B266),ISBLANK(D266),ISBLANK(E266),ISBLANK(H266)),"Missing Value",
  D266&lt;0,"Review – Out of Range (Claim Amount)",
  H266&lt;0,"Review – Out of Range (Days to Process)",
  TRUE,"OK"
)</f>
        <v>OK</v>
      </c>
    </row>
    <row r="267" spans="1:9" ht="16.8" x14ac:dyDescent="0.3">
      <c r="A267" s="14" t="s">
        <v>6774</v>
      </c>
      <c r="B267" s="14" t="s">
        <v>5737</v>
      </c>
      <c r="C267" s="15">
        <v>44782</v>
      </c>
      <c r="D267" s="14">
        <v>265925.59000000003</v>
      </c>
      <c r="E267" s="14" t="s">
        <v>6505</v>
      </c>
      <c r="F267" s="14" t="s">
        <v>6516</v>
      </c>
      <c r="G267" s="14" t="s">
        <v>46</v>
      </c>
      <c r="H267" s="14">
        <v>46</v>
      </c>
      <c r="I267" s="13" t="str" cm="1">
        <f t="array" ref="I267">_xlfn.IFS(
  OR(ISBLANK(A267),ISBLANK(B267),ISBLANK(D267),ISBLANK(E267),ISBLANK(H267)),"Missing Value",
  D267&lt;0,"Review – Out of Range (Claim Amount)",
  H267&lt;0,"Review – Out of Range (Days to Process)",
  TRUE,"OK"
)</f>
        <v>OK</v>
      </c>
    </row>
    <row r="268" spans="1:9" ht="16.8" x14ac:dyDescent="0.3">
      <c r="A268" s="11" t="s">
        <v>6775</v>
      </c>
      <c r="B268" s="11" t="s">
        <v>5166</v>
      </c>
      <c r="C268" s="12">
        <v>45135</v>
      </c>
      <c r="D268" s="11">
        <v>213637.04</v>
      </c>
      <c r="E268" s="11" t="s">
        <v>6502</v>
      </c>
      <c r="F268" s="11" t="s">
        <v>6516</v>
      </c>
      <c r="G268" s="11" t="s">
        <v>46</v>
      </c>
      <c r="H268" s="11">
        <v>59</v>
      </c>
      <c r="I268" s="13" t="str" cm="1">
        <f t="array" ref="I268">_xlfn.IFS(
  OR(ISBLANK(A268),ISBLANK(B268),ISBLANK(D268),ISBLANK(E268),ISBLANK(H268)),"Missing Value",
  D268&lt;0,"Review – Out of Range (Claim Amount)",
  H268&lt;0,"Review – Out of Range (Days to Process)",
  TRUE,"OK"
)</f>
        <v>OK</v>
      </c>
    </row>
    <row r="269" spans="1:9" ht="16.8" x14ac:dyDescent="0.3">
      <c r="A269" s="14" t="s">
        <v>6776</v>
      </c>
      <c r="B269" s="14" t="s">
        <v>4597</v>
      </c>
      <c r="C269" s="15">
        <v>45585</v>
      </c>
      <c r="D269" s="14">
        <v>438839.88</v>
      </c>
      <c r="E269" s="14" t="s">
        <v>6508</v>
      </c>
      <c r="F269" s="14" t="s">
        <v>6503</v>
      </c>
      <c r="G269" s="14" t="s">
        <v>46</v>
      </c>
      <c r="H269" s="14">
        <v>36</v>
      </c>
      <c r="I269" s="13" t="str" cm="1">
        <f t="array" ref="I269">_xlfn.IFS(
  OR(ISBLANK(A269),ISBLANK(B269),ISBLANK(D269),ISBLANK(E269),ISBLANK(H269)),"Missing Value",
  D269&lt;0,"Review – Out of Range (Claim Amount)",
  H269&lt;0,"Review – Out of Range (Days to Process)",
  TRUE,"OK"
)</f>
        <v>OK</v>
      </c>
    </row>
    <row r="270" spans="1:9" ht="16.8" x14ac:dyDescent="0.3">
      <c r="A270" s="11" t="s">
        <v>6777</v>
      </c>
      <c r="B270" s="11" t="s">
        <v>5272</v>
      </c>
      <c r="C270" s="12">
        <v>45477</v>
      </c>
      <c r="D270" s="11">
        <v>392731.34</v>
      </c>
      <c r="E270" s="11" t="s">
        <v>6505</v>
      </c>
      <c r="F270" s="11" t="s">
        <v>6511</v>
      </c>
      <c r="G270" s="11" t="s">
        <v>45</v>
      </c>
      <c r="H270" s="11">
        <v>12</v>
      </c>
      <c r="I270" s="13" t="str" cm="1">
        <f t="array" ref="I270">_xlfn.IFS(
  OR(ISBLANK(A270),ISBLANK(B270),ISBLANK(D270),ISBLANK(E270),ISBLANK(H270)),"Missing Value",
  D270&lt;0,"Review – Out of Range (Claim Amount)",
  H270&lt;0,"Review – Out of Range (Days to Process)",
  TRUE,"OK"
)</f>
        <v>OK</v>
      </c>
    </row>
    <row r="271" spans="1:9" ht="16.8" x14ac:dyDescent="0.3">
      <c r="A271" s="14" t="s">
        <v>6778</v>
      </c>
      <c r="B271" s="14" t="s">
        <v>3546</v>
      </c>
      <c r="C271" s="15">
        <v>45128</v>
      </c>
      <c r="D271" s="14">
        <v>214306.63</v>
      </c>
      <c r="E271" s="14" t="s">
        <v>6508</v>
      </c>
      <c r="F271" s="14" t="s">
        <v>6516</v>
      </c>
      <c r="G271" s="14" t="s">
        <v>45</v>
      </c>
      <c r="H271" s="14">
        <v>35</v>
      </c>
      <c r="I271" s="13" t="str" cm="1">
        <f t="array" ref="I271">_xlfn.IFS(
  OR(ISBLANK(A271),ISBLANK(B271),ISBLANK(D271),ISBLANK(E271),ISBLANK(H271)),"Missing Value",
  D271&lt;0,"Review – Out of Range (Claim Amount)",
  H271&lt;0,"Review – Out of Range (Days to Process)",
  TRUE,"OK"
)</f>
        <v>OK</v>
      </c>
    </row>
    <row r="272" spans="1:9" ht="16.8" x14ac:dyDescent="0.3">
      <c r="A272" s="11" t="s">
        <v>6779</v>
      </c>
      <c r="B272" s="11" t="s">
        <v>6394</v>
      </c>
      <c r="C272" s="12">
        <v>45039</v>
      </c>
      <c r="D272" s="11">
        <v>259951.89</v>
      </c>
      <c r="E272" s="11" t="s">
        <v>6505</v>
      </c>
      <c r="F272" s="11" t="s">
        <v>6503</v>
      </c>
      <c r="G272" s="11" t="s">
        <v>46</v>
      </c>
      <c r="H272" s="11">
        <v>23</v>
      </c>
      <c r="I272" s="13" t="str" cm="1">
        <f t="array" ref="I272">_xlfn.IFS(
  OR(ISBLANK(A272),ISBLANK(B272),ISBLANK(D272),ISBLANK(E272),ISBLANK(H272)),"Missing Value",
  D272&lt;0,"Review – Out of Range (Claim Amount)",
  H272&lt;0,"Review – Out of Range (Days to Process)",
  TRUE,"OK"
)</f>
        <v>OK</v>
      </c>
    </row>
    <row r="273" spans="1:9" ht="16.8" x14ac:dyDescent="0.3">
      <c r="A273" s="14" t="s">
        <v>6780</v>
      </c>
      <c r="B273" s="14" t="s">
        <v>4729</v>
      </c>
      <c r="C273" s="15">
        <v>45007</v>
      </c>
      <c r="D273" s="14">
        <v>487715.92</v>
      </c>
      <c r="E273" s="14" t="s">
        <v>6505</v>
      </c>
      <c r="F273" s="14" t="s">
        <v>6509</v>
      </c>
      <c r="G273" s="14" t="s">
        <v>46</v>
      </c>
      <c r="H273" s="14">
        <v>17</v>
      </c>
      <c r="I273" s="13" t="str" cm="1">
        <f t="array" ref="I273">_xlfn.IFS(
  OR(ISBLANK(A273),ISBLANK(B273),ISBLANK(D273),ISBLANK(E273),ISBLANK(H273)),"Missing Value",
  D273&lt;0,"Review – Out of Range (Claim Amount)",
  H273&lt;0,"Review – Out of Range (Days to Process)",
  TRUE,"OK"
)</f>
        <v>OK</v>
      </c>
    </row>
    <row r="274" spans="1:9" ht="16.8" x14ac:dyDescent="0.3">
      <c r="A274" s="11" t="s">
        <v>6781</v>
      </c>
      <c r="B274" s="11" t="s">
        <v>5223</v>
      </c>
      <c r="C274" s="12">
        <v>45458</v>
      </c>
      <c r="D274" s="11">
        <v>230524.49</v>
      </c>
      <c r="E274" s="11" t="s">
        <v>6502</v>
      </c>
      <c r="F274" s="11" t="s">
        <v>6506</v>
      </c>
      <c r="G274" s="11" t="s">
        <v>46</v>
      </c>
      <c r="H274" s="11">
        <v>25</v>
      </c>
      <c r="I274" s="13" t="str" cm="1">
        <f t="array" ref="I274">_xlfn.IFS(
  OR(ISBLANK(A274),ISBLANK(B274),ISBLANK(D274),ISBLANK(E274),ISBLANK(H274)),"Missing Value",
  D274&lt;0,"Review – Out of Range (Claim Amount)",
  H274&lt;0,"Review – Out of Range (Days to Process)",
  TRUE,"OK"
)</f>
        <v>OK</v>
      </c>
    </row>
    <row r="275" spans="1:9" ht="16.8" x14ac:dyDescent="0.3">
      <c r="A275" s="14" t="s">
        <v>6782</v>
      </c>
      <c r="B275" s="14" t="s">
        <v>6305</v>
      </c>
      <c r="C275" s="15">
        <v>45044</v>
      </c>
      <c r="D275" s="14">
        <v>286394.42</v>
      </c>
      <c r="E275" s="14" t="s">
        <v>6502</v>
      </c>
      <c r="F275" s="14" t="s">
        <v>6503</v>
      </c>
      <c r="G275" s="14" t="s">
        <v>45</v>
      </c>
      <c r="H275" s="14">
        <v>6</v>
      </c>
      <c r="I275" s="13" t="str" cm="1">
        <f t="array" ref="I275">_xlfn.IFS(
  OR(ISBLANK(A275),ISBLANK(B275),ISBLANK(D275),ISBLANK(E275),ISBLANK(H275)),"Missing Value",
  D275&lt;0,"Review – Out of Range (Claim Amount)",
  H275&lt;0,"Review – Out of Range (Days to Process)",
  TRUE,"OK"
)</f>
        <v>OK</v>
      </c>
    </row>
    <row r="276" spans="1:9" ht="16.8" x14ac:dyDescent="0.3">
      <c r="A276" s="11" t="s">
        <v>6783</v>
      </c>
      <c r="B276" s="11" t="s">
        <v>5381</v>
      </c>
      <c r="C276" s="12">
        <v>45062</v>
      </c>
      <c r="D276" s="11">
        <v>64769.78</v>
      </c>
      <c r="E276" s="11" t="s">
        <v>6508</v>
      </c>
      <c r="F276" s="11" t="s">
        <v>6506</v>
      </c>
      <c r="G276" s="11" t="s">
        <v>45</v>
      </c>
      <c r="H276" s="11">
        <v>31</v>
      </c>
      <c r="I276" s="13" t="str" cm="1">
        <f t="array" ref="I276">_xlfn.IFS(
  OR(ISBLANK(A276),ISBLANK(B276),ISBLANK(D276),ISBLANK(E276),ISBLANK(H276)),"Missing Value",
  D276&lt;0,"Review – Out of Range (Claim Amount)",
  H276&lt;0,"Review – Out of Range (Days to Process)",
  TRUE,"OK"
)</f>
        <v>OK</v>
      </c>
    </row>
    <row r="277" spans="1:9" ht="16.8" x14ac:dyDescent="0.3">
      <c r="A277" s="14" t="s">
        <v>6784</v>
      </c>
      <c r="B277" s="14" t="s">
        <v>4635</v>
      </c>
      <c r="C277" s="15">
        <v>44669</v>
      </c>
      <c r="D277" s="14">
        <v>275437.57</v>
      </c>
      <c r="E277" s="14" t="s">
        <v>6502</v>
      </c>
      <c r="F277" s="14" t="s">
        <v>6511</v>
      </c>
      <c r="G277" s="14" t="s">
        <v>45</v>
      </c>
      <c r="H277" s="14">
        <v>36</v>
      </c>
      <c r="I277" s="13" t="str" cm="1">
        <f t="array" ref="I277">_xlfn.IFS(
  OR(ISBLANK(A277),ISBLANK(B277),ISBLANK(D277),ISBLANK(E277),ISBLANK(H277)),"Missing Value",
  D277&lt;0,"Review – Out of Range (Claim Amount)",
  H277&lt;0,"Review – Out of Range (Days to Process)",
  TRUE,"OK"
)</f>
        <v>OK</v>
      </c>
    </row>
    <row r="278" spans="1:9" ht="16.8" x14ac:dyDescent="0.3">
      <c r="A278" s="11" t="s">
        <v>6785</v>
      </c>
      <c r="B278" s="11" t="s">
        <v>5947</v>
      </c>
      <c r="C278" s="12">
        <v>45545</v>
      </c>
      <c r="D278" s="11">
        <v>166040.29999999999</v>
      </c>
      <c r="E278" s="11" t="s">
        <v>6505</v>
      </c>
      <c r="F278" s="11" t="s">
        <v>6509</v>
      </c>
      <c r="G278" s="11" t="s">
        <v>45</v>
      </c>
      <c r="H278" s="11">
        <v>41</v>
      </c>
      <c r="I278" s="13" t="str" cm="1">
        <f t="array" ref="I278">_xlfn.IFS(
  OR(ISBLANK(A278),ISBLANK(B278),ISBLANK(D278),ISBLANK(E278),ISBLANK(H278)),"Missing Value",
  D278&lt;0,"Review – Out of Range (Claim Amount)",
  H278&lt;0,"Review – Out of Range (Days to Process)",
  TRUE,"OK"
)</f>
        <v>OK</v>
      </c>
    </row>
    <row r="279" spans="1:9" ht="16.8" x14ac:dyDescent="0.3">
      <c r="A279" s="14" t="s">
        <v>6786</v>
      </c>
      <c r="B279" s="14" t="s">
        <v>5885</v>
      </c>
      <c r="C279" s="15">
        <v>45404</v>
      </c>
      <c r="D279" s="14">
        <v>437404.65</v>
      </c>
      <c r="E279" s="14" t="s">
        <v>6502</v>
      </c>
      <c r="F279" s="14" t="s">
        <v>6506</v>
      </c>
      <c r="G279" s="14" t="s">
        <v>45</v>
      </c>
      <c r="H279" s="14">
        <v>42</v>
      </c>
      <c r="I279" s="13" t="str" cm="1">
        <f t="array" ref="I279">_xlfn.IFS(
  OR(ISBLANK(A279),ISBLANK(B279),ISBLANK(D279),ISBLANK(E279),ISBLANK(H279)),"Missing Value",
  D279&lt;0,"Review – Out of Range (Claim Amount)",
  H279&lt;0,"Review – Out of Range (Days to Process)",
  TRUE,"OK"
)</f>
        <v>OK</v>
      </c>
    </row>
    <row r="280" spans="1:9" ht="16.8" x14ac:dyDescent="0.3">
      <c r="A280" s="11" t="s">
        <v>6787</v>
      </c>
      <c r="B280" s="11" t="s">
        <v>3362</v>
      </c>
      <c r="C280" s="12">
        <v>45066</v>
      </c>
      <c r="D280" s="11">
        <v>64495.51</v>
      </c>
      <c r="E280" s="11" t="s">
        <v>6508</v>
      </c>
      <c r="F280" s="11" t="s">
        <v>6511</v>
      </c>
      <c r="G280" s="11" t="s">
        <v>46</v>
      </c>
      <c r="H280" s="11">
        <v>59</v>
      </c>
      <c r="I280" s="13" t="str" cm="1">
        <f t="array" ref="I280">_xlfn.IFS(
  OR(ISBLANK(A280),ISBLANK(B280),ISBLANK(D280),ISBLANK(E280),ISBLANK(H280)),"Missing Value",
  D280&lt;0,"Review – Out of Range (Claim Amount)",
  H280&lt;0,"Review – Out of Range (Days to Process)",
  TRUE,"OK"
)</f>
        <v>OK</v>
      </c>
    </row>
    <row r="281" spans="1:9" ht="16.8" x14ac:dyDescent="0.3">
      <c r="A281" s="14" t="s">
        <v>6788</v>
      </c>
      <c r="B281" s="14" t="s">
        <v>4299</v>
      </c>
      <c r="C281" s="15">
        <v>45478</v>
      </c>
      <c r="D281" s="14">
        <v>159976.81</v>
      </c>
      <c r="E281" s="14" t="s">
        <v>6505</v>
      </c>
      <c r="F281" s="14" t="s">
        <v>6509</v>
      </c>
      <c r="G281" s="14" t="s">
        <v>45</v>
      </c>
      <c r="H281" s="14">
        <v>45</v>
      </c>
      <c r="I281" s="13" t="str" cm="1">
        <f t="array" ref="I281">_xlfn.IFS(
  OR(ISBLANK(A281),ISBLANK(B281),ISBLANK(D281),ISBLANK(E281),ISBLANK(H281)),"Missing Value",
  D281&lt;0,"Review – Out of Range (Claim Amount)",
  H281&lt;0,"Review – Out of Range (Days to Process)",
  TRUE,"OK"
)</f>
        <v>OK</v>
      </c>
    </row>
    <row r="282" spans="1:9" ht="16.8" x14ac:dyDescent="0.3">
      <c r="A282" s="11" t="s">
        <v>6789</v>
      </c>
      <c r="B282" s="11" t="s">
        <v>5152</v>
      </c>
      <c r="C282" s="12">
        <v>44491</v>
      </c>
      <c r="D282" s="11">
        <v>488883.26</v>
      </c>
      <c r="E282" s="11" t="s">
        <v>6508</v>
      </c>
      <c r="F282" s="11" t="s">
        <v>6516</v>
      </c>
      <c r="G282" s="11" t="s">
        <v>46</v>
      </c>
      <c r="H282" s="11">
        <v>19</v>
      </c>
      <c r="I282" s="13" t="str" cm="1">
        <f t="array" ref="I282">_xlfn.IFS(
  OR(ISBLANK(A282),ISBLANK(B282),ISBLANK(D282),ISBLANK(E282),ISBLANK(H282)),"Missing Value",
  D282&lt;0,"Review – Out of Range (Claim Amount)",
  H282&lt;0,"Review – Out of Range (Days to Process)",
  TRUE,"OK"
)</f>
        <v>OK</v>
      </c>
    </row>
    <row r="283" spans="1:9" ht="16.8" x14ac:dyDescent="0.3">
      <c r="A283" s="14" t="s">
        <v>6790</v>
      </c>
      <c r="B283" s="14" t="s">
        <v>5829</v>
      </c>
      <c r="C283" s="15">
        <v>45537</v>
      </c>
      <c r="D283" s="14">
        <v>491896.05</v>
      </c>
      <c r="E283" s="14" t="s">
        <v>6502</v>
      </c>
      <c r="F283" s="14" t="s">
        <v>6503</v>
      </c>
      <c r="G283" s="14" t="s">
        <v>45</v>
      </c>
      <c r="H283" s="14">
        <v>33</v>
      </c>
      <c r="I283" s="13" t="str" cm="1">
        <f t="array" ref="I283">_xlfn.IFS(
  OR(ISBLANK(A283),ISBLANK(B283),ISBLANK(D283),ISBLANK(E283),ISBLANK(H283)),"Missing Value",
  D283&lt;0,"Review – Out of Range (Claim Amount)",
  H283&lt;0,"Review – Out of Range (Days to Process)",
  TRUE,"OK"
)</f>
        <v>OK</v>
      </c>
    </row>
    <row r="284" spans="1:9" ht="16.8" x14ac:dyDescent="0.3">
      <c r="A284" s="11" t="s">
        <v>6791</v>
      </c>
      <c r="B284" s="11" t="s">
        <v>3703</v>
      </c>
      <c r="C284" s="12">
        <v>45257</v>
      </c>
      <c r="D284" s="11">
        <v>22432.49</v>
      </c>
      <c r="E284" s="11" t="s">
        <v>6502</v>
      </c>
      <c r="F284" s="11" t="s">
        <v>6509</v>
      </c>
      <c r="G284" s="11" t="s">
        <v>46</v>
      </c>
      <c r="H284" s="11">
        <v>40</v>
      </c>
      <c r="I284" s="13" t="str" cm="1">
        <f t="array" ref="I284">_xlfn.IFS(
  OR(ISBLANK(A284),ISBLANK(B284),ISBLANK(D284),ISBLANK(E284),ISBLANK(H284)),"Missing Value",
  D284&lt;0,"Review – Out of Range (Claim Amount)",
  H284&lt;0,"Review – Out of Range (Days to Process)",
  TRUE,"OK"
)</f>
        <v>OK</v>
      </c>
    </row>
    <row r="285" spans="1:9" ht="16.8" x14ac:dyDescent="0.3">
      <c r="A285" s="14" t="s">
        <v>6792</v>
      </c>
      <c r="B285" s="14" t="s">
        <v>3760</v>
      </c>
      <c r="C285" s="15">
        <v>45517</v>
      </c>
      <c r="D285" s="14">
        <v>17803.16</v>
      </c>
      <c r="E285" s="14" t="s">
        <v>6505</v>
      </c>
      <c r="F285" s="14" t="s">
        <v>6506</v>
      </c>
      <c r="G285" s="14" t="s">
        <v>46</v>
      </c>
      <c r="H285" s="14">
        <v>20</v>
      </c>
      <c r="I285" s="13" t="str" cm="1">
        <f t="array" ref="I285">_xlfn.IFS(
  OR(ISBLANK(A285),ISBLANK(B285),ISBLANK(D285),ISBLANK(E285),ISBLANK(H285)),"Missing Value",
  D285&lt;0,"Review – Out of Range (Claim Amount)",
  H285&lt;0,"Review – Out of Range (Days to Process)",
  TRUE,"OK"
)</f>
        <v>OK</v>
      </c>
    </row>
    <row r="286" spans="1:9" ht="16.8" x14ac:dyDescent="0.3">
      <c r="A286" s="11" t="s">
        <v>6793</v>
      </c>
      <c r="B286" s="11" t="s">
        <v>4058</v>
      </c>
      <c r="C286" s="12">
        <v>44882</v>
      </c>
      <c r="D286" s="11">
        <v>407382.82</v>
      </c>
      <c r="E286" s="11" t="s">
        <v>6505</v>
      </c>
      <c r="F286" s="11" t="s">
        <v>6509</v>
      </c>
      <c r="G286" s="11" t="s">
        <v>46</v>
      </c>
      <c r="H286" s="11">
        <v>32</v>
      </c>
      <c r="I286" s="13" t="str" cm="1">
        <f t="array" ref="I286">_xlfn.IFS(
  OR(ISBLANK(A286),ISBLANK(B286),ISBLANK(D286),ISBLANK(E286),ISBLANK(H286)),"Missing Value",
  D286&lt;0,"Review – Out of Range (Claim Amount)",
  H286&lt;0,"Review – Out of Range (Days to Process)",
  TRUE,"OK"
)</f>
        <v>OK</v>
      </c>
    </row>
    <row r="287" spans="1:9" ht="16.8" x14ac:dyDescent="0.3">
      <c r="A287" s="14" t="s">
        <v>6794</v>
      </c>
      <c r="B287" s="14" t="s">
        <v>5449</v>
      </c>
      <c r="C287" s="15">
        <v>45794</v>
      </c>
      <c r="D287" s="14">
        <v>107164.3</v>
      </c>
      <c r="E287" s="14" t="s">
        <v>6508</v>
      </c>
      <c r="F287" s="14" t="s">
        <v>6506</v>
      </c>
      <c r="G287" s="14" t="s">
        <v>45</v>
      </c>
      <c r="H287" s="14">
        <v>26</v>
      </c>
      <c r="I287" s="13" t="str" cm="1">
        <f t="array" ref="I287">_xlfn.IFS(
  OR(ISBLANK(A287),ISBLANK(B287),ISBLANK(D287),ISBLANK(E287),ISBLANK(H287)),"Missing Value",
  D287&lt;0,"Review – Out of Range (Claim Amount)",
  H287&lt;0,"Review – Out of Range (Days to Process)",
  TRUE,"OK"
)</f>
        <v>OK</v>
      </c>
    </row>
    <row r="288" spans="1:9" ht="16.8" x14ac:dyDescent="0.3">
      <c r="A288" s="11" t="s">
        <v>6795</v>
      </c>
      <c r="B288" s="11" t="s">
        <v>4987</v>
      </c>
      <c r="C288" s="12">
        <v>44485</v>
      </c>
      <c r="D288" s="11">
        <v>29211.48</v>
      </c>
      <c r="E288" s="11" t="s">
        <v>6505</v>
      </c>
      <c r="F288" s="11" t="s">
        <v>6503</v>
      </c>
      <c r="G288" s="11" t="s">
        <v>46</v>
      </c>
      <c r="H288" s="11">
        <v>46</v>
      </c>
      <c r="I288" s="13" t="str" cm="1">
        <f t="array" ref="I288">_xlfn.IFS(
  OR(ISBLANK(A288),ISBLANK(B288),ISBLANK(D288),ISBLANK(E288),ISBLANK(H288)),"Missing Value",
  D288&lt;0,"Review – Out of Range (Claim Amount)",
  H288&lt;0,"Review – Out of Range (Days to Process)",
  TRUE,"OK"
)</f>
        <v>OK</v>
      </c>
    </row>
    <row r="289" spans="1:9" ht="16.8" x14ac:dyDescent="0.3">
      <c r="A289" s="14" t="s">
        <v>6796</v>
      </c>
      <c r="B289" s="14" t="s">
        <v>4801</v>
      </c>
      <c r="C289" s="15">
        <v>45429</v>
      </c>
      <c r="D289" s="14">
        <v>369357.38</v>
      </c>
      <c r="E289" s="14" t="s">
        <v>6505</v>
      </c>
      <c r="F289" s="14" t="s">
        <v>6509</v>
      </c>
      <c r="G289" s="14" t="s">
        <v>46</v>
      </c>
      <c r="H289" s="14">
        <v>33</v>
      </c>
      <c r="I289" s="13" t="str" cm="1">
        <f t="array" ref="I289">_xlfn.IFS(
  OR(ISBLANK(A289),ISBLANK(B289),ISBLANK(D289),ISBLANK(E289),ISBLANK(H289)),"Missing Value",
  D289&lt;0,"Review – Out of Range (Claim Amount)",
  H289&lt;0,"Review – Out of Range (Days to Process)",
  TRUE,"OK"
)</f>
        <v>OK</v>
      </c>
    </row>
    <row r="290" spans="1:9" ht="16.8" x14ac:dyDescent="0.3">
      <c r="A290" s="11" t="s">
        <v>6797</v>
      </c>
      <c r="B290" s="11" t="s">
        <v>5297</v>
      </c>
      <c r="C290" s="12">
        <v>45456</v>
      </c>
      <c r="D290" s="11">
        <v>95048.42</v>
      </c>
      <c r="E290" s="11" t="s">
        <v>6508</v>
      </c>
      <c r="F290" s="11" t="s">
        <v>6506</v>
      </c>
      <c r="G290" s="11" t="s">
        <v>46</v>
      </c>
      <c r="H290" s="11">
        <v>10</v>
      </c>
      <c r="I290" s="13" t="str" cm="1">
        <f t="array" ref="I290">_xlfn.IFS(
  OR(ISBLANK(A290),ISBLANK(B290),ISBLANK(D290),ISBLANK(E290),ISBLANK(H290)),"Missing Value",
  D290&lt;0,"Review – Out of Range (Claim Amount)",
  H290&lt;0,"Review – Out of Range (Days to Process)",
  TRUE,"OK"
)</f>
        <v>OK</v>
      </c>
    </row>
    <row r="291" spans="1:9" ht="16.8" x14ac:dyDescent="0.3">
      <c r="A291" s="14" t="s">
        <v>6798</v>
      </c>
      <c r="B291" s="14" t="s">
        <v>4119</v>
      </c>
      <c r="C291" s="15">
        <v>45001</v>
      </c>
      <c r="D291" s="14">
        <v>151458.75</v>
      </c>
      <c r="E291" s="14" t="s">
        <v>6505</v>
      </c>
      <c r="F291" s="14" t="s">
        <v>6516</v>
      </c>
      <c r="G291" s="14" t="s">
        <v>45</v>
      </c>
      <c r="H291" s="14">
        <v>16</v>
      </c>
      <c r="I291" s="13" t="str" cm="1">
        <f t="array" ref="I291">_xlfn.IFS(
  OR(ISBLANK(A291),ISBLANK(B291),ISBLANK(D291),ISBLANK(E291),ISBLANK(H291)),"Missing Value",
  D291&lt;0,"Review – Out of Range (Claim Amount)",
  H291&lt;0,"Review – Out of Range (Days to Process)",
  TRUE,"OK"
)</f>
        <v>OK</v>
      </c>
    </row>
    <row r="292" spans="1:9" ht="16.8" x14ac:dyDescent="0.3">
      <c r="A292" s="11" t="s">
        <v>6799</v>
      </c>
      <c r="B292" s="11" t="s">
        <v>5732</v>
      </c>
      <c r="C292" s="12">
        <v>44865</v>
      </c>
      <c r="D292" s="11">
        <v>151572.29999999999</v>
      </c>
      <c r="E292" s="11" t="s">
        <v>6508</v>
      </c>
      <c r="F292" s="11" t="s">
        <v>6509</v>
      </c>
      <c r="G292" s="11" t="s">
        <v>45</v>
      </c>
      <c r="H292" s="11">
        <v>30</v>
      </c>
      <c r="I292" s="13" t="str" cm="1">
        <f t="array" ref="I292">_xlfn.IFS(
  OR(ISBLANK(A292),ISBLANK(B292),ISBLANK(D292),ISBLANK(E292),ISBLANK(H292)),"Missing Value",
  D292&lt;0,"Review – Out of Range (Claim Amount)",
  H292&lt;0,"Review – Out of Range (Days to Process)",
  TRUE,"OK"
)</f>
        <v>OK</v>
      </c>
    </row>
    <row r="293" spans="1:9" ht="16.8" x14ac:dyDescent="0.3">
      <c r="A293" s="14" t="s">
        <v>6800</v>
      </c>
      <c r="B293" s="14" t="s">
        <v>5070</v>
      </c>
      <c r="C293" s="15">
        <v>44447</v>
      </c>
      <c r="D293" s="14">
        <v>474181.65</v>
      </c>
      <c r="E293" s="14" t="s">
        <v>6502</v>
      </c>
      <c r="F293" s="14" t="s">
        <v>6506</v>
      </c>
      <c r="G293" s="14" t="s">
        <v>45</v>
      </c>
      <c r="H293" s="14">
        <v>25</v>
      </c>
      <c r="I293" s="13" t="str" cm="1">
        <f t="array" ref="I293">_xlfn.IFS(
  OR(ISBLANK(A293),ISBLANK(B293),ISBLANK(D293),ISBLANK(E293),ISBLANK(H293)),"Missing Value",
  D293&lt;0,"Review – Out of Range (Claim Amount)",
  H293&lt;0,"Review – Out of Range (Days to Process)",
  TRUE,"OK"
)</f>
        <v>OK</v>
      </c>
    </row>
    <row r="294" spans="1:9" ht="16.8" x14ac:dyDescent="0.3">
      <c r="A294" s="11" t="s">
        <v>6801</v>
      </c>
      <c r="B294" s="11" t="s">
        <v>3637</v>
      </c>
      <c r="C294" s="12">
        <v>45600</v>
      </c>
      <c r="D294" s="11">
        <v>293703.52</v>
      </c>
      <c r="E294" s="11" t="s">
        <v>6508</v>
      </c>
      <c r="F294" s="11" t="s">
        <v>6503</v>
      </c>
      <c r="G294" s="11" t="s">
        <v>46</v>
      </c>
      <c r="H294" s="11">
        <v>57</v>
      </c>
      <c r="I294" s="13" t="str" cm="1">
        <f t="array" ref="I294">_xlfn.IFS(
  OR(ISBLANK(A294),ISBLANK(B294),ISBLANK(D294),ISBLANK(E294),ISBLANK(H294)),"Missing Value",
  D294&lt;0,"Review – Out of Range (Claim Amount)",
  H294&lt;0,"Review – Out of Range (Days to Process)",
  TRUE,"OK"
)</f>
        <v>OK</v>
      </c>
    </row>
    <row r="295" spans="1:9" ht="16.8" x14ac:dyDescent="0.3">
      <c r="A295" s="14" t="s">
        <v>6802</v>
      </c>
      <c r="B295" s="14" t="s">
        <v>5945</v>
      </c>
      <c r="C295" s="15">
        <v>45343</v>
      </c>
      <c r="D295" s="14">
        <v>408849.07</v>
      </c>
      <c r="E295" s="14" t="s">
        <v>6502</v>
      </c>
      <c r="F295" s="14" t="s">
        <v>6511</v>
      </c>
      <c r="G295" s="14" t="s">
        <v>45</v>
      </c>
      <c r="H295" s="14">
        <v>12</v>
      </c>
      <c r="I295" s="13" t="str" cm="1">
        <f t="array" ref="I295">_xlfn.IFS(
  OR(ISBLANK(A295),ISBLANK(B295),ISBLANK(D295),ISBLANK(E295),ISBLANK(H295)),"Missing Value",
  D295&lt;0,"Review – Out of Range (Claim Amount)",
  H295&lt;0,"Review – Out of Range (Days to Process)",
  TRUE,"OK"
)</f>
        <v>OK</v>
      </c>
    </row>
    <row r="296" spans="1:9" ht="16.8" x14ac:dyDescent="0.3">
      <c r="A296" s="11" t="s">
        <v>6803</v>
      </c>
      <c r="B296" s="11" t="s">
        <v>4564</v>
      </c>
      <c r="C296" s="12">
        <v>44283</v>
      </c>
      <c r="D296" s="11">
        <v>250142.3</v>
      </c>
      <c r="E296" s="11" t="s">
        <v>6508</v>
      </c>
      <c r="F296" s="11" t="s">
        <v>6506</v>
      </c>
      <c r="G296" s="11" t="s">
        <v>46</v>
      </c>
      <c r="H296" s="11">
        <v>14</v>
      </c>
      <c r="I296" s="13" t="str" cm="1">
        <f t="array" ref="I296">_xlfn.IFS(
  OR(ISBLANK(A296),ISBLANK(B296),ISBLANK(D296),ISBLANK(E296),ISBLANK(H296)),"Missing Value",
  D296&lt;0,"Review – Out of Range (Claim Amount)",
  H296&lt;0,"Review – Out of Range (Days to Process)",
  TRUE,"OK"
)</f>
        <v>OK</v>
      </c>
    </row>
    <row r="297" spans="1:9" ht="16.8" x14ac:dyDescent="0.3">
      <c r="A297" s="14" t="s">
        <v>6804</v>
      </c>
      <c r="B297" s="14" t="s">
        <v>4590</v>
      </c>
      <c r="C297" s="15">
        <v>45610</v>
      </c>
      <c r="D297" s="14">
        <v>282708.86</v>
      </c>
      <c r="E297" s="14" t="s">
        <v>6508</v>
      </c>
      <c r="F297" s="14" t="s">
        <v>6503</v>
      </c>
      <c r="G297" s="14" t="s">
        <v>45</v>
      </c>
      <c r="H297" s="14">
        <v>46</v>
      </c>
      <c r="I297" s="13" t="str" cm="1">
        <f t="array" ref="I297">_xlfn.IFS(
  OR(ISBLANK(A297),ISBLANK(B297),ISBLANK(D297),ISBLANK(E297),ISBLANK(H297)),"Missing Value",
  D297&lt;0,"Review – Out of Range (Claim Amount)",
  H297&lt;0,"Review – Out of Range (Days to Process)",
  TRUE,"OK"
)</f>
        <v>OK</v>
      </c>
    </row>
    <row r="298" spans="1:9" ht="16.8" x14ac:dyDescent="0.3">
      <c r="A298" s="11" t="s">
        <v>6805</v>
      </c>
      <c r="B298" s="11" t="s">
        <v>3509</v>
      </c>
      <c r="C298" s="12">
        <v>45554</v>
      </c>
      <c r="D298" s="11">
        <v>201816.86</v>
      </c>
      <c r="E298" s="11" t="s">
        <v>6502</v>
      </c>
      <c r="F298" s="11" t="s">
        <v>6503</v>
      </c>
      <c r="G298" s="11" t="s">
        <v>45</v>
      </c>
      <c r="H298" s="11">
        <v>27</v>
      </c>
      <c r="I298" s="13" t="str" cm="1">
        <f t="array" ref="I298">_xlfn.IFS(
  OR(ISBLANK(A298),ISBLANK(B298),ISBLANK(D298),ISBLANK(E298),ISBLANK(H298)),"Missing Value",
  D298&lt;0,"Review – Out of Range (Claim Amount)",
  H298&lt;0,"Review – Out of Range (Days to Process)",
  TRUE,"OK"
)</f>
        <v>OK</v>
      </c>
    </row>
    <row r="299" spans="1:9" ht="16.8" x14ac:dyDescent="0.3">
      <c r="A299" s="14" t="s">
        <v>6806</v>
      </c>
      <c r="B299" s="14" t="s">
        <v>5275</v>
      </c>
      <c r="C299" s="15">
        <v>44209</v>
      </c>
      <c r="D299" s="14">
        <v>44155.64</v>
      </c>
      <c r="E299" s="14" t="s">
        <v>6508</v>
      </c>
      <c r="F299" s="14" t="s">
        <v>6516</v>
      </c>
      <c r="G299" s="14" t="s">
        <v>45</v>
      </c>
      <c r="H299" s="14">
        <v>28</v>
      </c>
      <c r="I299" s="13" t="str" cm="1">
        <f t="array" ref="I299">_xlfn.IFS(
  OR(ISBLANK(A299),ISBLANK(B299),ISBLANK(D299),ISBLANK(E299),ISBLANK(H299)),"Missing Value",
  D299&lt;0,"Review – Out of Range (Claim Amount)",
  H299&lt;0,"Review – Out of Range (Days to Process)",
  TRUE,"OK"
)</f>
        <v>OK</v>
      </c>
    </row>
    <row r="300" spans="1:9" ht="16.8" x14ac:dyDescent="0.3">
      <c r="A300" s="11" t="s">
        <v>6807</v>
      </c>
      <c r="B300" s="11" t="s">
        <v>4386</v>
      </c>
      <c r="C300" s="12">
        <v>45323</v>
      </c>
      <c r="D300" s="11">
        <v>199113.05</v>
      </c>
      <c r="E300" s="11" t="s">
        <v>6505</v>
      </c>
      <c r="F300" s="11" t="s">
        <v>6511</v>
      </c>
      <c r="G300" s="11" t="s">
        <v>45</v>
      </c>
      <c r="H300" s="11">
        <v>22</v>
      </c>
      <c r="I300" s="13" t="str" cm="1">
        <f t="array" ref="I300">_xlfn.IFS(
  OR(ISBLANK(A300),ISBLANK(B300),ISBLANK(D300),ISBLANK(E300),ISBLANK(H300)),"Missing Value",
  D300&lt;0,"Review – Out of Range (Claim Amount)",
  H300&lt;0,"Review – Out of Range (Days to Process)",
  TRUE,"OK"
)</f>
        <v>OK</v>
      </c>
    </row>
    <row r="301" spans="1:9" ht="16.8" x14ac:dyDescent="0.3">
      <c r="A301" s="14" t="s">
        <v>6808</v>
      </c>
      <c r="B301" s="14" t="s">
        <v>4106</v>
      </c>
      <c r="C301" s="15">
        <v>45284</v>
      </c>
      <c r="D301" s="14">
        <v>10748.7</v>
      </c>
      <c r="E301" s="14" t="s">
        <v>6505</v>
      </c>
      <c r="F301" s="14" t="s">
        <v>6516</v>
      </c>
      <c r="G301" s="14" t="s">
        <v>46</v>
      </c>
      <c r="H301" s="14">
        <v>22</v>
      </c>
      <c r="I301" s="13" t="str" cm="1">
        <f t="array" ref="I301">_xlfn.IFS(
  OR(ISBLANK(A301),ISBLANK(B301),ISBLANK(D301),ISBLANK(E301),ISBLANK(H301)),"Missing Value",
  D301&lt;0,"Review – Out of Range (Claim Amount)",
  H301&lt;0,"Review – Out of Range (Days to Process)",
  TRUE,"OK"
)</f>
        <v>OK</v>
      </c>
    </row>
    <row r="302" spans="1:9" ht="16.8" x14ac:dyDescent="0.3">
      <c r="A302" s="11" t="s">
        <v>6809</v>
      </c>
      <c r="B302" s="11" t="s">
        <v>5496</v>
      </c>
      <c r="C302" s="12">
        <v>45478</v>
      </c>
      <c r="D302" s="11">
        <v>463674.78</v>
      </c>
      <c r="E302" s="11" t="s">
        <v>6505</v>
      </c>
      <c r="F302" s="11" t="s">
        <v>6503</v>
      </c>
      <c r="G302" s="11" t="s">
        <v>46</v>
      </c>
      <c r="H302" s="11">
        <v>28</v>
      </c>
      <c r="I302" s="13" t="str" cm="1">
        <f t="array" ref="I302">_xlfn.IFS(
  OR(ISBLANK(A302),ISBLANK(B302),ISBLANK(D302),ISBLANK(E302),ISBLANK(H302)),"Missing Value",
  D302&lt;0,"Review – Out of Range (Claim Amount)",
  H302&lt;0,"Review – Out of Range (Days to Process)",
  TRUE,"OK"
)</f>
        <v>OK</v>
      </c>
    </row>
    <row r="303" spans="1:9" ht="16.8" x14ac:dyDescent="0.3">
      <c r="A303" s="14" t="s">
        <v>6810</v>
      </c>
      <c r="B303" s="14" t="s">
        <v>4093</v>
      </c>
      <c r="C303" s="15">
        <v>44457</v>
      </c>
      <c r="D303" s="14">
        <v>424771.72</v>
      </c>
      <c r="E303" s="14" t="s">
        <v>6505</v>
      </c>
      <c r="F303" s="14" t="s">
        <v>6516</v>
      </c>
      <c r="G303" s="14" t="s">
        <v>45</v>
      </c>
      <c r="H303" s="14">
        <v>50</v>
      </c>
      <c r="I303" s="13" t="str" cm="1">
        <f t="array" ref="I303">_xlfn.IFS(
  OR(ISBLANK(A303),ISBLANK(B303),ISBLANK(D303),ISBLANK(E303),ISBLANK(H303)),"Missing Value",
  D303&lt;0,"Review – Out of Range (Claim Amount)",
  H303&lt;0,"Review – Out of Range (Days to Process)",
  TRUE,"OK"
)</f>
        <v>OK</v>
      </c>
    </row>
    <row r="304" spans="1:9" ht="16.8" x14ac:dyDescent="0.3">
      <c r="A304" s="11" t="s">
        <v>6811</v>
      </c>
      <c r="B304" s="11" t="s">
        <v>5074</v>
      </c>
      <c r="C304" s="12">
        <v>45479</v>
      </c>
      <c r="D304" s="11">
        <v>245478.71</v>
      </c>
      <c r="E304" s="11" t="s">
        <v>6505</v>
      </c>
      <c r="F304" s="11" t="s">
        <v>6509</v>
      </c>
      <c r="G304" s="11" t="s">
        <v>45</v>
      </c>
      <c r="H304" s="11">
        <v>17</v>
      </c>
      <c r="I304" s="13" t="str" cm="1">
        <f t="array" ref="I304">_xlfn.IFS(
  OR(ISBLANK(A304),ISBLANK(B304),ISBLANK(D304),ISBLANK(E304),ISBLANK(H304)),"Missing Value",
  D304&lt;0,"Review – Out of Range (Claim Amount)",
  H304&lt;0,"Review – Out of Range (Days to Process)",
  TRUE,"OK"
)</f>
        <v>OK</v>
      </c>
    </row>
    <row r="305" spans="1:9" ht="16.8" x14ac:dyDescent="0.3">
      <c r="A305" s="14" t="s">
        <v>6812</v>
      </c>
      <c r="B305" s="14" t="s">
        <v>4434</v>
      </c>
      <c r="C305" s="15">
        <v>45231</v>
      </c>
      <c r="D305" s="14">
        <v>239060.02</v>
      </c>
      <c r="E305" s="14" t="s">
        <v>6502</v>
      </c>
      <c r="F305" s="14" t="s">
        <v>6509</v>
      </c>
      <c r="G305" s="14" t="s">
        <v>46</v>
      </c>
      <c r="H305" s="14">
        <v>48</v>
      </c>
      <c r="I305" s="13" t="str" cm="1">
        <f t="array" ref="I305">_xlfn.IFS(
  OR(ISBLANK(A305),ISBLANK(B305),ISBLANK(D305),ISBLANK(E305),ISBLANK(H305)),"Missing Value",
  D305&lt;0,"Review – Out of Range (Claim Amount)",
  H305&lt;0,"Review – Out of Range (Days to Process)",
  TRUE,"OK"
)</f>
        <v>OK</v>
      </c>
    </row>
    <row r="306" spans="1:9" ht="16.8" x14ac:dyDescent="0.3">
      <c r="A306" s="11" t="s">
        <v>6813</v>
      </c>
      <c r="B306" s="11" t="s">
        <v>5283</v>
      </c>
      <c r="C306" s="12">
        <v>45329</v>
      </c>
      <c r="D306" s="11">
        <v>46582.93</v>
      </c>
      <c r="E306" s="11" t="s">
        <v>6502</v>
      </c>
      <c r="F306" s="11" t="s">
        <v>6511</v>
      </c>
      <c r="G306" s="11" t="s">
        <v>45</v>
      </c>
      <c r="H306" s="11">
        <v>37</v>
      </c>
      <c r="I306" s="13" t="str" cm="1">
        <f t="array" ref="I306">_xlfn.IFS(
  OR(ISBLANK(A306),ISBLANK(B306),ISBLANK(D306),ISBLANK(E306),ISBLANK(H306)),"Missing Value",
  D306&lt;0,"Review – Out of Range (Claim Amount)",
  H306&lt;0,"Review – Out of Range (Days to Process)",
  TRUE,"OK"
)</f>
        <v>OK</v>
      </c>
    </row>
    <row r="307" spans="1:9" ht="16.8" x14ac:dyDescent="0.3">
      <c r="A307" s="14" t="s">
        <v>6814</v>
      </c>
      <c r="B307" s="14" t="s">
        <v>4230</v>
      </c>
      <c r="C307" s="15">
        <v>44908</v>
      </c>
      <c r="D307" s="14">
        <v>140450.99</v>
      </c>
      <c r="E307" s="14" t="s">
        <v>6502</v>
      </c>
      <c r="F307" s="14" t="s">
        <v>6511</v>
      </c>
      <c r="G307" s="14" t="s">
        <v>45</v>
      </c>
      <c r="H307" s="14">
        <v>39</v>
      </c>
      <c r="I307" s="13" t="str" cm="1">
        <f t="array" ref="I307">_xlfn.IFS(
  OR(ISBLANK(A307),ISBLANK(B307),ISBLANK(D307),ISBLANK(E307),ISBLANK(H307)),"Missing Value",
  D307&lt;0,"Review – Out of Range (Claim Amount)",
  H307&lt;0,"Review – Out of Range (Days to Process)",
  TRUE,"OK"
)</f>
        <v>OK</v>
      </c>
    </row>
    <row r="308" spans="1:9" ht="16.8" x14ac:dyDescent="0.3">
      <c r="A308" s="11" t="s">
        <v>6815</v>
      </c>
      <c r="B308" s="11" t="s">
        <v>3509</v>
      </c>
      <c r="C308" s="12">
        <v>45508</v>
      </c>
      <c r="D308" s="11">
        <v>470528.37</v>
      </c>
      <c r="E308" s="11" t="s">
        <v>6502</v>
      </c>
      <c r="F308" s="11" t="s">
        <v>6511</v>
      </c>
      <c r="G308" s="11" t="s">
        <v>45</v>
      </c>
      <c r="H308" s="11">
        <v>32</v>
      </c>
      <c r="I308" s="13" t="str" cm="1">
        <f t="array" ref="I308">_xlfn.IFS(
  OR(ISBLANK(A308),ISBLANK(B308),ISBLANK(D308),ISBLANK(E308),ISBLANK(H308)),"Missing Value",
  D308&lt;0,"Review – Out of Range (Claim Amount)",
  H308&lt;0,"Review – Out of Range (Days to Process)",
  TRUE,"OK"
)</f>
        <v>OK</v>
      </c>
    </row>
    <row r="309" spans="1:9" ht="16.8" x14ac:dyDescent="0.3">
      <c r="A309" s="14" t="s">
        <v>6816</v>
      </c>
      <c r="B309" s="14" t="s">
        <v>4764</v>
      </c>
      <c r="C309" s="15">
        <v>44539</v>
      </c>
      <c r="D309" s="14">
        <v>335500.18</v>
      </c>
      <c r="E309" s="14" t="s">
        <v>6505</v>
      </c>
      <c r="F309" s="14" t="s">
        <v>6503</v>
      </c>
      <c r="G309" s="14" t="s">
        <v>46</v>
      </c>
      <c r="H309" s="14">
        <v>44</v>
      </c>
      <c r="I309" s="13" t="str" cm="1">
        <f t="array" ref="I309">_xlfn.IFS(
  OR(ISBLANK(A309),ISBLANK(B309),ISBLANK(D309),ISBLANK(E309),ISBLANK(H309)),"Missing Value",
  D309&lt;0,"Review – Out of Range (Claim Amount)",
  H309&lt;0,"Review – Out of Range (Days to Process)",
  TRUE,"OK"
)</f>
        <v>OK</v>
      </c>
    </row>
    <row r="310" spans="1:9" ht="16.8" x14ac:dyDescent="0.3">
      <c r="A310" s="11" t="s">
        <v>6817</v>
      </c>
      <c r="B310" s="11" t="s">
        <v>3496</v>
      </c>
      <c r="C310" s="12">
        <v>45134</v>
      </c>
      <c r="D310" s="11">
        <v>453829.56</v>
      </c>
      <c r="E310" s="11" t="s">
        <v>6502</v>
      </c>
      <c r="F310" s="11" t="s">
        <v>6503</v>
      </c>
      <c r="G310" s="11" t="s">
        <v>45</v>
      </c>
      <c r="H310" s="11">
        <v>51</v>
      </c>
      <c r="I310" s="13" t="str" cm="1">
        <f t="array" ref="I310">_xlfn.IFS(
  OR(ISBLANK(A310),ISBLANK(B310),ISBLANK(D310),ISBLANK(E310),ISBLANK(H310)),"Missing Value",
  D310&lt;0,"Review – Out of Range (Claim Amount)",
  H310&lt;0,"Review – Out of Range (Days to Process)",
  TRUE,"OK"
)</f>
        <v>OK</v>
      </c>
    </row>
    <row r="311" spans="1:9" ht="16.8" x14ac:dyDescent="0.3">
      <c r="A311" s="14" t="s">
        <v>6818</v>
      </c>
      <c r="B311" s="14" t="s">
        <v>6024</v>
      </c>
      <c r="C311" s="15">
        <v>45295</v>
      </c>
      <c r="D311" s="14">
        <v>122461.9</v>
      </c>
      <c r="E311" s="14" t="s">
        <v>6502</v>
      </c>
      <c r="F311" s="14" t="s">
        <v>6516</v>
      </c>
      <c r="G311" s="14" t="s">
        <v>46</v>
      </c>
      <c r="H311" s="14">
        <v>7</v>
      </c>
      <c r="I311" s="13" t="str" cm="1">
        <f t="array" ref="I311">_xlfn.IFS(
  OR(ISBLANK(A311),ISBLANK(B311),ISBLANK(D311),ISBLANK(E311),ISBLANK(H311)),"Missing Value",
  D311&lt;0,"Review – Out of Range (Claim Amount)",
  H311&lt;0,"Review – Out of Range (Days to Process)",
  TRUE,"OK"
)</f>
        <v>OK</v>
      </c>
    </row>
    <row r="312" spans="1:9" ht="16.8" x14ac:dyDescent="0.3">
      <c r="A312" s="11" t="s">
        <v>6819</v>
      </c>
      <c r="B312" s="11" t="s">
        <v>6381</v>
      </c>
      <c r="C312" s="12">
        <v>45157</v>
      </c>
      <c r="D312" s="11">
        <v>295693.17</v>
      </c>
      <c r="E312" s="11" t="s">
        <v>6508</v>
      </c>
      <c r="F312" s="11" t="s">
        <v>6509</v>
      </c>
      <c r="G312" s="11" t="s">
        <v>45</v>
      </c>
      <c r="H312" s="11">
        <v>29</v>
      </c>
      <c r="I312" s="13" t="str" cm="1">
        <f t="array" ref="I312">_xlfn.IFS(
  OR(ISBLANK(A312),ISBLANK(B312),ISBLANK(D312),ISBLANK(E312),ISBLANK(H312)),"Missing Value",
  D312&lt;0,"Review – Out of Range (Claim Amount)",
  H312&lt;0,"Review – Out of Range (Days to Process)",
  TRUE,"OK"
)</f>
        <v>OK</v>
      </c>
    </row>
    <row r="313" spans="1:9" ht="16.8" x14ac:dyDescent="0.3">
      <c r="A313" s="14" t="s">
        <v>6820</v>
      </c>
      <c r="B313" s="14" t="s">
        <v>6445</v>
      </c>
      <c r="C313" s="15">
        <v>45492</v>
      </c>
      <c r="D313" s="14">
        <v>151964.19</v>
      </c>
      <c r="E313" s="14" t="s">
        <v>6505</v>
      </c>
      <c r="F313" s="14" t="s">
        <v>6511</v>
      </c>
      <c r="G313" s="14" t="s">
        <v>46</v>
      </c>
      <c r="H313" s="14">
        <v>39</v>
      </c>
      <c r="I313" s="13" t="str" cm="1">
        <f t="array" ref="I313">_xlfn.IFS(
  OR(ISBLANK(A313),ISBLANK(B313),ISBLANK(D313),ISBLANK(E313),ISBLANK(H313)),"Missing Value",
  D313&lt;0,"Review – Out of Range (Claim Amount)",
  H313&lt;0,"Review – Out of Range (Days to Process)",
  TRUE,"OK"
)</f>
        <v>OK</v>
      </c>
    </row>
    <row r="314" spans="1:9" ht="16.8" x14ac:dyDescent="0.3">
      <c r="A314" s="11" t="s">
        <v>6821</v>
      </c>
      <c r="B314" s="11" t="s">
        <v>4955</v>
      </c>
      <c r="C314" s="12">
        <v>45456</v>
      </c>
      <c r="D314" s="11">
        <v>402535.06</v>
      </c>
      <c r="E314" s="11" t="s">
        <v>6508</v>
      </c>
      <c r="F314" s="11" t="s">
        <v>6503</v>
      </c>
      <c r="G314" s="11" t="s">
        <v>45</v>
      </c>
      <c r="H314" s="11">
        <v>9</v>
      </c>
      <c r="I314" s="13" t="str" cm="1">
        <f t="array" ref="I314">_xlfn.IFS(
  OR(ISBLANK(A314),ISBLANK(B314),ISBLANK(D314),ISBLANK(E314),ISBLANK(H314)),"Missing Value",
  D314&lt;0,"Review – Out of Range (Claim Amount)",
  H314&lt;0,"Review – Out of Range (Days to Process)",
  TRUE,"OK"
)</f>
        <v>OK</v>
      </c>
    </row>
    <row r="315" spans="1:9" ht="16.8" x14ac:dyDescent="0.3">
      <c r="A315" s="14" t="s">
        <v>6822</v>
      </c>
      <c r="B315" s="14" t="s">
        <v>5150</v>
      </c>
      <c r="C315" s="15">
        <v>45336</v>
      </c>
      <c r="D315" s="14">
        <v>190503.64</v>
      </c>
      <c r="E315" s="14" t="s">
        <v>6508</v>
      </c>
      <c r="F315" s="14" t="s">
        <v>6509</v>
      </c>
      <c r="G315" s="14" t="s">
        <v>45</v>
      </c>
      <c r="H315" s="14">
        <v>40</v>
      </c>
      <c r="I315" s="13" t="str" cm="1">
        <f t="array" ref="I315">_xlfn.IFS(
  OR(ISBLANK(A315),ISBLANK(B315),ISBLANK(D315),ISBLANK(E315),ISBLANK(H315)),"Missing Value",
  D315&lt;0,"Review – Out of Range (Claim Amount)",
  H315&lt;0,"Review – Out of Range (Days to Process)",
  TRUE,"OK"
)</f>
        <v>OK</v>
      </c>
    </row>
    <row r="316" spans="1:9" ht="16.8" x14ac:dyDescent="0.3">
      <c r="A316" s="11" t="s">
        <v>6823</v>
      </c>
      <c r="B316" s="11" t="s">
        <v>6096</v>
      </c>
      <c r="C316" s="12">
        <v>45067</v>
      </c>
      <c r="D316" s="11">
        <v>345592.82</v>
      </c>
      <c r="E316" s="11" t="s">
        <v>6505</v>
      </c>
      <c r="F316" s="11" t="s">
        <v>6503</v>
      </c>
      <c r="G316" s="11" t="s">
        <v>46</v>
      </c>
      <c r="H316" s="11">
        <v>29</v>
      </c>
      <c r="I316" s="13" t="str" cm="1">
        <f t="array" ref="I316">_xlfn.IFS(
  OR(ISBLANK(A316),ISBLANK(B316),ISBLANK(D316),ISBLANK(E316),ISBLANK(H316)),"Missing Value",
  D316&lt;0,"Review – Out of Range (Claim Amount)",
  H316&lt;0,"Review – Out of Range (Days to Process)",
  TRUE,"OK"
)</f>
        <v>OK</v>
      </c>
    </row>
    <row r="317" spans="1:9" ht="16.8" x14ac:dyDescent="0.3">
      <c r="A317" s="14" t="s">
        <v>6824</v>
      </c>
      <c r="B317" s="14" t="s">
        <v>4048</v>
      </c>
      <c r="C317" s="15">
        <v>45104</v>
      </c>
      <c r="D317" s="14">
        <v>61637.25</v>
      </c>
      <c r="E317" s="14" t="s">
        <v>6508</v>
      </c>
      <c r="F317" s="14" t="s">
        <v>6511</v>
      </c>
      <c r="G317" s="14" t="s">
        <v>46</v>
      </c>
      <c r="H317" s="14">
        <v>42</v>
      </c>
      <c r="I317" s="13" t="str" cm="1">
        <f t="array" ref="I317">_xlfn.IFS(
  OR(ISBLANK(A317),ISBLANK(B317),ISBLANK(D317),ISBLANK(E317),ISBLANK(H317)),"Missing Value",
  D317&lt;0,"Review – Out of Range (Claim Amount)",
  H317&lt;0,"Review – Out of Range (Days to Process)",
  TRUE,"OK"
)</f>
        <v>OK</v>
      </c>
    </row>
    <row r="318" spans="1:9" ht="16.8" x14ac:dyDescent="0.3">
      <c r="A318" s="11" t="s">
        <v>6825</v>
      </c>
      <c r="B318" s="11" t="s">
        <v>5953</v>
      </c>
      <c r="C318" s="12">
        <v>44745</v>
      </c>
      <c r="D318" s="11">
        <v>372045.44</v>
      </c>
      <c r="E318" s="11" t="s">
        <v>6502</v>
      </c>
      <c r="F318" s="11" t="s">
        <v>6511</v>
      </c>
      <c r="G318" s="11" t="s">
        <v>46</v>
      </c>
      <c r="H318" s="11">
        <v>39</v>
      </c>
      <c r="I318" s="13" t="str" cm="1">
        <f t="array" ref="I318">_xlfn.IFS(
  OR(ISBLANK(A318),ISBLANK(B318),ISBLANK(D318),ISBLANK(E318),ISBLANK(H318)),"Missing Value",
  D318&lt;0,"Review – Out of Range (Claim Amount)",
  H318&lt;0,"Review – Out of Range (Days to Process)",
  TRUE,"OK"
)</f>
        <v>OK</v>
      </c>
    </row>
    <row r="319" spans="1:9" ht="16.8" x14ac:dyDescent="0.3">
      <c r="A319" s="14" t="s">
        <v>6826</v>
      </c>
      <c r="B319" s="14" t="s">
        <v>5036</v>
      </c>
      <c r="C319" s="15">
        <v>45045</v>
      </c>
      <c r="D319" s="14">
        <v>208271.16</v>
      </c>
      <c r="E319" s="14" t="s">
        <v>6505</v>
      </c>
      <c r="F319" s="14" t="s">
        <v>6506</v>
      </c>
      <c r="G319" s="14" t="s">
        <v>45</v>
      </c>
      <c r="H319" s="14">
        <v>29</v>
      </c>
      <c r="I319" s="13" t="str" cm="1">
        <f t="array" ref="I319">_xlfn.IFS(
  OR(ISBLANK(A319),ISBLANK(B319),ISBLANK(D319),ISBLANK(E319),ISBLANK(H319)),"Missing Value",
  D319&lt;0,"Review – Out of Range (Claim Amount)",
  H319&lt;0,"Review – Out of Range (Days to Process)",
  TRUE,"OK"
)</f>
        <v>OK</v>
      </c>
    </row>
    <row r="320" spans="1:9" ht="16.8" x14ac:dyDescent="0.3">
      <c r="A320" s="11" t="s">
        <v>6827</v>
      </c>
      <c r="B320" s="11" t="s">
        <v>5262</v>
      </c>
      <c r="C320" s="12">
        <v>44910</v>
      </c>
      <c r="D320" s="11">
        <v>354897.64</v>
      </c>
      <c r="E320" s="11" t="s">
        <v>6505</v>
      </c>
      <c r="F320" s="11" t="s">
        <v>6506</v>
      </c>
      <c r="G320" s="11" t="s">
        <v>46</v>
      </c>
      <c r="H320" s="11">
        <v>47</v>
      </c>
      <c r="I320" s="13" t="str" cm="1">
        <f t="array" ref="I320">_xlfn.IFS(
  OR(ISBLANK(A320),ISBLANK(B320),ISBLANK(D320),ISBLANK(E320),ISBLANK(H320)),"Missing Value",
  D320&lt;0,"Review – Out of Range (Claim Amount)",
  H320&lt;0,"Review – Out of Range (Days to Process)",
  TRUE,"OK"
)</f>
        <v>OK</v>
      </c>
    </row>
    <row r="321" spans="1:9" ht="16.8" x14ac:dyDescent="0.3">
      <c r="A321" s="14" t="s">
        <v>6828</v>
      </c>
      <c r="B321" s="14" t="s">
        <v>5829</v>
      </c>
      <c r="C321" s="15">
        <v>45570</v>
      </c>
      <c r="D321" s="14">
        <v>76140.63</v>
      </c>
      <c r="E321" s="14" t="s">
        <v>6505</v>
      </c>
      <c r="F321" s="14" t="s">
        <v>6503</v>
      </c>
      <c r="G321" s="14" t="s">
        <v>46</v>
      </c>
      <c r="H321" s="14">
        <v>18</v>
      </c>
      <c r="I321" s="13" t="str" cm="1">
        <f t="array" ref="I321">_xlfn.IFS(
  OR(ISBLANK(A321),ISBLANK(B321),ISBLANK(D321),ISBLANK(E321),ISBLANK(H321)),"Missing Value",
  D321&lt;0,"Review – Out of Range (Claim Amount)",
  H321&lt;0,"Review – Out of Range (Days to Process)",
  TRUE,"OK"
)</f>
        <v>OK</v>
      </c>
    </row>
    <row r="322" spans="1:9" ht="16.8" x14ac:dyDescent="0.3">
      <c r="A322" s="11" t="s">
        <v>6829</v>
      </c>
      <c r="B322" s="11" t="s">
        <v>3909</v>
      </c>
      <c r="C322" s="12">
        <v>44585</v>
      </c>
      <c r="D322" s="11">
        <v>371289.11</v>
      </c>
      <c r="E322" s="11" t="s">
        <v>6502</v>
      </c>
      <c r="F322" s="11" t="s">
        <v>6511</v>
      </c>
      <c r="G322" s="11" t="s">
        <v>45</v>
      </c>
      <c r="H322" s="11">
        <v>57</v>
      </c>
      <c r="I322" s="13" t="str" cm="1">
        <f t="array" ref="I322">_xlfn.IFS(
  OR(ISBLANK(A322),ISBLANK(B322),ISBLANK(D322),ISBLANK(E322),ISBLANK(H322)),"Missing Value",
  D322&lt;0,"Review – Out of Range (Claim Amount)",
  H322&lt;0,"Review – Out of Range (Days to Process)",
  TRUE,"OK"
)</f>
        <v>OK</v>
      </c>
    </row>
    <row r="323" spans="1:9" ht="16.8" x14ac:dyDescent="0.3">
      <c r="A323" s="14" t="s">
        <v>6830</v>
      </c>
      <c r="B323" s="14" t="s">
        <v>4798</v>
      </c>
      <c r="C323" s="15">
        <v>45762</v>
      </c>
      <c r="D323" s="14">
        <v>164222.81</v>
      </c>
      <c r="E323" s="14" t="s">
        <v>6508</v>
      </c>
      <c r="F323" s="14" t="s">
        <v>6503</v>
      </c>
      <c r="G323" s="14" t="s">
        <v>46</v>
      </c>
      <c r="H323" s="14">
        <v>34</v>
      </c>
      <c r="I323" s="13" t="str" cm="1">
        <f t="array" ref="I323">_xlfn.IFS(
  OR(ISBLANK(A323),ISBLANK(B323),ISBLANK(D323),ISBLANK(E323),ISBLANK(H323)),"Missing Value",
  D323&lt;0,"Review – Out of Range (Claim Amount)",
  H323&lt;0,"Review – Out of Range (Days to Process)",
  TRUE,"OK"
)</f>
        <v>OK</v>
      </c>
    </row>
    <row r="324" spans="1:9" ht="16.8" x14ac:dyDescent="0.3">
      <c r="A324" s="11" t="s">
        <v>6831</v>
      </c>
      <c r="B324" s="11" t="s">
        <v>4437</v>
      </c>
      <c r="C324" s="12">
        <v>45053</v>
      </c>
      <c r="D324" s="11">
        <v>398322</v>
      </c>
      <c r="E324" s="11" t="s">
        <v>6502</v>
      </c>
      <c r="F324" s="11" t="s">
        <v>6503</v>
      </c>
      <c r="G324" s="11" t="s">
        <v>45</v>
      </c>
      <c r="H324" s="11">
        <v>58</v>
      </c>
      <c r="I324" s="13" t="str" cm="1">
        <f t="array" ref="I324">_xlfn.IFS(
  OR(ISBLANK(A324),ISBLANK(B324),ISBLANK(D324),ISBLANK(E324),ISBLANK(H324)),"Missing Value",
  D324&lt;0,"Review – Out of Range (Claim Amount)",
  H324&lt;0,"Review – Out of Range (Days to Process)",
  TRUE,"OK"
)</f>
        <v>OK</v>
      </c>
    </row>
    <row r="325" spans="1:9" ht="16.8" x14ac:dyDescent="0.3">
      <c r="A325" s="14" t="s">
        <v>6832</v>
      </c>
      <c r="B325" s="14" t="s">
        <v>5852</v>
      </c>
      <c r="C325" s="15">
        <v>45032</v>
      </c>
      <c r="D325" s="14">
        <v>61320.62</v>
      </c>
      <c r="E325" s="14" t="s">
        <v>6502</v>
      </c>
      <c r="F325" s="14" t="s">
        <v>6509</v>
      </c>
      <c r="G325" s="14" t="s">
        <v>46</v>
      </c>
      <c r="H325" s="14">
        <v>44</v>
      </c>
      <c r="I325" s="13" t="str" cm="1">
        <f t="array" ref="I325">_xlfn.IFS(
  OR(ISBLANK(A325),ISBLANK(B325),ISBLANK(D325),ISBLANK(E325),ISBLANK(H325)),"Missing Value",
  D325&lt;0,"Review – Out of Range (Claim Amount)",
  H325&lt;0,"Review – Out of Range (Days to Process)",
  TRUE,"OK"
)</f>
        <v>OK</v>
      </c>
    </row>
    <row r="326" spans="1:9" ht="16.8" x14ac:dyDescent="0.3">
      <c r="A326" s="11" t="s">
        <v>6833</v>
      </c>
      <c r="B326" s="11" t="s">
        <v>3775</v>
      </c>
      <c r="C326" s="12">
        <v>45094</v>
      </c>
      <c r="D326" s="11">
        <v>345929.62</v>
      </c>
      <c r="E326" s="11" t="s">
        <v>6505</v>
      </c>
      <c r="F326" s="11" t="s">
        <v>6511</v>
      </c>
      <c r="G326" s="11" t="s">
        <v>46</v>
      </c>
      <c r="H326" s="11">
        <v>12</v>
      </c>
      <c r="I326" s="13" t="str" cm="1">
        <f t="array" ref="I326">_xlfn.IFS(
  OR(ISBLANK(A326),ISBLANK(B326),ISBLANK(D326),ISBLANK(E326),ISBLANK(H326)),"Missing Value",
  D326&lt;0,"Review – Out of Range (Claim Amount)",
  H326&lt;0,"Review – Out of Range (Days to Process)",
  TRUE,"OK"
)</f>
        <v>OK</v>
      </c>
    </row>
    <row r="327" spans="1:9" ht="16.8" x14ac:dyDescent="0.3">
      <c r="A327" s="14" t="s">
        <v>6834</v>
      </c>
      <c r="B327" s="14" t="s">
        <v>6158</v>
      </c>
      <c r="C327" s="15">
        <v>44853</v>
      </c>
      <c r="D327" s="14">
        <v>310183.83</v>
      </c>
      <c r="E327" s="14" t="s">
        <v>6502</v>
      </c>
      <c r="F327" s="14" t="s">
        <v>6516</v>
      </c>
      <c r="G327" s="14" t="s">
        <v>46</v>
      </c>
      <c r="H327" s="14">
        <v>48</v>
      </c>
      <c r="I327" s="13" t="str" cm="1">
        <f t="array" ref="I327">_xlfn.IFS(
  OR(ISBLANK(A327),ISBLANK(B327),ISBLANK(D327),ISBLANK(E327),ISBLANK(H327)),"Missing Value",
  D327&lt;0,"Review – Out of Range (Claim Amount)",
  H327&lt;0,"Review – Out of Range (Days to Process)",
  TRUE,"OK"
)</f>
        <v>OK</v>
      </c>
    </row>
    <row r="328" spans="1:9" ht="16.8" x14ac:dyDescent="0.3">
      <c r="A328" s="11" t="s">
        <v>6835</v>
      </c>
      <c r="B328" s="11" t="s">
        <v>3609</v>
      </c>
      <c r="C328" s="12">
        <v>45244</v>
      </c>
      <c r="D328" s="11">
        <v>409652.99</v>
      </c>
      <c r="E328" s="11" t="s">
        <v>6502</v>
      </c>
      <c r="F328" s="11" t="s">
        <v>6511</v>
      </c>
      <c r="G328" s="11" t="s">
        <v>46</v>
      </c>
      <c r="H328" s="11">
        <v>59</v>
      </c>
      <c r="I328" s="13" t="str" cm="1">
        <f t="array" ref="I328">_xlfn.IFS(
  OR(ISBLANK(A328),ISBLANK(B328),ISBLANK(D328),ISBLANK(E328),ISBLANK(H328)),"Missing Value",
  D328&lt;0,"Review – Out of Range (Claim Amount)",
  H328&lt;0,"Review – Out of Range (Days to Process)",
  TRUE,"OK"
)</f>
        <v>OK</v>
      </c>
    </row>
    <row r="329" spans="1:9" ht="16.8" x14ac:dyDescent="0.3">
      <c r="A329" s="14" t="s">
        <v>6836</v>
      </c>
      <c r="B329" s="14" t="s">
        <v>5364</v>
      </c>
      <c r="C329" s="15">
        <v>44647</v>
      </c>
      <c r="D329" s="14">
        <v>260675.02</v>
      </c>
      <c r="E329" s="14" t="s">
        <v>6505</v>
      </c>
      <c r="F329" s="14" t="s">
        <v>6511</v>
      </c>
      <c r="G329" s="14" t="s">
        <v>46</v>
      </c>
      <c r="H329" s="14">
        <v>20</v>
      </c>
      <c r="I329" s="13" t="str" cm="1">
        <f t="array" ref="I329">_xlfn.IFS(
  OR(ISBLANK(A329),ISBLANK(B329),ISBLANK(D329),ISBLANK(E329),ISBLANK(H329)),"Missing Value",
  D329&lt;0,"Review – Out of Range (Claim Amount)",
  H329&lt;0,"Review – Out of Range (Days to Process)",
  TRUE,"OK"
)</f>
        <v>OK</v>
      </c>
    </row>
    <row r="330" spans="1:9" ht="16.8" x14ac:dyDescent="0.3">
      <c r="A330" s="11" t="s">
        <v>6837</v>
      </c>
      <c r="B330" s="11" t="s">
        <v>4769</v>
      </c>
      <c r="C330" s="12">
        <v>44382</v>
      </c>
      <c r="D330" s="11">
        <v>252516.55</v>
      </c>
      <c r="E330" s="11" t="s">
        <v>6508</v>
      </c>
      <c r="F330" s="11" t="s">
        <v>6506</v>
      </c>
      <c r="G330" s="11" t="s">
        <v>45</v>
      </c>
      <c r="H330" s="11">
        <v>31</v>
      </c>
      <c r="I330" s="13" t="str" cm="1">
        <f t="array" ref="I330">_xlfn.IFS(
  OR(ISBLANK(A330),ISBLANK(B330),ISBLANK(D330),ISBLANK(E330),ISBLANK(H330)),"Missing Value",
  D330&lt;0,"Review – Out of Range (Claim Amount)",
  H330&lt;0,"Review – Out of Range (Days to Process)",
  TRUE,"OK"
)</f>
        <v>OK</v>
      </c>
    </row>
    <row r="331" spans="1:9" ht="16.8" x14ac:dyDescent="0.3">
      <c r="A331" s="14" t="s">
        <v>6838</v>
      </c>
      <c r="B331" s="14" t="s">
        <v>4837</v>
      </c>
      <c r="C331" s="15">
        <v>45346</v>
      </c>
      <c r="D331" s="14">
        <v>288512.78999999998</v>
      </c>
      <c r="E331" s="14" t="s">
        <v>6508</v>
      </c>
      <c r="F331" s="14" t="s">
        <v>6503</v>
      </c>
      <c r="G331" s="14" t="s">
        <v>45</v>
      </c>
      <c r="H331" s="14">
        <v>10</v>
      </c>
      <c r="I331" s="13" t="str" cm="1">
        <f t="array" ref="I331">_xlfn.IFS(
  OR(ISBLANK(A331),ISBLANK(B331),ISBLANK(D331),ISBLANK(E331),ISBLANK(H331)),"Missing Value",
  D331&lt;0,"Review – Out of Range (Claim Amount)",
  H331&lt;0,"Review – Out of Range (Days to Process)",
  TRUE,"OK"
)</f>
        <v>OK</v>
      </c>
    </row>
    <row r="332" spans="1:9" ht="16.8" x14ac:dyDescent="0.3">
      <c r="A332" s="11" t="s">
        <v>6839</v>
      </c>
      <c r="B332" s="11" t="s">
        <v>5522</v>
      </c>
      <c r="C332" s="12">
        <v>45368</v>
      </c>
      <c r="D332" s="11">
        <v>309774.02</v>
      </c>
      <c r="E332" s="11" t="s">
        <v>6505</v>
      </c>
      <c r="F332" s="11" t="s">
        <v>6503</v>
      </c>
      <c r="G332" s="11" t="s">
        <v>45</v>
      </c>
      <c r="H332" s="11">
        <v>8</v>
      </c>
      <c r="I332" s="13" t="str" cm="1">
        <f t="array" ref="I332">_xlfn.IFS(
  OR(ISBLANK(A332),ISBLANK(B332),ISBLANK(D332),ISBLANK(E332),ISBLANK(H332)),"Missing Value",
  D332&lt;0,"Review – Out of Range (Claim Amount)",
  H332&lt;0,"Review – Out of Range (Days to Process)",
  TRUE,"OK"
)</f>
        <v>OK</v>
      </c>
    </row>
    <row r="333" spans="1:9" ht="16.8" x14ac:dyDescent="0.3">
      <c r="A333" s="14" t="s">
        <v>6840</v>
      </c>
      <c r="B333" s="14" t="s">
        <v>4757</v>
      </c>
      <c r="C333" s="15">
        <v>45552</v>
      </c>
      <c r="D333" s="14">
        <v>324348.58</v>
      </c>
      <c r="E333" s="14" t="s">
        <v>6502</v>
      </c>
      <c r="F333" s="14" t="s">
        <v>6506</v>
      </c>
      <c r="G333" s="14" t="s">
        <v>46</v>
      </c>
      <c r="H333" s="14">
        <v>31</v>
      </c>
      <c r="I333" s="13" t="str" cm="1">
        <f t="array" ref="I333">_xlfn.IFS(
  OR(ISBLANK(A333),ISBLANK(B333),ISBLANK(D333),ISBLANK(E333),ISBLANK(H333)),"Missing Value",
  D333&lt;0,"Review – Out of Range (Claim Amount)",
  H333&lt;0,"Review – Out of Range (Days to Process)",
  TRUE,"OK"
)</f>
        <v>OK</v>
      </c>
    </row>
    <row r="334" spans="1:9" ht="16.8" x14ac:dyDescent="0.3">
      <c r="A334" s="11" t="s">
        <v>6841</v>
      </c>
      <c r="B334" s="11" t="s">
        <v>6120</v>
      </c>
      <c r="C334" s="12">
        <v>44503</v>
      </c>
      <c r="D334" s="11">
        <v>125802.81</v>
      </c>
      <c r="E334" s="11" t="s">
        <v>6508</v>
      </c>
      <c r="F334" s="11" t="s">
        <v>6516</v>
      </c>
      <c r="G334" s="11" t="s">
        <v>45</v>
      </c>
      <c r="H334" s="11">
        <v>5</v>
      </c>
      <c r="I334" s="13" t="str" cm="1">
        <f t="array" ref="I334">_xlfn.IFS(
  OR(ISBLANK(A334),ISBLANK(B334),ISBLANK(D334),ISBLANK(E334),ISBLANK(H334)),"Missing Value",
  D334&lt;0,"Review – Out of Range (Claim Amount)",
  H334&lt;0,"Review – Out of Range (Days to Process)",
  TRUE,"OK"
)</f>
        <v>OK</v>
      </c>
    </row>
    <row r="335" spans="1:9" ht="16.8" x14ac:dyDescent="0.3">
      <c r="A335" s="14" t="s">
        <v>6842</v>
      </c>
      <c r="B335" s="14" t="s">
        <v>3946</v>
      </c>
      <c r="C335" s="15">
        <v>45306</v>
      </c>
      <c r="D335" s="14">
        <v>383293.96</v>
      </c>
      <c r="E335" s="14" t="s">
        <v>6502</v>
      </c>
      <c r="F335" s="14" t="s">
        <v>6511</v>
      </c>
      <c r="G335" s="14" t="s">
        <v>45</v>
      </c>
      <c r="H335" s="14">
        <v>47</v>
      </c>
      <c r="I335" s="13" t="str" cm="1">
        <f t="array" ref="I335">_xlfn.IFS(
  OR(ISBLANK(A335),ISBLANK(B335),ISBLANK(D335),ISBLANK(E335),ISBLANK(H335)),"Missing Value",
  D335&lt;0,"Review – Out of Range (Claim Amount)",
  H335&lt;0,"Review – Out of Range (Days to Process)",
  TRUE,"OK"
)</f>
        <v>OK</v>
      </c>
    </row>
    <row r="336" spans="1:9" ht="16.8" x14ac:dyDescent="0.3">
      <c r="A336" s="11" t="s">
        <v>6843</v>
      </c>
      <c r="B336" s="11" t="s">
        <v>3414</v>
      </c>
      <c r="C336" s="12">
        <v>44573</v>
      </c>
      <c r="D336" s="11">
        <v>238127.82</v>
      </c>
      <c r="E336" s="11" t="s">
        <v>6502</v>
      </c>
      <c r="F336" s="11" t="s">
        <v>6511</v>
      </c>
      <c r="G336" s="11" t="s">
        <v>46</v>
      </c>
      <c r="H336" s="11">
        <v>18</v>
      </c>
      <c r="I336" s="13" t="str" cm="1">
        <f t="array" ref="I336">_xlfn.IFS(
  OR(ISBLANK(A336),ISBLANK(B336),ISBLANK(D336),ISBLANK(E336),ISBLANK(H336)),"Missing Value",
  D336&lt;0,"Review – Out of Range (Claim Amount)",
  H336&lt;0,"Review – Out of Range (Days to Process)",
  TRUE,"OK"
)</f>
        <v>OK</v>
      </c>
    </row>
    <row r="337" spans="1:9" ht="16.8" x14ac:dyDescent="0.3">
      <c r="A337" s="14" t="s">
        <v>6844</v>
      </c>
      <c r="B337" s="14" t="s">
        <v>3849</v>
      </c>
      <c r="C337" s="15">
        <v>44282</v>
      </c>
      <c r="D337" s="14">
        <v>362798.82</v>
      </c>
      <c r="E337" s="14" t="s">
        <v>6502</v>
      </c>
      <c r="F337" s="14" t="s">
        <v>6506</v>
      </c>
      <c r="G337" s="14" t="s">
        <v>46</v>
      </c>
      <c r="H337" s="14">
        <v>53</v>
      </c>
      <c r="I337" s="13" t="str" cm="1">
        <f t="array" ref="I337">_xlfn.IFS(
  OR(ISBLANK(A337),ISBLANK(B337),ISBLANK(D337),ISBLANK(E337),ISBLANK(H337)),"Missing Value",
  D337&lt;0,"Review – Out of Range (Claim Amount)",
  H337&lt;0,"Review – Out of Range (Days to Process)",
  TRUE,"OK"
)</f>
        <v>OK</v>
      </c>
    </row>
    <row r="338" spans="1:9" ht="16.8" x14ac:dyDescent="0.3">
      <c r="A338" s="11" t="s">
        <v>6845</v>
      </c>
      <c r="B338" s="11" t="s">
        <v>5343</v>
      </c>
      <c r="C338" s="12">
        <v>45439</v>
      </c>
      <c r="D338" s="11">
        <v>59022.83</v>
      </c>
      <c r="E338" s="11" t="s">
        <v>6505</v>
      </c>
      <c r="F338" s="11" t="s">
        <v>6516</v>
      </c>
      <c r="G338" s="11" t="s">
        <v>46</v>
      </c>
      <c r="H338" s="11">
        <v>46</v>
      </c>
      <c r="I338" s="13" t="str" cm="1">
        <f t="array" ref="I338">_xlfn.IFS(
  OR(ISBLANK(A338),ISBLANK(B338),ISBLANK(D338),ISBLANK(E338),ISBLANK(H338)),"Missing Value",
  D338&lt;0,"Review – Out of Range (Claim Amount)",
  H338&lt;0,"Review – Out of Range (Days to Process)",
  TRUE,"OK"
)</f>
        <v>OK</v>
      </c>
    </row>
    <row r="339" spans="1:9" ht="16.8" x14ac:dyDescent="0.3">
      <c r="A339" s="14" t="s">
        <v>6846</v>
      </c>
      <c r="B339" s="14" t="s">
        <v>6000</v>
      </c>
      <c r="C339" s="15">
        <v>45699</v>
      </c>
      <c r="D339" s="14">
        <v>50727.56</v>
      </c>
      <c r="E339" s="14" t="s">
        <v>6505</v>
      </c>
      <c r="F339" s="14" t="s">
        <v>6503</v>
      </c>
      <c r="G339" s="14" t="s">
        <v>45</v>
      </c>
      <c r="H339" s="14">
        <v>24</v>
      </c>
      <c r="I339" s="13" t="str" cm="1">
        <f t="array" ref="I339">_xlfn.IFS(
  OR(ISBLANK(A339),ISBLANK(B339),ISBLANK(D339),ISBLANK(E339),ISBLANK(H339)),"Missing Value",
  D339&lt;0,"Review – Out of Range (Claim Amount)",
  H339&lt;0,"Review – Out of Range (Days to Process)",
  TRUE,"OK"
)</f>
        <v>OK</v>
      </c>
    </row>
    <row r="340" spans="1:9" ht="16.8" x14ac:dyDescent="0.3">
      <c r="A340" s="11" t="s">
        <v>6847</v>
      </c>
      <c r="B340" s="11" t="s">
        <v>5830</v>
      </c>
      <c r="C340" s="12">
        <v>44751</v>
      </c>
      <c r="D340" s="11">
        <v>441455.45</v>
      </c>
      <c r="E340" s="11" t="s">
        <v>6502</v>
      </c>
      <c r="F340" s="11" t="s">
        <v>6511</v>
      </c>
      <c r="G340" s="11" t="s">
        <v>45</v>
      </c>
      <c r="H340" s="11">
        <v>28</v>
      </c>
      <c r="I340" s="13" t="str" cm="1">
        <f t="array" ref="I340">_xlfn.IFS(
  OR(ISBLANK(A340),ISBLANK(B340),ISBLANK(D340),ISBLANK(E340),ISBLANK(H340)),"Missing Value",
  D340&lt;0,"Review – Out of Range (Claim Amount)",
  H340&lt;0,"Review – Out of Range (Days to Process)",
  TRUE,"OK"
)</f>
        <v>OK</v>
      </c>
    </row>
    <row r="341" spans="1:9" ht="16.8" x14ac:dyDescent="0.3">
      <c r="A341" s="14" t="s">
        <v>6848</v>
      </c>
      <c r="B341" s="14" t="s">
        <v>4502</v>
      </c>
      <c r="C341" s="15">
        <v>45549</v>
      </c>
      <c r="D341" s="14">
        <v>381091.48</v>
      </c>
      <c r="E341" s="14" t="s">
        <v>6505</v>
      </c>
      <c r="F341" s="14" t="s">
        <v>6509</v>
      </c>
      <c r="G341" s="14" t="s">
        <v>46</v>
      </c>
      <c r="H341" s="14">
        <v>27</v>
      </c>
      <c r="I341" s="13" t="str" cm="1">
        <f t="array" ref="I341">_xlfn.IFS(
  OR(ISBLANK(A341),ISBLANK(B341),ISBLANK(D341),ISBLANK(E341),ISBLANK(H341)),"Missing Value",
  D341&lt;0,"Review – Out of Range (Claim Amount)",
  H341&lt;0,"Review – Out of Range (Days to Process)",
  TRUE,"OK"
)</f>
        <v>OK</v>
      </c>
    </row>
    <row r="342" spans="1:9" ht="16.8" x14ac:dyDescent="0.3">
      <c r="A342" s="11" t="s">
        <v>6849</v>
      </c>
      <c r="B342" s="11" t="s">
        <v>6309</v>
      </c>
      <c r="C342" s="12">
        <v>44836</v>
      </c>
      <c r="D342" s="11">
        <v>237731.86</v>
      </c>
      <c r="E342" s="11" t="s">
        <v>6508</v>
      </c>
      <c r="F342" s="11" t="s">
        <v>6503</v>
      </c>
      <c r="G342" s="11" t="s">
        <v>45</v>
      </c>
      <c r="H342" s="11">
        <v>13</v>
      </c>
      <c r="I342" s="13" t="str" cm="1">
        <f t="array" ref="I342">_xlfn.IFS(
  OR(ISBLANK(A342),ISBLANK(B342),ISBLANK(D342),ISBLANK(E342),ISBLANK(H342)),"Missing Value",
  D342&lt;0,"Review – Out of Range (Claim Amount)",
  H342&lt;0,"Review – Out of Range (Days to Process)",
  TRUE,"OK"
)</f>
        <v>OK</v>
      </c>
    </row>
    <row r="343" spans="1:9" ht="16.8" x14ac:dyDescent="0.3">
      <c r="A343" s="14" t="s">
        <v>6850</v>
      </c>
      <c r="B343" s="14" t="s">
        <v>6441</v>
      </c>
      <c r="C343" s="15">
        <v>45639</v>
      </c>
      <c r="D343" s="14">
        <v>422720.39</v>
      </c>
      <c r="E343" s="14" t="s">
        <v>6505</v>
      </c>
      <c r="F343" s="14" t="s">
        <v>6516</v>
      </c>
      <c r="G343" s="14" t="s">
        <v>45</v>
      </c>
      <c r="H343" s="14">
        <v>48</v>
      </c>
      <c r="I343" s="13" t="str" cm="1">
        <f t="array" ref="I343">_xlfn.IFS(
  OR(ISBLANK(A343),ISBLANK(B343),ISBLANK(D343),ISBLANK(E343),ISBLANK(H343)),"Missing Value",
  D343&lt;0,"Review – Out of Range (Claim Amount)",
  H343&lt;0,"Review – Out of Range (Days to Process)",
  TRUE,"OK"
)</f>
        <v>OK</v>
      </c>
    </row>
    <row r="344" spans="1:9" ht="16.8" x14ac:dyDescent="0.3">
      <c r="A344" s="11" t="s">
        <v>6851</v>
      </c>
      <c r="B344" s="11" t="s">
        <v>6292</v>
      </c>
      <c r="C344" s="12">
        <v>45047</v>
      </c>
      <c r="D344" s="11">
        <v>491666.16</v>
      </c>
      <c r="E344" s="11" t="s">
        <v>6508</v>
      </c>
      <c r="F344" s="11" t="s">
        <v>6503</v>
      </c>
      <c r="G344" s="11" t="s">
        <v>46</v>
      </c>
      <c r="H344" s="11">
        <v>42</v>
      </c>
      <c r="I344" s="13" t="str" cm="1">
        <f t="array" ref="I344">_xlfn.IFS(
  OR(ISBLANK(A344),ISBLANK(B344),ISBLANK(D344),ISBLANK(E344),ISBLANK(H344)),"Missing Value",
  D344&lt;0,"Review – Out of Range (Claim Amount)",
  H344&lt;0,"Review – Out of Range (Days to Process)",
  TRUE,"OK"
)</f>
        <v>OK</v>
      </c>
    </row>
    <row r="345" spans="1:9" ht="16.8" x14ac:dyDescent="0.3">
      <c r="A345" s="14" t="s">
        <v>6852</v>
      </c>
      <c r="B345" s="14" t="s">
        <v>6325</v>
      </c>
      <c r="C345" s="15">
        <v>44518</v>
      </c>
      <c r="D345" s="14">
        <v>372154.55</v>
      </c>
      <c r="E345" s="14" t="s">
        <v>6502</v>
      </c>
      <c r="F345" s="14" t="s">
        <v>6509</v>
      </c>
      <c r="G345" s="14" t="s">
        <v>46</v>
      </c>
      <c r="H345" s="14">
        <v>26</v>
      </c>
      <c r="I345" s="13" t="str" cm="1">
        <f t="array" ref="I345">_xlfn.IFS(
  OR(ISBLANK(A345),ISBLANK(B345),ISBLANK(D345),ISBLANK(E345),ISBLANK(H345)),"Missing Value",
  D345&lt;0,"Review – Out of Range (Claim Amount)",
  H345&lt;0,"Review – Out of Range (Days to Process)",
  TRUE,"OK"
)</f>
        <v>OK</v>
      </c>
    </row>
    <row r="346" spans="1:9" ht="16.8" x14ac:dyDescent="0.3">
      <c r="A346" s="11" t="s">
        <v>6853</v>
      </c>
      <c r="B346" s="11" t="s">
        <v>3769</v>
      </c>
      <c r="C346" s="12">
        <v>45443</v>
      </c>
      <c r="D346" s="11">
        <v>128668.89</v>
      </c>
      <c r="E346" s="11" t="s">
        <v>6502</v>
      </c>
      <c r="F346" s="11" t="s">
        <v>6506</v>
      </c>
      <c r="G346" s="11" t="s">
        <v>46</v>
      </c>
      <c r="H346" s="11">
        <v>16</v>
      </c>
      <c r="I346" s="13" t="str" cm="1">
        <f t="array" ref="I346">_xlfn.IFS(
  OR(ISBLANK(A346),ISBLANK(B346),ISBLANK(D346),ISBLANK(E346),ISBLANK(H346)),"Missing Value",
  D346&lt;0,"Review – Out of Range (Claim Amount)",
  H346&lt;0,"Review – Out of Range (Days to Process)",
  TRUE,"OK"
)</f>
        <v>OK</v>
      </c>
    </row>
    <row r="347" spans="1:9" ht="16.8" x14ac:dyDescent="0.3">
      <c r="A347" s="14" t="s">
        <v>6854</v>
      </c>
      <c r="B347" s="14" t="s">
        <v>5745</v>
      </c>
      <c r="C347" s="15">
        <v>45412</v>
      </c>
      <c r="D347" s="14">
        <v>112055.12</v>
      </c>
      <c r="E347" s="14" t="s">
        <v>6505</v>
      </c>
      <c r="F347" s="14" t="s">
        <v>6503</v>
      </c>
      <c r="G347" s="14" t="s">
        <v>45</v>
      </c>
      <c r="H347" s="14">
        <v>52</v>
      </c>
      <c r="I347" s="13" t="str" cm="1">
        <f t="array" ref="I347">_xlfn.IFS(
  OR(ISBLANK(A347),ISBLANK(B347),ISBLANK(D347),ISBLANK(E347),ISBLANK(H347)),"Missing Value",
  D347&lt;0,"Review – Out of Range (Claim Amount)",
  H347&lt;0,"Review – Out of Range (Days to Process)",
  TRUE,"OK"
)</f>
        <v>OK</v>
      </c>
    </row>
    <row r="348" spans="1:9" ht="16.8" x14ac:dyDescent="0.3">
      <c r="A348" s="11" t="s">
        <v>6855</v>
      </c>
      <c r="B348" s="11" t="s">
        <v>4346</v>
      </c>
      <c r="C348" s="12">
        <v>45532</v>
      </c>
      <c r="D348" s="11">
        <v>123096.32000000001</v>
      </c>
      <c r="E348" s="11" t="s">
        <v>6502</v>
      </c>
      <c r="F348" s="11" t="s">
        <v>6511</v>
      </c>
      <c r="G348" s="11" t="s">
        <v>46</v>
      </c>
      <c r="H348" s="11">
        <v>53</v>
      </c>
      <c r="I348" s="13" t="str" cm="1">
        <f t="array" ref="I348">_xlfn.IFS(
  OR(ISBLANK(A348),ISBLANK(B348),ISBLANK(D348),ISBLANK(E348),ISBLANK(H348)),"Missing Value",
  D348&lt;0,"Review – Out of Range (Claim Amount)",
  H348&lt;0,"Review – Out of Range (Days to Process)",
  TRUE,"OK"
)</f>
        <v>OK</v>
      </c>
    </row>
    <row r="349" spans="1:9" ht="16.8" x14ac:dyDescent="0.3">
      <c r="A349" s="14" t="s">
        <v>6856</v>
      </c>
      <c r="B349" s="14" t="s">
        <v>4204</v>
      </c>
      <c r="C349" s="15">
        <v>45622</v>
      </c>
      <c r="D349" s="14">
        <v>187074.71</v>
      </c>
      <c r="E349" s="14" t="s">
        <v>6502</v>
      </c>
      <c r="F349" s="14" t="s">
        <v>6516</v>
      </c>
      <c r="G349" s="14" t="s">
        <v>45</v>
      </c>
      <c r="H349" s="14">
        <v>7</v>
      </c>
      <c r="I349" s="13" t="str" cm="1">
        <f t="array" ref="I349">_xlfn.IFS(
  OR(ISBLANK(A349),ISBLANK(B349),ISBLANK(D349),ISBLANK(E349),ISBLANK(H349)),"Missing Value",
  D349&lt;0,"Review – Out of Range (Claim Amount)",
  H349&lt;0,"Review – Out of Range (Days to Process)",
  TRUE,"OK"
)</f>
        <v>OK</v>
      </c>
    </row>
    <row r="350" spans="1:9" ht="16.8" x14ac:dyDescent="0.3">
      <c r="A350" s="11" t="s">
        <v>6857</v>
      </c>
      <c r="B350" s="11" t="s">
        <v>6283</v>
      </c>
      <c r="C350" s="12">
        <v>45625</v>
      </c>
      <c r="D350" s="11">
        <v>460933.82</v>
      </c>
      <c r="E350" s="11" t="s">
        <v>6502</v>
      </c>
      <c r="F350" s="11" t="s">
        <v>6516</v>
      </c>
      <c r="G350" s="11" t="s">
        <v>45</v>
      </c>
      <c r="H350" s="11">
        <v>32</v>
      </c>
      <c r="I350" s="13" t="str" cm="1">
        <f t="array" ref="I350">_xlfn.IFS(
  OR(ISBLANK(A350),ISBLANK(B350),ISBLANK(D350),ISBLANK(E350),ISBLANK(H350)),"Missing Value",
  D350&lt;0,"Review – Out of Range (Claim Amount)",
  H350&lt;0,"Review – Out of Range (Days to Process)",
  TRUE,"OK"
)</f>
        <v>OK</v>
      </c>
    </row>
    <row r="351" spans="1:9" ht="16.8" x14ac:dyDescent="0.3">
      <c r="A351" s="14" t="s">
        <v>6858</v>
      </c>
      <c r="B351" s="14" t="s">
        <v>3825</v>
      </c>
      <c r="C351" s="15">
        <v>44657</v>
      </c>
      <c r="D351" s="14">
        <v>409627.62</v>
      </c>
      <c r="E351" s="14" t="s">
        <v>6502</v>
      </c>
      <c r="F351" s="14" t="s">
        <v>6516</v>
      </c>
      <c r="G351" s="14" t="s">
        <v>46</v>
      </c>
      <c r="H351" s="14">
        <v>41</v>
      </c>
      <c r="I351" s="13" t="str" cm="1">
        <f t="array" ref="I351">_xlfn.IFS(
  OR(ISBLANK(A351),ISBLANK(B351),ISBLANK(D351),ISBLANK(E351),ISBLANK(H351)),"Missing Value",
  D351&lt;0,"Review – Out of Range (Claim Amount)",
  H351&lt;0,"Review – Out of Range (Days to Process)",
  TRUE,"OK"
)</f>
        <v>OK</v>
      </c>
    </row>
    <row r="352" spans="1:9" ht="16.8" x14ac:dyDescent="0.3">
      <c r="A352" s="11" t="s">
        <v>6859</v>
      </c>
      <c r="B352" s="11" t="s">
        <v>6308</v>
      </c>
      <c r="C352" s="12">
        <v>44963</v>
      </c>
      <c r="D352" s="11">
        <v>87555.19</v>
      </c>
      <c r="E352" s="11" t="s">
        <v>6502</v>
      </c>
      <c r="F352" s="11" t="s">
        <v>6511</v>
      </c>
      <c r="G352" s="11" t="s">
        <v>46</v>
      </c>
      <c r="H352" s="11">
        <v>31</v>
      </c>
      <c r="I352" s="13" t="str" cm="1">
        <f t="array" ref="I352">_xlfn.IFS(
  OR(ISBLANK(A352),ISBLANK(B352),ISBLANK(D352),ISBLANK(E352),ISBLANK(H352)),"Missing Value",
  D352&lt;0,"Review – Out of Range (Claim Amount)",
  H352&lt;0,"Review – Out of Range (Days to Process)",
  TRUE,"OK"
)</f>
        <v>OK</v>
      </c>
    </row>
    <row r="353" spans="1:9" ht="16.8" x14ac:dyDescent="0.3">
      <c r="A353" s="14" t="s">
        <v>6860</v>
      </c>
      <c r="B353" s="14" t="s">
        <v>3635</v>
      </c>
      <c r="C353" s="15">
        <v>45430</v>
      </c>
      <c r="D353" s="14">
        <v>91520.639999999999</v>
      </c>
      <c r="E353" s="14" t="s">
        <v>6502</v>
      </c>
      <c r="F353" s="14" t="s">
        <v>6503</v>
      </c>
      <c r="G353" s="14" t="s">
        <v>45</v>
      </c>
      <c r="H353" s="14">
        <v>13</v>
      </c>
      <c r="I353" s="13" t="str" cm="1">
        <f t="array" ref="I353">_xlfn.IFS(
  OR(ISBLANK(A353),ISBLANK(B353),ISBLANK(D353),ISBLANK(E353),ISBLANK(H353)),"Missing Value",
  D353&lt;0,"Review – Out of Range (Claim Amount)",
  H353&lt;0,"Review – Out of Range (Days to Process)",
  TRUE,"OK"
)</f>
        <v>OK</v>
      </c>
    </row>
    <row r="354" spans="1:9" ht="16.8" x14ac:dyDescent="0.3">
      <c r="A354" s="11" t="s">
        <v>6861</v>
      </c>
      <c r="B354" s="11" t="s">
        <v>5071</v>
      </c>
      <c r="C354" s="12">
        <v>45646</v>
      </c>
      <c r="D354" s="11">
        <v>440418.6</v>
      </c>
      <c r="E354" s="11" t="s">
        <v>6502</v>
      </c>
      <c r="F354" s="11" t="s">
        <v>6503</v>
      </c>
      <c r="G354" s="11" t="s">
        <v>46</v>
      </c>
      <c r="H354" s="11">
        <v>8</v>
      </c>
      <c r="I354" s="13" t="str" cm="1">
        <f t="array" ref="I354">_xlfn.IFS(
  OR(ISBLANK(A354),ISBLANK(B354),ISBLANK(D354),ISBLANK(E354),ISBLANK(H354)),"Missing Value",
  D354&lt;0,"Review – Out of Range (Claim Amount)",
  H354&lt;0,"Review – Out of Range (Days to Process)",
  TRUE,"OK"
)</f>
        <v>OK</v>
      </c>
    </row>
    <row r="355" spans="1:9" ht="16.8" x14ac:dyDescent="0.3">
      <c r="A355" s="14" t="s">
        <v>6862</v>
      </c>
      <c r="B355" s="14" t="s">
        <v>4192</v>
      </c>
      <c r="C355" s="15">
        <v>45081</v>
      </c>
      <c r="D355" s="14">
        <v>336445.04</v>
      </c>
      <c r="E355" s="14" t="s">
        <v>6508</v>
      </c>
      <c r="F355" s="14" t="s">
        <v>6506</v>
      </c>
      <c r="G355" s="14" t="s">
        <v>46</v>
      </c>
      <c r="H355" s="14">
        <v>15</v>
      </c>
      <c r="I355" s="13" t="str" cm="1">
        <f t="array" ref="I355">_xlfn.IFS(
  OR(ISBLANK(A355),ISBLANK(B355),ISBLANK(D355),ISBLANK(E355),ISBLANK(H355)),"Missing Value",
  D355&lt;0,"Review – Out of Range (Claim Amount)",
  H355&lt;0,"Review – Out of Range (Days to Process)",
  TRUE,"OK"
)</f>
        <v>OK</v>
      </c>
    </row>
    <row r="356" spans="1:9" ht="16.8" x14ac:dyDescent="0.3">
      <c r="A356" s="11" t="s">
        <v>6863</v>
      </c>
      <c r="B356" s="11" t="s">
        <v>4384</v>
      </c>
      <c r="C356" s="12">
        <v>45534</v>
      </c>
      <c r="D356" s="11">
        <v>98554.05</v>
      </c>
      <c r="E356" s="11" t="s">
        <v>6508</v>
      </c>
      <c r="F356" s="11" t="s">
        <v>6516</v>
      </c>
      <c r="G356" s="11" t="s">
        <v>45</v>
      </c>
      <c r="H356" s="11">
        <v>22</v>
      </c>
      <c r="I356" s="13" t="str" cm="1">
        <f t="array" ref="I356">_xlfn.IFS(
  OR(ISBLANK(A356),ISBLANK(B356),ISBLANK(D356),ISBLANK(E356),ISBLANK(H356)),"Missing Value",
  D356&lt;0,"Review – Out of Range (Claim Amount)",
  H356&lt;0,"Review – Out of Range (Days to Process)",
  TRUE,"OK"
)</f>
        <v>OK</v>
      </c>
    </row>
    <row r="357" spans="1:9" ht="16.8" x14ac:dyDescent="0.3">
      <c r="A357" s="14" t="s">
        <v>6864</v>
      </c>
      <c r="B357" s="14" t="s">
        <v>6488</v>
      </c>
      <c r="C357" s="15">
        <v>44973</v>
      </c>
      <c r="D357" s="14">
        <v>128223.46</v>
      </c>
      <c r="E357" s="14" t="s">
        <v>6502</v>
      </c>
      <c r="F357" s="14" t="s">
        <v>6509</v>
      </c>
      <c r="G357" s="14" t="s">
        <v>45</v>
      </c>
      <c r="H357" s="14">
        <v>42</v>
      </c>
      <c r="I357" s="13" t="str" cm="1">
        <f t="array" ref="I357">_xlfn.IFS(
  OR(ISBLANK(A357),ISBLANK(B357),ISBLANK(D357),ISBLANK(E357),ISBLANK(H357)),"Missing Value",
  D357&lt;0,"Review – Out of Range (Claim Amount)",
  H357&lt;0,"Review – Out of Range (Days to Process)",
  TRUE,"OK"
)</f>
        <v>OK</v>
      </c>
    </row>
    <row r="358" spans="1:9" ht="16.8" x14ac:dyDescent="0.3">
      <c r="A358" s="11" t="s">
        <v>6865</v>
      </c>
      <c r="B358" s="11" t="s">
        <v>6297</v>
      </c>
      <c r="C358" s="12">
        <v>45531</v>
      </c>
      <c r="D358" s="11">
        <v>143477.29999999999</v>
      </c>
      <c r="E358" s="11" t="s">
        <v>6502</v>
      </c>
      <c r="F358" s="11" t="s">
        <v>6503</v>
      </c>
      <c r="G358" s="11" t="s">
        <v>46</v>
      </c>
      <c r="H358" s="11">
        <v>45</v>
      </c>
      <c r="I358" s="13" t="str" cm="1">
        <f t="array" ref="I358">_xlfn.IFS(
  OR(ISBLANK(A358),ISBLANK(B358),ISBLANK(D358),ISBLANK(E358),ISBLANK(H358)),"Missing Value",
  D358&lt;0,"Review – Out of Range (Claim Amount)",
  H358&lt;0,"Review – Out of Range (Days to Process)",
  TRUE,"OK"
)</f>
        <v>OK</v>
      </c>
    </row>
    <row r="359" spans="1:9" ht="16.8" x14ac:dyDescent="0.3">
      <c r="A359" s="14" t="s">
        <v>6866</v>
      </c>
      <c r="B359" s="14" t="s">
        <v>5444</v>
      </c>
      <c r="C359" s="15">
        <v>45207</v>
      </c>
      <c r="D359" s="14">
        <v>33015.050000000003</v>
      </c>
      <c r="E359" s="14" t="s">
        <v>6505</v>
      </c>
      <c r="F359" s="14" t="s">
        <v>6511</v>
      </c>
      <c r="G359" s="14" t="s">
        <v>46</v>
      </c>
      <c r="H359" s="14">
        <v>35</v>
      </c>
      <c r="I359" s="13" t="str" cm="1">
        <f t="array" ref="I359">_xlfn.IFS(
  OR(ISBLANK(A359),ISBLANK(B359),ISBLANK(D359),ISBLANK(E359),ISBLANK(H359)),"Missing Value",
  D359&lt;0,"Review – Out of Range (Claim Amount)",
  H359&lt;0,"Review – Out of Range (Days to Process)",
  TRUE,"OK"
)</f>
        <v>OK</v>
      </c>
    </row>
    <row r="360" spans="1:9" ht="16.8" x14ac:dyDescent="0.3">
      <c r="A360" s="11" t="s">
        <v>6867</v>
      </c>
      <c r="B360" s="11" t="s">
        <v>6316</v>
      </c>
      <c r="C360" s="12">
        <v>44847</v>
      </c>
      <c r="D360" s="11">
        <v>13690.15</v>
      </c>
      <c r="E360" s="11" t="s">
        <v>6505</v>
      </c>
      <c r="F360" s="11" t="s">
        <v>6516</v>
      </c>
      <c r="G360" s="11" t="s">
        <v>46</v>
      </c>
      <c r="H360" s="11">
        <v>18</v>
      </c>
      <c r="I360" s="13" t="str" cm="1">
        <f t="array" ref="I360">_xlfn.IFS(
  OR(ISBLANK(A360),ISBLANK(B360),ISBLANK(D360),ISBLANK(E360),ISBLANK(H360)),"Missing Value",
  D360&lt;0,"Review – Out of Range (Claim Amount)",
  H360&lt;0,"Review – Out of Range (Days to Process)",
  TRUE,"OK"
)</f>
        <v>OK</v>
      </c>
    </row>
    <row r="361" spans="1:9" ht="16.8" x14ac:dyDescent="0.3">
      <c r="A361" s="14" t="s">
        <v>6868</v>
      </c>
      <c r="B361" s="14" t="s">
        <v>5125</v>
      </c>
      <c r="C361" s="15">
        <v>45275</v>
      </c>
      <c r="D361" s="14">
        <v>46957.15</v>
      </c>
      <c r="E361" s="14" t="s">
        <v>6508</v>
      </c>
      <c r="F361" s="14" t="s">
        <v>6503</v>
      </c>
      <c r="G361" s="14" t="s">
        <v>46</v>
      </c>
      <c r="H361" s="14">
        <v>25</v>
      </c>
      <c r="I361" s="13" t="str" cm="1">
        <f t="array" ref="I361">_xlfn.IFS(
  OR(ISBLANK(A361),ISBLANK(B361),ISBLANK(D361),ISBLANK(E361),ISBLANK(H361)),"Missing Value",
  D361&lt;0,"Review – Out of Range (Claim Amount)",
  H361&lt;0,"Review – Out of Range (Days to Process)",
  TRUE,"OK"
)</f>
        <v>OK</v>
      </c>
    </row>
    <row r="362" spans="1:9" ht="16.8" x14ac:dyDescent="0.3">
      <c r="A362" s="11" t="s">
        <v>6869</v>
      </c>
      <c r="B362" s="11" t="s">
        <v>4057</v>
      </c>
      <c r="C362" s="12">
        <v>45409</v>
      </c>
      <c r="D362" s="11">
        <v>10149.32</v>
      </c>
      <c r="E362" s="11" t="s">
        <v>6502</v>
      </c>
      <c r="F362" s="11" t="s">
        <v>6506</v>
      </c>
      <c r="G362" s="11" t="s">
        <v>46</v>
      </c>
      <c r="H362" s="11">
        <v>11</v>
      </c>
      <c r="I362" s="13" t="str" cm="1">
        <f t="array" ref="I362">_xlfn.IFS(
  OR(ISBLANK(A362),ISBLANK(B362),ISBLANK(D362),ISBLANK(E362),ISBLANK(H362)),"Missing Value",
  D362&lt;0,"Review – Out of Range (Claim Amount)",
  H362&lt;0,"Review – Out of Range (Days to Process)",
  TRUE,"OK"
)</f>
        <v>OK</v>
      </c>
    </row>
    <row r="363" spans="1:9" ht="16.8" x14ac:dyDescent="0.3">
      <c r="A363" s="14" t="s">
        <v>6870</v>
      </c>
      <c r="B363" s="14" t="s">
        <v>3588</v>
      </c>
      <c r="C363" s="15">
        <v>44845</v>
      </c>
      <c r="D363" s="14">
        <v>11207.66</v>
      </c>
      <c r="E363" s="14" t="s">
        <v>6508</v>
      </c>
      <c r="F363" s="14" t="s">
        <v>6511</v>
      </c>
      <c r="G363" s="14" t="s">
        <v>45</v>
      </c>
      <c r="H363" s="14">
        <v>5</v>
      </c>
      <c r="I363" s="13" t="str" cm="1">
        <f t="array" ref="I363">_xlfn.IFS(
  OR(ISBLANK(A363),ISBLANK(B363),ISBLANK(D363),ISBLANK(E363),ISBLANK(H363)),"Missing Value",
  D363&lt;0,"Review – Out of Range (Claim Amount)",
  H363&lt;0,"Review – Out of Range (Days to Process)",
  TRUE,"OK"
)</f>
        <v>OK</v>
      </c>
    </row>
    <row r="364" spans="1:9" ht="16.8" x14ac:dyDescent="0.3">
      <c r="A364" s="11" t="s">
        <v>6871</v>
      </c>
      <c r="B364" s="11" t="s">
        <v>5980</v>
      </c>
      <c r="C364" s="12">
        <v>45421</v>
      </c>
      <c r="D364" s="11">
        <v>324749.94</v>
      </c>
      <c r="E364" s="11" t="s">
        <v>6502</v>
      </c>
      <c r="F364" s="11" t="s">
        <v>6511</v>
      </c>
      <c r="G364" s="11" t="s">
        <v>46</v>
      </c>
      <c r="H364" s="11">
        <v>48</v>
      </c>
      <c r="I364" s="13" t="str" cm="1">
        <f t="array" ref="I364">_xlfn.IFS(
  OR(ISBLANK(A364),ISBLANK(B364),ISBLANK(D364),ISBLANK(E364),ISBLANK(H364)),"Missing Value",
  D364&lt;0,"Review – Out of Range (Claim Amount)",
  H364&lt;0,"Review – Out of Range (Days to Process)",
  TRUE,"OK"
)</f>
        <v>OK</v>
      </c>
    </row>
    <row r="365" spans="1:9" ht="16.8" x14ac:dyDescent="0.3">
      <c r="A365" s="14" t="s">
        <v>6872</v>
      </c>
      <c r="B365" s="14" t="s">
        <v>5560</v>
      </c>
      <c r="C365" s="15">
        <v>44832</v>
      </c>
      <c r="D365" s="14">
        <v>284541.81</v>
      </c>
      <c r="E365" s="14" t="s">
        <v>6508</v>
      </c>
      <c r="F365" s="14" t="s">
        <v>6506</v>
      </c>
      <c r="G365" s="14" t="s">
        <v>46</v>
      </c>
      <c r="H365" s="14">
        <v>3</v>
      </c>
      <c r="I365" s="13" t="str" cm="1">
        <f t="array" ref="I365">_xlfn.IFS(
  OR(ISBLANK(A365),ISBLANK(B365),ISBLANK(D365),ISBLANK(E365),ISBLANK(H365)),"Missing Value",
  D365&lt;0,"Review – Out of Range (Claim Amount)",
  H365&lt;0,"Review – Out of Range (Days to Process)",
  TRUE,"OK"
)</f>
        <v>OK</v>
      </c>
    </row>
    <row r="366" spans="1:9" ht="16.8" x14ac:dyDescent="0.3">
      <c r="A366" s="11" t="s">
        <v>6873</v>
      </c>
      <c r="B366" s="11" t="s">
        <v>6015</v>
      </c>
      <c r="C366" s="12">
        <v>44474</v>
      </c>
      <c r="D366" s="11">
        <v>422592.4</v>
      </c>
      <c r="E366" s="11" t="s">
        <v>6502</v>
      </c>
      <c r="F366" s="11" t="s">
        <v>6511</v>
      </c>
      <c r="G366" s="11" t="s">
        <v>45</v>
      </c>
      <c r="H366" s="11">
        <v>51</v>
      </c>
      <c r="I366" s="13" t="str" cm="1">
        <f t="array" ref="I366">_xlfn.IFS(
  OR(ISBLANK(A366),ISBLANK(B366),ISBLANK(D366),ISBLANK(E366),ISBLANK(H366)),"Missing Value",
  D366&lt;0,"Review – Out of Range (Claim Amount)",
  H366&lt;0,"Review – Out of Range (Days to Process)",
  TRUE,"OK"
)</f>
        <v>OK</v>
      </c>
    </row>
    <row r="367" spans="1:9" ht="16.8" x14ac:dyDescent="0.3">
      <c r="A367" s="14" t="s">
        <v>6874</v>
      </c>
      <c r="B367" s="14" t="s">
        <v>5291</v>
      </c>
      <c r="C367" s="15">
        <v>45167</v>
      </c>
      <c r="D367" s="14">
        <v>218857.44</v>
      </c>
      <c r="E367" s="14" t="s">
        <v>6505</v>
      </c>
      <c r="F367" s="14" t="s">
        <v>6509</v>
      </c>
      <c r="G367" s="14" t="s">
        <v>46</v>
      </c>
      <c r="H367" s="14">
        <v>56</v>
      </c>
      <c r="I367" s="13" t="str" cm="1">
        <f t="array" ref="I367">_xlfn.IFS(
  OR(ISBLANK(A367),ISBLANK(B367),ISBLANK(D367),ISBLANK(E367),ISBLANK(H367)),"Missing Value",
  D367&lt;0,"Review – Out of Range (Claim Amount)",
  H367&lt;0,"Review – Out of Range (Days to Process)",
  TRUE,"OK"
)</f>
        <v>OK</v>
      </c>
    </row>
    <row r="368" spans="1:9" ht="16.8" x14ac:dyDescent="0.3">
      <c r="A368" s="11" t="s">
        <v>6875</v>
      </c>
      <c r="B368" s="11" t="s">
        <v>3970</v>
      </c>
      <c r="C368" s="12">
        <v>45528</v>
      </c>
      <c r="D368" s="11">
        <v>454521</v>
      </c>
      <c r="E368" s="11" t="s">
        <v>6508</v>
      </c>
      <c r="F368" s="11" t="s">
        <v>6516</v>
      </c>
      <c r="G368" s="11" t="s">
        <v>45</v>
      </c>
      <c r="H368" s="11">
        <v>43</v>
      </c>
      <c r="I368" s="13" t="str" cm="1">
        <f t="array" ref="I368">_xlfn.IFS(
  OR(ISBLANK(A368),ISBLANK(B368),ISBLANK(D368),ISBLANK(E368),ISBLANK(H368)),"Missing Value",
  D368&lt;0,"Review – Out of Range (Claim Amount)",
  H368&lt;0,"Review – Out of Range (Days to Process)",
  TRUE,"OK"
)</f>
        <v>OK</v>
      </c>
    </row>
    <row r="369" spans="1:9" ht="16.8" x14ac:dyDescent="0.3">
      <c r="A369" s="14" t="s">
        <v>6876</v>
      </c>
      <c r="B369" s="14" t="s">
        <v>4214</v>
      </c>
      <c r="C369" s="15">
        <v>45355</v>
      </c>
      <c r="D369" s="14">
        <v>478942.04</v>
      </c>
      <c r="E369" s="14" t="s">
        <v>6505</v>
      </c>
      <c r="F369" s="14" t="s">
        <v>6506</v>
      </c>
      <c r="G369" s="14" t="s">
        <v>46</v>
      </c>
      <c r="H369" s="14">
        <v>50</v>
      </c>
      <c r="I369" s="13" t="str" cm="1">
        <f t="array" ref="I369">_xlfn.IFS(
  OR(ISBLANK(A369),ISBLANK(B369),ISBLANK(D369),ISBLANK(E369),ISBLANK(H369)),"Missing Value",
  D369&lt;0,"Review – Out of Range (Claim Amount)",
  H369&lt;0,"Review – Out of Range (Days to Process)",
  TRUE,"OK"
)</f>
        <v>OK</v>
      </c>
    </row>
    <row r="370" spans="1:9" ht="16.8" x14ac:dyDescent="0.3">
      <c r="A370" s="11" t="s">
        <v>6877</v>
      </c>
      <c r="B370" s="11" t="s">
        <v>5845</v>
      </c>
      <c r="C370" s="12">
        <v>45544</v>
      </c>
      <c r="D370" s="11">
        <v>31159.05</v>
      </c>
      <c r="E370" s="11" t="s">
        <v>6508</v>
      </c>
      <c r="F370" s="11" t="s">
        <v>6511</v>
      </c>
      <c r="G370" s="11" t="s">
        <v>45</v>
      </c>
      <c r="H370" s="11">
        <v>11</v>
      </c>
      <c r="I370" s="13" t="str" cm="1">
        <f t="array" ref="I370">_xlfn.IFS(
  OR(ISBLANK(A370),ISBLANK(B370),ISBLANK(D370),ISBLANK(E370),ISBLANK(H370)),"Missing Value",
  D370&lt;0,"Review – Out of Range (Claim Amount)",
  H370&lt;0,"Review – Out of Range (Days to Process)",
  TRUE,"OK"
)</f>
        <v>OK</v>
      </c>
    </row>
    <row r="371" spans="1:9" ht="16.8" x14ac:dyDescent="0.3">
      <c r="A371" s="14" t="s">
        <v>6878</v>
      </c>
      <c r="B371" s="14" t="s">
        <v>4206</v>
      </c>
      <c r="C371" s="15">
        <v>44922</v>
      </c>
      <c r="D371" s="14">
        <v>348822.23</v>
      </c>
      <c r="E371" s="14" t="s">
        <v>6502</v>
      </c>
      <c r="F371" s="14" t="s">
        <v>6509</v>
      </c>
      <c r="G371" s="14" t="s">
        <v>45</v>
      </c>
      <c r="H371" s="14">
        <v>35</v>
      </c>
      <c r="I371" s="13" t="str" cm="1">
        <f t="array" ref="I371">_xlfn.IFS(
  OR(ISBLANK(A371),ISBLANK(B371),ISBLANK(D371),ISBLANK(E371),ISBLANK(H371)),"Missing Value",
  D371&lt;0,"Review – Out of Range (Claim Amount)",
  H371&lt;0,"Review – Out of Range (Days to Process)",
  TRUE,"OK"
)</f>
        <v>OK</v>
      </c>
    </row>
    <row r="372" spans="1:9" ht="16.8" x14ac:dyDescent="0.3">
      <c r="A372" s="11" t="s">
        <v>6879</v>
      </c>
      <c r="B372" s="11" t="s">
        <v>3629</v>
      </c>
      <c r="C372" s="12">
        <v>45601</v>
      </c>
      <c r="D372" s="11">
        <v>41176.01</v>
      </c>
      <c r="E372" s="11" t="s">
        <v>6508</v>
      </c>
      <c r="F372" s="11" t="s">
        <v>6503</v>
      </c>
      <c r="G372" s="11" t="s">
        <v>45</v>
      </c>
      <c r="H372" s="11">
        <v>58</v>
      </c>
      <c r="I372" s="13" t="str" cm="1">
        <f t="array" ref="I372">_xlfn.IFS(
  OR(ISBLANK(A372),ISBLANK(B372),ISBLANK(D372),ISBLANK(E372),ISBLANK(H372)),"Missing Value",
  D372&lt;0,"Review – Out of Range (Claim Amount)",
  H372&lt;0,"Review – Out of Range (Days to Process)",
  TRUE,"OK"
)</f>
        <v>OK</v>
      </c>
    </row>
    <row r="373" spans="1:9" ht="16.8" x14ac:dyDescent="0.3">
      <c r="A373" s="14" t="s">
        <v>6880</v>
      </c>
      <c r="B373" s="14" t="s">
        <v>4474</v>
      </c>
      <c r="C373" s="15">
        <v>44155</v>
      </c>
      <c r="D373" s="14">
        <v>344850.77</v>
      </c>
      <c r="E373" s="14" t="s">
        <v>6505</v>
      </c>
      <c r="F373" s="14" t="s">
        <v>6503</v>
      </c>
      <c r="G373" s="14" t="s">
        <v>45</v>
      </c>
      <c r="H373" s="14">
        <v>58</v>
      </c>
      <c r="I373" s="13" t="str" cm="1">
        <f t="array" ref="I373">_xlfn.IFS(
  OR(ISBLANK(A373),ISBLANK(B373),ISBLANK(D373),ISBLANK(E373),ISBLANK(H373)),"Missing Value",
  D373&lt;0,"Review – Out of Range (Claim Amount)",
  H373&lt;0,"Review – Out of Range (Days to Process)",
  TRUE,"OK"
)</f>
        <v>OK</v>
      </c>
    </row>
    <row r="374" spans="1:9" ht="16.8" x14ac:dyDescent="0.3">
      <c r="A374" s="11" t="s">
        <v>6881</v>
      </c>
      <c r="B374" s="11" t="s">
        <v>6125</v>
      </c>
      <c r="C374" s="12">
        <v>44686</v>
      </c>
      <c r="D374" s="11">
        <v>274916.26</v>
      </c>
      <c r="E374" s="11" t="s">
        <v>6502</v>
      </c>
      <c r="F374" s="11" t="s">
        <v>6511</v>
      </c>
      <c r="G374" s="11" t="s">
        <v>45</v>
      </c>
      <c r="H374" s="11">
        <v>49</v>
      </c>
      <c r="I374" s="13" t="str" cm="1">
        <f t="array" ref="I374">_xlfn.IFS(
  OR(ISBLANK(A374),ISBLANK(B374),ISBLANK(D374),ISBLANK(E374),ISBLANK(H374)),"Missing Value",
  D374&lt;0,"Review – Out of Range (Claim Amount)",
  H374&lt;0,"Review – Out of Range (Days to Process)",
  TRUE,"OK"
)</f>
        <v>OK</v>
      </c>
    </row>
    <row r="375" spans="1:9" ht="16.8" x14ac:dyDescent="0.3">
      <c r="A375" s="14" t="s">
        <v>6882</v>
      </c>
      <c r="B375" s="14" t="s">
        <v>4047</v>
      </c>
      <c r="C375" s="15">
        <v>44999</v>
      </c>
      <c r="D375" s="14">
        <v>305318.71000000002</v>
      </c>
      <c r="E375" s="14" t="s">
        <v>6505</v>
      </c>
      <c r="F375" s="14" t="s">
        <v>6516</v>
      </c>
      <c r="G375" s="14" t="s">
        <v>45</v>
      </c>
      <c r="H375" s="14">
        <v>12</v>
      </c>
      <c r="I375" s="13" t="str" cm="1">
        <f t="array" ref="I375">_xlfn.IFS(
  OR(ISBLANK(A375),ISBLANK(B375),ISBLANK(D375),ISBLANK(E375),ISBLANK(H375)),"Missing Value",
  D375&lt;0,"Review – Out of Range (Claim Amount)",
  H375&lt;0,"Review – Out of Range (Days to Process)",
  TRUE,"OK"
)</f>
        <v>OK</v>
      </c>
    </row>
    <row r="376" spans="1:9" ht="16.8" x14ac:dyDescent="0.3">
      <c r="A376" s="11" t="s">
        <v>6883</v>
      </c>
      <c r="B376" s="11" t="s">
        <v>5880</v>
      </c>
      <c r="C376" s="12">
        <v>45068</v>
      </c>
      <c r="D376" s="11">
        <v>173395.14</v>
      </c>
      <c r="E376" s="11" t="s">
        <v>6502</v>
      </c>
      <c r="F376" s="11" t="s">
        <v>6511</v>
      </c>
      <c r="G376" s="11" t="s">
        <v>46</v>
      </c>
      <c r="H376" s="11">
        <v>5</v>
      </c>
      <c r="I376" s="13" t="str" cm="1">
        <f t="array" ref="I376">_xlfn.IFS(
  OR(ISBLANK(A376),ISBLANK(B376),ISBLANK(D376),ISBLANK(E376),ISBLANK(H376)),"Missing Value",
  D376&lt;0,"Review – Out of Range (Claim Amount)",
  H376&lt;0,"Review – Out of Range (Days to Process)",
  TRUE,"OK"
)</f>
        <v>OK</v>
      </c>
    </row>
    <row r="377" spans="1:9" ht="16.8" x14ac:dyDescent="0.3">
      <c r="A377" s="14" t="s">
        <v>6884</v>
      </c>
      <c r="B377" s="14" t="s">
        <v>5490</v>
      </c>
      <c r="C377" s="15">
        <v>45381</v>
      </c>
      <c r="D377" s="14">
        <v>454027.59</v>
      </c>
      <c r="E377" s="14" t="s">
        <v>6505</v>
      </c>
      <c r="F377" s="14" t="s">
        <v>6503</v>
      </c>
      <c r="G377" s="14" t="s">
        <v>45</v>
      </c>
      <c r="H377" s="14">
        <v>19</v>
      </c>
      <c r="I377" s="13" t="str" cm="1">
        <f t="array" ref="I377">_xlfn.IFS(
  OR(ISBLANK(A377),ISBLANK(B377),ISBLANK(D377),ISBLANK(E377),ISBLANK(H377)),"Missing Value",
  D377&lt;0,"Review – Out of Range (Claim Amount)",
  H377&lt;0,"Review – Out of Range (Days to Process)",
  TRUE,"OK"
)</f>
        <v>OK</v>
      </c>
    </row>
    <row r="378" spans="1:9" ht="16.8" x14ac:dyDescent="0.3">
      <c r="A378" s="11" t="s">
        <v>6885</v>
      </c>
      <c r="B378" s="11" t="s">
        <v>3653</v>
      </c>
      <c r="C378" s="12">
        <v>45055</v>
      </c>
      <c r="D378" s="11">
        <v>425834.29</v>
      </c>
      <c r="E378" s="11" t="s">
        <v>6505</v>
      </c>
      <c r="F378" s="11" t="s">
        <v>6506</v>
      </c>
      <c r="G378" s="11" t="s">
        <v>45</v>
      </c>
      <c r="H378" s="11">
        <v>44</v>
      </c>
      <c r="I378" s="13" t="str" cm="1">
        <f t="array" ref="I378">_xlfn.IFS(
  OR(ISBLANK(A378),ISBLANK(B378),ISBLANK(D378),ISBLANK(E378),ISBLANK(H378)),"Missing Value",
  D378&lt;0,"Review – Out of Range (Claim Amount)",
  H378&lt;0,"Review – Out of Range (Days to Process)",
  TRUE,"OK"
)</f>
        <v>OK</v>
      </c>
    </row>
    <row r="379" spans="1:9" ht="16.8" x14ac:dyDescent="0.3">
      <c r="A379" s="14" t="s">
        <v>6886</v>
      </c>
      <c r="B379" s="14" t="s">
        <v>4633</v>
      </c>
      <c r="C379" s="15">
        <v>45064</v>
      </c>
      <c r="D379" s="14">
        <v>394241.52</v>
      </c>
      <c r="E379" s="14" t="s">
        <v>6508</v>
      </c>
      <c r="F379" s="14" t="s">
        <v>6516</v>
      </c>
      <c r="G379" s="14" t="s">
        <v>46</v>
      </c>
      <c r="H379" s="14">
        <v>58</v>
      </c>
      <c r="I379" s="13" t="str" cm="1">
        <f t="array" ref="I379">_xlfn.IFS(
  OR(ISBLANK(A379),ISBLANK(B379),ISBLANK(D379),ISBLANK(E379),ISBLANK(H379)),"Missing Value",
  D379&lt;0,"Review – Out of Range (Claim Amount)",
  H379&lt;0,"Review – Out of Range (Days to Process)",
  TRUE,"OK"
)</f>
        <v>OK</v>
      </c>
    </row>
    <row r="380" spans="1:9" ht="16.8" x14ac:dyDescent="0.3">
      <c r="A380" s="11" t="s">
        <v>6887</v>
      </c>
      <c r="B380" s="11" t="s">
        <v>3496</v>
      </c>
      <c r="C380" s="12">
        <v>45152</v>
      </c>
      <c r="D380" s="11">
        <v>312296.73</v>
      </c>
      <c r="E380" s="11" t="s">
        <v>6505</v>
      </c>
      <c r="F380" s="11" t="s">
        <v>6516</v>
      </c>
      <c r="G380" s="11" t="s">
        <v>46</v>
      </c>
      <c r="H380" s="11">
        <v>33</v>
      </c>
      <c r="I380" s="13" t="str" cm="1">
        <f t="array" ref="I380">_xlfn.IFS(
  OR(ISBLANK(A380),ISBLANK(B380),ISBLANK(D380),ISBLANK(E380),ISBLANK(H380)),"Missing Value",
  D380&lt;0,"Review – Out of Range (Claim Amount)",
  H380&lt;0,"Review – Out of Range (Days to Process)",
  TRUE,"OK"
)</f>
        <v>OK</v>
      </c>
    </row>
    <row r="381" spans="1:9" ht="16.8" x14ac:dyDescent="0.3">
      <c r="A381" s="14" t="s">
        <v>6888</v>
      </c>
      <c r="B381" s="14" t="s">
        <v>4502</v>
      </c>
      <c r="C381" s="15">
        <v>45146</v>
      </c>
      <c r="D381" s="14">
        <v>14155.31</v>
      </c>
      <c r="E381" s="14" t="s">
        <v>6505</v>
      </c>
      <c r="F381" s="14" t="s">
        <v>6509</v>
      </c>
      <c r="G381" s="14" t="s">
        <v>45</v>
      </c>
      <c r="H381" s="14">
        <v>55</v>
      </c>
      <c r="I381" s="13" t="str" cm="1">
        <f t="array" ref="I381">_xlfn.IFS(
  OR(ISBLANK(A381),ISBLANK(B381),ISBLANK(D381),ISBLANK(E381),ISBLANK(H381)),"Missing Value",
  D381&lt;0,"Review – Out of Range (Claim Amount)",
  H381&lt;0,"Review – Out of Range (Days to Process)",
  TRUE,"OK"
)</f>
        <v>OK</v>
      </c>
    </row>
    <row r="382" spans="1:9" ht="16.8" x14ac:dyDescent="0.3">
      <c r="A382" s="11" t="s">
        <v>6889</v>
      </c>
      <c r="B382" s="11" t="s">
        <v>3666</v>
      </c>
      <c r="C382" s="12">
        <v>45538</v>
      </c>
      <c r="D382" s="11">
        <v>76100.73</v>
      </c>
      <c r="E382" s="11" t="s">
        <v>6505</v>
      </c>
      <c r="F382" s="11" t="s">
        <v>6509</v>
      </c>
      <c r="G382" s="11" t="s">
        <v>45</v>
      </c>
      <c r="H382" s="11">
        <v>33</v>
      </c>
      <c r="I382" s="13" t="str" cm="1">
        <f t="array" ref="I382">_xlfn.IFS(
  OR(ISBLANK(A382),ISBLANK(B382),ISBLANK(D382),ISBLANK(E382),ISBLANK(H382)),"Missing Value",
  D382&lt;0,"Review – Out of Range (Claim Amount)",
  H382&lt;0,"Review – Out of Range (Days to Process)",
  TRUE,"OK"
)</f>
        <v>OK</v>
      </c>
    </row>
    <row r="383" spans="1:9" ht="16.8" x14ac:dyDescent="0.3">
      <c r="A383" s="14" t="s">
        <v>6890</v>
      </c>
      <c r="B383" s="14" t="s">
        <v>6245</v>
      </c>
      <c r="C383" s="15">
        <v>45218</v>
      </c>
      <c r="D383" s="14">
        <v>488183.98</v>
      </c>
      <c r="E383" s="14" t="s">
        <v>6508</v>
      </c>
      <c r="F383" s="14" t="s">
        <v>6516</v>
      </c>
      <c r="G383" s="14" t="s">
        <v>46</v>
      </c>
      <c r="H383" s="14">
        <v>19</v>
      </c>
      <c r="I383" s="13" t="str" cm="1">
        <f t="array" ref="I383">_xlfn.IFS(
  OR(ISBLANK(A383),ISBLANK(B383),ISBLANK(D383),ISBLANK(E383),ISBLANK(H383)),"Missing Value",
  D383&lt;0,"Review – Out of Range (Claim Amount)",
  H383&lt;0,"Review – Out of Range (Days to Process)",
  TRUE,"OK"
)</f>
        <v>OK</v>
      </c>
    </row>
    <row r="384" spans="1:9" ht="16.8" x14ac:dyDescent="0.3">
      <c r="A384" s="11" t="s">
        <v>6891</v>
      </c>
      <c r="B384" s="11" t="s">
        <v>5924</v>
      </c>
      <c r="C384" s="12">
        <v>45462</v>
      </c>
      <c r="D384" s="11">
        <v>402924.1</v>
      </c>
      <c r="E384" s="11" t="s">
        <v>6502</v>
      </c>
      <c r="F384" s="11" t="s">
        <v>6516</v>
      </c>
      <c r="G384" s="11" t="s">
        <v>45</v>
      </c>
      <c r="H384" s="11">
        <v>31</v>
      </c>
      <c r="I384" s="13" t="str" cm="1">
        <f t="array" ref="I384">_xlfn.IFS(
  OR(ISBLANK(A384),ISBLANK(B384),ISBLANK(D384),ISBLANK(E384),ISBLANK(H384)),"Missing Value",
  D384&lt;0,"Review – Out of Range (Claim Amount)",
  H384&lt;0,"Review – Out of Range (Days to Process)",
  TRUE,"OK"
)</f>
        <v>OK</v>
      </c>
    </row>
    <row r="385" spans="1:9" ht="16.8" x14ac:dyDescent="0.3">
      <c r="A385" s="14" t="s">
        <v>6892</v>
      </c>
      <c r="B385" s="14" t="s">
        <v>4824</v>
      </c>
      <c r="C385" s="15">
        <v>45135</v>
      </c>
      <c r="D385" s="14">
        <v>283843.20000000001</v>
      </c>
      <c r="E385" s="14" t="s">
        <v>6502</v>
      </c>
      <c r="F385" s="14" t="s">
        <v>6506</v>
      </c>
      <c r="G385" s="14" t="s">
        <v>45</v>
      </c>
      <c r="H385" s="14">
        <v>46</v>
      </c>
      <c r="I385" s="13" t="str" cm="1">
        <f t="array" ref="I385">_xlfn.IFS(
  OR(ISBLANK(A385),ISBLANK(B385),ISBLANK(D385),ISBLANK(E385),ISBLANK(H385)),"Missing Value",
  D385&lt;0,"Review – Out of Range (Claim Amount)",
  H385&lt;0,"Review – Out of Range (Days to Process)",
  TRUE,"OK"
)</f>
        <v>OK</v>
      </c>
    </row>
    <row r="386" spans="1:9" ht="16.8" x14ac:dyDescent="0.3">
      <c r="A386" s="11" t="s">
        <v>6893</v>
      </c>
      <c r="B386" s="11" t="s">
        <v>5340</v>
      </c>
      <c r="C386" s="12">
        <v>45555</v>
      </c>
      <c r="D386" s="11">
        <v>86631.74</v>
      </c>
      <c r="E386" s="11" t="s">
        <v>6502</v>
      </c>
      <c r="F386" s="11" t="s">
        <v>6503</v>
      </c>
      <c r="G386" s="11" t="s">
        <v>45</v>
      </c>
      <c r="H386" s="11">
        <v>42</v>
      </c>
      <c r="I386" s="13" t="str" cm="1">
        <f t="array" ref="I386">_xlfn.IFS(
  OR(ISBLANK(A386),ISBLANK(B386),ISBLANK(D386),ISBLANK(E386),ISBLANK(H386)),"Missing Value",
  D386&lt;0,"Review – Out of Range (Claim Amount)",
  H386&lt;0,"Review – Out of Range (Days to Process)",
  TRUE,"OK"
)</f>
        <v>OK</v>
      </c>
    </row>
    <row r="387" spans="1:9" ht="16.8" x14ac:dyDescent="0.3">
      <c r="A387" s="14" t="s">
        <v>6894</v>
      </c>
      <c r="B387" s="14" t="s">
        <v>4493</v>
      </c>
      <c r="C387" s="15">
        <v>44405</v>
      </c>
      <c r="D387" s="14">
        <v>343108.68</v>
      </c>
      <c r="E387" s="14" t="s">
        <v>6508</v>
      </c>
      <c r="F387" s="14" t="s">
        <v>6511</v>
      </c>
      <c r="G387" s="14" t="s">
        <v>45</v>
      </c>
      <c r="H387" s="14">
        <v>59</v>
      </c>
      <c r="I387" s="13" t="str" cm="1">
        <f t="array" ref="I387">_xlfn.IFS(
  OR(ISBLANK(A387),ISBLANK(B387),ISBLANK(D387),ISBLANK(E387),ISBLANK(H387)),"Missing Value",
  D387&lt;0,"Review – Out of Range (Claim Amount)",
  H387&lt;0,"Review – Out of Range (Days to Process)",
  TRUE,"OK"
)</f>
        <v>OK</v>
      </c>
    </row>
    <row r="388" spans="1:9" ht="16.8" x14ac:dyDescent="0.3">
      <c r="A388" s="11" t="s">
        <v>6895</v>
      </c>
      <c r="B388" s="11" t="s">
        <v>6439</v>
      </c>
      <c r="C388" s="12">
        <v>45437</v>
      </c>
      <c r="D388" s="11">
        <v>235657.28</v>
      </c>
      <c r="E388" s="11" t="s">
        <v>6505</v>
      </c>
      <c r="F388" s="11" t="s">
        <v>6511</v>
      </c>
      <c r="G388" s="11" t="s">
        <v>46</v>
      </c>
      <c r="H388" s="11">
        <v>10</v>
      </c>
      <c r="I388" s="13" t="str" cm="1">
        <f t="array" ref="I388">_xlfn.IFS(
  OR(ISBLANK(A388),ISBLANK(B388),ISBLANK(D388),ISBLANK(E388),ISBLANK(H388)),"Missing Value",
  D388&lt;0,"Review – Out of Range (Claim Amount)",
  H388&lt;0,"Review – Out of Range (Days to Process)",
  TRUE,"OK"
)</f>
        <v>OK</v>
      </c>
    </row>
    <row r="389" spans="1:9" ht="16.8" x14ac:dyDescent="0.3">
      <c r="A389" s="14" t="s">
        <v>6896</v>
      </c>
      <c r="B389" s="14" t="s">
        <v>4558</v>
      </c>
      <c r="C389" s="15">
        <v>45276</v>
      </c>
      <c r="D389" s="14">
        <v>434969.59</v>
      </c>
      <c r="E389" s="14" t="s">
        <v>6502</v>
      </c>
      <c r="F389" s="14" t="s">
        <v>6516</v>
      </c>
      <c r="G389" s="14" t="s">
        <v>45</v>
      </c>
      <c r="H389" s="14">
        <v>49</v>
      </c>
      <c r="I389" s="13" t="str" cm="1">
        <f t="array" ref="I389">_xlfn.IFS(
  OR(ISBLANK(A389),ISBLANK(B389),ISBLANK(D389),ISBLANK(E389),ISBLANK(H389)),"Missing Value",
  D389&lt;0,"Review – Out of Range (Claim Amount)",
  H389&lt;0,"Review – Out of Range (Days to Process)",
  TRUE,"OK"
)</f>
        <v>OK</v>
      </c>
    </row>
    <row r="390" spans="1:9" ht="16.8" x14ac:dyDescent="0.3">
      <c r="A390" s="11" t="s">
        <v>6897</v>
      </c>
      <c r="B390" s="11" t="s">
        <v>4232</v>
      </c>
      <c r="C390" s="12">
        <v>45458</v>
      </c>
      <c r="D390" s="11">
        <v>448471.85</v>
      </c>
      <c r="E390" s="11" t="s">
        <v>6508</v>
      </c>
      <c r="F390" s="11" t="s">
        <v>6506</v>
      </c>
      <c r="G390" s="11" t="s">
        <v>46</v>
      </c>
      <c r="H390" s="11">
        <v>8</v>
      </c>
      <c r="I390" s="13" t="str" cm="1">
        <f t="array" ref="I390">_xlfn.IFS(
  OR(ISBLANK(A390),ISBLANK(B390),ISBLANK(D390),ISBLANK(E390),ISBLANK(H390)),"Missing Value",
  D390&lt;0,"Review – Out of Range (Claim Amount)",
  H390&lt;0,"Review – Out of Range (Days to Process)",
  TRUE,"OK"
)</f>
        <v>OK</v>
      </c>
    </row>
    <row r="391" spans="1:9" ht="16.8" x14ac:dyDescent="0.3">
      <c r="A391" s="14" t="s">
        <v>6898</v>
      </c>
      <c r="B391" s="14" t="s">
        <v>4047</v>
      </c>
      <c r="C391" s="15">
        <v>45224</v>
      </c>
      <c r="D391" s="14">
        <v>152745.71</v>
      </c>
      <c r="E391" s="14" t="s">
        <v>6505</v>
      </c>
      <c r="F391" s="14" t="s">
        <v>6511</v>
      </c>
      <c r="G391" s="14" t="s">
        <v>45</v>
      </c>
      <c r="H391" s="14">
        <v>59</v>
      </c>
      <c r="I391" s="13" t="str" cm="1">
        <f t="array" ref="I391">_xlfn.IFS(
  OR(ISBLANK(A391),ISBLANK(B391),ISBLANK(D391),ISBLANK(E391),ISBLANK(H391)),"Missing Value",
  D391&lt;0,"Review – Out of Range (Claim Amount)",
  H391&lt;0,"Review – Out of Range (Days to Process)",
  TRUE,"OK"
)</f>
        <v>OK</v>
      </c>
    </row>
    <row r="392" spans="1:9" ht="16.8" x14ac:dyDescent="0.3">
      <c r="A392" s="11" t="s">
        <v>6899</v>
      </c>
      <c r="B392" s="11" t="s">
        <v>6272</v>
      </c>
      <c r="C392" s="12">
        <v>44544</v>
      </c>
      <c r="D392" s="11">
        <v>326726.24</v>
      </c>
      <c r="E392" s="11" t="s">
        <v>6502</v>
      </c>
      <c r="F392" s="11" t="s">
        <v>6506</v>
      </c>
      <c r="G392" s="11" t="s">
        <v>46</v>
      </c>
      <c r="H392" s="11">
        <v>45</v>
      </c>
      <c r="I392" s="13" t="str" cm="1">
        <f t="array" ref="I392">_xlfn.IFS(
  OR(ISBLANK(A392),ISBLANK(B392),ISBLANK(D392),ISBLANK(E392),ISBLANK(H392)),"Missing Value",
  D392&lt;0,"Review – Out of Range (Claim Amount)",
  H392&lt;0,"Review – Out of Range (Days to Process)",
  TRUE,"OK"
)</f>
        <v>OK</v>
      </c>
    </row>
    <row r="393" spans="1:9" ht="16.8" x14ac:dyDescent="0.3">
      <c r="A393" s="14" t="s">
        <v>6900</v>
      </c>
      <c r="B393" s="14" t="s">
        <v>5831</v>
      </c>
      <c r="C393" s="15">
        <v>44777</v>
      </c>
      <c r="D393" s="14">
        <v>82619.67</v>
      </c>
      <c r="E393" s="14" t="s">
        <v>6505</v>
      </c>
      <c r="F393" s="14" t="s">
        <v>6503</v>
      </c>
      <c r="G393" s="14" t="s">
        <v>45</v>
      </c>
      <c r="H393" s="14">
        <v>48</v>
      </c>
      <c r="I393" s="13" t="str" cm="1">
        <f t="array" ref="I393">_xlfn.IFS(
  OR(ISBLANK(A393),ISBLANK(B393),ISBLANK(D393),ISBLANK(E393),ISBLANK(H393)),"Missing Value",
  D393&lt;0,"Review – Out of Range (Claim Amount)",
  H393&lt;0,"Review – Out of Range (Days to Process)",
  TRUE,"OK"
)</f>
        <v>OK</v>
      </c>
    </row>
    <row r="394" spans="1:9" ht="16.8" x14ac:dyDescent="0.3">
      <c r="A394" s="11" t="s">
        <v>6901</v>
      </c>
      <c r="B394" s="11" t="s">
        <v>5661</v>
      </c>
      <c r="C394" s="12">
        <v>45468</v>
      </c>
      <c r="D394" s="11">
        <v>457294.86</v>
      </c>
      <c r="E394" s="11" t="s">
        <v>6505</v>
      </c>
      <c r="F394" s="11" t="s">
        <v>6506</v>
      </c>
      <c r="G394" s="11" t="s">
        <v>46</v>
      </c>
      <c r="H394" s="11">
        <v>43</v>
      </c>
      <c r="I394" s="13" t="str" cm="1">
        <f t="array" ref="I394">_xlfn.IFS(
  OR(ISBLANK(A394),ISBLANK(B394),ISBLANK(D394),ISBLANK(E394),ISBLANK(H394)),"Missing Value",
  D394&lt;0,"Review – Out of Range (Claim Amount)",
  H394&lt;0,"Review – Out of Range (Days to Process)",
  TRUE,"OK"
)</f>
        <v>OK</v>
      </c>
    </row>
    <row r="395" spans="1:9" ht="16.8" x14ac:dyDescent="0.3">
      <c r="A395" s="14" t="s">
        <v>6902</v>
      </c>
      <c r="B395" s="14" t="s">
        <v>3402</v>
      </c>
      <c r="C395" s="15">
        <v>44948</v>
      </c>
      <c r="D395" s="14">
        <v>429303.17</v>
      </c>
      <c r="E395" s="14" t="s">
        <v>6508</v>
      </c>
      <c r="F395" s="14" t="s">
        <v>6506</v>
      </c>
      <c r="G395" s="14" t="s">
        <v>45</v>
      </c>
      <c r="H395" s="14">
        <v>55</v>
      </c>
      <c r="I395" s="13" t="str" cm="1">
        <f t="array" ref="I395">_xlfn.IFS(
  OR(ISBLANK(A395),ISBLANK(B395),ISBLANK(D395),ISBLANK(E395),ISBLANK(H395)),"Missing Value",
  D395&lt;0,"Review – Out of Range (Claim Amount)",
  H395&lt;0,"Review – Out of Range (Days to Process)",
  TRUE,"OK"
)</f>
        <v>OK</v>
      </c>
    </row>
    <row r="396" spans="1:9" ht="16.8" x14ac:dyDescent="0.3">
      <c r="A396" s="11" t="s">
        <v>6903</v>
      </c>
      <c r="B396" s="11" t="s">
        <v>4965</v>
      </c>
      <c r="C396" s="12">
        <v>44391</v>
      </c>
      <c r="D396" s="11">
        <v>268811.09999999998</v>
      </c>
      <c r="E396" s="11" t="s">
        <v>6505</v>
      </c>
      <c r="F396" s="11" t="s">
        <v>6503</v>
      </c>
      <c r="G396" s="11" t="s">
        <v>45</v>
      </c>
      <c r="H396" s="11">
        <v>8</v>
      </c>
      <c r="I396" s="13" t="str" cm="1">
        <f t="array" ref="I396">_xlfn.IFS(
  OR(ISBLANK(A396),ISBLANK(B396),ISBLANK(D396),ISBLANK(E396),ISBLANK(H396)),"Missing Value",
  D396&lt;0,"Review – Out of Range (Claim Amount)",
  H396&lt;0,"Review – Out of Range (Days to Process)",
  TRUE,"OK"
)</f>
        <v>OK</v>
      </c>
    </row>
    <row r="397" spans="1:9" ht="16.8" x14ac:dyDescent="0.3">
      <c r="A397" s="14" t="s">
        <v>6904</v>
      </c>
      <c r="B397" s="14" t="s">
        <v>5377</v>
      </c>
      <c r="C397" s="15">
        <v>45148</v>
      </c>
      <c r="D397" s="14">
        <v>107906.6</v>
      </c>
      <c r="E397" s="14" t="s">
        <v>6502</v>
      </c>
      <c r="F397" s="14" t="s">
        <v>6506</v>
      </c>
      <c r="G397" s="14" t="s">
        <v>45</v>
      </c>
      <c r="H397" s="14">
        <v>13</v>
      </c>
      <c r="I397" s="13" t="str" cm="1">
        <f t="array" ref="I397">_xlfn.IFS(
  OR(ISBLANK(A397),ISBLANK(B397),ISBLANK(D397),ISBLANK(E397),ISBLANK(H397)),"Missing Value",
  D397&lt;0,"Review – Out of Range (Claim Amount)",
  H397&lt;0,"Review – Out of Range (Days to Process)",
  TRUE,"OK"
)</f>
        <v>OK</v>
      </c>
    </row>
    <row r="398" spans="1:9" ht="16.8" x14ac:dyDescent="0.3">
      <c r="A398" s="11" t="s">
        <v>6905</v>
      </c>
      <c r="B398" s="11" t="s">
        <v>5302</v>
      </c>
      <c r="C398" s="12">
        <v>44743</v>
      </c>
      <c r="D398" s="11">
        <v>73842.8</v>
      </c>
      <c r="E398" s="11" t="s">
        <v>6505</v>
      </c>
      <c r="F398" s="11" t="s">
        <v>6509</v>
      </c>
      <c r="G398" s="11" t="s">
        <v>46</v>
      </c>
      <c r="H398" s="11">
        <v>41</v>
      </c>
      <c r="I398" s="13" t="str" cm="1">
        <f t="array" ref="I398">_xlfn.IFS(
  OR(ISBLANK(A398),ISBLANK(B398),ISBLANK(D398),ISBLANK(E398),ISBLANK(H398)),"Missing Value",
  D398&lt;0,"Review – Out of Range (Claim Amount)",
  H398&lt;0,"Review – Out of Range (Days to Process)",
  TRUE,"OK"
)</f>
        <v>OK</v>
      </c>
    </row>
    <row r="399" spans="1:9" ht="16.8" x14ac:dyDescent="0.3">
      <c r="A399" s="14" t="s">
        <v>6906</v>
      </c>
      <c r="B399" s="14" t="s">
        <v>6263</v>
      </c>
      <c r="C399" s="15">
        <v>45561</v>
      </c>
      <c r="D399" s="14">
        <v>168188.43</v>
      </c>
      <c r="E399" s="14" t="s">
        <v>6508</v>
      </c>
      <c r="F399" s="14" t="s">
        <v>6506</v>
      </c>
      <c r="G399" s="14" t="s">
        <v>45</v>
      </c>
      <c r="H399" s="14">
        <v>5</v>
      </c>
      <c r="I399" s="13" t="str" cm="1">
        <f t="array" ref="I399">_xlfn.IFS(
  OR(ISBLANK(A399),ISBLANK(B399),ISBLANK(D399),ISBLANK(E399),ISBLANK(H399)),"Missing Value",
  D399&lt;0,"Review – Out of Range (Claim Amount)",
  H399&lt;0,"Review – Out of Range (Days to Process)",
  TRUE,"OK"
)</f>
        <v>OK</v>
      </c>
    </row>
    <row r="400" spans="1:9" ht="16.8" x14ac:dyDescent="0.3">
      <c r="A400" s="11" t="s">
        <v>6907</v>
      </c>
      <c r="B400" s="11" t="s">
        <v>5743</v>
      </c>
      <c r="C400" s="12">
        <v>44211</v>
      </c>
      <c r="D400" s="11">
        <v>418126.19</v>
      </c>
      <c r="E400" s="11" t="s">
        <v>6505</v>
      </c>
      <c r="F400" s="11" t="s">
        <v>6509</v>
      </c>
      <c r="G400" s="11" t="s">
        <v>46</v>
      </c>
      <c r="H400" s="11">
        <v>8</v>
      </c>
      <c r="I400" s="13" t="str" cm="1">
        <f t="array" ref="I400">_xlfn.IFS(
  OR(ISBLANK(A400),ISBLANK(B400),ISBLANK(D400),ISBLANK(E400),ISBLANK(H400)),"Missing Value",
  D400&lt;0,"Review – Out of Range (Claim Amount)",
  H400&lt;0,"Review – Out of Range (Days to Process)",
  TRUE,"OK"
)</f>
        <v>OK</v>
      </c>
    </row>
    <row r="401" spans="1:9" ht="16.8" x14ac:dyDescent="0.3">
      <c r="A401" s="14" t="s">
        <v>6908</v>
      </c>
      <c r="B401" s="14" t="s">
        <v>5300</v>
      </c>
      <c r="C401" s="15">
        <v>45336</v>
      </c>
      <c r="D401" s="14">
        <v>369971.69</v>
      </c>
      <c r="E401" s="14" t="s">
        <v>6502</v>
      </c>
      <c r="F401" s="14" t="s">
        <v>6516</v>
      </c>
      <c r="G401" s="14" t="s">
        <v>46</v>
      </c>
      <c r="H401" s="14">
        <v>20</v>
      </c>
      <c r="I401" s="13" t="str" cm="1">
        <f t="array" ref="I401">_xlfn.IFS(
  OR(ISBLANK(A401),ISBLANK(B401),ISBLANK(D401),ISBLANK(E401),ISBLANK(H401)),"Missing Value",
  D401&lt;0,"Review – Out of Range (Claim Amount)",
  H401&lt;0,"Review – Out of Range (Days to Process)",
  TRUE,"OK"
)</f>
        <v>OK</v>
      </c>
    </row>
    <row r="402" spans="1:9" ht="16.8" x14ac:dyDescent="0.3">
      <c r="A402" s="11" t="s">
        <v>6909</v>
      </c>
      <c r="B402" s="11" t="s">
        <v>5772</v>
      </c>
      <c r="C402" s="12">
        <v>45164</v>
      </c>
      <c r="D402" s="11">
        <v>273625.53000000003</v>
      </c>
      <c r="E402" s="11" t="s">
        <v>6508</v>
      </c>
      <c r="F402" s="11" t="s">
        <v>6509</v>
      </c>
      <c r="G402" s="11" t="s">
        <v>45</v>
      </c>
      <c r="H402" s="11">
        <v>6</v>
      </c>
      <c r="I402" s="13" t="str" cm="1">
        <f t="array" ref="I402">_xlfn.IFS(
  OR(ISBLANK(A402),ISBLANK(B402),ISBLANK(D402),ISBLANK(E402),ISBLANK(H402)),"Missing Value",
  D402&lt;0,"Review – Out of Range (Claim Amount)",
  H402&lt;0,"Review – Out of Range (Days to Process)",
  TRUE,"OK"
)</f>
        <v>OK</v>
      </c>
    </row>
    <row r="403" spans="1:9" ht="16.8" x14ac:dyDescent="0.3">
      <c r="A403" s="14" t="s">
        <v>6910</v>
      </c>
      <c r="B403" s="14" t="s">
        <v>4939</v>
      </c>
      <c r="C403" s="15">
        <v>44621</v>
      </c>
      <c r="D403" s="14">
        <v>209834.07</v>
      </c>
      <c r="E403" s="14" t="s">
        <v>6508</v>
      </c>
      <c r="F403" s="14" t="s">
        <v>6509</v>
      </c>
      <c r="G403" s="14" t="s">
        <v>45</v>
      </c>
      <c r="H403" s="14">
        <v>11</v>
      </c>
      <c r="I403" s="13" t="str" cm="1">
        <f t="array" ref="I403">_xlfn.IFS(
  OR(ISBLANK(A403),ISBLANK(B403),ISBLANK(D403),ISBLANK(E403),ISBLANK(H403)),"Missing Value",
  D403&lt;0,"Review – Out of Range (Claim Amount)",
  H403&lt;0,"Review – Out of Range (Days to Process)",
  TRUE,"OK"
)</f>
        <v>OK</v>
      </c>
    </row>
    <row r="404" spans="1:9" ht="16.8" x14ac:dyDescent="0.3">
      <c r="A404" s="11" t="s">
        <v>6911</v>
      </c>
      <c r="B404" s="11" t="s">
        <v>4492</v>
      </c>
      <c r="C404" s="12">
        <v>45643</v>
      </c>
      <c r="D404" s="11">
        <v>370261.95</v>
      </c>
      <c r="E404" s="11" t="s">
        <v>6508</v>
      </c>
      <c r="F404" s="11" t="s">
        <v>6506</v>
      </c>
      <c r="G404" s="11" t="s">
        <v>46</v>
      </c>
      <c r="H404" s="11">
        <v>29</v>
      </c>
      <c r="I404" s="13" t="str" cm="1">
        <f t="array" ref="I404">_xlfn.IFS(
  OR(ISBLANK(A404),ISBLANK(B404),ISBLANK(D404),ISBLANK(E404),ISBLANK(H404)),"Missing Value",
  D404&lt;0,"Review – Out of Range (Claim Amount)",
  H404&lt;0,"Review – Out of Range (Days to Process)",
  TRUE,"OK"
)</f>
        <v>OK</v>
      </c>
    </row>
    <row r="405" spans="1:9" ht="16.8" x14ac:dyDescent="0.3">
      <c r="A405" s="14" t="s">
        <v>6912</v>
      </c>
      <c r="B405" s="14" t="s">
        <v>4696</v>
      </c>
      <c r="C405" s="15">
        <v>44423</v>
      </c>
      <c r="D405" s="14">
        <v>189336.57</v>
      </c>
      <c r="E405" s="14" t="s">
        <v>6505</v>
      </c>
      <c r="F405" s="14" t="s">
        <v>6509</v>
      </c>
      <c r="G405" s="14" t="s">
        <v>46</v>
      </c>
      <c r="H405" s="14">
        <v>38</v>
      </c>
      <c r="I405" s="13" t="str" cm="1">
        <f t="array" ref="I405">_xlfn.IFS(
  OR(ISBLANK(A405),ISBLANK(B405),ISBLANK(D405),ISBLANK(E405),ISBLANK(H405)),"Missing Value",
  D405&lt;0,"Review – Out of Range (Claim Amount)",
  H405&lt;0,"Review – Out of Range (Days to Process)",
  TRUE,"OK"
)</f>
        <v>OK</v>
      </c>
    </row>
    <row r="406" spans="1:9" ht="16.8" x14ac:dyDescent="0.3">
      <c r="A406" s="11" t="s">
        <v>6913</v>
      </c>
      <c r="B406" s="11" t="s">
        <v>5358</v>
      </c>
      <c r="C406" s="12">
        <v>44925</v>
      </c>
      <c r="D406" s="11">
        <v>324147.59000000003</v>
      </c>
      <c r="E406" s="11" t="s">
        <v>6502</v>
      </c>
      <c r="F406" s="11" t="s">
        <v>6506</v>
      </c>
      <c r="G406" s="11" t="s">
        <v>45</v>
      </c>
      <c r="H406" s="11">
        <v>57</v>
      </c>
      <c r="I406" s="13" t="str" cm="1">
        <f t="array" ref="I406">_xlfn.IFS(
  OR(ISBLANK(A406),ISBLANK(B406),ISBLANK(D406),ISBLANK(E406),ISBLANK(H406)),"Missing Value",
  D406&lt;0,"Review – Out of Range (Claim Amount)",
  H406&lt;0,"Review – Out of Range (Days to Process)",
  TRUE,"OK"
)</f>
        <v>OK</v>
      </c>
    </row>
    <row r="407" spans="1:9" ht="16.8" x14ac:dyDescent="0.3">
      <c r="A407" s="14" t="s">
        <v>6914</v>
      </c>
      <c r="B407" s="14" t="s">
        <v>5966</v>
      </c>
      <c r="C407" s="15">
        <v>45230</v>
      </c>
      <c r="D407" s="14">
        <v>406856.5</v>
      </c>
      <c r="E407" s="14" t="s">
        <v>6502</v>
      </c>
      <c r="F407" s="14" t="s">
        <v>6516</v>
      </c>
      <c r="G407" s="14" t="s">
        <v>45</v>
      </c>
      <c r="H407" s="14">
        <v>23</v>
      </c>
      <c r="I407" s="13" t="str" cm="1">
        <f t="array" ref="I407">_xlfn.IFS(
  OR(ISBLANK(A407),ISBLANK(B407),ISBLANK(D407),ISBLANK(E407),ISBLANK(H407)),"Missing Value",
  D407&lt;0,"Review – Out of Range (Claim Amount)",
  H407&lt;0,"Review – Out of Range (Days to Process)",
  TRUE,"OK"
)</f>
        <v>OK</v>
      </c>
    </row>
    <row r="408" spans="1:9" ht="16.8" x14ac:dyDescent="0.3">
      <c r="A408" s="11" t="s">
        <v>6915</v>
      </c>
      <c r="B408" s="11" t="s">
        <v>4107</v>
      </c>
      <c r="C408" s="12">
        <v>45246</v>
      </c>
      <c r="D408" s="11">
        <v>462707.64</v>
      </c>
      <c r="E408" s="11" t="s">
        <v>6502</v>
      </c>
      <c r="F408" s="11" t="s">
        <v>6506</v>
      </c>
      <c r="G408" s="11" t="s">
        <v>45</v>
      </c>
      <c r="H408" s="11">
        <v>37</v>
      </c>
      <c r="I408" s="13" t="str" cm="1">
        <f t="array" ref="I408">_xlfn.IFS(
  OR(ISBLANK(A408),ISBLANK(B408),ISBLANK(D408),ISBLANK(E408),ISBLANK(H408)),"Missing Value",
  D408&lt;0,"Review – Out of Range (Claim Amount)",
  H408&lt;0,"Review – Out of Range (Days to Process)",
  TRUE,"OK"
)</f>
        <v>OK</v>
      </c>
    </row>
    <row r="409" spans="1:9" ht="16.8" x14ac:dyDescent="0.3">
      <c r="A409" s="14" t="s">
        <v>6916</v>
      </c>
      <c r="B409" s="14" t="s">
        <v>5030</v>
      </c>
      <c r="C409" s="15">
        <v>45529</v>
      </c>
      <c r="D409" s="14">
        <v>94124.21</v>
      </c>
      <c r="E409" s="14" t="s">
        <v>6505</v>
      </c>
      <c r="F409" s="14" t="s">
        <v>6511</v>
      </c>
      <c r="G409" s="14" t="s">
        <v>46</v>
      </c>
      <c r="H409" s="14">
        <v>55</v>
      </c>
      <c r="I409" s="13" t="str" cm="1">
        <f t="array" ref="I409">_xlfn.IFS(
  OR(ISBLANK(A409),ISBLANK(B409),ISBLANK(D409),ISBLANK(E409),ISBLANK(H409)),"Missing Value",
  D409&lt;0,"Review – Out of Range (Claim Amount)",
  H409&lt;0,"Review – Out of Range (Days to Process)",
  TRUE,"OK"
)</f>
        <v>OK</v>
      </c>
    </row>
    <row r="410" spans="1:9" ht="16.8" x14ac:dyDescent="0.3">
      <c r="A410" s="11" t="s">
        <v>6917</v>
      </c>
      <c r="B410" s="11" t="s">
        <v>3548</v>
      </c>
      <c r="C410" s="12">
        <v>45141</v>
      </c>
      <c r="D410" s="11">
        <v>262521.26</v>
      </c>
      <c r="E410" s="11" t="s">
        <v>6502</v>
      </c>
      <c r="F410" s="11" t="s">
        <v>6516</v>
      </c>
      <c r="G410" s="11" t="s">
        <v>45</v>
      </c>
      <c r="H410" s="11">
        <v>18</v>
      </c>
      <c r="I410" s="13" t="str" cm="1">
        <f t="array" ref="I410">_xlfn.IFS(
  OR(ISBLANK(A410),ISBLANK(B410),ISBLANK(D410),ISBLANK(E410),ISBLANK(H410)),"Missing Value",
  D410&lt;0,"Review – Out of Range (Claim Amount)",
  H410&lt;0,"Review – Out of Range (Days to Process)",
  TRUE,"OK"
)</f>
        <v>OK</v>
      </c>
    </row>
    <row r="411" spans="1:9" ht="16.8" x14ac:dyDescent="0.3">
      <c r="A411" s="14" t="s">
        <v>6918</v>
      </c>
      <c r="B411" s="14" t="s">
        <v>3594</v>
      </c>
      <c r="C411" s="15">
        <v>45450</v>
      </c>
      <c r="D411" s="14">
        <v>212519.8</v>
      </c>
      <c r="E411" s="14" t="s">
        <v>6502</v>
      </c>
      <c r="F411" s="14" t="s">
        <v>6509</v>
      </c>
      <c r="G411" s="14" t="s">
        <v>45</v>
      </c>
      <c r="H411" s="14">
        <v>53</v>
      </c>
      <c r="I411" s="13" t="str" cm="1">
        <f t="array" ref="I411">_xlfn.IFS(
  OR(ISBLANK(A411),ISBLANK(B411),ISBLANK(D411),ISBLANK(E411),ISBLANK(H411)),"Missing Value",
  D411&lt;0,"Review – Out of Range (Claim Amount)",
  H411&lt;0,"Review – Out of Range (Days to Process)",
  TRUE,"OK"
)</f>
        <v>OK</v>
      </c>
    </row>
    <row r="412" spans="1:9" ht="16.8" x14ac:dyDescent="0.3">
      <c r="A412" s="11" t="s">
        <v>6919</v>
      </c>
      <c r="B412" s="11" t="s">
        <v>4449</v>
      </c>
      <c r="C412" s="12">
        <v>45296</v>
      </c>
      <c r="D412" s="11">
        <v>34936.050000000003</v>
      </c>
      <c r="E412" s="11" t="s">
        <v>6502</v>
      </c>
      <c r="F412" s="11" t="s">
        <v>6506</v>
      </c>
      <c r="G412" s="11" t="s">
        <v>46</v>
      </c>
      <c r="H412" s="11">
        <v>6</v>
      </c>
      <c r="I412" s="13" t="str" cm="1">
        <f t="array" ref="I412">_xlfn.IFS(
  OR(ISBLANK(A412),ISBLANK(B412),ISBLANK(D412),ISBLANK(E412),ISBLANK(H412)),"Missing Value",
  D412&lt;0,"Review – Out of Range (Claim Amount)",
  H412&lt;0,"Review – Out of Range (Days to Process)",
  TRUE,"OK"
)</f>
        <v>OK</v>
      </c>
    </row>
    <row r="413" spans="1:9" ht="16.8" x14ac:dyDescent="0.3">
      <c r="A413" s="14" t="s">
        <v>6920</v>
      </c>
      <c r="B413" s="14" t="s">
        <v>3472</v>
      </c>
      <c r="C413" s="15">
        <v>45089</v>
      </c>
      <c r="D413" s="14">
        <v>145347.51999999999</v>
      </c>
      <c r="E413" s="14" t="s">
        <v>6508</v>
      </c>
      <c r="F413" s="14" t="s">
        <v>6511</v>
      </c>
      <c r="G413" s="14" t="s">
        <v>45</v>
      </c>
      <c r="H413" s="14">
        <v>46</v>
      </c>
      <c r="I413" s="13" t="str" cm="1">
        <f t="array" ref="I413">_xlfn.IFS(
  OR(ISBLANK(A413),ISBLANK(B413),ISBLANK(D413),ISBLANK(E413),ISBLANK(H413)),"Missing Value",
  D413&lt;0,"Review – Out of Range (Claim Amount)",
  H413&lt;0,"Review – Out of Range (Days to Process)",
  TRUE,"OK"
)</f>
        <v>OK</v>
      </c>
    </row>
    <row r="414" spans="1:9" ht="16.8" x14ac:dyDescent="0.3">
      <c r="A414" s="11" t="s">
        <v>6921</v>
      </c>
      <c r="B414" s="11" t="s">
        <v>5594</v>
      </c>
      <c r="C414" s="12">
        <v>45728</v>
      </c>
      <c r="D414" s="11">
        <v>277762.19</v>
      </c>
      <c r="E414" s="11" t="s">
        <v>6505</v>
      </c>
      <c r="F414" s="11" t="s">
        <v>6511</v>
      </c>
      <c r="G414" s="11" t="s">
        <v>46</v>
      </c>
      <c r="H414" s="11">
        <v>40</v>
      </c>
      <c r="I414" s="13" t="str" cm="1">
        <f t="array" ref="I414">_xlfn.IFS(
  OR(ISBLANK(A414),ISBLANK(B414),ISBLANK(D414),ISBLANK(E414),ISBLANK(H414)),"Missing Value",
  D414&lt;0,"Review – Out of Range (Claim Amount)",
  H414&lt;0,"Review – Out of Range (Days to Process)",
  TRUE,"OK"
)</f>
        <v>OK</v>
      </c>
    </row>
    <row r="415" spans="1:9" ht="16.8" x14ac:dyDescent="0.3">
      <c r="A415" s="14" t="s">
        <v>6922</v>
      </c>
      <c r="B415" s="14" t="s">
        <v>4895</v>
      </c>
      <c r="C415" s="15">
        <v>45598</v>
      </c>
      <c r="D415" s="14">
        <v>300843.15999999997</v>
      </c>
      <c r="E415" s="14" t="s">
        <v>6502</v>
      </c>
      <c r="F415" s="14" t="s">
        <v>6509</v>
      </c>
      <c r="G415" s="14" t="s">
        <v>45</v>
      </c>
      <c r="H415" s="14">
        <v>39</v>
      </c>
      <c r="I415" s="13" t="str" cm="1">
        <f t="array" ref="I415">_xlfn.IFS(
  OR(ISBLANK(A415),ISBLANK(B415),ISBLANK(D415),ISBLANK(E415),ISBLANK(H415)),"Missing Value",
  D415&lt;0,"Review – Out of Range (Claim Amount)",
  H415&lt;0,"Review – Out of Range (Days to Process)",
  TRUE,"OK"
)</f>
        <v>OK</v>
      </c>
    </row>
    <row r="416" spans="1:9" ht="16.8" x14ac:dyDescent="0.3">
      <c r="A416" s="11" t="s">
        <v>6923</v>
      </c>
      <c r="B416" s="11" t="s">
        <v>5324</v>
      </c>
      <c r="C416" s="12">
        <v>45381</v>
      </c>
      <c r="D416" s="11">
        <v>309943.75</v>
      </c>
      <c r="E416" s="11" t="s">
        <v>6508</v>
      </c>
      <c r="F416" s="11" t="s">
        <v>6506</v>
      </c>
      <c r="G416" s="11" t="s">
        <v>46</v>
      </c>
      <c r="H416" s="11">
        <v>55</v>
      </c>
      <c r="I416" s="13" t="str" cm="1">
        <f t="array" ref="I416">_xlfn.IFS(
  OR(ISBLANK(A416),ISBLANK(B416),ISBLANK(D416),ISBLANK(E416),ISBLANK(H416)),"Missing Value",
  D416&lt;0,"Review – Out of Range (Claim Amount)",
  H416&lt;0,"Review – Out of Range (Days to Process)",
  TRUE,"OK"
)</f>
        <v>OK</v>
      </c>
    </row>
    <row r="417" spans="1:9" ht="16.8" x14ac:dyDescent="0.3">
      <c r="A417" s="14" t="s">
        <v>6924</v>
      </c>
      <c r="B417" s="14" t="s">
        <v>5790</v>
      </c>
      <c r="C417" s="15">
        <v>45237</v>
      </c>
      <c r="D417" s="14">
        <v>164012.60999999999</v>
      </c>
      <c r="E417" s="14" t="s">
        <v>6508</v>
      </c>
      <c r="F417" s="14" t="s">
        <v>6503</v>
      </c>
      <c r="G417" s="14" t="s">
        <v>46</v>
      </c>
      <c r="H417" s="14">
        <v>36</v>
      </c>
      <c r="I417" s="13" t="str" cm="1">
        <f t="array" ref="I417">_xlfn.IFS(
  OR(ISBLANK(A417),ISBLANK(B417),ISBLANK(D417),ISBLANK(E417),ISBLANK(H417)),"Missing Value",
  D417&lt;0,"Review – Out of Range (Claim Amount)",
  H417&lt;0,"Review – Out of Range (Days to Process)",
  TRUE,"OK"
)</f>
        <v>OK</v>
      </c>
    </row>
    <row r="418" spans="1:9" ht="16.8" x14ac:dyDescent="0.3">
      <c r="A418" s="11" t="s">
        <v>6925</v>
      </c>
      <c r="B418" s="11" t="s">
        <v>4747</v>
      </c>
      <c r="C418" s="12">
        <v>45088</v>
      </c>
      <c r="D418" s="11">
        <v>338026.94</v>
      </c>
      <c r="E418" s="11" t="s">
        <v>6502</v>
      </c>
      <c r="F418" s="11" t="s">
        <v>6503</v>
      </c>
      <c r="G418" s="11" t="s">
        <v>46</v>
      </c>
      <c r="H418" s="11">
        <v>26</v>
      </c>
      <c r="I418" s="13" t="str" cm="1">
        <f t="array" ref="I418">_xlfn.IFS(
  OR(ISBLANK(A418),ISBLANK(B418),ISBLANK(D418),ISBLANK(E418),ISBLANK(H418)),"Missing Value",
  D418&lt;0,"Review – Out of Range (Claim Amount)",
  H418&lt;0,"Review – Out of Range (Days to Process)",
  TRUE,"OK"
)</f>
        <v>OK</v>
      </c>
    </row>
    <row r="419" spans="1:9" ht="16.8" x14ac:dyDescent="0.3">
      <c r="A419" s="14" t="s">
        <v>6926</v>
      </c>
      <c r="B419" s="14" t="s">
        <v>6215</v>
      </c>
      <c r="C419" s="15">
        <v>45287</v>
      </c>
      <c r="D419" s="14">
        <v>372008.28</v>
      </c>
      <c r="E419" s="14" t="s">
        <v>6508</v>
      </c>
      <c r="F419" s="14" t="s">
        <v>6503</v>
      </c>
      <c r="G419" s="14" t="s">
        <v>46</v>
      </c>
      <c r="H419" s="14">
        <v>3</v>
      </c>
      <c r="I419" s="13" t="str" cm="1">
        <f t="array" ref="I419">_xlfn.IFS(
  OR(ISBLANK(A419),ISBLANK(B419),ISBLANK(D419),ISBLANK(E419),ISBLANK(H419)),"Missing Value",
  D419&lt;0,"Review – Out of Range (Claim Amount)",
  H419&lt;0,"Review – Out of Range (Days to Process)",
  TRUE,"OK"
)</f>
        <v>OK</v>
      </c>
    </row>
    <row r="420" spans="1:9" ht="16.8" x14ac:dyDescent="0.3">
      <c r="A420" s="11" t="s">
        <v>6927</v>
      </c>
      <c r="B420" s="11" t="s">
        <v>5496</v>
      </c>
      <c r="C420" s="12">
        <v>45345</v>
      </c>
      <c r="D420" s="11">
        <v>162644.79</v>
      </c>
      <c r="E420" s="11" t="s">
        <v>6505</v>
      </c>
      <c r="F420" s="11" t="s">
        <v>6506</v>
      </c>
      <c r="G420" s="11" t="s">
        <v>46</v>
      </c>
      <c r="H420" s="11">
        <v>21</v>
      </c>
      <c r="I420" s="13" t="str" cm="1">
        <f t="array" ref="I420">_xlfn.IFS(
  OR(ISBLANK(A420),ISBLANK(B420),ISBLANK(D420),ISBLANK(E420),ISBLANK(H420)),"Missing Value",
  D420&lt;0,"Review – Out of Range (Claim Amount)",
  H420&lt;0,"Review – Out of Range (Days to Process)",
  TRUE,"OK"
)</f>
        <v>OK</v>
      </c>
    </row>
    <row r="421" spans="1:9" ht="16.8" x14ac:dyDescent="0.3">
      <c r="A421" s="14" t="s">
        <v>6928</v>
      </c>
      <c r="B421" s="14" t="s">
        <v>4183</v>
      </c>
      <c r="C421" s="15">
        <v>45239</v>
      </c>
      <c r="D421" s="14">
        <v>201720.36</v>
      </c>
      <c r="E421" s="14" t="s">
        <v>6505</v>
      </c>
      <c r="F421" s="14" t="s">
        <v>6503</v>
      </c>
      <c r="G421" s="14" t="s">
        <v>46</v>
      </c>
      <c r="H421" s="14">
        <v>10</v>
      </c>
      <c r="I421" s="13" t="str" cm="1">
        <f t="array" ref="I421">_xlfn.IFS(
  OR(ISBLANK(A421),ISBLANK(B421),ISBLANK(D421),ISBLANK(E421),ISBLANK(H421)),"Missing Value",
  D421&lt;0,"Review – Out of Range (Claim Amount)",
  H421&lt;0,"Review – Out of Range (Days to Process)",
  TRUE,"OK"
)</f>
        <v>OK</v>
      </c>
    </row>
    <row r="422" spans="1:9" ht="16.8" x14ac:dyDescent="0.3">
      <c r="A422" s="11" t="s">
        <v>6929</v>
      </c>
      <c r="B422" s="11" t="s">
        <v>3619</v>
      </c>
      <c r="C422" s="12">
        <v>45444</v>
      </c>
      <c r="D422" s="11">
        <v>125216.18</v>
      </c>
      <c r="E422" s="11" t="s">
        <v>6508</v>
      </c>
      <c r="F422" s="11" t="s">
        <v>6516</v>
      </c>
      <c r="G422" s="11" t="s">
        <v>45</v>
      </c>
      <c r="H422" s="11">
        <v>57</v>
      </c>
      <c r="I422" s="13" t="str" cm="1">
        <f t="array" ref="I422">_xlfn.IFS(
  OR(ISBLANK(A422),ISBLANK(B422),ISBLANK(D422),ISBLANK(E422),ISBLANK(H422)),"Missing Value",
  D422&lt;0,"Review – Out of Range (Claim Amount)",
  H422&lt;0,"Review – Out of Range (Days to Process)",
  TRUE,"OK"
)</f>
        <v>OK</v>
      </c>
    </row>
    <row r="423" spans="1:9" ht="16.8" x14ac:dyDescent="0.3">
      <c r="A423" s="14" t="s">
        <v>6930</v>
      </c>
      <c r="B423" s="14" t="s">
        <v>5243</v>
      </c>
      <c r="C423" s="15">
        <v>44670</v>
      </c>
      <c r="D423" s="14">
        <v>365567.23</v>
      </c>
      <c r="E423" s="14" t="s">
        <v>6505</v>
      </c>
      <c r="F423" s="14" t="s">
        <v>6511</v>
      </c>
      <c r="G423" s="14" t="s">
        <v>46</v>
      </c>
      <c r="H423" s="14">
        <v>50</v>
      </c>
      <c r="I423" s="13" t="str" cm="1">
        <f t="array" ref="I423">_xlfn.IFS(
  OR(ISBLANK(A423),ISBLANK(B423),ISBLANK(D423),ISBLANK(E423),ISBLANK(H423)),"Missing Value",
  D423&lt;0,"Review – Out of Range (Claim Amount)",
  H423&lt;0,"Review – Out of Range (Days to Process)",
  TRUE,"OK"
)</f>
        <v>OK</v>
      </c>
    </row>
    <row r="424" spans="1:9" ht="16.8" x14ac:dyDescent="0.3">
      <c r="A424" s="11" t="s">
        <v>6931</v>
      </c>
      <c r="B424" s="11" t="s">
        <v>5928</v>
      </c>
      <c r="C424" s="12">
        <v>45412</v>
      </c>
      <c r="D424" s="11">
        <v>467636.33</v>
      </c>
      <c r="E424" s="11" t="s">
        <v>6502</v>
      </c>
      <c r="F424" s="11" t="s">
        <v>6511</v>
      </c>
      <c r="G424" s="11" t="s">
        <v>45</v>
      </c>
      <c r="H424" s="11">
        <v>37</v>
      </c>
      <c r="I424" s="13" t="str" cm="1">
        <f t="array" ref="I424">_xlfn.IFS(
  OR(ISBLANK(A424),ISBLANK(B424),ISBLANK(D424),ISBLANK(E424),ISBLANK(H424)),"Missing Value",
  D424&lt;0,"Review – Out of Range (Claim Amount)",
  H424&lt;0,"Review – Out of Range (Days to Process)",
  TRUE,"OK"
)</f>
        <v>OK</v>
      </c>
    </row>
    <row r="425" spans="1:9" ht="16.8" x14ac:dyDescent="0.3">
      <c r="A425" s="14" t="s">
        <v>6932</v>
      </c>
      <c r="B425" s="14" t="s">
        <v>3362</v>
      </c>
      <c r="C425" s="15">
        <v>45251</v>
      </c>
      <c r="D425" s="14">
        <v>320418.61</v>
      </c>
      <c r="E425" s="14" t="s">
        <v>6508</v>
      </c>
      <c r="F425" s="14" t="s">
        <v>6509</v>
      </c>
      <c r="G425" s="14" t="s">
        <v>46</v>
      </c>
      <c r="H425" s="14">
        <v>11</v>
      </c>
      <c r="I425" s="13" t="str" cm="1">
        <f t="array" ref="I425">_xlfn.IFS(
  OR(ISBLANK(A425),ISBLANK(B425),ISBLANK(D425),ISBLANK(E425),ISBLANK(H425)),"Missing Value",
  D425&lt;0,"Review – Out of Range (Claim Amount)",
  H425&lt;0,"Review – Out of Range (Days to Process)",
  TRUE,"OK"
)</f>
        <v>OK</v>
      </c>
    </row>
    <row r="426" spans="1:9" ht="16.8" x14ac:dyDescent="0.3">
      <c r="A426" s="11" t="s">
        <v>6933</v>
      </c>
      <c r="B426" s="11" t="s">
        <v>3999</v>
      </c>
      <c r="C426" s="12">
        <v>45300</v>
      </c>
      <c r="D426" s="11">
        <v>127801.51</v>
      </c>
      <c r="E426" s="11" t="s">
        <v>6502</v>
      </c>
      <c r="F426" s="11" t="s">
        <v>6503</v>
      </c>
      <c r="G426" s="11" t="s">
        <v>46</v>
      </c>
      <c r="H426" s="11">
        <v>29</v>
      </c>
      <c r="I426" s="13" t="str" cm="1">
        <f t="array" ref="I426">_xlfn.IFS(
  OR(ISBLANK(A426),ISBLANK(B426),ISBLANK(D426),ISBLANK(E426),ISBLANK(H426)),"Missing Value",
  D426&lt;0,"Review – Out of Range (Claim Amount)",
  H426&lt;0,"Review – Out of Range (Days to Process)",
  TRUE,"OK"
)</f>
        <v>OK</v>
      </c>
    </row>
    <row r="427" spans="1:9" ht="16.8" x14ac:dyDescent="0.3">
      <c r="A427" s="14" t="s">
        <v>6934</v>
      </c>
      <c r="B427" s="14" t="s">
        <v>4775</v>
      </c>
      <c r="C427" s="15">
        <v>44921</v>
      </c>
      <c r="D427" s="14">
        <v>224710.94</v>
      </c>
      <c r="E427" s="14" t="s">
        <v>6505</v>
      </c>
      <c r="F427" s="14" t="s">
        <v>6509</v>
      </c>
      <c r="G427" s="14" t="s">
        <v>46</v>
      </c>
      <c r="H427" s="14">
        <v>50</v>
      </c>
      <c r="I427" s="13" t="str" cm="1">
        <f t="array" ref="I427">_xlfn.IFS(
  OR(ISBLANK(A427),ISBLANK(B427),ISBLANK(D427),ISBLANK(E427),ISBLANK(H427)),"Missing Value",
  D427&lt;0,"Review – Out of Range (Claim Amount)",
  H427&lt;0,"Review – Out of Range (Days to Process)",
  TRUE,"OK"
)</f>
        <v>OK</v>
      </c>
    </row>
    <row r="428" spans="1:9" ht="16.8" x14ac:dyDescent="0.3">
      <c r="A428" s="11" t="s">
        <v>6935</v>
      </c>
      <c r="B428" s="11" t="s">
        <v>5217</v>
      </c>
      <c r="C428" s="12">
        <v>45379</v>
      </c>
      <c r="D428" s="11">
        <v>21169.35</v>
      </c>
      <c r="E428" s="11" t="s">
        <v>6508</v>
      </c>
      <c r="F428" s="11" t="s">
        <v>6509</v>
      </c>
      <c r="G428" s="11" t="s">
        <v>46</v>
      </c>
      <c r="H428" s="11">
        <v>21</v>
      </c>
      <c r="I428" s="13" t="str" cm="1">
        <f t="array" ref="I428">_xlfn.IFS(
  OR(ISBLANK(A428),ISBLANK(B428),ISBLANK(D428),ISBLANK(E428),ISBLANK(H428)),"Missing Value",
  D428&lt;0,"Review – Out of Range (Claim Amount)",
  H428&lt;0,"Review – Out of Range (Days to Process)",
  TRUE,"OK"
)</f>
        <v>OK</v>
      </c>
    </row>
    <row r="429" spans="1:9" ht="16.8" x14ac:dyDescent="0.3">
      <c r="A429" s="14" t="s">
        <v>6936</v>
      </c>
      <c r="B429" s="14" t="s">
        <v>5170</v>
      </c>
      <c r="C429" s="15">
        <v>45059</v>
      </c>
      <c r="D429" s="14">
        <v>221909.33</v>
      </c>
      <c r="E429" s="14" t="s">
        <v>6505</v>
      </c>
      <c r="F429" s="14" t="s">
        <v>6506</v>
      </c>
      <c r="G429" s="14" t="s">
        <v>46</v>
      </c>
      <c r="H429" s="14">
        <v>17</v>
      </c>
      <c r="I429" s="13" t="str" cm="1">
        <f t="array" ref="I429">_xlfn.IFS(
  OR(ISBLANK(A429),ISBLANK(B429),ISBLANK(D429),ISBLANK(E429),ISBLANK(H429)),"Missing Value",
  D429&lt;0,"Review – Out of Range (Claim Amount)",
  H429&lt;0,"Review – Out of Range (Days to Process)",
  TRUE,"OK"
)</f>
        <v>OK</v>
      </c>
    </row>
    <row r="430" spans="1:9" ht="16.8" x14ac:dyDescent="0.3">
      <c r="A430" s="11" t="s">
        <v>6937</v>
      </c>
      <c r="B430" s="11" t="s">
        <v>4340</v>
      </c>
      <c r="C430" s="12">
        <v>45418</v>
      </c>
      <c r="D430" s="11">
        <v>431066.28</v>
      </c>
      <c r="E430" s="11" t="s">
        <v>6505</v>
      </c>
      <c r="F430" s="11" t="s">
        <v>6516</v>
      </c>
      <c r="G430" s="11" t="s">
        <v>45</v>
      </c>
      <c r="H430" s="11">
        <v>56</v>
      </c>
      <c r="I430" s="13" t="str" cm="1">
        <f t="array" ref="I430">_xlfn.IFS(
  OR(ISBLANK(A430),ISBLANK(B430),ISBLANK(D430),ISBLANK(E430),ISBLANK(H430)),"Missing Value",
  D430&lt;0,"Review – Out of Range (Claim Amount)",
  H430&lt;0,"Review – Out of Range (Days to Process)",
  TRUE,"OK"
)</f>
        <v>OK</v>
      </c>
    </row>
    <row r="431" spans="1:9" ht="16.8" x14ac:dyDescent="0.3">
      <c r="A431" s="14" t="s">
        <v>6938</v>
      </c>
      <c r="B431" s="14" t="s">
        <v>4801</v>
      </c>
      <c r="C431" s="15">
        <v>45535</v>
      </c>
      <c r="D431" s="14">
        <v>148753.84</v>
      </c>
      <c r="E431" s="14" t="s">
        <v>6502</v>
      </c>
      <c r="F431" s="14" t="s">
        <v>6509</v>
      </c>
      <c r="G431" s="14" t="s">
        <v>46</v>
      </c>
      <c r="H431" s="14">
        <v>37</v>
      </c>
      <c r="I431" s="13" t="str" cm="1">
        <f t="array" ref="I431">_xlfn.IFS(
  OR(ISBLANK(A431),ISBLANK(B431),ISBLANK(D431),ISBLANK(E431),ISBLANK(H431)),"Missing Value",
  D431&lt;0,"Review – Out of Range (Claim Amount)",
  H431&lt;0,"Review – Out of Range (Days to Process)",
  TRUE,"OK"
)</f>
        <v>OK</v>
      </c>
    </row>
    <row r="432" spans="1:9" ht="16.8" x14ac:dyDescent="0.3">
      <c r="A432" s="11" t="s">
        <v>6939</v>
      </c>
      <c r="B432" s="11" t="s">
        <v>3784</v>
      </c>
      <c r="C432" s="12">
        <v>45217</v>
      </c>
      <c r="D432" s="11">
        <v>172658.33</v>
      </c>
      <c r="E432" s="11" t="s">
        <v>6502</v>
      </c>
      <c r="F432" s="11" t="s">
        <v>6516</v>
      </c>
      <c r="G432" s="11" t="s">
        <v>45</v>
      </c>
      <c r="H432" s="11">
        <v>43</v>
      </c>
      <c r="I432" s="13" t="str" cm="1">
        <f t="array" ref="I432">_xlfn.IFS(
  OR(ISBLANK(A432),ISBLANK(B432),ISBLANK(D432),ISBLANK(E432),ISBLANK(H432)),"Missing Value",
  D432&lt;0,"Review – Out of Range (Claim Amount)",
  H432&lt;0,"Review – Out of Range (Days to Process)",
  TRUE,"OK"
)</f>
        <v>OK</v>
      </c>
    </row>
    <row r="433" spans="1:9" ht="16.8" x14ac:dyDescent="0.3">
      <c r="A433" s="14" t="s">
        <v>6940</v>
      </c>
      <c r="B433" s="14" t="s">
        <v>4804</v>
      </c>
      <c r="C433" s="15">
        <v>44612</v>
      </c>
      <c r="D433" s="14">
        <v>376116.12</v>
      </c>
      <c r="E433" s="14" t="s">
        <v>6508</v>
      </c>
      <c r="F433" s="14" t="s">
        <v>6503</v>
      </c>
      <c r="G433" s="14" t="s">
        <v>45</v>
      </c>
      <c r="H433" s="14">
        <v>59</v>
      </c>
      <c r="I433" s="13" t="str" cm="1">
        <f t="array" ref="I433">_xlfn.IFS(
  OR(ISBLANK(A433),ISBLANK(B433),ISBLANK(D433),ISBLANK(E433),ISBLANK(H433)),"Missing Value",
  D433&lt;0,"Review – Out of Range (Claim Amount)",
  H433&lt;0,"Review – Out of Range (Days to Process)",
  TRUE,"OK"
)</f>
        <v>OK</v>
      </c>
    </row>
    <row r="434" spans="1:9" ht="16.8" x14ac:dyDescent="0.3">
      <c r="A434" s="11" t="s">
        <v>6941</v>
      </c>
      <c r="B434" s="11" t="s">
        <v>6019</v>
      </c>
      <c r="C434" s="12">
        <v>45018</v>
      </c>
      <c r="D434" s="11">
        <v>37420.370000000003</v>
      </c>
      <c r="E434" s="11" t="s">
        <v>6505</v>
      </c>
      <c r="F434" s="11" t="s">
        <v>6511</v>
      </c>
      <c r="G434" s="11" t="s">
        <v>45</v>
      </c>
      <c r="H434" s="11">
        <v>33</v>
      </c>
      <c r="I434" s="13" t="str" cm="1">
        <f t="array" ref="I434">_xlfn.IFS(
  OR(ISBLANK(A434),ISBLANK(B434),ISBLANK(D434),ISBLANK(E434),ISBLANK(H434)),"Missing Value",
  D434&lt;0,"Review – Out of Range (Claim Amount)",
  H434&lt;0,"Review – Out of Range (Days to Process)",
  TRUE,"OK"
)</f>
        <v>OK</v>
      </c>
    </row>
    <row r="435" spans="1:9" ht="16.8" x14ac:dyDescent="0.3">
      <c r="A435" s="14" t="s">
        <v>6942</v>
      </c>
      <c r="B435" s="14" t="s">
        <v>4885</v>
      </c>
      <c r="C435" s="15">
        <v>45424</v>
      </c>
      <c r="D435" s="14">
        <v>331992.01</v>
      </c>
      <c r="E435" s="14" t="s">
        <v>6505</v>
      </c>
      <c r="F435" s="14" t="s">
        <v>6516</v>
      </c>
      <c r="G435" s="14" t="s">
        <v>46</v>
      </c>
      <c r="H435" s="14">
        <v>13</v>
      </c>
      <c r="I435" s="13" t="str" cm="1">
        <f t="array" ref="I435">_xlfn.IFS(
  OR(ISBLANK(A435),ISBLANK(B435),ISBLANK(D435),ISBLANK(E435),ISBLANK(H435)),"Missing Value",
  D435&lt;0,"Review – Out of Range (Claim Amount)",
  H435&lt;0,"Review – Out of Range (Days to Process)",
  TRUE,"OK"
)</f>
        <v>OK</v>
      </c>
    </row>
    <row r="436" spans="1:9" ht="16.8" x14ac:dyDescent="0.3">
      <c r="A436" s="11" t="s">
        <v>6943</v>
      </c>
      <c r="B436" s="11" t="s">
        <v>6315</v>
      </c>
      <c r="C436" s="12">
        <v>45230</v>
      </c>
      <c r="D436" s="11">
        <v>344870.58</v>
      </c>
      <c r="E436" s="11" t="s">
        <v>6502</v>
      </c>
      <c r="F436" s="11" t="s">
        <v>6511</v>
      </c>
      <c r="G436" s="11" t="s">
        <v>45</v>
      </c>
      <c r="H436" s="11">
        <v>30</v>
      </c>
      <c r="I436" s="13" t="str" cm="1">
        <f t="array" ref="I436">_xlfn.IFS(
  OR(ISBLANK(A436),ISBLANK(B436),ISBLANK(D436),ISBLANK(E436),ISBLANK(H436)),"Missing Value",
  D436&lt;0,"Review – Out of Range (Claim Amount)",
  H436&lt;0,"Review – Out of Range (Days to Process)",
  TRUE,"OK"
)</f>
        <v>OK</v>
      </c>
    </row>
    <row r="437" spans="1:9" ht="16.8" x14ac:dyDescent="0.3">
      <c r="A437" s="14" t="s">
        <v>6944</v>
      </c>
      <c r="B437" s="14" t="s">
        <v>4762</v>
      </c>
      <c r="C437" s="15">
        <v>44948</v>
      </c>
      <c r="D437" s="14">
        <v>113707.01</v>
      </c>
      <c r="E437" s="14" t="s">
        <v>6508</v>
      </c>
      <c r="F437" s="14" t="s">
        <v>6511</v>
      </c>
      <c r="G437" s="14" t="s">
        <v>46</v>
      </c>
      <c r="H437" s="14">
        <v>10</v>
      </c>
      <c r="I437" s="13" t="str" cm="1">
        <f t="array" ref="I437">_xlfn.IFS(
  OR(ISBLANK(A437),ISBLANK(B437),ISBLANK(D437),ISBLANK(E437),ISBLANK(H437)),"Missing Value",
  D437&lt;0,"Review – Out of Range (Claim Amount)",
  H437&lt;0,"Review – Out of Range (Days to Process)",
  TRUE,"OK"
)</f>
        <v>OK</v>
      </c>
    </row>
    <row r="438" spans="1:9" ht="16.8" x14ac:dyDescent="0.3">
      <c r="A438" s="11" t="s">
        <v>6945</v>
      </c>
      <c r="B438" s="11" t="s">
        <v>5922</v>
      </c>
      <c r="C438" s="12">
        <v>45608</v>
      </c>
      <c r="D438" s="11">
        <v>166035.16</v>
      </c>
      <c r="E438" s="11" t="s">
        <v>6502</v>
      </c>
      <c r="F438" s="11" t="s">
        <v>6509</v>
      </c>
      <c r="G438" s="11" t="s">
        <v>46</v>
      </c>
      <c r="H438" s="11">
        <v>23</v>
      </c>
      <c r="I438" s="13" t="str" cm="1">
        <f t="array" ref="I438">_xlfn.IFS(
  OR(ISBLANK(A438),ISBLANK(B438),ISBLANK(D438),ISBLANK(E438),ISBLANK(H438)),"Missing Value",
  D438&lt;0,"Review – Out of Range (Claim Amount)",
  H438&lt;0,"Review – Out of Range (Days to Process)",
  TRUE,"OK"
)</f>
        <v>OK</v>
      </c>
    </row>
    <row r="439" spans="1:9" ht="16.8" x14ac:dyDescent="0.3">
      <c r="A439" s="14" t="s">
        <v>6946</v>
      </c>
      <c r="B439" s="14" t="s">
        <v>3678</v>
      </c>
      <c r="C439" s="15">
        <v>44707</v>
      </c>
      <c r="D439" s="14">
        <v>221865.29</v>
      </c>
      <c r="E439" s="14" t="s">
        <v>6502</v>
      </c>
      <c r="F439" s="14" t="s">
        <v>6516</v>
      </c>
      <c r="G439" s="14" t="s">
        <v>45</v>
      </c>
      <c r="H439" s="14">
        <v>17</v>
      </c>
      <c r="I439" s="13" t="str" cm="1">
        <f t="array" ref="I439">_xlfn.IFS(
  OR(ISBLANK(A439),ISBLANK(B439),ISBLANK(D439),ISBLANK(E439),ISBLANK(H439)),"Missing Value",
  D439&lt;0,"Review – Out of Range (Claim Amount)",
  H439&lt;0,"Review – Out of Range (Days to Process)",
  TRUE,"OK"
)</f>
        <v>OK</v>
      </c>
    </row>
    <row r="440" spans="1:9" ht="16.8" x14ac:dyDescent="0.3">
      <c r="A440" s="11" t="s">
        <v>6947</v>
      </c>
      <c r="B440" s="11" t="s">
        <v>4085</v>
      </c>
      <c r="C440" s="12">
        <v>45642</v>
      </c>
      <c r="D440" s="11">
        <v>10932.6</v>
      </c>
      <c r="E440" s="11" t="s">
        <v>6505</v>
      </c>
      <c r="F440" s="11" t="s">
        <v>6503</v>
      </c>
      <c r="G440" s="11" t="s">
        <v>46</v>
      </c>
      <c r="H440" s="11">
        <v>13</v>
      </c>
      <c r="I440" s="13" t="str" cm="1">
        <f t="array" ref="I440">_xlfn.IFS(
  OR(ISBLANK(A440),ISBLANK(B440),ISBLANK(D440),ISBLANK(E440),ISBLANK(H440)),"Missing Value",
  D440&lt;0,"Review – Out of Range (Claim Amount)",
  H440&lt;0,"Review – Out of Range (Days to Process)",
  TRUE,"OK"
)</f>
        <v>OK</v>
      </c>
    </row>
    <row r="441" spans="1:9" ht="16.8" x14ac:dyDescent="0.3">
      <c r="A441" s="14" t="s">
        <v>6948</v>
      </c>
      <c r="B441" s="14" t="s">
        <v>5945</v>
      </c>
      <c r="C441" s="15">
        <v>45385</v>
      </c>
      <c r="D441" s="14">
        <v>163783.67000000001</v>
      </c>
      <c r="E441" s="14" t="s">
        <v>6508</v>
      </c>
      <c r="F441" s="14" t="s">
        <v>6503</v>
      </c>
      <c r="G441" s="14" t="s">
        <v>46</v>
      </c>
      <c r="H441" s="14">
        <v>49</v>
      </c>
      <c r="I441" s="13" t="str" cm="1">
        <f t="array" ref="I441">_xlfn.IFS(
  OR(ISBLANK(A441),ISBLANK(B441),ISBLANK(D441),ISBLANK(E441),ISBLANK(H441)),"Missing Value",
  D441&lt;0,"Review – Out of Range (Claim Amount)",
  H441&lt;0,"Review – Out of Range (Days to Process)",
  TRUE,"OK"
)</f>
        <v>OK</v>
      </c>
    </row>
    <row r="442" spans="1:9" ht="16.8" x14ac:dyDescent="0.3">
      <c r="A442" s="11" t="s">
        <v>6949</v>
      </c>
      <c r="B442" s="11" t="s">
        <v>3810</v>
      </c>
      <c r="C442" s="12">
        <v>44712</v>
      </c>
      <c r="D442" s="11">
        <v>300508.34999999998</v>
      </c>
      <c r="E442" s="11" t="s">
        <v>6508</v>
      </c>
      <c r="F442" s="11" t="s">
        <v>6516</v>
      </c>
      <c r="G442" s="11" t="s">
        <v>45</v>
      </c>
      <c r="H442" s="11">
        <v>6</v>
      </c>
      <c r="I442" s="13" t="str" cm="1">
        <f t="array" ref="I442">_xlfn.IFS(
  OR(ISBLANK(A442),ISBLANK(B442),ISBLANK(D442),ISBLANK(E442),ISBLANK(H442)),"Missing Value",
  D442&lt;0,"Review – Out of Range (Claim Amount)",
  H442&lt;0,"Review – Out of Range (Days to Process)",
  TRUE,"OK"
)</f>
        <v>OK</v>
      </c>
    </row>
    <row r="443" spans="1:9" ht="16.8" x14ac:dyDescent="0.3">
      <c r="A443" s="14" t="s">
        <v>6950</v>
      </c>
      <c r="B443" s="14" t="s">
        <v>6005</v>
      </c>
      <c r="C443" s="15">
        <v>45552</v>
      </c>
      <c r="D443" s="14">
        <v>83804.12</v>
      </c>
      <c r="E443" s="14" t="s">
        <v>6502</v>
      </c>
      <c r="F443" s="14" t="s">
        <v>6511</v>
      </c>
      <c r="G443" s="14" t="s">
        <v>46</v>
      </c>
      <c r="H443" s="14">
        <v>24</v>
      </c>
      <c r="I443" s="13" t="str" cm="1">
        <f t="array" ref="I443">_xlfn.IFS(
  OR(ISBLANK(A443),ISBLANK(B443),ISBLANK(D443),ISBLANK(E443),ISBLANK(H443)),"Missing Value",
  D443&lt;0,"Review – Out of Range (Claim Amount)",
  H443&lt;0,"Review – Out of Range (Days to Process)",
  TRUE,"OK"
)</f>
        <v>OK</v>
      </c>
    </row>
    <row r="444" spans="1:9" ht="16.8" x14ac:dyDescent="0.3">
      <c r="A444" s="11" t="s">
        <v>6951</v>
      </c>
      <c r="B444" s="11" t="s">
        <v>4478</v>
      </c>
      <c r="C444" s="12">
        <v>45443</v>
      </c>
      <c r="D444" s="11">
        <v>87672.34</v>
      </c>
      <c r="E444" s="11" t="s">
        <v>6505</v>
      </c>
      <c r="F444" s="11" t="s">
        <v>6509</v>
      </c>
      <c r="G444" s="11" t="s">
        <v>45</v>
      </c>
      <c r="H444" s="11">
        <v>49</v>
      </c>
      <c r="I444" s="13" t="str" cm="1">
        <f t="array" ref="I444">_xlfn.IFS(
  OR(ISBLANK(A444),ISBLANK(B444),ISBLANK(D444),ISBLANK(E444),ISBLANK(H444)),"Missing Value",
  D444&lt;0,"Review – Out of Range (Claim Amount)",
  H444&lt;0,"Review – Out of Range (Days to Process)",
  TRUE,"OK"
)</f>
        <v>OK</v>
      </c>
    </row>
    <row r="445" spans="1:9" ht="16.8" x14ac:dyDescent="0.3">
      <c r="A445" s="14" t="s">
        <v>6952</v>
      </c>
      <c r="B445" s="14" t="s">
        <v>5348</v>
      </c>
      <c r="C445" s="15">
        <v>44276</v>
      </c>
      <c r="D445" s="14">
        <v>146433.04</v>
      </c>
      <c r="E445" s="14" t="s">
        <v>6505</v>
      </c>
      <c r="F445" s="14" t="s">
        <v>6509</v>
      </c>
      <c r="G445" s="14" t="s">
        <v>45</v>
      </c>
      <c r="H445" s="14">
        <v>48</v>
      </c>
      <c r="I445" s="13" t="str" cm="1">
        <f t="array" ref="I445">_xlfn.IFS(
  OR(ISBLANK(A445),ISBLANK(B445),ISBLANK(D445),ISBLANK(E445),ISBLANK(H445)),"Missing Value",
  D445&lt;0,"Review – Out of Range (Claim Amount)",
  H445&lt;0,"Review – Out of Range (Days to Process)",
  TRUE,"OK"
)</f>
        <v>OK</v>
      </c>
    </row>
    <row r="446" spans="1:9" ht="16.8" x14ac:dyDescent="0.3">
      <c r="A446" s="11" t="s">
        <v>6953</v>
      </c>
      <c r="B446" s="11" t="s">
        <v>6338</v>
      </c>
      <c r="C446" s="12">
        <v>45383</v>
      </c>
      <c r="D446" s="11">
        <v>180720.22</v>
      </c>
      <c r="E446" s="11" t="s">
        <v>6505</v>
      </c>
      <c r="F446" s="11" t="s">
        <v>6509</v>
      </c>
      <c r="G446" s="11" t="s">
        <v>45</v>
      </c>
      <c r="H446" s="11">
        <v>17</v>
      </c>
      <c r="I446" s="13" t="str" cm="1">
        <f t="array" ref="I446">_xlfn.IFS(
  OR(ISBLANK(A446),ISBLANK(B446),ISBLANK(D446),ISBLANK(E446),ISBLANK(H446)),"Missing Value",
  D446&lt;0,"Review – Out of Range (Claim Amount)",
  H446&lt;0,"Review – Out of Range (Days to Process)",
  TRUE,"OK"
)</f>
        <v>OK</v>
      </c>
    </row>
    <row r="447" spans="1:9" ht="16.8" x14ac:dyDescent="0.3">
      <c r="A447" s="14" t="s">
        <v>6954</v>
      </c>
      <c r="B447" s="14" t="s">
        <v>4210</v>
      </c>
      <c r="C447" s="15">
        <v>45239</v>
      </c>
      <c r="D447" s="14">
        <v>56896.47</v>
      </c>
      <c r="E447" s="14" t="s">
        <v>6502</v>
      </c>
      <c r="F447" s="14" t="s">
        <v>6511</v>
      </c>
      <c r="G447" s="14" t="s">
        <v>46</v>
      </c>
      <c r="H447" s="14">
        <v>34</v>
      </c>
      <c r="I447" s="13" t="str" cm="1">
        <f t="array" ref="I447">_xlfn.IFS(
  OR(ISBLANK(A447),ISBLANK(B447),ISBLANK(D447),ISBLANK(E447),ISBLANK(H447)),"Missing Value",
  D447&lt;0,"Review – Out of Range (Claim Amount)",
  H447&lt;0,"Review – Out of Range (Days to Process)",
  TRUE,"OK"
)</f>
        <v>OK</v>
      </c>
    </row>
    <row r="448" spans="1:9" ht="16.8" x14ac:dyDescent="0.3">
      <c r="A448" s="11" t="s">
        <v>6955</v>
      </c>
      <c r="B448" s="11" t="s">
        <v>5572</v>
      </c>
      <c r="C448" s="12">
        <v>44886</v>
      </c>
      <c r="D448" s="11">
        <v>23407.58</v>
      </c>
      <c r="E448" s="11" t="s">
        <v>6505</v>
      </c>
      <c r="F448" s="11" t="s">
        <v>6509</v>
      </c>
      <c r="G448" s="11" t="s">
        <v>46</v>
      </c>
      <c r="H448" s="11">
        <v>41</v>
      </c>
      <c r="I448" s="13" t="str" cm="1">
        <f t="array" ref="I448">_xlfn.IFS(
  OR(ISBLANK(A448),ISBLANK(B448),ISBLANK(D448),ISBLANK(E448),ISBLANK(H448)),"Missing Value",
  D448&lt;0,"Review – Out of Range (Claim Amount)",
  H448&lt;0,"Review – Out of Range (Days to Process)",
  TRUE,"OK"
)</f>
        <v>OK</v>
      </c>
    </row>
    <row r="449" spans="1:9" ht="16.8" x14ac:dyDescent="0.3">
      <c r="A449" s="14" t="s">
        <v>6956</v>
      </c>
      <c r="B449" s="14" t="s">
        <v>4894</v>
      </c>
      <c r="C449" s="15">
        <v>44898</v>
      </c>
      <c r="D449" s="14">
        <v>239765.02</v>
      </c>
      <c r="E449" s="14" t="s">
        <v>6508</v>
      </c>
      <c r="F449" s="14" t="s">
        <v>6516</v>
      </c>
      <c r="G449" s="14" t="s">
        <v>45</v>
      </c>
      <c r="H449" s="14">
        <v>34</v>
      </c>
      <c r="I449" s="13" t="str" cm="1">
        <f t="array" ref="I449">_xlfn.IFS(
  OR(ISBLANK(A449),ISBLANK(B449),ISBLANK(D449),ISBLANK(E449),ISBLANK(H449)),"Missing Value",
  D449&lt;0,"Review – Out of Range (Claim Amount)",
  H449&lt;0,"Review – Out of Range (Days to Process)",
  TRUE,"OK"
)</f>
        <v>OK</v>
      </c>
    </row>
    <row r="450" spans="1:9" ht="16.8" x14ac:dyDescent="0.3">
      <c r="A450" s="11" t="s">
        <v>6957</v>
      </c>
      <c r="B450" s="11" t="s">
        <v>5562</v>
      </c>
      <c r="C450" s="12">
        <v>44074</v>
      </c>
      <c r="D450" s="11">
        <v>202606.89</v>
      </c>
      <c r="E450" s="11" t="s">
        <v>6502</v>
      </c>
      <c r="F450" s="11" t="s">
        <v>6506</v>
      </c>
      <c r="G450" s="11" t="s">
        <v>45</v>
      </c>
      <c r="H450" s="11">
        <v>10</v>
      </c>
      <c r="I450" s="13" t="str" cm="1">
        <f t="array" ref="I450">_xlfn.IFS(
  OR(ISBLANK(A450),ISBLANK(B450),ISBLANK(D450),ISBLANK(E450),ISBLANK(H450)),"Missing Value",
  D450&lt;0,"Review – Out of Range (Claim Amount)",
  H450&lt;0,"Review – Out of Range (Days to Process)",
  TRUE,"OK"
)</f>
        <v>OK</v>
      </c>
    </row>
    <row r="451" spans="1:9" ht="16.8" x14ac:dyDescent="0.3">
      <c r="A451" s="14" t="s">
        <v>6958</v>
      </c>
      <c r="B451" s="14" t="s">
        <v>6238</v>
      </c>
      <c r="C451" s="15">
        <v>45278</v>
      </c>
      <c r="D451" s="14">
        <v>330329</v>
      </c>
      <c r="E451" s="14" t="s">
        <v>6502</v>
      </c>
      <c r="F451" s="14" t="s">
        <v>6516</v>
      </c>
      <c r="G451" s="14" t="s">
        <v>46</v>
      </c>
      <c r="H451" s="14">
        <v>20</v>
      </c>
      <c r="I451" s="13" t="str" cm="1">
        <f t="array" ref="I451">_xlfn.IFS(
  OR(ISBLANK(A451),ISBLANK(B451),ISBLANK(D451),ISBLANK(E451),ISBLANK(H451)),"Missing Value",
  D451&lt;0,"Review – Out of Range (Claim Amount)",
  H451&lt;0,"Review – Out of Range (Days to Process)",
  TRUE,"OK"
)</f>
        <v>OK</v>
      </c>
    </row>
    <row r="452" spans="1:9" ht="16.8" x14ac:dyDescent="0.3">
      <c r="A452" s="11" t="s">
        <v>6959</v>
      </c>
      <c r="B452" s="11" t="s">
        <v>6412</v>
      </c>
      <c r="C452" s="12">
        <v>45324</v>
      </c>
      <c r="D452" s="11">
        <v>117975.78</v>
      </c>
      <c r="E452" s="11" t="s">
        <v>6502</v>
      </c>
      <c r="F452" s="11" t="s">
        <v>6503</v>
      </c>
      <c r="G452" s="11" t="s">
        <v>45</v>
      </c>
      <c r="H452" s="11">
        <v>5</v>
      </c>
      <c r="I452" s="13" t="str" cm="1">
        <f t="array" ref="I452">_xlfn.IFS(
  OR(ISBLANK(A452),ISBLANK(B452),ISBLANK(D452),ISBLANK(E452),ISBLANK(H452)),"Missing Value",
  D452&lt;0,"Review – Out of Range (Claim Amount)",
  H452&lt;0,"Review – Out of Range (Days to Process)",
  TRUE,"OK"
)</f>
        <v>OK</v>
      </c>
    </row>
    <row r="453" spans="1:9" ht="16.8" x14ac:dyDescent="0.3">
      <c r="A453" s="14" t="s">
        <v>6960</v>
      </c>
      <c r="B453" s="14" t="s">
        <v>5343</v>
      </c>
      <c r="C453" s="15">
        <v>45629</v>
      </c>
      <c r="D453" s="14">
        <v>193112.95</v>
      </c>
      <c r="E453" s="14" t="s">
        <v>6508</v>
      </c>
      <c r="F453" s="14" t="s">
        <v>6509</v>
      </c>
      <c r="G453" s="14" t="s">
        <v>46</v>
      </c>
      <c r="H453" s="14">
        <v>37</v>
      </c>
      <c r="I453" s="13" t="str" cm="1">
        <f t="array" ref="I453">_xlfn.IFS(
  OR(ISBLANK(A453),ISBLANK(B453),ISBLANK(D453),ISBLANK(E453),ISBLANK(H453)),"Missing Value",
  D453&lt;0,"Review – Out of Range (Claim Amount)",
  H453&lt;0,"Review – Out of Range (Days to Process)",
  TRUE,"OK"
)</f>
        <v>OK</v>
      </c>
    </row>
    <row r="454" spans="1:9" ht="16.8" x14ac:dyDescent="0.3">
      <c r="A454" s="11" t="s">
        <v>6961</v>
      </c>
      <c r="B454" s="11" t="s">
        <v>4279</v>
      </c>
      <c r="C454" s="12">
        <v>44405</v>
      </c>
      <c r="D454" s="11">
        <v>349052.49</v>
      </c>
      <c r="E454" s="11" t="s">
        <v>6505</v>
      </c>
      <c r="F454" s="11" t="s">
        <v>6509</v>
      </c>
      <c r="G454" s="11" t="s">
        <v>46</v>
      </c>
      <c r="H454" s="11">
        <v>12</v>
      </c>
      <c r="I454" s="13" t="str" cm="1">
        <f t="array" ref="I454">_xlfn.IFS(
  OR(ISBLANK(A454),ISBLANK(B454),ISBLANK(D454),ISBLANK(E454),ISBLANK(H454)),"Missing Value",
  D454&lt;0,"Review – Out of Range (Claim Amount)",
  H454&lt;0,"Review – Out of Range (Days to Process)",
  TRUE,"OK"
)</f>
        <v>OK</v>
      </c>
    </row>
    <row r="455" spans="1:9" ht="16.8" x14ac:dyDescent="0.3">
      <c r="A455" s="14" t="s">
        <v>6962</v>
      </c>
      <c r="B455" s="14" t="s">
        <v>4644</v>
      </c>
      <c r="C455" s="15">
        <v>45345</v>
      </c>
      <c r="D455" s="14">
        <v>159391.39000000001</v>
      </c>
      <c r="E455" s="14" t="s">
        <v>6505</v>
      </c>
      <c r="F455" s="14" t="s">
        <v>6516</v>
      </c>
      <c r="G455" s="14" t="s">
        <v>46</v>
      </c>
      <c r="H455" s="14">
        <v>16</v>
      </c>
      <c r="I455" s="13" t="str" cm="1">
        <f t="array" ref="I455">_xlfn.IFS(
  OR(ISBLANK(A455),ISBLANK(B455),ISBLANK(D455),ISBLANK(E455),ISBLANK(H455)),"Missing Value",
  D455&lt;0,"Review – Out of Range (Claim Amount)",
  H455&lt;0,"Review – Out of Range (Days to Process)",
  TRUE,"OK"
)</f>
        <v>OK</v>
      </c>
    </row>
    <row r="456" spans="1:9" ht="16.8" x14ac:dyDescent="0.3">
      <c r="A456" s="11" t="s">
        <v>6963</v>
      </c>
      <c r="B456" s="11" t="s">
        <v>3521</v>
      </c>
      <c r="C456" s="12">
        <v>45528</v>
      </c>
      <c r="D456" s="11">
        <v>227512.88</v>
      </c>
      <c r="E456" s="11" t="s">
        <v>6505</v>
      </c>
      <c r="F456" s="11" t="s">
        <v>6506</v>
      </c>
      <c r="G456" s="11" t="s">
        <v>46</v>
      </c>
      <c r="H456" s="11">
        <v>32</v>
      </c>
      <c r="I456" s="13" t="str" cm="1">
        <f t="array" ref="I456">_xlfn.IFS(
  OR(ISBLANK(A456),ISBLANK(B456),ISBLANK(D456),ISBLANK(E456),ISBLANK(H456)),"Missing Value",
  D456&lt;0,"Review – Out of Range (Claim Amount)",
  H456&lt;0,"Review – Out of Range (Days to Process)",
  TRUE,"OK"
)</f>
        <v>OK</v>
      </c>
    </row>
    <row r="457" spans="1:9" ht="16.8" x14ac:dyDescent="0.3">
      <c r="A457" s="14" t="s">
        <v>6964</v>
      </c>
      <c r="B457" s="14" t="s">
        <v>5297</v>
      </c>
      <c r="C457" s="15">
        <v>45544</v>
      </c>
      <c r="D457" s="14">
        <v>420024.83</v>
      </c>
      <c r="E457" s="14" t="s">
        <v>6505</v>
      </c>
      <c r="F457" s="14" t="s">
        <v>6503</v>
      </c>
      <c r="G457" s="14" t="s">
        <v>45</v>
      </c>
      <c r="H457" s="14">
        <v>20</v>
      </c>
      <c r="I457" s="13" t="str" cm="1">
        <f t="array" ref="I457">_xlfn.IFS(
  OR(ISBLANK(A457),ISBLANK(B457),ISBLANK(D457),ISBLANK(E457),ISBLANK(H457)),"Missing Value",
  D457&lt;0,"Review – Out of Range (Claim Amount)",
  H457&lt;0,"Review – Out of Range (Days to Process)",
  TRUE,"OK"
)</f>
        <v>OK</v>
      </c>
    </row>
    <row r="458" spans="1:9" ht="16.8" x14ac:dyDescent="0.3">
      <c r="A458" s="11" t="s">
        <v>6965</v>
      </c>
      <c r="B458" s="11" t="s">
        <v>5516</v>
      </c>
      <c r="C458" s="12">
        <v>45184</v>
      </c>
      <c r="D458" s="11">
        <v>198734.6</v>
      </c>
      <c r="E458" s="11" t="s">
        <v>6508</v>
      </c>
      <c r="F458" s="11" t="s">
        <v>6516</v>
      </c>
      <c r="G458" s="11" t="s">
        <v>45</v>
      </c>
      <c r="H458" s="11">
        <v>36</v>
      </c>
      <c r="I458" s="13" t="str" cm="1">
        <f t="array" ref="I458">_xlfn.IFS(
  OR(ISBLANK(A458),ISBLANK(B458),ISBLANK(D458),ISBLANK(E458),ISBLANK(H458)),"Missing Value",
  D458&lt;0,"Review – Out of Range (Claim Amount)",
  H458&lt;0,"Review – Out of Range (Days to Process)",
  TRUE,"OK"
)</f>
        <v>OK</v>
      </c>
    </row>
    <row r="459" spans="1:9" ht="16.8" x14ac:dyDescent="0.3">
      <c r="A459" s="14" t="s">
        <v>6966</v>
      </c>
      <c r="B459" s="14" t="s">
        <v>4826</v>
      </c>
      <c r="C459" s="15">
        <v>44814</v>
      </c>
      <c r="D459" s="14">
        <v>356754.34</v>
      </c>
      <c r="E459" s="14" t="s">
        <v>6502</v>
      </c>
      <c r="F459" s="14" t="s">
        <v>6503</v>
      </c>
      <c r="G459" s="14" t="s">
        <v>46</v>
      </c>
      <c r="H459" s="14">
        <v>12</v>
      </c>
      <c r="I459" s="13" t="str" cm="1">
        <f t="array" ref="I459">_xlfn.IFS(
  OR(ISBLANK(A459),ISBLANK(B459),ISBLANK(D459),ISBLANK(E459),ISBLANK(H459)),"Missing Value",
  D459&lt;0,"Review – Out of Range (Claim Amount)",
  H459&lt;0,"Review – Out of Range (Days to Process)",
  TRUE,"OK"
)</f>
        <v>OK</v>
      </c>
    </row>
    <row r="460" spans="1:9" ht="16.8" x14ac:dyDescent="0.3">
      <c r="A460" s="11" t="s">
        <v>6967</v>
      </c>
      <c r="B460" s="11" t="s">
        <v>4567</v>
      </c>
      <c r="C460" s="12">
        <v>44325</v>
      </c>
      <c r="D460" s="11">
        <v>322114.33</v>
      </c>
      <c r="E460" s="11" t="s">
        <v>6505</v>
      </c>
      <c r="F460" s="11" t="s">
        <v>6503</v>
      </c>
      <c r="G460" s="11" t="s">
        <v>46</v>
      </c>
      <c r="H460" s="11">
        <v>55</v>
      </c>
      <c r="I460" s="13" t="str" cm="1">
        <f t="array" ref="I460">_xlfn.IFS(
  OR(ISBLANK(A460),ISBLANK(B460),ISBLANK(D460),ISBLANK(E460),ISBLANK(H460)),"Missing Value",
  D460&lt;0,"Review – Out of Range (Claim Amount)",
  H460&lt;0,"Review – Out of Range (Days to Process)",
  TRUE,"OK"
)</f>
        <v>OK</v>
      </c>
    </row>
    <row r="461" spans="1:9" ht="16.8" x14ac:dyDescent="0.3">
      <c r="A461" s="14" t="s">
        <v>6968</v>
      </c>
      <c r="B461" s="14" t="s">
        <v>5529</v>
      </c>
      <c r="C461" s="15">
        <v>45277</v>
      </c>
      <c r="D461" s="14">
        <v>424462.62</v>
      </c>
      <c r="E461" s="14" t="s">
        <v>6502</v>
      </c>
      <c r="F461" s="14" t="s">
        <v>6509</v>
      </c>
      <c r="G461" s="14" t="s">
        <v>46</v>
      </c>
      <c r="H461" s="14">
        <v>19</v>
      </c>
      <c r="I461" s="13" t="str" cm="1">
        <f t="array" ref="I461">_xlfn.IFS(
  OR(ISBLANK(A461),ISBLANK(B461),ISBLANK(D461),ISBLANK(E461),ISBLANK(H461)),"Missing Value",
  D461&lt;0,"Review – Out of Range (Claim Amount)",
  H461&lt;0,"Review – Out of Range (Days to Process)",
  TRUE,"OK"
)</f>
        <v>OK</v>
      </c>
    </row>
    <row r="462" spans="1:9" ht="16.8" x14ac:dyDescent="0.3">
      <c r="A462" s="11" t="s">
        <v>6969</v>
      </c>
      <c r="B462" s="11" t="s">
        <v>3755</v>
      </c>
      <c r="C462" s="12">
        <v>45687</v>
      </c>
      <c r="D462" s="11">
        <v>405168.54</v>
      </c>
      <c r="E462" s="11" t="s">
        <v>6505</v>
      </c>
      <c r="F462" s="11" t="s">
        <v>6509</v>
      </c>
      <c r="G462" s="11" t="s">
        <v>46</v>
      </c>
      <c r="H462" s="11">
        <v>46</v>
      </c>
      <c r="I462" s="13" t="str" cm="1">
        <f t="array" ref="I462">_xlfn.IFS(
  OR(ISBLANK(A462),ISBLANK(B462),ISBLANK(D462),ISBLANK(E462),ISBLANK(H462)),"Missing Value",
  D462&lt;0,"Review – Out of Range (Claim Amount)",
  H462&lt;0,"Review – Out of Range (Days to Process)",
  TRUE,"OK"
)</f>
        <v>OK</v>
      </c>
    </row>
    <row r="463" spans="1:9" ht="16.8" x14ac:dyDescent="0.3">
      <c r="A463" s="14" t="s">
        <v>6970</v>
      </c>
      <c r="B463" s="14" t="s">
        <v>4948</v>
      </c>
      <c r="C463" s="15">
        <v>44525</v>
      </c>
      <c r="D463" s="14">
        <v>338905.93</v>
      </c>
      <c r="E463" s="14" t="s">
        <v>6508</v>
      </c>
      <c r="F463" s="14" t="s">
        <v>6509</v>
      </c>
      <c r="G463" s="14" t="s">
        <v>45</v>
      </c>
      <c r="H463" s="14">
        <v>41</v>
      </c>
      <c r="I463" s="13" t="str" cm="1">
        <f t="array" ref="I463">_xlfn.IFS(
  OR(ISBLANK(A463),ISBLANK(B463),ISBLANK(D463),ISBLANK(E463),ISBLANK(H463)),"Missing Value",
  D463&lt;0,"Review – Out of Range (Claim Amount)",
  H463&lt;0,"Review – Out of Range (Days to Process)",
  TRUE,"OK"
)</f>
        <v>OK</v>
      </c>
    </row>
    <row r="464" spans="1:9" ht="16.8" x14ac:dyDescent="0.3">
      <c r="A464" s="11" t="s">
        <v>6971</v>
      </c>
      <c r="B464" s="11" t="s">
        <v>4146</v>
      </c>
      <c r="C464" s="12">
        <v>45417</v>
      </c>
      <c r="D464" s="11">
        <v>272532.37</v>
      </c>
      <c r="E464" s="11" t="s">
        <v>6502</v>
      </c>
      <c r="F464" s="11" t="s">
        <v>6511</v>
      </c>
      <c r="G464" s="11" t="s">
        <v>46</v>
      </c>
      <c r="H464" s="11">
        <v>7</v>
      </c>
      <c r="I464" s="13" t="str" cm="1">
        <f t="array" ref="I464">_xlfn.IFS(
  OR(ISBLANK(A464),ISBLANK(B464),ISBLANK(D464),ISBLANK(E464),ISBLANK(H464)),"Missing Value",
  D464&lt;0,"Review – Out of Range (Claim Amount)",
  H464&lt;0,"Review – Out of Range (Days to Process)",
  TRUE,"OK"
)</f>
        <v>OK</v>
      </c>
    </row>
    <row r="465" spans="1:9" ht="16.8" x14ac:dyDescent="0.3">
      <c r="A465" s="14" t="s">
        <v>6972</v>
      </c>
      <c r="B465" s="14" t="s">
        <v>5628</v>
      </c>
      <c r="C465" s="15">
        <v>45488</v>
      </c>
      <c r="D465" s="14">
        <v>498300.64</v>
      </c>
      <c r="E465" s="14" t="s">
        <v>6502</v>
      </c>
      <c r="F465" s="14" t="s">
        <v>6511</v>
      </c>
      <c r="G465" s="14" t="s">
        <v>46</v>
      </c>
      <c r="H465" s="14">
        <v>55</v>
      </c>
      <c r="I465" s="13" t="str" cm="1">
        <f t="array" ref="I465">_xlfn.IFS(
  OR(ISBLANK(A465),ISBLANK(B465),ISBLANK(D465),ISBLANK(E465),ISBLANK(H465)),"Missing Value",
  D465&lt;0,"Review – Out of Range (Claim Amount)",
  H465&lt;0,"Review – Out of Range (Days to Process)",
  TRUE,"OK"
)</f>
        <v>OK</v>
      </c>
    </row>
    <row r="466" spans="1:9" ht="16.8" x14ac:dyDescent="0.3">
      <c r="A466" s="11" t="s">
        <v>6973</v>
      </c>
      <c r="B466" s="11" t="s">
        <v>3870</v>
      </c>
      <c r="C466" s="12">
        <v>44417</v>
      </c>
      <c r="D466" s="11">
        <v>281424.3</v>
      </c>
      <c r="E466" s="11" t="s">
        <v>6508</v>
      </c>
      <c r="F466" s="11" t="s">
        <v>6506</v>
      </c>
      <c r="G466" s="11" t="s">
        <v>46</v>
      </c>
      <c r="H466" s="11">
        <v>23</v>
      </c>
      <c r="I466" s="13" t="str" cm="1">
        <f t="array" ref="I466">_xlfn.IFS(
  OR(ISBLANK(A466),ISBLANK(B466),ISBLANK(D466),ISBLANK(E466),ISBLANK(H466)),"Missing Value",
  D466&lt;0,"Review – Out of Range (Claim Amount)",
  H466&lt;0,"Review – Out of Range (Days to Process)",
  TRUE,"OK"
)</f>
        <v>OK</v>
      </c>
    </row>
    <row r="467" spans="1:9" ht="16.8" x14ac:dyDescent="0.3">
      <c r="A467" s="14" t="s">
        <v>6974</v>
      </c>
      <c r="B467" s="14" t="s">
        <v>4878</v>
      </c>
      <c r="C467" s="15">
        <v>45257</v>
      </c>
      <c r="D467" s="14">
        <v>266023.8</v>
      </c>
      <c r="E467" s="14" t="s">
        <v>6502</v>
      </c>
      <c r="F467" s="14" t="s">
        <v>6516</v>
      </c>
      <c r="G467" s="14" t="s">
        <v>46</v>
      </c>
      <c r="H467" s="14">
        <v>2</v>
      </c>
      <c r="I467" s="13" t="str" cm="1">
        <f t="array" ref="I467">_xlfn.IFS(
  OR(ISBLANK(A467),ISBLANK(B467),ISBLANK(D467),ISBLANK(E467),ISBLANK(H467)),"Missing Value",
  D467&lt;0,"Review – Out of Range (Claim Amount)",
  H467&lt;0,"Review – Out of Range (Days to Process)",
  TRUE,"OK"
)</f>
        <v>OK</v>
      </c>
    </row>
    <row r="468" spans="1:9" ht="16.8" x14ac:dyDescent="0.3">
      <c r="A468" s="11" t="s">
        <v>6975</v>
      </c>
      <c r="B468" s="11" t="s">
        <v>5916</v>
      </c>
      <c r="C468" s="12">
        <v>45544</v>
      </c>
      <c r="D468" s="11">
        <v>225055.43</v>
      </c>
      <c r="E468" s="11" t="s">
        <v>6508</v>
      </c>
      <c r="F468" s="11" t="s">
        <v>6506</v>
      </c>
      <c r="G468" s="11" t="s">
        <v>45</v>
      </c>
      <c r="H468" s="11">
        <v>45</v>
      </c>
      <c r="I468" s="13" t="str" cm="1">
        <f t="array" ref="I468">_xlfn.IFS(
  OR(ISBLANK(A468),ISBLANK(B468),ISBLANK(D468),ISBLANK(E468),ISBLANK(H468)),"Missing Value",
  D468&lt;0,"Review – Out of Range (Claim Amount)",
  H468&lt;0,"Review – Out of Range (Days to Process)",
  TRUE,"OK"
)</f>
        <v>OK</v>
      </c>
    </row>
    <row r="469" spans="1:9" ht="16.8" x14ac:dyDescent="0.3">
      <c r="A469" s="14" t="s">
        <v>6976</v>
      </c>
      <c r="B469" s="14" t="s">
        <v>5927</v>
      </c>
      <c r="C469" s="15">
        <v>45183</v>
      </c>
      <c r="D469" s="14">
        <v>222780.57</v>
      </c>
      <c r="E469" s="14" t="s">
        <v>6508</v>
      </c>
      <c r="F469" s="14" t="s">
        <v>6511</v>
      </c>
      <c r="G469" s="14" t="s">
        <v>45</v>
      </c>
      <c r="H469" s="14">
        <v>59</v>
      </c>
      <c r="I469" s="13" t="str" cm="1">
        <f t="array" ref="I469">_xlfn.IFS(
  OR(ISBLANK(A469),ISBLANK(B469),ISBLANK(D469),ISBLANK(E469),ISBLANK(H469)),"Missing Value",
  D469&lt;0,"Review – Out of Range (Claim Amount)",
  H469&lt;0,"Review – Out of Range (Days to Process)",
  TRUE,"OK"
)</f>
        <v>OK</v>
      </c>
    </row>
    <row r="470" spans="1:9" ht="16.8" x14ac:dyDescent="0.3">
      <c r="A470" s="11" t="s">
        <v>6977</v>
      </c>
      <c r="B470" s="11" t="s">
        <v>5786</v>
      </c>
      <c r="C470" s="12">
        <v>45793</v>
      </c>
      <c r="D470" s="11">
        <v>149582.53</v>
      </c>
      <c r="E470" s="11" t="s">
        <v>6508</v>
      </c>
      <c r="F470" s="11" t="s">
        <v>6509</v>
      </c>
      <c r="G470" s="11" t="s">
        <v>46</v>
      </c>
      <c r="H470" s="11">
        <v>26</v>
      </c>
      <c r="I470" s="13" t="str" cm="1">
        <f t="array" ref="I470">_xlfn.IFS(
  OR(ISBLANK(A470),ISBLANK(B470),ISBLANK(D470),ISBLANK(E470),ISBLANK(H470)),"Missing Value",
  D470&lt;0,"Review – Out of Range (Claim Amount)",
  H470&lt;0,"Review – Out of Range (Days to Process)",
  TRUE,"OK"
)</f>
        <v>OK</v>
      </c>
    </row>
    <row r="471" spans="1:9" ht="16.8" x14ac:dyDescent="0.3">
      <c r="A471" s="14" t="s">
        <v>6978</v>
      </c>
      <c r="B471" s="14" t="s">
        <v>5161</v>
      </c>
      <c r="C471" s="15">
        <v>44761</v>
      </c>
      <c r="D471" s="14">
        <v>194450.26</v>
      </c>
      <c r="E471" s="14" t="s">
        <v>6502</v>
      </c>
      <c r="F471" s="14" t="s">
        <v>6509</v>
      </c>
      <c r="G471" s="14" t="s">
        <v>45</v>
      </c>
      <c r="H471" s="14">
        <v>27</v>
      </c>
      <c r="I471" s="13" t="str" cm="1">
        <f t="array" ref="I471">_xlfn.IFS(
  OR(ISBLANK(A471),ISBLANK(B471),ISBLANK(D471),ISBLANK(E471),ISBLANK(H471)),"Missing Value",
  D471&lt;0,"Review – Out of Range (Claim Amount)",
  H471&lt;0,"Review – Out of Range (Days to Process)",
  TRUE,"OK"
)</f>
        <v>OK</v>
      </c>
    </row>
    <row r="472" spans="1:9" ht="16.8" x14ac:dyDescent="0.3">
      <c r="A472" s="11" t="s">
        <v>6979</v>
      </c>
      <c r="B472" s="11" t="s">
        <v>6030</v>
      </c>
      <c r="C472" s="12">
        <v>44914</v>
      </c>
      <c r="D472" s="11">
        <v>321314.21999999997</v>
      </c>
      <c r="E472" s="11" t="s">
        <v>6502</v>
      </c>
      <c r="F472" s="11" t="s">
        <v>6503</v>
      </c>
      <c r="G472" s="11" t="s">
        <v>46</v>
      </c>
      <c r="H472" s="11">
        <v>49</v>
      </c>
      <c r="I472" s="13" t="str" cm="1">
        <f t="array" ref="I472">_xlfn.IFS(
  OR(ISBLANK(A472),ISBLANK(B472),ISBLANK(D472),ISBLANK(E472),ISBLANK(H472)),"Missing Value",
  D472&lt;0,"Review – Out of Range (Claim Amount)",
  H472&lt;0,"Review – Out of Range (Days to Process)",
  TRUE,"OK"
)</f>
        <v>OK</v>
      </c>
    </row>
    <row r="473" spans="1:9" ht="16.8" x14ac:dyDescent="0.3">
      <c r="A473" s="14" t="s">
        <v>6980</v>
      </c>
      <c r="B473" s="14" t="s">
        <v>4843</v>
      </c>
      <c r="C473" s="15">
        <v>45773</v>
      </c>
      <c r="D473" s="14">
        <v>244325.81</v>
      </c>
      <c r="E473" s="14" t="s">
        <v>6505</v>
      </c>
      <c r="F473" s="14" t="s">
        <v>6506</v>
      </c>
      <c r="G473" s="14" t="s">
        <v>46</v>
      </c>
      <c r="H473" s="14">
        <v>42</v>
      </c>
      <c r="I473" s="13" t="str" cm="1">
        <f t="array" ref="I473">_xlfn.IFS(
  OR(ISBLANK(A473),ISBLANK(B473),ISBLANK(D473),ISBLANK(E473),ISBLANK(H473)),"Missing Value",
  D473&lt;0,"Review – Out of Range (Claim Amount)",
  H473&lt;0,"Review – Out of Range (Days to Process)",
  TRUE,"OK"
)</f>
        <v>OK</v>
      </c>
    </row>
    <row r="474" spans="1:9" ht="16.8" x14ac:dyDescent="0.3">
      <c r="A474" s="11" t="s">
        <v>6981</v>
      </c>
      <c r="B474" s="11" t="s">
        <v>6159</v>
      </c>
      <c r="C474" s="12">
        <v>45426</v>
      </c>
      <c r="D474" s="11">
        <v>230908.41</v>
      </c>
      <c r="E474" s="11" t="s">
        <v>6505</v>
      </c>
      <c r="F474" s="11" t="s">
        <v>6511</v>
      </c>
      <c r="G474" s="11" t="s">
        <v>46</v>
      </c>
      <c r="H474" s="11">
        <v>8</v>
      </c>
      <c r="I474" s="13" t="str" cm="1">
        <f t="array" ref="I474">_xlfn.IFS(
  OR(ISBLANK(A474),ISBLANK(B474),ISBLANK(D474),ISBLANK(E474),ISBLANK(H474)),"Missing Value",
  D474&lt;0,"Review – Out of Range (Claim Amount)",
  H474&lt;0,"Review – Out of Range (Days to Process)",
  TRUE,"OK"
)</f>
        <v>OK</v>
      </c>
    </row>
    <row r="475" spans="1:9" ht="16.8" x14ac:dyDescent="0.3">
      <c r="A475" s="14" t="s">
        <v>6982</v>
      </c>
      <c r="B475" s="14" t="s">
        <v>5682</v>
      </c>
      <c r="C475" s="15">
        <v>45058</v>
      </c>
      <c r="D475" s="14">
        <v>488209.13</v>
      </c>
      <c r="E475" s="14" t="s">
        <v>6505</v>
      </c>
      <c r="F475" s="14" t="s">
        <v>6509</v>
      </c>
      <c r="G475" s="14" t="s">
        <v>45</v>
      </c>
      <c r="H475" s="14">
        <v>33</v>
      </c>
      <c r="I475" s="13" t="str" cm="1">
        <f t="array" ref="I475">_xlfn.IFS(
  OR(ISBLANK(A475),ISBLANK(B475),ISBLANK(D475),ISBLANK(E475),ISBLANK(H475)),"Missing Value",
  D475&lt;0,"Review – Out of Range (Claim Amount)",
  H475&lt;0,"Review – Out of Range (Days to Process)",
  TRUE,"OK"
)</f>
        <v>OK</v>
      </c>
    </row>
    <row r="476" spans="1:9" ht="16.8" x14ac:dyDescent="0.3">
      <c r="A476" s="11" t="s">
        <v>6983</v>
      </c>
      <c r="B476" s="11" t="s">
        <v>5044</v>
      </c>
      <c r="C476" s="12">
        <v>44923</v>
      </c>
      <c r="D476" s="11">
        <v>366449.98</v>
      </c>
      <c r="E476" s="11" t="s">
        <v>6505</v>
      </c>
      <c r="F476" s="11" t="s">
        <v>6511</v>
      </c>
      <c r="G476" s="11" t="s">
        <v>45</v>
      </c>
      <c r="H476" s="11">
        <v>57</v>
      </c>
      <c r="I476" s="13" t="str" cm="1">
        <f t="array" ref="I476">_xlfn.IFS(
  OR(ISBLANK(A476),ISBLANK(B476),ISBLANK(D476),ISBLANK(E476),ISBLANK(H476)),"Missing Value",
  D476&lt;0,"Review – Out of Range (Claim Amount)",
  H476&lt;0,"Review – Out of Range (Days to Process)",
  TRUE,"OK"
)</f>
        <v>OK</v>
      </c>
    </row>
    <row r="477" spans="1:9" ht="16.8" x14ac:dyDescent="0.3">
      <c r="A477" s="14" t="s">
        <v>6984</v>
      </c>
      <c r="B477" s="14" t="s">
        <v>3390</v>
      </c>
      <c r="C477" s="15">
        <v>44772</v>
      </c>
      <c r="D477" s="14">
        <v>257100.2</v>
      </c>
      <c r="E477" s="14" t="s">
        <v>6502</v>
      </c>
      <c r="F477" s="14" t="s">
        <v>6509</v>
      </c>
      <c r="G477" s="14" t="s">
        <v>46</v>
      </c>
      <c r="H477" s="14">
        <v>34</v>
      </c>
      <c r="I477" s="13" t="str" cm="1">
        <f t="array" ref="I477">_xlfn.IFS(
  OR(ISBLANK(A477),ISBLANK(B477),ISBLANK(D477),ISBLANK(E477),ISBLANK(H477)),"Missing Value",
  D477&lt;0,"Review – Out of Range (Claim Amount)",
  H477&lt;0,"Review – Out of Range (Days to Process)",
  TRUE,"OK"
)</f>
        <v>OK</v>
      </c>
    </row>
    <row r="478" spans="1:9" ht="16.8" x14ac:dyDescent="0.3">
      <c r="A478" s="11" t="s">
        <v>6985</v>
      </c>
      <c r="B478" s="11" t="s">
        <v>5411</v>
      </c>
      <c r="C478" s="12">
        <v>44962</v>
      </c>
      <c r="D478" s="11">
        <v>325890.34999999998</v>
      </c>
      <c r="E478" s="11" t="s">
        <v>6505</v>
      </c>
      <c r="F478" s="11" t="s">
        <v>6503</v>
      </c>
      <c r="G478" s="11" t="s">
        <v>45</v>
      </c>
      <c r="H478" s="11">
        <v>23</v>
      </c>
      <c r="I478" s="13" t="str" cm="1">
        <f t="array" ref="I478">_xlfn.IFS(
  OR(ISBLANK(A478),ISBLANK(B478),ISBLANK(D478),ISBLANK(E478),ISBLANK(H478)),"Missing Value",
  D478&lt;0,"Review – Out of Range (Claim Amount)",
  H478&lt;0,"Review – Out of Range (Days to Process)",
  TRUE,"OK"
)</f>
        <v>OK</v>
      </c>
    </row>
    <row r="479" spans="1:9" ht="16.8" x14ac:dyDescent="0.3">
      <c r="A479" s="14" t="s">
        <v>6986</v>
      </c>
      <c r="B479" s="14" t="s">
        <v>5124</v>
      </c>
      <c r="C479" s="15">
        <v>45516</v>
      </c>
      <c r="D479" s="14">
        <v>294479.63</v>
      </c>
      <c r="E479" s="14" t="s">
        <v>6508</v>
      </c>
      <c r="F479" s="14" t="s">
        <v>6516</v>
      </c>
      <c r="G479" s="14" t="s">
        <v>45</v>
      </c>
      <c r="H479" s="14">
        <v>19</v>
      </c>
      <c r="I479" s="13" t="str" cm="1">
        <f t="array" ref="I479">_xlfn.IFS(
  OR(ISBLANK(A479),ISBLANK(B479),ISBLANK(D479),ISBLANK(E479),ISBLANK(H479)),"Missing Value",
  D479&lt;0,"Review – Out of Range (Claim Amount)",
  H479&lt;0,"Review – Out of Range (Days to Process)",
  TRUE,"OK"
)</f>
        <v>OK</v>
      </c>
    </row>
    <row r="480" spans="1:9" ht="16.8" x14ac:dyDescent="0.3">
      <c r="A480" s="11" t="s">
        <v>6987</v>
      </c>
      <c r="B480" s="11" t="s">
        <v>4138</v>
      </c>
      <c r="C480" s="12">
        <v>45525</v>
      </c>
      <c r="D480" s="11">
        <v>310501.14</v>
      </c>
      <c r="E480" s="11" t="s">
        <v>6502</v>
      </c>
      <c r="F480" s="11" t="s">
        <v>6511</v>
      </c>
      <c r="G480" s="11" t="s">
        <v>45</v>
      </c>
      <c r="H480" s="11">
        <v>56</v>
      </c>
      <c r="I480" s="13" t="str" cm="1">
        <f t="array" ref="I480">_xlfn.IFS(
  OR(ISBLANK(A480),ISBLANK(B480),ISBLANK(D480),ISBLANK(E480),ISBLANK(H480)),"Missing Value",
  D480&lt;0,"Review – Out of Range (Claim Amount)",
  H480&lt;0,"Review – Out of Range (Days to Process)",
  TRUE,"OK"
)</f>
        <v>OK</v>
      </c>
    </row>
    <row r="481" spans="1:9" ht="16.8" x14ac:dyDescent="0.3">
      <c r="A481" s="14" t="s">
        <v>6988</v>
      </c>
      <c r="B481" s="14" t="s">
        <v>5323</v>
      </c>
      <c r="C481" s="15">
        <v>45612</v>
      </c>
      <c r="D481" s="14">
        <v>122785.85</v>
      </c>
      <c r="E481" s="14" t="s">
        <v>6508</v>
      </c>
      <c r="F481" s="14" t="s">
        <v>6516</v>
      </c>
      <c r="G481" s="14" t="s">
        <v>46</v>
      </c>
      <c r="H481" s="14">
        <v>48</v>
      </c>
      <c r="I481" s="13" t="str" cm="1">
        <f t="array" ref="I481">_xlfn.IFS(
  OR(ISBLANK(A481),ISBLANK(B481),ISBLANK(D481),ISBLANK(E481),ISBLANK(H481)),"Missing Value",
  D481&lt;0,"Review – Out of Range (Claim Amount)",
  H481&lt;0,"Review – Out of Range (Days to Process)",
  TRUE,"OK"
)</f>
        <v>OK</v>
      </c>
    </row>
    <row r="482" spans="1:9" ht="16.8" x14ac:dyDescent="0.3">
      <c r="A482" s="11" t="s">
        <v>6989</v>
      </c>
      <c r="B482" s="11" t="s">
        <v>5461</v>
      </c>
      <c r="C482" s="12">
        <v>45127</v>
      </c>
      <c r="D482" s="11">
        <v>417467.5</v>
      </c>
      <c r="E482" s="11" t="s">
        <v>6505</v>
      </c>
      <c r="F482" s="11" t="s">
        <v>6506</v>
      </c>
      <c r="G482" s="11" t="s">
        <v>46</v>
      </c>
      <c r="H482" s="11">
        <v>14</v>
      </c>
      <c r="I482" s="13" t="str" cm="1">
        <f t="array" ref="I482">_xlfn.IFS(
  OR(ISBLANK(A482),ISBLANK(B482),ISBLANK(D482),ISBLANK(E482),ISBLANK(H482)),"Missing Value",
  D482&lt;0,"Review – Out of Range (Claim Amount)",
  H482&lt;0,"Review – Out of Range (Days to Process)",
  TRUE,"OK"
)</f>
        <v>OK</v>
      </c>
    </row>
    <row r="483" spans="1:9" ht="16.8" x14ac:dyDescent="0.3">
      <c r="A483" s="14" t="s">
        <v>6990</v>
      </c>
      <c r="B483" s="14" t="s">
        <v>6007</v>
      </c>
      <c r="C483" s="15">
        <v>44350</v>
      </c>
      <c r="D483" s="14">
        <v>159970.03</v>
      </c>
      <c r="E483" s="14" t="s">
        <v>6502</v>
      </c>
      <c r="F483" s="14" t="s">
        <v>6516</v>
      </c>
      <c r="G483" s="14" t="s">
        <v>46</v>
      </c>
      <c r="H483" s="14">
        <v>25</v>
      </c>
      <c r="I483" s="13" t="str" cm="1">
        <f t="array" ref="I483">_xlfn.IFS(
  OR(ISBLANK(A483),ISBLANK(B483),ISBLANK(D483),ISBLANK(E483),ISBLANK(H483)),"Missing Value",
  D483&lt;0,"Review – Out of Range (Claim Amount)",
  H483&lt;0,"Review – Out of Range (Days to Process)",
  TRUE,"OK"
)</f>
        <v>OK</v>
      </c>
    </row>
    <row r="484" spans="1:9" ht="16.8" x14ac:dyDescent="0.3">
      <c r="A484" s="11" t="s">
        <v>6991</v>
      </c>
      <c r="B484" s="11" t="s">
        <v>3414</v>
      </c>
      <c r="C484" s="12">
        <v>44950</v>
      </c>
      <c r="D484" s="11">
        <v>450546.83</v>
      </c>
      <c r="E484" s="11" t="s">
        <v>6508</v>
      </c>
      <c r="F484" s="11" t="s">
        <v>6506</v>
      </c>
      <c r="G484" s="11" t="s">
        <v>45</v>
      </c>
      <c r="H484" s="11">
        <v>13</v>
      </c>
      <c r="I484" s="13" t="str" cm="1">
        <f t="array" ref="I484">_xlfn.IFS(
  OR(ISBLANK(A484),ISBLANK(B484),ISBLANK(D484),ISBLANK(E484),ISBLANK(H484)),"Missing Value",
  D484&lt;0,"Review – Out of Range (Claim Amount)",
  H484&lt;0,"Review – Out of Range (Days to Process)",
  TRUE,"OK"
)</f>
        <v>OK</v>
      </c>
    </row>
    <row r="485" spans="1:9" ht="16.8" x14ac:dyDescent="0.3">
      <c r="A485" s="14" t="s">
        <v>6992</v>
      </c>
      <c r="B485" s="14" t="s">
        <v>5262</v>
      </c>
      <c r="C485" s="15">
        <v>45184</v>
      </c>
      <c r="D485" s="14">
        <v>370505.72</v>
      </c>
      <c r="E485" s="14" t="s">
        <v>6505</v>
      </c>
      <c r="F485" s="14" t="s">
        <v>6516</v>
      </c>
      <c r="G485" s="14" t="s">
        <v>46</v>
      </c>
      <c r="H485" s="14">
        <v>55</v>
      </c>
      <c r="I485" s="13" t="str" cm="1">
        <f t="array" ref="I485">_xlfn.IFS(
  OR(ISBLANK(A485),ISBLANK(B485),ISBLANK(D485),ISBLANK(E485),ISBLANK(H485)),"Missing Value",
  D485&lt;0,"Review – Out of Range (Claim Amount)",
  H485&lt;0,"Review – Out of Range (Days to Process)",
  TRUE,"OK"
)</f>
        <v>OK</v>
      </c>
    </row>
    <row r="486" spans="1:9" ht="16.8" x14ac:dyDescent="0.3">
      <c r="A486" s="11" t="s">
        <v>6993</v>
      </c>
      <c r="B486" s="11" t="s">
        <v>5487</v>
      </c>
      <c r="C486" s="12">
        <v>45208</v>
      </c>
      <c r="D486" s="11">
        <v>198530.28</v>
      </c>
      <c r="E486" s="11" t="s">
        <v>6508</v>
      </c>
      <c r="F486" s="11" t="s">
        <v>6511</v>
      </c>
      <c r="G486" s="11" t="s">
        <v>45</v>
      </c>
      <c r="H486" s="11">
        <v>45</v>
      </c>
      <c r="I486" s="13" t="str" cm="1">
        <f t="array" ref="I486">_xlfn.IFS(
  OR(ISBLANK(A486),ISBLANK(B486),ISBLANK(D486),ISBLANK(E486),ISBLANK(H486)),"Missing Value",
  D486&lt;0,"Review – Out of Range (Claim Amount)",
  H486&lt;0,"Review – Out of Range (Days to Process)",
  TRUE,"OK"
)</f>
        <v>OK</v>
      </c>
    </row>
    <row r="487" spans="1:9" ht="16.8" x14ac:dyDescent="0.3">
      <c r="A487" s="14" t="s">
        <v>6994</v>
      </c>
      <c r="B487" s="14" t="s">
        <v>6067</v>
      </c>
      <c r="C487" s="15">
        <v>44857</v>
      </c>
      <c r="D487" s="14">
        <v>28716.84</v>
      </c>
      <c r="E487" s="14" t="s">
        <v>6502</v>
      </c>
      <c r="F487" s="14" t="s">
        <v>6509</v>
      </c>
      <c r="G487" s="14" t="s">
        <v>46</v>
      </c>
      <c r="H487" s="14">
        <v>30</v>
      </c>
      <c r="I487" s="13" t="str" cm="1">
        <f t="array" ref="I487">_xlfn.IFS(
  OR(ISBLANK(A487),ISBLANK(B487),ISBLANK(D487),ISBLANK(E487),ISBLANK(H487)),"Missing Value",
  D487&lt;0,"Review – Out of Range (Claim Amount)",
  H487&lt;0,"Review – Out of Range (Days to Process)",
  TRUE,"OK"
)</f>
        <v>OK</v>
      </c>
    </row>
    <row r="488" spans="1:9" ht="16.8" x14ac:dyDescent="0.3">
      <c r="A488" s="11" t="s">
        <v>6995</v>
      </c>
      <c r="B488" s="11" t="s">
        <v>5630</v>
      </c>
      <c r="C488" s="12">
        <v>45281</v>
      </c>
      <c r="D488" s="11">
        <v>361724.47</v>
      </c>
      <c r="E488" s="11" t="s">
        <v>6502</v>
      </c>
      <c r="F488" s="11" t="s">
        <v>6516</v>
      </c>
      <c r="G488" s="11" t="s">
        <v>45</v>
      </c>
      <c r="H488" s="11">
        <v>41</v>
      </c>
      <c r="I488" s="13" t="str" cm="1">
        <f t="array" ref="I488">_xlfn.IFS(
  OR(ISBLANK(A488),ISBLANK(B488),ISBLANK(D488),ISBLANK(E488),ISBLANK(H488)),"Missing Value",
  D488&lt;0,"Review – Out of Range (Claim Amount)",
  H488&lt;0,"Review – Out of Range (Days to Process)",
  TRUE,"OK"
)</f>
        <v>OK</v>
      </c>
    </row>
    <row r="489" spans="1:9" ht="16.8" x14ac:dyDescent="0.3">
      <c r="A489" s="14" t="s">
        <v>6996</v>
      </c>
      <c r="B489" s="14" t="s">
        <v>4421</v>
      </c>
      <c r="C489" s="15">
        <v>45534</v>
      </c>
      <c r="D489" s="14">
        <v>179389.36</v>
      </c>
      <c r="E489" s="14" t="s">
        <v>6502</v>
      </c>
      <c r="F489" s="14" t="s">
        <v>6509</v>
      </c>
      <c r="G489" s="14" t="s">
        <v>45</v>
      </c>
      <c r="H489" s="14">
        <v>58</v>
      </c>
      <c r="I489" s="13" t="str" cm="1">
        <f t="array" ref="I489">_xlfn.IFS(
  OR(ISBLANK(A489),ISBLANK(B489),ISBLANK(D489),ISBLANK(E489),ISBLANK(H489)),"Missing Value",
  D489&lt;0,"Review – Out of Range (Claim Amount)",
  H489&lt;0,"Review – Out of Range (Days to Process)",
  TRUE,"OK"
)</f>
        <v>OK</v>
      </c>
    </row>
    <row r="490" spans="1:9" ht="16.8" x14ac:dyDescent="0.3">
      <c r="A490" s="11" t="s">
        <v>6997</v>
      </c>
      <c r="B490" s="11" t="s">
        <v>3984</v>
      </c>
      <c r="C490" s="12">
        <v>45193</v>
      </c>
      <c r="D490" s="11">
        <v>344623.51</v>
      </c>
      <c r="E490" s="11" t="s">
        <v>6505</v>
      </c>
      <c r="F490" s="11" t="s">
        <v>6516</v>
      </c>
      <c r="G490" s="11" t="s">
        <v>46</v>
      </c>
      <c r="H490" s="11">
        <v>41</v>
      </c>
      <c r="I490" s="13" t="str" cm="1">
        <f t="array" ref="I490">_xlfn.IFS(
  OR(ISBLANK(A490),ISBLANK(B490),ISBLANK(D490),ISBLANK(E490),ISBLANK(H490)),"Missing Value",
  D490&lt;0,"Review – Out of Range (Claim Amount)",
  H490&lt;0,"Review – Out of Range (Days to Process)",
  TRUE,"OK"
)</f>
        <v>OK</v>
      </c>
    </row>
    <row r="491" spans="1:9" ht="16.8" x14ac:dyDescent="0.3">
      <c r="A491" s="14" t="s">
        <v>6998</v>
      </c>
      <c r="B491" s="14" t="s">
        <v>4567</v>
      </c>
      <c r="C491" s="15">
        <v>44351</v>
      </c>
      <c r="D491" s="14">
        <v>172986.71</v>
      </c>
      <c r="E491" s="14" t="s">
        <v>6502</v>
      </c>
      <c r="F491" s="14" t="s">
        <v>6511</v>
      </c>
      <c r="G491" s="14" t="s">
        <v>46</v>
      </c>
      <c r="H491" s="14">
        <v>13</v>
      </c>
      <c r="I491" s="13" t="str" cm="1">
        <f t="array" ref="I491">_xlfn.IFS(
  OR(ISBLANK(A491),ISBLANK(B491),ISBLANK(D491),ISBLANK(E491),ISBLANK(H491)),"Missing Value",
  D491&lt;0,"Review – Out of Range (Claim Amount)",
  H491&lt;0,"Review – Out of Range (Days to Process)",
  TRUE,"OK"
)</f>
        <v>OK</v>
      </c>
    </row>
    <row r="492" spans="1:9" ht="16.8" x14ac:dyDescent="0.3">
      <c r="A492" s="11" t="s">
        <v>6999</v>
      </c>
      <c r="B492" s="11" t="s">
        <v>3410</v>
      </c>
      <c r="C492" s="12">
        <v>45442</v>
      </c>
      <c r="D492" s="11">
        <v>262074.65</v>
      </c>
      <c r="E492" s="11" t="s">
        <v>6508</v>
      </c>
      <c r="F492" s="11" t="s">
        <v>6506</v>
      </c>
      <c r="G492" s="11" t="s">
        <v>45</v>
      </c>
      <c r="H492" s="11">
        <v>57</v>
      </c>
      <c r="I492" s="13" t="str" cm="1">
        <f t="array" ref="I492">_xlfn.IFS(
  OR(ISBLANK(A492),ISBLANK(B492),ISBLANK(D492),ISBLANK(E492),ISBLANK(H492)),"Missing Value",
  D492&lt;0,"Review – Out of Range (Claim Amount)",
  H492&lt;0,"Review – Out of Range (Days to Process)",
  TRUE,"OK"
)</f>
        <v>OK</v>
      </c>
    </row>
    <row r="493" spans="1:9" ht="16.8" x14ac:dyDescent="0.3">
      <c r="A493" s="14" t="s">
        <v>7000</v>
      </c>
      <c r="B493" s="14" t="s">
        <v>4002</v>
      </c>
      <c r="C493" s="15">
        <v>45206</v>
      </c>
      <c r="D493" s="14">
        <v>364108.04</v>
      </c>
      <c r="E493" s="14" t="s">
        <v>6505</v>
      </c>
      <c r="F493" s="14" t="s">
        <v>6506</v>
      </c>
      <c r="G493" s="14" t="s">
        <v>45</v>
      </c>
      <c r="H493" s="14">
        <v>55</v>
      </c>
      <c r="I493" s="13" t="str" cm="1">
        <f t="array" ref="I493">_xlfn.IFS(
  OR(ISBLANK(A493),ISBLANK(B493),ISBLANK(D493),ISBLANK(E493),ISBLANK(H493)),"Missing Value",
  D493&lt;0,"Review – Out of Range (Claim Amount)",
  H493&lt;0,"Review – Out of Range (Days to Process)",
  TRUE,"OK"
)</f>
        <v>OK</v>
      </c>
    </row>
    <row r="494" spans="1:9" ht="16.8" x14ac:dyDescent="0.3">
      <c r="A494" s="11" t="s">
        <v>7001</v>
      </c>
      <c r="B494" s="11" t="s">
        <v>5872</v>
      </c>
      <c r="C494" s="12">
        <v>44673</v>
      </c>
      <c r="D494" s="11">
        <v>296239.96999999997</v>
      </c>
      <c r="E494" s="11" t="s">
        <v>6508</v>
      </c>
      <c r="F494" s="11" t="s">
        <v>6506</v>
      </c>
      <c r="G494" s="11" t="s">
        <v>46</v>
      </c>
      <c r="H494" s="11">
        <v>17</v>
      </c>
      <c r="I494" s="13" t="str" cm="1">
        <f t="array" ref="I494">_xlfn.IFS(
  OR(ISBLANK(A494),ISBLANK(B494),ISBLANK(D494),ISBLANK(E494),ISBLANK(H494)),"Missing Value",
  D494&lt;0,"Review – Out of Range (Claim Amount)",
  H494&lt;0,"Review – Out of Range (Days to Process)",
  TRUE,"OK"
)</f>
        <v>OK</v>
      </c>
    </row>
    <row r="495" spans="1:9" ht="16.8" x14ac:dyDescent="0.3">
      <c r="A495" s="14" t="s">
        <v>7002</v>
      </c>
      <c r="B495" s="14" t="s">
        <v>4638</v>
      </c>
      <c r="C495" s="15">
        <v>45360</v>
      </c>
      <c r="D495" s="14">
        <v>277517.75</v>
      </c>
      <c r="E495" s="14" t="s">
        <v>6508</v>
      </c>
      <c r="F495" s="14" t="s">
        <v>6509</v>
      </c>
      <c r="G495" s="14" t="s">
        <v>45</v>
      </c>
      <c r="H495" s="14">
        <v>30</v>
      </c>
      <c r="I495" s="13" t="str" cm="1">
        <f t="array" ref="I495">_xlfn.IFS(
  OR(ISBLANK(A495),ISBLANK(B495),ISBLANK(D495),ISBLANK(E495),ISBLANK(H495)),"Missing Value",
  D495&lt;0,"Review – Out of Range (Claim Amount)",
  H495&lt;0,"Review – Out of Range (Days to Process)",
  TRUE,"OK"
)</f>
        <v>OK</v>
      </c>
    </row>
    <row r="496" spans="1:9" ht="16.8" x14ac:dyDescent="0.3">
      <c r="A496" s="11" t="s">
        <v>7003</v>
      </c>
      <c r="B496" s="11" t="s">
        <v>6331</v>
      </c>
      <c r="C496" s="12">
        <v>45518</v>
      </c>
      <c r="D496" s="11">
        <v>416127.32</v>
      </c>
      <c r="E496" s="11" t="s">
        <v>6508</v>
      </c>
      <c r="F496" s="11" t="s">
        <v>6516</v>
      </c>
      <c r="G496" s="11" t="s">
        <v>46</v>
      </c>
      <c r="H496" s="11">
        <v>9</v>
      </c>
      <c r="I496" s="13" t="str" cm="1">
        <f t="array" ref="I496">_xlfn.IFS(
  OR(ISBLANK(A496),ISBLANK(B496),ISBLANK(D496),ISBLANK(E496),ISBLANK(H496)),"Missing Value",
  D496&lt;0,"Review – Out of Range (Claim Amount)",
  H496&lt;0,"Review – Out of Range (Days to Process)",
  TRUE,"OK"
)</f>
        <v>OK</v>
      </c>
    </row>
    <row r="497" spans="1:9" ht="16.8" x14ac:dyDescent="0.3">
      <c r="A497" s="14" t="s">
        <v>7004</v>
      </c>
      <c r="B497" s="14" t="s">
        <v>6257</v>
      </c>
      <c r="C497" s="15">
        <v>45069</v>
      </c>
      <c r="D497" s="14">
        <v>70717.429999999993</v>
      </c>
      <c r="E497" s="14" t="s">
        <v>6508</v>
      </c>
      <c r="F497" s="14" t="s">
        <v>6506</v>
      </c>
      <c r="G497" s="14" t="s">
        <v>45</v>
      </c>
      <c r="H497" s="14">
        <v>36</v>
      </c>
      <c r="I497" s="13" t="str" cm="1">
        <f t="array" ref="I497">_xlfn.IFS(
  OR(ISBLANK(A497),ISBLANK(B497),ISBLANK(D497),ISBLANK(E497),ISBLANK(H497)),"Missing Value",
  D497&lt;0,"Review – Out of Range (Claim Amount)",
  H497&lt;0,"Review – Out of Range (Days to Process)",
  TRUE,"OK"
)</f>
        <v>OK</v>
      </c>
    </row>
    <row r="498" spans="1:9" ht="16.8" x14ac:dyDescent="0.3">
      <c r="A498" s="11" t="s">
        <v>7005</v>
      </c>
      <c r="B498" s="11" t="s">
        <v>4146</v>
      </c>
      <c r="C498" s="12">
        <v>45424</v>
      </c>
      <c r="D498" s="11">
        <v>157411.14000000001</v>
      </c>
      <c r="E498" s="11" t="s">
        <v>6508</v>
      </c>
      <c r="F498" s="11" t="s">
        <v>6503</v>
      </c>
      <c r="G498" s="11" t="s">
        <v>46</v>
      </c>
      <c r="H498" s="11">
        <v>34</v>
      </c>
      <c r="I498" s="13" t="str" cm="1">
        <f t="array" ref="I498">_xlfn.IFS(
  OR(ISBLANK(A498),ISBLANK(B498),ISBLANK(D498),ISBLANK(E498),ISBLANK(H498)),"Missing Value",
  D498&lt;0,"Review – Out of Range (Claim Amount)",
  H498&lt;0,"Review – Out of Range (Days to Process)",
  TRUE,"OK"
)</f>
        <v>OK</v>
      </c>
    </row>
    <row r="499" spans="1:9" ht="16.8" x14ac:dyDescent="0.3">
      <c r="A499" s="14" t="s">
        <v>7006</v>
      </c>
      <c r="B499" s="14" t="s">
        <v>3406</v>
      </c>
      <c r="C499" s="15">
        <v>45285</v>
      </c>
      <c r="D499" s="14">
        <v>81805.240000000005</v>
      </c>
      <c r="E499" s="14" t="s">
        <v>6502</v>
      </c>
      <c r="F499" s="14" t="s">
        <v>6506</v>
      </c>
      <c r="G499" s="14" t="s">
        <v>45</v>
      </c>
      <c r="H499" s="14">
        <v>51</v>
      </c>
      <c r="I499" s="13" t="str" cm="1">
        <f t="array" ref="I499">_xlfn.IFS(
  OR(ISBLANK(A499),ISBLANK(B499),ISBLANK(D499),ISBLANK(E499),ISBLANK(H499)),"Missing Value",
  D499&lt;0,"Review – Out of Range (Claim Amount)",
  H499&lt;0,"Review – Out of Range (Days to Process)",
  TRUE,"OK"
)</f>
        <v>OK</v>
      </c>
    </row>
    <row r="500" spans="1:9" ht="16.8" x14ac:dyDescent="0.3">
      <c r="A500" s="11" t="s">
        <v>7007</v>
      </c>
      <c r="B500" s="11" t="s">
        <v>4723</v>
      </c>
      <c r="C500" s="12">
        <v>44951</v>
      </c>
      <c r="D500" s="11">
        <v>444333.16</v>
      </c>
      <c r="E500" s="11" t="s">
        <v>6508</v>
      </c>
      <c r="F500" s="11" t="s">
        <v>6516</v>
      </c>
      <c r="G500" s="11" t="s">
        <v>46</v>
      </c>
      <c r="H500" s="11">
        <v>45</v>
      </c>
      <c r="I500" s="13" t="str" cm="1">
        <f t="array" ref="I500">_xlfn.IFS(
  OR(ISBLANK(A500),ISBLANK(B500),ISBLANK(D500),ISBLANK(E500),ISBLANK(H500)),"Missing Value",
  D500&lt;0,"Review – Out of Range (Claim Amount)",
  H500&lt;0,"Review – Out of Range (Days to Process)",
  TRUE,"OK"
)</f>
        <v>OK</v>
      </c>
    </row>
    <row r="501" spans="1:9" ht="16.8" x14ac:dyDescent="0.3">
      <c r="A501" s="14" t="s">
        <v>7008</v>
      </c>
      <c r="B501" s="14" t="s">
        <v>5514</v>
      </c>
      <c r="C501" s="15">
        <v>45123</v>
      </c>
      <c r="D501" s="14">
        <v>55442.14</v>
      </c>
      <c r="E501" s="14" t="s">
        <v>6505</v>
      </c>
      <c r="F501" s="14" t="s">
        <v>6511</v>
      </c>
      <c r="G501" s="14" t="s">
        <v>45</v>
      </c>
      <c r="H501" s="14">
        <v>9</v>
      </c>
      <c r="I501" s="13" t="str" cm="1">
        <f t="array" ref="I501">_xlfn.IFS(
  OR(ISBLANK(A501),ISBLANK(B501),ISBLANK(D501),ISBLANK(E501),ISBLANK(H501)),"Missing Value",
  D501&lt;0,"Review – Out of Range (Claim Amount)",
  H501&lt;0,"Review – Out of Range (Days to Process)",
  TRUE,"OK"
)</f>
        <v>OK</v>
      </c>
    </row>
    <row r="502" spans="1:9" ht="16.8" x14ac:dyDescent="0.3">
      <c r="A502" s="11" t="s">
        <v>7009</v>
      </c>
      <c r="B502" s="11" t="s">
        <v>4520</v>
      </c>
      <c r="C502" s="12">
        <v>44833</v>
      </c>
      <c r="D502" s="11">
        <v>299995.48</v>
      </c>
      <c r="E502" s="11" t="s">
        <v>6502</v>
      </c>
      <c r="F502" s="11" t="s">
        <v>6506</v>
      </c>
      <c r="G502" s="11" t="s">
        <v>46</v>
      </c>
      <c r="H502" s="11">
        <v>17</v>
      </c>
      <c r="I502" s="13" t="str" cm="1">
        <f t="array" ref="I502">_xlfn.IFS(
  OR(ISBLANK(A502),ISBLANK(B502),ISBLANK(D502),ISBLANK(E502),ISBLANK(H502)),"Missing Value",
  D502&lt;0,"Review – Out of Range (Claim Amount)",
  H502&lt;0,"Review – Out of Range (Days to Process)",
  TRUE,"OK"
)</f>
        <v>OK</v>
      </c>
    </row>
    <row r="503" spans="1:9" ht="16.8" x14ac:dyDescent="0.3">
      <c r="A503" s="14" t="s">
        <v>7010</v>
      </c>
      <c r="B503" s="14" t="s">
        <v>4538</v>
      </c>
      <c r="C503" s="15">
        <v>45310</v>
      </c>
      <c r="D503" s="14">
        <v>201994.59</v>
      </c>
      <c r="E503" s="14" t="s">
        <v>6508</v>
      </c>
      <c r="F503" s="14" t="s">
        <v>6509</v>
      </c>
      <c r="G503" s="14" t="s">
        <v>45</v>
      </c>
      <c r="H503" s="14">
        <v>7</v>
      </c>
      <c r="I503" s="13" t="str" cm="1">
        <f t="array" ref="I503">_xlfn.IFS(
  OR(ISBLANK(A503),ISBLANK(B503),ISBLANK(D503),ISBLANK(E503),ISBLANK(H503)),"Missing Value",
  D503&lt;0,"Review – Out of Range (Claim Amount)",
  H503&lt;0,"Review – Out of Range (Days to Process)",
  TRUE,"OK"
)</f>
        <v>OK</v>
      </c>
    </row>
    <row r="504" spans="1:9" ht="16.8" x14ac:dyDescent="0.3">
      <c r="A504" s="11" t="s">
        <v>7011</v>
      </c>
      <c r="B504" s="11" t="s">
        <v>4035</v>
      </c>
      <c r="C504" s="12">
        <v>45185</v>
      </c>
      <c r="D504" s="11">
        <v>355245.86</v>
      </c>
      <c r="E504" s="11" t="s">
        <v>6502</v>
      </c>
      <c r="F504" s="11" t="s">
        <v>6503</v>
      </c>
      <c r="G504" s="11" t="s">
        <v>45</v>
      </c>
      <c r="H504" s="11">
        <v>30</v>
      </c>
      <c r="I504" s="13" t="str" cm="1">
        <f t="array" ref="I504">_xlfn.IFS(
  OR(ISBLANK(A504),ISBLANK(B504),ISBLANK(D504),ISBLANK(E504),ISBLANK(H504)),"Missing Value",
  D504&lt;0,"Review – Out of Range (Claim Amount)",
  H504&lt;0,"Review – Out of Range (Days to Process)",
  TRUE,"OK"
)</f>
        <v>OK</v>
      </c>
    </row>
    <row r="505" spans="1:9" ht="16.8" x14ac:dyDescent="0.3">
      <c r="A505" s="14" t="s">
        <v>7012</v>
      </c>
      <c r="B505" s="14" t="s">
        <v>3901</v>
      </c>
      <c r="C505" s="15">
        <v>45145</v>
      </c>
      <c r="D505" s="14">
        <v>282997.68</v>
      </c>
      <c r="E505" s="14" t="s">
        <v>6508</v>
      </c>
      <c r="F505" s="14" t="s">
        <v>6503</v>
      </c>
      <c r="G505" s="14" t="s">
        <v>45</v>
      </c>
      <c r="H505" s="14">
        <v>26</v>
      </c>
      <c r="I505" s="13" t="str" cm="1">
        <f t="array" ref="I505">_xlfn.IFS(
  OR(ISBLANK(A505),ISBLANK(B505),ISBLANK(D505),ISBLANK(E505),ISBLANK(H505)),"Missing Value",
  D505&lt;0,"Review – Out of Range (Claim Amount)",
  H505&lt;0,"Review – Out of Range (Days to Process)",
  TRUE,"OK"
)</f>
        <v>OK</v>
      </c>
    </row>
    <row r="506" spans="1:9" ht="16.8" x14ac:dyDescent="0.3">
      <c r="A506" s="11" t="s">
        <v>7013</v>
      </c>
      <c r="B506" s="11" t="s">
        <v>3745</v>
      </c>
      <c r="C506" s="12">
        <v>44786</v>
      </c>
      <c r="D506" s="11">
        <v>485091.49</v>
      </c>
      <c r="E506" s="11" t="s">
        <v>6508</v>
      </c>
      <c r="F506" s="11" t="s">
        <v>6506</v>
      </c>
      <c r="G506" s="11" t="s">
        <v>45</v>
      </c>
      <c r="H506" s="11">
        <v>22</v>
      </c>
      <c r="I506" s="13" t="str" cm="1">
        <f t="array" ref="I506">_xlfn.IFS(
  OR(ISBLANK(A506),ISBLANK(B506),ISBLANK(D506),ISBLANK(E506),ISBLANK(H506)),"Missing Value",
  D506&lt;0,"Review – Out of Range (Claim Amount)",
  H506&lt;0,"Review – Out of Range (Days to Process)",
  TRUE,"OK"
)</f>
        <v>OK</v>
      </c>
    </row>
    <row r="507" spans="1:9" ht="16.8" x14ac:dyDescent="0.3">
      <c r="A507" s="14" t="s">
        <v>7014</v>
      </c>
      <c r="B507" s="14" t="s">
        <v>4669</v>
      </c>
      <c r="C507" s="15">
        <v>45400</v>
      </c>
      <c r="D507" s="14">
        <v>303358.15999999997</v>
      </c>
      <c r="E507" s="14" t="s">
        <v>6508</v>
      </c>
      <c r="F507" s="14" t="s">
        <v>6511</v>
      </c>
      <c r="G507" s="14" t="s">
        <v>46</v>
      </c>
      <c r="H507" s="14">
        <v>22</v>
      </c>
      <c r="I507" s="13" t="str" cm="1">
        <f t="array" ref="I507">_xlfn.IFS(
  OR(ISBLANK(A507),ISBLANK(B507),ISBLANK(D507),ISBLANK(E507),ISBLANK(H507)),"Missing Value",
  D507&lt;0,"Review – Out of Range (Claim Amount)",
  H507&lt;0,"Review – Out of Range (Days to Process)",
  TRUE,"OK"
)</f>
        <v>OK</v>
      </c>
    </row>
    <row r="508" spans="1:9" ht="16.8" x14ac:dyDescent="0.3">
      <c r="A508" s="11" t="s">
        <v>7015</v>
      </c>
      <c r="B508" s="11" t="s">
        <v>3915</v>
      </c>
      <c r="C508" s="12">
        <v>44880</v>
      </c>
      <c r="D508" s="11">
        <v>380640.57</v>
      </c>
      <c r="E508" s="11" t="s">
        <v>6508</v>
      </c>
      <c r="F508" s="11" t="s">
        <v>6511</v>
      </c>
      <c r="G508" s="11" t="s">
        <v>45</v>
      </c>
      <c r="H508" s="11">
        <v>17</v>
      </c>
      <c r="I508" s="13" t="str" cm="1">
        <f t="array" ref="I508">_xlfn.IFS(
  OR(ISBLANK(A508),ISBLANK(B508),ISBLANK(D508),ISBLANK(E508),ISBLANK(H508)),"Missing Value",
  D508&lt;0,"Review – Out of Range (Claim Amount)",
  H508&lt;0,"Review – Out of Range (Days to Process)",
  TRUE,"OK"
)</f>
        <v>OK</v>
      </c>
    </row>
    <row r="509" spans="1:9" ht="16.8" x14ac:dyDescent="0.3">
      <c r="A509" s="14" t="s">
        <v>7016</v>
      </c>
      <c r="B509" s="14" t="s">
        <v>5652</v>
      </c>
      <c r="C509" s="15">
        <v>45393</v>
      </c>
      <c r="D509" s="14">
        <v>227762.46</v>
      </c>
      <c r="E509" s="14" t="s">
        <v>6505</v>
      </c>
      <c r="F509" s="14" t="s">
        <v>6506</v>
      </c>
      <c r="G509" s="14" t="s">
        <v>45</v>
      </c>
      <c r="H509" s="14">
        <v>6</v>
      </c>
      <c r="I509" s="13" t="str" cm="1">
        <f t="array" ref="I509">_xlfn.IFS(
  OR(ISBLANK(A509),ISBLANK(B509),ISBLANK(D509),ISBLANK(E509),ISBLANK(H509)),"Missing Value",
  D509&lt;0,"Review – Out of Range (Claim Amount)",
  H509&lt;0,"Review – Out of Range (Days to Process)",
  TRUE,"OK"
)</f>
        <v>OK</v>
      </c>
    </row>
    <row r="510" spans="1:9" ht="16.8" x14ac:dyDescent="0.3">
      <c r="A510" s="11" t="s">
        <v>7017</v>
      </c>
      <c r="B510" s="11" t="s">
        <v>4869</v>
      </c>
      <c r="C510" s="12">
        <v>45261</v>
      </c>
      <c r="D510" s="11">
        <v>200731.28</v>
      </c>
      <c r="E510" s="11" t="s">
        <v>6508</v>
      </c>
      <c r="F510" s="11" t="s">
        <v>6511</v>
      </c>
      <c r="G510" s="11" t="s">
        <v>46</v>
      </c>
      <c r="H510" s="11">
        <v>53</v>
      </c>
      <c r="I510" s="13" t="str" cm="1">
        <f t="array" ref="I510">_xlfn.IFS(
  OR(ISBLANK(A510),ISBLANK(B510),ISBLANK(D510),ISBLANK(E510),ISBLANK(H510)),"Missing Value",
  D510&lt;0,"Review – Out of Range (Claim Amount)",
  H510&lt;0,"Review – Out of Range (Days to Process)",
  TRUE,"OK"
)</f>
        <v>OK</v>
      </c>
    </row>
    <row r="511" spans="1:9" ht="16.8" x14ac:dyDescent="0.3">
      <c r="A511" s="14" t="s">
        <v>7018</v>
      </c>
      <c r="B511" s="14" t="s">
        <v>4315</v>
      </c>
      <c r="C511" s="15">
        <v>45703</v>
      </c>
      <c r="D511" s="14">
        <v>324185.73</v>
      </c>
      <c r="E511" s="14" t="s">
        <v>6508</v>
      </c>
      <c r="F511" s="14" t="s">
        <v>6506</v>
      </c>
      <c r="G511" s="14" t="s">
        <v>46</v>
      </c>
      <c r="H511" s="14">
        <v>55</v>
      </c>
      <c r="I511" s="13" t="str" cm="1">
        <f t="array" ref="I511">_xlfn.IFS(
  OR(ISBLANK(A511),ISBLANK(B511),ISBLANK(D511),ISBLANK(E511),ISBLANK(H511)),"Missing Value",
  D511&lt;0,"Review – Out of Range (Claim Amount)",
  H511&lt;0,"Review – Out of Range (Days to Process)",
  TRUE,"OK"
)</f>
        <v>OK</v>
      </c>
    </row>
    <row r="512" spans="1:9" ht="16.8" x14ac:dyDescent="0.3">
      <c r="A512" s="11" t="s">
        <v>7019</v>
      </c>
      <c r="B512" s="11" t="s">
        <v>4739</v>
      </c>
      <c r="C512" s="12">
        <v>45087</v>
      </c>
      <c r="D512" s="11">
        <v>158699.26999999999</v>
      </c>
      <c r="E512" s="11" t="s">
        <v>6502</v>
      </c>
      <c r="F512" s="11" t="s">
        <v>6509</v>
      </c>
      <c r="G512" s="11" t="s">
        <v>46</v>
      </c>
      <c r="H512" s="11">
        <v>57</v>
      </c>
      <c r="I512" s="13" t="str" cm="1">
        <f t="array" ref="I512">_xlfn.IFS(
  OR(ISBLANK(A512),ISBLANK(B512),ISBLANK(D512),ISBLANK(E512),ISBLANK(H512)),"Missing Value",
  D512&lt;0,"Review – Out of Range (Claim Amount)",
  H512&lt;0,"Review – Out of Range (Days to Process)",
  TRUE,"OK"
)</f>
        <v>OK</v>
      </c>
    </row>
    <row r="513" spans="1:9" ht="16.8" x14ac:dyDescent="0.3">
      <c r="A513" s="14" t="s">
        <v>7020</v>
      </c>
      <c r="B513" s="14" t="s">
        <v>4648</v>
      </c>
      <c r="C513" s="15">
        <v>45424</v>
      </c>
      <c r="D513" s="14">
        <v>76565.179999999993</v>
      </c>
      <c r="E513" s="14" t="s">
        <v>6502</v>
      </c>
      <c r="F513" s="14" t="s">
        <v>6503</v>
      </c>
      <c r="G513" s="14" t="s">
        <v>46</v>
      </c>
      <c r="H513" s="14">
        <v>47</v>
      </c>
      <c r="I513" s="13" t="str" cm="1">
        <f t="array" ref="I513">_xlfn.IFS(
  OR(ISBLANK(A513),ISBLANK(B513),ISBLANK(D513),ISBLANK(E513),ISBLANK(H513)),"Missing Value",
  D513&lt;0,"Review – Out of Range (Claim Amount)",
  H513&lt;0,"Review – Out of Range (Days to Process)",
  TRUE,"OK"
)</f>
        <v>OK</v>
      </c>
    </row>
    <row r="514" spans="1:9" ht="16.8" x14ac:dyDescent="0.3">
      <c r="A514" s="11" t="s">
        <v>7021</v>
      </c>
      <c r="B514" s="11" t="s">
        <v>4680</v>
      </c>
      <c r="C514" s="12">
        <v>44653</v>
      </c>
      <c r="D514" s="11">
        <v>453802.02</v>
      </c>
      <c r="E514" s="11" t="s">
        <v>6505</v>
      </c>
      <c r="F514" s="11" t="s">
        <v>6511</v>
      </c>
      <c r="G514" s="11" t="s">
        <v>46</v>
      </c>
      <c r="H514" s="11">
        <v>57</v>
      </c>
      <c r="I514" s="13" t="str" cm="1">
        <f t="array" ref="I514">_xlfn.IFS(
  OR(ISBLANK(A514),ISBLANK(B514),ISBLANK(D514),ISBLANK(E514),ISBLANK(H514)),"Missing Value",
  D514&lt;0,"Review – Out of Range (Claim Amount)",
  H514&lt;0,"Review – Out of Range (Days to Process)",
  TRUE,"OK"
)</f>
        <v>OK</v>
      </c>
    </row>
    <row r="515" spans="1:9" ht="16.8" x14ac:dyDescent="0.3">
      <c r="A515" s="14" t="s">
        <v>7022</v>
      </c>
      <c r="B515" s="14" t="s">
        <v>3559</v>
      </c>
      <c r="C515" s="15">
        <v>45413</v>
      </c>
      <c r="D515" s="14">
        <v>375570.91</v>
      </c>
      <c r="E515" s="14" t="s">
        <v>6505</v>
      </c>
      <c r="F515" s="14" t="s">
        <v>6511</v>
      </c>
      <c r="G515" s="14" t="s">
        <v>45</v>
      </c>
      <c r="H515" s="14">
        <v>48</v>
      </c>
      <c r="I515" s="13" t="str" cm="1">
        <f t="array" ref="I515">_xlfn.IFS(
  OR(ISBLANK(A515),ISBLANK(B515),ISBLANK(D515),ISBLANK(E515),ISBLANK(H515)),"Missing Value",
  D515&lt;0,"Review – Out of Range (Claim Amount)",
  H515&lt;0,"Review – Out of Range (Days to Process)",
  TRUE,"OK"
)</f>
        <v>OK</v>
      </c>
    </row>
    <row r="516" spans="1:9" ht="16.8" x14ac:dyDescent="0.3">
      <c r="A516" s="11" t="s">
        <v>7023</v>
      </c>
      <c r="B516" s="11" t="s">
        <v>6493</v>
      </c>
      <c r="C516" s="12">
        <v>45242</v>
      </c>
      <c r="D516" s="11">
        <v>248647.27</v>
      </c>
      <c r="E516" s="11" t="s">
        <v>6508</v>
      </c>
      <c r="F516" s="11" t="s">
        <v>6503</v>
      </c>
      <c r="G516" s="11" t="s">
        <v>45</v>
      </c>
      <c r="H516" s="11">
        <v>39</v>
      </c>
      <c r="I516" s="13" t="str" cm="1">
        <f t="array" ref="I516">_xlfn.IFS(
  OR(ISBLANK(A516),ISBLANK(B516),ISBLANK(D516),ISBLANK(E516),ISBLANK(H516)),"Missing Value",
  D516&lt;0,"Review – Out of Range (Claim Amount)",
  H516&lt;0,"Review – Out of Range (Days to Process)",
  TRUE,"OK"
)</f>
        <v>OK</v>
      </c>
    </row>
    <row r="517" spans="1:9" ht="16.8" x14ac:dyDescent="0.3">
      <c r="A517" s="14" t="s">
        <v>7024</v>
      </c>
      <c r="B517" s="14" t="s">
        <v>3826</v>
      </c>
      <c r="C517" s="15">
        <v>45230</v>
      </c>
      <c r="D517" s="14">
        <v>386485.86</v>
      </c>
      <c r="E517" s="14" t="s">
        <v>6502</v>
      </c>
      <c r="F517" s="14" t="s">
        <v>6509</v>
      </c>
      <c r="G517" s="14" t="s">
        <v>46</v>
      </c>
      <c r="H517" s="14">
        <v>45</v>
      </c>
      <c r="I517" s="13" t="str" cm="1">
        <f t="array" ref="I517">_xlfn.IFS(
  OR(ISBLANK(A517),ISBLANK(B517),ISBLANK(D517),ISBLANK(E517),ISBLANK(H517)),"Missing Value",
  D517&lt;0,"Review – Out of Range (Claim Amount)",
  H517&lt;0,"Review – Out of Range (Days to Process)",
  TRUE,"OK"
)</f>
        <v>OK</v>
      </c>
    </row>
    <row r="518" spans="1:9" ht="16.8" x14ac:dyDescent="0.3">
      <c r="A518" s="11" t="s">
        <v>7025</v>
      </c>
      <c r="B518" s="11" t="s">
        <v>5476</v>
      </c>
      <c r="C518" s="12">
        <v>44521</v>
      </c>
      <c r="D518" s="11">
        <v>288249.2</v>
      </c>
      <c r="E518" s="11" t="s">
        <v>6508</v>
      </c>
      <c r="F518" s="11" t="s">
        <v>6503</v>
      </c>
      <c r="G518" s="11" t="s">
        <v>45</v>
      </c>
      <c r="H518" s="11">
        <v>23</v>
      </c>
      <c r="I518" s="13" t="str" cm="1">
        <f t="array" ref="I518">_xlfn.IFS(
  OR(ISBLANK(A518),ISBLANK(B518),ISBLANK(D518),ISBLANK(E518),ISBLANK(H518)),"Missing Value",
  D518&lt;0,"Review – Out of Range (Claim Amount)",
  H518&lt;0,"Review – Out of Range (Days to Process)",
  TRUE,"OK"
)</f>
        <v>OK</v>
      </c>
    </row>
    <row r="519" spans="1:9" ht="16.8" x14ac:dyDescent="0.3">
      <c r="A519" s="14" t="s">
        <v>7026</v>
      </c>
      <c r="B519" s="14" t="s">
        <v>6206</v>
      </c>
      <c r="C519" s="15">
        <v>45456</v>
      </c>
      <c r="D519" s="14">
        <v>95884.86</v>
      </c>
      <c r="E519" s="14" t="s">
        <v>6505</v>
      </c>
      <c r="F519" s="14" t="s">
        <v>6509</v>
      </c>
      <c r="G519" s="14" t="s">
        <v>46</v>
      </c>
      <c r="H519" s="14">
        <v>37</v>
      </c>
      <c r="I519" s="13" t="str" cm="1">
        <f t="array" ref="I519">_xlfn.IFS(
  OR(ISBLANK(A519),ISBLANK(B519),ISBLANK(D519),ISBLANK(E519),ISBLANK(H519)),"Missing Value",
  D519&lt;0,"Review – Out of Range (Claim Amount)",
  H519&lt;0,"Review – Out of Range (Days to Process)",
  TRUE,"OK"
)</f>
        <v>OK</v>
      </c>
    </row>
    <row r="520" spans="1:9" ht="16.8" x14ac:dyDescent="0.3">
      <c r="A520" s="11" t="s">
        <v>7027</v>
      </c>
      <c r="B520" s="11" t="s">
        <v>3937</v>
      </c>
      <c r="C520" s="12">
        <v>45493</v>
      </c>
      <c r="D520" s="11">
        <v>345927.84</v>
      </c>
      <c r="E520" s="11" t="s">
        <v>6505</v>
      </c>
      <c r="F520" s="11" t="s">
        <v>6503</v>
      </c>
      <c r="G520" s="11" t="s">
        <v>46</v>
      </c>
      <c r="H520" s="11">
        <v>22</v>
      </c>
      <c r="I520" s="13" t="str" cm="1">
        <f t="array" ref="I520">_xlfn.IFS(
  OR(ISBLANK(A520),ISBLANK(B520),ISBLANK(D520),ISBLANK(E520),ISBLANK(H520)),"Missing Value",
  D520&lt;0,"Review – Out of Range (Claim Amount)",
  H520&lt;0,"Review – Out of Range (Days to Process)",
  TRUE,"OK"
)</f>
        <v>OK</v>
      </c>
    </row>
    <row r="521" spans="1:9" ht="16.8" x14ac:dyDescent="0.3">
      <c r="A521" s="14" t="s">
        <v>7028</v>
      </c>
      <c r="B521" s="14" t="s">
        <v>5892</v>
      </c>
      <c r="C521" s="15">
        <v>44579</v>
      </c>
      <c r="D521" s="14">
        <v>92715.24</v>
      </c>
      <c r="E521" s="14" t="s">
        <v>6502</v>
      </c>
      <c r="F521" s="14" t="s">
        <v>6511</v>
      </c>
      <c r="G521" s="14" t="s">
        <v>45</v>
      </c>
      <c r="H521" s="14">
        <v>27</v>
      </c>
      <c r="I521" s="13" t="str" cm="1">
        <f t="array" ref="I521">_xlfn.IFS(
  OR(ISBLANK(A521),ISBLANK(B521),ISBLANK(D521),ISBLANK(E521),ISBLANK(H521)),"Missing Value",
  D521&lt;0,"Review – Out of Range (Claim Amount)",
  H521&lt;0,"Review – Out of Range (Days to Process)",
  TRUE,"OK"
)</f>
        <v>OK</v>
      </c>
    </row>
    <row r="522" spans="1:9" ht="16.8" x14ac:dyDescent="0.3">
      <c r="A522" s="11" t="s">
        <v>7029</v>
      </c>
      <c r="B522" s="11" t="s">
        <v>5168</v>
      </c>
      <c r="C522" s="12">
        <v>45339</v>
      </c>
      <c r="D522" s="11">
        <v>77635.23</v>
      </c>
      <c r="E522" s="11" t="s">
        <v>6508</v>
      </c>
      <c r="F522" s="11" t="s">
        <v>6506</v>
      </c>
      <c r="G522" s="11" t="s">
        <v>46</v>
      </c>
      <c r="H522" s="11">
        <v>56</v>
      </c>
      <c r="I522" s="13" t="str" cm="1">
        <f t="array" ref="I522">_xlfn.IFS(
  OR(ISBLANK(A522),ISBLANK(B522),ISBLANK(D522),ISBLANK(E522),ISBLANK(H522)),"Missing Value",
  D522&lt;0,"Review – Out of Range (Claim Amount)",
  H522&lt;0,"Review – Out of Range (Days to Process)",
  TRUE,"OK"
)</f>
        <v>OK</v>
      </c>
    </row>
    <row r="523" spans="1:9" ht="16.8" x14ac:dyDescent="0.3">
      <c r="A523" s="14" t="s">
        <v>7030</v>
      </c>
      <c r="B523" s="14" t="s">
        <v>4203</v>
      </c>
      <c r="C523" s="15">
        <v>44626</v>
      </c>
      <c r="D523" s="14">
        <v>57395.91</v>
      </c>
      <c r="E523" s="14" t="s">
        <v>6502</v>
      </c>
      <c r="F523" s="14" t="s">
        <v>6516</v>
      </c>
      <c r="G523" s="14" t="s">
        <v>46</v>
      </c>
      <c r="H523" s="14">
        <v>34</v>
      </c>
      <c r="I523" s="13" t="str" cm="1">
        <f t="array" ref="I523">_xlfn.IFS(
  OR(ISBLANK(A523),ISBLANK(B523),ISBLANK(D523),ISBLANK(E523),ISBLANK(H523)),"Missing Value",
  D523&lt;0,"Review – Out of Range (Claim Amount)",
  H523&lt;0,"Review – Out of Range (Days to Process)",
  TRUE,"OK"
)</f>
        <v>OK</v>
      </c>
    </row>
    <row r="524" spans="1:9" ht="16.8" x14ac:dyDescent="0.3">
      <c r="A524" s="11" t="s">
        <v>7031</v>
      </c>
      <c r="B524" s="11" t="s">
        <v>4789</v>
      </c>
      <c r="C524" s="12">
        <v>44961</v>
      </c>
      <c r="D524" s="11">
        <v>255378.53</v>
      </c>
      <c r="E524" s="11" t="s">
        <v>6508</v>
      </c>
      <c r="F524" s="11" t="s">
        <v>6503</v>
      </c>
      <c r="G524" s="11" t="s">
        <v>46</v>
      </c>
      <c r="H524" s="11">
        <v>48</v>
      </c>
      <c r="I524" s="13" t="str" cm="1">
        <f t="array" ref="I524">_xlfn.IFS(
  OR(ISBLANK(A524),ISBLANK(B524),ISBLANK(D524),ISBLANK(E524),ISBLANK(H524)),"Missing Value",
  D524&lt;0,"Review – Out of Range (Claim Amount)",
  H524&lt;0,"Review – Out of Range (Days to Process)",
  TRUE,"OK"
)</f>
        <v>OK</v>
      </c>
    </row>
    <row r="525" spans="1:9" ht="16.8" x14ac:dyDescent="0.3">
      <c r="A525" s="14" t="s">
        <v>7032</v>
      </c>
      <c r="B525" s="14" t="s">
        <v>5957</v>
      </c>
      <c r="C525" s="15">
        <v>45518</v>
      </c>
      <c r="D525" s="14">
        <v>229336.47</v>
      </c>
      <c r="E525" s="14" t="s">
        <v>6508</v>
      </c>
      <c r="F525" s="14" t="s">
        <v>6511</v>
      </c>
      <c r="G525" s="14" t="s">
        <v>45</v>
      </c>
      <c r="H525" s="14">
        <v>10</v>
      </c>
      <c r="I525" s="13" t="str" cm="1">
        <f t="array" ref="I525">_xlfn.IFS(
  OR(ISBLANK(A525),ISBLANK(B525),ISBLANK(D525),ISBLANK(E525),ISBLANK(H525)),"Missing Value",
  D525&lt;0,"Review – Out of Range (Claim Amount)",
  H525&lt;0,"Review – Out of Range (Days to Process)",
  TRUE,"OK"
)</f>
        <v>OK</v>
      </c>
    </row>
    <row r="526" spans="1:9" ht="16.8" x14ac:dyDescent="0.3">
      <c r="A526" s="11" t="s">
        <v>7033</v>
      </c>
      <c r="B526" s="11" t="s">
        <v>4912</v>
      </c>
      <c r="C526" s="12">
        <v>44529</v>
      </c>
      <c r="D526" s="11">
        <v>345408.81</v>
      </c>
      <c r="E526" s="11" t="s">
        <v>6502</v>
      </c>
      <c r="F526" s="11" t="s">
        <v>6509</v>
      </c>
      <c r="G526" s="11" t="s">
        <v>45</v>
      </c>
      <c r="H526" s="11">
        <v>26</v>
      </c>
      <c r="I526" s="13" t="str" cm="1">
        <f t="array" ref="I526">_xlfn.IFS(
  OR(ISBLANK(A526),ISBLANK(B526),ISBLANK(D526),ISBLANK(E526),ISBLANK(H526)),"Missing Value",
  D526&lt;0,"Review – Out of Range (Claim Amount)",
  H526&lt;0,"Review – Out of Range (Days to Process)",
  TRUE,"OK"
)</f>
        <v>OK</v>
      </c>
    </row>
    <row r="527" spans="1:9" ht="16.8" x14ac:dyDescent="0.3">
      <c r="A527" s="14" t="s">
        <v>7034</v>
      </c>
      <c r="B527" s="14" t="s">
        <v>6194</v>
      </c>
      <c r="C527" s="15">
        <v>45658</v>
      </c>
      <c r="D527" s="14">
        <v>194566.56</v>
      </c>
      <c r="E527" s="14" t="s">
        <v>6505</v>
      </c>
      <c r="F527" s="14" t="s">
        <v>6503</v>
      </c>
      <c r="G527" s="14" t="s">
        <v>46</v>
      </c>
      <c r="H527" s="14">
        <v>13</v>
      </c>
      <c r="I527" s="13" t="str" cm="1">
        <f t="array" ref="I527">_xlfn.IFS(
  OR(ISBLANK(A527),ISBLANK(B527),ISBLANK(D527),ISBLANK(E527),ISBLANK(H527)),"Missing Value",
  D527&lt;0,"Review – Out of Range (Claim Amount)",
  H527&lt;0,"Review – Out of Range (Days to Process)",
  TRUE,"OK"
)</f>
        <v>OK</v>
      </c>
    </row>
    <row r="528" spans="1:9" ht="16.8" x14ac:dyDescent="0.3">
      <c r="A528" s="11" t="s">
        <v>7035</v>
      </c>
      <c r="B528" s="11" t="s">
        <v>4329</v>
      </c>
      <c r="C528" s="12">
        <v>45474</v>
      </c>
      <c r="D528" s="11">
        <v>149212.17000000001</v>
      </c>
      <c r="E528" s="11" t="s">
        <v>6508</v>
      </c>
      <c r="F528" s="11" t="s">
        <v>6503</v>
      </c>
      <c r="G528" s="11" t="s">
        <v>46</v>
      </c>
      <c r="H528" s="11">
        <v>8</v>
      </c>
      <c r="I528" s="13" t="str" cm="1">
        <f t="array" ref="I528">_xlfn.IFS(
  OR(ISBLANK(A528),ISBLANK(B528),ISBLANK(D528),ISBLANK(E528),ISBLANK(H528)),"Missing Value",
  D528&lt;0,"Review – Out of Range (Claim Amount)",
  H528&lt;0,"Review – Out of Range (Days to Process)",
  TRUE,"OK"
)</f>
        <v>OK</v>
      </c>
    </row>
    <row r="529" spans="1:9" ht="16.8" x14ac:dyDescent="0.3">
      <c r="A529" s="14" t="s">
        <v>7036</v>
      </c>
      <c r="B529" s="14" t="s">
        <v>5177</v>
      </c>
      <c r="C529" s="15">
        <v>44959</v>
      </c>
      <c r="D529" s="14">
        <v>37037.919999999998</v>
      </c>
      <c r="E529" s="14" t="s">
        <v>6502</v>
      </c>
      <c r="F529" s="14" t="s">
        <v>6516</v>
      </c>
      <c r="G529" s="14" t="s">
        <v>46</v>
      </c>
      <c r="H529" s="14">
        <v>37</v>
      </c>
      <c r="I529" s="13" t="str" cm="1">
        <f t="array" ref="I529">_xlfn.IFS(
  OR(ISBLANK(A529),ISBLANK(B529),ISBLANK(D529),ISBLANK(E529),ISBLANK(H529)),"Missing Value",
  D529&lt;0,"Review – Out of Range (Claim Amount)",
  H529&lt;0,"Review – Out of Range (Days to Process)",
  TRUE,"OK"
)</f>
        <v>OK</v>
      </c>
    </row>
    <row r="530" spans="1:9" ht="16.8" x14ac:dyDescent="0.3">
      <c r="A530" s="11" t="s">
        <v>7037</v>
      </c>
      <c r="B530" s="11" t="s">
        <v>3410</v>
      </c>
      <c r="C530" s="12">
        <v>45532</v>
      </c>
      <c r="D530" s="11">
        <v>427693.35</v>
      </c>
      <c r="E530" s="11" t="s">
        <v>6508</v>
      </c>
      <c r="F530" s="11" t="s">
        <v>6503</v>
      </c>
      <c r="G530" s="11" t="s">
        <v>46</v>
      </c>
      <c r="H530" s="11">
        <v>41</v>
      </c>
      <c r="I530" s="13" t="str" cm="1">
        <f t="array" ref="I530">_xlfn.IFS(
  OR(ISBLANK(A530),ISBLANK(B530),ISBLANK(D530),ISBLANK(E530),ISBLANK(H530)),"Missing Value",
  D530&lt;0,"Review – Out of Range (Claim Amount)",
  H530&lt;0,"Review – Out of Range (Days to Process)",
  TRUE,"OK"
)</f>
        <v>OK</v>
      </c>
    </row>
    <row r="531" spans="1:9" ht="16.8" x14ac:dyDescent="0.3">
      <c r="A531" s="14" t="s">
        <v>7038</v>
      </c>
      <c r="B531" s="14" t="s">
        <v>3945</v>
      </c>
      <c r="C531" s="15">
        <v>44517</v>
      </c>
      <c r="D531" s="14">
        <v>366615.7</v>
      </c>
      <c r="E531" s="14" t="s">
        <v>6505</v>
      </c>
      <c r="F531" s="14" t="s">
        <v>6516</v>
      </c>
      <c r="G531" s="14" t="s">
        <v>46</v>
      </c>
      <c r="H531" s="14">
        <v>33</v>
      </c>
      <c r="I531" s="13" t="str" cm="1">
        <f t="array" ref="I531">_xlfn.IFS(
  OR(ISBLANK(A531),ISBLANK(B531),ISBLANK(D531),ISBLANK(E531),ISBLANK(H531)),"Missing Value",
  D531&lt;0,"Review – Out of Range (Claim Amount)",
  H531&lt;0,"Review – Out of Range (Days to Process)",
  TRUE,"OK"
)</f>
        <v>OK</v>
      </c>
    </row>
    <row r="532" spans="1:9" ht="16.8" x14ac:dyDescent="0.3">
      <c r="A532" s="11" t="s">
        <v>7039</v>
      </c>
      <c r="B532" s="11" t="s">
        <v>4000</v>
      </c>
      <c r="C532" s="12">
        <v>44917</v>
      </c>
      <c r="D532" s="11">
        <v>445978.51</v>
      </c>
      <c r="E532" s="11" t="s">
        <v>6505</v>
      </c>
      <c r="F532" s="11" t="s">
        <v>6503</v>
      </c>
      <c r="G532" s="11" t="s">
        <v>45</v>
      </c>
      <c r="H532" s="11">
        <v>14</v>
      </c>
      <c r="I532" s="13" t="str" cm="1">
        <f t="array" ref="I532">_xlfn.IFS(
  OR(ISBLANK(A532),ISBLANK(B532),ISBLANK(D532),ISBLANK(E532),ISBLANK(H532)),"Missing Value",
  D532&lt;0,"Review – Out of Range (Claim Amount)",
  H532&lt;0,"Review – Out of Range (Days to Process)",
  TRUE,"OK"
)</f>
        <v>OK</v>
      </c>
    </row>
    <row r="533" spans="1:9" ht="16.8" x14ac:dyDescent="0.3">
      <c r="A533" s="14" t="s">
        <v>7040</v>
      </c>
      <c r="B533" s="14" t="s">
        <v>5233</v>
      </c>
      <c r="C533" s="15">
        <v>45466</v>
      </c>
      <c r="D533" s="14">
        <v>61252.959999999999</v>
      </c>
      <c r="E533" s="14" t="s">
        <v>6508</v>
      </c>
      <c r="F533" s="14" t="s">
        <v>6516</v>
      </c>
      <c r="G533" s="14" t="s">
        <v>45</v>
      </c>
      <c r="H533" s="14">
        <v>29</v>
      </c>
      <c r="I533" s="13" t="str" cm="1">
        <f t="array" ref="I533">_xlfn.IFS(
  OR(ISBLANK(A533),ISBLANK(B533),ISBLANK(D533),ISBLANK(E533),ISBLANK(H533)),"Missing Value",
  D533&lt;0,"Review – Out of Range (Claim Amount)",
  H533&lt;0,"Review – Out of Range (Days to Process)",
  TRUE,"OK"
)</f>
        <v>OK</v>
      </c>
    </row>
    <row r="534" spans="1:9" ht="16.8" x14ac:dyDescent="0.3">
      <c r="A534" s="11" t="s">
        <v>7041</v>
      </c>
      <c r="B534" s="11" t="s">
        <v>5450</v>
      </c>
      <c r="C534" s="12">
        <v>45092</v>
      </c>
      <c r="D534" s="11">
        <v>225031.14</v>
      </c>
      <c r="E534" s="11" t="s">
        <v>6508</v>
      </c>
      <c r="F534" s="11" t="s">
        <v>6503</v>
      </c>
      <c r="G534" s="11" t="s">
        <v>46</v>
      </c>
      <c r="H534" s="11">
        <v>42</v>
      </c>
      <c r="I534" s="13" t="str" cm="1">
        <f t="array" ref="I534">_xlfn.IFS(
  OR(ISBLANK(A534),ISBLANK(B534),ISBLANK(D534),ISBLANK(E534),ISBLANK(H534)),"Missing Value",
  D534&lt;0,"Review – Out of Range (Claim Amount)",
  H534&lt;0,"Review – Out of Range (Days to Process)",
  TRUE,"OK"
)</f>
        <v>OK</v>
      </c>
    </row>
    <row r="535" spans="1:9" ht="16.8" x14ac:dyDescent="0.3">
      <c r="A535" s="14" t="s">
        <v>7042</v>
      </c>
      <c r="B535" s="14" t="s">
        <v>5993</v>
      </c>
      <c r="C535" s="15">
        <v>45643</v>
      </c>
      <c r="D535" s="14">
        <v>87135.09</v>
      </c>
      <c r="E535" s="14" t="s">
        <v>6505</v>
      </c>
      <c r="F535" s="14" t="s">
        <v>6509</v>
      </c>
      <c r="G535" s="14" t="s">
        <v>45</v>
      </c>
      <c r="H535" s="14">
        <v>8</v>
      </c>
      <c r="I535" s="13" t="str" cm="1">
        <f t="array" ref="I535">_xlfn.IFS(
  OR(ISBLANK(A535),ISBLANK(B535),ISBLANK(D535),ISBLANK(E535),ISBLANK(H535)),"Missing Value",
  D535&lt;0,"Review – Out of Range (Claim Amount)",
  H535&lt;0,"Review – Out of Range (Days to Process)",
  TRUE,"OK"
)</f>
        <v>OK</v>
      </c>
    </row>
    <row r="536" spans="1:9" ht="16.8" x14ac:dyDescent="0.3">
      <c r="A536" s="11" t="s">
        <v>7043</v>
      </c>
      <c r="B536" s="11" t="s">
        <v>4589</v>
      </c>
      <c r="C536" s="12">
        <v>45698</v>
      </c>
      <c r="D536" s="11">
        <v>227648.58</v>
      </c>
      <c r="E536" s="11" t="s">
        <v>6505</v>
      </c>
      <c r="F536" s="11" t="s">
        <v>6511</v>
      </c>
      <c r="G536" s="11" t="s">
        <v>45</v>
      </c>
      <c r="H536" s="11">
        <v>40</v>
      </c>
      <c r="I536" s="13" t="str" cm="1">
        <f t="array" ref="I536">_xlfn.IFS(
  OR(ISBLANK(A536),ISBLANK(B536),ISBLANK(D536),ISBLANK(E536),ISBLANK(H536)),"Missing Value",
  D536&lt;0,"Review – Out of Range (Claim Amount)",
  H536&lt;0,"Review – Out of Range (Days to Process)",
  TRUE,"OK"
)</f>
        <v>OK</v>
      </c>
    </row>
    <row r="537" spans="1:9" ht="16.8" x14ac:dyDescent="0.3">
      <c r="A537" s="14" t="s">
        <v>7044</v>
      </c>
      <c r="B537" s="14" t="s">
        <v>3826</v>
      </c>
      <c r="C537" s="15">
        <v>45240</v>
      </c>
      <c r="D537" s="14">
        <v>321775.28000000003</v>
      </c>
      <c r="E537" s="14" t="s">
        <v>6505</v>
      </c>
      <c r="F537" s="14" t="s">
        <v>6503</v>
      </c>
      <c r="G537" s="14" t="s">
        <v>45</v>
      </c>
      <c r="H537" s="14">
        <v>52</v>
      </c>
      <c r="I537" s="13" t="str" cm="1">
        <f t="array" ref="I537">_xlfn.IFS(
  OR(ISBLANK(A537),ISBLANK(B537),ISBLANK(D537),ISBLANK(E537),ISBLANK(H537)),"Missing Value",
  D537&lt;0,"Review – Out of Range (Claim Amount)",
  H537&lt;0,"Review – Out of Range (Days to Process)",
  TRUE,"OK"
)</f>
        <v>OK</v>
      </c>
    </row>
    <row r="538" spans="1:9" ht="16.8" x14ac:dyDescent="0.3">
      <c r="A538" s="11" t="s">
        <v>7045</v>
      </c>
      <c r="B538" s="11" t="s">
        <v>4979</v>
      </c>
      <c r="C538" s="12">
        <v>44485</v>
      </c>
      <c r="D538" s="11">
        <v>422064.22</v>
      </c>
      <c r="E538" s="11" t="s">
        <v>6502</v>
      </c>
      <c r="F538" s="11" t="s">
        <v>6503</v>
      </c>
      <c r="G538" s="11" t="s">
        <v>46</v>
      </c>
      <c r="H538" s="11">
        <v>44</v>
      </c>
      <c r="I538" s="13" t="str" cm="1">
        <f t="array" ref="I538">_xlfn.IFS(
  OR(ISBLANK(A538),ISBLANK(B538),ISBLANK(D538),ISBLANK(E538),ISBLANK(H538)),"Missing Value",
  D538&lt;0,"Review – Out of Range (Claim Amount)",
  H538&lt;0,"Review – Out of Range (Days to Process)",
  TRUE,"OK"
)</f>
        <v>OK</v>
      </c>
    </row>
    <row r="539" spans="1:9" ht="16.8" x14ac:dyDescent="0.3">
      <c r="A539" s="14" t="s">
        <v>7046</v>
      </c>
      <c r="B539" s="14" t="s">
        <v>6204</v>
      </c>
      <c r="C539" s="15">
        <v>44386</v>
      </c>
      <c r="D539" s="14">
        <v>55408.21</v>
      </c>
      <c r="E539" s="14" t="s">
        <v>6508</v>
      </c>
      <c r="F539" s="14" t="s">
        <v>6511</v>
      </c>
      <c r="G539" s="14" t="s">
        <v>46</v>
      </c>
      <c r="H539" s="14">
        <v>21</v>
      </c>
      <c r="I539" s="13" t="str" cm="1">
        <f t="array" ref="I539">_xlfn.IFS(
  OR(ISBLANK(A539),ISBLANK(B539),ISBLANK(D539),ISBLANK(E539),ISBLANK(H539)),"Missing Value",
  D539&lt;0,"Review – Out of Range (Claim Amount)",
  H539&lt;0,"Review – Out of Range (Days to Process)",
  TRUE,"OK"
)</f>
        <v>OK</v>
      </c>
    </row>
    <row r="540" spans="1:9" ht="16.8" x14ac:dyDescent="0.3">
      <c r="A540" s="11" t="s">
        <v>7047</v>
      </c>
      <c r="B540" s="11" t="s">
        <v>4088</v>
      </c>
      <c r="C540" s="12">
        <v>45468</v>
      </c>
      <c r="D540" s="11">
        <v>294679.23</v>
      </c>
      <c r="E540" s="11" t="s">
        <v>6508</v>
      </c>
      <c r="F540" s="11" t="s">
        <v>6516</v>
      </c>
      <c r="G540" s="11" t="s">
        <v>45</v>
      </c>
      <c r="H540" s="11">
        <v>55</v>
      </c>
      <c r="I540" s="13" t="str" cm="1">
        <f t="array" ref="I540">_xlfn.IFS(
  OR(ISBLANK(A540),ISBLANK(B540),ISBLANK(D540),ISBLANK(E540),ISBLANK(H540)),"Missing Value",
  D540&lt;0,"Review – Out of Range (Claim Amount)",
  H540&lt;0,"Review – Out of Range (Days to Process)",
  TRUE,"OK"
)</f>
        <v>OK</v>
      </c>
    </row>
    <row r="541" spans="1:9" ht="16.8" x14ac:dyDescent="0.3">
      <c r="A541" s="14" t="s">
        <v>7048</v>
      </c>
      <c r="B541" s="14" t="s">
        <v>5543</v>
      </c>
      <c r="C541" s="15">
        <v>45283</v>
      </c>
      <c r="D541" s="14">
        <v>43742.02</v>
      </c>
      <c r="E541" s="14" t="s">
        <v>6505</v>
      </c>
      <c r="F541" s="14" t="s">
        <v>6509</v>
      </c>
      <c r="G541" s="14" t="s">
        <v>45</v>
      </c>
      <c r="H541" s="14">
        <v>29</v>
      </c>
      <c r="I541" s="13" t="str" cm="1">
        <f t="array" ref="I541">_xlfn.IFS(
  OR(ISBLANK(A541),ISBLANK(B541),ISBLANK(D541),ISBLANK(E541),ISBLANK(H541)),"Missing Value",
  D541&lt;0,"Review – Out of Range (Claim Amount)",
  H541&lt;0,"Review – Out of Range (Days to Process)",
  TRUE,"OK"
)</f>
        <v>OK</v>
      </c>
    </row>
    <row r="542" spans="1:9" ht="16.8" x14ac:dyDescent="0.3">
      <c r="A542" s="11" t="s">
        <v>7049</v>
      </c>
      <c r="B542" s="11" t="s">
        <v>4573</v>
      </c>
      <c r="C542" s="12">
        <v>45255</v>
      </c>
      <c r="D542" s="11">
        <v>91705.48</v>
      </c>
      <c r="E542" s="11" t="s">
        <v>6505</v>
      </c>
      <c r="F542" s="11" t="s">
        <v>6506</v>
      </c>
      <c r="G542" s="11" t="s">
        <v>45</v>
      </c>
      <c r="H542" s="11">
        <v>24</v>
      </c>
      <c r="I542" s="13" t="str" cm="1">
        <f t="array" ref="I542">_xlfn.IFS(
  OR(ISBLANK(A542),ISBLANK(B542),ISBLANK(D542),ISBLANK(E542),ISBLANK(H542)),"Missing Value",
  D542&lt;0,"Review – Out of Range (Claim Amount)",
  H542&lt;0,"Review – Out of Range (Days to Process)",
  TRUE,"OK"
)</f>
        <v>OK</v>
      </c>
    </row>
    <row r="543" spans="1:9" ht="16.8" x14ac:dyDescent="0.3">
      <c r="A543" s="14" t="s">
        <v>7050</v>
      </c>
      <c r="B543" s="14" t="s">
        <v>4155</v>
      </c>
      <c r="C543" s="15">
        <v>45099</v>
      </c>
      <c r="D543" s="14">
        <v>197450.64</v>
      </c>
      <c r="E543" s="14" t="s">
        <v>6502</v>
      </c>
      <c r="F543" s="14" t="s">
        <v>6506</v>
      </c>
      <c r="G543" s="14" t="s">
        <v>45</v>
      </c>
      <c r="H543" s="14">
        <v>43</v>
      </c>
      <c r="I543" s="13" t="str" cm="1">
        <f t="array" ref="I543">_xlfn.IFS(
  OR(ISBLANK(A543),ISBLANK(B543),ISBLANK(D543),ISBLANK(E543),ISBLANK(H543)),"Missing Value",
  D543&lt;0,"Review – Out of Range (Claim Amount)",
  H543&lt;0,"Review – Out of Range (Days to Process)",
  TRUE,"OK"
)</f>
        <v>OK</v>
      </c>
    </row>
    <row r="544" spans="1:9" ht="16.8" x14ac:dyDescent="0.3">
      <c r="A544" s="11" t="s">
        <v>7051</v>
      </c>
      <c r="B544" s="11" t="s">
        <v>4168</v>
      </c>
      <c r="C544" s="12">
        <v>44510</v>
      </c>
      <c r="D544" s="11">
        <v>174124.52</v>
      </c>
      <c r="E544" s="11" t="s">
        <v>6508</v>
      </c>
      <c r="F544" s="11" t="s">
        <v>6511</v>
      </c>
      <c r="G544" s="11" t="s">
        <v>45</v>
      </c>
      <c r="H544" s="11">
        <v>8</v>
      </c>
      <c r="I544" s="13" t="str" cm="1">
        <f t="array" ref="I544">_xlfn.IFS(
  OR(ISBLANK(A544),ISBLANK(B544),ISBLANK(D544),ISBLANK(E544),ISBLANK(H544)),"Missing Value",
  D544&lt;0,"Review – Out of Range (Claim Amount)",
  H544&lt;0,"Review – Out of Range (Days to Process)",
  TRUE,"OK"
)</f>
        <v>OK</v>
      </c>
    </row>
    <row r="545" spans="1:9" ht="16.8" x14ac:dyDescent="0.3">
      <c r="A545" s="14" t="s">
        <v>7052</v>
      </c>
      <c r="B545" s="14" t="s">
        <v>6212</v>
      </c>
      <c r="C545" s="15">
        <v>44493</v>
      </c>
      <c r="D545" s="14">
        <v>254770.61</v>
      </c>
      <c r="E545" s="14" t="s">
        <v>6502</v>
      </c>
      <c r="F545" s="14" t="s">
        <v>6506</v>
      </c>
      <c r="G545" s="14" t="s">
        <v>46</v>
      </c>
      <c r="H545" s="14">
        <v>59</v>
      </c>
      <c r="I545" s="13" t="str" cm="1">
        <f t="array" ref="I545">_xlfn.IFS(
  OR(ISBLANK(A545),ISBLANK(B545),ISBLANK(D545),ISBLANK(E545),ISBLANK(H545)),"Missing Value",
  D545&lt;0,"Review – Out of Range (Claim Amount)",
  H545&lt;0,"Review – Out of Range (Days to Process)",
  TRUE,"OK"
)</f>
        <v>OK</v>
      </c>
    </row>
    <row r="546" spans="1:9" ht="16.8" x14ac:dyDescent="0.3">
      <c r="A546" s="11" t="s">
        <v>7053</v>
      </c>
      <c r="B546" s="11" t="s">
        <v>5079</v>
      </c>
      <c r="C546" s="12">
        <v>45103</v>
      </c>
      <c r="D546" s="11">
        <v>97671.31</v>
      </c>
      <c r="E546" s="11" t="s">
        <v>6508</v>
      </c>
      <c r="F546" s="11" t="s">
        <v>6516</v>
      </c>
      <c r="G546" s="11" t="s">
        <v>45</v>
      </c>
      <c r="H546" s="11">
        <v>53</v>
      </c>
      <c r="I546" s="13" t="str" cm="1">
        <f t="array" ref="I546">_xlfn.IFS(
  OR(ISBLANK(A546),ISBLANK(B546),ISBLANK(D546),ISBLANK(E546),ISBLANK(H546)),"Missing Value",
  D546&lt;0,"Review – Out of Range (Claim Amount)",
  H546&lt;0,"Review – Out of Range (Days to Process)",
  TRUE,"OK"
)</f>
        <v>OK</v>
      </c>
    </row>
    <row r="547" spans="1:9" ht="16.8" x14ac:dyDescent="0.3">
      <c r="A547" s="14" t="s">
        <v>7054</v>
      </c>
      <c r="B547" s="14" t="s">
        <v>5682</v>
      </c>
      <c r="C547" s="15">
        <v>45020</v>
      </c>
      <c r="D547" s="14">
        <v>107548.69</v>
      </c>
      <c r="E547" s="14" t="s">
        <v>6508</v>
      </c>
      <c r="F547" s="14" t="s">
        <v>6516</v>
      </c>
      <c r="G547" s="14" t="s">
        <v>45</v>
      </c>
      <c r="H547" s="14">
        <v>24</v>
      </c>
      <c r="I547" s="13" t="str" cm="1">
        <f t="array" ref="I547">_xlfn.IFS(
  OR(ISBLANK(A547),ISBLANK(B547),ISBLANK(D547),ISBLANK(E547),ISBLANK(H547)),"Missing Value",
  D547&lt;0,"Review – Out of Range (Claim Amount)",
  H547&lt;0,"Review – Out of Range (Days to Process)",
  TRUE,"OK"
)</f>
        <v>OK</v>
      </c>
    </row>
    <row r="548" spans="1:9" ht="16.8" x14ac:dyDescent="0.3">
      <c r="A548" s="11" t="s">
        <v>7055</v>
      </c>
      <c r="B548" s="11" t="s">
        <v>4381</v>
      </c>
      <c r="C548" s="12">
        <v>45280</v>
      </c>
      <c r="D548" s="11">
        <v>83986.63</v>
      </c>
      <c r="E548" s="11" t="s">
        <v>6505</v>
      </c>
      <c r="F548" s="11" t="s">
        <v>6506</v>
      </c>
      <c r="G548" s="11" t="s">
        <v>45</v>
      </c>
      <c r="H548" s="11">
        <v>13</v>
      </c>
      <c r="I548" s="13" t="str" cm="1">
        <f t="array" ref="I548">_xlfn.IFS(
  OR(ISBLANK(A548),ISBLANK(B548),ISBLANK(D548),ISBLANK(E548),ISBLANK(H548)),"Missing Value",
  D548&lt;0,"Review – Out of Range (Claim Amount)",
  H548&lt;0,"Review – Out of Range (Days to Process)",
  TRUE,"OK"
)</f>
        <v>OK</v>
      </c>
    </row>
    <row r="549" spans="1:9" ht="16.8" x14ac:dyDescent="0.3">
      <c r="A549" s="14" t="s">
        <v>7056</v>
      </c>
      <c r="B549" s="14" t="s">
        <v>5586</v>
      </c>
      <c r="C549" s="15">
        <v>45180</v>
      </c>
      <c r="D549" s="14">
        <v>178299.48</v>
      </c>
      <c r="E549" s="14" t="s">
        <v>6508</v>
      </c>
      <c r="F549" s="14" t="s">
        <v>6516</v>
      </c>
      <c r="G549" s="14" t="s">
        <v>45</v>
      </c>
      <c r="H549" s="14">
        <v>10</v>
      </c>
      <c r="I549" s="13" t="str" cm="1">
        <f t="array" ref="I549">_xlfn.IFS(
  OR(ISBLANK(A549),ISBLANK(B549),ISBLANK(D549),ISBLANK(E549),ISBLANK(H549)),"Missing Value",
  D549&lt;0,"Review – Out of Range (Claim Amount)",
  H549&lt;0,"Review – Out of Range (Days to Process)",
  TRUE,"OK"
)</f>
        <v>OK</v>
      </c>
    </row>
    <row r="550" spans="1:9" ht="16.8" x14ac:dyDescent="0.3">
      <c r="A550" s="11" t="s">
        <v>7057</v>
      </c>
      <c r="B550" s="11" t="s">
        <v>3990</v>
      </c>
      <c r="C550" s="12">
        <v>45414</v>
      </c>
      <c r="D550" s="11">
        <v>416609.91</v>
      </c>
      <c r="E550" s="11" t="s">
        <v>6508</v>
      </c>
      <c r="F550" s="11" t="s">
        <v>6516</v>
      </c>
      <c r="G550" s="11" t="s">
        <v>46</v>
      </c>
      <c r="H550" s="11">
        <v>48</v>
      </c>
      <c r="I550" s="13" t="str" cm="1">
        <f t="array" ref="I550">_xlfn.IFS(
  OR(ISBLANK(A550),ISBLANK(B550),ISBLANK(D550),ISBLANK(E550),ISBLANK(H550)),"Missing Value",
  D550&lt;0,"Review – Out of Range (Claim Amount)",
  H550&lt;0,"Review – Out of Range (Days to Process)",
  TRUE,"OK"
)</f>
        <v>OK</v>
      </c>
    </row>
    <row r="551" spans="1:9" ht="16.8" x14ac:dyDescent="0.3">
      <c r="A551" s="14" t="s">
        <v>7058</v>
      </c>
      <c r="B551" s="14" t="s">
        <v>4462</v>
      </c>
      <c r="C551" s="15">
        <v>44487</v>
      </c>
      <c r="D551" s="14">
        <v>164639.75</v>
      </c>
      <c r="E551" s="14" t="s">
        <v>6502</v>
      </c>
      <c r="F551" s="14" t="s">
        <v>6511</v>
      </c>
      <c r="G551" s="14" t="s">
        <v>45</v>
      </c>
      <c r="H551" s="14">
        <v>11</v>
      </c>
      <c r="I551" s="13" t="str" cm="1">
        <f t="array" ref="I551">_xlfn.IFS(
  OR(ISBLANK(A551),ISBLANK(B551),ISBLANK(D551),ISBLANK(E551),ISBLANK(H551)),"Missing Value",
  D551&lt;0,"Review – Out of Range (Claim Amount)",
  H551&lt;0,"Review – Out of Range (Days to Process)",
  TRUE,"OK"
)</f>
        <v>OK</v>
      </c>
    </row>
    <row r="552" spans="1:9" ht="16.8" x14ac:dyDescent="0.3">
      <c r="A552" s="11" t="s">
        <v>7059</v>
      </c>
      <c r="B552" s="11" t="s">
        <v>3778</v>
      </c>
      <c r="C552" s="12">
        <v>45690</v>
      </c>
      <c r="D552" s="11">
        <v>151760.6</v>
      </c>
      <c r="E552" s="11" t="s">
        <v>6502</v>
      </c>
      <c r="F552" s="11" t="s">
        <v>6506</v>
      </c>
      <c r="G552" s="11" t="s">
        <v>45</v>
      </c>
      <c r="H552" s="11">
        <v>45</v>
      </c>
      <c r="I552" s="13" t="str" cm="1">
        <f t="array" ref="I552">_xlfn.IFS(
  OR(ISBLANK(A552),ISBLANK(B552),ISBLANK(D552),ISBLANK(E552),ISBLANK(H552)),"Missing Value",
  D552&lt;0,"Review – Out of Range (Claim Amount)",
  H552&lt;0,"Review – Out of Range (Days to Process)",
  TRUE,"OK"
)</f>
        <v>OK</v>
      </c>
    </row>
    <row r="553" spans="1:9" ht="16.8" x14ac:dyDescent="0.3">
      <c r="A553" s="14" t="s">
        <v>7060</v>
      </c>
      <c r="B553" s="14" t="s">
        <v>4753</v>
      </c>
      <c r="C553" s="15">
        <v>44712</v>
      </c>
      <c r="D553" s="14">
        <v>140195.25</v>
      </c>
      <c r="E553" s="14" t="s">
        <v>6508</v>
      </c>
      <c r="F553" s="14" t="s">
        <v>6511</v>
      </c>
      <c r="G553" s="14" t="s">
        <v>46</v>
      </c>
      <c r="H553" s="14">
        <v>36</v>
      </c>
      <c r="I553" s="13" t="str" cm="1">
        <f t="array" ref="I553">_xlfn.IFS(
  OR(ISBLANK(A553),ISBLANK(B553),ISBLANK(D553),ISBLANK(E553),ISBLANK(H553)),"Missing Value",
  D553&lt;0,"Review – Out of Range (Claim Amount)",
  H553&lt;0,"Review – Out of Range (Days to Process)",
  TRUE,"OK"
)</f>
        <v>OK</v>
      </c>
    </row>
    <row r="554" spans="1:9" ht="16.8" x14ac:dyDescent="0.3">
      <c r="A554" s="11" t="s">
        <v>7061</v>
      </c>
      <c r="B554" s="11" t="s">
        <v>4485</v>
      </c>
      <c r="C554" s="12">
        <v>44477</v>
      </c>
      <c r="D554" s="11">
        <v>484529.51</v>
      </c>
      <c r="E554" s="11" t="s">
        <v>6502</v>
      </c>
      <c r="F554" s="11" t="s">
        <v>6503</v>
      </c>
      <c r="G554" s="11" t="s">
        <v>46</v>
      </c>
      <c r="H554" s="11">
        <v>49</v>
      </c>
      <c r="I554" s="13" t="str" cm="1">
        <f t="array" ref="I554">_xlfn.IFS(
  OR(ISBLANK(A554),ISBLANK(B554),ISBLANK(D554),ISBLANK(E554),ISBLANK(H554)),"Missing Value",
  D554&lt;0,"Review – Out of Range (Claim Amount)",
  H554&lt;0,"Review – Out of Range (Days to Process)",
  TRUE,"OK"
)</f>
        <v>OK</v>
      </c>
    </row>
    <row r="555" spans="1:9" ht="16.8" x14ac:dyDescent="0.3">
      <c r="A555" s="14" t="s">
        <v>7062</v>
      </c>
      <c r="B555" s="14" t="s">
        <v>4471</v>
      </c>
      <c r="C555" s="15">
        <v>45424</v>
      </c>
      <c r="D555" s="14">
        <v>260330.29</v>
      </c>
      <c r="E555" s="14" t="s">
        <v>6502</v>
      </c>
      <c r="F555" s="14" t="s">
        <v>6503</v>
      </c>
      <c r="G555" s="14" t="s">
        <v>45</v>
      </c>
      <c r="H555" s="14">
        <v>38</v>
      </c>
      <c r="I555" s="13" t="str" cm="1">
        <f t="array" ref="I555">_xlfn.IFS(
  OR(ISBLANK(A555),ISBLANK(B555),ISBLANK(D555),ISBLANK(E555),ISBLANK(H555)),"Missing Value",
  D555&lt;0,"Review – Out of Range (Claim Amount)",
  H555&lt;0,"Review – Out of Range (Days to Process)",
  TRUE,"OK"
)</f>
        <v>OK</v>
      </c>
    </row>
    <row r="556" spans="1:9" ht="16.8" x14ac:dyDescent="0.3">
      <c r="A556" s="11" t="s">
        <v>7063</v>
      </c>
      <c r="B556" s="11" t="s">
        <v>4220</v>
      </c>
      <c r="C556" s="12">
        <v>45327</v>
      </c>
      <c r="D556" s="11">
        <v>353021.91</v>
      </c>
      <c r="E556" s="11" t="s">
        <v>6505</v>
      </c>
      <c r="F556" s="11" t="s">
        <v>6503</v>
      </c>
      <c r="G556" s="11" t="s">
        <v>45</v>
      </c>
      <c r="H556" s="11">
        <v>28</v>
      </c>
      <c r="I556" s="13" t="str" cm="1">
        <f t="array" ref="I556">_xlfn.IFS(
  OR(ISBLANK(A556),ISBLANK(B556),ISBLANK(D556),ISBLANK(E556),ISBLANK(H556)),"Missing Value",
  D556&lt;0,"Review – Out of Range (Claim Amount)",
  H556&lt;0,"Review – Out of Range (Days to Process)",
  TRUE,"OK"
)</f>
        <v>OK</v>
      </c>
    </row>
    <row r="557" spans="1:9" ht="16.8" x14ac:dyDescent="0.3">
      <c r="A557" s="14" t="s">
        <v>7064</v>
      </c>
      <c r="B557" s="14" t="s">
        <v>6101</v>
      </c>
      <c r="C557" s="15">
        <v>44762</v>
      </c>
      <c r="D557" s="14">
        <v>45547.6</v>
      </c>
      <c r="E557" s="14" t="s">
        <v>6502</v>
      </c>
      <c r="F557" s="14" t="s">
        <v>6503</v>
      </c>
      <c r="G557" s="14" t="s">
        <v>45</v>
      </c>
      <c r="H557" s="14">
        <v>8</v>
      </c>
      <c r="I557" s="13" t="str" cm="1">
        <f t="array" ref="I557">_xlfn.IFS(
  OR(ISBLANK(A557),ISBLANK(B557),ISBLANK(D557),ISBLANK(E557),ISBLANK(H557)),"Missing Value",
  D557&lt;0,"Review – Out of Range (Claim Amount)",
  H557&lt;0,"Review – Out of Range (Days to Process)",
  TRUE,"OK"
)</f>
        <v>OK</v>
      </c>
    </row>
    <row r="558" spans="1:9" ht="16.8" x14ac:dyDescent="0.3">
      <c r="A558" s="11" t="s">
        <v>7065</v>
      </c>
      <c r="B558" s="11" t="s">
        <v>6224</v>
      </c>
      <c r="C558" s="12">
        <v>45252</v>
      </c>
      <c r="D558" s="11">
        <v>29489.54</v>
      </c>
      <c r="E558" s="11" t="s">
        <v>6508</v>
      </c>
      <c r="F558" s="11" t="s">
        <v>6511</v>
      </c>
      <c r="G558" s="11" t="s">
        <v>45</v>
      </c>
      <c r="H558" s="11">
        <v>15</v>
      </c>
      <c r="I558" s="13" t="str" cm="1">
        <f t="array" ref="I558">_xlfn.IFS(
  OR(ISBLANK(A558),ISBLANK(B558),ISBLANK(D558),ISBLANK(E558),ISBLANK(H558)),"Missing Value",
  D558&lt;0,"Review – Out of Range (Claim Amount)",
  H558&lt;0,"Review – Out of Range (Days to Process)",
  TRUE,"OK"
)</f>
        <v>OK</v>
      </c>
    </row>
    <row r="559" spans="1:9" ht="16.8" x14ac:dyDescent="0.3">
      <c r="A559" s="14" t="s">
        <v>7066</v>
      </c>
      <c r="B559" s="14" t="s">
        <v>6230</v>
      </c>
      <c r="C559" s="15">
        <v>45640</v>
      </c>
      <c r="D559" s="14">
        <v>43967.42</v>
      </c>
      <c r="E559" s="14" t="s">
        <v>6505</v>
      </c>
      <c r="F559" s="14" t="s">
        <v>6506</v>
      </c>
      <c r="G559" s="14" t="s">
        <v>45</v>
      </c>
      <c r="H559" s="14">
        <v>55</v>
      </c>
      <c r="I559" s="13" t="str" cm="1">
        <f t="array" ref="I559">_xlfn.IFS(
  OR(ISBLANK(A559),ISBLANK(B559),ISBLANK(D559),ISBLANK(E559),ISBLANK(H559)),"Missing Value",
  D559&lt;0,"Review – Out of Range (Claim Amount)",
  H559&lt;0,"Review – Out of Range (Days to Process)",
  TRUE,"OK"
)</f>
        <v>OK</v>
      </c>
    </row>
    <row r="560" spans="1:9" ht="16.8" x14ac:dyDescent="0.3">
      <c r="A560" s="11" t="s">
        <v>7067</v>
      </c>
      <c r="B560" s="11" t="s">
        <v>5390</v>
      </c>
      <c r="C560" s="12">
        <v>45130</v>
      </c>
      <c r="D560" s="11">
        <v>439851.51</v>
      </c>
      <c r="E560" s="11" t="s">
        <v>6508</v>
      </c>
      <c r="F560" s="11" t="s">
        <v>6509</v>
      </c>
      <c r="G560" s="11" t="s">
        <v>46</v>
      </c>
      <c r="H560" s="11">
        <v>24</v>
      </c>
      <c r="I560" s="13" t="str" cm="1">
        <f t="array" ref="I560">_xlfn.IFS(
  OR(ISBLANK(A560),ISBLANK(B560),ISBLANK(D560),ISBLANK(E560),ISBLANK(H560)),"Missing Value",
  D560&lt;0,"Review – Out of Range (Claim Amount)",
  H560&lt;0,"Review – Out of Range (Days to Process)",
  TRUE,"OK"
)</f>
        <v>OK</v>
      </c>
    </row>
    <row r="561" spans="1:9" ht="16.8" x14ac:dyDescent="0.3">
      <c r="A561" s="14" t="s">
        <v>7068</v>
      </c>
      <c r="B561" s="14" t="s">
        <v>4690</v>
      </c>
      <c r="C561" s="15">
        <v>45632</v>
      </c>
      <c r="D561" s="14">
        <v>169069.19</v>
      </c>
      <c r="E561" s="14" t="s">
        <v>6508</v>
      </c>
      <c r="F561" s="14" t="s">
        <v>6506</v>
      </c>
      <c r="G561" s="14" t="s">
        <v>45</v>
      </c>
      <c r="H561" s="14">
        <v>29</v>
      </c>
      <c r="I561" s="13" t="str" cm="1">
        <f t="array" ref="I561">_xlfn.IFS(
  OR(ISBLANK(A561),ISBLANK(B561),ISBLANK(D561),ISBLANK(E561),ISBLANK(H561)),"Missing Value",
  D561&lt;0,"Review – Out of Range (Claim Amount)",
  H561&lt;0,"Review – Out of Range (Days to Process)",
  TRUE,"OK"
)</f>
        <v>OK</v>
      </c>
    </row>
    <row r="562" spans="1:9" ht="16.8" x14ac:dyDescent="0.3">
      <c r="A562" s="11" t="s">
        <v>7069</v>
      </c>
      <c r="B562" s="11" t="s">
        <v>4698</v>
      </c>
      <c r="C562" s="12">
        <v>45621</v>
      </c>
      <c r="D562" s="11">
        <v>97798.71</v>
      </c>
      <c r="E562" s="11" t="s">
        <v>6505</v>
      </c>
      <c r="F562" s="11" t="s">
        <v>6511</v>
      </c>
      <c r="G562" s="11" t="s">
        <v>46</v>
      </c>
      <c r="H562" s="11">
        <v>29</v>
      </c>
      <c r="I562" s="13" t="str" cm="1">
        <f t="array" ref="I562">_xlfn.IFS(
  OR(ISBLANK(A562),ISBLANK(B562),ISBLANK(D562),ISBLANK(E562),ISBLANK(H562)),"Missing Value",
  D562&lt;0,"Review – Out of Range (Claim Amount)",
  H562&lt;0,"Review – Out of Range (Days to Process)",
  TRUE,"OK"
)</f>
        <v>OK</v>
      </c>
    </row>
    <row r="563" spans="1:9" ht="16.8" x14ac:dyDescent="0.3">
      <c r="A563" s="14" t="s">
        <v>7070</v>
      </c>
      <c r="B563" s="14" t="s">
        <v>6382</v>
      </c>
      <c r="C563" s="15">
        <v>45533</v>
      </c>
      <c r="D563" s="14">
        <v>260461.68</v>
      </c>
      <c r="E563" s="14" t="s">
        <v>6502</v>
      </c>
      <c r="F563" s="14" t="s">
        <v>6516</v>
      </c>
      <c r="G563" s="14" t="s">
        <v>46</v>
      </c>
      <c r="H563" s="14">
        <v>31</v>
      </c>
      <c r="I563" s="13" t="str" cm="1">
        <f t="array" ref="I563">_xlfn.IFS(
  OR(ISBLANK(A563),ISBLANK(B563),ISBLANK(D563),ISBLANK(E563),ISBLANK(H563)),"Missing Value",
  D563&lt;0,"Review – Out of Range (Claim Amount)",
  H563&lt;0,"Review – Out of Range (Days to Process)",
  TRUE,"OK"
)</f>
        <v>OK</v>
      </c>
    </row>
    <row r="564" spans="1:9" ht="16.8" x14ac:dyDescent="0.3">
      <c r="A564" s="11" t="s">
        <v>7071</v>
      </c>
      <c r="B564" s="11" t="s">
        <v>4083</v>
      </c>
      <c r="C564" s="12">
        <v>45494</v>
      </c>
      <c r="D564" s="11">
        <v>250870.05</v>
      </c>
      <c r="E564" s="11" t="s">
        <v>6505</v>
      </c>
      <c r="F564" s="11" t="s">
        <v>6506</v>
      </c>
      <c r="G564" s="11" t="s">
        <v>45</v>
      </c>
      <c r="H564" s="11">
        <v>2</v>
      </c>
      <c r="I564" s="13" t="str" cm="1">
        <f t="array" ref="I564">_xlfn.IFS(
  OR(ISBLANK(A564),ISBLANK(B564),ISBLANK(D564),ISBLANK(E564),ISBLANK(H564)),"Missing Value",
  D564&lt;0,"Review – Out of Range (Claim Amount)",
  H564&lt;0,"Review – Out of Range (Days to Process)",
  TRUE,"OK"
)</f>
        <v>OK</v>
      </c>
    </row>
    <row r="565" spans="1:9" ht="16.8" x14ac:dyDescent="0.3">
      <c r="A565" s="14" t="s">
        <v>7072</v>
      </c>
      <c r="B565" s="14" t="s">
        <v>4800</v>
      </c>
      <c r="C565" s="15">
        <v>45653</v>
      </c>
      <c r="D565" s="14">
        <v>15195.21</v>
      </c>
      <c r="E565" s="14" t="s">
        <v>6508</v>
      </c>
      <c r="F565" s="14" t="s">
        <v>6511</v>
      </c>
      <c r="G565" s="14" t="s">
        <v>46</v>
      </c>
      <c r="H565" s="14">
        <v>54</v>
      </c>
      <c r="I565" s="13" t="str" cm="1">
        <f t="array" ref="I565">_xlfn.IFS(
  OR(ISBLANK(A565),ISBLANK(B565),ISBLANK(D565),ISBLANK(E565),ISBLANK(H565)),"Missing Value",
  D565&lt;0,"Review – Out of Range (Claim Amount)",
  H565&lt;0,"Review – Out of Range (Days to Process)",
  TRUE,"OK"
)</f>
        <v>OK</v>
      </c>
    </row>
    <row r="566" spans="1:9" ht="16.8" x14ac:dyDescent="0.3">
      <c r="A566" s="11" t="s">
        <v>7073</v>
      </c>
      <c r="B566" s="11" t="s">
        <v>5206</v>
      </c>
      <c r="C566" s="12">
        <v>44940</v>
      </c>
      <c r="D566" s="11">
        <v>100676.14</v>
      </c>
      <c r="E566" s="11" t="s">
        <v>6508</v>
      </c>
      <c r="F566" s="11" t="s">
        <v>6503</v>
      </c>
      <c r="G566" s="11" t="s">
        <v>45</v>
      </c>
      <c r="H566" s="11">
        <v>23</v>
      </c>
      <c r="I566" s="13" t="str" cm="1">
        <f t="array" ref="I566">_xlfn.IFS(
  OR(ISBLANK(A566),ISBLANK(B566),ISBLANK(D566),ISBLANK(E566),ISBLANK(H566)),"Missing Value",
  D566&lt;0,"Review – Out of Range (Claim Amount)",
  H566&lt;0,"Review – Out of Range (Days to Process)",
  TRUE,"OK"
)</f>
        <v>OK</v>
      </c>
    </row>
    <row r="567" spans="1:9" ht="16.8" x14ac:dyDescent="0.3">
      <c r="A567" s="14" t="s">
        <v>7074</v>
      </c>
      <c r="B567" s="14" t="s">
        <v>5662</v>
      </c>
      <c r="C567" s="15">
        <v>45408</v>
      </c>
      <c r="D567" s="14">
        <v>62949.09</v>
      </c>
      <c r="E567" s="14" t="s">
        <v>6508</v>
      </c>
      <c r="F567" s="14" t="s">
        <v>6503</v>
      </c>
      <c r="G567" s="14" t="s">
        <v>46</v>
      </c>
      <c r="H567" s="14">
        <v>45</v>
      </c>
      <c r="I567" s="13" t="str" cm="1">
        <f t="array" ref="I567">_xlfn.IFS(
  OR(ISBLANK(A567),ISBLANK(B567),ISBLANK(D567),ISBLANK(E567),ISBLANK(H567)),"Missing Value",
  D567&lt;0,"Review – Out of Range (Claim Amount)",
  H567&lt;0,"Review – Out of Range (Days to Process)",
  TRUE,"OK"
)</f>
        <v>OK</v>
      </c>
    </row>
    <row r="568" spans="1:9" ht="16.8" x14ac:dyDescent="0.3">
      <c r="A568" s="11" t="s">
        <v>7075</v>
      </c>
      <c r="B568" s="11" t="s">
        <v>5384</v>
      </c>
      <c r="C568" s="12">
        <v>44872</v>
      </c>
      <c r="D568" s="11">
        <v>310115.18</v>
      </c>
      <c r="E568" s="11" t="s">
        <v>6508</v>
      </c>
      <c r="F568" s="11" t="s">
        <v>6503</v>
      </c>
      <c r="G568" s="11" t="s">
        <v>45</v>
      </c>
      <c r="H568" s="11">
        <v>19</v>
      </c>
      <c r="I568" s="13" t="str" cm="1">
        <f t="array" ref="I568">_xlfn.IFS(
  OR(ISBLANK(A568),ISBLANK(B568),ISBLANK(D568),ISBLANK(E568),ISBLANK(H568)),"Missing Value",
  D568&lt;0,"Review – Out of Range (Claim Amount)",
  H568&lt;0,"Review – Out of Range (Days to Process)",
  TRUE,"OK"
)</f>
        <v>OK</v>
      </c>
    </row>
    <row r="569" spans="1:9" ht="16.8" x14ac:dyDescent="0.3">
      <c r="A569" s="14" t="s">
        <v>7076</v>
      </c>
      <c r="B569" s="14" t="s">
        <v>3932</v>
      </c>
      <c r="C569" s="15">
        <v>45278</v>
      </c>
      <c r="D569" s="14">
        <v>360929.83</v>
      </c>
      <c r="E569" s="14" t="s">
        <v>6505</v>
      </c>
      <c r="F569" s="14" t="s">
        <v>6511</v>
      </c>
      <c r="G569" s="14" t="s">
        <v>46</v>
      </c>
      <c r="H569" s="14">
        <v>12</v>
      </c>
      <c r="I569" s="13" t="str" cm="1">
        <f t="array" ref="I569">_xlfn.IFS(
  OR(ISBLANK(A569),ISBLANK(B569),ISBLANK(D569),ISBLANK(E569),ISBLANK(H569)),"Missing Value",
  D569&lt;0,"Review – Out of Range (Claim Amount)",
  H569&lt;0,"Review – Out of Range (Days to Process)",
  TRUE,"OK"
)</f>
        <v>OK</v>
      </c>
    </row>
    <row r="570" spans="1:9" ht="16.8" x14ac:dyDescent="0.3">
      <c r="A570" s="11" t="s">
        <v>7077</v>
      </c>
      <c r="B570" s="11" t="s">
        <v>6471</v>
      </c>
      <c r="C570" s="12">
        <v>44670</v>
      </c>
      <c r="D570" s="11">
        <v>441160.03</v>
      </c>
      <c r="E570" s="11" t="s">
        <v>6505</v>
      </c>
      <c r="F570" s="11" t="s">
        <v>6511</v>
      </c>
      <c r="G570" s="11" t="s">
        <v>46</v>
      </c>
      <c r="H570" s="11">
        <v>5</v>
      </c>
      <c r="I570" s="13" t="str" cm="1">
        <f t="array" ref="I570">_xlfn.IFS(
  OR(ISBLANK(A570),ISBLANK(B570),ISBLANK(D570),ISBLANK(E570),ISBLANK(H570)),"Missing Value",
  D570&lt;0,"Review – Out of Range (Claim Amount)",
  H570&lt;0,"Review – Out of Range (Days to Process)",
  TRUE,"OK"
)</f>
        <v>OK</v>
      </c>
    </row>
    <row r="571" spans="1:9" ht="16.8" x14ac:dyDescent="0.3">
      <c r="A571" s="14" t="s">
        <v>7078</v>
      </c>
      <c r="B571" s="14" t="s">
        <v>4787</v>
      </c>
      <c r="C571" s="15">
        <v>44751</v>
      </c>
      <c r="D571" s="14">
        <v>232780.06</v>
      </c>
      <c r="E571" s="14" t="s">
        <v>6502</v>
      </c>
      <c r="F571" s="14" t="s">
        <v>6509</v>
      </c>
      <c r="G571" s="14" t="s">
        <v>45</v>
      </c>
      <c r="H571" s="14">
        <v>41</v>
      </c>
      <c r="I571" s="13" t="str" cm="1">
        <f t="array" ref="I571">_xlfn.IFS(
  OR(ISBLANK(A571),ISBLANK(B571),ISBLANK(D571),ISBLANK(E571),ISBLANK(H571)),"Missing Value",
  D571&lt;0,"Review – Out of Range (Claim Amount)",
  H571&lt;0,"Review – Out of Range (Days to Process)",
  TRUE,"OK"
)</f>
        <v>OK</v>
      </c>
    </row>
    <row r="572" spans="1:9" ht="16.8" x14ac:dyDescent="0.3">
      <c r="A572" s="11" t="s">
        <v>7079</v>
      </c>
      <c r="B572" s="11" t="s">
        <v>3970</v>
      </c>
      <c r="C572" s="12">
        <v>45509</v>
      </c>
      <c r="D572" s="11">
        <v>409378.04</v>
      </c>
      <c r="E572" s="11" t="s">
        <v>6508</v>
      </c>
      <c r="F572" s="11" t="s">
        <v>6503</v>
      </c>
      <c r="G572" s="11" t="s">
        <v>46</v>
      </c>
      <c r="H572" s="11">
        <v>2</v>
      </c>
      <c r="I572" s="13" t="str" cm="1">
        <f t="array" ref="I572">_xlfn.IFS(
  OR(ISBLANK(A572),ISBLANK(B572),ISBLANK(D572),ISBLANK(E572),ISBLANK(H572)),"Missing Value",
  D572&lt;0,"Review – Out of Range (Claim Amount)",
  H572&lt;0,"Review – Out of Range (Days to Process)",
  TRUE,"OK"
)</f>
        <v>OK</v>
      </c>
    </row>
    <row r="573" spans="1:9" ht="16.8" x14ac:dyDescent="0.3">
      <c r="A573" s="14" t="s">
        <v>7080</v>
      </c>
      <c r="B573" s="14" t="s">
        <v>5325</v>
      </c>
      <c r="C573" s="15">
        <v>45283</v>
      </c>
      <c r="D573" s="14">
        <v>450128.24</v>
      </c>
      <c r="E573" s="14" t="s">
        <v>6502</v>
      </c>
      <c r="F573" s="14" t="s">
        <v>6503</v>
      </c>
      <c r="G573" s="14" t="s">
        <v>45</v>
      </c>
      <c r="H573" s="14">
        <v>6</v>
      </c>
      <c r="I573" s="13" t="str" cm="1">
        <f t="array" ref="I573">_xlfn.IFS(
  OR(ISBLANK(A573),ISBLANK(B573),ISBLANK(D573),ISBLANK(E573),ISBLANK(H573)),"Missing Value",
  D573&lt;0,"Review – Out of Range (Claim Amount)",
  H573&lt;0,"Review – Out of Range (Days to Process)",
  TRUE,"OK"
)</f>
        <v>OK</v>
      </c>
    </row>
    <row r="574" spans="1:9" ht="16.8" x14ac:dyDescent="0.3">
      <c r="A574" s="11" t="s">
        <v>7081</v>
      </c>
      <c r="B574" s="11" t="s">
        <v>4212</v>
      </c>
      <c r="C574" s="12">
        <v>44955</v>
      </c>
      <c r="D574" s="11">
        <v>475405.98</v>
      </c>
      <c r="E574" s="11" t="s">
        <v>6505</v>
      </c>
      <c r="F574" s="11" t="s">
        <v>6503</v>
      </c>
      <c r="G574" s="11" t="s">
        <v>45</v>
      </c>
      <c r="H574" s="11">
        <v>13</v>
      </c>
      <c r="I574" s="13" t="str" cm="1">
        <f t="array" ref="I574">_xlfn.IFS(
  OR(ISBLANK(A574),ISBLANK(B574),ISBLANK(D574),ISBLANK(E574),ISBLANK(H574)),"Missing Value",
  D574&lt;0,"Review – Out of Range (Claim Amount)",
  H574&lt;0,"Review – Out of Range (Days to Process)",
  TRUE,"OK"
)</f>
        <v>OK</v>
      </c>
    </row>
    <row r="575" spans="1:9" ht="16.8" x14ac:dyDescent="0.3">
      <c r="A575" s="14" t="s">
        <v>7082</v>
      </c>
      <c r="B575" s="14" t="s">
        <v>5918</v>
      </c>
      <c r="C575" s="15">
        <v>44747</v>
      </c>
      <c r="D575" s="14">
        <v>384696.16</v>
      </c>
      <c r="E575" s="14" t="s">
        <v>6508</v>
      </c>
      <c r="F575" s="14" t="s">
        <v>6511</v>
      </c>
      <c r="G575" s="14" t="s">
        <v>45</v>
      </c>
      <c r="H575" s="14">
        <v>45</v>
      </c>
      <c r="I575" s="13" t="str" cm="1">
        <f t="array" ref="I575">_xlfn.IFS(
  OR(ISBLANK(A575),ISBLANK(B575),ISBLANK(D575),ISBLANK(E575),ISBLANK(H575)),"Missing Value",
  D575&lt;0,"Review – Out of Range (Claim Amount)",
  H575&lt;0,"Review – Out of Range (Days to Process)",
  TRUE,"OK"
)</f>
        <v>OK</v>
      </c>
    </row>
    <row r="576" spans="1:9" ht="16.8" x14ac:dyDescent="0.3">
      <c r="A576" s="11" t="s">
        <v>7083</v>
      </c>
      <c r="B576" s="11" t="s">
        <v>6110</v>
      </c>
      <c r="C576" s="12">
        <v>45064</v>
      </c>
      <c r="D576" s="11">
        <v>126199.29</v>
      </c>
      <c r="E576" s="11" t="s">
        <v>6508</v>
      </c>
      <c r="F576" s="11" t="s">
        <v>6511</v>
      </c>
      <c r="G576" s="11" t="s">
        <v>46</v>
      </c>
      <c r="H576" s="11">
        <v>49</v>
      </c>
      <c r="I576" s="13" t="str" cm="1">
        <f t="array" ref="I576">_xlfn.IFS(
  OR(ISBLANK(A576),ISBLANK(B576),ISBLANK(D576),ISBLANK(E576),ISBLANK(H576)),"Missing Value",
  D576&lt;0,"Review – Out of Range (Claim Amount)",
  H576&lt;0,"Review – Out of Range (Days to Process)",
  TRUE,"OK"
)</f>
        <v>OK</v>
      </c>
    </row>
    <row r="577" spans="1:9" ht="16.8" x14ac:dyDescent="0.3">
      <c r="A577" s="14" t="s">
        <v>7084</v>
      </c>
      <c r="B577" s="14" t="s">
        <v>5966</v>
      </c>
      <c r="C577" s="15">
        <v>45320</v>
      </c>
      <c r="D577" s="14">
        <v>338160.11</v>
      </c>
      <c r="E577" s="14" t="s">
        <v>6505</v>
      </c>
      <c r="F577" s="14" t="s">
        <v>6516</v>
      </c>
      <c r="G577" s="14" t="s">
        <v>46</v>
      </c>
      <c r="H577" s="14">
        <v>21</v>
      </c>
      <c r="I577" s="13" t="str" cm="1">
        <f t="array" ref="I577">_xlfn.IFS(
  OR(ISBLANK(A577),ISBLANK(B577),ISBLANK(D577),ISBLANK(E577),ISBLANK(H577)),"Missing Value",
  D577&lt;0,"Review – Out of Range (Claim Amount)",
  H577&lt;0,"Review – Out of Range (Days to Process)",
  TRUE,"OK"
)</f>
        <v>OK</v>
      </c>
    </row>
    <row r="578" spans="1:9" ht="16.8" x14ac:dyDescent="0.3">
      <c r="A578" s="11" t="s">
        <v>7085</v>
      </c>
      <c r="B578" s="11" t="s">
        <v>4139</v>
      </c>
      <c r="C578" s="12">
        <v>44522</v>
      </c>
      <c r="D578" s="11">
        <v>198352.72</v>
      </c>
      <c r="E578" s="11" t="s">
        <v>6505</v>
      </c>
      <c r="F578" s="11" t="s">
        <v>6516</v>
      </c>
      <c r="G578" s="11" t="s">
        <v>45</v>
      </c>
      <c r="H578" s="11">
        <v>5</v>
      </c>
      <c r="I578" s="13" t="str" cm="1">
        <f t="array" ref="I578">_xlfn.IFS(
  OR(ISBLANK(A578),ISBLANK(B578),ISBLANK(D578),ISBLANK(E578),ISBLANK(H578)),"Missing Value",
  D578&lt;0,"Review – Out of Range (Claim Amount)",
  H578&lt;0,"Review – Out of Range (Days to Process)",
  TRUE,"OK"
)</f>
        <v>OK</v>
      </c>
    </row>
    <row r="579" spans="1:9" ht="16.8" x14ac:dyDescent="0.3">
      <c r="A579" s="14" t="s">
        <v>7086</v>
      </c>
      <c r="B579" s="14" t="s">
        <v>4039</v>
      </c>
      <c r="C579" s="15">
        <v>45050</v>
      </c>
      <c r="D579" s="14">
        <v>192458.68</v>
      </c>
      <c r="E579" s="14" t="s">
        <v>6505</v>
      </c>
      <c r="F579" s="14" t="s">
        <v>6516</v>
      </c>
      <c r="G579" s="14" t="s">
        <v>46</v>
      </c>
      <c r="H579" s="14">
        <v>23</v>
      </c>
      <c r="I579" s="13" t="str" cm="1">
        <f t="array" ref="I579">_xlfn.IFS(
  OR(ISBLANK(A579),ISBLANK(B579),ISBLANK(D579),ISBLANK(E579),ISBLANK(H579)),"Missing Value",
  D579&lt;0,"Review – Out of Range (Claim Amount)",
  H579&lt;0,"Review – Out of Range (Days to Process)",
  TRUE,"OK"
)</f>
        <v>OK</v>
      </c>
    </row>
    <row r="580" spans="1:9" ht="16.8" x14ac:dyDescent="0.3">
      <c r="A580" s="11" t="s">
        <v>7087</v>
      </c>
      <c r="B580" s="11" t="s">
        <v>5497</v>
      </c>
      <c r="C580" s="12">
        <v>45026</v>
      </c>
      <c r="D580" s="11">
        <v>36813.82</v>
      </c>
      <c r="E580" s="11" t="s">
        <v>6505</v>
      </c>
      <c r="F580" s="11" t="s">
        <v>6503</v>
      </c>
      <c r="G580" s="11" t="s">
        <v>46</v>
      </c>
      <c r="H580" s="11">
        <v>57</v>
      </c>
      <c r="I580" s="13" t="str" cm="1">
        <f t="array" ref="I580">_xlfn.IFS(
  OR(ISBLANK(A580),ISBLANK(B580),ISBLANK(D580),ISBLANK(E580),ISBLANK(H580)),"Missing Value",
  D580&lt;0,"Review – Out of Range (Claim Amount)",
  H580&lt;0,"Review – Out of Range (Days to Process)",
  TRUE,"OK"
)</f>
        <v>OK</v>
      </c>
    </row>
    <row r="581" spans="1:9" ht="16.8" x14ac:dyDescent="0.3">
      <c r="A581" s="14" t="s">
        <v>7088</v>
      </c>
      <c r="B581" s="14" t="s">
        <v>4779</v>
      </c>
      <c r="C581" s="15">
        <v>45510</v>
      </c>
      <c r="D581" s="14">
        <v>193145.06</v>
      </c>
      <c r="E581" s="14" t="s">
        <v>6508</v>
      </c>
      <c r="F581" s="14" t="s">
        <v>6503</v>
      </c>
      <c r="G581" s="14" t="s">
        <v>45</v>
      </c>
      <c r="H581" s="14">
        <v>54</v>
      </c>
      <c r="I581" s="13" t="str" cm="1">
        <f t="array" ref="I581">_xlfn.IFS(
  OR(ISBLANK(A581),ISBLANK(B581),ISBLANK(D581),ISBLANK(E581),ISBLANK(H581)),"Missing Value",
  D581&lt;0,"Review – Out of Range (Claim Amount)",
  H581&lt;0,"Review – Out of Range (Days to Process)",
  TRUE,"OK"
)</f>
        <v>OK</v>
      </c>
    </row>
    <row r="582" spans="1:9" ht="16.8" x14ac:dyDescent="0.3">
      <c r="A582" s="11" t="s">
        <v>7089</v>
      </c>
      <c r="B582" s="11" t="s">
        <v>4334</v>
      </c>
      <c r="C582" s="12">
        <v>44967</v>
      </c>
      <c r="D582" s="11">
        <v>39003.769999999997</v>
      </c>
      <c r="E582" s="11" t="s">
        <v>6502</v>
      </c>
      <c r="F582" s="11" t="s">
        <v>6516</v>
      </c>
      <c r="G582" s="11" t="s">
        <v>45</v>
      </c>
      <c r="H582" s="11">
        <v>9</v>
      </c>
      <c r="I582" s="13" t="str" cm="1">
        <f t="array" ref="I582">_xlfn.IFS(
  OR(ISBLANK(A582),ISBLANK(B582),ISBLANK(D582),ISBLANK(E582),ISBLANK(H582)),"Missing Value",
  D582&lt;0,"Review – Out of Range (Claim Amount)",
  H582&lt;0,"Review – Out of Range (Days to Process)",
  TRUE,"OK"
)</f>
        <v>OK</v>
      </c>
    </row>
    <row r="583" spans="1:9" ht="16.8" x14ac:dyDescent="0.3">
      <c r="A583" s="14" t="s">
        <v>7090</v>
      </c>
      <c r="B583" s="14" t="s">
        <v>4661</v>
      </c>
      <c r="C583" s="15">
        <v>45703</v>
      </c>
      <c r="D583" s="14">
        <v>313416.19</v>
      </c>
      <c r="E583" s="14" t="s">
        <v>6505</v>
      </c>
      <c r="F583" s="14" t="s">
        <v>6503</v>
      </c>
      <c r="G583" s="14" t="s">
        <v>46</v>
      </c>
      <c r="H583" s="14">
        <v>19</v>
      </c>
      <c r="I583" s="13" t="str" cm="1">
        <f t="array" ref="I583">_xlfn.IFS(
  OR(ISBLANK(A583),ISBLANK(B583),ISBLANK(D583),ISBLANK(E583),ISBLANK(H583)),"Missing Value",
  D583&lt;0,"Review – Out of Range (Claim Amount)",
  H583&lt;0,"Review – Out of Range (Days to Process)",
  TRUE,"OK"
)</f>
        <v>OK</v>
      </c>
    </row>
    <row r="584" spans="1:9" ht="16.8" x14ac:dyDescent="0.3">
      <c r="A584" s="11" t="s">
        <v>7091</v>
      </c>
      <c r="B584" s="11" t="s">
        <v>4777</v>
      </c>
      <c r="C584" s="12">
        <v>44691</v>
      </c>
      <c r="D584" s="11">
        <v>404407.15</v>
      </c>
      <c r="E584" s="11" t="s">
        <v>6505</v>
      </c>
      <c r="F584" s="11" t="s">
        <v>6503</v>
      </c>
      <c r="G584" s="11" t="s">
        <v>46</v>
      </c>
      <c r="H584" s="11">
        <v>4</v>
      </c>
      <c r="I584" s="13" t="str" cm="1">
        <f t="array" ref="I584">_xlfn.IFS(
  OR(ISBLANK(A584),ISBLANK(B584),ISBLANK(D584),ISBLANK(E584),ISBLANK(H584)),"Missing Value",
  D584&lt;0,"Review – Out of Range (Claim Amount)",
  H584&lt;0,"Review – Out of Range (Days to Process)",
  TRUE,"OK"
)</f>
        <v>OK</v>
      </c>
    </row>
    <row r="585" spans="1:9" ht="16.8" x14ac:dyDescent="0.3">
      <c r="A585" s="14" t="s">
        <v>7092</v>
      </c>
      <c r="B585" s="14" t="s">
        <v>5994</v>
      </c>
      <c r="C585" s="15">
        <v>45680</v>
      </c>
      <c r="D585" s="14">
        <v>372763.44</v>
      </c>
      <c r="E585" s="14" t="s">
        <v>6502</v>
      </c>
      <c r="F585" s="14" t="s">
        <v>6509</v>
      </c>
      <c r="G585" s="14" t="s">
        <v>45</v>
      </c>
      <c r="H585" s="14">
        <v>47</v>
      </c>
      <c r="I585" s="13" t="str" cm="1">
        <f t="array" ref="I585">_xlfn.IFS(
  OR(ISBLANK(A585),ISBLANK(B585),ISBLANK(D585),ISBLANK(E585),ISBLANK(H585)),"Missing Value",
  D585&lt;0,"Review – Out of Range (Claim Amount)",
  H585&lt;0,"Review – Out of Range (Days to Process)",
  TRUE,"OK"
)</f>
        <v>OK</v>
      </c>
    </row>
    <row r="586" spans="1:9" ht="16.8" x14ac:dyDescent="0.3">
      <c r="A586" s="11" t="s">
        <v>7093</v>
      </c>
      <c r="B586" s="11" t="s">
        <v>6453</v>
      </c>
      <c r="C586" s="12">
        <v>45314</v>
      </c>
      <c r="D586" s="11">
        <v>123261.36</v>
      </c>
      <c r="E586" s="11" t="s">
        <v>6508</v>
      </c>
      <c r="F586" s="11" t="s">
        <v>6511</v>
      </c>
      <c r="G586" s="11" t="s">
        <v>46</v>
      </c>
      <c r="H586" s="11">
        <v>55</v>
      </c>
      <c r="I586" s="13" t="str" cm="1">
        <f t="array" ref="I586">_xlfn.IFS(
  OR(ISBLANK(A586),ISBLANK(B586),ISBLANK(D586),ISBLANK(E586),ISBLANK(H586)),"Missing Value",
  D586&lt;0,"Review – Out of Range (Claim Amount)",
  H586&lt;0,"Review – Out of Range (Days to Process)",
  TRUE,"OK"
)</f>
        <v>OK</v>
      </c>
    </row>
    <row r="587" spans="1:9" ht="16.8" x14ac:dyDescent="0.3">
      <c r="A587" s="14" t="s">
        <v>7094</v>
      </c>
      <c r="B587" s="14" t="s">
        <v>5808</v>
      </c>
      <c r="C587" s="15">
        <v>45538</v>
      </c>
      <c r="D587" s="14">
        <v>444705.3</v>
      </c>
      <c r="E587" s="14" t="s">
        <v>6502</v>
      </c>
      <c r="F587" s="14" t="s">
        <v>6511</v>
      </c>
      <c r="G587" s="14" t="s">
        <v>45</v>
      </c>
      <c r="H587" s="14">
        <v>11</v>
      </c>
      <c r="I587" s="13" t="str" cm="1">
        <f t="array" ref="I587">_xlfn.IFS(
  OR(ISBLANK(A587),ISBLANK(B587),ISBLANK(D587),ISBLANK(E587),ISBLANK(H587)),"Missing Value",
  D587&lt;0,"Review – Out of Range (Claim Amount)",
  H587&lt;0,"Review – Out of Range (Days to Process)",
  TRUE,"OK"
)</f>
        <v>OK</v>
      </c>
    </row>
    <row r="588" spans="1:9" ht="16.8" x14ac:dyDescent="0.3">
      <c r="A588" s="11" t="s">
        <v>7095</v>
      </c>
      <c r="B588" s="11" t="s">
        <v>4770</v>
      </c>
      <c r="C588" s="12">
        <v>45067</v>
      </c>
      <c r="D588" s="11">
        <v>401119.97</v>
      </c>
      <c r="E588" s="11" t="s">
        <v>6508</v>
      </c>
      <c r="F588" s="11" t="s">
        <v>6503</v>
      </c>
      <c r="G588" s="11" t="s">
        <v>45</v>
      </c>
      <c r="H588" s="11">
        <v>37</v>
      </c>
      <c r="I588" s="13" t="str" cm="1">
        <f t="array" ref="I588">_xlfn.IFS(
  OR(ISBLANK(A588),ISBLANK(B588),ISBLANK(D588),ISBLANK(E588),ISBLANK(H588)),"Missing Value",
  D588&lt;0,"Review – Out of Range (Claim Amount)",
  H588&lt;0,"Review – Out of Range (Days to Process)",
  TRUE,"OK"
)</f>
        <v>OK</v>
      </c>
    </row>
    <row r="589" spans="1:9" ht="16.8" x14ac:dyDescent="0.3">
      <c r="A589" s="14" t="s">
        <v>7096</v>
      </c>
      <c r="B589" s="14" t="s">
        <v>5476</v>
      </c>
      <c r="C589" s="15">
        <v>44582</v>
      </c>
      <c r="D589" s="14">
        <v>111099.58</v>
      </c>
      <c r="E589" s="14" t="s">
        <v>6505</v>
      </c>
      <c r="F589" s="14" t="s">
        <v>6516</v>
      </c>
      <c r="G589" s="14" t="s">
        <v>45</v>
      </c>
      <c r="H589" s="14">
        <v>52</v>
      </c>
      <c r="I589" s="13" t="str" cm="1">
        <f t="array" ref="I589">_xlfn.IFS(
  OR(ISBLANK(A589),ISBLANK(B589),ISBLANK(D589),ISBLANK(E589),ISBLANK(H589)),"Missing Value",
  D589&lt;0,"Review – Out of Range (Claim Amount)",
  H589&lt;0,"Review – Out of Range (Days to Process)",
  TRUE,"OK"
)</f>
        <v>OK</v>
      </c>
    </row>
    <row r="590" spans="1:9" ht="16.8" x14ac:dyDescent="0.3">
      <c r="A590" s="11" t="s">
        <v>7097</v>
      </c>
      <c r="B590" s="11" t="s">
        <v>4358</v>
      </c>
      <c r="C590" s="12">
        <v>45180</v>
      </c>
      <c r="D590" s="11">
        <v>238275.65</v>
      </c>
      <c r="E590" s="11" t="s">
        <v>6508</v>
      </c>
      <c r="F590" s="11" t="s">
        <v>6516</v>
      </c>
      <c r="G590" s="11" t="s">
        <v>45</v>
      </c>
      <c r="H590" s="11">
        <v>8</v>
      </c>
      <c r="I590" s="13" t="str" cm="1">
        <f t="array" ref="I590">_xlfn.IFS(
  OR(ISBLANK(A590),ISBLANK(B590),ISBLANK(D590),ISBLANK(E590),ISBLANK(H590)),"Missing Value",
  D590&lt;0,"Review – Out of Range (Claim Amount)",
  H590&lt;0,"Review – Out of Range (Days to Process)",
  TRUE,"OK"
)</f>
        <v>OK</v>
      </c>
    </row>
    <row r="591" spans="1:9" ht="16.8" x14ac:dyDescent="0.3">
      <c r="A591" s="14" t="s">
        <v>7098</v>
      </c>
      <c r="B591" s="14" t="s">
        <v>6319</v>
      </c>
      <c r="C591" s="15">
        <v>45080</v>
      </c>
      <c r="D591" s="14">
        <v>348858.46</v>
      </c>
      <c r="E591" s="14" t="s">
        <v>6502</v>
      </c>
      <c r="F591" s="14" t="s">
        <v>6503</v>
      </c>
      <c r="G591" s="14" t="s">
        <v>45</v>
      </c>
      <c r="H591" s="14">
        <v>58</v>
      </c>
      <c r="I591" s="13" t="str" cm="1">
        <f t="array" ref="I591">_xlfn.IFS(
  OR(ISBLANK(A591),ISBLANK(B591),ISBLANK(D591),ISBLANK(E591),ISBLANK(H591)),"Missing Value",
  D591&lt;0,"Review – Out of Range (Claim Amount)",
  H591&lt;0,"Review – Out of Range (Days to Process)",
  TRUE,"OK"
)</f>
        <v>OK</v>
      </c>
    </row>
    <row r="592" spans="1:9" ht="16.8" x14ac:dyDescent="0.3">
      <c r="A592" s="11" t="s">
        <v>7099</v>
      </c>
      <c r="B592" s="11" t="s">
        <v>6346</v>
      </c>
      <c r="C592" s="12">
        <v>45057</v>
      </c>
      <c r="D592" s="11">
        <v>181932.73</v>
      </c>
      <c r="E592" s="11" t="s">
        <v>6505</v>
      </c>
      <c r="F592" s="11" t="s">
        <v>6506</v>
      </c>
      <c r="G592" s="11" t="s">
        <v>45</v>
      </c>
      <c r="H592" s="11">
        <v>35</v>
      </c>
      <c r="I592" s="13" t="str" cm="1">
        <f t="array" ref="I592">_xlfn.IFS(
  OR(ISBLANK(A592),ISBLANK(B592),ISBLANK(D592),ISBLANK(E592),ISBLANK(H592)),"Missing Value",
  D592&lt;0,"Review – Out of Range (Claim Amount)",
  H592&lt;0,"Review – Out of Range (Days to Process)",
  TRUE,"OK"
)</f>
        <v>OK</v>
      </c>
    </row>
    <row r="593" spans="1:9" ht="16.8" x14ac:dyDescent="0.3">
      <c r="A593" s="14" t="s">
        <v>7100</v>
      </c>
      <c r="B593" s="14" t="s">
        <v>3479</v>
      </c>
      <c r="C593" s="15">
        <v>45365</v>
      </c>
      <c r="D593" s="14">
        <v>352511.39</v>
      </c>
      <c r="E593" s="14" t="s">
        <v>6502</v>
      </c>
      <c r="F593" s="14" t="s">
        <v>6503</v>
      </c>
      <c r="G593" s="14" t="s">
        <v>45</v>
      </c>
      <c r="H593" s="14">
        <v>29</v>
      </c>
      <c r="I593" s="13" t="str" cm="1">
        <f t="array" ref="I593">_xlfn.IFS(
  OR(ISBLANK(A593),ISBLANK(B593),ISBLANK(D593),ISBLANK(E593),ISBLANK(H593)),"Missing Value",
  D593&lt;0,"Review – Out of Range (Claim Amount)",
  H593&lt;0,"Review – Out of Range (Days to Process)",
  TRUE,"OK"
)</f>
        <v>OK</v>
      </c>
    </row>
    <row r="594" spans="1:9" ht="16.8" x14ac:dyDescent="0.3">
      <c r="A594" s="11" t="s">
        <v>7101</v>
      </c>
      <c r="B594" s="11" t="s">
        <v>3760</v>
      </c>
      <c r="C594" s="12">
        <v>45388</v>
      </c>
      <c r="D594" s="11">
        <v>495942.35</v>
      </c>
      <c r="E594" s="11" t="s">
        <v>6508</v>
      </c>
      <c r="F594" s="11" t="s">
        <v>6503</v>
      </c>
      <c r="G594" s="11" t="s">
        <v>46</v>
      </c>
      <c r="H594" s="11">
        <v>37</v>
      </c>
      <c r="I594" s="13" t="str" cm="1">
        <f t="array" ref="I594">_xlfn.IFS(
  OR(ISBLANK(A594),ISBLANK(B594),ISBLANK(D594),ISBLANK(E594),ISBLANK(H594)),"Missing Value",
  D594&lt;0,"Review – Out of Range (Claim Amount)",
  H594&lt;0,"Review – Out of Range (Days to Process)",
  TRUE,"OK"
)</f>
        <v>OK</v>
      </c>
    </row>
    <row r="595" spans="1:9" ht="16.8" x14ac:dyDescent="0.3">
      <c r="A595" s="14" t="s">
        <v>7102</v>
      </c>
      <c r="B595" s="14" t="s">
        <v>3625</v>
      </c>
      <c r="C595" s="15">
        <v>45471</v>
      </c>
      <c r="D595" s="14">
        <v>431774.34</v>
      </c>
      <c r="E595" s="14" t="s">
        <v>6505</v>
      </c>
      <c r="F595" s="14" t="s">
        <v>6511</v>
      </c>
      <c r="G595" s="14" t="s">
        <v>46</v>
      </c>
      <c r="H595" s="14">
        <v>11</v>
      </c>
      <c r="I595" s="13" t="str" cm="1">
        <f t="array" ref="I595">_xlfn.IFS(
  OR(ISBLANK(A595),ISBLANK(B595),ISBLANK(D595),ISBLANK(E595),ISBLANK(H595)),"Missing Value",
  D595&lt;0,"Review – Out of Range (Claim Amount)",
  H595&lt;0,"Review – Out of Range (Days to Process)",
  TRUE,"OK"
)</f>
        <v>OK</v>
      </c>
    </row>
    <row r="596" spans="1:9" ht="16.8" x14ac:dyDescent="0.3">
      <c r="A596" s="11" t="s">
        <v>7103</v>
      </c>
      <c r="B596" s="11" t="s">
        <v>5706</v>
      </c>
      <c r="C596" s="12">
        <v>45207</v>
      </c>
      <c r="D596" s="11">
        <v>388944.5</v>
      </c>
      <c r="E596" s="11" t="s">
        <v>6505</v>
      </c>
      <c r="F596" s="11" t="s">
        <v>6506</v>
      </c>
      <c r="G596" s="11" t="s">
        <v>46</v>
      </c>
      <c r="H596" s="11">
        <v>30</v>
      </c>
      <c r="I596" s="13" t="str" cm="1">
        <f t="array" ref="I596">_xlfn.IFS(
  OR(ISBLANK(A596),ISBLANK(B596),ISBLANK(D596),ISBLANK(E596),ISBLANK(H596)),"Missing Value",
  D596&lt;0,"Review – Out of Range (Claim Amount)",
  H596&lt;0,"Review – Out of Range (Days to Process)",
  TRUE,"OK"
)</f>
        <v>OK</v>
      </c>
    </row>
    <row r="597" spans="1:9" ht="16.8" x14ac:dyDescent="0.3">
      <c r="A597" s="14" t="s">
        <v>7104</v>
      </c>
      <c r="B597" s="14" t="s">
        <v>6282</v>
      </c>
      <c r="C597" s="15">
        <v>44178</v>
      </c>
      <c r="D597" s="14">
        <v>198077.76</v>
      </c>
      <c r="E597" s="14" t="s">
        <v>6505</v>
      </c>
      <c r="F597" s="14" t="s">
        <v>6511</v>
      </c>
      <c r="G597" s="14" t="s">
        <v>46</v>
      </c>
      <c r="H597" s="14">
        <v>48</v>
      </c>
      <c r="I597" s="13" t="str" cm="1">
        <f t="array" ref="I597">_xlfn.IFS(
  OR(ISBLANK(A597),ISBLANK(B597),ISBLANK(D597),ISBLANK(E597),ISBLANK(H597)),"Missing Value",
  D597&lt;0,"Review – Out of Range (Claim Amount)",
  H597&lt;0,"Review – Out of Range (Days to Process)",
  TRUE,"OK"
)</f>
        <v>OK</v>
      </c>
    </row>
    <row r="598" spans="1:9" ht="16.8" x14ac:dyDescent="0.3">
      <c r="A598" s="11" t="s">
        <v>7105</v>
      </c>
      <c r="B598" s="11" t="s">
        <v>4245</v>
      </c>
      <c r="C598" s="12">
        <v>45675</v>
      </c>
      <c r="D598" s="11">
        <v>259848.99</v>
      </c>
      <c r="E598" s="11" t="s">
        <v>6505</v>
      </c>
      <c r="F598" s="11" t="s">
        <v>6511</v>
      </c>
      <c r="G598" s="11" t="s">
        <v>45</v>
      </c>
      <c r="H598" s="11">
        <v>34</v>
      </c>
      <c r="I598" s="13" t="str" cm="1">
        <f t="array" ref="I598">_xlfn.IFS(
  OR(ISBLANK(A598),ISBLANK(B598),ISBLANK(D598),ISBLANK(E598),ISBLANK(H598)),"Missing Value",
  D598&lt;0,"Review – Out of Range (Claim Amount)",
  H598&lt;0,"Review – Out of Range (Days to Process)",
  TRUE,"OK"
)</f>
        <v>OK</v>
      </c>
    </row>
    <row r="599" spans="1:9" ht="16.8" x14ac:dyDescent="0.3">
      <c r="A599" s="14" t="s">
        <v>7106</v>
      </c>
      <c r="B599" s="14" t="s">
        <v>6059</v>
      </c>
      <c r="C599" s="15">
        <v>44769</v>
      </c>
      <c r="D599" s="14">
        <v>121182.15</v>
      </c>
      <c r="E599" s="14" t="s">
        <v>6508</v>
      </c>
      <c r="F599" s="14" t="s">
        <v>6511</v>
      </c>
      <c r="G599" s="14" t="s">
        <v>46</v>
      </c>
      <c r="H599" s="14">
        <v>31</v>
      </c>
      <c r="I599" s="13" t="str" cm="1">
        <f t="array" ref="I599">_xlfn.IFS(
  OR(ISBLANK(A599),ISBLANK(B599),ISBLANK(D599),ISBLANK(E599),ISBLANK(H599)),"Missing Value",
  D599&lt;0,"Review – Out of Range (Claim Amount)",
  H599&lt;0,"Review – Out of Range (Days to Process)",
  TRUE,"OK"
)</f>
        <v>OK</v>
      </c>
    </row>
    <row r="600" spans="1:9" ht="16.8" x14ac:dyDescent="0.3">
      <c r="A600" s="11" t="s">
        <v>7107</v>
      </c>
      <c r="B600" s="11" t="s">
        <v>4914</v>
      </c>
      <c r="C600" s="12">
        <v>44938</v>
      </c>
      <c r="D600" s="11">
        <v>436990.75</v>
      </c>
      <c r="E600" s="11" t="s">
        <v>6505</v>
      </c>
      <c r="F600" s="11" t="s">
        <v>6516</v>
      </c>
      <c r="G600" s="11" t="s">
        <v>45</v>
      </c>
      <c r="H600" s="11">
        <v>10</v>
      </c>
      <c r="I600" s="13" t="str" cm="1">
        <f t="array" ref="I600">_xlfn.IFS(
  OR(ISBLANK(A600),ISBLANK(B600),ISBLANK(D600),ISBLANK(E600),ISBLANK(H600)),"Missing Value",
  D600&lt;0,"Review – Out of Range (Claim Amount)",
  H600&lt;0,"Review – Out of Range (Days to Process)",
  TRUE,"OK"
)</f>
        <v>OK</v>
      </c>
    </row>
    <row r="601" spans="1:9" ht="16.8" x14ac:dyDescent="0.3">
      <c r="A601" s="14" t="s">
        <v>7108</v>
      </c>
      <c r="B601" s="14" t="s">
        <v>5471</v>
      </c>
      <c r="C601" s="15">
        <v>45204</v>
      </c>
      <c r="D601" s="14">
        <v>405906.8</v>
      </c>
      <c r="E601" s="14" t="s">
        <v>6505</v>
      </c>
      <c r="F601" s="14" t="s">
        <v>6511</v>
      </c>
      <c r="G601" s="14" t="s">
        <v>45</v>
      </c>
      <c r="H601" s="14">
        <v>59</v>
      </c>
      <c r="I601" s="13" t="str" cm="1">
        <f t="array" ref="I601">_xlfn.IFS(
  OR(ISBLANK(A601),ISBLANK(B601),ISBLANK(D601),ISBLANK(E601),ISBLANK(H601)),"Missing Value",
  D601&lt;0,"Review – Out of Range (Claim Amount)",
  H601&lt;0,"Review – Out of Range (Days to Process)",
  TRUE,"OK"
)</f>
        <v>OK</v>
      </c>
    </row>
    <row r="602" spans="1:9" ht="16.8" x14ac:dyDescent="0.3">
      <c r="A602" s="11" t="s">
        <v>7109</v>
      </c>
      <c r="B602" s="11" t="s">
        <v>4346</v>
      </c>
      <c r="C602" s="12">
        <v>45549</v>
      </c>
      <c r="D602" s="11">
        <v>462208.67</v>
      </c>
      <c r="E602" s="11" t="s">
        <v>6508</v>
      </c>
      <c r="F602" s="11" t="s">
        <v>6503</v>
      </c>
      <c r="G602" s="11" t="s">
        <v>46</v>
      </c>
      <c r="H602" s="11">
        <v>3</v>
      </c>
      <c r="I602" s="13" t="str" cm="1">
        <f t="array" ref="I602">_xlfn.IFS(
  OR(ISBLANK(A602),ISBLANK(B602),ISBLANK(D602),ISBLANK(E602),ISBLANK(H602)),"Missing Value",
  D602&lt;0,"Review – Out of Range (Claim Amount)",
  H602&lt;0,"Review – Out of Range (Days to Process)",
  TRUE,"OK"
)</f>
        <v>OK</v>
      </c>
    </row>
    <row r="603" spans="1:9" ht="16.8" x14ac:dyDescent="0.3">
      <c r="A603" s="14" t="s">
        <v>7110</v>
      </c>
      <c r="B603" s="14" t="s">
        <v>4856</v>
      </c>
      <c r="C603" s="15">
        <v>45066</v>
      </c>
      <c r="D603" s="14">
        <v>170320.27</v>
      </c>
      <c r="E603" s="14" t="s">
        <v>6502</v>
      </c>
      <c r="F603" s="14" t="s">
        <v>6506</v>
      </c>
      <c r="G603" s="14" t="s">
        <v>46</v>
      </c>
      <c r="H603" s="14">
        <v>50</v>
      </c>
      <c r="I603" s="13" t="str" cm="1">
        <f t="array" ref="I603">_xlfn.IFS(
  OR(ISBLANK(A603),ISBLANK(B603),ISBLANK(D603),ISBLANK(E603),ISBLANK(H603)),"Missing Value",
  D603&lt;0,"Review – Out of Range (Claim Amount)",
  H603&lt;0,"Review – Out of Range (Days to Process)",
  TRUE,"OK"
)</f>
        <v>OK</v>
      </c>
    </row>
    <row r="604" spans="1:9" ht="16.8" x14ac:dyDescent="0.3">
      <c r="A604" s="11" t="s">
        <v>7111</v>
      </c>
      <c r="B604" s="11" t="s">
        <v>5127</v>
      </c>
      <c r="C604" s="12">
        <v>45383</v>
      </c>
      <c r="D604" s="11">
        <v>392599.76</v>
      </c>
      <c r="E604" s="11" t="s">
        <v>6508</v>
      </c>
      <c r="F604" s="11" t="s">
        <v>6509</v>
      </c>
      <c r="G604" s="11" t="s">
        <v>46</v>
      </c>
      <c r="H604" s="11">
        <v>29</v>
      </c>
      <c r="I604" s="13" t="str" cm="1">
        <f t="array" ref="I604">_xlfn.IFS(
  OR(ISBLANK(A604),ISBLANK(B604),ISBLANK(D604),ISBLANK(E604),ISBLANK(H604)),"Missing Value",
  D604&lt;0,"Review – Out of Range (Claim Amount)",
  H604&lt;0,"Review – Out of Range (Days to Process)",
  TRUE,"OK"
)</f>
        <v>OK</v>
      </c>
    </row>
    <row r="605" spans="1:9" ht="16.8" x14ac:dyDescent="0.3">
      <c r="A605" s="14" t="s">
        <v>7112</v>
      </c>
      <c r="B605" s="14" t="s">
        <v>5630</v>
      </c>
      <c r="C605" s="15">
        <v>45687</v>
      </c>
      <c r="D605" s="14">
        <v>401446.41</v>
      </c>
      <c r="E605" s="14" t="s">
        <v>6508</v>
      </c>
      <c r="F605" s="14" t="s">
        <v>6509</v>
      </c>
      <c r="G605" s="14" t="s">
        <v>45</v>
      </c>
      <c r="H605" s="14">
        <v>29</v>
      </c>
      <c r="I605" s="13" t="str" cm="1">
        <f t="array" ref="I605">_xlfn.IFS(
  OR(ISBLANK(A605),ISBLANK(B605),ISBLANK(D605),ISBLANK(E605),ISBLANK(H605)),"Missing Value",
  D605&lt;0,"Review – Out of Range (Claim Amount)",
  H605&lt;0,"Review – Out of Range (Days to Process)",
  TRUE,"OK"
)</f>
        <v>OK</v>
      </c>
    </row>
    <row r="606" spans="1:9" ht="16.8" x14ac:dyDescent="0.3">
      <c r="A606" s="11" t="s">
        <v>7113</v>
      </c>
      <c r="B606" s="11" t="s">
        <v>5207</v>
      </c>
      <c r="C606" s="12">
        <v>45095</v>
      </c>
      <c r="D606" s="11">
        <v>105864.36</v>
      </c>
      <c r="E606" s="11" t="s">
        <v>6508</v>
      </c>
      <c r="F606" s="11" t="s">
        <v>6503</v>
      </c>
      <c r="G606" s="11" t="s">
        <v>46</v>
      </c>
      <c r="H606" s="11">
        <v>39</v>
      </c>
      <c r="I606" s="13" t="str" cm="1">
        <f t="array" ref="I606">_xlfn.IFS(
  OR(ISBLANK(A606),ISBLANK(B606),ISBLANK(D606),ISBLANK(E606),ISBLANK(H606)),"Missing Value",
  D606&lt;0,"Review – Out of Range (Claim Amount)",
  H606&lt;0,"Review – Out of Range (Days to Process)",
  TRUE,"OK"
)</f>
        <v>OK</v>
      </c>
    </row>
    <row r="607" spans="1:9" ht="16.8" x14ac:dyDescent="0.3">
      <c r="A607" s="14" t="s">
        <v>7114</v>
      </c>
      <c r="B607" s="14" t="s">
        <v>6417</v>
      </c>
      <c r="C607" s="15">
        <v>45252</v>
      </c>
      <c r="D607" s="14">
        <v>214399.2</v>
      </c>
      <c r="E607" s="14" t="s">
        <v>6508</v>
      </c>
      <c r="F607" s="14" t="s">
        <v>6509</v>
      </c>
      <c r="G607" s="14" t="s">
        <v>45</v>
      </c>
      <c r="H607" s="14">
        <v>40</v>
      </c>
      <c r="I607" s="13" t="str" cm="1">
        <f t="array" ref="I607">_xlfn.IFS(
  OR(ISBLANK(A607),ISBLANK(B607),ISBLANK(D607),ISBLANK(E607),ISBLANK(H607)),"Missing Value",
  D607&lt;0,"Review – Out of Range (Claim Amount)",
  H607&lt;0,"Review – Out of Range (Days to Process)",
  TRUE,"OK"
)</f>
        <v>OK</v>
      </c>
    </row>
    <row r="608" spans="1:9" ht="16.8" x14ac:dyDescent="0.3">
      <c r="A608" s="11" t="s">
        <v>7115</v>
      </c>
      <c r="B608" s="11" t="s">
        <v>4654</v>
      </c>
      <c r="C608" s="12">
        <v>45316</v>
      </c>
      <c r="D608" s="11">
        <v>231364.2</v>
      </c>
      <c r="E608" s="11" t="s">
        <v>6505</v>
      </c>
      <c r="F608" s="11" t="s">
        <v>6516</v>
      </c>
      <c r="G608" s="11" t="s">
        <v>46</v>
      </c>
      <c r="H608" s="11">
        <v>27</v>
      </c>
      <c r="I608" s="13" t="str" cm="1">
        <f t="array" ref="I608">_xlfn.IFS(
  OR(ISBLANK(A608),ISBLANK(B608),ISBLANK(D608),ISBLANK(E608),ISBLANK(H608)),"Missing Value",
  D608&lt;0,"Review – Out of Range (Claim Amount)",
  H608&lt;0,"Review – Out of Range (Days to Process)",
  TRUE,"OK"
)</f>
        <v>OK</v>
      </c>
    </row>
    <row r="609" spans="1:9" ht="16.8" x14ac:dyDescent="0.3">
      <c r="A609" s="14" t="s">
        <v>7116</v>
      </c>
      <c r="B609" s="14" t="s">
        <v>5949</v>
      </c>
      <c r="C609" s="15">
        <v>45416</v>
      </c>
      <c r="D609" s="14">
        <v>43954.91</v>
      </c>
      <c r="E609" s="14" t="s">
        <v>6508</v>
      </c>
      <c r="F609" s="14" t="s">
        <v>6511</v>
      </c>
      <c r="G609" s="14" t="s">
        <v>45</v>
      </c>
      <c r="H609" s="14">
        <v>41</v>
      </c>
      <c r="I609" s="13" t="str" cm="1">
        <f t="array" ref="I609">_xlfn.IFS(
  OR(ISBLANK(A609),ISBLANK(B609),ISBLANK(D609),ISBLANK(E609),ISBLANK(H609)),"Missing Value",
  D609&lt;0,"Review – Out of Range (Claim Amount)",
  H609&lt;0,"Review – Out of Range (Days to Process)",
  TRUE,"OK"
)</f>
        <v>OK</v>
      </c>
    </row>
    <row r="610" spans="1:9" ht="16.8" x14ac:dyDescent="0.3">
      <c r="A610" s="11" t="s">
        <v>7117</v>
      </c>
      <c r="B610" s="11" t="s">
        <v>6031</v>
      </c>
      <c r="C610" s="12">
        <v>44475</v>
      </c>
      <c r="D610" s="11">
        <v>226307.39</v>
      </c>
      <c r="E610" s="11" t="s">
        <v>6508</v>
      </c>
      <c r="F610" s="11" t="s">
        <v>6503</v>
      </c>
      <c r="G610" s="11" t="s">
        <v>46</v>
      </c>
      <c r="H610" s="11">
        <v>35</v>
      </c>
      <c r="I610" s="13" t="str" cm="1">
        <f t="array" ref="I610">_xlfn.IFS(
  OR(ISBLANK(A610),ISBLANK(B610),ISBLANK(D610),ISBLANK(E610),ISBLANK(H610)),"Missing Value",
  D610&lt;0,"Review – Out of Range (Claim Amount)",
  H610&lt;0,"Review – Out of Range (Days to Process)",
  TRUE,"OK"
)</f>
        <v>OK</v>
      </c>
    </row>
    <row r="611" spans="1:9" ht="16.8" x14ac:dyDescent="0.3">
      <c r="A611" s="14" t="s">
        <v>7118</v>
      </c>
      <c r="B611" s="14" t="s">
        <v>4517</v>
      </c>
      <c r="C611" s="15">
        <v>44652</v>
      </c>
      <c r="D611" s="14">
        <v>294584.23</v>
      </c>
      <c r="E611" s="14" t="s">
        <v>6505</v>
      </c>
      <c r="F611" s="14" t="s">
        <v>6511</v>
      </c>
      <c r="G611" s="14" t="s">
        <v>46</v>
      </c>
      <c r="H611" s="14">
        <v>40</v>
      </c>
      <c r="I611" s="13" t="str" cm="1">
        <f t="array" ref="I611">_xlfn.IFS(
  OR(ISBLANK(A611),ISBLANK(B611),ISBLANK(D611),ISBLANK(E611),ISBLANK(H611)),"Missing Value",
  D611&lt;0,"Review – Out of Range (Claim Amount)",
  H611&lt;0,"Review – Out of Range (Days to Process)",
  TRUE,"OK"
)</f>
        <v>OK</v>
      </c>
    </row>
    <row r="612" spans="1:9" ht="16.8" x14ac:dyDescent="0.3">
      <c r="A612" s="11" t="s">
        <v>7119</v>
      </c>
      <c r="B612" s="11" t="s">
        <v>6430</v>
      </c>
      <c r="C612" s="12">
        <v>44281</v>
      </c>
      <c r="D612" s="11">
        <v>317523.13</v>
      </c>
      <c r="E612" s="11" t="s">
        <v>6508</v>
      </c>
      <c r="F612" s="11" t="s">
        <v>6511</v>
      </c>
      <c r="G612" s="11" t="s">
        <v>46</v>
      </c>
      <c r="H612" s="11">
        <v>41</v>
      </c>
      <c r="I612" s="13" t="str" cm="1">
        <f t="array" ref="I612">_xlfn.IFS(
  OR(ISBLANK(A612),ISBLANK(B612),ISBLANK(D612),ISBLANK(E612),ISBLANK(H612)),"Missing Value",
  D612&lt;0,"Review – Out of Range (Claim Amount)",
  H612&lt;0,"Review – Out of Range (Days to Process)",
  TRUE,"OK"
)</f>
        <v>OK</v>
      </c>
    </row>
    <row r="613" spans="1:9" ht="16.8" x14ac:dyDescent="0.3">
      <c r="A613" s="14" t="s">
        <v>7120</v>
      </c>
      <c r="B613" s="14" t="s">
        <v>4178</v>
      </c>
      <c r="C613" s="15">
        <v>45420</v>
      </c>
      <c r="D613" s="14">
        <v>466912.42</v>
      </c>
      <c r="E613" s="14" t="s">
        <v>6505</v>
      </c>
      <c r="F613" s="14" t="s">
        <v>6511</v>
      </c>
      <c r="G613" s="14" t="s">
        <v>45</v>
      </c>
      <c r="H613" s="14">
        <v>9</v>
      </c>
      <c r="I613" s="13" t="str" cm="1">
        <f t="array" ref="I613">_xlfn.IFS(
  OR(ISBLANK(A613),ISBLANK(B613),ISBLANK(D613),ISBLANK(E613),ISBLANK(H613)),"Missing Value",
  D613&lt;0,"Review – Out of Range (Claim Amount)",
  H613&lt;0,"Review – Out of Range (Days to Process)",
  TRUE,"OK"
)</f>
        <v>OK</v>
      </c>
    </row>
    <row r="614" spans="1:9" ht="16.8" x14ac:dyDescent="0.3">
      <c r="A614" s="11" t="s">
        <v>7121</v>
      </c>
      <c r="B614" s="11" t="s">
        <v>4206</v>
      </c>
      <c r="C614" s="12">
        <v>44776</v>
      </c>
      <c r="D614" s="11">
        <v>100298.08</v>
      </c>
      <c r="E614" s="11" t="s">
        <v>6502</v>
      </c>
      <c r="F614" s="11" t="s">
        <v>6516</v>
      </c>
      <c r="G614" s="11" t="s">
        <v>45</v>
      </c>
      <c r="H614" s="11">
        <v>39</v>
      </c>
      <c r="I614" s="13" t="str" cm="1">
        <f t="array" ref="I614">_xlfn.IFS(
  OR(ISBLANK(A614),ISBLANK(B614),ISBLANK(D614),ISBLANK(E614),ISBLANK(H614)),"Missing Value",
  D614&lt;0,"Review – Out of Range (Claim Amount)",
  H614&lt;0,"Review – Out of Range (Days to Process)",
  TRUE,"OK"
)</f>
        <v>OK</v>
      </c>
    </row>
    <row r="615" spans="1:9" ht="16.8" x14ac:dyDescent="0.3">
      <c r="A615" s="14" t="s">
        <v>7122</v>
      </c>
      <c r="B615" s="14" t="s">
        <v>4769</v>
      </c>
      <c r="C615" s="15">
        <v>44638</v>
      </c>
      <c r="D615" s="14">
        <v>95172.6</v>
      </c>
      <c r="E615" s="14" t="s">
        <v>6508</v>
      </c>
      <c r="F615" s="14" t="s">
        <v>6516</v>
      </c>
      <c r="G615" s="14" t="s">
        <v>46</v>
      </c>
      <c r="H615" s="14">
        <v>41</v>
      </c>
      <c r="I615" s="13" t="str" cm="1">
        <f t="array" ref="I615">_xlfn.IFS(
  OR(ISBLANK(A615),ISBLANK(B615),ISBLANK(D615),ISBLANK(E615),ISBLANK(H615)),"Missing Value",
  D615&lt;0,"Review – Out of Range (Claim Amount)",
  H615&lt;0,"Review – Out of Range (Days to Process)",
  TRUE,"OK"
)</f>
        <v>OK</v>
      </c>
    </row>
    <row r="616" spans="1:9" ht="16.8" x14ac:dyDescent="0.3">
      <c r="A616" s="11" t="s">
        <v>7123</v>
      </c>
      <c r="B616" s="11" t="s">
        <v>5407</v>
      </c>
      <c r="C616" s="12">
        <v>45408</v>
      </c>
      <c r="D616" s="11">
        <v>75085.679999999993</v>
      </c>
      <c r="E616" s="11" t="s">
        <v>6502</v>
      </c>
      <c r="F616" s="11" t="s">
        <v>6516</v>
      </c>
      <c r="G616" s="11" t="s">
        <v>46</v>
      </c>
      <c r="H616" s="11">
        <v>16</v>
      </c>
      <c r="I616" s="13" t="str" cm="1">
        <f t="array" ref="I616">_xlfn.IFS(
  OR(ISBLANK(A616),ISBLANK(B616),ISBLANK(D616),ISBLANK(E616),ISBLANK(H616)),"Missing Value",
  D616&lt;0,"Review – Out of Range (Claim Amount)",
  H616&lt;0,"Review – Out of Range (Days to Process)",
  TRUE,"OK"
)</f>
        <v>OK</v>
      </c>
    </row>
    <row r="617" spans="1:9" ht="16.8" x14ac:dyDescent="0.3">
      <c r="A617" s="14" t="s">
        <v>7124</v>
      </c>
      <c r="B617" s="14" t="s">
        <v>6405</v>
      </c>
      <c r="C617" s="15">
        <v>45328</v>
      </c>
      <c r="D617" s="14">
        <v>295605.88</v>
      </c>
      <c r="E617" s="14" t="s">
        <v>6505</v>
      </c>
      <c r="F617" s="14" t="s">
        <v>6503</v>
      </c>
      <c r="G617" s="14" t="s">
        <v>46</v>
      </c>
      <c r="H617" s="14">
        <v>53</v>
      </c>
      <c r="I617" s="13" t="str" cm="1">
        <f t="array" ref="I617">_xlfn.IFS(
  OR(ISBLANK(A617),ISBLANK(B617),ISBLANK(D617),ISBLANK(E617),ISBLANK(H617)),"Missing Value",
  D617&lt;0,"Review – Out of Range (Claim Amount)",
  H617&lt;0,"Review – Out of Range (Days to Process)",
  TRUE,"OK"
)</f>
        <v>OK</v>
      </c>
    </row>
    <row r="618" spans="1:9" ht="16.8" x14ac:dyDescent="0.3">
      <c r="A618" s="11" t="s">
        <v>7125</v>
      </c>
      <c r="B618" s="11" t="s">
        <v>4181</v>
      </c>
      <c r="C618" s="12">
        <v>45327</v>
      </c>
      <c r="D618" s="11">
        <v>392667.58</v>
      </c>
      <c r="E618" s="11" t="s">
        <v>6505</v>
      </c>
      <c r="F618" s="11" t="s">
        <v>6509</v>
      </c>
      <c r="G618" s="11" t="s">
        <v>45</v>
      </c>
      <c r="H618" s="11">
        <v>54</v>
      </c>
      <c r="I618" s="13" t="str" cm="1">
        <f t="array" ref="I618">_xlfn.IFS(
  OR(ISBLANK(A618),ISBLANK(B618),ISBLANK(D618),ISBLANK(E618),ISBLANK(H618)),"Missing Value",
  D618&lt;0,"Review – Out of Range (Claim Amount)",
  H618&lt;0,"Review – Out of Range (Days to Process)",
  TRUE,"OK"
)</f>
        <v>OK</v>
      </c>
    </row>
    <row r="619" spans="1:9" ht="16.8" x14ac:dyDescent="0.3">
      <c r="A619" s="14" t="s">
        <v>7126</v>
      </c>
      <c r="B619" s="14" t="s">
        <v>5006</v>
      </c>
      <c r="C619" s="15">
        <v>45356</v>
      </c>
      <c r="D619" s="14">
        <v>484154.11</v>
      </c>
      <c r="E619" s="14" t="s">
        <v>6502</v>
      </c>
      <c r="F619" s="14" t="s">
        <v>6506</v>
      </c>
      <c r="G619" s="14" t="s">
        <v>45</v>
      </c>
      <c r="H619" s="14">
        <v>57</v>
      </c>
      <c r="I619" s="13" t="str" cm="1">
        <f t="array" ref="I619">_xlfn.IFS(
  OR(ISBLANK(A619),ISBLANK(B619),ISBLANK(D619),ISBLANK(E619),ISBLANK(H619)),"Missing Value",
  D619&lt;0,"Review – Out of Range (Claim Amount)",
  H619&lt;0,"Review – Out of Range (Days to Process)",
  TRUE,"OK"
)</f>
        <v>OK</v>
      </c>
    </row>
    <row r="620" spans="1:9" ht="16.8" x14ac:dyDescent="0.3">
      <c r="A620" s="11" t="s">
        <v>7127</v>
      </c>
      <c r="B620" s="11" t="s">
        <v>4871</v>
      </c>
      <c r="C620" s="12">
        <v>45315</v>
      </c>
      <c r="D620" s="11">
        <v>297579.31</v>
      </c>
      <c r="E620" s="11" t="s">
        <v>6502</v>
      </c>
      <c r="F620" s="11" t="s">
        <v>6503</v>
      </c>
      <c r="G620" s="11" t="s">
        <v>45</v>
      </c>
      <c r="H620" s="11">
        <v>23</v>
      </c>
      <c r="I620" s="13" t="str" cm="1">
        <f t="array" ref="I620">_xlfn.IFS(
  OR(ISBLANK(A620),ISBLANK(B620),ISBLANK(D620),ISBLANK(E620),ISBLANK(H620)),"Missing Value",
  D620&lt;0,"Review – Out of Range (Claim Amount)",
  H620&lt;0,"Review – Out of Range (Days to Process)",
  TRUE,"OK"
)</f>
        <v>OK</v>
      </c>
    </row>
    <row r="621" spans="1:9" ht="16.8" x14ac:dyDescent="0.3">
      <c r="A621" s="14" t="s">
        <v>7128</v>
      </c>
      <c r="B621" s="14" t="s">
        <v>4776</v>
      </c>
      <c r="C621" s="15">
        <v>45525</v>
      </c>
      <c r="D621" s="14">
        <v>18945.71</v>
      </c>
      <c r="E621" s="14" t="s">
        <v>6508</v>
      </c>
      <c r="F621" s="14" t="s">
        <v>6516</v>
      </c>
      <c r="G621" s="14" t="s">
        <v>46</v>
      </c>
      <c r="H621" s="14">
        <v>29</v>
      </c>
      <c r="I621" s="13" t="str" cm="1">
        <f t="array" ref="I621">_xlfn.IFS(
  OR(ISBLANK(A621),ISBLANK(B621),ISBLANK(D621),ISBLANK(E621),ISBLANK(H621)),"Missing Value",
  D621&lt;0,"Review – Out of Range (Claim Amount)",
  H621&lt;0,"Review – Out of Range (Days to Process)",
  TRUE,"OK"
)</f>
        <v>OK</v>
      </c>
    </row>
    <row r="622" spans="1:9" ht="16.8" x14ac:dyDescent="0.3">
      <c r="A622" s="11" t="s">
        <v>7129</v>
      </c>
      <c r="B622" s="11" t="s">
        <v>6258</v>
      </c>
      <c r="C622" s="12">
        <v>45269</v>
      </c>
      <c r="D622" s="11">
        <v>297545.99</v>
      </c>
      <c r="E622" s="11" t="s">
        <v>6508</v>
      </c>
      <c r="F622" s="11" t="s">
        <v>6516</v>
      </c>
      <c r="G622" s="11" t="s">
        <v>45</v>
      </c>
      <c r="H622" s="11">
        <v>56</v>
      </c>
      <c r="I622" s="13" t="str" cm="1">
        <f t="array" ref="I622">_xlfn.IFS(
  OR(ISBLANK(A622),ISBLANK(B622),ISBLANK(D622),ISBLANK(E622),ISBLANK(H622)),"Missing Value",
  D622&lt;0,"Review – Out of Range (Claim Amount)",
  H622&lt;0,"Review – Out of Range (Days to Process)",
  TRUE,"OK"
)</f>
        <v>OK</v>
      </c>
    </row>
    <row r="623" spans="1:9" ht="16.8" x14ac:dyDescent="0.3">
      <c r="A623" s="14" t="s">
        <v>7130</v>
      </c>
      <c r="B623" s="14" t="s">
        <v>4207</v>
      </c>
      <c r="C623" s="15">
        <v>44664</v>
      </c>
      <c r="D623" s="14">
        <v>159646.66</v>
      </c>
      <c r="E623" s="14" t="s">
        <v>6502</v>
      </c>
      <c r="F623" s="14" t="s">
        <v>6509</v>
      </c>
      <c r="G623" s="14" t="s">
        <v>46</v>
      </c>
      <c r="H623" s="14">
        <v>13</v>
      </c>
      <c r="I623" s="13" t="str" cm="1">
        <f t="array" ref="I623">_xlfn.IFS(
  OR(ISBLANK(A623),ISBLANK(B623),ISBLANK(D623),ISBLANK(E623),ISBLANK(H623)),"Missing Value",
  D623&lt;0,"Review – Out of Range (Claim Amount)",
  H623&lt;0,"Review – Out of Range (Days to Process)",
  TRUE,"OK"
)</f>
        <v>OK</v>
      </c>
    </row>
    <row r="624" spans="1:9" ht="16.8" x14ac:dyDescent="0.3">
      <c r="A624" s="11" t="s">
        <v>7131</v>
      </c>
      <c r="B624" s="11" t="s">
        <v>4276</v>
      </c>
      <c r="C624" s="12">
        <v>45143</v>
      </c>
      <c r="D624" s="11">
        <v>107215.57</v>
      </c>
      <c r="E624" s="11" t="s">
        <v>6505</v>
      </c>
      <c r="F624" s="11" t="s">
        <v>6516</v>
      </c>
      <c r="G624" s="11" t="s">
        <v>46</v>
      </c>
      <c r="H624" s="11">
        <v>38</v>
      </c>
      <c r="I624" s="13" t="str" cm="1">
        <f t="array" ref="I624">_xlfn.IFS(
  OR(ISBLANK(A624),ISBLANK(B624),ISBLANK(D624),ISBLANK(E624),ISBLANK(H624)),"Missing Value",
  D624&lt;0,"Review – Out of Range (Claim Amount)",
  H624&lt;0,"Review – Out of Range (Days to Process)",
  TRUE,"OK"
)</f>
        <v>OK</v>
      </c>
    </row>
    <row r="625" spans="1:9" ht="16.8" x14ac:dyDescent="0.3">
      <c r="A625" s="14" t="s">
        <v>7132</v>
      </c>
      <c r="B625" s="14" t="s">
        <v>4131</v>
      </c>
      <c r="C625" s="15">
        <v>45489</v>
      </c>
      <c r="D625" s="14">
        <v>109793.3</v>
      </c>
      <c r="E625" s="14" t="s">
        <v>6505</v>
      </c>
      <c r="F625" s="14" t="s">
        <v>6503</v>
      </c>
      <c r="G625" s="14" t="s">
        <v>45</v>
      </c>
      <c r="H625" s="14">
        <v>25</v>
      </c>
      <c r="I625" s="13" t="str" cm="1">
        <f t="array" ref="I625">_xlfn.IFS(
  OR(ISBLANK(A625),ISBLANK(B625),ISBLANK(D625),ISBLANK(E625),ISBLANK(H625)),"Missing Value",
  D625&lt;0,"Review – Out of Range (Claim Amount)",
  H625&lt;0,"Review – Out of Range (Days to Process)",
  TRUE,"OK"
)</f>
        <v>OK</v>
      </c>
    </row>
    <row r="626" spans="1:9" ht="16.8" x14ac:dyDescent="0.3">
      <c r="A626" s="11" t="s">
        <v>7133</v>
      </c>
      <c r="B626" s="11" t="s">
        <v>4488</v>
      </c>
      <c r="C626" s="12">
        <v>45468</v>
      </c>
      <c r="D626" s="11">
        <v>386387.63</v>
      </c>
      <c r="E626" s="11" t="s">
        <v>6502</v>
      </c>
      <c r="F626" s="11" t="s">
        <v>6506</v>
      </c>
      <c r="G626" s="11" t="s">
        <v>45</v>
      </c>
      <c r="H626" s="11">
        <v>51</v>
      </c>
      <c r="I626" s="13" t="str" cm="1">
        <f t="array" ref="I626">_xlfn.IFS(
  OR(ISBLANK(A626),ISBLANK(B626),ISBLANK(D626),ISBLANK(E626),ISBLANK(H626)),"Missing Value",
  D626&lt;0,"Review – Out of Range (Claim Amount)",
  H626&lt;0,"Review – Out of Range (Days to Process)",
  TRUE,"OK"
)</f>
        <v>OK</v>
      </c>
    </row>
    <row r="627" spans="1:9" ht="16.8" x14ac:dyDescent="0.3">
      <c r="A627" s="14" t="s">
        <v>7134</v>
      </c>
      <c r="B627" s="14" t="s">
        <v>4864</v>
      </c>
      <c r="C627" s="15">
        <v>45529</v>
      </c>
      <c r="D627" s="14">
        <v>270465</v>
      </c>
      <c r="E627" s="14" t="s">
        <v>6505</v>
      </c>
      <c r="F627" s="14" t="s">
        <v>6516</v>
      </c>
      <c r="G627" s="14" t="s">
        <v>45</v>
      </c>
      <c r="H627" s="14">
        <v>56</v>
      </c>
      <c r="I627" s="13" t="str" cm="1">
        <f t="array" ref="I627">_xlfn.IFS(
  OR(ISBLANK(A627),ISBLANK(B627),ISBLANK(D627),ISBLANK(E627),ISBLANK(H627)),"Missing Value",
  D627&lt;0,"Review – Out of Range (Claim Amount)",
  H627&lt;0,"Review – Out of Range (Days to Process)",
  TRUE,"OK"
)</f>
        <v>OK</v>
      </c>
    </row>
    <row r="628" spans="1:9" ht="16.8" x14ac:dyDescent="0.3">
      <c r="A628" s="11" t="s">
        <v>7135</v>
      </c>
      <c r="B628" s="11" t="s">
        <v>4424</v>
      </c>
      <c r="C628" s="12">
        <v>45658</v>
      </c>
      <c r="D628" s="11">
        <v>498748.22</v>
      </c>
      <c r="E628" s="11" t="s">
        <v>6508</v>
      </c>
      <c r="F628" s="11" t="s">
        <v>6506</v>
      </c>
      <c r="G628" s="11" t="s">
        <v>45</v>
      </c>
      <c r="H628" s="11">
        <v>50</v>
      </c>
      <c r="I628" s="13" t="str" cm="1">
        <f t="array" ref="I628">_xlfn.IFS(
  OR(ISBLANK(A628),ISBLANK(B628),ISBLANK(D628),ISBLANK(E628),ISBLANK(H628)),"Missing Value",
  D628&lt;0,"Review – Out of Range (Claim Amount)",
  H628&lt;0,"Review – Out of Range (Days to Process)",
  TRUE,"OK"
)</f>
        <v>OK</v>
      </c>
    </row>
    <row r="629" spans="1:9" ht="16.8" x14ac:dyDescent="0.3">
      <c r="A629" s="14" t="s">
        <v>7136</v>
      </c>
      <c r="B629" s="14" t="s">
        <v>5115</v>
      </c>
      <c r="C629" s="15">
        <v>45060</v>
      </c>
      <c r="D629" s="14">
        <v>167934.13</v>
      </c>
      <c r="E629" s="14" t="s">
        <v>6502</v>
      </c>
      <c r="F629" s="14" t="s">
        <v>6503</v>
      </c>
      <c r="G629" s="14" t="s">
        <v>46</v>
      </c>
      <c r="H629" s="14">
        <v>32</v>
      </c>
      <c r="I629" s="13" t="str" cm="1">
        <f t="array" ref="I629">_xlfn.IFS(
  OR(ISBLANK(A629),ISBLANK(B629),ISBLANK(D629),ISBLANK(E629),ISBLANK(H629)),"Missing Value",
  D629&lt;0,"Review – Out of Range (Claim Amount)",
  H629&lt;0,"Review – Out of Range (Days to Process)",
  TRUE,"OK"
)</f>
        <v>OK</v>
      </c>
    </row>
    <row r="630" spans="1:9" ht="16.8" x14ac:dyDescent="0.3">
      <c r="A630" s="11" t="s">
        <v>7137</v>
      </c>
      <c r="B630" s="11" t="s">
        <v>5605</v>
      </c>
      <c r="C630" s="12">
        <v>44874</v>
      </c>
      <c r="D630" s="11">
        <v>44116.87</v>
      </c>
      <c r="E630" s="11" t="s">
        <v>6505</v>
      </c>
      <c r="F630" s="11" t="s">
        <v>6516</v>
      </c>
      <c r="G630" s="11" t="s">
        <v>45</v>
      </c>
      <c r="H630" s="11">
        <v>48</v>
      </c>
      <c r="I630" s="13" t="str" cm="1">
        <f t="array" ref="I630">_xlfn.IFS(
  OR(ISBLANK(A630),ISBLANK(B630),ISBLANK(D630),ISBLANK(E630),ISBLANK(H630)),"Missing Value",
  D630&lt;0,"Review – Out of Range (Claim Amount)",
  H630&lt;0,"Review – Out of Range (Days to Process)",
  TRUE,"OK"
)</f>
        <v>OK</v>
      </c>
    </row>
    <row r="631" spans="1:9" ht="16.8" x14ac:dyDescent="0.3">
      <c r="A631" s="14" t="s">
        <v>7138</v>
      </c>
      <c r="B631" s="14" t="s">
        <v>4034</v>
      </c>
      <c r="C631" s="15">
        <v>45020</v>
      </c>
      <c r="D631" s="14">
        <v>451820.07</v>
      </c>
      <c r="E631" s="14" t="s">
        <v>6502</v>
      </c>
      <c r="F631" s="14" t="s">
        <v>6503</v>
      </c>
      <c r="G631" s="14" t="s">
        <v>46</v>
      </c>
      <c r="H631" s="14">
        <v>52</v>
      </c>
      <c r="I631" s="13" t="str" cm="1">
        <f t="array" ref="I631">_xlfn.IFS(
  OR(ISBLANK(A631),ISBLANK(B631),ISBLANK(D631),ISBLANK(E631),ISBLANK(H631)),"Missing Value",
  D631&lt;0,"Review – Out of Range (Claim Amount)",
  H631&lt;0,"Review – Out of Range (Days to Process)",
  TRUE,"OK"
)</f>
        <v>OK</v>
      </c>
    </row>
    <row r="632" spans="1:9" ht="16.8" x14ac:dyDescent="0.3">
      <c r="A632" s="11" t="s">
        <v>7139</v>
      </c>
      <c r="B632" s="11" t="s">
        <v>3453</v>
      </c>
      <c r="C632" s="12">
        <v>44713</v>
      </c>
      <c r="D632" s="11">
        <v>277690.40000000002</v>
      </c>
      <c r="E632" s="11" t="s">
        <v>6502</v>
      </c>
      <c r="F632" s="11" t="s">
        <v>6503</v>
      </c>
      <c r="G632" s="11" t="s">
        <v>45</v>
      </c>
      <c r="H632" s="11">
        <v>19</v>
      </c>
      <c r="I632" s="13" t="str" cm="1">
        <f t="array" ref="I632">_xlfn.IFS(
  OR(ISBLANK(A632),ISBLANK(B632),ISBLANK(D632),ISBLANK(E632),ISBLANK(H632)),"Missing Value",
  D632&lt;0,"Review – Out of Range (Claim Amount)",
  H632&lt;0,"Review – Out of Range (Days to Process)",
  TRUE,"OK"
)</f>
        <v>OK</v>
      </c>
    </row>
    <row r="633" spans="1:9" ht="16.8" x14ac:dyDescent="0.3">
      <c r="A633" s="14" t="s">
        <v>7140</v>
      </c>
      <c r="B633" s="14" t="s">
        <v>4515</v>
      </c>
      <c r="C633" s="15">
        <v>44520</v>
      </c>
      <c r="D633" s="14">
        <v>273066.11</v>
      </c>
      <c r="E633" s="14" t="s">
        <v>6502</v>
      </c>
      <c r="F633" s="14" t="s">
        <v>6509</v>
      </c>
      <c r="G633" s="14" t="s">
        <v>46</v>
      </c>
      <c r="H633" s="14">
        <v>20</v>
      </c>
      <c r="I633" s="13" t="str" cm="1">
        <f t="array" ref="I633">_xlfn.IFS(
  OR(ISBLANK(A633),ISBLANK(B633),ISBLANK(D633),ISBLANK(E633),ISBLANK(H633)),"Missing Value",
  D633&lt;0,"Review – Out of Range (Claim Amount)",
  H633&lt;0,"Review – Out of Range (Days to Process)",
  TRUE,"OK"
)</f>
        <v>OK</v>
      </c>
    </row>
    <row r="634" spans="1:9" ht="16.8" x14ac:dyDescent="0.3">
      <c r="A634" s="11" t="s">
        <v>7141</v>
      </c>
      <c r="B634" s="11" t="s">
        <v>4943</v>
      </c>
      <c r="C634" s="12">
        <v>44685</v>
      </c>
      <c r="D634" s="11">
        <v>260048.9</v>
      </c>
      <c r="E634" s="11" t="s">
        <v>6505</v>
      </c>
      <c r="F634" s="11" t="s">
        <v>6509</v>
      </c>
      <c r="G634" s="11" t="s">
        <v>46</v>
      </c>
      <c r="H634" s="11">
        <v>35</v>
      </c>
      <c r="I634" s="13" t="str" cm="1">
        <f t="array" ref="I634">_xlfn.IFS(
  OR(ISBLANK(A634),ISBLANK(B634),ISBLANK(D634),ISBLANK(E634),ISBLANK(H634)),"Missing Value",
  D634&lt;0,"Review – Out of Range (Claim Amount)",
  H634&lt;0,"Review – Out of Range (Days to Process)",
  TRUE,"OK"
)</f>
        <v>OK</v>
      </c>
    </row>
    <row r="635" spans="1:9" ht="16.8" x14ac:dyDescent="0.3">
      <c r="A635" s="14" t="s">
        <v>7142</v>
      </c>
      <c r="B635" s="14" t="s">
        <v>3821</v>
      </c>
      <c r="C635" s="15">
        <v>45056</v>
      </c>
      <c r="D635" s="14">
        <v>220719.21</v>
      </c>
      <c r="E635" s="14" t="s">
        <v>6505</v>
      </c>
      <c r="F635" s="14" t="s">
        <v>6511</v>
      </c>
      <c r="G635" s="14" t="s">
        <v>46</v>
      </c>
      <c r="H635" s="14">
        <v>15</v>
      </c>
      <c r="I635" s="13" t="str" cm="1">
        <f t="array" ref="I635">_xlfn.IFS(
  OR(ISBLANK(A635),ISBLANK(B635),ISBLANK(D635),ISBLANK(E635),ISBLANK(H635)),"Missing Value",
  D635&lt;0,"Review – Out of Range (Claim Amount)",
  H635&lt;0,"Review – Out of Range (Days to Process)",
  TRUE,"OK"
)</f>
        <v>OK</v>
      </c>
    </row>
    <row r="636" spans="1:9" ht="16.8" x14ac:dyDescent="0.3">
      <c r="A636" s="11" t="s">
        <v>7143</v>
      </c>
      <c r="B636" s="11" t="s">
        <v>4836</v>
      </c>
      <c r="C636" s="12">
        <v>45246</v>
      </c>
      <c r="D636" s="11">
        <v>278234.56</v>
      </c>
      <c r="E636" s="11" t="s">
        <v>6505</v>
      </c>
      <c r="F636" s="11" t="s">
        <v>6516</v>
      </c>
      <c r="G636" s="11" t="s">
        <v>45</v>
      </c>
      <c r="H636" s="11">
        <v>26</v>
      </c>
      <c r="I636" s="13" t="str" cm="1">
        <f t="array" ref="I636">_xlfn.IFS(
  OR(ISBLANK(A636),ISBLANK(B636),ISBLANK(D636),ISBLANK(E636),ISBLANK(H636)),"Missing Value",
  D636&lt;0,"Review – Out of Range (Claim Amount)",
  H636&lt;0,"Review – Out of Range (Days to Process)",
  TRUE,"OK"
)</f>
        <v>OK</v>
      </c>
    </row>
    <row r="637" spans="1:9" ht="16.8" x14ac:dyDescent="0.3">
      <c r="A637" s="14" t="s">
        <v>7144</v>
      </c>
      <c r="B637" s="14" t="s">
        <v>6018</v>
      </c>
      <c r="C637" s="15">
        <v>45223</v>
      </c>
      <c r="D637" s="14">
        <v>465176.73</v>
      </c>
      <c r="E637" s="14" t="s">
        <v>6505</v>
      </c>
      <c r="F637" s="14" t="s">
        <v>6511</v>
      </c>
      <c r="G637" s="14" t="s">
        <v>46</v>
      </c>
      <c r="H637" s="14">
        <v>14</v>
      </c>
      <c r="I637" s="13" t="str" cm="1">
        <f t="array" ref="I637">_xlfn.IFS(
  OR(ISBLANK(A637),ISBLANK(B637),ISBLANK(D637),ISBLANK(E637),ISBLANK(H637)),"Missing Value",
  D637&lt;0,"Review – Out of Range (Claim Amount)",
  H637&lt;0,"Review – Out of Range (Days to Process)",
  TRUE,"OK"
)</f>
        <v>OK</v>
      </c>
    </row>
    <row r="638" spans="1:9" ht="16.8" x14ac:dyDescent="0.3">
      <c r="A638" s="11" t="s">
        <v>7145</v>
      </c>
      <c r="B638" s="11" t="s">
        <v>3839</v>
      </c>
      <c r="C638" s="12">
        <v>45502</v>
      </c>
      <c r="D638" s="11">
        <v>203537.55</v>
      </c>
      <c r="E638" s="11" t="s">
        <v>6508</v>
      </c>
      <c r="F638" s="11" t="s">
        <v>6516</v>
      </c>
      <c r="G638" s="11" t="s">
        <v>45</v>
      </c>
      <c r="H638" s="11">
        <v>22</v>
      </c>
      <c r="I638" s="13" t="str" cm="1">
        <f t="array" ref="I638">_xlfn.IFS(
  OR(ISBLANK(A638),ISBLANK(B638),ISBLANK(D638),ISBLANK(E638),ISBLANK(H638)),"Missing Value",
  D638&lt;0,"Review – Out of Range (Claim Amount)",
  H638&lt;0,"Review – Out of Range (Days to Process)",
  TRUE,"OK"
)</f>
        <v>OK</v>
      </c>
    </row>
    <row r="639" spans="1:9" ht="16.8" x14ac:dyDescent="0.3">
      <c r="A639" s="14" t="s">
        <v>7146</v>
      </c>
      <c r="B639" s="14" t="s">
        <v>4932</v>
      </c>
      <c r="C639" s="15">
        <v>44819</v>
      </c>
      <c r="D639" s="14">
        <v>458726.37</v>
      </c>
      <c r="E639" s="14" t="s">
        <v>6505</v>
      </c>
      <c r="F639" s="14" t="s">
        <v>6509</v>
      </c>
      <c r="G639" s="14" t="s">
        <v>45</v>
      </c>
      <c r="H639" s="14">
        <v>20</v>
      </c>
      <c r="I639" s="13" t="str" cm="1">
        <f t="array" ref="I639">_xlfn.IFS(
  OR(ISBLANK(A639),ISBLANK(B639),ISBLANK(D639),ISBLANK(E639),ISBLANK(H639)),"Missing Value",
  D639&lt;0,"Review – Out of Range (Claim Amount)",
  H639&lt;0,"Review – Out of Range (Days to Process)",
  TRUE,"OK"
)</f>
        <v>OK</v>
      </c>
    </row>
    <row r="640" spans="1:9" ht="16.8" x14ac:dyDescent="0.3">
      <c r="A640" s="11" t="s">
        <v>7147</v>
      </c>
      <c r="B640" s="11" t="s">
        <v>4044</v>
      </c>
      <c r="C640" s="12">
        <v>44969</v>
      </c>
      <c r="D640" s="11">
        <v>165337.81</v>
      </c>
      <c r="E640" s="11" t="s">
        <v>6502</v>
      </c>
      <c r="F640" s="11" t="s">
        <v>6509</v>
      </c>
      <c r="G640" s="11" t="s">
        <v>45</v>
      </c>
      <c r="H640" s="11">
        <v>28</v>
      </c>
      <c r="I640" s="13" t="str" cm="1">
        <f t="array" ref="I640">_xlfn.IFS(
  OR(ISBLANK(A640),ISBLANK(B640),ISBLANK(D640),ISBLANK(E640),ISBLANK(H640)),"Missing Value",
  D640&lt;0,"Review – Out of Range (Claim Amount)",
  H640&lt;0,"Review – Out of Range (Days to Process)",
  TRUE,"OK"
)</f>
        <v>OK</v>
      </c>
    </row>
    <row r="641" spans="1:9" ht="16.8" x14ac:dyDescent="0.3">
      <c r="A641" s="14" t="s">
        <v>7148</v>
      </c>
      <c r="B641" s="14" t="s">
        <v>5129</v>
      </c>
      <c r="C641" s="15">
        <v>44981</v>
      </c>
      <c r="D641" s="14">
        <v>139371.9</v>
      </c>
      <c r="E641" s="14" t="s">
        <v>6508</v>
      </c>
      <c r="F641" s="14" t="s">
        <v>6509</v>
      </c>
      <c r="G641" s="14" t="s">
        <v>45</v>
      </c>
      <c r="H641" s="14">
        <v>16</v>
      </c>
      <c r="I641" s="13" t="str" cm="1">
        <f t="array" ref="I641">_xlfn.IFS(
  OR(ISBLANK(A641),ISBLANK(B641),ISBLANK(D641),ISBLANK(E641),ISBLANK(H641)),"Missing Value",
  D641&lt;0,"Review – Out of Range (Claim Amount)",
  H641&lt;0,"Review – Out of Range (Days to Process)",
  TRUE,"OK"
)</f>
        <v>OK</v>
      </c>
    </row>
    <row r="642" spans="1:9" ht="16.8" x14ac:dyDescent="0.3">
      <c r="A642" s="11" t="s">
        <v>7149</v>
      </c>
      <c r="B642" s="11" t="s">
        <v>4979</v>
      </c>
      <c r="C642" s="12">
        <v>44521</v>
      </c>
      <c r="D642" s="11">
        <v>246388.75</v>
      </c>
      <c r="E642" s="11" t="s">
        <v>6505</v>
      </c>
      <c r="F642" s="11" t="s">
        <v>6509</v>
      </c>
      <c r="G642" s="11" t="s">
        <v>46</v>
      </c>
      <c r="H642" s="11">
        <v>53</v>
      </c>
      <c r="I642" s="13" t="str" cm="1">
        <f t="array" ref="I642">_xlfn.IFS(
  OR(ISBLANK(A642),ISBLANK(B642),ISBLANK(D642),ISBLANK(E642),ISBLANK(H642)),"Missing Value",
  D642&lt;0,"Review – Out of Range (Claim Amount)",
  H642&lt;0,"Review – Out of Range (Days to Process)",
  TRUE,"OK"
)</f>
        <v>OK</v>
      </c>
    </row>
    <row r="643" spans="1:9" ht="16.8" x14ac:dyDescent="0.3">
      <c r="A643" s="14" t="s">
        <v>7150</v>
      </c>
      <c r="B643" s="14" t="s">
        <v>6352</v>
      </c>
      <c r="C643" s="15">
        <v>44551</v>
      </c>
      <c r="D643" s="14">
        <v>434997.73</v>
      </c>
      <c r="E643" s="14" t="s">
        <v>6508</v>
      </c>
      <c r="F643" s="14" t="s">
        <v>6511</v>
      </c>
      <c r="G643" s="14" t="s">
        <v>46</v>
      </c>
      <c r="H643" s="14">
        <v>2</v>
      </c>
      <c r="I643" s="13" t="str" cm="1">
        <f t="array" ref="I643">_xlfn.IFS(
  OR(ISBLANK(A643),ISBLANK(B643),ISBLANK(D643),ISBLANK(E643),ISBLANK(H643)),"Missing Value",
  D643&lt;0,"Review – Out of Range (Claim Amount)",
  H643&lt;0,"Review – Out of Range (Days to Process)",
  TRUE,"OK"
)</f>
        <v>OK</v>
      </c>
    </row>
    <row r="644" spans="1:9" ht="16.8" x14ac:dyDescent="0.3">
      <c r="A644" s="11" t="s">
        <v>7151</v>
      </c>
      <c r="B644" s="11" t="s">
        <v>4100</v>
      </c>
      <c r="C644" s="12">
        <v>45032</v>
      </c>
      <c r="D644" s="11">
        <v>321776.40000000002</v>
      </c>
      <c r="E644" s="11" t="s">
        <v>6505</v>
      </c>
      <c r="F644" s="11" t="s">
        <v>6509</v>
      </c>
      <c r="G644" s="11" t="s">
        <v>46</v>
      </c>
      <c r="H644" s="11">
        <v>42</v>
      </c>
      <c r="I644" s="13" t="str" cm="1">
        <f t="array" ref="I644">_xlfn.IFS(
  OR(ISBLANK(A644),ISBLANK(B644),ISBLANK(D644),ISBLANK(E644),ISBLANK(H644)),"Missing Value",
  D644&lt;0,"Review – Out of Range (Claim Amount)",
  H644&lt;0,"Review – Out of Range (Days to Process)",
  TRUE,"OK"
)</f>
        <v>OK</v>
      </c>
    </row>
    <row r="645" spans="1:9" ht="16.8" x14ac:dyDescent="0.3">
      <c r="A645" s="14" t="s">
        <v>7152</v>
      </c>
      <c r="B645" s="14" t="s">
        <v>4302</v>
      </c>
      <c r="C645" s="15">
        <v>44827</v>
      </c>
      <c r="D645" s="14">
        <v>72444.95</v>
      </c>
      <c r="E645" s="14" t="s">
        <v>6505</v>
      </c>
      <c r="F645" s="14" t="s">
        <v>6506</v>
      </c>
      <c r="G645" s="14" t="s">
        <v>45</v>
      </c>
      <c r="H645" s="14">
        <v>2</v>
      </c>
      <c r="I645" s="13" t="str" cm="1">
        <f t="array" ref="I645">_xlfn.IFS(
  OR(ISBLANK(A645),ISBLANK(B645),ISBLANK(D645),ISBLANK(E645),ISBLANK(H645)),"Missing Value",
  D645&lt;0,"Review – Out of Range (Claim Amount)",
  H645&lt;0,"Review – Out of Range (Days to Process)",
  TRUE,"OK"
)</f>
        <v>OK</v>
      </c>
    </row>
    <row r="646" spans="1:9" ht="16.8" x14ac:dyDescent="0.3">
      <c r="A646" s="11" t="s">
        <v>7153</v>
      </c>
      <c r="B646" s="11" t="s">
        <v>3552</v>
      </c>
      <c r="C646" s="12">
        <v>45624</v>
      </c>
      <c r="D646" s="11">
        <v>86625.52</v>
      </c>
      <c r="E646" s="11" t="s">
        <v>6502</v>
      </c>
      <c r="F646" s="11" t="s">
        <v>6511</v>
      </c>
      <c r="G646" s="11" t="s">
        <v>45</v>
      </c>
      <c r="H646" s="11">
        <v>23</v>
      </c>
      <c r="I646" s="13" t="str" cm="1">
        <f t="array" ref="I646">_xlfn.IFS(
  OR(ISBLANK(A646),ISBLANK(B646),ISBLANK(D646),ISBLANK(E646),ISBLANK(H646)),"Missing Value",
  D646&lt;0,"Review – Out of Range (Claim Amount)",
  H646&lt;0,"Review – Out of Range (Days to Process)",
  TRUE,"OK"
)</f>
        <v>OK</v>
      </c>
    </row>
    <row r="647" spans="1:9" ht="16.8" x14ac:dyDescent="0.3">
      <c r="A647" s="14" t="s">
        <v>7154</v>
      </c>
      <c r="B647" s="14" t="s">
        <v>5131</v>
      </c>
      <c r="C647" s="15">
        <v>45425</v>
      </c>
      <c r="D647" s="14">
        <v>268157.78000000003</v>
      </c>
      <c r="E647" s="14" t="s">
        <v>6508</v>
      </c>
      <c r="F647" s="14" t="s">
        <v>6509</v>
      </c>
      <c r="G647" s="14" t="s">
        <v>46</v>
      </c>
      <c r="H647" s="14">
        <v>54</v>
      </c>
      <c r="I647" s="13" t="str" cm="1">
        <f t="array" ref="I647">_xlfn.IFS(
  OR(ISBLANK(A647),ISBLANK(B647),ISBLANK(D647),ISBLANK(E647),ISBLANK(H647)),"Missing Value",
  D647&lt;0,"Review – Out of Range (Claim Amount)",
  H647&lt;0,"Review – Out of Range (Days to Process)",
  TRUE,"OK"
)</f>
        <v>OK</v>
      </c>
    </row>
    <row r="648" spans="1:9" ht="16.8" x14ac:dyDescent="0.3">
      <c r="A648" s="11" t="s">
        <v>7155</v>
      </c>
      <c r="B648" s="11" t="s">
        <v>3650</v>
      </c>
      <c r="C648" s="12">
        <v>44837</v>
      </c>
      <c r="D648" s="11">
        <v>265189.88</v>
      </c>
      <c r="E648" s="11" t="s">
        <v>6505</v>
      </c>
      <c r="F648" s="11" t="s">
        <v>6509</v>
      </c>
      <c r="G648" s="11" t="s">
        <v>46</v>
      </c>
      <c r="H648" s="11">
        <v>10</v>
      </c>
      <c r="I648" s="13" t="str" cm="1">
        <f t="array" ref="I648">_xlfn.IFS(
  OR(ISBLANK(A648),ISBLANK(B648),ISBLANK(D648),ISBLANK(E648),ISBLANK(H648)),"Missing Value",
  D648&lt;0,"Review – Out of Range (Claim Amount)",
  H648&lt;0,"Review – Out of Range (Days to Process)",
  TRUE,"OK"
)</f>
        <v>OK</v>
      </c>
    </row>
    <row r="649" spans="1:9" ht="16.8" x14ac:dyDescent="0.3">
      <c r="A649" s="14" t="s">
        <v>7156</v>
      </c>
      <c r="B649" s="14" t="s">
        <v>6046</v>
      </c>
      <c r="C649" s="15">
        <v>44983</v>
      </c>
      <c r="D649" s="14">
        <v>184914.62</v>
      </c>
      <c r="E649" s="14" t="s">
        <v>6502</v>
      </c>
      <c r="F649" s="14" t="s">
        <v>6506</v>
      </c>
      <c r="G649" s="14" t="s">
        <v>46</v>
      </c>
      <c r="H649" s="14">
        <v>54</v>
      </c>
      <c r="I649" s="13" t="str" cm="1">
        <f t="array" ref="I649">_xlfn.IFS(
  OR(ISBLANK(A649),ISBLANK(B649),ISBLANK(D649),ISBLANK(E649),ISBLANK(H649)),"Missing Value",
  D649&lt;0,"Review – Out of Range (Claim Amount)",
  H649&lt;0,"Review – Out of Range (Days to Process)",
  TRUE,"OK"
)</f>
        <v>OK</v>
      </c>
    </row>
    <row r="650" spans="1:9" ht="16.8" x14ac:dyDescent="0.3">
      <c r="A650" s="11" t="s">
        <v>7157</v>
      </c>
      <c r="B650" s="11" t="s">
        <v>3514</v>
      </c>
      <c r="C650" s="12">
        <v>45138</v>
      </c>
      <c r="D650" s="11">
        <v>49825.79</v>
      </c>
      <c r="E650" s="11" t="s">
        <v>6505</v>
      </c>
      <c r="F650" s="11" t="s">
        <v>6503</v>
      </c>
      <c r="G650" s="11" t="s">
        <v>46</v>
      </c>
      <c r="H650" s="11">
        <v>20</v>
      </c>
      <c r="I650" s="13" t="str" cm="1">
        <f t="array" ref="I650">_xlfn.IFS(
  OR(ISBLANK(A650),ISBLANK(B650),ISBLANK(D650),ISBLANK(E650),ISBLANK(H650)),"Missing Value",
  D650&lt;0,"Review – Out of Range (Claim Amount)",
  H650&lt;0,"Review – Out of Range (Days to Process)",
  TRUE,"OK"
)</f>
        <v>OK</v>
      </c>
    </row>
    <row r="651" spans="1:9" ht="16.8" x14ac:dyDescent="0.3">
      <c r="A651" s="14" t="s">
        <v>7158</v>
      </c>
      <c r="B651" s="14" t="s">
        <v>6116</v>
      </c>
      <c r="C651" s="15">
        <v>44903</v>
      </c>
      <c r="D651" s="14">
        <v>462778.77</v>
      </c>
      <c r="E651" s="14" t="s">
        <v>6505</v>
      </c>
      <c r="F651" s="14" t="s">
        <v>6503</v>
      </c>
      <c r="G651" s="14" t="s">
        <v>45</v>
      </c>
      <c r="H651" s="14">
        <v>52</v>
      </c>
      <c r="I651" s="13" t="str" cm="1">
        <f t="array" ref="I651">_xlfn.IFS(
  OR(ISBLANK(A651),ISBLANK(B651),ISBLANK(D651),ISBLANK(E651),ISBLANK(H651)),"Missing Value",
  D651&lt;0,"Review – Out of Range (Claim Amount)",
  H651&lt;0,"Review – Out of Range (Days to Process)",
  TRUE,"OK"
)</f>
        <v>OK</v>
      </c>
    </row>
    <row r="652" spans="1:9" ht="16.8" x14ac:dyDescent="0.3">
      <c r="A652" s="11" t="s">
        <v>7159</v>
      </c>
      <c r="B652" s="11" t="s">
        <v>4310</v>
      </c>
      <c r="C652" s="12">
        <v>44804</v>
      </c>
      <c r="D652" s="11">
        <v>264121.57</v>
      </c>
      <c r="E652" s="11" t="s">
        <v>6508</v>
      </c>
      <c r="F652" s="11" t="s">
        <v>6509</v>
      </c>
      <c r="G652" s="11" t="s">
        <v>46</v>
      </c>
      <c r="H652" s="11">
        <v>5</v>
      </c>
      <c r="I652" s="13" t="str" cm="1">
        <f t="array" ref="I652">_xlfn.IFS(
  OR(ISBLANK(A652),ISBLANK(B652),ISBLANK(D652),ISBLANK(E652),ISBLANK(H652)),"Missing Value",
  D652&lt;0,"Review – Out of Range (Claim Amount)",
  H652&lt;0,"Review – Out of Range (Days to Process)",
  TRUE,"OK"
)</f>
        <v>OK</v>
      </c>
    </row>
    <row r="653" spans="1:9" ht="16.8" x14ac:dyDescent="0.3">
      <c r="A653" s="14" t="s">
        <v>7160</v>
      </c>
      <c r="B653" s="14" t="s">
        <v>4832</v>
      </c>
      <c r="C653" s="15">
        <v>45355</v>
      </c>
      <c r="D653" s="14">
        <v>447669.65</v>
      </c>
      <c r="E653" s="14" t="s">
        <v>6505</v>
      </c>
      <c r="F653" s="14" t="s">
        <v>6511</v>
      </c>
      <c r="G653" s="14" t="s">
        <v>45</v>
      </c>
      <c r="H653" s="14">
        <v>57</v>
      </c>
      <c r="I653" s="13" t="str" cm="1">
        <f t="array" ref="I653">_xlfn.IFS(
  OR(ISBLANK(A653),ISBLANK(B653),ISBLANK(D653),ISBLANK(E653),ISBLANK(H653)),"Missing Value",
  D653&lt;0,"Review – Out of Range (Claim Amount)",
  H653&lt;0,"Review – Out of Range (Days to Process)",
  TRUE,"OK"
)</f>
        <v>OK</v>
      </c>
    </row>
    <row r="654" spans="1:9" ht="16.8" x14ac:dyDescent="0.3">
      <c r="A654" s="11" t="s">
        <v>7161</v>
      </c>
      <c r="B654" s="11" t="s">
        <v>6394</v>
      </c>
      <c r="C654" s="12">
        <v>44740</v>
      </c>
      <c r="D654" s="11">
        <v>179713.16</v>
      </c>
      <c r="E654" s="11" t="s">
        <v>6505</v>
      </c>
      <c r="F654" s="11" t="s">
        <v>6506</v>
      </c>
      <c r="G654" s="11" t="s">
        <v>46</v>
      </c>
      <c r="H654" s="11">
        <v>49</v>
      </c>
      <c r="I654" s="13" t="str" cm="1">
        <f t="array" ref="I654">_xlfn.IFS(
  OR(ISBLANK(A654),ISBLANK(B654),ISBLANK(D654),ISBLANK(E654),ISBLANK(H654)),"Missing Value",
  D654&lt;0,"Review – Out of Range (Claim Amount)",
  H654&lt;0,"Review – Out of Range (Days to Process)",
  TRUE,"OK"
)</f>
        <v>OK</v>
      </c>
    </row>
    <row r="655" spans="1:9" ht="16.8" x14ac:dyDescent="0.3">
      <c r="A655" s="14" t="s">
        <v>7162</v>
      </c>
      <c r="B655" s="14" t="s">
        <v>5124</v>
      </c>
      <c r="C655" s="15">
        <v>45542</v>
      </c>
      <c r="D655" s="14">
        <v>324825.77</v>
      </c>
      <c r="E655" s="14" t="s">
        <v>6505</v>
      </c>
      <c r="F655" s="14" t="s">
        <v>6516</v>
      </c>
      <c r="G655" s="14" t="s">
        <v>46</v>
      </c>
      <c r="H655" s="14">
        <v>52</v>
      </c>
      <c r="I655" s="13" t="str" cm="1">
        <f t="array" ref="I655">_xlfn.IFS(
  OR(ISBLANK(A655),ISBLANK(B655),ISBLANK(D655),ISBLANK(E655),ISBLANK(H655)),"Missing Value",
  D655&lt;0,"Review – Out of Range (Claim Amount)",
  H655&lt;0,"Review – Out of Range (Days to Process)",
  TRUE,"OK"
)</f>
        <v>OK</v>
      </c>
    </row>
    <row r="656" spans="1:9" ht="16.8" x14ac:dyDescent="0.3">
      <c r="A656" s="11" t="s">
        <v>7163</v>
      </c>
      <c r="B656" s="11" t="s">
        <v>4532</v>
      </c>
      <c r="C656" s="12">
        <v>44217</v>
      </c>
      <c r="D656" s="11">
        <v>64301.9</v>
      </c>
      <c r="E656" s="11" t="s">
        <v>6505</v>
      </c>
      <c r="F656" s="11" t="s">
        <v>6503</v>
      </c>
      <c r="G656" s="11" t="s">
        <v>46</v>
      </c>
      <c r="H656" s="11">
        <v>49</v>
      </c>
      <c r="I656" s="13" t="str" cm="1">
        <f t="array" ref="I656">_xlfn.IFS(
  OR(ISBLANK(A656),ISBLANK(B656),ISBLANK(D656),ISBLANK(E656),ISBLANK(H656)),"Missing Value",
  D656&lt;0,"Review – Out of Range (Claim Amount)",
  H656&lt;0,"Review – Out of Range (Days to Process)",
  TRUE,"OK"
)</f>
        <v>OK</v>
      </c>
    </row>
    <row r="657" spans="1:9" ht="16.8" x14ac:dyDescent="0.3">
      <c r="A657" s="14" t="s">
        <v>7164</v>
      </c>
      <c r="B657" s="14" t="s">
        <v>4619</v>
      </c>
      <c r="C657" s="15">
        <v>45417</v>
      </c>
      <c r="D657" s="14">
        <v>193337.9</v>
      </c>
      <c r="E657" s="14" t="s">
        <v>6505</v>
      </c>
      <c r="F657" s="14" t="s">
        <v>6516</v>
      </c>
      <c r="G657" s="14" t="s">
        <v>45</v>
      </c>
      <c r="H657" s="14">
        <v>53</v>
      </c>
      <c r="I657" s="13" t="str" cm="1">
        <f t="array" ref="I657">_xlfn.IFS(
  OR(ISBLANK(A657),ISBLANK(B657),ISBLANK(D657),ISBLANK(E657),ISBLANK(H657)),"Missing Value",
  D657&lt;0,"Review – Out of Range (Claim Amount)",
  H657&lt;0,"Review – Out of Range (Days to Process)",
  TRUE,"OK"
)</f>
        <v>OK</v>
      </c>
    </row>
    <row r="658" spans="1:9" ht="16.8" x14ac:dyDescent="0.3">
      <c r="A658" s="11" t="s">
        <v>7165</v>
      </c>
      <c r="B658" s="11" t="s">
        <v>4039</v>
      </c>
      <c r="C658" s="12">
        <v>45232</v>
      </c>
      <c r="D658" s="11">
        <v>206109.17</v>
      </c>
      <c r="E658" s="11" t="s">
        <v>6505</v>
      </c>
      <c r="F658" s="11" t="s">
        <v>6503</v>
      </c>
      <c r="G658" s="11" t="s">
        <v>46</v>
      </c>
      <c r="H658" s="11">
        <v>38</v>
      </c>
      <c r="I658" s="13" t="str" cm="1">
        <f t="array" ref="I658">_xlfn.IFS(
  OR(ISBLANK(A658),ISBLANK(B658),ISBLANK(D658),ISBLANK(E658),ISBLANK(H658)),"Missing Value",
  D658&lt;0,"Review – Out of Range (Claim Amount)",
  H658&lt;0,"Review – Out of Range (Days to Process)",
  TRUE,"OK"
)</f>
        <v>OK</v>
      </c>
    </row>
    <row r="659" spans="1:9" ht="16.8" x14ac:dyDescent="0.3">
      <c r="A659" s="14" t="s">
        <v>7166</v>
      </c>
      <c r="B659" s="14" t="s">
        <v>4893</v>
      </c>
      <c r="C659" s="15">
        <v>44856</v>
      </c>
      <c r="D659" s="14">
        <v>287410.67</v>
      </c>
      <c r="E659" s="14" t="s">
        <v>6502</v>
      </c>
      <c r="F659" s="14" t="s">
        <v>6509</v>
      </c>
      <c r="G659" s="14" t="s">
        <v>46</v>
      </c>
      <c r="H659" s="14">
        <v>57</v>
      </c>
      <c r="I659" s="13" t="str" cm="1">
        <f t="array" ref="I659">_xlfn.IFS(
  OR(ISBLANK(A659),ISBLANK(B659),ISBLANK(D659),ISBLANK(E659),ISBLANK(H659)),"Missing Value",
  D659&lt;0,"Review – Out of Range (Claim Amount)",
  H659&lt;0,"Review – Out of Range (Days to Process)",
  TRUE,"OK"
)</f>
        <v>OK</v>
      </c>
    </row>
    <row r="660" spans="1:9" ht="16.8" x14ac:dyDescent="0.3">
      <c r="A660" s="11" t="s">
        <v>7167</v>
      </c>
      <c r="B660" s="11" t="s">
        <v>5655</v>
      </c>
      <c r="C660" s="12">
        <v>45248</v>
      </c>
      <c r="D660" s="11">
        <v>167720.25</v>
      </c>
      <c r="E660" s="11" t="s">
        <v>6505</v>
      </c>
      <c r="F660" s="11" t="s">
        <v>6503</v>
      </c>
      <c r="G660" s="11" t="s">
        <v>46</v>
      </c>
      <c r="H660" s="11">
        <v>21</v>
      </c>
      <c r="I660" s="13" t="str" cm="1">
        <f t="array" ref="I660">_xlfn.IFS(
  OR(ISBLANK(A660),ISBLANK(B660),ISBLANK(D660),ISBLANK(E660),ISBLANK(H660)),"Missing Value",
  D660&lt;0,"Review – Out of Range (Claim Amount)",
  H660&lt;0,"Review – Out of Range (Days to Process)",
  TRUE,"OK"
)</f>
        <v>OK</v>
      </c>
    </row>
    <row r="661" spans="1:9" ht="16.8" x14ac:dyDescent="0.3">
      <c r="A661" s="14" t="s">
        <v>7168</v>
      </c>
      <c r="B661" s="14" t="s">
        <v>3805</v>
      </c>
      <c r="C661" s="15">
        <v>45417</v>
      </c>
      <c r="D661" s="14">
        <v>386486.86</v>
      </c>
      <c r="E661" s="14" t="s">
        <v>6505</v>
      </c>
      <c r="F661" s="14" t="s">
        <v>6516</v>
      </c>
      <c r="G661" s="14" t="s">
        <v>45</v>
      </c>
      <c r="H661" s="14">
        <v>26</v>
      </c>
      <c r="I661" s="13" t="str" cm="1">
        <f t="array" ref="I661">_xlfn.IFS(
  OR(ISBLANK(A661),ISBLANK(B661),ISBLANK(D661),ISBLANK(E661),ISBLANK(H661)),"Missing Value",
  D661&lt;0,"Review – Out of Range (Claim Amount)",
  H661&lt;0,"Review – Out of Range (Days to Process)",
  TRUE,"OK"
)</f>
        <v>OK</v>
      </c>
    </row>
    <row r="662" spans="1:9" ht="16.8" x14ac:dyDescent="0.3">
      <c r="A662" s="11" t="s">
        <v>7169</v>
      </c>
      <c r="B662" s="11" t="s">
        <v>6320</v>
      </c>
      <c r="C662" s="12">
        <v>45645</v>
      </c>
      <c r="D662" s="11">
        <v>461748.87</v>
      </c>
      <c r="E662" s="11" t="s">
        <v>6505</v>
      </c>
      <c r="F662" s="11" t="s">
        <v>6516</v>
      </c>
      <c r="G662" s="11" t="s">
        <v>45</v>
      </c>
      <c r="H662" s="11">
        <v>13</v>
      </c>
      <c r="I662" s="13" t="str" cm="1">
        <f t="array" ref="I662">_xlfn.IFS(
  OR(ISBLANK(A662),ISBLANK(B662),ISBLANK(D662),ISBLANK(E662),ISBLANK(H662)),"Missing Value",
  D662&lt;0,"Review – Out of Range (Claim Amount)",
  H662&lt;0,"Review – Out of Range (Days to Process)",
  TRUE,"OK"
)</f>
        <v>OK</v>
      </c>
    </row>
    <row r="663" spans="1:9" ht="16.8" x14ac:dyDescent="0.3">
      <c r="A663" s="14" t="s">
        <v>7170</v>
      </c>
      <c r="B663" s="14" t="s">
        <v>4297</v>
      </c>
      <c r="C663" s="15">
        <v>45544</v>
      </c>
      <c r="D663" s="14">
        <v>127506.05</v>
      </c>
      <c r="E663" s="14" t="s">
        <v>6502</v>
      </c>
      <c r="F663" s="14" t="s">
        <v>6511</v>
      </c>
      <c r="G663" s="14" t="s">
        <v>45</v>
      </c>
      <c r="H663" s="14">
        <v>8</v>
      </c>
      <c r="I663" s="13" t="str" cm="1">
        <f t="array" ref="I663">_xlfn.IFS(
  OR(ISBLANK(A663),ISBLANK(B663),ISBLANK(D663),ISBLANK(E663),ISBLANK(H663)),"Missing Value",
  D663&lt;0,"Review – Out of Range (Claim Amount)",
  H663&lt;0,"Review – Out of Range (Days to Process)",
  TRUE,"OK"
)</f>
        <v>OK</v>
      </c>
    </row>
    <row r="664" spans="1:9" ht="16.8" x14ac:dyDescent="0.3">
      <c r="A664" s="11" t="s">
        <v>7171</v>
      </c>
      <c r="B664" s="11" t="s">
        <v>5043</v>
      </c>
      <c r="C664" s="12">
        <v>44939</v>
      </c>
      <c r="D664" s="11">
        <v>104690.04</v>
      </c>
      <c r="E664" s="11" t="s">
        <v>6508</v>
      </c>
      <c r="F664" s="11" t="s">
        <v>6516</v>
      </c>
      <c r="G664" s="11" t="s">
        <v>45</v>
      </c>
      <c r="H664" s="11">
        <v>3</v>
      </c>
      <c r="I664" s="13" t="str" cm="1">
        <f t="array" ref="I664">_xlfn.IFS(
  OR(ISBLANK(A664),ISBLANK(B664),ISBLANK(D664),ISBLANK(E664),ISBLANK(H664)),"Missing Value",
  D664&lt;0,"Review – Out of Range (Claim Amount)",
  H664&lt;0,"Review – Out of Range (Days to Process)",
  TRUE,"OK"
)</f>
        <v>OK</v>
      </c>
    </row>
    <row r="665" spans="1:9" ht="16.8" x14ac:dyDescent="0.3">
      <c r="A665" s="14" t="s">
        <v>7172</v>
      </c>
      <c r="B665" s="14" t="s">
        <v>4603</v>
      </c>
      <c r="C665" s="15">
        <v>44591</v>
      </c>
      <c r="D665" s="14">
        <v>90820.2</v>
      </c>
      <c r="E665" s="14" t="s">
        <v>6508</v>
      </c>
      <c r="F665" s="14" t="s">
        <v>6516</v>
      </c>
      <c r="G665" s="14" t="s">
        <v>46</v>
      </c>
      <c r="H665" s="14">
        <v>36</v>
      </c>
      <c r="I665" s="13" t="str" cm="1">
        <f t="array" ref="I665">_xlfn.IFS(
  OR(ISBLANK(A665),ISBLANK(B665),ISBLANK(D665),ISBLANK(E665),ISBLANK(H665)),"Missing Value",
  D665&lt;0,"Review – Out of Range (Claim Amount)",
  H665&lt;0,"Review – Out of Range (Days to Process)",
  TRUE,"OK"
)</f>
        <v>OK</v>
      </c>
    </row>
    <row r="666" spans="1:9" ht="16.8" x14ac:dyDescent="0.3">
      <c r="A666" s="11" t="s">
        <v>7173</v>
      </c>
      <c r="B666" s="11" t="s">
        <v>6208</v>
      </c>
      <c r="C666" s="12">
        <v>45520</v>
      </c>
      <c r="D666" s="11">
        <v>100467.14</v>
      </c>
      <c r="E666" s="11" t="s">
        <v>6505</v>
      </c>
      <c r="F666" s="11" t="s">
        <v>6503</v>
      </c>
      <c r="G666" s="11" t="s">
        <v>46</v>
      </c>
      <c r="H666" s="11">
        <v>37</v>
      </c>
      <c r="I666" s="13" t="str" cm="1">
        <f t="array" ref="I666">_xlfn.IFS(
  OR(ISBLANK(A666),ISBLANK(B666),ISBLANK(D666),ISBLANK(E666),ISBLANK(H666)),"Missing Value",
  D666&lt;0,"Review – Out of Range (Claim Amount)",
  H666&lt;0,"Review – Out of Range (Days to Process)",
  TRUE,"OK"
)</f>
        <v>OK</v>
      </c>
    </row>
    <row r="667" spans="1:9" ht="16.8" x14ac:dyDescent="0.3">
      <c r="A667" s="14" t="s">
        <v>7174</v>
      </c>
      <c r="B667" s="14" t="s">
        <v>5046</v>
      </c>
      <c r="C667" s="15">
        <v>45054</v>
      </c>
      <c r="D667" s="14">
        <v>372766.05</v>
      </c>
      <c r="E667" s="14" t="s">
        <v>6502</v>
      </c>
      <c r="F667" s="14" t="s">
        <v>6511</v>
      </c>
      <c r="G667" s="14" t="s">
        <v>45</v>
      </c>
      <c r="H667" s="14">
        <v>8</v>
      </c>
      <c r="I667" s="13" t="str" cm="1">
        <f t="array" ref="I667">_xlfn.IFS(
  OR(ISBLANK(A667),ISBLANK(B667),ISBLANK(D667),ISBLANK(E667),ISBLANK(H667)),"Missing Value",
  D667&lt;0,"Review – Out of Range (Claim Amount)",
  H667&lt;0,"Review – Out of Range (Days to Process)",
  TRUE,"OK"
)</f>
        <v>OK</v>
      </c>
    </row>
    <row r="668" spans="1:9" ht="16.8" x14ac:dyDescent="0.3">
      <c r="A668" s="11" t="s">
        <v>7175</v>
      </c>
      <c r="B668" s="11" t="s">
        <v>5806</v>
      </c>
      <c r="C668" s="12">
        <v>45042</v>
      </c>
      <c r="D668" s="11">
        <v>335982.3</v>
      </c>
      <c r="E668" s="11" t="s">
        <v>6502</v>
      </c>
      <c r="F668" s="11" t="s">
        <v>6503</v>
      </c>
      <c r="G668" s="11" t="s">
        <v>46</v>
      </c>
      <c r="H668" s="11">
        <v>30</v>
      </c>
      <c r="I668" s="13" t="str" cm="1">
        <f t="array" ref="I668">_xlfn.IFS(
  OR(ISBLANK(A668),ISBLANK(B668),ISBLANK(D668),ISBLANK(E668),ISBLANK(H668)),"Missing Value",
  D668&lt;0,"Review – Out of Range (Claim Amount)",
  H668&lt;0,"Review – Out of Range (Days to Process)",
  TRUE,"OK"
)</f>
        <v>OK</v>
      </c>
    </row>
    <row r="669" spans="1:9" ht="16.8" x14ac:dyDescent="0.3">
      <c r="A669" s="14" t="s">
        <v>7176</v>
      </c>
      <c r="B669" s="14" t="s">
        <v>4034</v>
      </c>
      <c r="C669" s="15">
        <v>44892</v>
      </c>
      <c r="D669" s="14">
        <v>329502.63</v>
      </c>
      <c r="E669" s="14" t="s">
        <v>6502</v>
      </c>
      <c r="F669" s="14" t="s">
        <v>6509</v>
      </c>
      <c r="G669" s="14" t="s">
        <v>45</v>
      </c>
      <c r="H669" s="14">
        <v>33</v>
      </c>
      <c r="I669" s="13" t="str" cm="1">
        <f t="array" ref="I669">_xlfn.IFS(
  OR(ISBLANK(A669),ISBLANK(B669),ISBLANK(D669),ISBLANK(E669),ISBLANK(H669)),"Missing Value",
  D669&lt;0,"Review – Out of Range (Claim Amount)",
  H669&lt;0,"Review – Out of Range (Days to Process)",
  TRUE,"OK"
)</f>
        <v>OK</v>
      </c>
    </row>
    <row r="670" spans="1:9" ht="16.8" x14ac:dyDescent="0.3">
      <c r="A670" s="11" t="s">
        <v>7177</v>
      </c>
      <c r="B670" s="11" t="s">
        <v>5894</v>
      </c>
      <c r="C670" s="12">
        <v>45276</v>
      </c>
      <c r="D670" s="11">
        <v>125164.73</v>
      </c>
      <c r="E670" s="11" t="s">
        <v>6508</v>
      </c>
      <c r="F670" s="11" t="s">
        <v>6509</v>
      </c>
      <c r="G670" s="11" t="s">
        <v>45</v>
      </c>
      <c r="H670" s="11">
        <v>31</v>
      </c>
      <c r="I670" s="13" t="str" cm="1">
        <f t="array" ref="I670">_xlfn.IFS(
  OR(ISBLANK(A670),ISBLANK(B670),ISBLANK(D670),ISBLANK(E670),ISBLANK(H670)),"Missing Value",
  D670&lt;0,"Review – Out of Range (Claim Amount)",
  H670&lt;0,"Review – Out of Range (Days to Process)",
  TRUE,"OK"
)</f>
        <v>OK</v>
      </c>
    </row>
    <row r="671" spans="1:9" ht="16.8" x14ac:dyDescent="0.3">
      <c r="A671" s="14" t="s">
        <v>7178</v>
      </c>
      <c r="B671" s="14" t="s">
        <v>5628</v>
      </c>
      <c r="C671" s="15">
        <v>45179</v>
      </c>
      <c r="D671" s="14">
        <v>70927.25</v>
      </c>
      <c r="E671" s="14" t="s">
        <v>6502</v>
      </c>
      <c r="F671" s="14" t="s">
        <v>6506</v>
      </c>
      <c r="G671" s="14" t="s">
        <v>46</v>
      </c>
      <c r="H671" s="14">
        <v>39</v>
      </c>
      <c r="I671" s="13" t="str" cm="1">
        <f t="array" ref="I671">_xlfn.IFS(
  OR(ISBLANK(A671),ISBLANK(B671),ISBLANK(D671),ISBLANK(E671),ISBLANK(H671)),"Missing Value",
  D671&lt;0,"Review – Out of Range (Claim Amount)",
  H671&lt;0,"Review – Out of Range (Days to Process)",
  TRUE,"OK"
)</f>
        <v>OK</v>
      </c>
    </row>
    <row r="672" spans="1:9" ht="16.8" x14ac:dyDescent="0.3">
      <c r="A672" s="11" t="s">
        <v>7179</v>
      </c>
      <c r="B672" s="11" t="s">
        <v>5107</v>
      </c>
      <c r="C672" s="12">
        <v>45146</v>
      </c>
      <c r="D672" s="11">
        <v>69499.59</v>
      </c>
      <c r="E672" s="11" t="s">
        <v>6502</v>
      </c>
      <c r="F672" s="11" t="s">
        <v>6506</v>
      </c>
      <c r="G672" s="11" t="s">
        <v>45</v>
      </c>
      <c r="H672" s="11">
        <v>19</v>
      </c>
      <c r="I672" s="13" t="str" cm="1">
        <f t="array" ref="I672">_xlfn.IFS(
  OR(ISBLANK(A672),ISBLANK(B672),ISBLANK(D672),ISBLANK(E672),ISBLANK(H672)),"Missing Value",
  D672&lt;0,"Review – Out of Range (Claim Amount)",
  H672&lt;0,"Review – Out of Range (Days to Process)",
  TRUE,"OK"
)</f>
        <v>OK</v>
      </c>
    </row>
    <row r="673" spans="1:9" ht="16.8" x14ac:dyDescent="0.3">
      <c r="A673" s="14" t="s">
        <v>7180</v>
      </c>
      <c r="B673" s="14" t="s">
        <v>4923</v>
      </c>
      <c r="C673" s="15">
        <v>45101</v>
      </c>
      <c r="D673" s="14">
        <v>271541.07</v>
      </c>
      <c r="E673" s="14" t="s">
        <v>6502</v>
      </c>
      <c r="F673" s="14" t="s">
        <v>6509</v>
      </c>
      <c r="G673" s="14" t="s">
        <v>45</v>
      </c>
      <c r="H673" s="14">
        <v>50</v>
      </c>
      <c r="I673" s="13" t="str" cm="1">
        <f t="array" ref="I673">_xlfn.IFS(
  OR(ISBLANK(A673),ISBLANK(B673),ISBLANK(D673),ISBLANK(E673),ISBLANK(H673)),"Missing Value",
  D673&lt;0,"Review – Out of Range (Claim Amount)",
  H673&lt;0,"Review – Out of Range (Days to Process)",
  TRUE,"OK"
)</f>
        <v>OK</v>
      </c>
    </row>
    <row r="674" spans="1:9" ht="16.8" x14ac:dyDescent="0.3">
      <c r="A674" s="11" t="s">
        <v>7181</v>
      </c>
      <c r="B674" s="11" t="s">
        <v>3899</v>
      </c>
      <c r="C674" s="12">
        <v>45383</v>
      </c>
      <c r="D674" s="11">
        <v>418662.56</v>
      </c>
      <c r="E674" s="11" t="s">
        <v>6505</v>
      </c>
      <c r="F674" s="11" t="s">
        <v>6509</v>
      </c>
      <c r="G674" s="11" t="s">
        <v>46</v>
      </c>
      <c r="H674" s="11">
        <v>33</v>
      </c>
      <c r="I674" s="13" t="str" cm="1">
        <f t="array" ref="I674">_xlfn.IFS(
  OR(ISBLANK(A674),ISBLANK(B674),ISBLANK(D674),ISBLANK(E674),ISBLANK(H674)),"Missing Value",
  D674&lt;0,"Review – Out of Range (Claim Amount)",
  H674&lt;0,"Review – Out of Range (Days to Process)",
  TRUE,"OK"
)</f>
        <v>OK</v>
      </c>
    </row>
    <row r="675" spans="1:9" ht="16.8" x14ac:dyDescent="0.3">
      <c r="A675" s="14" t="s">
        <v>7182</v>
      </c>
      <c r="B675" s="14" t="s">
        <v>5785</v>
      </c>
      <c r="C675" s="15">
        <v>45393</v>
      </c>
      <c r="D675" s="14">
        <v>235717.87</v>
      </c>
      <c r="E675" s="14" t="s">
        <v>6505</v>
      </c>
      <c r="F675" s="14" t="s">
        <v>6511</v>
      </c>
      <c r="G675" s="14" t="s">
        <v>46</v>
      </c>
      <c r="H675" s="14">
        <v>26</v>
      </c>
      <c r="I675" s="13" t="str" cm="1">
        <f t="array" ref="I675">_xlfn.IFS(
  OR(ISBLANK(A675),ISBLANK(B675),ISBLANK(D675),ISBLANK(E675),ISBLANK(H675)),"Missing Value",
  D675&lt;0,"Review – Out of Range (Claim Amount)",
  H675&lt;0,"Review – Out of Range (Days to Process)",
  TRUE,"OK"
)</f>
        <v>OK</v>
      </c>
    </row>
    <row r="676" spans="1:9" ht="16.8" x14ac:dyDescent="0.3">
      <c r="A676" s="11" t="s">
        <v>7183</v>
      </c>
      <c r="B676" s="11" t="s">
        <v>5763</v>
      </c>
      <c r="C676" s="12">
        <v>45402</v>
      </c>
      <c r="D676" s="11">
        <v>305888.05</v>
      </c>
      <c r="E676" s="11" t="s">
        <v>6502</v>
      </c>
      <c r="F676" s="11" t="s">
        <v>6516</v>
      </c>
      <c r="G676" s="11" t="s">
        <v>46</v>
      </c>
      <c r="H676" s="11">
        <v>36</v>
      </c>
      <c r="I676" s="13" t="str" cm="1">
        <f t="array" ref="I676">_xlfn.IFS(
  OR(ISBLANK(A676),ISBLANK(B676),ISBLANK(D676),ISBLANK(E676),ISBLANK(H676)),"Missing Value",
  D676&lt;0,"Review – Out of Range (Claim Amount)",
  H676&lt;0,"Review – Out of Range (Days to Process)",
  TRUE,"OK"
)</f>
        <v>OK</v>
      </c>
    </row>
    <row r="677" spans="1:9" ht="16.8" x14ac:dyDescent="0.3">
      <c r="A677" s="14" t="s">
        <v>7184</v>
      </c>
      <c r="B677" s="14" t="s">
        <v>4496</v>
      </c>
      <c r="C677" s="15">
        <v>44155</v>
      </c>
      <c r="D677" s="14">
        <v>418509.83</v>
      </c>
      <c r="E677" s="14" t="s">
        <v>6505</v>
      </c>
      <c r="F677" s="14" t="s">
        <v>6509</v>
      </c>
      <c r="G677" s="14" t="s">
        <v>46</v>
      </c>
      <c r="H677" s="14">
        <v>6</v>
      </c>
      <c r="I677" s="13" t="str" cm="1">
        <f t="array" ref="I677">_xlfn.IFS(
  OR(ISBLANK(A677),ISBLANK(B677),ISBLANK(D677),ISBLANK(E677),ISBLANK(H677)),"Missing Value",
  D677&lt;0,"Review – Out of Range (Claim Amount)",
  H677&lt;0,"Review – Out of Range (Days to Process)",
  TRUE,"OK"
)</f>
        <v>OK</v>
      </c>
    </row>
    <row r="678" spans="1:9" ht="16.8" x14ac:dyDescent="0.3">
      <c r="A678" s="11" t="s">
        <v>7185</v>
      </c>
      <c r="B678" s="11" t="s">
        <v>5416</v>
      </c>
      <c r="C678" s="12">
        <v>45582</v>
      </c>
      <c r="D678" s="11">
        <v>272938.82</v>
      </c>
      <c r="E678" s="11" t="s">
        <v>6505</v>
      </c>
      <c r="F678" s="11" t="s">
        <v>6516</v>
      </c>
      <c r="G678" s="11" t="s">
        <v>45</v>
      </c>
      <c r="H678" s="11">
        <v>42</v>
      </c>
      <c r="I678" s="13" t="str" cm="1">
        <f t="array" ref="I678">_xlfn.IFS(
  OR(ISBLANK(A678),ISBLANK(B678),ISBLANK(D678),ISBLANK(E678),ISBLANK(H678)),"Missing Value",
  D678&lt;0,"Review – Out of Range (Claim Amount)",
  H678&lt;0,"Review – Out of Range (Days to Process)",
  TRUE,"OK"
)</f>
        <v>OK</v>
      </c>
    </row>
    <row r="679" spans="1:9" ht="16.8" x14ac:dyDescent="0.3">
      <c r="A679" s="14" t="s">
        <v>7186</v>
      </c>
      <c r="B679" s="14" t="s">
        <v>4082</v>
      </c>
      <c r="C679" s="15">
        <v>44930</v>
      </c>
      <c r="D679" s="14">
        <v>186002.98</v>
      </c>
      <c r="E679" s="14" t="s">
        <v>6502</v>
      </c>
      <c r="F679" s="14" t="s">
        <v>6511</v>
      </c>
      <c r="G679" s="14" t="s">
        <v>45</v>
      </c>
      <c r="H679" s="14">
        <v>3</v>
      </c>
      <c r="I679" s="13" t="str" cm="1">
        <f t="array" ref="I679">_xlfn.IFS(
  OR(ISBLANK(A679),ISBLANK(B679),ISBLANK(D679),ISBLANK(E679),ISBLANK(H679)),"Missing Value",
  D679&lt;0,"Review – Out of Range (Claim Amount)",
  H679&lt;0,"Review – Out of Range (Days to Process)",
  TRUE,"OK"
)</f>
        <v>OK</v>
      </c>
    </row>
    <row r="680" spans="1:9" ht="16.8" x14ac:dyDescent="0.3">
      <c r="A680" s="11" t="s">
        <v>7187</v>
      </c>
      <c r="B680" s="11" t="s">
        <v>6152</v>
      </c>
      <c r="C680" s="12">
        <v>44638</v>
      </c>
      <c r="D680" s="11">
        <v>208190.28</v>
      </c>
      <c r="E680" s="11" t="s">
        <v>6508</v>
      </c>
      <c r="F680" s="11" t="s">
        <v>6509</v>
      </c>
      <c r="G680" s="11" t="s">
        <v>45</v>
      </c>
      <c r="H680" s="11">
        <v>40</v>
      </c>
      <c r="I680" s="13" t="str" cm="1">
        <f t="array" ref="I680">_xlfn.IFS(
  OR(ISBLANK(A680),ISBLANK(B680),ISBLANK(D680),ISBLANK(E680),ISBLANK(H680)),"Missing Value",
  D680&lt;0,"Review – Out of Range (Claim Amount)",
  H680&lt;0,"Review – Out of Range (Days to Process)",
  TRUE,"OK"
)</f>
        <v>OK</v>
      </c>
    </row>
    <row r="681" spans="1:9" ht="16.8" x14ac:dyDescent="0.3">
      <c r="A681" s="14" t="s">
        <v>7188</v>
      </c>
      <c r="B681" s="14" t="s">
        <v>3782</v>
      </c>
      <c r="C681" s="15">
        <v>45497</v>
      </c>
      <c r="D681" s="14">
        <v>280924.12</v>
      </c>
      <c r="E681" s="14" t="s">
        <v>6502</v>
      </c>
      <c r="F681" s="14" t="s">
        <v>6516</v>
      </c>
      <c r="G681" s="14" t="s">
        <v>46</v>
      </c>
      <c r="H681" s="14">
        <v>49</v>
      </c>
      <c r="I681" s="13" t="str" cm="1">
        <f t="array" ref="I681">_xlfn.IFS(
  OR(ISBLANK(A681),ISBLANK(B681),ISBLANK(D681),ISBLANK(E681),ISBLANK(H681)),"Missing Value",
  D681&lt;0,"Review – Out of Range (Claim Amount)",
  H681&lt;0,"Review – Out of Range (Days to Process)",
  TRUE,"OK"
)</f>
        <v>OK</v>
      </c>
    </row>
    <row r="682" spans="1:9" ht="16.8" x14ac:dyDescent="0.3">
      <c r="A682" s="11" t="s">
        <v>7189</v>
      </c>
      <c r="B682" s="11" t="s">
        <v>6485</v>
      </c>
      <c r="C682" s="12">
        <v>45370</v>
      </c>
      <c r="D682" s="11">
        <v>186652.35</v>
      </c>
      <c r="E682" s="11" t="s">
        <v>6502</v>
      </c>
      <c r="F682" s="11" t="s">
        <v>6516</v>
      </c>
      <c r="G682" s="11" t="s">
        <v>45</v>
      </c>
      <c r="H682" s="11">
        <v>42</v>
      </c>
      <c r="I682" s="13" t="str" cm="1">
        <f t="array" ref="I682">_xlfn.IFS(
  OR(ISBLANK(A682),ISBLANK(B682),ISBLANK(D682),ISBLANK(E682),ISBLANK(H682)),"Missing Value",
  D682&lt;0,"Review – Out of Range (Claim Amount)",
  H682&lt;0,"Review – Out of Range (Days to Process)",
  TRUE,"OK"
)</f>
        <v>OK</v>
      </c>
    </row>
    <row r="683" spans="1:9" ht="16.8" x14ac:dyDescent="0.3">
      <c r="A683" s="14" t="s">
        <v>7190</v>
      </c>
      <c r="B683" s="14" t="s">
        <v>5493</v>
      </c>
      <c r="C683" s="15">
        <v>44770</v>
      </c>
      <c r="D683" s="14">
        <v>455129.9</v>
      </c>
      <c r="E683" s="14" t="s">
        <v>6508</v>
      </c>
      <c r="F683" s="14" t="s">
        <v>6506</v>
      </c>
      <c r="G683" s="14" t="s">
        <v>45</v>
      </c>
      <c r="H683" s="14">
        <v>15</v>
      </c>
      <c r="I683" s="13" t="str" cm="1">
        <f t="array" ref="I683">_xlfn.IFS(
  OR(ISBLANK(A683),ISBLANK(B683),ISBLANK(D683),ISBLANK(E683),ISBLANK(H683)),"Missing Value",
  D683&lt;0,"Review – Out of Range (Claim Amount)",
  H683&lt;0,"Review – Out of Range (Days to Process)",
  TRUE,"OK"
)</f>
        <v>OK</v>
      </c>
    </row>
    <row r="684" spans="1:9" ht="16.8" x14ac:dyDescent="0.3">
      <c r="A684" s="11" t="s">
        <v>7191</v>
      </c>
      <c r="B684" s="11" t="s">
        <v>6085</v>
      </c>
      <c r="C684" s="12">
        <v>44996</v>
      </c>
      <c r="D684" s="11">
        <v>480528.32</v>
      </c>
      <c r="E684" s="11" t="s">
        <v>6505</v>
      </c>
      <c r="F684" s="11" t="s">
        <v>6511</v>
      </c>
      <c r="G684" s="11" t="s">
        <v>45</v>
      </c>
      <c r="H684" s="11">
        <v>57</v>
      </c>
      <c r="I684" s="13" t="str" cm="1">
        <f t="array" ref="I684">_xlfn.IFS(
  OR(ISBLANK(A684),ISBLANK(B684),ISBLANK(D684),ISBLANK(E684),ISBLANK(H684)),"Missing Value",
  D684&lt;0,"Review – Out of Range (Claim Amount)",
  H684&lt;0,"Review – Out of Range (Days to Process)",
  TRUE,"OK"
)</f>
        <v>OK</v>
      </c>
    </row>
    <row r="685" spans="1:9" ht="16.8" x14ac:dyDescent="0.3">
      <c r="A685" s="14" t="s">
        <v>7192</v>
      </c>
      <c r="B685" s="14" t="s">
        <v>3556</v>
      </c>
      <c r="C685" s="15">
        <v>44880</v>
      </c>
      <c r="D685" s="14">
        <v>383803.62</v>
      </c>
      <c r="E685" s="14" t="s">
        <v>6502</v>
      </c>
      <c r="F685" s="14" t="s">
        <v>6509</v>
      </c>
      <c r="G685" s="14" t="s">
        <v>46</v>
      </c>
      <c r="H685" s="14">
        <v>38</v>
      </c>
      <c r="I685" s="13" t="str" cm="1">
        <f t="array" ref="I685">_xlfn.IFS(
  OR(ISBLANK(A685),ISBLANK(B685),ISBLANK(D685),ISBLANK(E685),ISBLANK(H685)),"Missing Value",
  D685&lt;0,"Review – Out of Range (Claim Amount)",
  H685&lt;0,"Review – Out of Range (Days to Process)",
  TRUE,"OK"
)</f>
        <v>OK</v>
      </c>
    </row>
    <row r="686" spans="1:9" ht="16.8" x14ac:dyDescent="0.3">
      <c r="A686" s="11" t="s">
        <v>7193</v>
      </c>
      <c r="B686" s="11" t="s">
        <v>6116</v>
      </c>
      <c r="C686" s="12">
        <v>44783</v>
      </c>
      <c r="D686" s="11">
        <v>19931.48</v>
      </c>
      <c r="E686" s="11" t="s">
        <v>6508</v>
      </c>
      <c r="F686" s="11" t="s">
        <v>6511</v>
      </c>
      <c r="G686" s="11" t="s">
        <v>46</v>
      </c>
      <c r="H686" s="11">
        <v>13</v>
      </c>
      <c r="I686" s="13" t="str" cm="1">
        <f t="array" ref="I686">_xlfn.IFS(
  OR(ISBLANK(A686),ISBLANK(B686),ISBLANK(D686),ISBLANK(E686),ISBLANK(H686)),"Missing Value",
  D686&lt;0,"Review – Out of Range (Claim Amount)",
  H686&lt;0,"Review – Out of Range (Days to Process)",
  TRUE,"OK"
)</f>
        <v>OK</v>
      </c>
    </row>
    <row r="687" spans="1:9" ht="16.8" x14ac:dyDescent="0.3">
      <c r="A687" s="14" t="s">
        <v>7194</v>
      </c>
      <c r="B687" s="14" t="s">
        <v>3743</v>
      </c>
      <c r="C687" s="15">
        <v>45351</v>
      </c>
      <c r="D687" s="14">
        <v>142174.96</v>
      </c>
      <c r="E687" s="14" t="s">
        <v>6505</v>
      </c>
      <c r="F687" s="14" t="s">
        <v>6516</v>
      </c>
      <c r="G687" s="14" t="s">
        <v>46</v>
      </c>
      <c r="H687" s="14">
        <v>35</v>
      </c>
      <c r="I687" s="13" t="str" cm="1">
        <f t="array" ref="I687">_xlfn.IFS(
  OR(ISBLANK(A687),ISBLANK(B687),ISBLANK(D687),ISBLANK(E687),ISBLANK(H687)),"Missing Value",
  D687&lt;0,"Review – Out of Range (Claim Amount)",
  H687&lt;0,"Review – Out of Range (Days to Process)",
  TRUE,"OK"
)</f>
        <v>OK</v>
      </c>
    </row>
    <row r="688" spans="1:9" ht="16.8" x14ac:dyDescent="0.3">
      <c r="A688" s="11" t="s">
        <v>7195</v>
      </c>
      <c r="B688" s="11" t="s">
        <v>5837</v>
      </c>
      <c r="C688" s="12">
        <v>45297</v>
      </c>
      <c r="D688" s="11">
        <v>280838.71999999997</v>
      </c>
      <c r="E688" s="11" t="s">
        <v>6508</v>
      </c>
      <c r="F688" s="11" t="s">
        <v>6511</v>
      </c>
      <c r="G688" s="11" t="s">
        <v>46</v>
      </c>
      <c r="H688" s="11">
        <v>57</v>
      </c>
      <c r="I688" s="13" t="str" cm="1">
        <f t="array" ref="I688">_xlfn.IFS(
  OR(ISBLANK(A688),ISBLANK(B688),ISBLANK(D688),ISBLANK(E688),ISBLANK(H688)),"Missing Value",
  D688&lt;0,"Review – Out of Range (Claim Amount)",
  H688&lt;0,"Review – Out of Range (Days to Process)",
  TRUE,"OK"
)</f>
        <v>OK</v>
      </c>
    </row>
    <row r="689" spans="1:9" ht="16.8" x14ac:dyDescent="0.3">
      <c r="A689" s="14" t="s">
        <v>7196</v>
      </c>
      <c r="B689" s="14" t="s">
        <v>4982</v>
      </c>
      <c r="C689" s="15">
        <v>45514</v>
      </c>
      <c r="D689" s="14">
        <v>12541.81</v>
      </c>
      <c r="E689" s="14" t="s">
        <v>6505</v>
      </c>
      <c r="F689" s="14" t="s">
        <v>6516</v>
      </c>
      <c r="G689" s="14" t="s">
        <v>46</v>
      </c>
      <c r="H689" s="14">
        <v>56</v>
      </c>
      <c r="I689" s="13" t="str" cm="1">
        <f t="array" ref="I689">_xlfn.IFS(
  OR(ISBLANK(A689),ISBLANK(B689),ISBLANK(D689),ISBLANK(E689),ISBLANK(H689)),"Missing Value",
  D689&lt;0,"Review – Out of Range (Claim Amount)",
  H689&lt;0,"Review – Out of Range (Days to Process)",
  TRUE,"OK"
)</f>
        <v>OK</v>
      </c>
    </row>
    <row r="690" spans="1:9" ht="16.8" x14ac:dyDescent="0.3">
      <c r="A690" s="11" t="s">
        <v>7197</v>
      </c>
      <c r="B690" s="11" t="s">
        <v>4501</v>
      </c>
      <c r="C690" s="12">
        <v>45592</v>
      </c>
      <c r="D690" s="11">
        <v>411950.16</v>
      </c>
      <c r="E690" s="11" t="s">
        <v>6505</v>
      </c>
      <c r="F690" s="11" t="s">
        <v>6511</v>
      </c>
      <c r="G690" s="11" t="s">
        <v>45</v>
      </c>
      <c r="H690" s="11">
        <v>50</v>
      </c>
      <c r="I690" s="13" t="str" cm="1">
        <f t="array" ref="I690">_xlfn.IFS(
  OR(ISBLANK(A690),ISBLANK(B690),ISBLANK(D690),ISBLANK(E690),ISBLANK(H690)),"Missing Value",
  D690&lt;0,"Review – Out of Range (Claim Amount)",
  H690&lt;0,"Review – Out of Range (Days to Process)",
  TRUE,"OK"
)</f>
        <v>OK</v>
      </c>
    </row>
    <row r="691" spans="1:9" ht="16.8" x14ac:dyDescent="0.3">
      <c r="A691" s="14" t="s">
        <v>7198</v>
      </c>
      <c r="B691" s="14" t="s">
        <v>5142</v>
      </c>
      <c r="C691" s="15">
        <v>45598</v>
      </c>
      <c r="D691" s="14">
        <v>389154.49</v>
      </c>
      <c r="E691" s="14" t="s">
        <v>6508</v>
      </c>
      <c r="F691" s="14" t="s">
        <v>6503</v>
      </c>
      <c r="G691" s="14" t="s">
        <v>46</v>
      </c>
      <c r="H691" s="14">
        <v>58</v>
      </c>
      <c r="I691" s="13" t="str" cm="1">
        <f t="array" ref="I691">_xlfn.IFS(
  OR(ISBLANK(A691),ISBLANK(B691),ISBLANK(D691),ISBLANK(E691),ISBLANK(H691)),"Missing Value",
  D691&lt;0,"Review – Out of Range (Claim Amount)",
  H691&lt;0,"Review – Out of Range (Days to Process)",
  TRUE,"OK"
)</f>
        <v>OK</v>
      </c>
    </row>
    <row r="692" spans="1:9" ht="16.8" x14ac:dyDescent="0.3">
      <c r="A692" s="11" t="s">
        <v>7199</v>
      </c>
      <c r="B692" s="11" t="s">
        <v>5691</v>
      </c>
      <c r="C692" s="12">
        <v>45148</v>
      </c>
      <c r="D692" s="11">
        <v>171953.87</v>
      </c>
      <c r="E692" s="11" t="s">
        <v>6508</v>
      </c>
      <c r="F692" s="11" t="s">
        <v>6511</v>
      </c>
      <c r="G692" s="11" t="s">
        <v>45</v>
      </c>
      <c r="H692" s="11">
        <v>41</v>
      </c>
      <c r="I692" s="13" t="str" cm="1">
        <f t="array" ref="I692">_xlfn.IFS(
  OR(ISBLANK(A692),ISBLANK(B692),ISBLANK(D692),ISBLANK(E692),ISBLANK(H692)),"Missing Value",
  D692&lt;0,"Review – Out of Range (Claim Amount)",
  H692&lt;0,"Review – Out of Range (Days to Process)",
  TRUE,"OK"
)</f>
        <v>OK</v>
      </c>
    </row>
    <row r="693" spans="1:9" ht="16.8" x14ac:dyDescent="0.3">
      <c r="A693" s="14" t="s">
        <v>7200</v>
      </c>
      <c r="B693" s="14" t="s">
        <v>3933</v>
      </c>
      <c r="C693" s="15">
        <v>45229</v>
      </c>
      <c r="D693" s="14">
        <v>196452.17</v>
      </c>
      <c r="E693" s="14" t="s">
        <v>6505</v>
      </c>
      <c r="F693" s="14" t="s">
        <v>6516</v>
      </c>
      <c r="G693" s="14" t="s">
        <v>45</v>
      </c>
      <c r="H693" s="14">
        <v>46</v>
      </c>
      <c r="I693" s="13" t="str" cm="1">
        <f t="array" ref="I693">_xlfn.IFS(
  OR(ISBLANK(A693),ISBLANK(B693),ISBLANK(D693),ISBLANK(E693),ISBLANK(H693)),"Missing Value",
  D693&lt;0,"Review – Out of Range (Claim Amount)",
  H693&lt;0,"Review – Out of Range (Days to Process)",
  TRUE,"OK"
)</f>
        <v>OK</v>
      </c>
    </row>
    <row r="694" spans="1:9" ht="16.8" x14ac:dyDescent="0.3">
      <c r="A694" s="11" t="s">
        <v>7201</v>
      </c>
      <c r="B694" s="11" t="s">
        <v>6095</v>
      </c>
      <c r="C694" s="12">
        <v>44725</v>
      </c>
      <c r="D694" s="11">
        <v>168316.47</v>
      </c>
      <c r="E694" s="11" t="s">
        <v>6505</v>
      </c>
      <c r="F694" s="11" t="s">
        <v>6511</v>
      </c>
      <c r="G694" s="11" t="s">
        <v>45</v>
      </c>
      <c r="H694" s="11">
        <v>10</v>
      </c>
      <c r="I694" s="13" t="str" cm="1">
        <f t="array" ref="I694">_xlfn.IFS(
  OR(ISBLANK(A694),ISBLANK(B694),ISBLANK(D694),ISBLANK(E694),ISBLANK(H694)),"Missing Value",
  D694&lt;0,"Review – Out of Range (Claim Amount)",
  H694&lt;0,"Review – Out of Range (Days to Process)",
  TRUE,"OK"
)</f>
        <v>OK</v>
      </c>
    </row>
    <row r="695" spans="1:9" ht="16.8" x14ac:dyDescent="0.3">
      <c r="A695" s="14" t="s">
        <v>7202</v>
      </c>
      <c r="B695" s="14" t="s">
        <v>4583</v>
      </c>
      <c r="C695" s="15">
        <v>45697</v>
      </c>
      <c r="D695" s="14">
        <v>161065.57</v>
      </c>
      <c r="E695" s="14" t="s">
        <v>6502</v>
      </c>
      <c r="F695" s="14" t="s">
        <v>6506</v>
      </c>
      <c r="G695" s="14" t="s">
        <v>46</v>
      </c>
      <c r="H695" s="14">
        <v>38</v>
      </c>
      <c r="I695" s="13" t="str" cm="1">
        <f t="array" ref="I695">_xlfn.IFS(
  OR(ISBLANK(A695),ISBLANK(B695),ISBLANK(D695),ISBLANK(E695),ISBLANK(H695)),"Missing Value",
  D695&lt;0,"Review – Out of Range (Claim Amount)",
  H695&lt;0,"Review – Out of Range (Days to Process)",
  TRUE,"OK"
)</f>
        <v>OK</v>
      </c>
    </row>
    <row r="696" spans="1:9" ht="16.8" x14ac:dyDescent="0.3">
      <c r="A696" s="11" t="s">
        <v>7203</v>
      </c>
      <c r="B696" s="11" t="s">
        <v>6245</v>
      </c>
      <c r="C696" s="12">
        <v>45193</v>
      </c>
      <c r="D696" s="11">
        <v>74811.33</v>
      </c>
      <c r="E696" s="11" t="s">
        <v>6505</v>
      </c>
      <c r="F696" s="11" t="s">
        <v>6509</v>
      </c>
      <c r="G696" s="11" t="s">
        <v>46</v>
      </c>
      <c r="H696" s="11">
        <v>26</v>
      </c>
      <c r="I696" s="13" t="str" cm="1">
        <f t="array" ref="I696">_xlfn.IFS(
  OR(ISBLANK(A696),ISBLANK(B696),ISBLANK(D696),ISBLANK(E696),ISBLANK(H696)),"Missing Value",
  D696&lt;0,"Review – Out of Range (Claim Amount)",
  H696&lt;0,"Review – Out of Range (Days to Process)",
  TRUE,"OK"
)</f>
        <v>OK</v>
      </c>
    </row>
    <row r="697" spans="1:9" ht="16.8" x14ac:dyDescent="0.3">
      <c r="A697" s="14" t="s">
        <v>7204</v>
      </c>
      <c r="B697" s="14" t="s">
        <v>5201</v>
      </c>
      <c r="C697" s="15">
        <v>45468</v>
      </c>
      <c r="D697" s="14">
        <v>496888.54</v>
      </c>
      <c r="E697" s="14" t="s">
        <v>6505</v>
      </c>
      <c r="F697" s="14" t="s">
        <v>6511</v>
      </c>
      <c r="G697" s="14" t="s">
        <v>45</v>
      </c>
      <c r="H697" s="14">
        <v>5</v>
      </c>
      <c r="I697" s="13" t="str" cm="1">
        <f t="array" ref="I697">_xlfn.IFS(
  OR(ISBLANK(A697),ISBLANK(B697),ISBLANK(D697),ISBLANK(E697),ISBLANK(H697)),"Missing Value",
  D697&lt;0,"Review – Out of Range (Claim Amount)",
  H697&lt;0,"Review – Out of Range (Days to Process)",
  TRUE,"OK"
)</f>
        <v>OK</v>
      </c>
    </row>
    <row r="698" spans="1:9" ht="16.8" x14ac:dyDescent="0.3">
      <c r="A698" s="11" t="s">
        <v>7205</v>
      </c>
      <c r="B698" s="11" t="s">
        <v>4361</v>
      </c>
      <c r="C698" s="12">
        <v>44357</v>
      </c>
      <c r="D698" s="11">
        <v>428682.8</v>
      </c>
      <c r="E698" s="11" t="s">
        <v>6502</v>
      </c>
      <c r="F698" s="11" t="s">
        <v>6506</v>
      </c>
      <c r="G698" s="11" t="s">
        <v>45</v>
      </c>
      <c r="H698" s="11">
        <v>40</v>
      </c>
      <c r="I698" s="13" t="str" cm="1">
        <f t="array" ref="I698">_xlfn.IFS(
  OR(ISBLANK(A698),ISBLANK(B698),ISBLANK(D698),ISBLANK(E698),ISBLANK(H698)),"Missing Value",
  D698&lt;0,"Review – Out of Range (Claim Amount)",
  H698&lt;0,"Review – Out of Range (Days to Process)",
  TRUE,"OK"
)</f>
        <v>OK</v>
      </c>
    </row>
    <row r="699" spans="1:9" ht="16.8" x14ac:dyDescent="0.3">
      <c r="A699" s="14" t="s">
        <v>7206</v>
      </c>
      <c r="B699" s="14" t="s">
        <v>5828</v>
      </c>
      <c r="C699" s="15">
        <v>45468</v>
      </c>
      <c r="D699" s="14">
        <v>55085.35</v>
      </c>
      <c r="E699" s="14" t="s">
        <v>6505</v>
      </c>
      <c r="F699" s="14" t="s">
        <v>6503</v>
      </c>
      <c r="G699" s="14" t="s">
        <v>46</v>
      </c>
      <c r="H699" s="14">
        <v>20</v>
      </c>
      <c r="I699" s="13" t="str" cm="1">
        <f t="array" ref="I699">_xlfn.IFS(
  OR(ISBLANK(A699),ISBLANK(B699),ISBLANK(D699),ISBLANK(E699),ISBLANK(H699)),"Missing Value",
  D699&lt;0,"Review – Out of Range (Claim Amount)",
  H699&lt;0,"Review – Out of Range (Days to Process)",
  TRUE,"OK"
)</f>
        <v>OK</v>
      </c>
    </row>
    <row r="700" spans="1:9" ht="16.8" x14ac:dyDescent="0.3">
      <c r="A700" s="11" t="s">
        <v>7207</v>
      </c>
      <c r="B700" s="11" t="s">
        <v>6400</v>
      </c>
      <c r="C700" s="12">
        <v>45550</v>
      </c>
      <c r="D700" s="11">
        <v>354577.05</v>
      </c>
      <c r="E700" s="11" t="s">
        <v>6508</v>
      </c>
      <c r="F700" s="11" t="s">
        <v>6509</v>
      </c>
      <c r="G700" s="11" t="s">
        <v>46</v>
      </c>
      <c r="H700" s="11">
        <v>40</v>
      </c>
      <c r="I700" s="13" t="str" cm="1">
        <f t="array" ref="I700">_xlfn.IFS(
  OR(ISBLANK(A700),ISBLANK(B700),ISBLANK(D700),ISBLANK(E700),ISBLANK(H700)),"Missing Value",
  D700&lt;0,"Review – Out of Range (Claim Amount)",
  H700&lt;0,"Review – Out of Range (Days to Process)",
  TRUE,"OK"
)</f>
        <v>OK</v>
      </c>
    </row>
    <row r="701" spans="1:9" ht="16.8" x14ac:dyDescent="0.3">
      <c r="A701" s="14" t="s">
        <v>7208</v>
      </c>
      <c r="B701" s="14" t="s">
        <v>6317</v>
      </c>
      <c r="C701" s="15">
        <v>44809</v>
      </c>
      <c r="D701" s="14">
        <v>110071</v>
      </c>
      <c r="E701" s="14" t="s">
        <v>6502</v>
      </c>
      <c r="F701" s="14" t="s">
        <v>6506</v>
      </c>
      <c r="G701" s="14" t="s">
        <v>46</v>
      </c>
      <c r="H701" s="14">
        <v>38</v>
      </c>
      <c r="I701" s="13" t="str" cm="1">
        <f t="array" ref="I701">_xlfn.IFS(
  OR(ISBLANK(A701),ISBLANK(B701),ISBLANK(D701),ISBLANK(E701),ISBLANK(H701)),"Missing Value",
  D701&lt;0,"Review – Out of Range (Claim Amount)",
  H701&lt;0,"Review – Out of Range (Days to Process)",
  TRUE,"OK"
)</f>
        <v>OK</v>
      </c>
    </row>
    <row r="702" spans="1:9" ht="16.8" x14ac:dyDescent="0.3">
      <c r="A702" s="11" t="s">
        <v>7209</v>
      </c>
      <c r="B702" s="11" t="s">
        <v>6139</v>
      </c>
      <c r="C702" s="12">
        <v>45233</v>
      </c>
      <c r="D702" s="11">
        <v>185583.35</v>
      </c>
      <c r="E702" s="11" t="s">
        <v>6502</v>
      </c>
      <c r="F702" s="11" t="s">
        <v>6509</v>
      </c>
      <c r="G702" s="11" t="s">
        <v>45</v>
      </c>
      <c r="H702" s="11">
        <v>7</v>
      </c>
      <c r="I702" s="13" t="str" cm="1">
        <f t="array" ref="I702">_xlfn.IFS(
  OR(ISBLANK(A702),ISBLANK(B702),ISBLANK(D702),ISBLANK(E702),ISBLANK(H702)),"Missing Value",
  D702&lt;0,"Review – Out of Range (Claim Amount)",
  H702&lt;0,"Review – Out of Range (Days to Process)",
  TRUE,"OK"
)</f>
        <v>OK</v>
      </c>
    </row>
    <row r="703" spans="1:9" ht="16.8" x14ac:dyDescent="0.3">
      <c r="A703" s="14" t="s">
        <v>7210</v>
      </c>
      <c r="B703" s="14" t="s">
        <v>5631</v>
      </c>
      <c r="C703" s="15">
        <v>45443</v>
      </c>
      <c r="D703" s="14">
        <v>63545.32</v>
      </c>
      <c r="E703" s="14" t="s">
        <v>6505</v>
      </c>
      <c r="F703" s="14" t="s">
        <v>6511</v>
      </c>
      <c r="G703" s="14" t="s">
        <v>45</v>
      </c>
      <c r="H703" s="14">
        <v>15</v>
      </c>
      <c r="I703" s="13" t="str" cm="1">
        <f t="array" ref="I703">_xlfn.IFS(
  OR(ISBLANK(A703),ISBLANK(B703),ISBLANK(D703),ISBLANK(E703),ISBLANK(H703)),"Missing Value",
  D703&lt;0,"Review – Out of Range (Claim Amount)",
  H703&lt;0,"Review – Out of Range (Days to Process)",
  TRUE,"OK"
)</f>
        <v>OK</v>
      </c>
    </row>
    <row r="704" spans="1:9" ht="16.8" x14ac:dyDescent="0.3">
      <c r="A704" s="11" t="s">
        <v>7211</v>
      </c>
      <c r="B704" s="11" t="s">
        <v>5327</v>
      </c>
      <c r="C704" s="12">
        <v>45149</v>
      </c>
      <c r="D704" s="11">
        <v>130159.55</v>
      </c>
      <c r="E704" s="11" t="s">
        <v>6508</v>
      </c>
      <c r="F704" s="11" t="s">
        <v>6506</v>
      </c>
      <c r="G704" s="11" t="s">
        <v>46</v>
      </c>
      <c r="H704" s="11">
        <v>23</v>
      </c>
      <c r="I704" s="13" t="str" cm="1">
        <f t="array" ref="I704">_xlfn.IFS(
  OR(ISBLANK(A704),ISBLANK(B704),ISBLANK(D704),ISBLANK(E704),ISBLANK(H704)),"Missing Value",
  D704&lt;0,"Review – Out of Range (Claim Amount)",
  H704&lt;0,"Review – Out of Range (Days to Process)",
  TRUE,"OK"
)</f>
        <v>OK</v>
      </c>
    </row>
    <row r="705" spans="1:9" ht="16.8" x14ac:dyDescent="0.3">
      <c r="A705" s="14" t="s">
        <v>7212</v>
      </c>
      <c r="B705" s="14" t="s">
        <v>3757</v>
      </c>
      <c r="C705" s="15">
        <v>44420</v>
      </c>
      <c r="D705" s="14">
        <v>393426.65</v>
      </c>
      <c r="E705" s="14" t="s">
        <v>6502</v>
      </c>
      <c r="F705" s="14" t="s">
        <v>6506</v>
      </c>
      <c r="G705" s="14" t="s">
        <v>45</v>
      </c>
      <c r="H705" s="14">
        <v>27</v>
      </c>
      <c r="I705" s="13" t="str" cm="1">
        <f t="array" ref="I705">_xlfn.IFS(
  OR(ISBLANK(A705),ISBLANK(B705),ISBLANK(D705),ISBLANK(E705),ISBLANK(H705)),"Missing Value",
  D705&lt;0,"Review – Out of Range (Claim Amount)",
  H705&lt;0,"Review – Out of Range (Days to Process)",
  TRUE,"OK"
)</f>
        <v>OK</v>
      </c>
    </row>
    <row r="706" spans="1:9" ht="16.8" x14ac:dyDescent="0.3">
      <c r="A706" s="11" t="s">
        <v>7213</v>
      </c>
      <c r="B706" s="11" t="s">
        <v>5532</v>
      </c>
      <c r="C706" s="12">
        <v>45482</v>
      </c>
      <c r="D706" s="11">
        <v>436400.05</v>
      </c>
      <c r="E706" s="11" t="s">
        <v>6502</v>
      </c>
      <c r="F706" s="11" t="s">
        <v>6506</v>
      </c>
      <c r="G706" s="11" t="s">
        <v>46</v>
      </c>
      <c r="H706" s="11">
        <v>32</v>
      </c>
      <c r="I706" s="13" t="str" cm="1">
        <f t="array" ref="I706">_xlfn.IFS(
  OR(ISBLANK(A706),ISBLANK(B706),ISBLANK(D706),ISBLANK(E706),ISBLANK(H706)),"Missing Value",
  D706&lt;0,"Review – Out of Range (Claim Amount)",
  H706&lt;0,"Review – Out of Range (Days to Process)",
  TRUE,"OK"
)</f>
        <v>OK</v>
      </c>
    </row>
    <row r="707" spans="1:9" ht="16.8" x14ac:dyDescent="0.3">
      <c r="A707" s="14" t="s">
        <v>7214</v>
      </c>
      <c r="B707" s="14" t="s">
        <v>4970</v>
      </c>
      <c r="C707" s="15">
        <v>45131</v>
      </c>
      <c r="D707" s="14">
        <v>401019.4</v>
      </c>
      <c r="E707" s="14" t="s">
        <v>6508</v>
      </c>
      <c r="F707" s="14" t="s">
        <v>6503</v>
      </c>
      <c r="G707" s="14" t="s">
        <v>45</v>
      </c>
      <c r="H707" s="14">
        <v>58</v>
      </c>
      <c r="I707" s="13" t="str" cm="1">
        <f t="array" ref="I707">_xlfn.IFS(
  OR(ISBLANK(A707),ISBLANK(B707),ISBLANK(D707),ISBLANK(E707),ISBLANK(H707)),"Missing Value",
  D707&lt;0,"Review – Out of Range (Claim Amount)",
  H707&lt;0,"Review – Out of Range (Days to Process)",
  TRUE,"OK"
)</f>
        <v>OK</v>
      </c>
    </row>
    <row r="708" spans="1:9" ht="16.8" x14ac:dyDescent="0.3">
      <c r="A708" s="11" t="s">
        <v>7215</v>
      </c>
      <c r="B708" s="11" t="s">
        <v>5283</v>
      </c>
      <c r="C708" s="12">
        <v>45441</v>
      </c>
      <c r="D708" s="11">
        <v>77953.06</v>
      </c>
      <c r="E708" s="11" t="s">
        <v>6505</v>
      </c>
      <c r="F708" s="11" t="s">
        <v>6509</v>
      </c>
      <c r="G708" s="11" t="s">
        <v>45</v>
      </c>
      <c r="H708" s="11">
        <v>44</v>
      </c>
      <c r="I708" s="13" t="str" cm="1">
        <f t="array" ref="I708">_xlfn.IFS(
  OR(ISBLANK(A708),ISBLANK(B708),ISBLANK(D708),ISBLANK(E708),ISBLANK(H708)),"Missing Value",
  D708&lt;0,"Review – Out of Range (Claim Amount)",
  H708&lt;0,"Review – Out of Range (Days to Process)",
  TRUE,"OK"
)</f>
        <v>OK</v>
      </c>
    </row>
    <row r="709" spans="1:9" ht="16.8" x14ac:dyDescent="0.3">
      <c r="A709" s="14" t="s">
        <v>7216</v>
      </c>
      <c r="B709" s="14" t="s">
        <v>5232</v>
      </c>
      <c r="C709" s="15">
        <v>45494</v>
      </c>
      <c r="D709" s="14">
        <v>305904.31</v>
      </c>
      <c r="E709" s="14" t="s">
        <v>6505</v>
      </c>
      <c r="F709" s="14" t="s">
        <v>6503</v>
      </c>
      <c r="G709" s="14" t="s">
        <v>46</v>
      </c>
      <c r="H709" s="14">
        <v>17</v>
      </c>
      <c r="I709" s="13" t="str" cm="1">
        <f t="array" ref="I709">_xlfn.IFS(
  OR(ISBLANK(A709),ISBLANK(B709),ISBLANK(D709),ISBLANK(E709),ISBLANK(H709)),"Missing Value",
  D709&lt;0,"Review – Out of Range (Claim Amount)",
  H709&lt;0,"Review – Out of Range (Days to Process)",
  TRUE,"OK"
)</f>
        <v>OK</v>
      </c>
    </row>
    <row r="710" spans="1:9" ht="16.8" x14ac:dyDescent="0.3">
      <c r="A710" s="11" t="s">
        <v>7217</v>
      </c>
      <c r="B710" s="11" t="s">
        <v>6406</v>
      </c>
      <c r="C710" s="12">
        <v>45177</v>
      </c>
      <c r="D710" s="11">
        <v>44898.27</v>
      </c>
      <c r="E710" s="11" t="s">
        <v>6508</v>
      </c>
      <c r="F710" s="11" t="s">
        <v>6511</v>
      </c>
      <c r="G710" s="11" t="s">
        <v>46</v>
      </c>
      <c r="H710" s="11">
        <v>31</v>
      </c>
      <c r="I710" s="13" t="str" cm="1">
        <f t="array" ref="I710">_xlfn.IFS(
  OR(ISBLANK(A710),ISBLANK(B710),ISBLANK(D710),ISBLANK(E710),ISBLANK(H710)),"Missing Value",
  D710&lt;0,"Review – Out of Range (Claim Amount)",
  H710&lt;0,"Review – Out of Range (Days to Process)",
  TRUE,"OK"
)</f>
        <v>OK</v>
      </c>
    </row>
    <row r="711" spans="1:9" ht="16.8" x14ac:dyDescent="0.3">
      <c r="A711" s="14" t="s">
        <v>7218</v>
      </c>
      <c r="B711" s="14" t="s">
        <v>4809</v>
      </c>
      <c r="C711" s="15">
        <v>44905</v>
      </c>
      <c r="D711" s="14">
        <v>366115.79</v>
      </c>
      <c r="E711" s="14" t="s">
        <v>6508</v>
      </c>
      <c r="F711" s="14" t="s">
        <v>6506</v>
      </c>
      <c r="G711" s="14" t="s">
        <v>46</v>
      </c>
      <c r="H711" s="14">
        <v>11</v>
      </c>
      <c r="I711" s="13" t="str" cm="1">
        <f t="array" ref="I711">_xlfn.IFS(
  OR(ISBLANK(A711),ISBLANK(B711),ISBLANK(D711),ISBLANK(E711),ISBLANK(H711)),"Missing Value",
  D711&lt;0,"Review – Out of Range (Claim Amount)",
  H711&lt;0,"Review – Out of Range (Days to Process)",
  TRUE,"OK"
)</f>
        <v>OK</v>
      </c>
    </row>
    <row r="712" spans="1:9" ht="16.8" x14ac:dyDescent="0.3">
      <c r="A712" s="11" t="s">
        <v>7219</v>
      </c>
      <c r="B712" s="11" t="s">
        <v>4228</v>
      </c>
      <c r="C712" s="12">
        <v>45278</v>
      </c>
      <c r="D712" s="11">
        <v>132163.89000000001</v>
      </c>
      <c r="E712" s="11" t="s">
        <v>6502</v>
      </c>
      <c r="F712" s="11" t="s">
        <v>6511</v>
      </c>
      <c r="G712" s="11" t="s">
        <v>45</v>
      </c>
      <c r="H712" s="11">
        <v>50</v>
      </c>
      <c r="I712" s="13" t="str" cm="1">
        <f t="array" ref="I712">_xlfn.IFS(
  OR(ISBLANK(A712),ISBLANK(B712),ISBLANK(D712),ISBLANK(E712),ISBLANK(H712)),"Missing Value",
  D712&lt;0,"Review – Out of Range (Claim Amount)",
  H712&lt;0,"Review – Out of Range (Days to Process)",
  TRUE,"OK"
)</f>
        <v>OK</v>
      </c>
    </row>
    <row r="713" spans="1:9" ht="16.8" x14ac:dyDescent="0.3">
      <c r="A713" s="14" t="s">
        <v>7220</v>
      </c>
      <c r="B713" s="14" t="s">
        <v>5543</v>
      </c>
      <c r="C713" s="15">
        <v>45400</v>
      </c>
      <c r="D713" s="14">
        <v>469207.73</v>
      </c>
      <c r="E713" s="14" t="s">
        <v>6505</v>
      </c>
      <c r="F713" s="14" t="s">
        <v>6509</v>
      </c>
      <c r="G713" s="14" t="s">
        <v>45</v>
      </c>
      <c r="H713" s="14">
        <v>26</v>
      </c>
      <c r="I713" s="13" t="str" cm="1">
        <f t="array" ref="I713">_xlfn.IFS(
  OR(ISBLANK(A713),ISBLANK(B713),ISBLANK(D713),ISBLANK(E713),ISBLANK(H713)),"Missing Value",
  D713&lt;0,"Review – Out of Range (Claim Amount)",
  H713&lt;0,"Review – Out of Range (Days to Process)",
  TRUE,"OK"
)</f>
        <v>OK</v>
      </c>
    </row>
    <row r="714" spans="1:9" ht="16.8" x14ac:dyDescent="0.3">
      <c r="A714" s="11" t="s">
        <v>7221</v>
      </c>
      <c r="B714" s="11" t="s">
        <v>5194</v>
      </c>
      <c r="C714" s="12">
        <v>45065</v>
      </c>
      <c r="D714" s="11">
        <v>36317.19</v>
      </c>
      <c r="E714" s="11" t="s">
        <v>6505</v>
      </c>
      <c r="F714" s="11" t="s">
        <v>6503</v>
      </c>
      <c r="G714" s="11" t="s">
        <v>45</v>
      </c>
      <c r="H714" s="11">
        <v>4</v>
      </c>
      <c r="I714" s="13" t="str" cm="1">
        <f t="array" ref="I714">_xlfn.IFS(
  OR(ISBLANK(A714),ISBLANK(B714),ISBLANK(D714),ISBLANK(E714),ISBLANK(H714)),"Missing Value",
  D714&lt;0,"Review – Out of Range (Claim Amount)",
  H714&lt;0,"Review – Out of Range (Days to Process)",
  TRUE,"OK"
)</f>
        <v>OK</v>
      </c>
    </row>
    <row r="715" spans="1:9" ht="16.8" x14ac:dyDescent="0.3">
      <c r="A715" s="14" t="s">
        <v>7222</v>
      </c>
      <c r="B715" s="14" t="s">
        <v>4145</v>
      </c>
      <c r="C715" s="15">
        <v>44603</v>
      </c>
      <c r="D715" s="14">
        <v>425547.97</v>
      </c>
      <c r="E715" s="14" t="s">
        <v>6508</v>
      </c>
      <c r="F715" s="14" t="s">
        <v>6511</v>
      </c>
      <c r="G715" s="14" t="s">
        <v>45</v>
      </c>
      <c r="H715" s="14">
        <v>27</v>
      </c>
      <c r="I715" s="13" t="str" cm="1">
        <f t="array" ref="I715">_xlfn.IFS(
  OR(ISBLANK(A715),ISBLANK(B715),ISBLANK(D715),ISBLANK(E715),ISBLANK(H715)),"Missing Value",
  D715&lt;0,"Review – Out of Range (Claim Amount)",
  H715&lt;0,"Review – Out of Range (Days to Process)",
  TRUE,"OK"
)</f>
        <v>OK</v>
      </c>
    </row>
    <row r="716" spans="1:9" ht="16.8" x14ac:dyDescent="0.3">
      <c r="A716" s="11" t="s">
        <v>7223</v>
      </c>
      <c r="B716" s="11" t="s">
        <v>4616</v>
      </c>
      <c r="C716" s="12">
        <v>45437</v>
      </c>
      <c r="D716" s="11">
        <v>406589.38</v>
      </c>
      <c r="E716" s="11" t="s">
        <v>6508</v>
      </c>
      <c r="F716" s="11" t="s">
        <v>6509</v>
      </c>
      <c r="G716" s="11" t="s">
        <v>45</v>
      </c>
      <c r="H716" s="11">
        <v>2</v>
      </c>
      <c r="I716" s="13" t="str" cm="1">
        <f t="array" ref="I716">_xlfn.IFS(
  OR(ISBLANK(A716),ISBLANK(B716),ISBLANK(D716),ISBLANK(E716),ISBLANK(H716)),"Missing Value",
  D716&lt;0,"Review – Out of Range (Claim Amount)",
  H716&lt;0,"Review – Out of Range (Days to Process)",
  TRUE,"OK"
)</f>
        <v>OK</v>
      </c>
    </row>
    <row r="717" spans="1:9" ht="16.8" x14ac:dyDescent="0.3">
      <c r="A717" s="14" t="s">
        <v>7224</v>
      </c>
      <c r="B717" s="14" t="s">
        <v>5726</v>
      </c>
      <c r="C717" s="15">
        <v>45331</v>
      </c>
      <c r="D717" s="14">
        <v>440196.76</v>
      </c>
      <c r="E717" s="14" t="s">
        <v>6505</v>
      </c>
      <c r="F717" s="14" t="s">
        <v>6506</v>
      </c>
      <c r="G717" s="14" t="s">
        <v>46</v>
      </c>
      <c r="H717" s="14">
        <v>14</v>
      </c>
      <c r="I717" s="13" t="str" cm="1">
        <f t="array" ref="I717">_xlfn.IFS(
  OR(ISBLANK(A717),ISBLANK(B717),ISBLANK(D717),ISBLANK(E717),ISBLANK(H717)),"Missing Value",
  D717&lt;0,"Review – Out of Range (Claim Amount)",
  H717&lt;0,"Review – Out of Range (Days to Process)",
  TRUE,"OK"
)</f>
        <v>OK</v>
      </c>
    </row>
    <row r="718" spans="1:9" ht="16.8" x14ac:dyDescent="0.3">
      <c r="A718" s="11" t="s">
        <v>7225</v>
      </c>
      <c r="B718" s="11" t="s">
        <v>5009</v>
      </c>
      <c r="C718" s="12">
        <v>45382</v>
      </c>
      <c r="D718" s="11">
        <v>147562.70000000001</v>
      </c>
      <c r="E718" s="11" t="s">
        <v>6505</v>
      </c>
      <c r="F718" s="11" t="s">
        <v>6506</v>
      </c>
      <c r="G718" s="11" t="s">
        <v>46</v>
      </c>
      <c r="H718" s="11">
        <v>51</v>
      </c>
      <c r="I718" s="13" t="str" cm="1">
        <f t="array" ref="I718">_xlfn.IFS(
  OR(ISBLANK(A718),ISBLANK(B718),ISBLANK(D718),ISBLANK(E718),ISBLANK(H718)),"Missing Value",
  D718&lt;0,"Review – Out of Range (Claim Amount)",
  H718&lt;0,"Review – Out of Range (Days to Process)",
  TRUE,"OK"
)</f>
        <v>OK</v>
      </c>
    </row>
    <row r="719" spans="1:9" ht="16.8" x14ac:dyDescent="0.3">
      <c r="A719" s="14" t="s">
        <v>7226</v>
      </c>
      <c r="B719" s="14" t="s">
        <v>5310</v>
      </c>
      <c r="C719" s="15">
        <v>44820</v>
      </c>
      <c r="D719" s="14">
        <v>450430.04</v>
      </c>
      <c r="E719" s="14" t="s">
        <v>6508</v>
      </c>
      <c r="F719" s="14" t="s">
        <v>6503</v>
      </c>
      <c r="G719" s="14" t="s">
        <v>45</v>
      </c>
      <c r="H719" s="14">
        <v>58</v>
      </c>
      <c r="I719" s="13" t="str" cm="1">
        <f t="array" ref="I719">_xlfn.IFS(
  OR(ISBLANK(A719),ISBLANK(B719),ISBLANK(D719),ISBLANK(E719),ISBLANK(H719)),"Missing Value",
  D719&lt;0,"Review – Out of Range (Claim Amount)",
  H719&lt;0,"Review – Out of Range (Days to Process)",
  TRUE,"OK"
)</f>
        <v>OK</v>
      </c>
    </row>
    <row r="720" spans="1:9" ht="16.8" x14ac:dyDescent="0.3">
      <c r="A720" s="11" t="s">
        <v>7227</v>
      </c>
      <c r="B720" s="11" t="s">
        <v>6199</v>
      </c>
      <c r="C720" s="12">
        <v>45228</v>
      </c>
      <c r="D720" s="11">
        <v>29090.22</v>
      </c>
      <c r="E720" s="11" t="s">
        <v>6508</v>
      </c>
      <c r="F720" s="11" t="s">
        <v>6503</v>
      </c>
      <c r="G720" s="11" t="s">
        <v>45</v>
      </c>
      <c r="H720" s="11">
        <v>54</v>
      </c>
      <c r="I720" s="13" t="str" cm="1">
        <f t="array" ref="I720">_xlfn.IFS(
  OR(ISBLANK(A720),ISBLANK(B720),ISBLANK(D720),ISBLANK(E720),ISBLANK(H720)),"Missing Value",
  D720&lt;0,"Review – Out of Range (Claim Amount)",
  H720&lt;0,"Review – Out of Range (Days to Process)",
  TRUE,"OK"
)</f>
        <v>OK</v>
      </c>
    </row>
    <row r="721" spans="1:9" ht="16.8" x14ac:dyDescent="0.3">
      <c r="A721" s="14" t="s">
        <v>7228</v>
      </c>
      <c r="B721" s="14" t="s">
        <v>6257</v>
      </c>
      <c r="C721" s="15">
        <v>44997</v>
      </c>
      <c r="D721" s="14">
        <v>217369.4</v>
      </c>
      <c r="E721" s="14" t="s">
        <v>6508</v>
      </c>
      <c r="F721" s="14" t="s">
        <v>6516</v>
      </c>
      <c r="G721" s="14" t="s">
        <v>46</v>
      </c>
      <c r="H721" s="14">
        <v>27</v>
      </c>
      <c r="I721" s="13" t="str" cm="1">
        <f t="array" ref="I721">_xlfn.IFS(
  OR(ISBLANK(A721),ISBLANK(B721),ISBLANK(D721),ISBLANK(E721),ISBLANK(H721)),"Missing Value",
  D721&lt;0,"Review – Out of Range (Claim Amount)",
  H721&lt;0,"Review – Out of Range (Days to Process)",
  TRUE,"OK"
)</f>
        <v>OK</v>
      </c>
    </row>
    <row r="722" spans="1:9" ht="16.8" x14ac:dyDescent="0.3">
      <c r="A722" s="11" t="s">
        <v>7229</v>
      </c>
      <c r="B722" s="11" t="s">
        <v>4957</v>
      </c>
      <c r="C722" s="12">
        <v>45300</v>
      </c>
      <c r="D722" s="11">
        <v>262048.94</v>
      </c>
      <c r="E722" s="11" t="s">
        <v>6508</v>
      </c>
      <c r="F722" s="11" t="s">
        <v>6511</v>
      </c>
      <c r="G722" s="11" t="s">
        <v>46</v>
      </c>
      <c r="H722" s="11">
        <v>20</v>
      </c>
      <c r="I722" s="13" t="str" cm="1">
        <f t="array" ref="I722">_xlfn.IFS(
  OR(ISBLANK(A722),ISBLANK(B722),ISBLANK(D722),ISBLANK(E722),ISBLANK(H722)),"Missing Value",
  D722&lt;0,"Review – Out of Range (Claim Amount)",
  H722&lt;0,"Review – Out of Range (Days to Process)",
  TRUE,"OK"
)</f>
        <v>OK</v>
      </c>
    </row>
    <row r="723" spans="1:9" ht="16.8" x14ac:dyDescent="0.3">
      <c r="A723" s="14" t="s">
        <v>7230</v>
      </c>
      <c r="B723" s="14" t="s">
        <v>6301</v>
      </c>
      <c r="C723" s="15">
        <v>45432</v>
      </c>
      <c r="D723" s="14">
        <v>348694.52</v>
      </c>
      <c r="E723" s="14" t="s">
        <v>6505</v>
      </c>
      <c r="F723" s="14" t="s">
        <v>6506</v>
      </c>
      <c r="G723" s="14" t="s">
        <v>45</v>
      </c>
      <c r="H723" s="14">
        <v>58</v>
      </c>
      <c r="I723" s="13" t="str" cm="1">
        <f t="array" ref="I723">_xlfn.IFS(
  OR(ISBLANK(A723),ISBLANK(B723),ISBLANK(D723),ISBLANK(E723),ISBLANK(H723)),"Missing Value",
  D723&lt;0,"Review – Out of Range (Claim Amount)",
  H723&lt;0,"Review – Out of Range (Days to Process)",
  TRUE,"OK"
)</f>
        <v>OK</v>
      </c>
    </row>
    <row r="724" spans="1:9" ht="16.8" x14ac:dyDescent="0.3">
      <c r="A724" s="11" t="s">
        <v>7231</v>
      </c>
      <c r="B724" s="11" t="s">
        <v>4582</v>
      </c>
      <c r="C724" s="12">
        <v>44251</v>
      </c>
      <c r="D724" s="11">
        <v>205448.64</v>
      </c>
      <c r="E724" s="11" t="s">
        <v>6502</v>
      </c>
      <c r="F724" s="11" t="s">
        <v>6509</v>
      </c>
      <c r="G724" s="11" t="s">
        <v>46</v>
      </c>
      <c r="H724" s="11">
        <v>48</v>
      </c>
      <c r="I724" s="13" t="str" cm="1">
        <f t="array" ref="I724">_xlfn.IFS(
  OR(ISBLANK(A724),ISBLANK(B724),ISBLANK(D724),ISBLANK(E724),ISBLANK(H724)),"Missing Value",
  D724&lt;0,"Review – Out of Range (Claim Amount)",
  H724&lt;0,"Review – Out of Range (Days to Process)",
  TRUE,"OK"
)</f>
        <v>OK</v>
      </c>
    </row>
    <row r="725" spans="1:9" ht="16.8" x14ac:dyDescent="0.3">
      <c r="A725" s="14" t="s">
        <v>7232</v>
      </c>
      <c r="B725" s="14" t="s">
        <v>3930</v>
      </c>
      <c r="C725" s="15">
        <v>45046</v>
      </c>
      <c r="D725" s="14">
        <v>348898.4</v>
      </c>
      <c r="E725" s="14" t="s">
        <v>6505</v>
      </c>
      <c r="F725" s="14" t="s">
        <v>6516</v>
      </c>
      <c r="G725" s="14" t="s">
        <v>46</v>
      </c>
      <c r="H725" s="14">
        <v>36</v>
      </c>
      <c r="I725" s="13" t="str" cm="1">
        <f t="array" ref="I725">_xlfn.IFS(
  OR(ISBLANK(A725),ISBLANK(B725),ISBLANK(D725),ISBLANK(E725),ISBLANK(H725)),"Missing Value",
  D725&lt;0,"Review – Out of Range (Claim Amount)",
  H725&lt;0,"Review – Out of Range (Days to Process)",
  TRUE,"OK"
)</f>
        <v>OK</v>
      </c>
    </row>
    <row r="726" spans="1:9" ht="16.8" x14ac:dyDescent="0.3">
      <c r="A726" s="11" t="s">
        <v>7233</v>
      </c>
      <c r="B726" s="11" t="s">
        <v>3952</v>
      </c>
      <c r="C726" s="12">
        <v>45555</v>
      </c>
      <c r="D726" s="11">
        <v>399628.02</v>
      </c>
      <c r="E726" s="11" t="s">
        <v>6502</v>
      </c>
      <c r="F726" s="11" t="s">
        <v>6516</v>
      </c>
      <c r="G726" s="11" t="s">
        <v>45</v>
      </c>
      <c r="H726" s="11">
        <v>9</v>
      </c>
      <c r="I726" s="13" t="str" cm="1">
        <f t="array" ref="I726">_xlfn.IFS(
  OR(ISBLANK(A726),ISBLANK(B726),ISBLANK(D726),ISBLANK(E726),ISBLANK(H726)),"Missing Value",
  D726&lt;0,"Review – Out of Range (Claim Amount)",
  H726&lt;0,"Review – Out of Range (Days to Process)",
  TRUE,"OK"
)</f>
        <v>OK</v>
      </c>
    </row>
    <row r="727" spans="1:9" ht="16.8" x14ac:dyDescent="0.3">
      <c r="A727" s="14" t="s">
        <v>7234</v>
      </c>
      <c r="B727" s="14" t="s">
        <v>6250</v>
      </c>
      <c r="C727" s="15">
        <v>45152</v>
      </c>
      <c r="D727" s="14">
        <v>494378.45</v>
      </c>
      <c r="E727" s="14" t="s">
        <v>6505</v>
      </c>
      <c r="F727" s="14" t="s">
        <v>6506</v>
      </c>
      <c r="G727" s="14" t="s">
        <v>45</v>
      </c>
      <c r="H727" s="14">
        <v>37</v>
      </c>
      <c r="I727" s="13" t="str" cm="1">
        <f t="array" ref="I727">_xlfn.IFS(
  OR(ISBLANK(A727),ISBLANK(B727),ISBLANK(D727),ISBLANK(E727),ISBLANK(H727)),"Missing Value",
  D727&lt;0,"Review – Out of Range (Claim Amount)",
  H727&lt;0,"Review – Out of Range (Days to Process)",
  TRUE,"OK"
)</f>
        <v>OK</v>
      </c>
    </row>
    <row r="728" spans="1:9" ht="16.8" x14ac:dyDescent="0.3">
      <c r="A728" s="11" t="s">
        <v>7235</v>
      </c>
      <c r="B728" s="11" t="s">
        <v>4570</v>
      </c>
      <c r="C728" s="12">
        <v>45245</v>
      </c>
      <c r="D728" s="11">
        <v>193760.12</v>
      </c>
      <c r="E728" s="11" t="s">
        <v>6508</v>
      </c>
      <c r="F728" s="11" t="s">
        <v>6506</v>
      </c>
      <c r="G728" s="11" t="s">
        <v>45</v>
      </c>
      <c r="H728" s="11">
        <v>41</v>
      </c>
      <c r="I728" s="13" t="str" cm="1">
        <f t="array" ref="I728">_xlfn.IFS(
  OR(ISBLANK(A728),ISBLANK(B728),ISBLANK(D728),ISBLANK(E728),ISBLANK(H728)),"Missing Value",
  D728&lt;0,"Review – Out of Range (Claim Amount)",
  H728&lt;0,"Review – Out of Range (Days to Process)",
  TRUE,"OK"
)</f>
        <v>OK</v>
      </c>
    </row>
    <row r="729" spans="1:9" ht="16.8" x14ac:dyDescent="0.3">
      <c r="A729" s="14" t="s">
        <v>7236</v>
      </c>
      <c r="B729" s="14" t="s">
        <v>5096</v>
      </c>
      <c r="C729" s="15">
        <v>45258</v>
      </c>
      <c r="D729" s="14">
        <v>423858.32</v>
      </c>
      <c r="E729" s="14" t="s">
        <v>6505</v>
      </c>
      <c r="F729" s="14" t="s">
        <v>6511</v>
      </c>
      <c r="G729" s="14" t="s">
        <v>45</v>
      </c>
      <c r="H729" s="14">
        <v>31</v>
      </c>
      <c r="I729" s="13" t="str" cm="1">
        <f t="array" ref="I729">_xlfn.IFS(
  OR(ISBLANK(A729),ISBLANK(B729),ISBLANK(D729),ISBLANK(E729),ISBLANK(H729)),"Missing Value",
  D729&lt;0,"Review – Out of Range (Claim Amount)",
  H729&lt;0,"Review – Out of Range (Days to Process)",
  TRUE,"OK"
)</f>
        <v>OK</v>
      </c>
    </row>
    <row r="730" spans="1:9" ht="16.8" x14ac:dyDescent="0.3">
      <c r="A730" s="11" t="s">
        <v>7237</v>
      </c>
      <c r="B730" s="11" t="s">
        <v>4599</v>
      </c>
      <c r="C730" s="12">
        <v>45202</v>
      </c>
      <c r="D730" s="11">
        <v>99421.82</v>
      </c>
      <c r="E730" s="11" t="s">
        <v>6508</v>
      </c>
      <c r="F730" s="11" t="s">
        <v>6503</v>
      </c>
      <c r="G730" s="11" t="s">
        <v>45</v>
      </c>
      <c r="H730" s="11">
        <v>35</v>
      </c>
      <c r="I730" s="13" t="str" cm="1">
        <f t="array" ref="I730">_xlfn.IFS(
  OR(ISBLANK(A730),ISBLANK(B730),ISBLANK(D730),ISBLANK(E730),ISBLANK(H730)),"Missing Value",
  D730&lt;0,"Review – Out of Range (Claim Amount)",
  H730&lt;0,"Review – Out of Range (Days to Process)",
  TRUE,"OK"
)</f>
        <v>OK</v>
      </c>
    </row>
    <row r="731" spans="1:9" ht="16.8" x14ac:dyDescent="0.3">
      <c r="A731" s="14" t="s">
        <v>7238</v>
      </c>
      <c r="B731" s="14" t="s">
        <v>5825</v>
      </c>
      <c r="C731" s="15">
        <v>45647</v>
      </c>
      <c r="D731" s="14">
        <v>110173.94</v>
      </c>
      <c r="E731" s="14" t="s">
        <v>6502</v>
      </c>
      <c r="F731" s="14" t="s">
        <v>6511</v>
      </c>
      <c r="G731" s="14" t="s">
        <v>46</v>
      </c>
      <c r="H731" s="14">
        <v>20</v>
      </c>
      <c r="I731" s="13" t="str" cm="1">
        <f t="array" ref="I731">_xlfn.IFS(
  OR(ISBLANK(A731),ISBLANK(B731),ISBLANK(D731),ISBLANK(E731),ISBLANK(H731)),"Missing Value",
  D731&lt;0,"Review – Out of Range (Claim Amount)",
  H731&lt;0,"Review – Out of Range (Days to Process)",
  TRUE,"OK"
)</f>
        <v>OK</v>
      </c>
    </row>
    <row r="732" spans="1:9" ht="16.8" x14ac:dyDescent="0.3">
      <c r="A732" s="11" t="s">
        <v>7239</v>
      </c>
      <c r="B732" s="11" t="s">
        <v>3927</v>
      </c>
      <c r="C732" s="12">
        <v>45502</v>
      </c>
      <c r="D732" s="11">
        <v>130474.61</v>
      </c>
      <c r="E732" s="11" t="s">
        <v>6508</v>
      </c>
      <c r="F732" s="11" t="s">
        <v>6503</v>
      </c>
      <c r="G732" s="11" t="s">
        <v>45</v>
      </c>
      <c r="H732" s="11">
        <v>13</v>
      </c>
      <c r="I732" s="13" t="str" cm="1">
        <f t="array" ref="I732">_xlfn.IFS(
  OR(ISBLANK(A732),ISBLANK(B732),ISBLANK(D732),ISBLANK(E732),ISBLANK(H732)),"Missing Value",
  D732&lt;0,"Review – Out of Range (Claim Amount)",
  H732&lt;0,"Review – Out of Range (Days to Process)",
  TRUE,"OK"
)</f>
        <v>OK</v>
      </c>
    </row>
    <row r="733" spans="1:9" ht="16.8" x14ac:dyDescent="0.3">
      <c r="A733" s="14" t="s">
        <v>7240</v>
      </c>
      <c r="B733" s="14" t="s">
        <v>4483</v>
      </c>
      <c r="C733" s="15">
        <v>45362</v>
      </c>
      <c r="D733" s="14">
        <v>65742.63</v>
      </c>
      <c r="E733" s="14" t="s">
        <v>6505</v>
      </c>
      <c r="F733" s="14" t="s">
        <v>6509</v>
      </c>
      <c r="G733" s="14" t="s">
        <v>46</v>
      </c>
      <c r="H733" s="14">
        <v>11</v>
      </c>
      <c r="I733" s="13" t="str" cm="1">
        <f t="array" ref="I733">_xlfn.IFS(
  OR(ISBLANK(A733),ISBLANK(B733),ISBLANK(D733),ISBLANK(E733),ISBLANK(H733)),"Missing Value",
  D733&lt;0,"Review – Out of Range (Claim Amount)",
  H733&lt;0,"Review – Out of Range (Days to Process)",
  TRUE,"OK"
)</f>
        <v>OK</v>
      </c>
    </row>
    <row r="734" spans="1:9" ht="16.8" x14ac:dyDescent="0.3">
      <c r="A734" s="11" t="s">
        <v>7241</v>
      </c>
      <c r="B734" s="11" t="s">
        <v>4382</v>
      </c>
      <c r="C734" s="12">
        <v>45473</v>
      </c>
      <c r="D734" s="11">
        <v>413832.5</v>
      </c>
      <c r="E734" s="11" t="s">
        <v>6502</v>
      </c>
      <c r="F734" s="11" t="s">
        <v>6516</v>
      </c>
      <c r="G734" s="11" t="s">
        <v>46</v>
      </c>
      <c r="H734" s="11">
        <v>11</v>
      </c>
      <c r="I734" s="13" t="str" cm="1">
        <f t="array" ref="I734">_xlfn.IFS(
  OR(ISBLANK(A734),ISBLANK(B734),ISBLANK(D734),ISBLANK(E734),ISBLANK(H734)),"Missing Value",
  D734&lt;0,"Review – Out of Range (Claim Amount)",
  H734&lt;0,"Review – Out of Range (Days to Process)",
  TRUE,"OK"
)</f>
        <v>OK</v>
      </c>
    </row>
    <row r="735" spans="1:9" ht="16.8" x14ac:dyDescent="0.3">
      <c r="A735" s="14" t="s">
        <v>7242</v>
      </c>
      <c r="B735" s="14" t="s">
        <v>5684</v>
      </c>
      <c r="C735" s="15">
        <v>45371</v>
      </c>
      <c r="D735" s="14">
        <v>153248.57</v>
      </c>
      <c r="E735" s="14" t="s">
        <v>6502</v>
      </c>
      <c r="F735" s="14" t="s">
        <v>6511</v>
      </c>
      <c r="G735" s="14" t="s">
        <v>45</v>
      </c>
      <c r="H735" s="14">
        <v>4</v>
      </c>
      <c r="I735" s="13" t="str" cm="1">
        <f t="array" ref="I735">_xlfn.IFS(
  OR(ISBLANK(A735),ISBLANK(B735),ISBLANK(D735),ISBLANK(E735),ISBLANK(H735)),"Missing Value",
  D735&lt;0,"Review – Out of Range (Claim Amount)",
  H735&lt;0,"Review – Out of Range (Days to Process)",
  TRUE,"OK"
)</f>
        <v>OK</v>
      </c>
    </row>
    <row r="736" spans="1:9" ht="16.8" x14ac:dyDescent="0.3">
      <c r="A736" s="11" t="s">
        <v>7243</v>
      </c>
      <c r="B736" s="11" t="s">
        <v>5997</v>
      </c>
      <c r="C736" s="12">
        <v>44742</v>
      </c>
      <c r="D736" s="11">
        <v>481864.13</v>
      </c>
      <c r="E736" s="11" t="s">
        <v>6502</v>
      </c>
      <c r="F736" s="11" t="s">
        <v>6503</v>
      </c>
      <c r="G736" s="11" t="s">
        <v>45</v>
      </c>
      <c r="H736" s="11">
        <v>7</v>
      </c>
      <c r="I736" s="13" t="str" cm="1">
        <f t="array" ref="I736">_xlfn.IFS(
  OR(ISBLANK(A736),ISBLANK(B736),ISBLANK(D736),ISBLANK(E736),ISBLANK(H736)),"Missing Value",
  D736&lt;0,"Review – Out of Range (Claim Amount)",
  H736&lt;0,"Review – Out of Range (Days to Process)",
  TRUE,"OK"
)</f>
        <v>OK</v>
      </c>
    </row>
    <row r="737" spans="1:9" ht="16.8" x14ac:dyDescent="0.3">
      <c r="A737" s="14" t="s">
        <v>7244</v>
      </c>
      <c r="B737" s="14" t="s">
        <v>5737</v>
      </c>
      <c r="C737" s="15">
        <v>44941</v>
      </c>
      <c r="D737" s="14">
        <v>469357.59</v>
      </c>
      <c r="E737" s="14" t="s">
        <v>6502</v>
      </c>
      <c r="F737" s="14" t="s">
        <v>6503</v>
      </c>
      <c r="G737" s="14" t="s">
        <v>45</v>
      </c>
      <c r="H737" s="14">
        <v>37</v>
      </c>
      <c r="I737" s="13" t="str" cm="1">
        <f t="array" ref="I737">_xlfn.IFS(
  OR(ISBLANK(A737),ISBLANK(B737),ISBLANK(D737),ISBLANK(E737),ISBLANK(H737)),"Missing Value",
  D737&lt;0,"Review – Out of Range (Claim Amount)",
  H737&lt;0,"Review – Out of Range (Days to Process)",
  TRUE,"OK"
)</f>
        <v>OK</v>
      </c>
    </row>
    <row r="738" spans="1:9" ht="16.8" x14ac:dyDescent="0.3">
      <c r="A738" s="11" t="s">
        <v>7245</v>
      </c>
      <c r="B738" s="11" t="s">
        <v>4183</v>
      </c>
      <c r="C738" s="12">
        <v>45352</v>
      </c>
      <c r="D738" s="11">
        <v>243154.64</v>
      </c>
      <c r="E738" s="11" t="s">
        <v>6505</v>
      </c>
      <c r="F738" s="11" t="s">
        <v>6511</v>
      </c>
      <c r="G738" s="11" t="s">
        <v>46</v>
      </c>
      <c r="H738" s="11">
        <v>23</v>
      </c>
      <c r="I738" s="13" t="str" cm="1">
        <f t="array" ref="I738">_xlfn.IFS(
  OR(ISBLANK(A738),ISBLANK(B738),ISBLANK(D738),ISBLANK(E738),ISBLANK(H738)),"Missing Value",
  D738&lt;0,"Review – Out of Range (Claim Amount)",
  H738&lt;0,"Review – Out of Range (Days to Process)",
  TRUE,"OK"
)</f>
        <v>OK</v>
      </c>
    </row>
    <row r="739" spans="1:9" ht="16.8" x14ac:dyDescent="0.3">
      <c r="A739" s="14" t="s">
        <v>7246</v>
      </c>
      <c r="B739" s="14" t="s">
        <v>5583</v>
      </c>
      <c r="C739" s="15">
        <v>45396</v>
      </c>
      <c r="D739" s="14">
        <v>225284.11</v>
      </c>
      <c r="E739" s="14" t="s">
        <v>6508</v>
      </c>
      <c r="F739" s="14" t="s">
        <v>6511</v>
      </c>
      <c r="G739" s="14" t="s">
        <v>45</v>
      </c>
      <c r="H739" s="14">
        <v>48</v>
      </c>
      <c r="I739" s="13" t="str" cm="1">
        <f t="array" ref="I739">_xlfn.IFS(
  OR(ISBLANK(A739),ISBLANK(B739),ISBLANK(D739),ISBLANK(E739),ISBLANK(H739)),"Missing Value",
  D739&lt;0,"Review – Out of Range (Claim Amount)",
  H739&lt;0,"Review – Out of Range (Days to Process)",
  TRUE,"OK"
)</f>
        <v>OK</v>
      </c>
    </row>
    <row r="740" spans="1:9" ht="16.8" x14ac:dyDescent="0.3">
      <c r="A740" s="11" t="s">
        <v>7247</v>
      </c>
      <c r="B740" s="11" t="s">
        <v>6435</v>
      </c>
      <c r="C740" s="12">
        <v>45631</v>
      </c>
      <c r="D740" s="11">
        <v>263549.63</v>
      </c>
      <c r="E740" s="11" t="s">
        <v>6502</v>
      </c>
      <c r="F740" s="11" t="s">
        <v>6511</v>
      </c>
      <c r="G740" s="11" t="s">
        <v>46</v>
      </c>
      <c r="H740" s="11">
        <v>44</v>
      </c>
      <c r="I740" s="13" t="str" cm="1">
        <f t="array" ref="I740">_xlfn.IFS(
  OR(ISBLANK(A740),ISBLANK(B740),ISBLANK(D740),ISBLANK(E740),ISBLANK(H740)),"Missing Value",
  D740&lt;0,"Review – Out of Range (Claim Amount)",
  H740&lt;0,"Review – Out of Range (Days to Process)",
  TRUE,"OK"
)</f>
        <v>OK</v>
      </c>
    </row>
    <row r="741" spans="1:9" ht="16.8" x14ac:dyDescent="0.3">
      <c r="A741" s="14" t="s">
        <v>7248</v>
      </c>
      <c r="B741" s="14" t="s">
        <v>3887</v>
      </c>
      <c r="C741" s="15">
        <v>44653</v>
      </c>
      <c r="D741" s="14">
        <v>376559.38</v>
      </c>
      <c r="E741" s="14" t="s">
        <v>6502</v>
      </c>
      <c r="F741" s="14" t="s">
        <v>6506</v>
      </c>
      <c r="G741" s="14" t="s">
        <v>46</v>
      </c>
      <c r="H741" s="14">
        <v>2</v>
      </c>
      <c r="I741" s="13" t="str" cm="1">
        <f t="array" ref="I741">_xlfn.IFS(
  OR(ISBLANK(A741),ISBLANK(B741),ISBLANK(D741),ISBLANK(E741),ISBLANK(H741)),"Missing Value",
  D741&lt;0,"Review – Out of Range (Claim Amount)",
  H741&lt;0,"Review – Out of Range (Days to Process)",
  TRUE,"OK"
)</f>
        <v>OK</v>
      </c>
    </row>
    <row r="742" spans="1:9" ht="16.8" x14ac:dyDescent="0.3">
      <c r="A742" s="11" t="s">
        <v>7249</v>
      </c>
      <c r="B742" s="11" t="s">
        <v>5022</v>
      </c>
      <c r="C742" s="12">
        <v>45572</v>
      </c>
      <c r="D742" s="11">
        <v>390712.03</v>
      </c>
      <c r="E742" s="11" t="s">
        <v>6502</v>
      </c>
      <c r="F742" s="11" t="s">
        <v>6503</v>
      </c>
      <c r="G742" s="11" t="s">
        <v>45</v>
      </c>
      <c r="H742" s="11">
        <v>17</v>
      </c>
      <c r="I742" s="13" t="str" cm="1">
        <f t="array" ref="I742">_xlfn.IFS(
  OR(ISBLANK(A742),ISBLANK(B742),ISBLANK(D742),ISBLANK(E742),ISBLANK(H742)),"Missing Value",
  D742&lt;0,"Review – Out of Range (Claim Amount)",
  H742&lt;0,"Review – Out of Range (Days to Process)",
  TRUE,"OK"
)</f>
        <v>OK</v>
      </c>
    </row>
    <row r="743" spans="1:9" ht="16.8" x14ac:dyDescent="0.3">
      <c r="A743" s="14" t="s">
        <v>7250</v>
      </c>
      <c r="B743" s="14" t="s">
        <v>6006</v>
      </c>
      <c r="C743" s="15">
        <v>44984</v>
      </c>
      <c r="D743" s="14">
        <v>40417.61</v>
      </c>
      <c r="E743" s="14" t="s">
        <v>6508</v>
      </c>
      <c r="F743" s="14" t="s">
        <v>6506</v>
      </c>
      <c r="G743" s="14" t="s">
        <v>45</v>
      </c>
      <c r="H743" s="14">
        <v>42</v>
      </c>
      <c r="I743" s="13" t="str" cm="1">
        <f t="array" ref="I743">_xlfn.IFS(
  OR(ISBLANK(A743),ISBLANK(B743),ISBLANK(D743),ISBLANK(E743),ISBLANK(H743)),"Missing Value",
  D743&lt;0,"Review – Out of Range (Claim Amount)",
  H743&lt;0,"Review – Out of Range (Days to Process)",
  TRUE,"OK"
)</f>
        <v>OK</v>
      </c>
    </row>
    <row r="744" spans="1:9" ht="16.8" x14ac:dyDescent="0.3">
      <c r="A744" s="11" t="s">
        <v>7251</v>
      </c>
      <c r="B744" s="11" t="s">
        <v>4051</v>
      </c>
      <c r="C744" s="12">
        <v>45559</v>
      </c>
      <c r="D744" s="11">
        <v>193796.58</v>
      </c>
      <c r="E744" s="11" t="s">
        <v>6508</v>
      </c>
      <c r="F744" s="11" t="s">
        <v>6516</v>
      </c>
      <c r="G744" s="11" t="s">
        <v>46</v>
      </c>
      <c r="H744" s="11">
        <v>31</v>
      </c>
      <c r="I744" s="13" t="str" cm="1">
        <f t="array" ref="I744">_xlfn.IFS(
  OR(ISBLANK(A744),ISBLANK(B744),ISBLANK(D744),ISBLANK(E744),ISBLANK(H744)),"Missing Value",
  D744&lt;0,"Review – Out of Range (Claim Amount)",
  H744&lt;0,"Review – Out of Range (Days to Process)",
  TRUE,"OK"
)</f>
        <v>OK</v>
      </c>
    </row>
    <row r="745" spans="1:9" ht="16.8" x14ac:dyDescent="0.3">
      <c r="A745" s="14" t="s">
        <v>7252</v>
      </c>
      <c r="B745" s="14" t="s">
        <v>6174</v>
      </c>
      <c r="C745" s="15">
        <v>44376</v>
      </c>
      <c r="D745" s="14">
        <v>256502.13</v>
      </c>
      <c r="E745" s="14" t="s">
        <v>6505</v>
      </c>
      <c r="F745" s="14" t="s">
        <v>6509</v>
      </c>
      <c r="G745" s="14" t="s">
        <v>45</v>
      </c>
      <c r="H745" s="14">
        <v>14</v>
      </c>
      <c r="I745" s="13" t="str" cm="1">
        <f t="array" ref="I745">_xlfn.IFS(
  OR(ISBLANK(A745),ISBLANK(B745),ISBLANK(D745),ISBLANK(E745),ISBLANK(H745)),"Missing Value",
  D745&lt;0,"Review – Out of Range (Claim Amount)",
  H745&lt;0,"Review – Out of Range (Days to Process)",
  TRUE,"OK"
)</f>
        <v>OK</v>
      </c>
    </row>
    <row r="746" spans="1:9" ht="16.8" x14ac:dyDescent="0.3">
      <c r="A746" s="11" t="s">
        <v>7253</v>
      </c>
      <c r="B746" s="11" t="s">
        <v>5192</v>
      </c>
      <c r="C746" s="12">
        <v>45402</v>
      </c>
      <c r="D746" s="11">
        <v>125624.27</v>
      </c>
      <c r="E746" s="11" t="s">
        <v>6502</v>
      </c>
      <c r="F746" s="11" t="s">
        <v>6509</v>
      </c>
      <c r="G746" s="11" t="s">
        <v>46</v>
      </c>
      <c r="H746" s="11">
        <v>20</v>
      </c>
      <c r="I746" s="13" t="str" cm="1">
        <f t="array" ref="I746">_xlfn.IFS(
  OR(ISBLANK(A746),ISBLANK(B746),ISBLANK(D746),ISBLANK(E746),ISBLANK(H746)),"Missing Value",
  D746&lt;0,"Review – Out of Range (Claim Amount)",
  H746&lt;0,"Review – Out of Range (Days to Process)",
  TRUE,"OK"
)</f>
        <v>OK</v>
      </c>
    </row>
    <row r="747" spans="1:9" ht="16.8" x14ac:dyDescent="0.3">
      <c r="A747" s="14" t="s">
        <v>7254</v>
      </c>
      <c r="B747" s="14" t="s">
        <v>5388</v>
      </c>
      <c r="C747" s="15">
        <v>45115</v>
      </c>
      <c r="D747" s="14">
        <v>486764.29</v>
      </c>
      <c r="E747" s="14" t="s">
        <v>6505</v>
      </c>
      <c r="F747" s="14" t="s">
        <v>6509</v>
      </c>
      <c r="G747" s="14" t="s">
        <v>46</v>
      </c>
      <c r="H747" s="14">
        <v>55</v>
      </c>
      <c r="I747" s="13" t="str" cm="1">
        <f t="array" ref="I747">_xlfn.IFS(
  OR(ISBLANK(A747),ISBLANK(B747),ISBLANK(D747),ISBLANK(E747),ISBLANK(H747)),"Missing Value",
  D747&lt;0,"Review – Out of Range (Claim Amount)",
  H747&lt;0,"Review – Out of Range (Days to Process)",
  TRUE,"OK"
)</f>
        <v>OK</v>
      </c>
    </row>
    <row r="748" spans="1:9" ht="16.8" x14ac:dyDescent="0.3">
      <c r="A748" s="11" t="s">
        <v>7255</v>
      </c>
      <c r="B748" s="11" t="s">
        <v>4867</v>
      </c>
      <c r="C748" s="12">
        <v>45746</v>
      </c>
      <c r="D748" s="11">
        <v>247141.28</v>
      </c>
      <c r="E748" s="11" t="s">
        <v>6502</v>
      </c>
      <c r="F748" s="11" t="s">
        <v>6516</v>
      </c>
      <c r="G748" s="11" t="s">
        <v>46</v>
      </c>
      <c r="H748" s="11">
        <v>4</v>
      </c>
      <c r="I748" s="13" t="str" cm="1">
        <f t="array" ref="I748">_xlfn.IFS(
  OR(ISBLANK(A748),ISBLANK(B748),ISBLANK(D748),ISBLANK(E748),ISBLANK(H748)),"Missing Value",
  D748&lt;0,"Review – Out of Range (Claim Amount)",
  H748&lt;0,"Review – Out of Range (Days to Process)",
  TRUE,"OK"
)</f>
        <v>OK</v>
      </c>
    </row>
    <row r="749" spans="1:9" ht="16.8" x14ac:dyDescent="0.3">
      <c r="A749" s="14" t="s">
        <v>7256</v>
      </c>
      <c r="B749" s="14" t="s">
        <v>5254</v>
      </c>
      <c r="C749" s="15">
        <v>45388</v>
      </c>
      <c r="D749" s="14">
        <v>182649.32</v>
      </c>
      <c r="E749" s="14" t="s">
        <v>6505</v>
      </c>
      <c r="F749" s="14" t="s">
        <v>6509</v>
      </c>
      <c r="G749" s="14" t="s">
        <v>45</v>
      </c>
      <c r="H749" s="14">
        <v>7</v>
      </c>
      <c r="I749" s="13" t="str" cm="1">
        <f t="array" ref="I749">_xlfn.IFS(
  OR(ISBLANK(A749),ISBLANK(B749),ISBLANK(D749),ISBLANK(E749),ISBLANK(H749)),"Missing Value",
  D749&lt;0,"Review – Out of Range (Claim Amount)",
  H749&lt;0,"Review – Out of Range (Days to Process)",
  TRUE,"OK"
)</f>
        <v>OK</v>
      </c>
    </row>
    <row r="750" spans="1:9" ht="16.8" x14ac:dyDescent="0.3">
      <c r="A750" s="11" t="s">
        <v>7257</v>
      </c>
      <c r="B750" s="11" t="s">
        <v>3867</v>
      </c>
      <c r="C750" s="12">
        <v>45582</v>
      </c>
      <c r="D750" s="11">
        <v>42853.97</v>
      </c>
      <c r="E750" s="11" t="s">
        <v>6505</v>
      </c>
      <c r="F750" s="11" t="s">
        <v>6509</v>
      </c>
      <c r="G750" s="11" t="s">
        <v>46</v>
      </c>
      <c r="H750" s="11">
        <v>36</v>
      </c>
      <c r="I750" s="13" t="str" cm="1">
        <f t="array" ref="I750">_xlfn.IFS(
  OR(ISBLANK(A750),ISBLANK(B750),ISBLANK(D750),ISBLANK(E750),ISBLANK(H750)),"Missing Value",
  D750&lt;0,"Review – Out of Range (Claim Amount)",
  H750&lt;0,"Review – Out of Range (Days to Process)",
  TRUE,"OK"
)</f>
        <v>OK</v>
      </c>
    </row>
    <row r="751" spans="1:9" ht="16.8" x14ac:dyDescent="0.3">
      <c r="A751" s="14" t="s">
        <v>7258</v>
      </c>
      <c r="B751" s="14" t="s">
        <v>4746</v>
      </c>
      <c r="C751" s="15">
        <v>45464</v>
      </c>
      <c r="D751" s="14">
        <v>12530.66</v>
      </c>
      <c r="E751" s="14" t="s">
        <v>6508</v>
      </c>
      <c r="F751" s="14" t="s">
        <v>6506</v>
      </c>
      <c r="G751" s="14" t="s">
        <v>45</v>
      </c>
      <c r="H751" s="14">
        <v>29</v>
      </c>
      <c r="I751" s="13" t="str" cm="1">
        <f t="array" ref="I751">_xlfn.IFS(
  OR(ISBLANK(A751),ISBLANK(B751),ISBLANK(D751),ISBLANK(E751),ISBLANK(H751)),"Missing Value",
  D751&lt;0,"Review – Out of Range (Claim Amount)",
  H751&lt;0,"Review – Out of Range (Days to Process)",
  TRUE,"OK"
)</f>
        <v>OK</v>
      </c>
    </row>
    <row r="752" spans="1:9" ht="16.8" x14ac:dyDescent="0.3">
      <c r="A752" s="11" t="s">
        <v>7259</v>
      </c>
      <c r="B752" s="11" t="s">
        <v>4728</v>
      </c>
      <c r="C752" s="12">
        <v>44969</v>
      </c>
      <c r="D752" s="11">
        <v>191717.07</v>
      </c>
      <c r="E752" s="11" t="s">
        <v>6508</v>
      </c>
      <c r="F752" s="11" t="s">
        <v>6511</v>
      </c>
      <c r="G752" s="11" t="s">
        <v>45</v>
      </c>
      <c r="H752" s="11">
        <v>59</v>
      </c>
      <c r="I752" s="13" t="str" cm="1">
        <f t="array" ref="I752">_xlfn.IFS(
  OR(ISBLANK(A752),ISBLANK(B752),ISBLANK(D752),ISBLANK(E752),ISBLANK(H752)),"Missing Value",
  D752&lt;0,"Review – Out of Range (Claim Amount)",
  H752&lt;0,"Review – Out of Range (Days to Process)",
  TRUE,"OK"
)</f>
        <v>OK</v>
      </c>
    </row>
    <row r="753" spans="1:9" ht="16.8" x14ac:dyDescent="0.3">
      <c r="A753" s="14" t="s">
        <v>7260</v>
      </c>
      <c r="B753" s="14" t="s">
        <v>4985</v>
      </c>
      <c r="C753" s="15">
        <v>45050</v>
      </c>
      <c r="D753" s="14">
        <v>408524.45</v>
      </c>
      <c r="E753" s="14" t="s">
        <v>6505</v>
      </c>
      <c r="F753" s="14" t="s">
        <v>6503</v>
      </c>
      <c r="G753" s="14" t="s">
        <v>46</v>
      </c>
      <c r="H753" s="14">
        <v>13</v>
      </c>
      <c r="I753" s="13" t="str" cm="1">
        <f t="array" ref="I753">_xlfn.IFS(
  OR(ISBLANK(A753),ISBLANK(B753),ISBLANK(D753),ISBLANK(E753),ISBLANK(H753)),"Missing Value",
  D753&lt;0,"Review – Out of Range (Claim Amount)",
  H753&lt;0,"Review – Out of Range (Days to Process)",
  TRUE,"OK"
)</f>
        <v>OK</v>
      </c>
    </row>
    <row r="754" spans="1:9" ht="16.8" x14ac:dyDescent="0.3">
      <c r="A754" s="11" t="s">
        <v>7261</v>
      </c>
      <c r="B754" s="11" t="s">
        <v>5687</v>
      </c>
      <c r="C754" s="12">
        <v>44470</v>
      </c>
      <c r="D754" s="11">
        <v>44913.73</v>
      </c>
      <c r="E754" s="11" t="s">
        <v>6508</v>
      </c>
      <c r="F754" s="11" t="s">
        <v>6503</v>
      </c>
      <c r="G754" s="11" t="s">
        <v>45</v>
      </c>
      <c r="H754" s="11">
        <v>44</v>
      </c>
      <c r="I754" s="13" t="str" cm="1">
        <f t="array" ref="I754">_xlfn.IFS(
  OR(ISBLANK(A754),ISBLANK(B754),ISBLANK(D754),ISBLANK(E754),ISBLANK(H754)),"Missing Value",
  D754&lt;0,"Review – Out of Range (Claim Amount)",
  H754&lt;0,"Review – Out of Range (Days to Process)",
  TRUE,"OK"
)</f>
        <v>OK</v>
      </c>
    </row>
    <row r="755" spans="1:9" ht="16.8" x14ac:dyDescent="0.3">
      <c r="A755" s="14" t="s">
        <v>7262</v>
      </c>
      <c r="B755" s="14" t="s">
        <v>5174</v>
      </c>
      <c r="C755" s="15">
        <v>45389</v>
      </c>
      <c r="D755" s="14">
        <v>468760.84</v>
      </c>
      <c r="E755" s="14" t="s">
        <v>6505</v>
      </c>
      <c r="F755" s="14" t="s">
        <v>6506</v>
      </c>
      <c r="G755" s="14" t="s">
        <v>46</v>
      </c>
      <c r="H755" s="14">
        <v>8</v>
      </c>
      <c r="I755" s="13" t="str" cm="1">
        <f t="array" ref="I755">_xlfn.IFS(
  OR(ISBLANK(A755),ISBLANK(B755),ISBLANK(D755),ISBLANK(E755),ISBLANK(H755)),"Missing Value",
  D755&lt;0,"Review – Out of Range (Claim Amount)",
  H755&lt;0,"Review – Out of Range (Days to Process)",
  TRUE,"OK"
)</f>
        <v>OK</v>
      </c>
    </row>
    <row r="756" spans="1:9" ht="16.8" x14ac:dyDescent="0.3">
      <c r="A756" s="11" t="s">
        <v>7263</v>
      </c>
      <c r="B756" s="11" t="s">
        <v>6126</v>
      </c>
      <c r="C756" s="12">
        <v>45205</v>
      </c>
      <c r="D756" s="11">
        <v>150744.21</v>
      </c>
      <c r="E756" s="11" t="s">
        <v>6508</v>
      </c>
      <c r="F756" s="11" t="s">
        <v>6511</v>
      </c>
      <c r="G756" s="11" t="s">
        <v>45</v>
      </c>
      <c r="H756" s="11">
        <v>46</v>
      </c>
      <c r="I756" s="13" t="str" cm="1">
        <f t="array" ref="I756">_xlfn.IFS(
  OR(ISBLANK(A756),ISBLANK(B756),ISBLANK(D756),ISBLANK(E756),ISBLANK(H756)),"Missing Value",
  D756&lt;0,"Review – Out of Range (Claim Amount)",
  H756&lt;0,"Review – Out of Range (Days to Process)",
  TRUE,"OK"
)</f>
        <v>OK</v>
      </c>
    </row>
    <row r="757" spans="1:9" ht="16.8" x14ac:dyDescent="0.3">
      <c r="A757" s="14" t="s">
        <v>7264</v>
      </c>
      <c r="B757" s="14" t="s">
        <v>6034</v>
      </c>
      <c r="C757" s="15">
        <v>44713</v>
      </c>
      <c r="D757" s="14">
        <v>332426.77</v>
      </c>
      <c r="E757" s="14" t="s">
        <v>6508</v>
      </c>
      <c r="F757" s="14" t="s">
        <v>6503</v>
      </c>
      <c r="G757" s="14" t="s">
        <v>45</v>
      </c>
      <c r="H757" s="14">
        <v>5</v>
      </c>
      <c r="I757" s="13" t="str" cm="1">
        <f t="array" ref="I757">_xlfn.IFS(
  OR(ISBLANK(A757),ISBLANK(B757),ISBLANK(D757),ISBLANK(E757),ISBLANK(H757)),"Missing Value",
  D757&lt;0,"Review – Out of Range (Claim Amount)",
  H757&lt;0,"Review – Out of Range (Days to Process)",
  TRUE,"OK"
)</f>
        <v>OK</v>
      </c>
    </row>
    <row r="758" spans="1:9" ht="16.8" x14ac:dyDescent="0.3">
      <c r="A758" s="11" t="s">
        <v>7265</v>
      </c>
      <c r="B758" s="11" t="s">
        <v>4918</v>
      </c>
      <c r="C758" s="12">
        <v>45482</v>
      </c>
      <c r="D758" s="11">
        <v>186091.39</v>
      </c>
      <c r="E758" s="11" t="s">
        <v>6502</v>
      </c>
      <c r="F758" s="11" t="s">
        <v>6511</v>
      </c>
      <c r="G758" s="11" t="s">
        <v>46</v>
      </c>
      <c r="H758" s="11">
        <v>10</v>
      </c>
      <c r="I758" s="13" t="str" cm="1">
        <f t="array" ref="I758">_xlfn.IFS(
  OR(ISBLANK(A758),ISBLANK(B758),ISBLANK(D758),ISBLANK(E758),ISBLANK(H758)),"Missing Value",
  D758&lt;0,"Review – Out of Range (Claim Amount)",
  H758&lt;0,"Review – Out of Range (Days to Process)",
  TRUE,"OK"
)</f>
        <v>OK</v>
      </c>
    </row>
    <row r="759" spans="1:9" ht="16.8" x14ac:dyDescent="0.3">
      <c r="A759" s="14" t="s">
        <v>7266</v>
      </c>
      <c r="B759" s="14" t="s">
        <v>5420</v>
      </c>
      <c r="C759" s="15">
        <v>45210</v>
      </c>
      <c r="D759" s="14">
        <v>115817.65</v>
      </c>
      <c r="E759" s="14" t="s">
        <v>6502</v>
      </c>
      <c r="F759" s="14" t="s">
        <v>6511</v>
      </c>
      <c r="G759" s="14" t="s">
        <v>45</v>
      </c>
      <c r="H759" s="14">
        <v>30</v>
      </c>
      <c r="I759" s="13" t="str" cm="1">
        <f t="array" ref="I759">_xlfn.IFS(
  OR(ISBLANK(A759),ISBLANK(B759),ISBLANK(D759),ISBLANK(E759),ISBLANK(H759)),"Missing Value",
  D759&lt;0,"Review – Out of Range (Claim Amount)",
  H759&lt;0,"Review – Out of Range (Days to Process)",
  TRUE,"OK"
)</f>
        <v>OK</v>
      </c>
    </row>
    <row r="760" spans="1:9" ht="16.8" x14ac:dyDescent="0.3">
      <c r="A760" s="11" t="s">
        <v>7267</v>
      </c>
      <c r="B760" s="11" t="s">
        <v>5872</v>
      </c>
      <c r="C760" s="12">
        <v>44675</v>
      </c>
      <c r="D760" s="11">
        <v>67033.679999999993</v>
      </c>
      <c r="E760" s="11" t="s">
        <v>6508</v>
      </c>
      <c r="F760" s="11" t="s">
        <v>6516</v>
      </c>
      <c r="G760" s="11" t="s">
        <v>46</v>
      </c>
      <c r="H760" s="11">
        <v>7</v>
      </c>
      <c r="I760" s="13" t="str" cm="1">
        <f t="array" ref="I760">_xlfn.IFS(
  OR(ISBLANK(A760),ISBLANK(B760),ISBLANK(D760),ISBLANK(E760),ISBLANK(H760)),"Missing Value",
  D760&lt;0,"Review – Out of Range (Claim Amount)",
  H760&lt;0,"Review – Out of Range (Days to Process)",
  TRUE,"OK"
)</f>
        <v>OK</v>
      </c>
    </row>
    <row r="761" spans="1:9" ht="16.8" x14ac:dyDescent="0.3">
      <c r="A761" s="14" t="s">
        <v>7268</v>
      </c>
      <c r="B761" s="14" t="s">
        <v>5418</v>
      </c>
      <c r="C761" s="15">
        <v>44665</v>
      </c>
      <c r="D761" s="14">
        <v>65821.77</v>
      </c>
      <c r="E761" s="14" t="s">
        <v>6508</v>
      </c>
      <c r="F761" s="14" t="s">
        <v>6503</v>
      </c>
      <c r="G761" s="14" t="s">
        <v>45</v>
      </c>
      <c r="H761" s="14">
        <v>55</v>
      </c>
      <c r="I761" s="13" t="str" cm="1">
        <f t="array" ref="I761">_xlfn.IFS(
  OR(ISBLANK(A761),ISBLANK(B761),ISBLANK(D761),ISBLANK(E761),ISBLANK(H761)),"Missing Value",
  D761&lt;0,"Review – Out of Range (Claim Amount)",
  H761&lt;0,"Review – Out of Range (Days to Process)",
  TRUE,"OK"
)</f>
        <v>OK</v>
      </c>
    </row>
    <row r="762" spans="1:9" ht="16.8" x14ac:dyDescent="0.3">
      <c r="A762" s="11" t="s">
        <v>7269</v>
      </c>
      <c r="B762" s="11" t="s">
        <v>5358</v>
      </c>
      <c r="C762" s="12">
        <v>45002</v>
      </c>
      <c r="D762" s="11">
        <v>243083.57</v>
      </c>
      <c r="E762" s="11" t="s">
        <v>6505</v>
      </c>
      <c r="F762" s="11" t="s">
        <v>6509</v>
      </c>
      <c r="G762" s="11" t="s">
        <v>46</v>
      </c>
      <c r="H762" s="11">
        <v>26</v>
      </c>
      <c r="I762" s="13" t="str" cm="1">
        <f t="array" ref="I762">_xlfn.IFS(
  OR(ISBLANK(A762),ISBLANK(B762),ISBLANK(D762),ISBLANK(E762),ISBLANK(H762)),"Missing Value",
  D762&lt;0,"Review – Out of Range (Claim Amount)",
  H762&lt;0,"Review – Out of Range (Days to Process)",
  TRUE,"OK"
)</f>
        <v>OK</v>
      </c>
    </row>
    <row r="763" spans="1:9" ht="16.8" x14ac:dyDescent="0.3">
      <c r="A763" s="14" t="s">
        <v>7270</v>
      </c>
      <c r="B763" s="14" t="s">
        <v>5076</v>
      </c>
      <c r="C763" s="15">
        <v>45335</v>
      </c>
      <c r="D763" s="14">
        <v>309791.28000000003</v>
      </c>
      <c r="E763" s="14" t="s">
        <v>6508</v>
      </c>
      <c r="F763" s="14" t="s">
        <v>6511</v>
      </c>
      <c r="G763" s="14" t="s">
        <v>45</v>
      </c>
      <c r="H763" s="14">
        <v>20</v>
      </c>
      <c r="I763" s="13" t="str" cm="1">
        <f t="array" ref="I763">_xlfn.IFS(
  OR(ISBLANK(A763),ISBLANK(B763),ISBLANK(D763),ISBLANK(E763),ISBLANK(H763)),"Missing Value",
  D763&lt;0,"Review – Out of Range (Claim Amount)",
  H763&lt;0,"Review – Out of Range (Days to Process)",
  TRUE,"OK"
)</f>
        <v>OK</v>
      </c>
    </row>
    <row r="764" spans="1:9" ht="16.8" x14ac:dyDescent="0.3">
      <c r="A764" s="11" t="s">
        <v>7271</v>
      </c>
      <c r="B764" s="11" t="s">
        <v>6483</v>
      </c>
      <c r="C764" s="12">
        <v>45302</v>
      </c>
      <c r="D764" s="11">
        <v>176398.55</v>
      </c>
      <c r="E764" s="11" t="s">
        <v>6505</v>
      </c>
      <c r="F764" s="11" t="s">
        <v>6516</v>
      </c>
      <c r="G764" s="11" t="s">
        <v>45</v>
      </c>
      <c r="H764" s="11">
        <v>8</v>
      </c>
      <c r="I764" s="13" t="str" cm="1">
        <f t="array" ref="I764">_xlfn.IFS(
  OR(ISBLANK(A764),ISBLANK(B764),ISBLANK(D764),ISBLANK(E764),ISBLANK(H764)),"Missing Value",
  D764&lt;0,"Review – Out of Range (Claim Amount)",
  H764&lt;0,"Review – Out of Range (Days to Process)",
  TRUE,"OK"
)</f>
        <v>OK</v>
      </c>
    </row>
    <row r="765" spans="1:9" ht="16.8" x14ac:dyDescent="0.3">
      <c r="A765" s="14" t="s">
        <v>7272</v>
      </c>
      <c r="B765" s="14" t="s">
        <v>5028</v>
      </c>
      <c r="C765" s="15">
        <v>44687</v>
      </c>
      <c r="D765" s="14">
        <v>237235.5</v>
      </c>
      <c r="E765" s="14" t="s">
        <v>6502</v>
      </c>
      <c r="F765" s="14" t="s">
        <v>6503</v>
      </c>
      <c r="G765" s="14" t="s">
        <v>46</v>
      </c>
      <c r="H765" s="14">
        <v>10</v>
      </c>
      <c r="I765" s="13" t="str" cm="1">
        <f t="array" ref="I765">_xlfn.IFS(
  OR(ISBLANK(A765),ISBLANK(B765),ISBLANK(D765),ISBLANK(E765),ISBLANK(H765)),"Missing Value",
  D765&lt;0,"Review – Out of Range (Claim Amount)",
  H765&lt;0,"Review – Out of Range (Days to Process)",
  TRUE,"OK"
)</f>
        <v>OK</v>
      </c>
    </row>
    <row r="766" spans="1:9" ht="16.8" x14ac:dyDescent="0.3">
      <c r="A766" s="11" t="s">
        <v>7273</v>
      </c>
      <c r="B766" s="11" t="s">
        <v>5693</v>
      </c>
      <c r="C766" s="12">
        <v>45611</v>
      </c>
      <c r="D766" s="11">
        <v>262269</v>
      </c>
      <c r="E766" s="11" t="s">
        <v>6505</v>
      </c>
      <c r="F766" s="11" t="s">
        <v>6516</v>
      </c>
      <c r="G766" s="11" t="s">
        <v>46</v>
      </c>
      <c r="H766" s="11">
        <v>2</v>
      </c>
      <c r="I766" s="13" t="str" cm="1">
        <f t="array" ref="I766">_xlfn.IFS(
  OR(ISBLANK(A766),ISBLANK(B766),ISBLANK(D766),ISBLANK(E766),ISBLANK(H766)),"Missing Value",
  D766&lt;0,"Review – Out of Range (Claim Amount)",
  H766&lt;0,"Review – Out of Range (Days to Process)",
  TRUE,"OK"
)</f>
        <v>OK</v>
      </c>
    </row>
    <row r="767" spans="1:9" ht="16.8" x14ac:dyDescent="0.3">
      <c r="A767" s="14" t="s">
        <v>7274</v>
      </c>
      <c r="B767" s="14" t="s">
        <v>6044</v>
      </c>
      <c r="C767" s="15">
        <v>45442</v>
      </c>
      <c r="D767" s="14">
        <v>194899.15</v>
      </c>
      <c r="E767" s="14" t="s">
        <v>6508</v>
      </c>
      <c r="F767" s="14" t="s">
        <v>6506</v>
      </c>
      <c r="G767" s="14" t="s">
        <v>46</v>
      </c>
      <c r="H767" s="14">
        <v>51</v>
      </c>
      <c r="I767" s="13" t="str" cm="1">
        <f t="array" ref="I767">_xlfn.IFS(
  OR(ISBLANK(A767),ISBLANK(B767),ISBLANK(D767),ISBLANK(E767),ISBLANK(H767)),"Missing Value",
  D767&lt;0,"Review – Out of Range (Claim Amount)",
  H767&lt;0,"Review – Out of Range (Days to Process)",
  TRUE,"OK"
)</f>
        <v>OK</v>
      </c>
    </row>
    <row r="768" spans="1:9" ht="16.8" x14ac:dyDescent="0.3">
      <c r="A768" s="11" t="s">
        <v>7275</v>
      </c>
      <c r="B768" s="11" t="s">
        <v>4488</v>
      </c>
      <c r="C768" s="12">
        <v>45340</v>
      </c>
      <c r="D768" s="11">
        <v>273605.21000000002</v>
      </c>
      <c r="E768" s="11" t="s">
        <v>6508</v>
      </c>
      <c r="F768" s="11" t="s">
        <v>6516</v>
      </c>
      <c r="G768" s="11" t="s">
        <v>45</v>
      </c>
      <c r="H768" s="11">
        <v>4</v>
      </c>
      <c r="I768" s="13" t="str" cm="1">
        <f t="array" ref="I768">_xlfn.IFS(
  OR(ISBLANK(A768),ISBLANK(B768),ISBLANK(D768),ISBLANK(E768),ISBLANK(H768)),"Missing Value",
  D768&lt;0,"Review – Out of Range (Claim Amount)",
  H768&lt;0,"Review – Out of Range (Days to Process)",
  TRUE,"OK"
)</f>
        <v>OK</v>
      </c>
    </row>
    <row r="769" spans="1:9" ht="16.8" x14ac:dyDescent="0.3">
      <c r="A769" s="14" t="s">
        <v>7276</v>
      </c>
      <c r="B769" s="14" t="s">
        <v>6006</v>
      </c>
      <c r="C769" s="15">
        <v>44989</v>
      </c>
      <c r="D769" s="14">
        <v>489325.03</v>
      </c>
      <c r="E769" s="14" t="s">
        <v>6508</v>
      </c>
      <c r="F769" s="14" t="s">
        <v>6516</v>
      </c>
      <c r="G769" s="14" t="s">
        <v>45</v>
      </c>
      <c r="H769" s="14">
        <v>10</v>
      </c>
      <c r="I769" s="13" t="str" cm="1">
        <f t="array" ref="I769">_xlfn.IFS(
  OR(ISBLANK(A769),ISBLANK(B769),ISBLANK(D769),ISBLANK(E769),ISBLANK(H769)),"Missing Value",
  D769&lt;0,"Review – Out of Range (Claim Amount)",
  H769&lt;0,"Review – Out of Range (Days to Process)",
  TRUE,"OK"
)</f>
        <v>OK</v>
      </c>
    </row>
    <row r="770" spans="1:9" ht="16.8" x14ac:dyDescent="0.3">
      <c r="A770" s="11" t="s">
        <v>7277</v>
      </c>
      <c r="B770" s="11" t="s">
        <v>5201</v>
      </c>
      <c r="C770" s="12">
        <v>45121</v>
      </c>
      <c r="D770" s="11">
        <v>172954.94</v>
      </c>
      <c r="E770" s="11" t="s">
        <v>6502</v>
      </c>
      <c r="F770" s="11" t="s">
        <v>6516</v>
      </c>
      <c r="G770" s="11" t="s">
        <v>46</v>
      </c>
      <c r="H770" s="11">
        <v>7</v>
      </c>
      <c r="I770" s="13" t="str" cm="1">
        <f t="array" ref="I770">_xlfn.IFS(
  OR(ISBLANK(A770),ISBLANK(B770),ISBLANK(D770),ISBLANK(E770),ISBLANK(H770)),"Missing Value",
  D770&lt;0,"Review – Out of Range (Claim Amount)",
  H770&lt;0,"Review – Out of Range (Days to Process)",
  TRUE,"OK"
)</f>
        <v>OK</v>
      </c>
    </row>
    <row r="771" spans="1:9" ht="16.8" x14ac:dyDescent="0.3">
      <c r="A771" s="14" t="s">
        <v>7278</v>
      </c>
      <c r="B771" s="14" t="s">
        <v>4199</v>
      </c>
      <c r="C771" s="15">
        <v>44717</v>
      </c>
      <c r="D771" s="14">
        <v>420256.17</v>
      </c>
      <c r="E771" s="14" t="s">
        <v>6505</v>
      </c>
      <c r="F771" s="14" t="s">
        <v>6503</v>
      </c>
      <c r="G771" s="14" t="s">
        <v>45</v>
      </c>
      <c r="H771" s="14">
        <v>55</v>
      </c>
      <c r="I771" s="13" t="str" cm="1">
        <f t="array" ref="I771">_xlfn.IFS(
  OR(ISBLANK(A771),ISBLANK(B771),ISBLANK(D771),ISBLANK(E771),ISBLANK(H771)),"Missing Value",
  D771&lt;0,"Review – Out of Range (Claim Amount)",
  H771&lt;0,"Review – Out of Range (Days to Process)",
  TRUE,"OK"
)</f>
        <v>OK</v>
      </c>
    </row>
    <row r="772" spans="1:9" ht="16.8" x14ac:dyDescent="0.3">
      <c r="A772" s="11" t="s">
        <v>7279</v>
      </c>
      <c r="B772" s="11" t="s">
        <v>6236</v>
      </c>
      <c r="C772" s="12">
        <v>45727</v>
      </c>
      <c r="D772" s="11">
        <v>138446.15</v>
      </c>
      <c r="E772" s="11" t="s">
        <v>6508</v>
      </c>
      <c r="F772" s="11" t="s">
        <v>6506</v>
      </c>
      <c r="G772" s="11" t="s">
        <v>46</v>
      </c>
      <c r="H772" s="11">
        <v>25</v>
      </c>
      <c r="I772" s="13" t="str" cm="1">
        <f t="array" ref="I772">_xlfn.IFS(
  OR(ISBLANK(A772),ISBLANK(B772),ISBLANK(D772),ISBLANK(E772),ISBLANK(H772)),"Missing Value",
  D772&lt;0,"Review – Out of Range (Claim Amount)",
  H772&lt;0,"Review – Out of Range (Days to Process)",
  TRUE,"OK"
)</f>
        <v>OK</v>
      </c>
    </row>
    <row r="773" spans="1:9" ht="16.8" x14ac:dyDescent="0.3">
      <c r="A773" s="14" t="s">
        <v>7280</v>
      </c>
      <c r="B773" s="14" t="s">
        <v>5096</v>
      </c>
      <c r="C773" s="15">
        <v>45381</v>
      </c>
      <c r="D773" s="14">
        <v>169495.71</v>
      </c>
      <c r="E773" s="14" t="s">
        <v>6508</v>
      </c>
      <c r="F773" s="14" t="s">
        <v>6506</v>
      </c>
      <c r="G773" s="14" t="s">
        <v>45</v>
      </c>
      <c r="H773" s="14">
        <v>42</v>
      </c>
      <c r="I773" s="13" t="str" cm="1">
        <f t="array" ref="I773">_xlfn.IFS(
  OR(ISBLANK(A773),ISBLANK(B773),ISBLANK(D773),ISBLANK(E773),ISBLANK(H773)),"Missing Value",
  D773&lt;0,"Review – Out of Range (Claim Amount)",
  H773&lt;0,"Review – Out of Range (Days to Process)",
  TRUE,"OK"
)</f>
        <v>OK</v>
      </c>
    </row>
    <row r="774" spans="1:9" ht="16.8" x14ac:dyDescent="0.3">
      <c r="A774" s="11" t="s">
        <v>7281</v>
      </c>
      <c r="B774" s="11" t="s">
        <v>5618</v>
      </c>
      <c r="C774" s="12">
        <v>45102</v>
      </c>
      <c r="D774" s="11">
        <v>63361.79</v>
      </c>
      <c r="E774" s="11" t="s">
        <v>6508</v>
      </c>
      <c r="F774" s="11" t="s">
        <v>6511</v>
      </c>
      <c r="G774" s="11" t="s">
        <v>46</v>
      </c>
      <c r="H774" s="11">
        <v>4</v>
      </c>
      <c r="I774" s="13" t="str" cm="1">
        <f t="array" ref="I774">_xlfn.IFS(
  OR(ISBLANK(A774),ISBLANK(B774),ISBLANK(D774),ISBLANK(E774),ISBLANK(H774)),"Missing Value",
  D774&lt;0,"Review – Out of Range (Claim Amount)",
  H774&lt;0,"Review – Out of Range (Days to Process)",
  TRUE,"OK"
)</f>
        <v>OK</v>
      </c>
    </row>
    <row r="775" spans="1:9" ht="16.8" x14ac:dyDescent="0.3">
      <c r="A775" s="14" t="s">
        <v>7282</v>
      </c>
      <c r="B775" s="14" t="s">
        <v>6416</v>
      </c>
      <c r="C775" s="15">
        <v>45469</v>
      </c>
      <c r="D775" s="14">
        <v>123437.93</v>
      </c>
      <c r="E775" s="14" t="s">
        <v>6508</v>
      </c>
      <c r="F775" s="14" t="s">
        <v>6516</v>
      </c>
      <c r="G775" s="14" t="s">
        <v>45</v>
      </c>
      <c r="H775" s="14">
        <v>12</v>
      </c>
      <c r="I775" s="13" t="str" cm="1">
        <f t="array" ref="I775">_xlfn.IFS(
  OR(ISBLANK(A775),ISBLANK(B775),ISBLANK(D775),ISBLANK(E775),ISBLANK(H775)),"Missing Value",
  D775&lt;0,"Review – Out of Range (Claim Amount)",
  H775&lt;0,"Review – Out of Range (Days to Process)",
  TRUE,"OK"
)</f>
        <v>OK</v>
      </c>
    </row>
    <row r="776" spans="1:9" ht="16.8" x14ac:dyDescent="0.3">
      <c r="A776" s="11" t="s">
        <v>7283</v>
      </c>
      <c r="B776" s="11" t="s">
        <v>4825</v>
      </c>
      <c r="C776" s="12">
        <v>44710</v>
      </c>
      <c r="D776" s="11">
        <v>167011.25</v>
      </c>
      <c r="E776" s="11" t="s">
        <v>6505</v>
      </c>
      <c r="F776" s="11" t="s">
        <v>6503</v>
      </c>
      <c r="G776" s="11" t="s">
        <v>46</v>
      </c>
      <c r="H776" s="11">
        <v>18</v>
      </c>
      <c r="I776" s="13" t="str" cm="1">
        <f t="array" ref="I776">_xlfn.IFS(
  OR(ISBLANK(A776),ISBLANK(B776),ISBLANK(D776),ISBLANK(E776),ISBLANK(H776)),"Missing Value",
  D776&lt;0,"Review – Out of Range (Claim Amount)",
  H776&lt;0,"Review – Out of Range (Days to Process)",
  TRUE,"OK"
)</f>
        <v>OK</v>
      </c>
    </row>
    <row r="777" spans="1:9" ht="16.8" x14ac:dyDescent="0.3">
      <c r="A777" s="14" t="s">
        <v>7284</v>
      </c>
      <c r="B777" s="14" t="s">
        <v>5632</v>
      </c>
      <c r="C777" s="15">
        <v>45308</v>
      </c>
      <c r="D777" s="14">
        <v>43538.74</v>
      </c>
      <c r="E777" s="14" t="s">
        <v>6502</v>
      </c>
      <c r="F777" s="14" t="s">
        <v>6511</v>
      </c>
      <c r="G777" s="14" t="s">
        <v>45</v>
      </c>
      <c r="H777" s="14">
        <v>40</v>
      </c>
      <c r="I777" s="13" t="str" cm="1">
        <f t="array" ref="I777">_xlfn.IFS(
  OR(ISBLANK(A777),ISBLANK(B777),ISBLANK(D777),ISBLANK(E777),ISBLANK(H777)),"Missing Value",
  D777&lt;0,"Review – Out of Range (Claim Amount)",
  H777&lt;0,"Review – Out of Range (Days to Process)",
  TRUE,"OK"
)</f>
        <v>OK</v>
      </c>
    </row>
    <row r="778" spans="1:9" ht="16.8" x14ac:dyDescent="0.3">
      <c r="A778" s="11" t="s">
        <v>7285</v>
      </c>
      <c r="B778" s="11" t="s">
        <v>5399</v>
      </c>
      <c r="C778" s="12">
        <v>45142</v>
      </c>
      <c r="D778" s="11">
        <v>381073.18</v>
      </c>
      <c r="E778" s="11" t="s">
        <v>6508</v>
      </c>
      <c r="F778" s="11" t="s">
        <v>6506</v>
      </c>
      <c r="G778" s="11" t="s">
        <v>46</v>
      </c>
      <c r="H778" s="11">
        <v>16</v>
      </c>
      <c r="I778" s="13" t="str" cm="1">
        <f t="array" ref="I778">_xlfn.IFS(
  OR(ISBLANK(A778),ISBLANK(B778),ISBLANK(D778),ISBLANK(E778),ISBLANK(H778)),"Missing Value",
  D778&lt;0,"Review – Out of Range (Claim Amount)",
  H778&lt;0,"Review – Out of Range (Days to Process)",
  TRUE,"OK"
)</f>
        <v>OK</v>
      </c>
    </row>
    <row r="779" spans="1:9" ht="16.8" x14ac:dyDescent="0.3">
      <c r="A779" s="14" t="s">
        <v>7286</v>
      </c>
      <c r="B779" s="14" t="s">
        <v>6447</v>
      </c>
      <c r="C779" s="15">
        <v>45182</v>
      </c>
      <c r="D779" s="14">
        <v>212227.11</v>
      </c>
      <c r="E779" s="14" t="s">
        <v>6505</v>
      </c>
      <c r="F779" s="14" t="s">
        <v>6509</v>
      </c>
      <c r="G779" s="14" t="s">
        <v>45</v>
      </c>
      <c r="H779" s="14">
        <v>26</v>
      </c>
      <c r="I779" s="13" t="str" cm="1">
        <f t="array" ref="I779">_xlfn.IFS(
  OR(ISBLANK(A779),ISBLANK(B779),ISBLANK(D779),ISBLANK(E779),ISBLANK(H779)),"Missing Value",
  D779&lt;0,"Review – Out of Range (Claim Amount)",
  H779&lt;0,"Review – Out of Range (Days to Process)",
  TRUE,"OK"
)</f>
        <v>OK</v>
      </c>
    </row>
    <row r="780" spans="1:9" ht="16.8" x14ac:dyDescent="0.3">
      <c r="A780" s="11" t="s">
        <v>7287</v>
      </c>
      <c r="B780" s="11" t="s">
        <v>4923</v>
      </c>
      <c r="C780" s="12">
        <v>45118</v>
      </c>
      <c r="D780" s="11">
        <v>44675.87</v>
      </c>
      <c r="E780" s="11" t="s">
        <v>6505</v>
      </c>
      <c r="F780" s="11" t="s">
        <v>6509</v>
      </c>
      <c r="G780" s="11" t="s">
        <v>46</v>
      </c>
      <c r="H780" s="11">
        <v>6</v>
      </c>
      <c r="I780" s="13" t="str" cm="1">
        <f t="array" ref="I780">_xlfn.IFS(
  OR(ISBLANK(A780),ISBLANK(B780),ISBLANK(D780),ISBLANK(E780),ISBLANK(H780)),"Missing Value",
  D780&lt;0,"Review – Out of Range (Claim Amount)",
  H780&lt;0,"Review – Out of Range (Days to Process)",
  TRUE,"OK"
)</f>
        <v>OK</v>
      </c>
    </row>
    <row r="781" spans="1:9" ht="16.8" x14ac:dyDescent="0.3">
      <c r="A781" s="14" t="s">
        <v>7288</v>
      </c>
      <c r="B781" s="14" t="s">
        <v>5414</v>
      </c>
      <c r="C781" s="15">
        <v>45165</v>
      </c>
      <c r="D781" s="14">
        <v>496290.6</v>
      </c>
      <c r="E781" s="14" t="s">
        <v>6502</v>
      </c>
      <c r="F781" s="14" t="s">
        <v>6506</v>
      </c>
      <c r="G781" s="14" t="s">
        <v>45</v>
      </c>
      <c r="H781" s="14">
        <v>43</v>
      </c>
      <c r="I781" s="13" t="str" cm="1">
        <f t="array" ref="I781">_xlfn.IFS(
  OR(ISBLANK(A781),ISBLANK(B781),ISBLANK(D781),ISBLANK(E781),ISBLANK(H781)),"Missing Value",
  D781&lt;0,"Review – Out of Range (Claim Amount)",
  H781&lt;0,"Review – Out of Range (Days to Process)",
  TRUE,"OK"
)</f>
        <v>OK</v>
      </c>
    </row>
    <row r="782" spans="1:9" ht="16.8" x14ac:dyDescent="0.3">
      <c r="A782" s="11" t="s">
        <v>7289</v>
      </c>
      <c r="B782" s="11" t="s">
        <v>5572</v>
      </c>
      <c r="C782" s="12">
        <v>44159</v>
      </c>
      <c r="D782" s="11">
        <v>313739.73</v>
      </c>
      <c r="E782" s="11" t="s">
        <v>6505</v>
      </c>
      <c r="F782" s="11" t="s">
        <v>6503</v>
      </c>
      <c r="G782" s="11" t="s">
        <v>45</v>
      </c>
      <c r="H782" s="11">
        <v>15</v>
      </c>
      <c r="I782" s="13" t="str" cm="1">
        <f t="array" ref="I782">_xlfn.IFS(
  OR(ISBLANK(A782),ISBLANK(B782),ISBLANK(D782),ISBLANK(E782),ISBLANK(H782)),"Missing Value",
  D782&lt;0,"Review – Out of Range (Claim Amount)",
  H782&lt;0,"Review – Out of Range (Days to Process)",
  TRUE,"OK"
)</f>
        <v>OK</v>
      </c>
    </row>
    <row r="783" spans="1:9" ht="16.8" x14ac:dyDescent="0.3">
      <c r="A783" s="14" t="s">
        <v>7290</v>
      </c>
      <c r="B783" s="14" t="s">
        <v>4384</v>
      </c>
      <c r="C783" s="15">
        <v>45800</v>
      </c>
      <c r="D783" s="14">
        <v>471771.24</v>
      </c>
      <c r="E783" s="14" t="s">
        <v>6505</v>
      </c>
      <c r="F783" s="14" t="s">
        <v>6506</v>
      </c>
      <c r="G783" s="14" t="s">
        <v>46</v>
      </c>
      <c r="H783" s="14">
        <v>18</v>
      </c>
      <c r="I783" s="13" t="str" cm="1">
        <f t="array" ref="I783">_xlfn.IFS(
  OR(ISBLANK(A783),ISBLANK(B783),ISBLANK(D783),ISBLANK(E783),ISBLANK(H783)),"Missing Value",
  D783&lt;0,"Review – Out of Range (Claim Amount)",
  H783&lt;0,"Review – Out of Range (Days to Process)",
  TRUE,"OK"
)</f>
        <v>OK</v>
      </c>
    </row>
    <row r="784" spans="1:9" ht="16.8" x14ac:dyDescent="0.3">
      <c r="A784" s="11" t="s">
        <v>7291</v>
      </c>
      <c r="B784" s="11" t="s">
        <v>6391</v>
      </c>
      <c r="C784" s="12">
        <v>45110</v>
      </c>
      <c r="D784" s="11">
        <v>121450.89</v>
      </c>
      <c r="E784" s="11" t="s">
        <v>6502</v>
      </c>
      <c r="F784" s="11" t="s">
        <v>6511</v>
      </c>
      <c r="G784" s="11" t="s">
        <v>46</v>
      </c>
      <c r="H784" s="11">
        <v>20</v>
      </c>
      <c r="I784" s="13" t="str" cm="1">
        <f t="array" ref="I784">_xlfn.IFS(
  OR(ISBLANK(A784),ISBLANK(B784),ISBLANK(D784),ISBLANK(E784),ISBLANK(H784)),"Missing Value",
  D784&lt;0,"Review – Out of Range (Claim Amount)",
  H784&lt;0,"Review – Out of Range (Days to Process)",
  TRUE,"OK"
)</f>
        <v>OK</v>
      </c>
    </row>
    <row r="785" spans="1:9" ht="16.8" x14ac:dyDescent="0.3">
      <c r="A785" s="14" t="s">
        <v>7292</v>
      </c>
      <c r="B785" s="14" t="s">
        <v>4772</v>
      </c>
      <c r="C785" s="15">
        <v>45285</v>
      </c>
      <c r="D785" s="14">
        <v>301869.28000000003</v>
      </c>
      <c r="E785" s="14" t="s">
        <v>6505</v>
      </c>
      <c r="F785" s="14" t="s">
        <v>6503</v>
      </c>
      <c r="G785" s="14" t="s">
        <v>45</v>
      </c>
      <c r="H785" s="14">
        <v>48</v>
      </c>
      <c r="I785" s="13" t="str" cm="1">
        <f t="array" ref="I785">_xlfn.IFS(
  OR(ISBLANK(A785),ISBLANK(B785),ISBLANK(D785),ISBLANK(E785),ISBLANK(H785)),"Missing Value",
  D785&lt;0,"Review – Out of Range (Claim Amount)",
  H785&lt;0,"Review – Out of Range (Days to Process)",
  TRUE,"OK"
)</f>
        <v>OK</v>
      </c>
    </row>
    <row r="786" spans="1:9" ht="16.8" x14ac:dyDescent="0.3">
      <c r="A786" s="11" t="s">
        <v>7293</v>
      </c>
      <c r="B786" s="11" t="s">
        <v>5300</v>
      </c>
      <c r="C786" s="12">
        <v>45528</v>
      </c>
      <c r="D786" s="11">
        <v>130944.07</v>
      </c>
      <c r="E786" s="11" t="s">
        <v>6505</v>
      </c>
      <c r="F786" s="11" t="s">
        <v>6503</v>
      </c>
      <c r="G786" s="11" t="s">
        <v>45</v>
      </c>
      <c r="H786" s="11">
        <v>57</v>
      </c>
      <c r="I786" s="13" t="str" cm="1">
        <f t="array" ref="I786">_xlfn.IFS(
  OR(ISBLANK(A786),ISBLANK(B786),ISBLANK(D786),ISBLANK(E786),ISBLANK(H786)),"Missing Value",
  D786&lt;0,"Review – Out of Range (Claim Amount)",
  H786&lt;0,"Review – Out of Range (Days to Process)",
  TRUE,"OK"
)</f>
        <v>OK</v>
      </c>
    </row>
    <row r="787" spans="1:9" ht="16.8" x14ac:dyDescent="0.3">
      <c r="A787" s="14" t="s">
        <v>7294</v>
      </c>
      <c r="B787" s="14" t="s">
        <v>5255</v>
      </c>
      <c r="C787" s="15">
        <v>44682</v>
      </c>
      <c r="D787" s="14">
        <v>341113.93</v>
      </c>
      <c r="E787" s="14" t="s">
        <v>6508</v>
      </c>
      <c r="F787" s="14" t="s">
        <v>6509</v>
      </c>
      <c r="G787" s="14" t="s">
        <v>46</v>
      </c>
      <c r="H787" s="14">
        <v>19</v>
      </c>
      <c r="I787" s="13" t="str" cm="1">
        <f t="array" ref="I787">_xlfn.IFS(
  OR(ISBLANK(A787),ISBLANK(B787),ISBLANK(D787),ISBLANK(E787),ISBLANK(H787)),"Missing Value",
  D787&lt;0,"Review – Out of Range (Claim Amount)",
  H787&lt;0,"Review – Out of Range (Days to Process)",
  TRUE,"OK"
)</f>
        <v>OK</v>
      </c>
    </row>
    <row r="788" spans="1:9" ht="16.8" x14ac:dyDescent="0.3">
      <c r="A788" s="11" t="s">
        <v>7295</v>
      </c>
      <c r="B788" s="11" t="s">
        <v>5864</v>
      </c>
      <c r="C788" s="12">
        <v>45201</v>
      </c>
      <c r="D788" s="11">
        <v>429163.27</v>
      </c>
      <c r="E788" s="11" t="s">
        <v>6508</v>
      </c>
      <c r="F788" s="11" t="s">
        <v>6506</v>
      </c>
      <c r="G788" s="11" t="s">
        <v>46</v>
      </c>
      <c r="H788" s="11">
        <v>14</v>
      </c>
      <c r="I788" s="13" t="str" cm="1">
        <f t="array" ref="I788">_xlfn.IFS(
  OR(ISBLANK(A788),ISBLANK(B788),ISBLANK(D788),ISBLANK(E788),ISBLANK(H788)),"Missing Value",
  D788&lt;0,"Review – Out of Range (Claim Amount)",
  H788&lt;0,"Review – Out of Range (Days to Process)",
  TRUE,"OK"
)</f>
        <v>OK</v>
      </c>
    </row>
    <row r="789" spans="1:9" ht="16.8" x14ac:dyDescent="0.3">
      <c r="A789" s="14" t="s">
        <v>7296</v>
      </c>
      <c r="B789" s="14" t="s">
        <v>4362</v>
      </c>
      <c r="C789" s="15">
        <v>45085</v>
      </c>
      <c r="D789" s="14">
        <v>191474.47</v>
      </c>
      <c r="E789" s="14" t="s">
        <v>6502</v>
      </c>
      <c r="F789" s="14" t="s">
        <v>6506</v>
      </c>
      <c r="G789" s="14" t="s">
        <v>45</v>
      </c>
      <c r="H789" s="14">
        <v>52</v>
      </c>
      <c r="I789" s="13" t="str" cm="1">
        <f t="array" ref="I789">_xlfn.IFS(
  OR(ISBLANK(A789),ISBLANK(B789),ISBLANK(D789),ISBLANK(E789),ISBLANK(H789)),"Missing Value",
  D789&lt;0,"Review – Out of Range (Claim Amount)",
  H789&lt;0,"Review – Out of Range (Days to Process)",
  TRUE,"OK"
)</f>
        <v>OK</v>
      </c>
    </row>
    <row r="790" spans="1:9" ht="16.8" x14ac:dyDescent="0.3">
      <c r="A790" s="11" t="s">
        <v>7297</v>
      </c>
      <c r="B790" s="11" t="s">
        <v>6430</v>
      </c>
      <c r="C790" s="12">
        <v>44235</v>
      </c>
      <c r="D790" s="11">
        <v>157892.15</v>
      </c>
      <c r="E790" s="11" t="s">
        <v>6505</v>
      </c>
      <c r="F790" s="11" t="s">
        <v>6516</v>
      </c>
      <c r="G790" s="11" t="s">
        <v>45</v>
      </c>
      <c r="H790" s="11">
        <v>19</v>
      </c>
      <c r="I790" s="13" t="str" cm="1">
        <f t="array" ref="I790">_xlfn.IFS(
  OR(ISBLANK(A790),ISBLANK(B790),ISBLANK(D790),ISBLANK(E790),ISBLANK(H790)),"Missing Value",
  D790&lt;0,"Review – Out of Range (Claim Amount)",
  H790&lt;0,"Review – Out of Range (Days to Process)",
  TRUE,"OK"
)</f>
        <v>OK</v>
      </c>
    </row>
    <row r="791" spans="1:9" ht="16.8" x14ac:dyDescent="0.3">
      <c r="A791" s="14" t="s">
        <v>7298</v>
      </c>
      <c r="B791" s="14" t="s">
        <v>3996</v>
      </c>
      <c r="C791" s="15">
        <v>45259</v>
      </c>
      <c r="D791" s="14">
        <v>311915.96999999997</v>
      </c>
      <c r="E791" s="14" t="s">
        <v>6502</v>
      </c>
      <c r="F791" s="14" t="s">
        <v>6509</v>
      </c>
      <c r="G791" s="14" t="s">
        <v>46</v>
      </c>
      <c r="H791" s="14">
        <v>17</v>
      </c>
      <c r="I791" s="13" t="str" cm="1">
        <f t="array" ref="I791">_xlfn.IFS(
  OR(ISBLANK(A791),ISBLANK(B791),ISBLANK(D791),ISBLANK(E791),ISBLANK(H791)),"Missing Value",
  D791&lt;0,"Review – Out of Range (Claim Amount)",
  H791&lt;0,"Review – Out of Range (Days to Process)",
  TRUE,"OK"
)</f>
        <v>OK</v>
      </c>
    </row>
    <row r="792" spans="1:9" ht="16.8" x14ac:dyDescent="0.3">
      <c r="A792" s="11" t="s">
        <v>7299</v>
      </c>
      <c r="B792" s="11" t="s">
        <v>5977</v>
      </c>
      <c r="C792" s="12">
        <v>45748</v>
      </c>
      <c r="D792" s="11">
        <v>90310.39</v>
      </c>
      <c r="E792" s="11" t="s">
        <v>6505</v>
      </c>
      <c r="F792" s="11" t="s">
        <v>6506</v>
      </c>
      <c r="G792" s="11" t="s">
        <v>45</v>
      </c>
      <c r="H792" s="11">
        <v>9</v>
      </c>
      <c r="I792" s="13" t="str" cm="1">
        <f t="array" ref="I792">_xlfn.IFS(
  OR(ISBLANK(A792),ISBLANK(B792),ISBLANK(D792),ISBLANK(E792),ISBLANK(H792)),"Missing Value",
  D792&lt;0,"Review – Out of Range (Claim Amount)",
  H792&lt;0,"Review – Out of Range (Days to Process)",
  TRUE,"OK"
)</f>
        <v>OK</v>
      </c>
    </row>
    <row r="793" spans="1:9" ht="16.8" x14ac:dyDescent="0.3">
      <c r="A793" s="14" t="s">
        <v>7300</v>
      </c>
      <c r="B793" s="14" t="s">
        <v>3933</v>
      </c>
      <c r="C793" s="15">
        <v>45117</v>
      </c>
      <c r="D793" s="14">
        <v>175139.82</v>
      </c>
      <c r="E793" s="14" t="s">
        <v>6508</v>
      </c>
      <c r="F793" s="14" t="s">
        <v>6506</v>
      </c>
      <c r="G793" s="14" t="s">
        <v>46</v>
      </c>
      <c r="H793" s="14">
        <v>21</v>
      </c>
      <c r="I793" s="13" t="str" cm="1">
        <f t="array" ref="I793">_xlfn.IFS(
  OR(ISBLANK(A793),ISBLANK(B793),ISBLANK(D793),ISBLANK(E793),ISBLANK(H793)),"Missing Value",
  D793&lt;0,"Review – Out of Range (Claim Amount)",
  H793&lt;0,"Review – Out of Range (Days to Process)",
  TRUE,"OK"
)</f>
        <v>OK</v>
      </c>
    </row>
    <row r="794" spans="1:9" ht="16.8" x14ac:dyDescent="0.3">
      <c r="A794" s="11" t="s">
        <v>7301</v>
      </c>
      <c r="B794" s="11" t="s">
        <v>6093</v>
      </c>
      <c r="C794" s="12">
        <v>44477</v>
      </c>
      <c r="D794" s="11">
        <v>127148.72</v>
      </c>
      <c r="E794" s="11" t="s">
        <v>6502</v>
      </c>
      <c r="F794" s="11" t="s">
        <v>6503</v>
      </c>
      <c r="G794" s="11" t="s">
        <v>45</v>
      </c>
      <c r="H794" s="11">
        <v>49</v>
      </c>
      <c r="I794" s="13" t="str" cm="1">
        <f t="array" ref="I794">_xlfn.IFS(
  OR(ISBLANK(A794),ISBLANK(B794),ISBLANK(D794),ISBLANK(E794),ISBLANK(H794)),"Missing Value",
  D794&lt;0,"Review – Out of Range (Claim Amount)",
  H794&lt;0,"Review – Out of Range (Days to Process)",
  TRUE,"OK"
)</f>
        <v>OK</v>
      </c>
    </row>
    <row r="795" spans="1:9" ht="16.8" x14ac:dyDescent="0.3">
      <c r="A795" s="14" t="s">
        <v>7302</v>
      </c>
      <c r="B795" s="14" t="s">
        <v>5995</v>
      </c>
      <c r="C795" s="15">
        <v>45168</v>
      </c>
      <c r="D795" s="14">
        <v>88281.36</v>
      </c>
      <c r="E795" s="14" t="s">
        <v>6502</v>
      </c>
      <c r="F795" s="14" t="s">
        <v>6509</v>
      </c>
      <c r="G795" s="14" t="s">
        <v>46</v>
      </c>
      <c r="H795" s="14">
        <v>27</v>
      </c>
      <c r="I795" s="13" t="str" cm="1">
        <f t="array" ref="I795">_xlfn.IFS(
  OR(ISBLANK(A795),ISBLANK(B795),ISBLANK(D795),ISBLANK(E795),ISBLANK(H795)),"Missing Value",
  D795&lt;0,"Review – Out of Range (Claim Amount)",
  H795&lt;0,"Review – Out of Range (Days to Process)",
  TRUE,"OK"
)</f>
        <v>OK</v>
      </c>
    </row>
    <row r="796" spans="1:9" ht="16.8" x14ac:dyDescent="0.3">
      <c r="A796" s="11" t="s">
        <v>7303</v>
      </c>
      <c r="B796" s="11" t="s">
        <v>4169</v>
      </c>
      <c r="C796" s="12">
        <v>45499</v>
      </c>
      <c r="D796" s="11">
        <v>208136.26</v>
      </c>
      <c r="E796" s="11" t="s">
        <v>6502</v>
      </c>
      <c r="F796" s="11" t="s">
        <v>6516</v>
      </c>
      <c r="G796" s="11" t="s">
        <v>46</v>
      </c>
      <c r="H796" s="11">
        <v>7</v>
      </c>
      <c r="I796" s="13" t="str" cm="1">
        <f t="array" ref="I796">_xlfn.IFS(
  OR(ISBLANK(A796),ISBLANK(B796),ISBLANK(D796),ISBLANK(E796),ISBLANK(H796)),"Missing Value",
  D796&lt;0,"Review – Out of Range (Claim Amount)",
  H796&lt;0,"Review – Out of Range (Days to Process)",
  TRUE,"OK"
)</f>
        <v>OK</v>
      </c>
    </row>
    <row r="797" spans="1:9" ht="16.8" x14ac:dyDescent="0.3">
      <c r="A797" s="14" t="s">
        <v>7304</v>
      </c>
      <c r="B797" s="14" t="s">
        <v>5057</v>
      </c>
      <c r="C797" s="15">
        <v>45294</v>
      </c>
      <c r="D797" s="14">
        <v>116339.84</v>
      </c>
      <c r="E797" s="14" t="s">
        <v>6508</v>
      </c>
      <c r="F797" s="14" t="s">
        <v>6516</v>
      </c>
      <c r="G797" s="14" t="s">
        <v>46</v>
      </c>
      <c r="H797" s="14">
        <v>19</v>
      </c>
      <c r="I797" s="13" t="str" cm="1">
        <f t="array" ref="I797">_xlfn.IFS(
  OR(ISBLANK(A797),ISBLANK(B797),ISBLANK(D797),ISBLANK(E797),ISBLANK(H797)),"Missing Value",
  D797&lt;0,"Review – Out of Range (Claim Amount)",
  H797&lt;0,"Review – Out of Range (Days to Process)",
  TRUE,"OK"
)</f>
        <v>OK</v>
      </c>
    </row>
    <row r="798" spans="1:9" ht="16.8" x14ac:dyDescent="0.3">
      <c r="A798" s="11" t="s">
        <v>7305</v>
      </c>
      <c r="B798" s="11" t="s">
        <v>4618</v>
      </c>
      <c r="C798" s="12">
        <v>45187</v>
      </c>
      <c r="D798" s="11">
        <v>438142.83</v>
      </c>
      <c r="E798" s="11" t="s">
        <v>6505</v>
      </c>
      <c r="F798" s="11" t="s">
        <v>6511</v>
      </c>
      <c r="G798" s="11" t="s">
        <v>45</v>
      </c>
      <c r="H798" s="11">
        <v>59</v>
      </c>
      <c r="I798" s="13" t="str" cm="1">
        <f t="array" ref="I798">_xlfn.IFS(
  OR(ISBLANK(A798),ISBLANK(B798),ISBLANK(D798),ISBLANK(E798),ISBLANK(H798)),"Missing Value",
  D798&lt;0,"Review – Out of Range (Claim Amount)",
  H798&lt;0,"Review – Out of Range (Days to Process)",
  TRUE,"OK"
)</f>
        <v>OK</v>
      </c>
    </row>
    <row r="799" spans="1:9" ht="16.8" x14ac:dyDescent="0.3">
      <c r="A799" s="14" t="s">
        <v>7306</v>
      </c>
      <c r="B799" s="14" t="s">
        <v>6473</v>
      </c>
      <c r="C799" s="15">
        <v>45296</v>
      </c>
      <c r="D799" s="14">
        <v>473718.12</v>
      </c>
      <c r="E799" s="14" t="s">
        <v>6508</v>
      </c>
      <c r="F799" s="14" t="s">
        <v>6506</v>
      </c>
      <c r="G799" s="14" t="s">
        <v>46</v>
      </c>
      <c r="H799" s="14">
        <v>18</v>
      </c>
      <c r="I799" s="13" t="str" cm="1">
        <f t="array" ref="I799">_xlfn.IFS(
  OR(ISBLANK(A799),ISBLANK(B799),ISBLANK(D799),ISBLANK(E799),ISBLANK(H799)),"Missing Value",
  D799&lt;0,"Review – Out of Range (Claim Amount)",
  H799&lt;0,"Review – Out of Range (Days to Process)",
  TRUE,"OK"
)</f>
        <v>OK</v>
      </c>
    </row>
    <row r="800" spans="1:9" ht="16.8" x14ac:dyDescent="0.3">
      <c r="A800" s="11" t="s">
        <v>7307</v>
      </c>
      <c r="B800" s="11" t="s">
        <v>5220</v>
      </c>
      <c r="C800" s="12">
        <v>44757</v>
      </c>
      <c r="D800" s="11">
        <v>389335.59</v>
      </c>
      <c r="E800" s="11" t="s">
        <v>6505</v>
      </c>
      <c r="F800" s="11" t="s">
        <v>6506</v>
      </c>
      <c r="G800" s="11" t="s">
        <v>45</v>
      </c>
      <c r="H800" s="11">
        <v>21</v>
      </c>
      <c r="I800" s="13" t="str" cm="1">
        <f t="array" ref="I800">_xlfn.IFS(
  OR(ISBLANK(A800),ISBLANK(B800),ISBLANK(D800),ISBLANK(E800),ISBLANK(H800)),"Missing Value",
  D800&lt;0,"Review – Out of Range (Claim Amount)",
  H800&lt;0,"Review – Out of Range (Days to Process)",
  TRUE,"OK"
)</f>
        <v>OK</v>
      </c>
    </row>
    <row r="801" spans="1:9" ht="16.8" x14ac:dyDescent="0.3">
      <c r="A801" s="14" t="s">
        <v>7308</v>
      </c>
      <c r="B801" s="14" t="s">
        <v>5343</v>
      </c>
      <c r="C801" s="15">
        <v>44709</v>
      </c>
      <c r="D801" s="14">
        <v>412253.84</v>
      </c>
      <c r="E801" s="14" t="s">
        <v>6502</v>
      </c>
      <c r="F801" s="14" t="s">
        <v>6506</v>
      </c>
      <c r="G801" s="14" t="s">
        <v>46</v>
      </c>
      <c r="H801" s="14">
        <v>43</v>
      </c>
      <c r="I801" s="13" t="str" cm="1">
        <f t="array" ref="I801">_xlfn.IFS(
  OR(ISBLANK(A801),ISBLANK(B801),ISBLANK(D801),ISBLANK(E801),ISBLANK(H801)),"Missing Value",
  D801&lt;0,"Review – Out of Range (Claim Amount)",
  H801&lt;0,"Review – Out of Range (Days to Process)",
  TRUE,"OK"
)</f>
        <v>OK</v>
      </c>
    </row>
    <row r="802" spans="1:9" ht="16.8" x14ac:dyDescent="0.3">
      <c r="A802" s="11" t="s">
        <v>7309</v>
      </c>
      <c r="B802" s="11" t="s">
        <v>5771</v>
      </c>
      <c r="C802" s="12">
        <v>45121</v>
      </c>
      <c r="D802" s="11">
        <v>363565.7</v>
      </c>
      <c r="E802" s="11" t="s">
        <v>6502</v>
      </c>
      <c r="F802" s="11" t="s">
        <v>6516</v>
      </c>
      <c r="G802" s="11" t="s">
        <v>46</v>
      </c>
      <c r="H802" s="11">
        <v>32</v>
      </c>
      <c r="I802" s="13" t="str" cm="1">
        <f t="array" ref="I802">_xlfn.IFS(
  OR(ISBLANK(A802),ISBLANK(B802),ISBLANK(D802),ISBLANK(E802),ISBLANK(H802)),"Missing Value",
  D802&lt;0,"Review – Out of Range (Claim Amount)",
  H802&lt;0,"Review – Out of Range (Days to Process)",
  TRUE,"OK"
)</f>
        <v>OK</v>
      </c>
    </row>
    <row r="803" spans="1:9" ht="16.8" x14ac:dyDescent="0.3">
      <c r="A803" s="14" t="s">
        <v>7310</v>
      </c>
      <c r="B803" s="14" t="s">
        <v>5877</v>
      </c>
      <c r="C803" s="15">
        <v>45151</v>
      </c>
      <c r="D803" s="14">
        <v>395240.87</v>
      </c>
      <c r="E803" s="14" t="s">
        <v>6508</v>
      </c>
      <c r="F803" s="14" t="s">
        <v>6503</v>
      </c>
      <c r="G803" s="14" t="s">
        <v>46</v>
      </c>
      <c r="H803" s="14">
        <v>17</v>
      </c>
      <c r="I803" s="13" t="str" cm="1">
        <f t="array" ref="I803">_xlfn.IFS(
  OR(ISBLANK(A803),ISBLANK(B803),ISBLANK(D803),ISBLANK(E803),ISBLANK(H803)),"Missing Value",
  D803&lt;0,"Review – Out of Range (Claim Amount)",
  H803&lt;0,"Review – Out of Range (Days to Process)",
  TRUE,"OK"
)</f>
        <v>OK</v>
      </c>
    </row>
    <row r="804" spans="1:9" ht="16.8" x14ac:dyDescent="0.3">
      <c r="A804" s="11" t="s">
        <v>7311</v>
      </c>
      <c r="B804" s="11" t="s">
        <v>3989</v>
      </c>
      <c r="C804" s="12">
        <v>45427</v>
      </c>
      <c r="D804" s="11">
        <v>190861.2</v>
      </c>
      <c r="E804" s="11" t="s">
        <v>6502</v>
      </c>
      <c r="F804" s="11" t="s">
        <v>6503</v>
      </c>
      <c r="G804" s="11" t="s">
        <v>46</v>
      </c>
      <c r="H804" s="11">
        <v>15</v>
      </c>
      <c r="I804" s="13" t="str" cm="1">
        <f t="array" ref="I804">_xlfn.IFS(
  OR(ISBLANK(A804),ISBLANK(B804),ISBLANK(D804),ISBLANK(E804),ISBLANK(H804)),"Missing Value",
  D804&lt;0,"Review – Out of Range (Claim Amount)",
  H804&lt;0,"Review – Out of Range (Days to Process)",
  TRUE,"OK"
)</f>
        <v>OK</v>
      </c>
    </row>
    <row r="805" spans="1:9" ht="16.8" x14ac:dyDescent="0.3">
      <c r="A805" s="14" t="s">
        <v>7312</v>
      </c>
      <c r="B805" s="14" t="s">
        <v>5475</v>
      </c>
      <c r="C805" s="15">
        <v>44405</v>
      </c>
      <c r="D805" s="14">
        <v>104444.39</v>
      </c>
      <c r="E805" s="14" t="s">
        <v>6508</v>
      </c>
      <c r="F805" s="14" t="s">
        <v>6509</v>
      </c>
      <c r="G805" s="14" t="s">
        <v>46</v>
      </c>
      <c r="H805" s="14">
        <v>39</v>
      </c>
      <c r="I805" s="13" t="str" cm="1">
        <f t="array" ref="I805">_xlfn.IFS(
  OR(ISBLANK(A805),ISBLANK(B805),ISBLANK(D805),ISBLANK(E805),ISBLANK(H805)),"Missing Value",
  D805&lt;0,"Review – Out of Range (Claim Amount)",
  H805&lt;0,"Review – Out of Range (Days to Process)",
  TRUE,"OK"
)</f>
        <v>OK</v>
      </c>
    </row>
    <row r="806" spans="1:9" ht="16.8" x14ac:dyDescent="0.3">
      <c r="A806" s="11" t="s">
        <v>7313</v>
      </c>
      <c r="B806" s="11" t="s">
        <v>5681</v>
      </c>
      <c r="C806" s="12">
        <v>44618</v>
      </c>
      <c r="D806" s="11">
        <v>290085.44</v>
      </c>
      <c r="E806" s="11" t="s">
        <v>6508</v>
      </c>
      <c r="F806" s="11" t="s">
        <v>6506</v>
      </c>
      <c r="G806" s="11" t="s">
        <v>46</v>
      </c>
      <c r="H806" s="11">
        <v>18</v>
      </c>
      <c r="I806" s="13" t="str" cm="1">
        <f t="array" ref="I806">_xlfn.IFS(
  OR(ISBLANK(A806),ISBLANK(B806),ISBLANK(D806),ISBLANK(E806),ISBLANK(H806)),"Missing Value",
  D806&lt;0,"Review – Out of Range (Claim Amount)",
  H806&lt;0,"Review – Out of Range (Days to Process)",
  TRUE,"OK"
)</f>
        <v>OK</v>
      </c>
    </row>
    <row r="807" spans="1:9" ht="16.8" x14ac:dyDescent="0.3">
      <c r="A807" s="14" t="s">
        <v>7314</v>
      </c>
      <c r="B807" s="14" t="s">
        <v>4879</v>
      </c>
      <c r="C807" s="15">
        <v>45058</v>
      </c>
      <c r="D807" s="14">
        <v>117351.88</v>
      </c>
      <c r="E807" s="14" t="s">
        <v>6508</v>
      </c>
      <c r="F807" s="14" t="s">
        <v>6511</v>
      </c>
      <c r="G807" s="14" t="s">
        <v>46</v>
      </c>
      <c r="H807" s="14">
        <v>46</v>
      </c>
      <c r="I807" s="13" t="str" cm="1">
        <f t="array" ref="I807">_xlfn.IFS(
  OR(ISBLANK(A807),ISBLANK(B807),ISBLANK(D807),ISBLANK(E807),ISBLANK(H807)),"Missing Value",
  D807&lt;0,"Review – Out of Range (Claim Amount)",
  H807&lt;0,"Review – Out of Range (Days to Process)",
  TRUE,"OK"
)</f>
        <v>OK</v>
      </c>
    </row>
    <row r="808" spans="1:9" ht="16.8" x14ac:dyDescent="0.3">
      <c r="A808" s="11" t="s">
        <v>7315</v>
      </c>
      <c r="B808" s="11" t="s">
        <v>3468</v>
      </c>
      <c r="C808" s="12">
        <v>45421</v>
      </c>
      <c r="D808" s="11">
        <v>250884.61</v>
      </c>
      <c r="E808" s="11" t="s">
        <v>6505</v>
      </c>
      <c r="F808" s="11" t="s">
        <v>6503</v>
      </c>
      <c r="G808" s="11" t="s">
        <v>45</v>
      </c>
      <c r="H808" s="11">
        <v>33</v>
      </c>
      <c r="I808" s="13" t="str" cm="1">
        <f t="array" ref="I808">_xlfn.IFS(
  OR(ISBLANK(A808),ISBLANK(B808),ISBLANK(D808),ISBLANK(E808),ISBLANK(H808)),"Missing Value",
  D808&lt;0,"Review – Out of Range (Claim Amount)",
  H808&lt;0,"Review – Out of Range (Days to Process)",
  TRUE,"OK"
)</f>
        <v>OK</v>
      </c>
    </row>
    <row r="809" spans="1:9" ht="16.8" x14ac:dyDescent="0.3">
      <c r="A809" s="14" t="s">
        <v>7316</v>
      </c>
      <c r="B809" s="14" t="s">
        <v>4807</v>
      </c>
      <c r="C809" s="15">
        <v>44655</v>
      </c>
      <c r="D809" s="14">
        <v>25197.75</v>
      </c>
      <c r="E809" s="14" t="s">
        <v>6502</v>
      </c>
      <c r="F809" s="14" t="s">
        <v>6511</v>
      </c>
      <c r="G809" s="14" t="s">
        <v>45</v>
      </c>
      <c r="H809" s="14">
        <v>7</v>
      </c>
      <c r="I809" s="13" t="str" cm="1">
        <f t="array" ref="I809">_xlfn.IFS(
  OR(ISBLANK(A809),ISBLANK(B809),ISBLANK(D809),ISBLANK(E809),ISBLANK(H809)),"Missing Value",
  D809&lt;0,"Review – Out of Range (Claim Amount)",
  H809&lt;0,"Review – Out of Range (Days to Process)",
  TRUE,"OK"
)</f>
        <v>OK</v>
      </c>
    </row>
    <row r="810" spans="1:9" ht="16.8" x14ac:dyDescent="0.3">
      <c r="A810" s="11" t="s">
        <v>7317</v>
      </c>
      <c r="B810" s="11" t="s">
        <v>3871</v>
      </c>
      <c r="C810" s="12">
        <v>45295</v>
      </c>
      <c r="D810" s="11">
        <v>446416.11</v>
      </c>
      <c r="E810" s="11" t="s">
        <v>6508</v>
      </c>
      <c r="F810" s="11" t="s">
        <v>6509</v>
      </c>
      <c r="G810" s="11" t="s">
        <v>46</v>
      </c>
      <c r="H810" s="11">
        <v>10</v>
      </c>
      <c r="I810" s="13" t="str" cm="1">
        <f t="array" ref="I810">_xlfn.IFS(
  OR(ISBLANK(A810),ISBLANK(B810),ISBLANK(D810),ISBLANK(E810),ISBLANK(H810)),"Missing Value",
  D810&lt;0,"Review – Out of Range (Claim Amount)",
  H810&lt;0,"Review – Out of Range (Days to Process)",
  TRUE,"OK"
)</f>
        <v>OK</v>
      </c>
    </row>
    <row r="811" spans="1:9" ht="16.8" x14ac:dyDescent="0.3">
      <c r="A811" s="14" t="s">
        <v>7318</v>
      </c>
      <c r="B811" s="14" t="s">
        <v>5895</v>
      </c>
      <c r="C811" s="15">
        <v>44767</v>
      </c>
      <c r="D811" s="14">
        <v>331135.65000000002</v>
      </c>
      <c r="E811" s="14" t="s">
        <v>6505</v>
      </c>
      <c r="F811" s="14" t="s">
        <v>6511</v>
      </c>
      <c r="G811" s="14" t="s">
        <v>45</v>
      </c>
      <c r="H811" s="14">
        <v>41</v>
      </c>
      <c r="I811" s="13" t="str" cm="1">
        <f t="array" ref="I811">_xlfn.IFS(
  OR(ISBLANK(A811),ISBLANK(B811),ISBLANK(D811),ISBLANK(E811),ISBLANK(H811)),"Missing Value",
  D811&lt;0,"Review – Out of Range (Claim Amount)",
  H811&lt;0,"Review – Out of Range (Days to Process)",
  TRUE,"OK"
)</f>
        <v>OK</v>
      </c>
    </row>
    <row r="812" spans="1:9" ht="16.8" x14ac:dyDescent="0.3">
      <c r="A812" s="11" t="s">
        <v>7319</v>
      </c>
      <c r="B812" s="11" t="s">
        <v>5600</v>
      </c>
      <c r="C812" s="12">
        <v>45670</v>
      </c>
      <c r="D812" s="11">
        <v>121080.34</v>
      </c>
      <c r="E812" s="11" t="s">
        <v>6508</v>
      </c>
      <c r="F812" s="11" t="s">
        <v>6516</v>
      </c>
      <c r="G812" s="11" t="s">
        <v>45</v>
      </c>
      <c r="H812" s="11">
        <v>38</v>
      </c>
      <c r="I812" s="13" t="str" cm="1">
        <f t="array" ref="I812">_xlfn.IFS(
  OR(ISBLANK(A812),ISBLANK(B812),ISBLANK(D812),ISBLANK(E812),ISBLANK(H812)),"Missing Value",
  D812&lt;0,"Review – Out of Range (Claim Amount)",
  H812&lt;0,"Review – Out of Range (Days to Process)",
  TRUE,"OK"
)</f>
        <v>OK</v>
      </c>
    </row>
    <row r="813" spans="1:9" ht="16.8" x14ac:dyDescent="0.3">
      <c r="A813" s="14" t="s">
        <v>7320</v>
      </c>
      <c r="B813" s="14" t="s">
        <v>3902</v>
      </c>
      <c r="C813" s="15">
        <v>44548</v>
      </c>
      <c r="D813" s="14">
        <v>434622.32</v>
      </c>
      <c r="E813" s="14" t="s">
        <v>6508</v>
      </c>
      <c r="F813" s="14" t="s">
        <v>6503</v>
      </c>
      <c r="G813" s="14" t="s">
        <v>45</v>
      </c>
      <c r="H813" s="14">
        <v>41</v>
      </c>
      <c r="I813" s="13" t="str" cm="1">
        <f t="array" ref="I813">_xlfn.IFS(
  OR(ISBLANK(A813),ISBLANK(B813),ISBLANK(D813),ISBLANK(E813),ISBLANK(H813)),"Missing Value",
  D813&lt;0,"Review – Out of Range (Claim Amount)",
  H813&lt;0,"Review – Out of Range (Days to Process)",
  TRUE,"OK"
)</f>
        <v>OK</v>
      </c>
    </row>
    <row r="814" spans="1:9" ht="16.8" x14ac:dyDescent="0.3">
      <c r="A814" s="11" t="s">
        <v>7321</v>
      </c>
      <c r="B814" s="11" t="s">
        <v>4237</v>
      </c>
      <c r="C814" s="12">
        <v>45461</v>
      </c>
      <c r="D814" s="11">
        <v>115908.86</v>
      </c>
      <c r="E814" s="11" t="s">
        <v>6502</v>
      </c>
      <c r="F814" s="11" t="s">
        <v>6506</v>
      </c>
      <c r="G814" s="11" t="s">
        <v>46</v>
      </c>
      <c r="H814" s="11">
        <v>20</v>
      </c>
      <c r="I814" s="13" t="str" cm="1">
        <f t="array" ref="I814">_xlfn.IFS(
  OR(ISBLANK(A814),ISBLANK(B814),ISBLANK(D814),ISBLANK(E814),ISBLANK(H814)),"Missing Value",
  D814&lt;0,"Review – Out of Range (Claim Amount)",
  H814&lt;0,"Review – Out of Range (Days to Process)",
  TRUE,"OK"
)</f>
        <v>OK</v>
      </c>
    </row>
    <row r="815" spans="1:9" ht="16.8" x14ac:dyDescent="0.3">
      <c r="A815" s="14" t="s">
        <v>7322</v>
      </c>
      <c r="B815" s="14" t="s">
        <v>4207</v>
      </c>
      <c r="C815" s="15">
        <v>44350</v>
      </c>
      <c r="D815" s="14">
        <v>197311.29</v>
      </c>
      <c r="E815" s="14" t="s">
        <v>6508</v>
      </c>
      <c r="F815" s="14" t="s">
        <v>6509</v>
      </c>
      <c r="G815" s="14" t="s">
        <v>45</v>
      </c>
      <c r="H815" s="14">
        <v>52</v>
      </c>
      <c r="I815" s="13" t="str" cm="1">
        <f t="array" ref="I815">_xlfn.IFS(
  OR(ISBLANK(A815),ISBLANK(B815),ISBLANK(D815),ISBLANK(E815),ISBLANK(H815)),"Missing Value",
  D815&lt;0,"Review – Out of Range (Claim Amount)",
  H815&lt;0,"Review – Out of Range (Days to Process)",
  TRUE,"OK"
)</f>
        <v>OK</v>
      </c>
    </row>
    <row r="816" spans="1:9" ht="16.8" x14ac:dyDescent="0.3">
      <c r="A816" s="11" t="s">
        <v>7323</v>
      </c>
      <c r="B816" s="11" t="s">
        <v>5202</v>
      </c>
      <c r="C816" s="12">
        <v>45060</v>
      </c>
      <c r="D816" s="11">
        <v>19824.41</v>
      </c>
      <c r="E816" s="11" t="s">
        <v>6502</v>
      </c>
      <c r="F816" s="11" t="s">
        <v>6506</v>
      </c>
      <c r="G816" s="11" t="s">
        <v>45</v>
      </c>
      <c r="H816" s="11">
        <v>39</v>
      </c>
      <c r="I816" s="13" t="str" cm="1">
        <f t="array" ref="I816">_xlfn.IFS(
  OR(ISBLANK(A816),ISBLANK(B816),ISBLANK(D816),ISBLANK(E816),ISBLANK(H816)),"Missing Value",
  D816&lt;0,"Review – Out of Range (Claim Amount)",
  H816&lt;0,"Review – Out of Range (Days to Process)",
  TRUE,"OK"
)</f>
        <v>OK</v>
      </c>
    </row>
    <row r="817" spans="1:9" ht="16.8" x14ac:dyDescent="0.3">
      <c r="A817" s="14" t="s">
        <v>7324</v>
      </c>
      <c r="B817" s="14" t="s">
        <v>5211</v>
      </c>
      <c r="C817" s="15">
        <v>45253</v>
      </c>
      <c r="D817" s="14">
        <v>183730.28</v>
      </c>
      <c r="E817" s="14" t="s">
        <v>6505</v>
      </c>
      <c r="F817" s="14" t="s">
        <v>6516</v>
      </c>
      <c r="G817" s="14" t="s">
        <v>45</v>
      </c>
      <c r="H817" s="14">
        <v>39</v>
      </c>
      <c r="I817" s="13" t="str" cm="1">
        <f t="array" ref="I817">_xlfn.IFS(
  OR(ISBLANK(A817),ISBLANK(B817),ISBLANK(D817),ISBLANK(E817),ISBLANK(H817)),"Missing Value",
  D817&lt;0,"Review – Out of Range (Claim Amount)",
  H817&lt;0,"Review – Out of Range (Days to Process)",
  TRUE,"OK"
)</f>
        <v>OK</v>
      </c>
    </row>
    <row r="818" spans="1:9" ht="16.8" x14ac:dyDescent="0.3">
      <c r="A818" s="11" t="s">
        <v>7325</v>
      </c>
      <c r="B818" s="11" t="s">
        <v>5023</v>
      </c>
      <c r="C818" s="12">
        <v>45505</v>
      </c>
      <c r="D818" s="11">
        <v>461062.52</v>
      </c>
      <c r="E818" s="11" t="s">
        <v>6508</v>
      </c>
      <c r="F818" s="11" t="s">
        <v>6506</v>
      </c>
      <c r="G818" s="11" t="s">
        <v>45</v>
      </c>
      <c r="H818" s="11">
        <v>24</v>
      </c>
      <c r="I818" s="13" t="str" cm="1">
        <f t="array" ref="I818">_xlfn.IFS(
  OR(ISBLANK(A818),ISBLANK(B818),ISBLANK(D818),ISBLANK(E818),ISBLANK(H818)),"Missing Value",
  D818&lt;0,"Review – Out of Range (Claim Amount)",
  H818&lt;0,"Review – Out of Range (Days to Process)",
  TRUE,"OK"
)</f>
        <v>OK</v>
      </c>
    </row>
    <row r="819" spans="1:9" ht="16.8" x14ac:dyDescent="0.3">
      <c r="A819" s="14" t="s">
        <v>7326</v>
      </c>
      <c r="B819" s="14" t="s">
        <v>3635</v>
      </c>
      <c r="C819" s="15">
        <v>45315</v>
      </c>
      <c r="D819" s="14">
        <v>476562.16</v>
      </c>
      <c r="E819" s="14" t="s">
        <v>6508</v>
      </c>
      <c r="F819" s="14" t="s">
        <v>6516</v>
      </c>
      <c r="G819" s="14" t="s">
        <v>45</v>
      </c>
      <c r="H819" s="14">
        <v>37</v>
      </c>
      <c r="I819" s="13" t="str" cm="1">
        <f t="array" ref="I819">_xlfn.IFS(
  OR(ISBLANK(A819),ISBLANK(B819),ISBLANK(D819),ISBLANK(E819),ISBLANK(H819)),"Missing Value",
  D819&lt;0,"Review – Out of Range (Claim Amount)",
  H819&lt;0,"Review – Out of Range (Days to Process)",
  TRUE,"OK"
)</f>
        <v>OK</v>
      </c>
    </row>
    <row r="820" spans="1:9" ht="16.8" x14ac:dyDescent="0.3">
      <c r="A820" s="11" t="s">
        <v>7327</v>
      </c>
      <c r="B820" s="11" t="s">
        <v>5963</v>
      </c>
      <c r="C820" s="12">
        <v>45513</v>
      </c>
      <c r="D820" s="11">
        <v>354780.05</v>
      </c>
      <c r="E820" s="11" t="s">
        <v>6508</v>
      </c>
      <c r="F820" s="11" t="s">
        <v>6503</v>
      </c>
      <c r="G820" s="11" t="s">
        <v>46</v>
      </c>
      <c r="H820" s="11">
        <v>18</v>
      </c>
      <c r="I820" s="13" t="str" cm="1">
        <f t="array" ref="I820">_xlfn.IFS(
  OR(ISBLANK(A820),ISBLANK(B820),ISBLANK(D820),ISBLANK(E820),ISBLANK(H820)),"Missing Value",
  D820&lt;0,"Review – Out of Range (Claim Amount)",
  H820&lt;0,"Review – Out of Range (Days to Process)",
  TRUE,"OK"
)</f>
        <v>OK</v>
      </c>
    </row>
    <row r="821" spans="1:9" ht="16.8" x14ac:dyDescent="0.3">
      <c r="A821" s="14" t="s">
        <v>7328</v>
      </c>
      <c r="B821" s="14" t="s">
        <v>3818</v>
      </c>
      <c r="C821" s="15">
        <v>45698</v>
      </c>
      <c r="D821" s="14">
        <v>46126.62</v>
      </c>
      <c r="E821" s="14" t="s">
        <v>6502</v>
      </c>
      <c r="F821" s="14" t="s">
        <v>6506</v>
      </c>
      <c r="G821" s="14" t="s">
        <v>45</v>
      </c>
      <c r="H821" s="14">
        <v>42</v>
      </c>
      <c r="I821" s="13" t="str" cm="1">
        <f t="array" ref="I821">_xlfn.IFS(
  OR(ISBLANK(A821),ISBLANK(B821),ISBLANK(D821),ISBLANK(E821),ISBLANK(H821)),"Missing Value",
  D821&lt;0,"Review – Out of Range (Claim Amount)",
  H821&lt;0,"Review – Out of Range (Days to Process)",
  TRUE,"OK"
)</f>
        <v>OK</v>
      </c>
    </row>
    <row r="822" spans="1:9" ht="16.8" x14ac:dyDescent="0.3">
      <c r="A822" s="11" t="s">
        <v>7329</v>
      </c>
      <c r="B822" s="11" t="s">
        <v>4174</v>
      </c>
      <c r="C822" s="12">
        <v>45579</v>
      </c>
      <c r="D822" s="11">
        <v>443095.48</v>
      </c>
      <c r="E822" s="11" t="s">
        <v>6502</v>
      </c>
      <c r="F822" s="11" t="s">
        <v>6511</v>
      </c>
      <c r="G822" s="11" t="s">
        <v>45</v>
      </c>
      <c r="H822" s="11">
        <v>13</v>
      </c>
      <c r="I822" s="13" t="str" cm="1">
        <f t="array" ref="I822">_xlfn.IFS(
  OR(ISBLANK(A822),ISBLANK(B822),ISBLANK(D822),ISBLANK(E822),ISBLANK(H822)),"Missing Value",
  D822&lt;0,"Review – Out of Range (Claim Amount)",
  H822&lt;0,"Review – Out of Range (Days to Process)",
  TRUE,"OK"
)</f>
        <v>OK</v>
      </c>
    </row>
    <row r="823" spans="1:9" ht="16.8" x14ac:dyDescent="0.3">
      <c r="A823" s="14" t="s">
        <v>7330</v>
      </c>
      <c r="B823" s="14" t="s">
        <v>4344</v>
      </c>
      <c r="C823" s="15">
        <v>45321</v>
      </c>
      <c r="D823" s="14">
        <v>441438.75</v>
      </c>
      <c r="E823" s="14" t="s">
        <v>6505</v>
      </c>
      <c r="F823" s="14" t="s">
        <v>6509</v>
      </c>
      <c r="G823" s="14" t="s">
        <v>45</v>
      </c>
      <c r="H823" s="14">
        <v>59</v>
      </c>
      <c r="I823" s="13" t="str" cm="1">
        <f t="array" ref="I823">_xlfn.IFS(
  OR(ISBLANK(A823),ISBLANK(B823),ISBLANK(D823),ISBLANK(E823),ISBLANK(H823)),"Missing Value",
  D823&lt;0,"Review – Out of Range (Claim Amount)",
  H823&lt;0,"Review – Out of Range (Days to Process)",
  TRUE,"OK"
)</f>
        <v>OK</v>
      </c>
    </row>
    <row r="824" spans="1:9" ht="16.8" x14ac:dyDescent="0.3">
      <c r="A824" s="11" t="s">
        <v>7331</v>
      </c>
      <c r="B824" s="11" t="s">
        <v>3870</v>
      </c>
      <c r="C824" s="12">
        <v>45131</v>
      </c>
      <c r="D824" s="11">
        <v>273326.07</v>
      </c>
      <c r="E824" s="11" t="s">
        <v>6505</v>
      </c>
      <c r="F824" s="11" t="s">
        <v>6506</v>
      </c>
      <c r="G824" s="11" t="s">
        <v>45</v>
      </c>
      <c r="H824" s="11">
        <v>34</v>
      </c>
      <c r="I824" s="13" t="str" cm="1">
        <f t="array" ref="I824">_xlfn.IFS(
  OR(ISBLANK(A824),ISBLANK(B824),ISBLANK(D824),ISBLANK(E824),ISBLANK(H824)),"Missing Value",
  D824&lt;0,"Review – Out of Range (Claim Amount)",
  H824&lt;0,"Review – Out of Range (Days to Process)",
  TRUE,"OK"
)</f>
        <v>OK</v>
      </c>
    </row>
    <row r="825" spans="1:9" ht="16.8" x14ac:dyDescent="0.3">
      <c r="A825" s="14" t="s">
        <v>7332</v>
      </c>
      <c r="B825" s="14" t="s">
        <v>5637</v>
      </c>
      <c r="C825" s="15">
        <v>45297</v>
      </c>
      <c r="D825" s="14">
        <v>416492.42</v>
      </c>
      <c r="E825" s="14" t="s">
        <v>6508</v>
      </c>
      <c r="F825" s="14" t="s">
        <v>6516</v>
      </c>
      <c r="G825" s="14" t="s">
        <v>46</v>
      </c>
      <c r="H825" s="14">
        <v>11</v>
      </c>
      <c r="I825" s="13" t="str" cm="1">
        <f t="array" ref="I825">_xlfn.IFS(
  OR(ISBLANK(A825),ISBLANK(B825),ISBLANK(D825),ISBLANK(E825),ISBLANK(H825)),"Missing Value",
  D825&lt;0,"Review – Out of Range (Claim Amount)",
  H825&lt;0,"Review – Out of Range (Days to Process)",
  TRUE,"OK"
)</f>
        <v>OK</v>
      </c>
    </row>
    <row r="826" spans="1:9" ht="16.8" x14ac:dyDescent="0.3">
      <c r="A826" s="11" t="s">
        <v>7333</v>
      </c>
      <c r="B826" s="11" t="s">
        <v>5907</v>
      </c>
      <c r="C826" s="12">
        <v>45762</v>
      </c>
      <c r="D826" s="11">
        <v>478523.21</v>
      </c>
      <c r="E826" s="11" t="s">
        <v>6502</v>
      </c>
      <c r="F826" s="11" t="s">
        <v>6511</v>
      </c>
      <c r="G826" s="11" t="s">
        <v>45</v>
      </c>
      <c r="H826" s="11">
        <v>18</v>
      </c>
      <c r="I826" s="13" t="str" cm="1">
        <f t="array" ref="I826">_xlfn.IFS(
  OR(ISBLANK(A826),ISBLANK(B826),ISBLANK(D826),ISBLANK(E826),ISBLANK(H826)),"Missing Value",
  D826&lt;0,"Review – Out of Range (Claim Amount)",
  H826&lt;0,"Review – Out of Range (Days to Process)",
  TRUE,"OK"
)</f>
        <v>OK</v>
      </c>
    </row>
    <row r="827" spans="1:9" ht="16.8" x14ac:dyDescent="0.3">
      <c r="A827" s="14" t="s">
        <v>7334</v>
      </c>
      <c r="B827" s="14" t="s">
        <v>4298</v>
      </c>
      <c r="C827" s="15">
        <v>45538</v>
      </c>
      <c r="D827" s="14">
        <v>239239.16</v>
      </c>
      <c r="E827" s="14" t="s">
        <v>6505</v>
      </c>
      <c r="F827" s="14" t="s">
        <v>6506</v>
      </c>
      <c r="G827" s="14" t="s">
        <v>46</v>
      </c>
      <c r="H827" s="14">
        <v>4</v>
      </c>
      <c r="I827" s="13" t="str" cm="1">
        <f t="array" ref="I827">_xlfn.IFS(
  OR(ISBLANK(A827),ISBLANK(B827),ISBLANK(D827),ISBLANK(E827),ISBLANK(H827)),"Missing Value",
  D827&lt;0,"Review – Out of Range (Claim Amount)",
  H827&lt;0,"Review – Out of Range (Days to Process)",
  TRUE,"OK"
)</f>
        <v>OK</v>
      </c>
    </row>
    <row r="828" spans="1:9" ht="16.8" x14ac:dyDescent="0.3">
      <c r="A828" s="11" t="s">
        <v>7335</v>
      </c>
      <c r="B828" s="11" t="s">
        <v>5001</v>
      </c>
      <c r="C828" s="12">
        <v>45230</v>
      </c>
      <c r="D828" s="11">
        <v>18905.36</v>
      </c>
      <c r="E828" s="11" t="s">
        <v>6502</v>
      </c>
      <c r="F828" s="11" t="s">
        <v>6516</v>
      </c>
      <c r="G828" s="11" t="s">
        <v>45</v>
      </c>
      <c r="H828" s="11">
        <v>10</v>
      </c>
      <c r="I828" s="13" t="str" cm="1">
        <f t="array" ref="I828">_xlfn.IFS(
  OR(ISBLANK(A828),ISBLANK(B828),ISBLANK(D828),ISBLANK(E828),ISBLANK(H828)),"Missing Value",
  D828&lt;0,"Review – Out of Range (Claim Amount)",
  H828&lt;0,"Review – Out of Range (Days to Process)",
  TRUE,"OK"
)</f>
        <v>OK</v>
      </c>
    </row>
    <row r="829" spans="1:9" ht="16.8" x14ac:dyDescent="0.3">
      <c r="A829" s="14" t="s">
        <v>7336</v>
      </c>
      <c r="B829" s="14" t="s">
        <v>6159</v>
      </c>
      <c r="C829" s="15">
        <v>45333</v>
      </c>
      <c r="D829" s="14">
        <v>494353.9</v>
      </c>
      <c r="E829" s="14" t="s">
        <v>6505</v>
      </c>
      <c r="F829" s="14" t="s">
        <v>6503</v>
      </c>
      <c r="G829" s="14" t="s">
        <v>45</v>
      </c>
      <c r="H829" s="14">
        <v>57</v>
      </c>
      <c r="I829" s="13" t="str" cm="1">
        <f t="array" ref="I829">_xlfn.IFS(
  OR(ISBLANK(A829),ISBLANK(B829),ISBLANK(D829),ISBLANK(E829),ISBLANK(H829)),"Missing Value",
  D829&lt;0,"Review – Out of Range (Claim Amount)",
  H829&lt;0,"Review – Out of Range (Days to Process)",
  TRUE,"OK"
)</f>
        <v>OK</v>
      </c>
    </row>
    <row r="830" spans="1:9" ht="16.8" x14ac:dyDescent="0.3">
      <c r="A830" s="11" t="s">
        <v>7337</v>
      </c>
      <c r="B830" s="11" t="s">
        <v>4009</v>
      </c>
      <c r="C830" s="12">
        <v>45440</v>
      </c>
      <c r="D830" s="11">
        <v>365637.41</v>
      </c>
      <c r="E830" s="11" t="s">
        <v>6508</v>
      </c>
      <c r="F830" s="11" t="s">
        <v>6503</v>
      </c>
      <c r="G830" s="11" t="s">
        <v>45</v>
      </c>
      <c r="H830" s="11">
        <v>29</v>
      </c>
      <c r="I830" s="13" t="str" cm="1">
        <f t="array" ref="I830">_xlfn.IFS(
  OR(ISBLANK(A830),ISBLANK(B830),ISBLANK(D830),ISBLANK(E830),ISBLANK(H830)),"Missing Value",
  D830&lt;0,"Review – Out of Range (Claim Amount)",
  H830&lt;0,"Review – Out of Range (Days to Process)",
  TRUE,"OK"
)</f>
        <v>OK</v>
      </c>
    </row>
    <row r="831" spans="1:9" ht="16.8" x14ac:dyDescent="0.3">
      <c r="A831" s="14" t="s">
        <v>7338</v>
      </c>
      <c r="B831" s="14" t="s">
        <v>5139</v>
      </c>
      <c r="C831" s="15">
        <v>45397</v>
      </c>
      <c r="D831" s="14">
        <v>135672.17000000001</v>
      </c>
      <c r="E831" s="14" t="s">
        <v>6505</v>
      </c>
      <c r="F831" s="14" t="s">
        <v>6516</v>
      </c>
      <c r="G831" s="14" t="s">
        <v>45</v>
      </c>
      <c r="H831" s="14">
        <v>2</v>
      </c>
      <c r="I831" s="13" t="str" cm="1">
        <f t="array" ref="I831">_xlfn.IFS(
  OR(ISBLANK(A831),ISBLANK(B831),ISBLANK(D831),ISBLANK(E831),ISBLANK(H831)),"Missing Value",
  D831&lt;0,"Review – Out of Range (Claim Amount)",
  H831&lt;0,"Review – Out of Range (Days to Process)",
  TRUE,"OK"
)</f>
        <v>OK</v>
      </c>
    </row>
    <row r="832" spans="1:9" ht="16.8" x14ac:dyDescent="0.3">
      <c r="A832" s="11" t="s">
        <v>7339</v>
      </c>
      <c r="B832" s="11" t="s">
        <v>6175</v>
      </c>
      <c r="C832" s="12">
        <v>45253</v>
      </c>
      <c r="D832" s="11">
        <v>30193.75</v>
      </c>
      <c r="E832" s="11" t="s">
        <v>6502</v>
      </c>
      <c r="F832" s="11" t="s">
        <v>6509</v>
      </c>
      <c r="G832" s="11" t="s">
        <v>45</v>
      </c>
      <c r="H832" s="11">
        <v>34</v>
      </c>
      <c r="I832" s="13" t="str" cm="1">
        <f t="array" ref="I832">_xlfn.IFS(
  OR(ISBLANK(A832),ISBLANK(B832),ISBLANK(D832),ISBLANK(E832),ISBLANK(H832)),"Missing Value",
  D832&lt;0,"Review – Out of Range (Claim Amount)",
  H832&lt;0,"Review – Out of Range (Days to Process)",
  TRUE,"OK"
)</f>
        <v>OK</v>
      </c>
    </row>
    <row r="833" spans="1:9" ht="16.8" x14ac:dyDescent="0.3">
      <c r="A833" s="14" t="s">
        <v>7340</v>
      </c>
      <c r="B833" s="14" t="s">
        <v>6256</v>
      </c>
      <c r="C833" s="15">
        <v>45232</v>
      </c>
      <c r="D833" s="14">
        <v>233732.89</v>
      </c>
      <c r="E833" s="14" t="s">
        <v>6505</v>
      </c>
      <c r="F833" s="14" t="s">
        <v>6516</v>
      </c>
      <c r="G833" s="14" t="s">
        <v>46</v>
      </c>
      <c r="H833" s="14">
        <v>46</v>
      </c>
      <c r="I833" s="13" t="str" cm="1">
        <f t="array" ref="I833">_xlfn.IFS(
  OR(ISBLANK(A833),ISBLANK(B833),ISBLANK(D833),ISBLANK(E833),ISBLANK(H833)),"Missing Value",
  D833&lt;0,"Review – Out of Range (Claim Amount)",
  H833&lt;0,"Review – Out of Range (Days to Process)",
  TRUE,"OK"
)</f>
        <v>OK</v>
      </c>
    </row>
    <row r="834" spans="1:9" ht="16.8" x14ac:dyDescent="0.3">
      <c r="A834" s="11" t="s">
        <v>7341</v>
      </c>
      <c r="B834" s="11" t="s">
        <v>3706</v>
      </c>
      <c r="C834" s="12">
        <v>45468</v>
      </c>
      <c r="D834" s="11">
        <v>46075.199999999997</v>
      </c>
      <c r="E834" s="11" t="s">
        <v>6502</v>
      </c>
      <c r="F834" s="11" t="s">
        <v>6503</v>
      </c>
      <c r="G834" s="11" t="s">
        <v>45</v>
      </c>
      <c r="H834" s="11">
        <v>5</v>
      </c>
      <c r="I834" s="13" t="str" cm="1">
        <f t="array" ref="I834">_xlfn.IFS(
  OR(ISBLANK(A834),ISBLANK(B834),ISBLANK(D834),ISBLANK(E834),ISBLANK(H834)),"Missing Value",
  D834&lt;0,"Review – Out of Range (Claim Amount)",
  H834&lt;0,"Review – Out of Range (Days to Process)",
  TRUE,"OK"
)</f>
        <v>OK</v>
      </c>
    </row>
    <row r="835" spans="1:9" ht="16.8" x14ac:dyDescent="0.3">
      <c r="A835" s="14" t="s">
        <v>7342</v>
      </c>
      <c r="B835" s="14" t="s">
        <v>6340</v>
      </c>
      <c r="C835" s="15">
        <v>45243</v>
      </c>
      <c r="D835" s="14">
        <v>452201.34</v>
      </c>
      <c r="E835" s="14" t="s">
        <v>6505</v>
      </c>
      <c r="F835" s="14" t="s">
        <v>6509</v>
      </c>
      <c r="G835" s="14" t="s">
        <v>45</v>
      </c>
      <c r="H835" s="14">
        <v>39</v>
      </c>
      <c r="I835" s="13" t="str" cm="1">
        <f t="array" ref="I835">_xlfn.IFS(
  OR(ISBLANK(A835),ISBLANK(B835),ISBLANK(D835),ISBLANK(E835),ISBLANK(H835)),"Missing Value",
  D835&lt;0,"Review – Out of Range (Claim Amount)",
  H835&lt;0,"Review – Out of Range (Days to Process)",
  TRUE,"OK"
)</f>
        <v>OK</v>
      </c>
    </row>
    <row r="836" spans="1:9" ht="16.8" x14ac:dyDescent="0.3">
      <c r="A836" s="11" t="s">
        <v>7343</v>
      </c>
      <c r="B836" s="11" t="s">
        <v>5428</v>
      </c>
      <c r="C836" s="12">
        <v>45451</v>
      </c>
      <c r="D836" s="11">
        <v>270201.88</v>
      </c>
      <c r="E836" s="11" t="s">
        <v>6508</v>
      </c>
      <c r="F836" s="11" t="s">
        <v>6516</v>
      </c>
      <c r="G836" s="11" t="s">
        <v>45</v>
      </c>
      <c r="H836" s="11">
        <v>50</v>
      </c>
      <c r="I836" s="13" t="str" cm="1">
        <f t="array" ref="I836">_xlfn.IFS(
  OR(ISBLANK(A836),ISBLANK(B836),ISBLANK(D836),ISBLANK(E836),ISBLANK(H836)),"Missing Value",
  D836&lt;0,"Review – Out of Range (Claim Amount)",
  H836&lt;0,"Review – Out of Range (Days to Process)",
  TRUE,"OK"
)</f>
        <v>OK</v>
      </c>
    </row>
    <row r="837" spans="1:9" ht="16.8" x14ac:dyDescent="0.3">
      <c r="A837" s="14" t="s">
        <v>7344</v>
      </c>
      <c r="B837" s="14" t="s">
        <v>4486</v>
      </c>
      <c r="C837" s="15">
        <v>45075</v>
      </c>
      <c r="D837" s="14">
        <v>278569.69</v>
      </c>
      <c r="E837" s="14" t="s">
        <v>6502</v>
      </c>
      <c r="F837" s="14" t="s">
        <v>6506</v>
      </c>
      <c r="G837" s="14" t="s">
        <v>45</v>
      </c>
      <c r="H837" s="14">
        <v>39</v>
      </c>
      <c r="I837" s="13" t="str" cm="1">
        <f t="array" ref="I837">_xlfn.IFS(
  OR(ISBLANK(A837),ISBLANK(B837),ISBLANK(D837),ISBLANK(E837),ISBLANK(H837)),"Missing Value",
  D837&lt;0,"Review – Out of Range (Claim Amount)",
  H837&lt;0,"Review – Out of Range (Days to Process)",
  TRUE,"OK"
)</f>
        <v>OK</v>
      </c>
    </row>
    <row r="838" spans="1:9" ht="16.8" x14ac:dyDescent="0.3">
      <c r="A838" s="11" t="s">
        <v>7345</v>
      </c>
      <c r="B838" s="11" t="s">
        <v>5156</v>
      </c>
      <c r="C838" s="12">
        <v>45150</v>
      </c>
      <c r="D838" s="11">
        <v>339899.29</v>
      </c>
      <c r="E838" s="11" t="s">
        <v>6502</v>
      </c>
      <c r="F838" s="11" t="s">
        <v>6503</v>
      </c>
      <c r="G838" s="11" t="s">
        <v>45</v>
      </c>
      <c r="H838" s="11">
        <v>56</v>
      </c>
      <c r="I838" s="13" t="str" cm="1">
        <f t="array" ref="I838">_xlfn.IFS(
  OR(ISBLANK(A838),ISBLANK(B838),ISBLANK(D838),ISBLANK(E838),ISBLANK(H838)),"Missing Value",
  D838&lt;0,"Review – Out of Range (Claim Amount)",
  H838&lt;0,"Review – Out of Range (Days to Process)",
  TRUE,"OK"
)</f>
        <v>OK</v>
      </c>
    </row>
    <row r="839" spans="1:9" ht="16.8" x14ac:dyDescent="0.3">
      <c r="A839" s="14" t="s">
        <v>7346</v>
      </c>
      <c r="B839" s="14" t="s">
        <v>5030</v>
      </c>
      <c r="C839" s="15">
        <v>45275</v>
      </c>
      <c r="D839" s="14">
        <v>183892.44</v>
      </c>
      <c r="E839" s="14" t="s">
        <v>6502</v>
      </c>
      <c r="F839" s="14" t="s">
        <v>6516</v>
      </c>
      <c r="G839" s="14" t="s">
        <v>45</v>
      </c>
      <c r="H839" s="14">
        <v>49</v>
      </c>
      <c r="I839" s="13" t="str" cm="1">
        <f t="array" ref="I839">_xlfn.IFS(
  OR(ISBLANK(A839),ISBLANK(B839),ISBLANK(D839),ISBLANK(E839),ISBLANK(H839)),"Missing Value",
  D839&lt;0,"Review – Out of Range (Claim Amount)",
  H839&lt;0,"Review – Out of Range (Days to Process)",
  TRUE,"OK"
)</f>
        <v>OK</v>
      </c>
    </row>
    <row r="840" spans="1:9" ht="16.8" x14ac:dyDescent="0.3">
      <c r="A840" s="11" t="s">
        <v>7347</v>
      </c>
      <c r="B840" s="11" t="s">
        <v>4097</v>
      </c>
      <c r="C840" s="12">
        <v>45073</v>
      </c>
      <c r="D840" s="11">
        <v>208566.61</v>
      </c>
      <c r="E840" s="11" t="s">
        <v>6502</v>
      </c>
      <c r="F840" s="11" t="s">
        <v>6511</v>
      </c>
      <c r="G840" s="11" t="s">
        <v>46</v>
      </c>
      <c r="H840" s="11">
        <v>40</v>
      </c>
      <c r="I840" s="13" t="str" cm="1">
        <f t="array" ref="I840">_xlfn.IFS(
  OR(ISBLANK(A840),ISBLANK(B840),ISBLANK(D840),ISBLANK(E840),ISBLANK(H840)),"Missing Value",
  D840&lt;0,"Review – Out of Range (Claim Amount)",
  H840&lt;0,"Review – Out of Range (Days to Process)",
  TRUE,"OK"
)</f>
        <v>OK</v>
      </c>
    </row>
    <row r="841" spans="1:9" ht="16.8" x14ac:dyDescent="0.3">
      <c r="A841" s="14" t="s">
        <v>7348</v>
      </c>
      <c r="B841" s="14" t="s">
        <v>4357</v>
      </c>
      <c r="C841" s="15">
        <v>45698</v>
      </c>
      <c r="D841" s="14">
        <v>105679.5</v>
      </c>
      <c r="E841" s="14" t="s">
        <v>6508</v>
      </c>
      <c r="F841" s="14" t="s">
        <v>6503</v>
      </c>
      <c r="G841" s="14" t="s">
        <v>46</v>
      </c>
      <c r="H841" s="14">
        <v>17</v>
      </c>
      <c r="I841" s="13" t="str" cm="1">
        <f t="array" ref="I841">_xlfn.IFS(
  OR(ISBLANK(A841),ISBLANK(B841),ISBLANK(D841),ISBLANK(E841),ISBLANK(H841)),"Missing Value",
  D841&lt;0,"Review – Out of Range (Claim Amount)",
  H841&lt;0,"Review – Out of Range (Days to Process)",
  TRUE,"OK"
)</f>
        <v>OK</v>
      </c>
    </row>
    <row r="842" spans="1:9" ht="16.8" x14ac:dyDescent="0.3">
      <c r="A842" s="11" t="s">
        <v>7349</v>
      </c>
      <c r="B842" s="11" t="s">
        <v>3680</v>
      </c>
      <c r="C842" s="12">
        <v>45320</v>
      </c>
      <c r="D842" s="11">
        <v>219007.51</v>
      </c>
      <c r="E842" s="11" t="s">
        <v>6502</v>
      </c>
      <c r="F842" s="11" t="s">
        <v>6511</v>
      </c>
      <c r="G842" s="11" t="s">
        <v>46</v>
      </c>
      <c r="H842" s="11">
        <v>47</v>
      </c>
      <c r="I842" s="13" t="str" cm="1">
        <f t="array" ref="I842">_xlfn.IFS(
  OR(ISBLANK(A842),ISBLANK(B842),ISBLANK(D842),ISBLANK(E842),ISBLANK(H842)),"Missing Value",
  D842&lt;0,"Review – Out of Range (Claim Amount)",
  H842&lt;0,"Review – Out of Range (Days to Process)",
  TRUE,"OK"
)</f>
        <v>OK</v>
      </c>
    </row>
    <row r="843" spans="1:9" ht="16.8" x14ac:dyDescent="0.3">
      <c r="A843" s="14" t="s">
        <v>7350</v>
      </c>
      <c r="B843" s="14" t="s">
        <v>5187</v>
      </c>
      <c r="C843" s="15">
        <v>44559</v>
      </c>
      <c r="D843" s="14">
        <v>191311.61</v>
      </c>
      <c r="E843" s="14" t="s">
        <v>6502</v>
      </c>
      <c r="F843" s="14" t="s">
        <v>6506</v>
      </c>
      <c r="G843" s="14" t="s">
        <v>45</v>
      </c>
      <c r="H843" s="14">
        <v>11</v>
      </c>
      <c r="I843" s="13" t="str" cm="1">
        <f t="array" ref="I843">_xlfn.IFS(
  OR(ISBLANK(A843),ISBLANK(B843),ISBLANK(D843),ISBLANK(E843),ISBLANK(H843)),"Missing Value",
  D843&lt;0,"Review – Out of Range (Claim Amount)",
  H843&lt;0,"Review – Out of Range (Days to Process)",
  TRUE,"OK"
)</f>
        <v>OK</v>
      </c>
    </row>
    <row r="844" spans="1:9" ht="16.8" x14ac:dyDescent="0.3">
      <c r="A844" s="11" t="s">
        <v>7351</v>
      </c>
      <c r="B844" s="11" t="s">
        <v>5549</v>
      </c>
      <c r="C844" s="12">
        <v>44995</v>
      </c>
      <c r="D844" s="11">
        <v>167642.79</v>
      </c>
      <c r="E844" s="11" t="s">
        <v>6508</v>
      </c>
      <c r="F844" s="11" t="s">
        <v>6503</v>
      </c>
      <c r="G844" s="11" t="s">
        <v>46</v>
      </c>
      <c r="H844" s="11">
        <v>25</v>
      </c>
      <c r="I844" s="13" t="str" cm="1">
        <f t="array" ref="I844">_xlfn.IFS(
  OR(ISBLANK(A844),ISBLANK(B844),ISBLANK(D844),ISBLANK(E844),ISBLANK(H844)),"Missing Value",
  D844&lt;0,"Review – Out of Range (Claim Amount)",
  H844&lt;0,"Review – Out of Range (Days to Process)",
  TRUE,"OK"
)</f>
        <v>OK</v>
      </c>
    </row>
    <row r="845" spans="1:9" ht="16.8" x14ac:dyDescent="0.3">
      <c r="A845" s="14" t="s">
        <v>7352</v>
      </c>
      <c r="B845" s="14" t="s">
        <v>3518</v>
      </c>
      <c r="C845" s="15">
        <v>45483</v>
      </c>
      <c r="D845" s="14">
        <v>169887.9</v>
      </c>
      <c r="E845" s="14" t="s">
        <v>6502</v>
      </c>
      <c r="F845" s="14" t="s">
        <v>6506</v>
      </c>
      <c r="G845" s="14" t="s">
        <v>45</v>
      </c>
      <c r="H845" s="14">
        <v>41</v>
      </c>
      <c r="I845" s="13" t="str" cm="1">
        <f t="array" ref="I845">_xlfn.IFS(
  OR(ISBLANK(A845),ISBLANK(B845),ISBLANK(D845),ISBLANK(E845),ISBLANK(H845)),"Missing Value",
  D845&lt;0,"Review – Out of Range (Claim Amount)",
  H845&lt;0,"Review – Out of Range (Days to Process)",
  TRUE,"OK"
)</f>
        <v>OK</v>
      </c>
    </row>
    <row r="846" spans="1:9" ht="16.8" x14ac:dyDescent="0.3">
      <c r="A846" s="11" t="s">
        <v>7353</v>
      </c>
      <c r="B846" s="11" t="s">
        <v>4522</v>
      </c>
      <c r="C846" s="12">
        <v>45605</v>
      </c>
      <c r="D846" s="11">
        <v>55533.57</v>
      </c>
      <c r="E846" s="11" t="s">
        <v>6508</v>
      </c>
      <c r="F846" s="11" t="s">
        <v>6511</v>
      </c>
      <c r="G846" s="11" t="s">
        <v>45</v>
      </c>
      <c r="H846" s="11">
        <v>56</v>
      </c>
      <c r="I846" s="13" t="str" cm="1">
        <f t="array" ref="I846">_xlfn.IFS(
  OR(ISBLANK(A846),ISBLANK(B846),ISBLANK(D846),ISBLANK(E846),ISBLANK(H846)),"Missing Value",
  D846&lt;0,"Review – Out of Range (Claim Amount)",
  H846&lt;0,"Review – Out of Range (Days to Process)",
  TRUE,"OK"
)</f>
        <v>OK</v>
      </c>
    </row>
    <row r="847" spans="1:9" ht="16.8" x14ac:dyDescent="0.3">
      <c r="A847" s="14" t="s">
        <v>7354</v>
      </c>
      <c r="B847" s="14" t="s">
        <v>4616</v>
      </c>
      <c r="C847" s="15">
        <v>45467</v>
      </c>
      <c r="D847" s="14">
        <v>124968.58</v>
      </c>
      <c r="E847" s="14" t="s">
        <v>6505</v>
      </c>
      <c r="F847" s="14" t="s">
        <v>6516</v>
      </c>
      <c r="G847" s="14" t="s">
        <v>45</v>
      </c>
      <c r="H847" s="14">
        <v>58</v>
      </c>
      <c r="I847" s="13" t="str" cm="1">
        <f t="array" ref="I847">_xlfn.IFS(
  OR(ISBLANK(A847),ISBLANK(B847),ISBLANK(D847),ISBLANK(E847),ISBLANK(H847)),"Missing Value",
  D847&lt;0,"Review – Out of Range (Claim Amount)",
  H847&lt;0,"Review – Out of Range (Days to Process)",
  TRUE,"OK"
)</f>
        <v>OK</v>
      </c>
    </row>
    <row r="848" spans="1:9" ht="16.8" x14ac:dyDescent="0.3">
      <c r="A848" s="11" t="s">
        <v>7355</v>
      </c>
      <c r="B848" s="11" t="s">
        <v>4467</v>
      </c>
      <c r="C848" s="12">
        <v>45232</v>
      </c>
      <c r="D848" s="11">
        <v>110220.4</v>
      </c>
      <c r="E848" s="11" t="s">
        <v>6502</v>
      </c>
      <c r="F848" s="11" t="s">
        <v>6509</v>
      </c>
      <c r="G848" s="11" t="s">
        <v>46</v>
      </c>
      <c r="H848" s="11">
        <v>17</v>
      </c>
      <c r="I848" s="13" t="str" cm="1">
        <f t="array" ref="I848">_xlfn.IFS(
  OR(ISBLANK(A848),ISBLANK(B848),ISBLANK(D848),ISBLANK(E848),ISBLANK(H848)),"Missing Value",
  D848&lt;0,"Review – Out of Range (Claim Amount)",
  H848&lt;0,"Review – Out of Range (Days to Process)",
  TRUE,"OK"
)</f>
        <v>OK</v>
      </c>
    </row>
    <row r="849" spans="1:9" ht="16.8" x14ac:dyDescent="0.3">
      <c r="A849" s="14" t="s">
        <v>7356</v>
      </c>
      <c r="B849" s="14" t="s">
        <v>5318</v>
      </c>
      <c r="C849" s="15">
        <v>44445</v>
      </c>
      <c r="D849" s="14">
        <v>99694.080000000002</v>
      </c>
      <c r="E849" s="14" t="s">
        <v>6505</v>
      </c>
      <c r="F849" s="14" t="s">
        <v>6503</v>
      </c>
      <c r="G849" s="14" t="s">
        <v>45</v>
      </c>
      <c r="H849" s="14">
        <v>39</v>
      </c>
      <c r="I849" s="13" t="str" cm="1">
        <f t="array" ref="I849">_xlfn.IFS(
  OR(ISBLANK(A849),ISBLANK(B849),ISBLANK(D849),ISBLANK(E849),ISBLANK(H849)),"Missing Value",
  D849&lt;0,"Review – Out of Range (Claim Amount)",
  H849&lt;0,"Review – Out of Range (Days to Process)",
  TRUE,"OK"
)</f>
        <v>OK</v>
      </c>
    </row>
    <row r="850" spans="1:9" ht="16.8" x14ac:dyDescent="0.3">
      <c r="A850" s="11" t="s">
        <v>7357</v>
      </c>
      <c r="B850" s="11" t="s">
        <v>3535</v>
      </c>
      <c r="C850" s="12">
        <v>45322</v>
      </c>
      <c r="D850" s="11">
        <v>200527.17</v>
      </c>
      <c r="E850" s="11" t="s">
        <v>6508</v>
      </c>
      <c r="F850" s="11" t="s">
        <v>6506</v>
      </c>
      <c r="G850" s="11" t="s">
        <v>45</v>
      </c>
      <c r="H850" s="11">
        <v>17</v>
      </c>
      <c r="I850" s="13" t="str" cm="1">
        <f t="array" ref="I850">_xlfn.IFS(
  OR(ISBLANK(A850),ISBLANK(B850),ISBLANK(D850),ISBLANK(E850),ISBLANK(H850)),"Missing Value",
  D850&lt;0,"Review – Out of Range (Claim Amount)",
  H850&lt;0,"Review – Out of Range (Days to Process)",
  TRUE,"OK"
)</f>
        <v>OK</v>
      </c>
    </row>
    <row r="851" spans="1:9" ht="16.8" x14ac:dyDescent="0.3">
      <c r="A851" s="14" t="s">
        <v>7358</v>
      </c>
      <c r="B851" s="14" t="s">
        <v>5922</v>
      </c>
      <c r="C851" s="15">
        <v>45402</v>
      </c>
      <c r="D851" s="14">
        <v>220802.92</v>
      </c>
      <c r="E851" s="14" t="s">
        <v>6505</v>
      </c>
      <c r="F851" s="14" t="s">
        <v>6511</v>
      </c>
      <c r="G851" s="14" t="s">
        <v>46</v>
      </c>
      <c r="H851" s="14">
        <v>4</v>
      </c>
      <c r="I851" s="13" t="str" cm="1">
        <f t="array" ref="I851">_xlfn.IFS(
  OR(ISBLANK(A851),ISBLANK(B851),ISBLANK(D851),ISBLANK(E851),ISBLANK(H851)),"Missing Value",
  D851&lt;0,"Review – Out of Range (Claim Amount)",
  H851&lt;0,"Review – Out of Range (Days to Process)",
  TRUE,"OK"
)</f>
        <v>OK</v>
      </c>
    </row>
    <row r="852" spans="1:9" ht="16.8" x14ac:dyDescent="0.3">
      <c r="A852" s="11" t="s">
        <v>7359</v>
      </c>
      <c r="B852" s="11" t="s">
        <v>6433</v>
      </c>
      <c r="C852" s="12">
        <v>45012</v>
      </c>
      <c r="D852" s="11">
        <v>233659.67</v>
      </c>
      <c r="E852" s="11" t="s">
        <v>6505</v>
      </c>
      <c r="F852" s="11" t="s">
        <v>6516</v>
      </c>
      <c r="G852" s="11" t="s">
        <v>46</v>
      </c>
      <c r="H852" s="11">
        <v>36</v>
      </c>
      <c r="I852" s="13" t="str" cm="1">
        <f t="array" ref="I852">_xlfn.IFS(
  OR(ISBLANK(A852),ISBLANK(B852),ISBLANK(D852),ISBLANK(E852),ISBLANK(H852)),"Missing Value",
  D852&lt;0,"Review – Out of Range (Claim Amount)",
  H852&lt;0,"Review – Out of Range (Days to Process)",
  TRUE,"OK"
)</f>
        <v>OK</v>
      </c>
    </row>
    <row r="853" spans="1:9" ht="16.8" x14ac:dyDescent="0.3">
      <c r="A853" s="14" t="s">
        <v>7360</v>
      </c>
      <c r="B853" s="14" t="s">
        <v>5895</v>
      </c>
      <c r="C853" s="15">
        <v>44771</v>
      </c>
      <c r="D853" s="14">
        <v>153408.16</v>
      </c>
      <c r="E853" s="14" t="s">
        <v>6508</v>
      </c>
      <c r="F853" s="14" t="s">
        <v>6511</v>
      </c>
      <c r="G853" s="14" t="s">
        <v>45</v>
      </c>
      <c r="H853" s="14">
        <v>58</v>
      </c>
      <c r="I853" s="13" t="str" cm="1">
        <f t="array" ref="I853">_xlfn.IFS(
  OR(ISBLANK(A853),ISBLANK(B853),ISBLANK(D853),ISBLANK(E853),ISBLANK(H853)),"Missing Value",
  D853&lt;0,"Review – Out of Range (Claim Amount)",
  H853&lt;0,"Review – Out of Range (Days to Process)",
  TRUE,"OK"
)</f>
        <v>OK</v>
      </c>
    </row>
    <row r="854" spans="1:9" ht="16.8" x14ac:dyDescent="0.3">
      <c r="A854" s="11" t="s">
        <v>7361</v>
      </c>
      <c r="B854" s="11" t="s">
        <v>6454</v>
      </c>
      <c r="C854" s="12">
        <v>45400</v>
      </c>
      <c r="D854" s="11">
        <v>285861.71000000002</v>
      </c>
      <c r="E854" s="11" t="s">
        <v>6502</v>
      </c>
      <c r="F854" s="11" t="s">
        <v>6503</v>
      </c>
      <c r="G854" s="11" t="s">
        <v>45</v>
      </c>
      <c r="H854" s="11">
        <v>29</v>
      </c>
      <c r="I854" s="13" t="str" cm="1">
        <f t="array" ref="I854">_xlfn.IFS(
  OR(ISBLANK(A854),ISBLANK(B854),ISBLANK(D854),ISBLANK(E854),ISBLANK(H854)),"Missing Value",
  D854&lt;0,"Review – Out of Range (Claim Amount)",
  H854&lt;0,"Review – Out of Range (Days to Process)",
  TRUE,"OK"
)</f>
        <v>OK</v>
      </c>
    </row>
    <row r="855" spans="1:9" ht="16.8" x14ac:dyDescent="0.3">
      <c r="A855" s="14" t="s">
        <v>7362</v>
      </c>
      <c r="B855" s="14" t="s">
        <v>3358</v>
      </c>
      <c r="C855" s="15">
        <v>44660</v>
      </c>
      <c r="D855" s="14">
        <v>450077.9</v>
      </c>
      <c r="E855" s="14" t="s">
        <v>6508</v>
      </c>
      <c r="F855" s="14" t="s">
        <v>6511</v>
      </c>
      <c r="G855" s="14" t="s">
        <v>45</v>
      </c>
      <c r="H855" s="14">
        <v>27</v>
      </c>
      <c r="I855" s="13" t="str" cm="1">
        <f t="array" ref="I855">_xlfn.IFS(
  OR(ISBLANK(A855),ISBLANK(B855),ISBLANK(D855),ISBLANK(E855),ISBLANK(H855)),"Missing Value",
  D855&lt;0,"Review – Out of Range (Claim Amount)",
  H855&lt;0,"Review – Out of Range (Days to Process)",
  TRUE,"OK"
)</f>
        <v>OK</v>
      </c>
    </row>
    <row r="856" spans="1:9" ht="16.8" x14ac:dyDescent="0.3">
      <c r="A856" s="11" t="s">
        <v>7363</v>
      </c>
      <c r="B856" s="11" t="s">
        <v>4809</v>
      </c>
      <c r="C856" s="12">
        <v>44913</v>
      </c>
      <c r="D856" s="11">
        <v>132591.39000000001</v>
      </c>
      <c r="E856" s="11" t="s">
        <v>6502</v>
      </c>
      <c r="F856" s="11" t="s">
        <v>6511</v>
      </c>
      <c r="G856" s="11" t="s">
        <v>46</v>
      </c>
      <c r="H856" s="11">
        <v>48</v>
      </c>
      <c r="I856" s="13" t="str" cm="1">
        <f t="array" ref="I856">_xlfn.IFS(
  OR(ISBLANK(A856),ISBLANK(B856),ISBLANK(D856),ISBLANK(E856),ISBLANK(H856)),"Missing Value",
  D856&lt;0,"Review – Out of Range (Claim Amount)",
  H856&lt;0,"Review – Out of Range (Days to Process)",
  TRUE,"OK"
)</f>
        <v>OK</v>
      </c>
    </row>
    <row r="857" spans="1:9" ht="16.8" x14ac:dyDescent="0.3">
      <c r="A857" s="14" t="s">
        <v>7364</v>
      </c>
      <c r="B857" s="14" t="s">
        <v>5647</v>
      </c>
      <c r="C857" s="15">
        <v>45365</v>
      </c>
      <c r="D857" s="14">
        <v>480640.27</v>
      </c>
      <c r="E857" s="14" t="s">
        <v>6505</v>
      </c>
      <c r="F857" s="14" t="s">
        <v>6511</v>
      </c>
      <c r="G857" s="14" t="s">
        <v>45</v>
      </c>
      <c r="H857" s="14">
        <v>59</v>
      </c>
      <c r="I857" s="13" t="str" cm="1">
        <f t="array" ref="I857">_xlfn.IFS(
  OR(ISBLANK(A857),ISBLANK(B857),ISBLANK(D857),ISBLANK(E857),ISBLANK(H857)),"Missing Value",
  D857&lt;0,"Review – Out of Range (Claim Amount)",
  H857&lt;0,"Review – Out of Range (Days to Process)",
  TRUE,"OK"
)</f>
        <v>OK</v>
      </c>
    </row>
    <row r="858" spans="1:9" ht="16.8" x14ac:dyDescent="0.3">
      <c r="A858" s="11" t="s">
        <v>7365</v>
      </c>
      <c r="B858" s="11" t="s">
        <v>5915</v>
      </c>
      <c r="C858" s="12">
        <v>45264</v>
      </c>
      <c r="D858" s="11">
        <v>113827.07</v>
      </c>
      <c r="E858" s="11" t="s">
        <v>6505</v>
      </c>
      <c r="F858" s="11" t="s">
        <v>6503</v>
      </c>
      <c r="G858" s="11" t="s">
        <v>46</v>
      </c>
      <c r="H858" s="11">
        <v>25</v>
      </c>
      <c r="I858" s="13" t="str" cm="1">
        <f t="array" ref="I858">_xlfn.IFS(
  OR(ISBLANK(A858),ISBLANK(B858),ISBLANK(D858),ISBLANK(E858),ISBLANK(H858)),"Missing Value",
  D858&lt;0,"Review – Out of Range (Claim Amount)",
  H858&lt;0,"Review – Out of Range (Days to Process)",
  TRUE,"OK"
)</f>
        <v>OK</v>
      </c>
    </row>
    <row r="859" spans="1:9" ht="16.8" x14ac:dyDescent="0.3">
      <c r="A859" s="14" t="s">
        <v>7366</v>
      </c>
      <c r="B859" s="14" t="s">
        <v>4104</v>
      </c>
      <c r="C859" s="15">
        <v>45368</v>
      </c>
      <c r="D859" s="14">
        <v>188934.89</v>
      </c>
      <c r="E859" s="14" t="s">
        <v>6505</v>
      </c>
      <c r="F859" s="14" t="s">
        <v>6516</v>
      </c>
      <c r="G859" s="14" t="s">
        <v>45</v>
      </c>
      <c r="H859" s="14">
        <v>23</v>
      </c>
      <c r="I859" s="13" t="str" cm="1">
        <f t="array" ref="I859">_xlfn.IFS(
  OR(ISBLANK(A859),ISBLANK(B859),ISBLANK(D859),ISBLANK(E859),ISBLANK(H859)),"Missing Value",
  D859&lt;0,"Review – Out of Range (Claim Amount)",
  H859&lt;0,"Review – Out of Range (Days to Process)",
  TRUE,"OK"
)</f>
        <v>OK</v>
      </c>
    </row>
    <row r="860" spans="1:9" ht="16.8" x14ac:dyDescent="0.3">
      <c r="A860" s="11" t="s">
        <v>7367</v>
      </c>
      <c r="B860" s="11" t="s">
        <v>3875</v>
      </c>
      <c r="C860" s="12">
        <v>44501</v>
      </c>
      <c r="D860" s="11">
        <v>141006.24</v>
      </c>
      <c r="E860" s="11" t="s">
        <v>6502</v>
      </c>
      <c r="F860" s="11" t="s">
        <v>6511</v>
      </c>
      <c r="G860" s="11" t="s">
        <v>45</v>
      </c>
      <c r="H860" s="11">
        <v>18</v>
      </c>
      <c r="I860" s="13" t="str" cm="1">
        <f t="array" ref="I860">_xlfn.IFS(
  OR(ISBLANK(A860),ISBLANK(B860),ISBLANK(D860),ISBLANK(E860),ISBLANK(H860)),"Missing Value",
  D860&lt;0,"Review – Out of Range (Claim Amount)",
  H860&lt;0,"Review – Out of Range (Days to Process)",
  TRUE,"OK"
)</f>
        <v>OK</v>
      </c>
    </row>
    <row r="861" spans="1:9" ht="16.8" x14ac:dyDescent="0.3">
      <c r="A861" s="14" t="s">
        <v>7368</v>
      </c>
      <c r="B861" s="14" t="s">
        <v>4904</v>
      </c>
      <c r="C861" s="15">
        <v>44960</v>
      </c>
      <c r="D861" s="14">
        <v>326579.23</v>
      </c>
      <c r="E861" s="14" t="s">
        <v>6508</v>
      </c>
      <c r="F861" s="14" t="s">
        <v>6503</v>
      </c>
      <c r="G861" s="14" t="s">
        <v>45</v>
      </c>
      <c r="H861" s="14">
        <v>2</v>
      </c>
      <c r="I861" s="13" t="str" cm="1">
        <f t="array" ref="I861">_xlfn.IFS(
  OR(ISBLANK(A861),ISBLANK(B861),ISBLANK(D861),ISBLANK(E861),ISBLANK(H861)),"Missing Value",
  D861&lt;0,"Review – Out of Range (Claim Amount)",
  H861&lt;0,"Review – Out of Range (Days to Process)",
  TRUE,"OK"
)</f>
        <v>OK</v>
      </c>
    </row>
    <row r="862" spans="1:9" ht="16.8" x14ac:dyDescent="0.3">
      <c r="A862" s="11" t="s">
        <v>7369</v>
      </c>
      <c r="B862" s="11" t="s">
        <v>5113</v>
      </c>
      <c r="C862" s="12">
        <v>44703</v>
      </c>
      <c r="D862" s="11">
        <v>303270.61</v>
      </c>
      <c r="E862" s="11" t="s">
        <v>6505</v>
      </c>
      <c r="F862" s="11" t="s">
        <v>6503</v>
      </c>
      <c r="G862" s="11" t="s">
        <v>45</v>
      </c>
      <c r="H862" s="11">
        <v>39</v>
      </c>
      <c r="I862" s="13" t="str" cm="1">
        <f t="array" ref="I862">_xlfn.IFS(
  OR(ISBLANK(A862),ISBLANK(B862),ISBLANK(D862),ISBLANK(E862),ISBLANK(H862)),"Missing Value",
  D862&lt;0,"Review – Out of Range (Claim Amount)",
  H862&lt;0,"Review – Out of Range (Days to Process)",
  TRUE,"OK"
)</f>
        <v>OK</v>
      </c>
    </row>
    <row r="863" spans="1:9" ht="16.8" x14ac:dyDescent="0.3">
      <c r="A863" s="14" t="s">
        <v>7370</v>
      </c>
      <c r="B863" s="14" t="s">
        <v>4272</v>
      </c>
      <c r="C863" s="15">
        <v>45489</v>
      </c>
      <c r="D863" s="14">
        <v>267527.42</v>
      </c>
      <c r="E863" s="14" t="s">
        <v>6505</v>
      </c>
      <c r="F863" s="14" t="s">
        <v>6509</v>
      </c>
      <c r="G863" s="14" t="s">
        <v>45</v>
      </c>
      <c r="H863" s="14">
        <v>50</v>
      </c>
      <c r="I863" s="13" t="str" cm="1">
        <f t="array" ref="I863">_xlfn.IFS(
  OR(ISBLANK(A863),ISBLANK(B863),ISBLANK(D863),ISBLANK(E863),ISBLANK(H863)),"Missing Value",
  D863&lt;0,"Review – Out of Range (Claim Amount)",
  H863&lt;0,"Review – Out of Range (Days to Process)",
  TRUE,"OK"
)</f>
        <v>OK</v>
      </c>
    </row>
    <row r="864" spans="1:9" ht="16.8" x14ac:dyDescent="0.3">
      <c r="A864" s="11" t="s">
        <v>7371</v>
      </c>
      <c r="B864" s="11" t="s">
        <v>4153</v>
      </c>
      <c r="C864" s="12">
        <v>44881</v>
      </c>
      <c r="D864" s="11">
        <v>10473.36</v>
      </c>
      <c r="E864" s="11" t="s">
        <v>6502</v>
      </c>
      <c r="F864" s="11" t="s">
        <v>6503</v>
      </c>
      <c r="G864" s="11" t="s">
        <v>46</v>
      </c>
      <c r="H864" s="11">
        <v>53</v>
      </c>
      <c r="I864" s="13" t="str" cm="1">
        <f t="array" ref="I864">_xlfn.IFS(
  OR(ISBLANK(A864),ISBLANK(B864),ISBLANK(D864),ISBLANK(E864),ISBLANK(H864)),"Missing Value",
  D864&lt;0,"Review – Out of Range (Claim Amount)",
  H864&lt;0,"Review – Out of Range (Days to Process)",
  TRUE,"OK"
)</f>
        <v>OK</v>
      </c>
    </row>
    <row r="865" spans="1:9" ht="16.8" x14ac:dyDescent="0.3">
      <c r="A865" s="14" t="s">
        <v>7372</v>
      </c>
      <c r="B865" s="14" t="s">
        <v>4717</v>
      </c>
      <c r="C865" s="15">
        <v>44906</v>
      </c>
      <c r="D865" s="14">
        <v>465418.81</v>
      </c>
      <c r="E865" s="14" t="s">
        <v>6502</v>
      </c>
      <c r="F865" s="14" t="s">
        <v>6516</v>
      </c>
      <c r="G865" s="14" t="s">
        <v>45</v>
      </c>
      <c r="H865" s="14">
        <v>15</v>
      </c>
      <c r="I865" s="13" t="str" cm="1">
        <f t="array" ref="I865">_xlfn.IFS(
  OR(ISBLANK(A865),ISBLANK(B865),ISBLANK(D865),ISBLANK(E865),ISBLANK(H865)),"Missing Value",
  D865&lt;0,"Review – Out of Range (Claim Amount)",
  H865&lt;0,"Review – Out of Range (Days to Process)",
  TRUE,"OK"
)</f>
        <v>OK</v>
      </c>
    </row>
    <row r="866" spans="1:9" ht="16.8" x14ac:dyDescent="0.3">
      <c r="A866" s="11" t="s">
        <v>7373</v>
      </c>
      <c r="B866" s="11" t="s">
        <v>5354</v>
      </c>
      <c r="C866" s="12">
        <v>45173</v>
      </c>
      <c r="D866" s="11">
        <v>467510.34</v>
      </c>
      <c r="E866" s="11" t="s">
        <v>6508</v>
      </c>
      <c r="F866" s="11" t="s">
        <v>6506</v>
      </c>
      <c r="G866" s="11" t="s">
        <v>45</v>
      </c>
      <c r="H866" s="11">
        <v>32</v>
      </c>
      <c r="I866" s="13" t="str" cm="1">
        <f t="array" ref="I866">_xlfn.IFS(
  OR(ISBLANK(A866),ISBLANK(B866),ISBLANK(D866),ISBLANK(E866),ISBLANK(H866)),"Missing Value",
  D866&lt;0,"Review – Out of Range (Claim Amount)",
  H866&lt;0,"Review – Out of Range (Days to Process)",
  TRUE,"OK"
)</f>
        <v>OK</v>
      </c>
    </row>
    <row r="867" spans="1:9" ht="16.8" x14ac:dyDescent="0.3">
      <c r="A867" s="14" t="s">
        <v>7374</v>
      </c>
      <c r="B867" s="14" t="s">
        <v>5696</v>
      </c>
      <c r="C867" s="15">
        <v>45382</v>
      </c>
      <c r="D867" s="14">
        <v>315790.74</v>
      </c>
      <c r="E867" s="14" t="s">
        <v>6502</v>
      </c>
      <c r="F867" s="14" t="s">
        <v>6506</v>
      </c>
      <c r="G867" s="14" t="s">
        <v>45</v>
      </c>
      <c r="H867" s="14">
        <v>38</v>
      </c>
      <c r="I867" s="13" t="str" cm="1">
        <f t="array" ref="I867">_xlfn.IFS(
  OR(ISBLANK(A867),ISBLANK(B867),ISBLANK(D867),ISBLANK(E867),ISBLANK(H867)),"Missing Value",
  D867&lt;0,"Review – Out of Range (Claim Amount)",
  H867&lt;0,"Review – Out of Range (Days to Process)",
  TRUE,"OK"
)</f>
        <v>OK</v>
      </c>
    </row>
    <row r="868" spans="1:9" ht="16.8" x14ac:dyDescent="0.3">
      <c r="A868" s="11" t="s">
        <v>7375</v>
      </c>
      <c r="B868" s="11" t="s">
        <v>5743</v>
      </c>
      <c r="C868" s="12">
        <v>44307</v>
      </c>
      <c r="D868" s="11">
        <v>121358.55</v>
      </c>
      <c r="E868" s="11" t="s">
        <v>6505</v>
      </c>
      <c r="F868" s="11" t="s">
        <v>6506</v>
      </c>
      <c r="G868" s="11" t="s">
        <v>45</v>
      </c>
      <c r="H868" s="11">
        <v>49</v>
      </c>
      <c r="I868" s="13" t="str" cm="1">
        <f t="array" ref="I868">_xlfn.IFS(
  OR(ISBLANK(A868),ISBLANK(B868),ISBLANK(D868),ISBLANK(E868),ISBLANK(H868)),"Missing Value",
  D868&lt;0,"Review – Out of Range (Claim Amount)",
  H868&lt;0,"Review – Out of Range (Days to Process)",
  TRUE,"OK"
)</f>
        <v>OK</v>
      </c>
    </row>
    <row r="869" spans="1:9" ht="16.8" x14ac:dyDescent="0.3">
      <c r="A869" s="14" t="s">
        <v>7376</v>
      </c>
      <c r="B869" s="14" t="s">
        <v>4274</v>
      </c>
      <c r="C869" s="15">
        <v>44914</v>
      </c>
      <c r="D869" s="14">
        <v>401912.99</v>
      </c>
      <c r="E869" s="14" t="s">
        <v>6502</v>
      </c>
      <c r="F869" s="14" t="s">
        <v>6503</v>
      </c>
      <c r="G869" s="14" t="s">
        <v>45</v>
      </c>
      <c r="H869" s="14">
        <v>19</v>
      </c>
      <c r="I869" s="13" t="str" cm="1">
        <f t="array" ref="I869">_xlfn.IFS(
  OR(ISBLANK(A869),ISBLANK(B869),ISBLANK(D869),ISBLANK(E869),ISBLANK(H869)),"Missing Value",
  D869&lt;0,"Review – Out of Range (Claim Amount)",
  H869&lt;0,"Review – Out of Range (Days to Process)",
  TRUE,"OK"
)</f>
        <v>OK</v>
      </c>
    </row>
    <row r="870" spans="1:9" ht="16.8" x14ac:dyDescent="0.3">
      <c r="A870" s="11" t="s">
        <v>7377</v>
      </c>
      <c r="B870" s="11" t="s">
        <v>5311</v>
      </c>
      <c r="C870" s="12">
        <v>45213</v>
      </c>
      <c r="D870" s="11">
        <v>186979.35</v>
      </c>
      <c r="E870" s="11" t="s">
        <v>6505</v>
      </c>
      <c r="F870" s="11" t="s">
        <v>6516</v>
      </c>
      <c r="G870" s="11" t="s">
        <v>45</v>
      </c>
      <c r="H870" s="11">
        <v>6</v>
      </c>
      <c r="I870" s="13" t="str" cm="1">
        <f t="array" ref="I870">_xlfn.IFS(
  OR(ISBLANK(A870),ISBLANK(B870),ISBLANK(D870),ISBLANK(E870),ISBLANK(H870)),"Missing Value",
  D870&lt;0,"Review – Out of Range (Claim Amount)",
  H870&lt;0,"Review – Out of Range (Days to Process)",
  TRUE,"OK"
)</f>
        <v>OK</v>
      </c>
    </row>
    <row r="871" spans="1:9" ht="16.8" x14ac:dyDescent="0.3">
      <c r="A871" s="14" t="s">
        <v>7378</v>
      </c>
      <c r="B871" s="14" t="s">
        <v>5026</v>
      </c>
      <c r="C871" s="15">
        <v>45536</v>
      </c>
      <c r="D871" s="14">
        <v>301209.59999999998</v>
      </c>
      <c r="E871" s="14" t="s">
        <v>6508</v>
      </c>
      <c r="F871" s="14" t="s">
        <v>6509</v>
      </c>
      <c r="G871" s="14" t="s">
        <v>45</v>
      </c>
      <c r="H871" s="14">
        <v>10</v>
      </c>
      <c r="I871" s="13" t="str" cm="1">
        <f t="array" ref="I871">_xlfn.IFS(
  OR(ISBLANK(A871),ISBLANK(B871),ISBLANK(D871),ISBLANK(E871),ISBLANK(H871)),"Missing Value",
  D871&lt;0,"Review – Out of Range (Claim Amount)",
  H871&lt;0,"Review – Out of Range (Days to Process)",
  TRUE,"OK"
)</f>
        <v>OK</v>
      </c>
    </row>
    <row r="872" spans="1:9" ht="16.8" x14ac:dyDescent="0.3">
      <c r="A872" s="11" t="s">
        <v>7379</v>
      </c>
      <c r="B872" s="11" t="s">
        <v>4533</v>
      </c>
      <c r="C872" s="12">
        <v>45342</v>
      </c>
      <c r="D872" s="11">
        <v>267582.53999999998</v>
      </c>
      <c r="E872" s="11" t="s">
        <v>6508</v>
      </c>
      <c r="F872" s="11" t="s">
        <v>6516</v>
      </c>
      <c r="G872" s="11" t="s">
        <v>45</v>
      </c>
      <c r="H872" s="11">
        <v>22</v>
      </c>
      <c r="I872" s="13" t="str" cm="1">
        <f t="array" ref="I872">_xlfn.IFS(
  OR(ISBLANK(A872),ISBLANK(B872),ISBLANK(D872),ISBLANK(E872),ISBLANK(H872)),"Missing Value",
  D872&lt;0,"Review – Out of Range (Claim Amount)",
  H872&lt;0,"Review – Out of Range (Days to Process)",
  TRUE,"OK"
)</f>
        <v>OK</v>
      </c>
    </row>
    <row r="873" spans="1:9" ht="16.8" x14ac:dyDescent="0.3">
      <c r="A873" s="14" t="s">
        <v>7380</v>
      </c>
      <c r="B873" s="14" t="s">
        <v>6480</v>
      </c>
      <c r="C873" s="15">
        <v>45512</v>
      </c>
      <c r="D873" s="14">
        <v>169464.35</v>
      </c>
      <c r="E873" s="14" t="s">
        <v>6502</v>
      </c>
      <c r="F873" s="14" t="s">
        <v>6506</v>
      </c>
      <c r="G873" s="14" t="s">
        <v>46</v>
      </c>
      <c r="H873" s="14">
        <v>6</v>
      </c>
      <c r="I873" s="13" t="str" cm="1">
        <f t="array" ref="I873">_xlfn.IFS(
  OR(ISBLANK(A873),ISBLANK(B873),ISBLANK(D873),ISBLANK(E873),ISBLANK(H873)),"Missing Value",
  D873&lt;0,"Review – Out of Range (Claim Amount)",
  H873&lt;0,"Review – Out of Range (Days to Process)",
  TRUE,"OK"
)</f>
        <v>OK</v>
      </c>
    </row>
    <row r="874" spans="1:9" ht="16.8" x14ac:dyDescent="0.3">
      <c r="A874" s="11" t="s">
        <v>7381</v>
      </c>
      <c r="B874" s="11" t="s">
        <v>4741</v>
      </c>
      <c r="C874" s="12">
        <v>45456</v>
      </c>
      <c r="D874" s="11">
        <v>449358.59</v>
      </c>
      <c r="E874" s="11" t="s">
        <v>6502</v>
      </c>
      <c r="F874" s="11" t="s">
        <v>6503</v>
      </c>
      <c r="G874" s="11" t="s">
        <v>45</v>
      </c>
      <c r="H874" s="11">
        <v>22</v>
      </c>
      <c r="I874" s="13" t="str" cm="1">
        <f t="array" ref="I874">_xlfn.IFS(
  OR(ISBLANK(A874),ISBLANK(B874),ISBLANK(D874),ISBLANK(E874),ISBLANK(H874)),"Missing Value",
  D874&lt;0,"Review – Out of Range (Claim Amount)",
  H874&lt;0,"Review – Out of Range (Days to Process)",
  TRUE,"OK"
)</f>
        <v>OK</v>
      </c>
    </row>
    <row r="875" spans="1:9" ht="16.8" x14ac:dyDescent="0.3">
      <c r="A875" s="14" t="s">
        <v>7382</v>
      </c>
      <c r="B875" s="14" t="s">
        <v>4546</v>
      </c>
      <c r="C875" s="15">
        <v>44919</v>
      </c>
      <c r="D875" s="14">
        <v>289482.56</v>
      </c>
      <c r="E875" s="14" t="s">
        <v>6502</v>
      </c>
      <c r="F875" s="14" t="s">
        <v>6506</v>
      </c>
      <c r="G875" s="14" t="s">
        <v>45</v>
      </c>
      <c r="H875" s="14">
        <v>35</v>
      </c>
      <c r="I875" s="13" t="str" cm="1">
        <f t="array" ref="I875">_xlfn.IFS(
  OR(ISBLANK(A875),ISBLANK(B875),ISBLANK(D875),ISBLANK(E875),ISBLANK(H875)),"Missing Value",
  D875&lt;0,"Review – Out of Range (Claim Amount)",
  H875&lt;0,"Review – Out of Range (Days to Process)",
  TRUE,"OK"
)</f>
        <v>OK</v>
      </c>
    </row>
    <row r="876" spans="1:9" ht="16.8" x14ac:dyDescent="0.3">
      <c r="A876" s="11" t="s">
        <v>7383</v>
      </c>
      <c r="B876" s="11" t="s">
        <v>6381</v>
      </c>
      <c r="C876" s="12">
        <v>45349</v>
      </c>
      <c r="D876" s="11">
        <v>118778.14</v>
      </c>
      <c r="E876" s="11" t="s">
        <v>6505</v>
      </c>
      <c r="F876" s="11" t="s">
        <v>6516</v>
      </c>
      <c r="G876" s="11" t="s">
        <v>46</v>
      </c>
      <c r="H876" s="11">
        <v>44</v>
      </c>
      <c r="I876" s="13" t="str" cm="1">
        <f t="array" ref="I876">_xlfn.IFS(
  OR(ISBLANK(A876),ISBLANK(B876),ISBLANK(D876),ISBLANK(E876),ISBLANK(H876)),"Missing Value",
  D876&lt;0,"Review – Out of Range (Claim Amount)",
  H876&lt;0,"Review – Out of Range (Days to Process)",
  TRUE,"OK"
)</f>
        <v>OK</v>
      </c>
    </row>
    <row r="877" spans="1:9" ht="16.8" x14ac:dyDescent="0.3">
      <c r="A877" s="14" t="s">
        <v>7384</v>
      </c>
      <c r="B877" s="14" t="s">
        <v>4943</v>
      </c>
      <c r="C877" s="15">
        <v>44754</v>
      </c>
      <c r="D877" s="14">
        <v>131003.35</v>
      </c>
      <c r="E877" s="14" t="s">
        <v>6505</v>
      </c>
      <c r="F877" s="14" t="s">
        <v>6506</v>
      </c>
      <c r="G877" s="14" t="s">
        <v>45</v>
      </c>
      <c r="H877" s="14">
        <v>38</v>
      </c>
      <c r="I877" s="13" t="str" cm="1">
        <f t="array" ref="I877">_xlfn.IFS(
  OR(ISBLANK(A877),ISBLANK(B877),ISBLANK(D877),ISBLANK(E877),ISBLANK(H877)),"Missing Value",
  D877&lt;0,"Review – Out of Range (Claim Amount)",
  H877&lt;0,"Review – Out of Range (Days to Process)",
  TRUE,"OK"
)</f>
        <v>OK</v>
      </c>
    </row>
    <row r="878" spans="1:9" ht="16.8" x14ac:dyDescent="0.3">
      <c r="A878" s="11" t="s">
        <v>7385</v>
      </c>
      <c r="B878" s="11" t="s">
        <v>6109</v>
      </c>
      <c r="C878" s="12">
        <v>44777</v>
      </c>
      <c r="D878" s="11">
        <v>449503.95</v>
      </c>
      <c r="E878" s="11" t="s">
        <v>6502</v>
      </c>
      <c r="F878" s="11" t="s">
        <v>6506</v>
      </c>
      <c r="G878" s="11" t="s">
        <v>46</v>
      </c>
      <c r="H878" s="11">
        <v>45</v>
      </c>
      <c r="I878" s="13" t="str" cm="1">
        <f t="array" ref="I878">_xlfn.IFS(
  OR(ISBLANK(A878),ISBLANK(B878),ISBLANK(D878),ISBLANK(E878),ISBLANK(H878)),"Missing Value",
  D878&lt;0,"Review – Out of Range (Claim Amount)",
  H878&lt;0,"Review – Out of Range (Days to Process)",
  TRUE,"OK"
)</f>
        <v>OK</v>
      </c>
    </row>
    <row r="879" spans="1:9" ht="16.8" x14ac:dyDescent="0.3">
      <c r="A879" s="14" t="s">
        <v>7386</v>
      </c>
      <c r="B879" s="14" t="s">
        <v>5612</v>
      </c>
      <c r="C879" s="15">
        <v>45456</v>
      </c>
      <c r="D879" s="14">
        <v>205377.29</v>
      </c>
      <c r="E879" s="14" t="s">
        <v>6505</v>
      </c>
      <c r="F879" s="14" t="s">
        <v>6506</v>
      </c>
      <c r="G879" s="14" t="s">
        <v>46</v>
      </c>
      <c r="H879" s="14">
        <v>32</v>
      </c>
      <c r="I879" s="13" t="str" cm="1">
        <f t="array" ref="I879">_xlfn.IFS(
  OR(ISBLANK(A879),ISBLANK(B879),ISBLANK(D879),ISBLANK(E879),ISBLANK(H879)),"Missing Value",
  D879&lt;0,"Review – Out of Range (Claim Amount)",
  H879&lt;0,"Review – Out of Range (Days to Process)",
  TRUE,"OK"
)</f>
        <v>OK</v>
      </c>
    </row>
    <row r="880" spans="1:9" ht="16.8" x14ac:dyDescent="0.3">
      <c r="A880" s="11" t="s">
        <v>7387</v>
      </c>
      <c r="B880" s="11" t="s">
        <v>4188</v>
      </c>
      <c r="C880" s="12">
        <v>45745</v>
      </c>
      <c r="D880" s="11">
        <v>363991.44</v>
      </c>
      <c r="E880" s="11" t="s">
        <v>6508</v>
      </c>
      <c r="F880" s="11" t="s">
        <v>6503</v>
      </c>
      <c r="G880" s="11" t="s">
        <v>46</v>
      </c>
      <c r="H880" s="11">
        <v>48</v>
      </c>
      <c r="I880" s="13" t="str" cm="1">
        <f t="array" ref="I880">_xlfn.IFS(
  OR(ISBLANK(A880),ISBLANK(B880),ISBLANK(D880),ISBLANK(E880),ISBLANK(H880)),"Missing Value",
  D880&lt;0,"Review – Out of Range (Claim Amount)",
  H880&lt;0,"Review – Out of Range (Days to Process)",
  TRUE,"OK"
)</f>
        <v>OK</v>
      </c>
    </row>
    <row r="881" spans="1:9" ht="16.8" x14ac:dyDescent="0.3">
      <c r="A881" s="14" t="s">
        <v>7388</v>
      </c>
      <c r="B881" s="14" t="s">
        <v>3585</v>
      </c>
      <c r="C881" s="15">
        <v>44996</v>
      </c>
      <c r="D881" s="14">
        <v>141286.07999999999</v>
      </c>
      <c r="E881" s="14" t="s">
        <v>6508</v>
      </c>
      <c r="F881" s="14" t="s">
        <v>6503</v>
      </c>
      <c r="G881" s="14" t="s">
        <v>45</v>
      </c>
      <c r="H881" s="14">
        <v>45</v>
      </c>
      <c r="I881" s="13" t="str" cm="1">
        <f t="array" ref="I881">_xlfn.IFS(
  OR(ISBLANK(A881),ISBLANK(B881),ISBLANK(D881),ISBLANK(E881),ISBLANK(H881)),"Missing Value",
  D881&lt;0,"Review – Out of Range (Claim Amount)",
  H881&lt;0,"Review – Out of Range (Days to Process)",
  TRUE,"OK"
)</f>
        <v>OK</v>
      </c>
    </row>
    <row r="882" spans="1:9" ht="16.8" x14ac:dyDescent="0.3">
      <c r="A882" s="11" t="s">
        <v>7389</v>
      </c>
      <c r="B882" s="11" t="s">
        <v>4172</v>
      </c>
      <c r="C882" s="12">
        <v>45727</v>
      </c>
      <c r="D882" s="11">
        <v>438293.13</v>
      </c>
      <c r="E882" s="11" t="s">
        <v>6508</v>
      </c>
      <c r="F882" s="11" t="s">
        <v>6516</v>
      </c>
      <c r="G882" s="11" t="s">
        <v>46</v>
      </c>
      <c r="H882" s="11">
        <v>4</v>
      </c>
      <c r="I882" s="13" t="str" cm="1">
        <f t="array" ref="I882">_xlfn.IFS(
  OR(ISBLANK(A882),ISBLANK(B882),ISBLANK(D882),ISBLANK(E882),ISBLANK(H882)),"Missing Value",
  D882&lt;0,"Review – Out of Range (Claim Amount)",
  H882&lt;0,"Review – Out of Range (Days to Process)",
  TRUE,"OK"
)</f>
        <v>OK</v>
      </c>
    </row>
    <row r="883" spans="1:9" ht="16.8" x14ac:dyDescent="0.3">
      <c r="A883" s="14" t="s">
        <v>7390</v>
      </c>
      <c r="B883" s="14" t="s">
        <v>5151</v>
      </c>
      <c r="C883" s="15">
        <v>44627</v>
      </c>
      <c r="D883" s="14">
        <v>160249.46</v>
      </c>
      <c r="E883" s="14" t="s">
        <v>6502</v>
      </c>
      <c r="F883" s="14" t="s">
        <v>6506</v>
      </c>
      <c r="G883" s="14" t="s">
        <v>45</v>
      </c>
      <c r="H883" s="14">
        <v>13</v>
      </c>
      <c r="I883" s="13" t="str" cm="1">
        <f t="array" ref="I883">_xlfn.IFS(
  OR(ISBLANK(A883),ISBLANK(B883),ISBLANK(D883),ISBLANK(E883),ISBLANK(H883)),"Missing Value",
  D883&lt;0,"Review – Out of Range (Claim Amount)",
  H883&lt;0,"Review – Out of Range (Days to Process)",
  TRUE,"OK"
)</f>
        <v>OK</v>
      </c>
    </row>
    <row r="884" spans="1:9" ht="16.8" x14ac:dyDescent="0.3">
      <c r="A884" s="11" t="s">
        <v>7391</v>
      </c>
      <c r="B884" s="11" t="s">
        <v>4367</v>
      </c>
      <c r="C884" s="12">
        <v>45554</v>
      </c>
      <c r="D884" s="11">
        <v>30001.4</v>
      </c>
      <c r="E884" s="11" t="s">
        <v>6502</v>
      </c>
      <c r="F884" s="11" t="s">
        <v>6503</v>
      </c>
      <c r="G884" s="11" t="s">
        <v>45</v>
      </c>
      <c r="H884" s="11">
        <v>22</v>
      </c>
      <c r="I884" s="13" t="str" cm="1">
        <f t="array" ref="I884">_xlfn.IFS(
  OR(ISBLANK(A884),ISBLANK(B884),ISBLANK(D884),ISBLANK(E884),ISBLANK(H884)),"Missing Value",
  D884&lt;0,"Review – Out of Range (Claim Amount)",
  H884&lt;0,"Review – Out of Range (Days to Process)",
  TRUE,"OK"
)</f>
        <v>OK</v>
      </c>
    </row>
    <row r="885" spans="1:9" ht="16.8" x14ac:dyDescent="0.3">
      <c r="A885" s="14" t="s">
        <v>7392</v>
      </c>
      <c r="B885" s="14" t="s">
        <v>5243</v>
      </c>
      <c r="C885" s="15">
        <v>45520</v>
      </c>
      <c r="D885" s="14">
        <v>268026.08</v>
      </c>
      <c r="E885" s="14" t="s">
        <v>6502</v>
      </c>
      <c r="F885" s="14" t="s">
        <v>6506</v>
      </c>
      <c r="G885" s="14" t="s">
        <v>46</v>
      </c>
      <c r="H885" s="14">
        <v>34</v>
      </c>
      <c r="I885" s="13" t="str" cm="1">
        <f t="array" ref="I885">_xlfn.IFS(
  OR(ISBLANK(A885),ISBLANK(B885),ISBLANK(D885),ISBLANK(E885),ISBLANK(H885)),"Missing Value",
  D885&lt;0,"Review – Out of Range (Claim Amount)",
  H885&lt;0,"Review – Out of Range (Days to Process)",
  TRUE,"OK"
)</f>
        <v>OK</v>
      </c>
    </row>
    <row r="886" spans="1:9" ht="16.8" x14ac:dyDescent="0.3">
      <c r="A886" s="11" t="s">
        <v>7393</v>
      </c>
      <c r="B886" s="11" t="s">
        <v>5199</v>
      </c>
      <c r="C886" s="12">
        <v>45670</v>
      </c>
      <c r="D886" s="11">
        <v>301755.32</v>
      </c>
      <c r="E886" s="11" t="s">
        <v>6508</v>
      </c>
      <c r="F886" s="11" t="s">
        <v>6503</v>
      </c>
      <c r="G886" s="11" t="s">
        <v>46</v>
      </c>
      <c r="H886" s="11">
        <v>54</v>
      </c>
      <c r="I886" s="13" t="str" cm="1">
        <f t="array" ref="I886">_xlfn.IFS(
  OR(ISBLANK(A886),ISBLANK(B886),ISBLANK(D886),ISBLANK(E886),ISBLANK(H886)),"Missing Value",
  D886&lt;0,"Review – Out of Range (Claim Amount)",
  H886&lt;0,"Review – Out of Range (Days to Process)",
  TRUE,"OK"
)</f>
        <v>OK</v>
      </c>
    </row>
    <row r="887" spans="1:9" ht="16.8" x14ac:dyDescent="0.3">
      <c r="A887" s="14" t="s">
        <v>7394</v>
      </c>
      <c r="B887" s="14" t="s">
        <v>5752</v>
      </c>
      <c r="C887" s="15">
        <v>45336</v>
      </c>
      <c r="D887" s="14">
        <v>289260.89</v>
      </c>
      <c r="E887" s="14" t="s">
        <v>6502</v>
      </c>
      <c r="F887" s="14" t="s">
        <v>6503</v>
      </c>
      <c r="G887" s="14" t="s">
        <v>46</v>
      </c>
      <c r="H887" s="14">
        <v>56</v>
      </c>
      <c r="I887" s="13" t="str" cm="1">
        <f t="array" ref="I887">_xlfn.IFS(
  OR(ISBLANK(A887),ISBLANK(B887),ISBLANK(D887),ISBLANK(E887),ISBLANK(H887)),"Missing Value",
  D887&lt;0,"Review – Out of Range (Claim Amount)",
  H887&lt;0,"Review – Out of Range (Days to Process)",
  TRUE,"OK"
)</f>
        <v>OK</v>
      </c>
    </row>
    <row r="888" spans="1:9" ht="16.8" x14ac:dyDescent="0.3">
      <c r="A888" s="11" t="s">
        <v>7395</v>
      </c>
      <c r="B888" s="11" t="s">
        <v>6178</v>
      </c>
      <c r="C888" s="12">
        <v>45399</v>
      </c>
      <c r="D888" s="11">
        <v>74245.83</v>
      </c>
      <c r="E888" s="11" t="s">
        <v>6502</v>
      </c>
      <c r="F888" s="11" t="s">
        <v>6506</v>
      </c>
      <c r="G888" s="11" t="s">
        <v>46</v>
      </c>
      <c r="H888" s="11">
        <v>9</v>
      </c>
      <c r="I888" s="13" t="str" cm="1">
        <f t="array" ref="I888">_xlfn.IFS(
  OR(ISBLANK(A888),ISBLANK(B888),ISBLANK(D888),ISBLANK(E888),ISBLANK(H888)),"Missing Value",
  D888&lt;0,"Review – Out of Range (Claim Amount)",
  H888&lt;0,"Review – Out of Range (Days to Process)",
  TRUE,"OK"
)</f>
        <v>OK</v>
      </c>
    </row>
    <row r="889" spans="1:9" ht="16.8" x14ac:dyDescent="0.3">
      <c r="A889" s="14" t="s">
        <v>7396</v>
      </c>
      <c r="B889" s="14" t="s">
        <v>5321</v>
      </c>
      <c r="C889" s="15">
        <v>45013</v>
      </c>
      <c r="D889" s="14">
        <v>450675.9</v>
      </c>
      <c r="E889" s="14" t="s">
        <v>6505</v>
      </c>
      <c r="F889" s="14" t="s">
        <v>6511</v>
      </c>
      <c r="G889" s="14" t="s">
        <v>46</v>
      </c>
      <c r="H889" s="14">
        <v>39</v>
      </c>
      <c r="I889" s="13" t="str" cm="1">
        <f t="array" ref="I889">_xlfn.IFS(
  OR(ISBLANK(A889),ISBLANK(B889),ISBLANK(D889),ISBLANK(E889),ISBLANK(H889)),"Missing Value",
  D889&lt;0,"Review – Out of Range (Claim Amount)",
  H889&lt;0,"Review – Out of Range (Days to Process)",
  TRUE,"OK"
)</f>
        <v>OK</v>
      </c>
    </row>
    <row r="890" spans="1:9" ht="16.8" x14ac:dyDescent="0.3">
      <c r="A890" s="11" t="s">
        <v>7397</v>
      </c>
      <c r="B890" s="11" t="s">
        <v>3452</v>
      </c>
      <c r="C890" s="12">
        <v>45351</v>
      </c>
      <c r="D890" s="11">
        <v>383780.52</v>
      </c>
      <c r="E890" s="11" t="s">
        <v>6502</v>
      </c>
      <c r="F890" s="11" t="s">
        <v>6509</v>
      </c>
      <c r="G890" s="11" t="s">
        <v>46</v>
      </c>
      <c r="H890" s="11">
        <v>29</v>
      </c>
      <c r="I890" s="13" t="str" cm="1">
        <f t="array" ref="I890">_xlfn.IFS(
  OR(ISBLANK(A890),ISBLANK(B890),ISBLANK(D890),ISBLANK(E890),ISBLANK(H890)),"Missing Value",
  D890&lt;0,"Review – Out of Range (Claim Amount)",
  H890&lt;0,"Review – Out of Range (Days to Process)",
  TRUE,"OK"
)</f>
        <v>OK</v>
      </c>
    </row>
    <row r="891" spans="1:9" ht="16.8" x14ac:dyDescent="0.3">
      <c r="A891" s="14" t="s">
        <v>7398</v>
      </c>
      <c r="B891" s="14" t="s">
        <v>5700</v>
      </c>
      <c r="C891" s="15">
        <v>45302</v>
      </c>
      <c r="D891" s="14">
        <v>321808.40999999997</v>
      </c>
      <c r="E891" s="14" t="s">
        <v>6502</v>
      </c>
      <c r="F891" s="14" t="s">
        <v>6503</v>
      </c>
      <c r="G891" s="14" t="s">
        <v>46</v>
      </c>
      <c r="H891" s="14">
        <v>31</v>
      </c>
      <c r="I891" s="13" t="str" cm="1">
        <f t="array" ref="I891">_xlfn.IFS(
  OR(ISBLANK(A891),ISBLANK(B891),ISBLANK(D891),ISBLANK(E891),ISBLANK(H891)),"Missing Value",
  D891&lt;0,"Review – Out of Range (Claim Amount)",
  H891&lt;0,"Review – Out of Range (Days to Process)",
  TRUE,"OK"
)</f>
        <v>OK</v>
      </c>
    </row>
    <row r="892" spans="1:9" ht="16.8" x14ac:dyDescent="0.3">
      <c r="A892" s="11" t="s">
        <v>7399</v>
      </c>
      <c r="B892" s="11" t="s">
        <v>5795</v>
      </c>
      <c r="C892" s="12">
        <v>44976</v>
      </c>
      <c r="D892" s="11">
        <v>340973.85</v>
      </c>
      <c r="E892" s="11" t="s">
        <v>6508</v>
      </c>
      <c r="F892" s="11" t="s">
        <v>6516</v>
      </c>
      <c r="G892" s="11" t="s">
        <v>46</v>
      </c>
      <c r="H892" s="11">
        <v>59</v>
      </c>
      <c r="I892" s="13" t="str" cm="1">
        <f t="array" ref="I892">_xlfn.IFS(
  OR(ISBLANK(A892),ISBLANK(B892),ISBLANK(D892),ISBLANK(E892),ISBLANK(H892)),"Missing Value",
  D892&lt;0,"Review – Out of Range (Claim Amount)",
  H892&lt;0,"Review – Out of Range (Days to Process)",
  TRUE,"OK"
)</f>
        <v>OK</v>
      </c>
    </row>
    <row r="893" spans="1:9" ht="16.8" x14ac:dyDescent="0.3">
      <c r="A893" s="14" t="s">
        <v>7400</v>
      </c>
      <c r="B893" s="14" t="s">
        <v>3580</v>
      </c>
      <c r="C893" s="15">
        <v>45280</v>
      </c>
      <c r="D893" s="14">
        <v>262674.95</v>
      </c>
      <c r="E893" s="14" t="s">
        <v>6502</v>
      </c>
      <c r="F893" s="14" t="s">
        <v>6509</v>
      </c>
      <c r="G893" s="14" t="s">
        <v>45</v>
      </c>
      <c r="H893" s="14">
        <v>59</v>
      </c>
      <c r="I893" s="13" t="str" cm="1">
        <f t="array" ref="I893">_xlfn.IFS(
  OR(ISBLANK(A893),ISBLANK(B893),ISBLANK(D893),ISBLANK(E893),ISBLANK(H893)),"Missing Value",
  D893&lt;0,"Review – Out of Range (Claim Amount)",
  H893&lt;0,"Review – Out of Range (Days to Process)",
  TRUE,"OK"
)</f>
        <v>OK</v>
      </c>
    </row>
    <row r="894" spans="1:9" ht="16.8" x14ac:dyDescent="0.3">
      <c r="A894" s="11" t="s">
        <v>7401</v>
      </c>
      <c r="B894" s="11" t="s">
        <v>5173</v>
      </c>
      <c r="C894" s="12">
        <v>44991</v>
      </c>
      <c r="D894" s="11">
        <v>209903.85</v>
      </c>
      <c r="E894" s="11" t="s">
        <v>6505</v>
      </c>
      <c r="F894" s="11" t="s">
        <v>6516</v>
      </c>
      <c r="G894" s="11" t="s">
        <v>46</v>
      </c>
      <c r="H894" s="11">
        <v>25</v>
      </c>
      <c r="I894" s="13" t="str" cm="1">
        <f t="array" ref="I894">_xlfn.IFS(
  OR(ISBLANK(A894),ISBLANK(B894),ISBLANK(D894),ISBLANK(E894),ISBLANK(H894)),"Missing Value",
  D894&lt;0,"Review – Out of Range (Claim Amount)",
  H894&lt;0,"Review – Out of Range (Days to Process)",
  TRUE,"OK"
)</f>
        <v>OK</v>
      </c>
    </row>
    <row r="895" spans="1:9" ht="16.8" x14ac:dyDescent="0.3">
      <c r="A895" s="14" t="s">
        <v>7402</v>
      </c>
      <c r="B895" s="14" t="s">
        <v>5808</v>
      </c>
      <c r="C895" s="15">
        <v>45769</v>
      </c>
      <c r="D895" s="14">
        <v>327396.53000000003</v>
      </c>
      <c r="E895" s="14" t="s">
        <v>6505</v>
      </c>
      <c r="F895" s="14" t="s">
        <v>6503</v>
      </c>
      <c r="G895" s="14" t="s">
        <v>45</v>
      </c>
      <c r="H895" s="14">
        <v>38</v>
      </c>
      <c r="I895" s="13" t="str" cm="1">
        <f t="array" ref="I895">_xlfn.IFS(
  OR(ISBLANK(A895),ISBLANK(B895),ISBLANK(D895),ISBLANK(E895),ISBLANK(H895)),"Missing Value",
  D895&lt;0,"Review – Out of Range (Claim Amount)",
  H895&lt;0,"Review – Out of Range (Days to Process)",
  TRUE,"OK"
)</f>
        <v>OK</v>
      </c>
    </row>
    <row r="896" spans="1:9" ht="16.8" x14ac:dyDescent="0.3">
      <c r="A896" s="11" t="s">
        <v>7403</v>
      </c>
      <c r="B896" s="11" t="s">
        <v>6164</v>
      </c>
      <c r="C896" s="12">
        <v>45302</v>
      </c>
      <c r="D896" s="11">
        <v>64582.54</v>
      </c>
      <c r="E896" s="11" t="s">
        <v>6505</v>
      </c>
      <c r="F896" s="11" t="s">
        <v>6509</v>
      </c>
      <c r="G896" s="11" t="s">
        <v>45</v>
      </c>
      <c r="H896" s="11">
        <v>15</v>
      </c>
      <c r="I896" s="13" t="str" cm="1">
        <f t="array" ref="I896">_xlfn.IFS(
  OR(ISBLANK(A896),ISBLANK(B896),ISBLANK(D896),ISBLANK(E896),ISBLANK(H896)),"Missing Value",
  D896&lt;0,"Review – Out of Range (Claim Amount)",
  H896&lt;0,"Review – Out of Range (Days to Process)",
  TRUE,"OK"
)</f>
        <v>OK</v>
      </c>
    </row>
    <row r="897" spans="1:9" ht="16.8" x14ac:dyDescent="0.3">
      <c r="A897" s="14" t="s">
        <v>7404</v>
      </c>
      <c r="B897" s="14" t="s">
        <v>5410</v>
      </c>
      <c r="C897" s="15">
        <v>45075</v>
      </c>
      <c r="D897" s="14">
        <v>393695.15</v>
      </c>
      <c r="E897" s="14" t="s">
        <v>6508</v>
      </c>
      <c r="F897" s="14" t="s">
        <v>6506</v>
      </c>
      <c r="G897" s="14" t="s">
        <v>45</v>
      </c>
      <c r="H897" s="14">
        <v>14</v>
      </c>
      <c r="I897" s="13" t="str" cm="1">
        <f t="array" ref="I897">_xlfn.IFS(
  OR(ISBLANK(A897),ISBLANK(B897),ISBLANK(D897),ISBLANK(E897),ISBLANK(H897)),"Missing Value",
  D897&lt;0,"Review – Out of Range (Claim Amount)",
  H897&lt;0,"Review – Out of Range (Days to Process)",
  TRUE,"OK"
)</f>
        <v>OK</v>
      </c>
    </row>
    <row r="898" spans="1:9" ht="16.8" x14ac:dyDescent="0.3">
      <c r="A898" s="11" t="s">
        <v>7405</v>
      </c>
      <c r="B898" s="11" t="s">
        <v>6355</v>
      </c>
      <c r="C898" s="12">
        <v>45474</v>
      </c>
      <c r="D898" s="11">
        <v>186748.54</v>
      </c>
      <c r="E898" s="11" t="s">
        <v>6508</v>
      </c>
      <c r="F898" s="11" t="s">
        <v>6503</v>
      </c>
      <c r="G898" s="11" t="s">
        <v>45</v>
      </c>
      <c r="H898" s="11">
        <v>23</v>
      </c>
      <c r="I898" s="13" t="str" cm="1">
        <f t="array" ref="I898">_xlfn.IFS(
  OR(ISBLANK(A898),ISBLANK(B898),ISBLANK(D898),ISBLANK(E898),ISBLANK(H898)),"Missing Value",
  D898&lt;0,"Review – Out of Range (Claim Amount)",
  H898&lt;0,"Review – Out of Range (Days to Process)",
  TRUE,"OK"
)</f>
        <v>OK</v>
      </c>
    </row>
    <row r="899" spans="1:9" ht="16.8" x14ac:dyDescent="0.3">
      <c r="A899" s="14" t="s">
        <v>7406</v>
      </c>
      <c r="B899" s="14" t="s">
        <v>6293</v>
      </c>
      <c r="C899" s="15">
        <v>45702</v>
      </c>
      <c r="D899" s="14">
        <v>363479.77</v>
      </c>
      <c r="E899" s="14" t="s">
        <v>6508</v>
      </c>
      <c r="F899" s="14" t="s">
        <v>6506</v>
      </c>
      <c r="G899" s="14" t="s">
        <v>45</v>
      </c>
      <c r="H899" s="14">
        <v>35</v>
      </c>
      <c r="I899" s="13" t="str" cm="1">
        <f t="array" ref="I899">_xlfn.IFS(
  OR(ISBLANK(A899),ISBLANK(B899),ISBLANK(D899),ISBLANK(E899),ISBLANK(H899)),"Missing Value",
  D899&lt;0,"Review – Out of Range (Claim Amount)",
  H899&lt;0,"Review – Out of Range (Days to Process)",
  TRUE,"OK"
)</f>
        <v>OK</v>
      </c>
    </row>
    <row r="900" spans="1:9" ht="16.8" x14ac:dyDescent="0.3">
      <c r="A900" s="11" t="s">
        <v>7407</v>
      </c>
      <c r="B900" s="11" t="s">
        <v>5152</v>
      </c>
      <c r="C900" s="12">
        <v>45012</v>
      </c>
      <c r="D900" s="11">
        <v>253270.13</v>
      </c>
      <c r="E900" s="11" t="s">
        <v>6505</v>
      </c>
      <c r="F900" s="11" t="s">
        <v>6511</v>
      </c>
      <c r="G900" s="11" t="s">
        <v>46</v>
      </c>
      <c r="H900" s="11">
        <v>13</v>
      </c>
      <c r="I900" s="13" t="str" cm="1">
        <f t="array" ref="I900">_xlfn.IFS(
  OR(ISBLANK(A900),ISBLANK(B900),ISBLANK(D900),ISBLANK(E900),ISBLANK(H900)),"Missing Value",
  D900&lt;0,"Review – Out of Range (Claim Amount)",
  H900&lt;0,"Review – Out of Range (Days to Process)",
  TRUE,"OK"
)</f>
        <v>OK</v>
      </c>
    </row>
    <row r="901" spans="1:9" ht="16.8" x14ac:dyDescent="0.3">
      <c r="A901" s="14" t="s">
        <v>7408</v>
      </c>
      <c r="B901" s="14" t="s">
        <v>4594</v>
      </c>
      <c r="C901" s="15">
        <v>45301</v>
      </c>
      <c r="D901" s="14">
        <v>292835.25</v>
      </c>
      <c r="E901" s="14" t="s">
        <v>6502</v>
      </c>
      <c r="F901" s="14" t="s">
        <v>6509</v>
      </c>
      <c r="G901" s="14" t="s">
        <v>46</v>
      </c>
      <c r="H901" s="14">
        <v>32</v>
      </c>
      <c r="I901" s="13" t="str" cm="1">
        <f t="array" ref="I901">_xlfn.IFS(
  OR(ISBLANK(A901),ISBLANK(B901),ISBLANK(D901),ISBLANK(E901),ISBLANK(H901)),"Missing Value",
  D901&lt;0,"Review – Out of Range (Claim Amount)",
  H901&lt;0,"Review – Out of Range (Days to Process)",
  TRUE,"OK"
)</f>
        <v>OK</v>
      </c>
    </row>
    <row r="902" spans="1:9" ht="16.8" x14ac:dyDescent="0.3">
      <c r="A902" s="11" t="s">
        <v>7409</v>
      </c>
      <c r="B902" s="11" t="s">
        <v>5723</v>
      </c>
      <c r="C902" s="12">
        <v>45048</v>
      </c>
      <c r="D902" s="11">
        <v>17815.04</v>
      </c>
      <c r="E902" s="11" t="s">
        <v>6505</v>
      </c>
      <c r="F902" s="11" t="s">
        <v>6516</v>
      </c>
      <c r="G902" s="11" t="s">
        <v>45</v>
      </c>
      <c r="H902" s="11">
        <v>48</v>
      </c>
      <c r="I902" s="13" t="str" cm="1">
        <f t="array" ref="I902">_xlfn.IFS(
  OR(ISBLANK(A902),ISBLANK(B902),ISBLANK(D902),ISBLANK(E902),ISBLANK(H902)),"Missing Value",
  D902&lt;0,"Review – Out of Range (Claim Amount)",
  H902&lt;0,"Review – Out of Range (Days to Process)",
  TRUE,"OK"
)</f>
        <v>OK</v>
      </c>
    </row>
    <row r="903" spans="1:9" ht="16.8" x14ac:dyDescent="0.3">
      <c r="A903" s="14" t="s">
        <v>7410</v>
      </c>
      <c r="B903" s="14" t="s">
        <v>5393</v>
      </c>
      <c r="C903" s="15">
        <v>44981</v>
      </c>
      <c r="D903" s="14">
        <v>452720.43</v>
      </c>
      <c r="E903" s="14" t="s">
        <v>6508</v>
      </c>
      <c r="F903" s="14" t="s">
        <v>6506</v>
      </c>
      <c r="G903" s="14" t="s">
        <v>46</v>
      </c>
      <c r="H903" s="14">
        <v>51</v>
      </c>
      <c r="I903" s="13" t="str" cm="1">
        <f t="array" ref="I903">_xlfn.IFS(
  OR(ISBLANK(A903),ISBLANK(B903),ISBLANK(D903),ISBLANK(E903),ISBLANK(H903)),"Missing Value",
  D903&lt;0,"Review – Out of Range (Claim Amount)",
  H903&lt;0,"Review – Out of Range (Days to Process)",
  TRUE,"OK"
)</f>
        <v>OK</v>
      </c>
    </row>
    <row r="904" spans="1:9" ht="16.8" x14ac:dyDescent="0.3">
      <c r="A904" s="11" t="s">
        <v>7411</v>
      </c>
      <c r="B904" s="11" t="s">
        <v>5556</v>
      </c>
      <c r="C904" s="12">
        <v>45102</v>
      </c>
      <c r="D904" s="11">
        <v>490352.67</v>
      </c>
      <c r="E904" s="11" t="s">
        <v>6505</v>
      </c>
      <c r="F904" s="11" t="s">
        <v>6511</v>
      </c>
      <c r="G904" s="11" t="s">
        <v>46</v>
      </c>
      <c r="H904" s="11">
        <v>46</v>
      </c>
      <c r="I904" s="13" t="str" cm="1">
        <f t="array" ref="I904">_xlfn.IFS(
  OR(ISBLANK(A904),ISBLANK(B904),ISBLANK(D904),ISBLANK(E904),ISBLANK(H904)),"Missing Value",
  D904&lt;0,"Review – Out of Range (Claim Amount)",
  H904&lt;0,"Review – Out of Range (Days to Process)",
  TRUE,"OK"
)</f>
        <v>OK</v>
      </c>
    </row>
    <row r="905" spans="1:9" ht="16.8" x14ac:dyDescent="0.3">
      <c r="A905" s="14" t="s">
        <v>7412</v>
      </c>
      <c r="B905" s="14" t="s">
        <v>5357</v>
      </c>
      <c r="C905" s="15">
        <v>45601</v>
      </c>
      <c r="D905" s="14">
        <v>376466.96</v>
      </c>
      <c r="E905" s="14" t="s">
        <v>6502</v>
      </c>
      <c r="F905" s="14" t="s">
        <v>6503</v>
      </c>
      <c r="G905" s="14" t="s">
        <v>46</v>
      </c>
      <c r="H905" s="14">
        <v>20</v>
      </c>
      <c r="I905" s="13" t="str" cm="1">
        <f t="array" ref="I905">_xlfn.IFS(
  OR(ISBLANK(A905),ISBLANK(B905),ISBLANK(D905),ISBLANK(E905),ISBLANK(H905)),"Missing Value",
  D905&lt;0,"Review – Out of Range (Claim Amount)",
  H905&lt;0,"Review – Out of Range (Days to Process)",
  TRUE,"OK"
)</f>
        <v>OK</v>
      </c>
    </row>
    <row r="906" spans="1:9" ht="16.8" x14ac:dyDescent="0.3">
      <c r="A906" s="11" t="s">
        <v>7413</v>
      </c>
      <c r="B906" s="11" t="s">
        <v>4077</v>
      </c>
      <c r="C906" s="12">
        <v>44975</v>
      </c>
      <c r="D906" s="11">
        <v>434878.95</v>
      </c>
      <c r="E906" s="11" t="s">
        <v>6502</v>
      </c>
      <c r="F906" s="11" t="s">
        <v>6506</v>
      </c>
      <c r="G906" s="11" t="s">
        <v>46</v>
      </c>
      <c r="H906" s="11">
        <v>13</v>
      </c>
      <c r="I906" s="13" t="str" cm="1">
        <f t="array" ref="I906">_xlfn.IFS(
  OR(ISBLANK(A906),ISBLANK(B906),ISBLANK(D906),ISBLANK(E906),ISBLANK(H906)),"Missing Value",
  D906&lt;0,"Review – Out of Range (Claim Amount)",
  H906&lt;0,"Review – Out of Range (Days to Process)",
  TRUE,"OK"
)</f>
        <v>OK</v>
      </c>
    </row>
    <row r="907" spans="1:9" ht="16.8" x14ac:dyDescent="0.3">
      <c r="A907" s="14" t="s">
        <v>7414</v>
      </c>
      <c r="B907" s="14" t="s">
        <v>4258</v>
      </c>
      <c r="C907" s="15">
        <v>45625</v>
      </c>
      <c r="D907" s="14">
        <v>448286.88</v>
      </c>
      <c r="E907" s="14" t="s">
        <v>6502</v>
      </c>
      <c r="F907" s="14" t="s">
        <v>6516</v>
      </c>
      <c r="G907" s="14" t="s">
        <v>46</v>
      </c>
      <c r="H907" s="14">
        <v>26</v>
      </c>
      <c r="I907" s="13" t="str" cm="1">
        <f t="array" ref="I907">_xlfn.IFS(
  OR(ISBLANK(A907),ISBLANK(B907),ISBLANK(D907),ISBLANK(E907),ISBLANK(H907)),"Missing Value",
  D907&lt;0,"Review – Out of Range (Claim Amount)",
  H907&lt;0,"Review – Out of Range (Days to Process)",
  TRUE,"OK"
)</f>
        <v>OK</v>
      </c>
    </row>
    <row r="908" spans="1:9" ht="16.8" x14ac:dyDescent="0.3">
      <c r="A908" s="11" t="s">
        <v>7415</v>
      </c>
      <c r="B908" s="11" t="s">
        <v>6320</v>
      </c>
      <c r="C908" s="12">
        <v>45572</v>
      </c>
      <c r="D908" s="11">
        <v>51162.78</v>
      </c>
      <c r="E908" s="11" t="s">
        <v>6502</v>
      </c>
      <c r="F908" s="11" t="s">
        <v>6506</v>
      </c>
      <c r="G908" s="11" t="s">
        <v>46</v>
      </c>
      <c r="H908" s="11">
        <v>20</v>
      </c>
      <c r="I908" s="13" t="str" cm="1">
        <f t="array" ref="I908">_xlfn.IFS(
  OR(ISBLANK(A908),ISBLANK(B908),ISBLANK(D908),ISBLANK(E908),ISBLANK(H908)),"Missing Value",
  D908&lt;0,"Review – Out of Range (Claim Amount)",
  H908&lt;0,"Review – Out of Range (Days to Process)",
  TRUE,"OK"
)</f>
        <v>OK</v>
      </c>
    </row>
    <row r="909" spans="1:9" ht="16.8" x14ac:dyDescent="0.3">
      <c r="A909" s="14" t="s">
        <v>7416</v>
      </c>
      <c r="B909" s="14" t="s">
        <v>6171</v>
      </c>
      <c r="C909" s="15">
        <v>45517</v>
      </c>
      <c r="D909" s="14">
        <v>281264.43</v>
      </c>
      <c r="E909" s="14" t="s">
        <v>6508</v>
      </c>
      <c r="F909" s="14" t="s">
        <v>6509</v>
      </c>
      <c r="G909" s="14" t="s">
        <v>46</v>
      </c>
      <c r="H909" s="14">
        <v>54</v>
      </c>
      <c r="I909" s="13" t="str" cm="1">
        <f t="array" ref="I909">_xlfn.IFS(
  OR(ISBLANK(A909),ISBLANK(B909),ISBLANK(D909),ISBLANK(E909),ISBLANK(H909)),"Missing Value",
  D909&lt;0,"Review – Out of Range (Claim Amount)",
  H909&lt;0,"Review – Out of Range (Days to Process)",
  TRUE,"OK"
)</f>
        <v>OK</v>
      </c>
    </row>
    <row r="910" spans="1:9" ht="16.8" x14ac:dyDescent="0.3">
      <c r="A910" s="11" t="s">
        <v>7417</v>
      </c>
      <c r="B910" s="11" t="s">
        <v>3962</v>
      </c>
      <c r="C910" s="12">
        <v>45527</v>
      </c>
      <c r="D910" s="11">
        <v>408506.72</v>
      </c>
      <c r="E910" s="11" t="s">
        <v>6508</v>
      </c>
      <c r="F910" s="11" t="s">
        <v>6503</v>
      </c>
      <c r="G910" s="11" t="s">
        <v>46</v>
      </c>
      <c r="H910" s="11">
        <v>36</v>
      </c>
      <c r="I910" s="13" t="str" cm="1">
        <f t="array" ref="I910">_xlfn.IFS(
  OR(ISBLANK(A910),ISBLANK(B910),ISBLANK(D910),ISBLANK(E910),ISBLANK(H910)),"Missing Value",
  D910&lt;0,"Review – Out of Range (Claim Amount)",
  H910&lt;0,"Review – Out of Range (Days to Process)",
  TRUE,"OK"
)</f>
        <v>OK</v>
      </c>
    </row>
    <row r="911" spans="1:9" ht="16.8" x14ac:dyDescent="0.3">
      <c r="A911" s="14" t="s">
        <v>7418</v>
      </c>
      <c r="B911" s="14" t="s">
        <v>5394</v>
      </c>
      <c r="C911" s="15">
        <v>44933</v>
      </c>
      <c r="D911" s="14">
        <v>467078.24</v>
      </c>
      <c r="E911" s="14" t="s">
        <v>6505</v>
      </c>
      <c r="F911" s="14" t="s">
        <v>6509</v>
      </c>
      <c r="G911" s="14" t="s">
        <v>46</v>
      </c>
      <c r="H911" s="14">
        <v>12</v>
      </c>
      <c r="I911" s="13" t="str" cm="1">
        <f t="array" ref="I911">_xlfn.IFS(
  OR(ISBLANK(A911),ISBLANK(B911),ISBLANK(D911),ISBLANK(E911),ISBLANK(H911)),"Missing Value",
  D911&lt;0,"Review – Out of Range (Claim Amount)",
  H911&lt;0,"Review – Out of Range (Days to Process)",
  TRUE,"OK"
)</f>
        <v>OK</v>
      </c>
    </row>
    <row r="912" spans="1:9" ht="16.8" x14ac:dyDescent="0.3">
      <c r="A912" s="11" t="s">
        <v>7419</v>
      </c>
      <c r="B912" s="11" t="s">
        <v>4339</v>
      </c>
      <c r="C912" s="12">
        <v>44077</v>
      </c>
      <c r="D912" s="11">
        <v>256785.91</v>
      </c>
      <c r="E912" s="11" t="s">
        <v>6505</v>
      </c>
      <c r="F912" s="11" t="s">
        <v>6506</v>
      </c>
      <c r="G912" s="11" t="s">
        <v>45</v>
      </c>
      <c r="H912" s="11">
        <v>33</v>
      </c>
      <c r="I912" s="13" t="str" cm="1">
        <f t="array" ref="I912">_xlfn.IFS(
  OR(ISBLANK(A912),ISBLANK(B912),ISBLANK(D912),ISBLANK(E912),ISBLANK(H912)),"Missing Value",
  D912&lt;0,"Review – Out of Range (Claim Amount)",
  H912&lt;0,"Review – Out of Range (Days to Process)",
  TRUE,"OK"
)</f>
        <v>OK</v>
      </c>
    </row>
    <row r="913" spans="1:9" ht="16.8" x14ac:dyDescent="0.3">
      <c r="A913" s="14" t="s">
        <v>7420</v>
      </c>
      <c r="B913" s="14" t="s">
        <v>3525</v>
      </c>
      <c r="C913" s="15">
        <v>44468</v>
      </c>
      <c r="D913" s="14">
        <v>69511.55</v>
      </c>
      <c r="E913" s="14" t="s">
        <v>6505</v>
      </c>
      <c r="F913" s="14" t="s">
        <v>6503</v>
      </c>
      <c r="G913" s="14" t="s">
        <v>46</v>
      </c>
      <c r="H913" s="14">
        <v>17</v>
      </c>
      <c r="I913" s="13" t="str" cm="1">
        <f t="array" ref="I913">_xlfn.IFS(
  OR(ISBLANK(A913),ISBLANK(B913),ISBLANK(D913),ISBLANK(E913),ISBLANK(H913)),"Missing Value",
  D913&lt;0,"Review – Out of Range (Claim Amount)",
  H913&lt;0,"Review – Out of Range (Days to Process)",
  TRUE,"OK"
)</f>
        <v>OK</v>
      </c>
    </row>
    <row r="914" spans="1:9" ht="16.8" x14ac:dyDescent="0.3">
      <c r="A914" s="11" t="s">
        <v>7421</v>
      </c>
      <c r="B914" s="11" t="s">
        <v>5811</v>
      </c>
      <c r="C914" s="12">
        <v>45382</v>
      </c>
      <c r="D914" s="11">
        <v>14203.35</v>
      </c>
      <c r="E914" s="11" t="s">
        <v>6505</v>
      </c>
      <c r="F914" s="11" t="s">
        <v>6506</v>
      </c>
      <c r="G914" s="11" t="s">
        <v>45</v>
      </c>
      <c r="H914" s="11">
        <v>48</v>
      </c>
      <c r="I914" s="13" t="str" cm="1">
        <f t="array" ref="I914">_xlfn.IFS(
  OR(ISBLANK(A914),ISBLANK(B914),ISBLANK(D914),ISBLANK(E914),ISBLANK(H914)),"Missing Value",
  D914&lt;0,"Review – Out of Range (Claim Amount)",
  H914&lt;0,"Review – Out of Range (Days to Process)",
  TRUE,"OK"
)</f>
        <v>OK</v>
      </c>
    </row>
    <row r="915" spans="1:9" ht="16.8" x14ac:dyDescent="0.3">
      <c r="A915" s="14" t="s">
        <v>7422</v>
      </c>
      <c r="B915" s="14" t="s">
        <v>6470</v>
      </c>
      <c r="C915" s="15">
        <v>45011</v>
      </c>
      <c r="D915" s="14">
        <v>70028.34</v>
      </c>
      <c r="E915" s="14" t="s">
        <v>6508</v>
      </c>
      <c r="F915" s="14" t="s">
        <v>6506</v>
      </c>
      <c r="G915" s="14" t="s">
        <v>46</v>
      </c>
      <c r="H915" s="14">
        <v>46</v>
      </c>
      <c r="I915" s="13" t="str" cm="1">
        <f t="array" ref="I915">_xlfn.IFS(
  OR(ISBLANK(A915),ISBLANK(B915),ISBLANK(D915),ISBLANK(E915),ISBLANK(H915)),"Missing Value",
  D915&lt;0,"Review – Out of Range (Claim Amount)",
  H915&lt;0,"Review – Out of Range (Days to Process)",
  TRUE,"OK"
)</f>
        <v>OK</v>
      </c>
    </row>
    <row r="916" spans="1:9" ht="16.8" x14ac:dyDescent="0.3">
      <c r="A916" s="11" t="s">
        <v>7423</v>
      </c>
      <c r="B916" s="11" t="s">
        <v>4495</v>
      </c>
      <c r="C916" s="12">
        <v>44688</v>
      </c>
      <c r="D916" s="11">
        <v>294902.53999999998</v>
      </c>
      <c r="E916" s="11" t="s">
        <v>6502</v>
      </c>
      <c r="F916" s="11" t="s">
        <v>6506</v>
      </c>
      <c r="G916" s="11" t="s">
        <v>46</v>
      </c>
      <c r="H916" s="11">
        <v>47</v>
      </c>
      <c r="I916" s="13" t="str" cm="1">
        <f t="array" ref="I916">_xlfn.IFS(
  OR(ISBLANK(A916),ISBLANK(B916),ISBLANK(D916),ISBLANK(E916),ISBLANK(H916)),"Missing Value",
  D916&lt;0,"Review – Out of Range (Claim Amount)",
  H916&lt;0,"Review – Out of Range (Days to Process)",
  TRUE,"OK"
)</f>
        <v>OK</v>
      </c>
    </row>
    <row r="917" spans="1:9" ht="16.8" x14ac:dyDescent="0.3">
      <c r="A917" s="14" t="s">
        <v>7424</v>
      </c>
      <c r="B917" s="14" t="s">
        <v>4366</v>
      </c>
      <c r="C917" s="15">
        <v>44129</v>
      </c>
      <c r="D917" s="14">
        <v>442524.66</v>
      </c>
      <c r="E917" s="14" t="s">
        <v>6505</v>
      </c>
      <c r="F917" s="14" t="s">
        <v>6506</v>
      </c>
      <c r="G917" s="14" t="s">
        <v>45</v>
      </c>
      <c r="H917" s="14">
        <v>58</v>
      </c>
      <c r="I917" s="13" t="str" cm="1">
        <f t="array" ref="I917">_xlfn.IFS(
  OR(ISBLANK(A917),ISBLANK(B917),ISBLANK(D917),ISBLANK(E917),ISBLANK(H917)),"Missing Value",
  D917&lt;0,"Review – Out of Range (Claim Amount)",
  H917&lt;0,"Review – Out of Range (Days to Process)",
  TRUE,"OK"
)</f>
        <v>OK</v>
      </c>
    </row>
    <row r="918" spans="1:9" ht="16.8" x14ac:dyDescent="0.3">
      <c r="A918" s="11" t="s">
        <v>7425</v>
      </c>
      <c r="B918" s="11" t="s">
        <v>5473</v>
      </c>
      <c r="C918" s="12">
        <v>44591</v>
      </c>
      <c r="D918" s="11">
        <v>62621.23</v>
      </c>
      <c r="E918" s="11" t="s">
        <v>6502</v>
      </c>
      <c r="F918" s="11" t="s">
        <v>6516</v>
      </c>
      <c r="G918" s="11" t="s">
        <v>46</v>
      </c>
      <c r="H918" s="11">
        <v>58</v>
      </c>
      <c r="I918" s="13" t="str" cm="1">
        <f t="array" ref="I918">_xlfn.IFS(
  OR(ISBLANK(A918),ISBLANK(B918),ISBLANK(D918),ISBLANK(E918),ISBLANK(H918)),"Missing Value",
  D918&lt;0,"Review – Out of Range (Claim Amount)",
  H918&lt;0,"Review – Out of Range (Days to Process)",
  TRUE,"OK"
)</f>
        <v>OK</v>
      </c>
    </row>
    <row r="919" spans="1:9" ht="16.8" x14ac:dyDescent="0.3">
      <c r="A919" s="14" t="s">
        <v>7426</v>
      </c>
      <c r="B919" s="14" t="s">
        <v>3376</v>
      </c>
      <c r="C919" s="15">
        <v>45010</v>
      </c>
      <c r="D919" s="14">
        <v>33165.300000000003</v>
      </c>
      <c r="E919" s="14" t="s">
        <v>6505</v>
      </c>
      <c r="F919" s="14" t="s">
        <v>6511</v>
      </c>
      <c r="G919" s="14" t="s">
        <v>45</v>
      </c>
      <c r="H919" s="14">
        <v>33</v>
      </c>
      <c r="I919" s="13" t="str" cm="1">
        <f t="array" ref="I919">_xlfn.IFS(
  OR(ISBLANK(A919),ISBLANK(B919),ISBLANK(D919),ISBLANK(E919),ISBLANK(H919)),"Missing Value",
  D919&lt;0,"Review – Out of Range (Claim Amount)",
  H919&lt;0,"Review – Out of Range (Days to Process)",
  TRUE,"OK"
)</f>
        <v>OK</v>
      </c>
    </row>
    <row r="920" spans="1:9" ht="16.8" x14ac:dyDescent="0.3">
      <c r="A920" s="11" t="s">
        <v>7427</v>
      </c>
      <c r="B920" s="11" t="s">
        <v>4691</v>
      </c>
      <c r="C920" s="12">
        <v>44594</v>
      </c>
      <c r="D920" s="11">
        <v>448583.61</v>
      </c>
      <c r="E920" s="11" t="s">
        <v>6502</v>
      </c>
      <c r="F920" s="11" t="s">
        <v>6511</v>
      </c>
      <c r="G920" s="11" t="s">
        <v>45</v>
      </c>
      <c r="H920" s="11">
        <v>37</v>
      </c>
      <c r="I920" s="13" t="str" cm="1">
        <f t="array" ref="I920">_xlfn.IFS(
  OR(ISBLANK(A920),ISBLANK(B920),ISBLANK(D920),ISBLANK(E920),ISBLANK(H920)),"Missing Value",
  D920&lt;0,"Review – Out of Range (Claim Amount)",
  H920&lt;0,"Review – Out of Range (Days to Process)",
  TRUE,"OK"
)</f>
        <v>OK</v>
      </c>
    </row>
    <row r="921" spans="1:9" ht="16.8" x14ac:dyDescent="0.3">
      <c r="A921" s="14" t="s">
        <v>7428</v>
      </c>
      <c r="B921" s="14" t="s">
        <v>3847</v>
      </c>
      <c r="C921" s="15">
        <v>45777</v>
      </c>
      <c r="D921" s="14">
        <v>145481.57</v>
      </c>
      <c r="E921" s="14" t="s">
        <v>6508</v>
      </c>
      <c r="F921" s="14" t="s">
        <v>6509</v>
      </c>
      <c r="G921" s="14" t="s">
        <v>46</v>
      </c>
      <c r="H921" s="14">
        <v>46</v>
      </c>
      <c r="I921" s="13" t="str" cm="1">
        <f t="array" ref="I921">_xlfn.IFS(
  OR(ISBLANK(A921),ISBLANK(B921),ISBLANK(D921),ISBLANK(E921),ISBLANK(H921)),"Missing Value",
  D921&lt;0,"Review – Out of Range (Claim Amount)",
  H921&lt;0,"Review – Out of Range (Days to Process)",
  TRUE,"OK"
)</f>
        <v>OK</v>
      </c>
    </row>
    <row r="922" spans="1:9" ht="16.8" x14ac:dyDescent="0.3">
      <c r="A922" s="11" t="s">
        <v>7429</v>
      </c>
      <c r="B922" s="11" t="s">
        <v>5964</v>
      </c>
      <c r="C922" s="12">
        <v>45373</v>
      </c>
      <c r="D922" s="11">
        <v>186593.2</v>
      </c>
      <c r="E922" s="11" t="s">
        <v>6505</v>
      </c>
      <c r="F922" s="11" t="s">
        <v>6509</v>
      </c>
      <c r="G922" s="11" t="s">
        <v>46</v>
      </c>
      <c r="H922" s="11">
        <v>10</v>
      </c>
      <c r="I922" s="13" t="str" cm="1">
        <f t="array" ref="I922">_xlfn.IFS(
  OR(ISBLANK(A922),ISBLANK(B922),ISBLANK(D922),ISBLANK(E922),ISBLANK(H922)),"Missing Value",
  D922&lt;0,"Review – Out of Range (Claim Amount)",
  H922&lt;0,"Review – Out of Range (Days to Process)",
  TRUE,"OK"
)</f>
        <v>OK</v>
      </c>
    </row>
    <row r="923" spans="1:9" ht="16.8" x14ac:dyDescent="0.3">
      <c r="A923" s="14" t="s">
        <v>7430</v>
      </c>
      <c r="B923" s="14" t="s">
        <v>6405</v>
      </c>
      <c r="C923" s="15">
        <v>45432</v>
      </c>
      <c r="D923" s="14">
        <v>427754.36</v>
      </c>
      <c r="E923" s="14" t="s">
        <v>6508</v>
      </c>
      <c r="F923" s="14" t="s">
        <v>6509</v>
      </c>
      <c r="G923" s="14" t="s">
        <v>45</v>
      </c>
      <c r="H923" s="14">
        <v>5</v>
      </c>
      <c r="I923" s="13" t="str" cm="1">
        <f t="array" ref="I923">_xlfn.IFS(
  OR(ISBLANK(A923),ISBLANK(B923),ISBLANK(D923),ISBLANK(E923),ISBLANK(H923)),"Missing Value",
  D923&lt;0,"Review – Out of Range (Claim Amount)",
  H923&lt;0,"Review – Out of Range (Days to Process)",
  TRUE,"OK"
)</f>
        <v>OK</v>
      </c>
    </row>
    <row r="924" spans="1:9" ht="16.8" x14ac:dyDescent="0.3">
      <c r="A924" s="11" t="s">
        <v>7431</v>
      </c>
      <c r="B924" s="11" t="s">
        <v>3518</v>
      </c>
      <c r="C924" s="12">
        <v>45645</v>
      </c>
      <c r="D924" s="11">
        <v>98635.43</v>
      </c>
      <c r="E924" s="11" t="s">
        <v>6508</v>
      </c>
      <c r="F924" s="11" t="s">
        <v>6509</v>
      </c>
      <c r="G924" s="11" t="s">
        <v>46</v>
      </c>
      <c r="H924" s="11">
        <v>4</v>
      </c>
      <c r="I924" s="13" t="str" cm="1">
        <f t="array" ref="I924">_xlfn.IFS(
  OR(ISBLANK(A924),ISBLANK(B924),ISBLANK(D924),ISBLANK(E924),ISBLANK(H924)),"Missing Value",
  D924&lt;0,"Review – Out of Range (Claim Amount)",
  H924&lt;0,"Review – Out of Range (Days to Process)",
  TRUE,"OK"
)</f>
        <v>OK</v>
      </c>
    </row>
    <row r="925" spans="1:9" ht="16.8" x14ac:dyDescent="0.3">
      <c r="A925" s="14" t="s">
        <v>7432</v>
      </c>
      <c r="B925" s="14" t="s">
        <v>5140</v>
      </c>
      <c r="C925" s="15">
        <v>45579</v>
      </c>
      <c r="D925" s="14">
        <v>173955.71</v>
      </c>
      <c r="E925" s="14" t="s">
        <v>6505</v>
      </c>
      <c r="F925" s="14" t="s">
        <v>6506</v>
      </c>
      <c r="G925" s="14" t="s">
        <v>45</v>
      </c>
      <c r="H925" s="14">
        <v>6</v>
      </c>
      <c r="I925" s="13" t="str" cm="1">
        <f t="array" ref="I925">_xlfn.IFS(
  OR(ISBLANK(A925),ISBLANK(B925),ISBLANK(D925),ISBLANK(E925),ISBLANK(H925)),"Missing Value",
  D925&lt;0,"Review – Out of Range (Claim Amount)",
  H925&lt;0,"Review – Out of Range (Days to Process)",
  TRUE,"OK"
)</f>
        <v>OK</v>
      </c>
    </row>
    <row r="926" spans="1:9" ht="16.8" x14ac:dyDescent="0.3">
      <c r="A926" s="11" t="s">
        <v>7433</v>
      </c>
      <c r="B926" s="11" t="s">
        <v>5160</v>
      </c>
      <c r="C926" s="12">
        <v>45298</v>
      </c>
      <c r="D926" s="11">
        <v>102260.26</v>
      </c>
      <c r="E926" s="11" t="s">
        <v>6505</v>
      </c>
      <c r="F926" s="11" t="s">
        <v>6516</v>
      </c>
      <c r="G926" s="11" t="s">
        <v>46</v>
      </c>
      <c r="H926" s="11">
        <v>25</v>
      </c>
      <c r="I926" s="13" t="str" cm="1">
        <f t="array" ref="I926">_xlfn.IFS(
  OR(ISBLANK(A926),ISBLANK(B926),ISBLANK(D926),ISBLANK(E926),ISBLANK(H926)),"Missing Value",
  D926&lt;0,"Review – Out of Range (Claim Amount)",
  H926&lt;0,"Review – Out of Range (Days to Process)",
  TRUE,"OK"
)</f>
        <v>OK</v>
      </c>
    </row>
    <row r="927" spans="1:9" ht="16.8" x14ac:dyDescent="0.3">
      <c r="A927" s="14" t="s">
        <v>7434</v>
      </c>
      <c r="B927" s="14" t="s">
        <v>3739</v>
      </c>
      <c r="C927" s="15">
        <v>45179</v>
      </c>
      <c r="D927" s="14">
        <v>219703.71</v>
      </c>
      <c r="E927" s="14" t="s">
        <v>6502</v>
      </c>
      <c r="F927" s="14" t="s">
        <v>6503</v>
      </c>
      <c r="G927" s="14" t="s">
        <v>46</v>
      </c>
      <c r="H927" s="14">
        <v>58</v>
      </c>
      <c r="I927" s="13" t="str" cm="1">
        <f t="array" ref="I927">_xlfn.IFS(
  OR(ISBLANK(A927),ISBLANK(B927),ISBLANK(D927),ISBLANK(E927),ISBLANK(H927)),"Missing Value",
  D927&lt;0,"Review – Out of Range (Claim Amount)",
  H927&lt;0,"Review – Out of Range (Days to Process)",
  TRUE,"OK"
)</f>
        <v>OK</v>
      </c>
    </row>
    <row r="928" spans="1:9" ht="16.8" x14ac:dyDescent="0.3">
      <c r="A928" s="11" t="s">
        <v>7435</v>
      </c>
      <c r="B928" s="11" t="s">
        <v>6331</v>
      </c>
      <c r="C928" s="12">
        <v>45416</v>
      </c>
      <c r="D928" s="11">
        <v>489698.88</v>
      </c>
      <c r="E928" s="11" t="s">
        <v>6502</v>
      </c>
      <c r="F928" s="11" t="s">
        <v>6503</v>
      </c>
      <c r="G928" s="11" t="s">
        <v>46</v>
      </c>
      <c r="H928" s="11">
        <v>56</v>
      </c>
      <c r="I928" s="13" t="str" cm="1">
        <f t="array" ref="I928">_xlfn.IFS(
  OR(ISBLANK(A928),ISBLANK(B928),ISBLANK(D928),ISBLANK(E928),ISBLANK(H928)),"Missing Value",
  D928&lt;0,"Review – Out of Range (Claim Amount)",
  H928&lt;0,"Review – Out of Range (Days to Process)",
  TRUE,"OK"
)</f>
        <v>OK</v>
      </c>
    </row>
    <row r="929" spans="1:9" ht="16.8" x14ac:dyDescent="0.3">
      <c r="A929" s="14" t="s">
        <v>7436</v>
      </c>
      <c r="B929" s="14" t="s">
        <v>6200</v>
      </c>
      <c r="C929" s="15">
        <v>45041</v>
      </c>
      <c r="D929" s="14">
        <v>316779.75</v>
      </c>
      <c r="E929" s="14" t="s">
        <v>6505</v>
      </c>
      <c r="F929" s="14" t="s">
        <v>6509</v>
      </c>
      <c r="G929" s="14" t="s">
        <v>46</v>
      </c>
      <c r="H929" s="14">
        <v>26</v>
      </c>
      <c r="I929" s="13" t="str" cm="1">
        <f t="array" ref="I929">_xlfn.IFS(
  OR(ISBLANK(A929),ISBLANK(B929),ISBLANK(D929),ISBLANK(E929),ISBLANK(H929)),"Missing Value",
  D929&lt;0,"Review – Out of Range (Claim Amount)",
  H929&lt;0,"Review – Out of Range (Days to Process)",
  TRUE,"OK"
)</f>
        <v>OK</v>
      </c>
    </row>
    <row r="930" spans="1:9" ht="16.8" x14ac:dyDescent="0.3">
      <c r="A930" s="11" t="s">
        <v>7437</v>
      </c>
      <c r="B930" s="11" t="s">
        <v>6219</v>
      </c>
      <c r="C930" s="12">
        <v>45160</v>
      </c>
      <c r="D930" s="11">
        <v>281457.71000000002</v>
      </c>
      <c r="E930" s="11" t="s">
        <v>6502</v>
      </c>
      <c r="F930" s="11" t="s">
        <v>6509</v>
      </c>
      <c r="G930" s="11" t="s">
        <v>45</v>
      </c>
      <c r="H930" s="11">
        <v>31</v>
      </c>
      <c r="I930" s="13" t="str" cm="1">
        <f t="array" ref="I930">_xlfn.IFS(
  OR(ISBLANK(A930),ISBLANK(B930),ISBLANK(D930),ISBLANK(E930),ISBLANK(H930)),"Missing Value",
  D930&lt;0,"Review – Out of Range (Claim Amount)",
  H930&lt;0,"Review – Out of Range (Days to Process)",
  TRUE,"OK"
)</f>
        <v>OK</v>
      </c>
    </row>
    <row r="931" spans="1:9" ht="16.8" x14ac:dyDescent="0.3">
      <c r="A931" s="14" t="s">
        <v>7438</v>
      </c>
      <c r="B931" s="14" t="s">
        <v>3608</v>
      </c>
      <c r="C931" s="15">
        <v>45677</v>
      </c>
      <c r="D931" s="14">
        <v>122199.35</v>
      </c>
      <c r="E931" s="14" t="s">
        <v>6505</v>
      </c>
      <c r="F931" s="14" t="s">
        <v>6511</v>
      </c>
      <c r="G931" s="14" t="s">
        <v>45</v>
      </c>
      <c r="H931" s="14">
        <v>2</v>
      </c>
      <c r="I931" s="13" t="str" cm="1">
        <f t="array" ref="I931">_xlfn.IFS(
  OR(ISBLANK(A931),ISBLANK(B931),ISBLANK(D931),ISBLANK(E931),ISBLANK(H931)),"Missing Value",
  D931&lt;0,"Review – Out of Range (Claim Amount)",
  H931&lt;0,"Review – Out of Range (Days to Process)",
  TRUE,"OK"
)</f>
        <v>OK</v>
      </c>
    </row>
    <row r="932" spans="1:9" ht="16.8" x14ac:dyDescent="0.3">
      <c r="A932" s="11" t="s">
        <v>7439</v>
      </c>
      <c r="B932" s="11" t="s">
        <v>5281</v>
      </c>
      <c r="C932" s="12">
        <v>44672</v>
      </c>
      <c r="D932" s="11">
        <v>310127.23</v>
      </c>
      <c r="E932" s="11" t="s">
        <v>6508</v>
      </c>
      <c r="F932" s="11" t="s">
        <v>6509</v>
      </c>
      <c r="G932" s="11" t="s">
        <v>45</v>
      </c>
      <c r="H932" s="11">
        <v>59</v>
      </c>
      <c r="I932" s="13" t="str" cm="1">
        <f t="array" ref="I932">_xlfn.IFS(
  OR(ISBLANK(A932),ISBLANK(B932),ISBLANK(D932),ISBLANK(E932),ISBLANK(H932)),"Missing Value",
  D932&lt;0,"Review – Out of Range (Claim Amount)",
  H932&lt;0,"Review – Out of Range (Days to Process)",
  TRUE,"OK"
)</f>
        <v>OK</v>
      </c>
    </row>
    <row r="933" spans="1:9" ht="16.8" x14ac:dyDescent="0.3">
      <c r="A933" s="14" t="s">
        <v>7440</v>
      </c>
      <c r="B933" s="14" t="s">
        <v>5234</v>
      </c>
      <c r="C933" s="15">
        <v>44836</v>
      </c>
      <c r="D933" s="14">
        <v>81678.789999999994</v>
      </c>
      <c r="E933" s="14" t="s">
        <v>6502</v>
      </c>
      <c r="F933" s="14" t="s">
        <v>6511</v>
      </c>
      <c r="G933" s="14" t="s">
        <v>45</v>
      </c>
      <c r="H933" s="14">
        <v>30</v>
      </c>
      <c r="I933" s="13" t="str" cm="1">
        <f t="array" ref="I933">_xlfn.IFS(
  OR(ISBLANK(A933),ISBLANK(B933),ISBLANK(D933),ISBLANK(E933),ISBLANK(H933)),"Missing Value",
  D933&lt;0,"Review – Out of Range (Claim Amount)",
  H933&lt;0,"Review – Out of Range (Days to Process)",
  TRUE,"OK"
)</f>
        <v>OK</v>
      </c>
    </row>
    <row r="934" spans="1:9" ht="16.8" x14ac:dyDescent="0.3">
      <c r="A934" s="11" t="s">
        <v>7441</v>
      </c>
      <c r="B934" s="11" t="s">
        <v>5251</v>
      </c>
      <c r="C934" s="12">
        <v>45091</v>
      </c>
      <c r="D934" s="11">
        <v>324333.51</v>
      </c>
      <c r="E934" s="11" t="s">
        <v>6502</v>
      </c>
      <c r="F934" s="11" t="s">
        <v>6516</v>
      </c>
      <c r="G934" s="11" t="s">
        <v>46</v>
      </c>
      <c r="H934" s="11">
        <v>47</v>
      </c>
      <c r="I934" s="13" t="str" cm="1">
        <f t="array" ref="I934">_xlfn.IFS(
  OR(ISBLANK(A934),ISBLANK(B934),ISBLANK(D934),ISBLANK(E934),ISBLANK(H934)),"Missing Value",
  D934&lt;0,"Review – Out of Range (Claim Amount)",
  H934&lt;0,"Review – Out of Range (Days to Process)",
  TRUE,"OK"
)</f>
        <v>OK</v>
      </c>
    </row>
    <row r="935" spans="1:9" ht="16.8" x14ac:dyDescent="0.3">
      <c r="A935" s="14" t="s">
        <v>7442</v>
      </c>
      <c r="B935" s="14" t="s">
        <v>4321</v>
      </c>
      <c r="C935" s="15">
        <v>45426</v>
      </c>
      <c r="D935" s="14">
        <v>230398.73</v>
      </c>
      <c r="E935" s="14" t="s">
        <v>6502</v>
      </c>
      <c r="F935" s="14" t="s">
        <v>6506</v>
      </c>
      <c r="G935" s="14" t="s">
        <v>45</v>
      </c>
      <c r="H935" s="14">
        <v>24</v>
      </c>
      <c r="I935" s="13" t="str" cm="1">
        <f t="array" ref="I935">_xlfn.IFS(
  OR(ISBLANK(A935),ISBLANK(B935),ISBLANK(D935),ISBLANK(E935),ISBLANK(H935)),"Missing Value",
  D935&lt;0,"Review – Out of Range (Claim Amount)",
  H935&lt;0,"Review – Out of Range (Days to Process)",
  TRUE,"OK"
)</f>
        <v>OK</v>
      </c>
    </row>
    <row r="936" spans="1:9" ht="16.8" x14ac:dyDescent="0.3">
      <c r="A936" s="11" t="s">
        <v>7443</v>
      </c>
      <c r="B936" s="11" t="s">
        <v>3941</v>
      </c>
      <c r="C936" s="12">
        <v>45319</v>
      </c>
      <c r="D936" s="11">
        <v>25511.98</v>
      </c>
      <c r="E936" s="11" t="s">
        <v>6505</v>
      </c>
      <c r="F936" s="11" t="s">
        <v>6503</v>
      </c>
      <c r="G936" s="11" t="s">
        <v>46</v>
      </c>
      <c r="H936" s="11">
        <v>4</v>
      </c>
      <c r="I936" s="13" t="str" cm="1">
        <f t="array" ref="I936">_xlfn.IFS(
  OR(ISBLANK(A936),ISBLANK(B936),ISBLANK(D936),ISBLANK(E936),ISBLANK(H936)),"Missing Value",
  D936&lt;0,"Review – Out of Range (Claim Amount)",
  H936&lt;0,"Review – Out of Range (Days to Process)",
  TRUE,"OK"
)</f>
        <v>OK</v>
      </c>
    </row>
    <row r="937" spans="1:9" ht="16.8" x14ac:dyDescent="0.3">
      <c r="A937" s="14" t="s">
        <v>7444</v>
      </c>
      <c r="B937" s="14" t="s">
        <v>5772</v>
      </c>
      <c r="C937" s="15">
        <v>45050</v>
      </c>
      <c r="D937" s="14">
        <v>24262.07</v>
      </c>
      <c r="E937" s="14" t="s">
        <v>6505</v>
      </c>
      <c r="F937" s="14" t="s">
        <v>6511</v>
      </c>
      <c r="G937" s="14" t="s">
        <v>45</v>
      </c>
      <c r="H937" s="14">
        <v>30</v>
      </c>
      <c r="I937" s="13" t="str" cm="1">
        <f t="array" ref="I937">_xlfn.IFS(
  OR(ISBLANK(A937),ISBLANK(B937),ISBLANK(D937),ISBLANK(E937),ISBLANK(H937)),"Missing Value",
  D937&lt;0,"Review – Out of Range (Claim Amount)",
  H937&lt;0,"Review – Out of Range (Days to Process)",
  TRUE,"OK"
)</f>
        <v>OK</v>
      </c>
    </row>
    <row r="938" spans="1:9" ht="16.8" x14ac:dyDescent="0.3">
      <c r="A938" s="11" t="s">
        <v>7445</v>
      </c>
      <c r="B938" s="11" t="s">
        <v>3905</v>
      </c>
      <c r="C938" s="12">
        <v>45453</v>
      </c>
      <c r="D938" s="11">
        <v>438552.96</v>
      </c>
      <c r="E938" s="11" t="s">
        <v>6505</v>
      </c>
      <c r="F938" s="11" t="s">
        <v>6511</v>
      </c>
      <c r="G938" s="11" t="s">
        <v>45</v>
      </c>
      <c r="H938" s="11">
        <v>49</v>
      </c>
      <c r="I938" s="13" t="str" cm="1">
        <f t="array" ref="I938">_xlfn.IFS(
  OR(ISBLANK(A938),ISBLANK(B938),ISBLANK(D938),ISBLANK(E938),ISBLANK(H938)),"Missing Value",
  D938&lt;0,"Review – Out of Range (Claim Amount)",
  H938&lt;0,"Review – Out of Range (Days to Process)",
  TRUE,"OK"
)</f>
        <v>OK</v>
      </c>
    </row>
    <row r="939" spans="1:9" ht="16.8" x14ac:dyDescent="0.3">
      <c r="A939" s="14" t="s">
        <v>7446</v>
      </c>
      <c r="B939" s="14" t="s">
        <v>4432</v>
      </c>
      <c r="C939" s="15">
        <v>45529</v>
      </c>
      <c r="D939" s="14">
        <v>403571.91</v>
      </c>
      <c r="E939" s="14" t="s">
        <v>6502</v>
      </c>
      <c r="F939" s="14" t="s">
        <v>6506</v>
      </c>
      <c r="G939" s="14" t="s">
        <v>45</v>
      </c>
      <c r="H939" s="14">
        <v>30</v>
      </c>
      <c r="I939" s="13" t="str" cm="1">
        <f t="array" ref="I939">_xlfn.IFS(
  OR(ISBLANK(A939),ISBLANK(B939),ISBLANK(D939),ISBLANK(E939),ISBLANK(H939)),"Missing Value",
  D939&lt;0,"Review – Out of Range (Claim Amount)",
  H939&lt;0,"Review – Out of Range (Days to Process)",
  TRUE,"OK"
)</f>
        <v>OK</v>
      </c>
    </row>
    <row r="940" spans="1:9" ht="16.8" x14ac:dyDescent="0.3">
      <c r="A940" s="11" t="s">
        <v>7447</v>
      </c>
      <c r="B940" s="11" t="s">
        <v>5471</v>
      </c>
      <c r="C940" s="12">
        <v>45209</v>
      </c>
      <c r="D940" s="11">
        <v>222606.71</v>
      </c>
      <c r="E940" s="11" t="s">
        <v>6508</v>
      </c>
      <c r="F940" s="11" t="s">
        <v>6506</v>
      </c>
      <c r="G940" s="11" t="s">
        <v>45</v>
      </c>
      <c r="H940" s="11">
        <v>10</v>
      </c>
      <c r="I940" s="13" t="str" cm="1">
        <f t="array" ref="I940">_xlfn.IFS(
  OR(ISBLANK(A940),ISBLANK(B940),ISBLANK(D940),ISBLANK(E940),ISBLANK(H940)),"Missing Value",
  D940&lt;0,"Review – Out of Range (Claim Amount)",
  H940&lt;0,"Review – Out of Range (Days to Process)",
  TRUE,"OK"
)</f>
        <v>OK</v>
      </c>
    </row>
    <row r="941" spans="1:9" ht="16.8" x14ac:dyDescent="0.3">
      <c r="A941" s="14" t="s">
        <v>7448</v>
      </c>
      <c r="B941" s="14" t="s">
        <v>5600</v>
      </c>
      <c r="C941" s="15">
        <v>45489</v>
      </c>
      <c r="D941" s="14">
        <v>51886.1</v>
      </c>
      <c r="E941" s="14" t="s">
        <v>6502</v>
      </c>
      <c r="F941" s="14" t="s">
        <v>6503</v>
      </c>
      <c r="G941" s="14" t="s">
        <v>46</v>
      </c>
      <c r="H941" s="14">
        <v>26</v>
      </c>
      <c r="I941" s="13" t="str" cm="1">
        <f t="array" ref="I941">_xlfn.IFS(
  OR(ISBLANK(A941),ISBLANK(B941),ISBLANK(D941),ISBLANK(E941),ISBLANK(H941)),"Missing Value",
  D941&lt;0,"Review – Out of Range (Claim Amount)",
  H941&lt;0,"Review – Out of Range (Days to Process)",
  TRUE,"OK"
)</f>
        <v>OK</v>
      </c>
    </row>
    <row r="942" spans="1:9" ht="16.8" x14ac:dyDescent="0.3">
      <c r="A942" s="11" t="s">
        <v>7449</v>
      </c>
      <c r="B942" s="11" t="s">
        <v>5628</v>
      </c>
      <c r="C942" s="12">
        <v>45517</v>
      </c>
      <c r="D942" s="11">
        <v>444858.46</v>
      </c>
      <c r="E942" s="11" t="s">
        <v>6505</v>
      </c>
      <c r="F942" s="11" t="s">
        <v>6509</v>
      </c>
      <c r="G942" s="11" t="s">
        <v>46</v>
      </c>
      <c r="H942" s="11">
        <v>4</v>
      </c>
      <c r="I942" s="13" t="str" cm="1">
        <f t="array" ref="I942">_xlfn.IFS(
  OR(ISBLANK(A942),ISBLANK(B942),ISBLANK(D942),ISBLANK(E942),ISBLANK(H942)),"Missing Value",
  D942&lt;0,"Review – Out of Range (Claim Amount)",
  H942&lt;0,"Review – Out of Range (Days to Process)",
  TRUE,"OK"
)</f>
        <v>OK</v>
      </c>
    </row>
    <row r="943" spans="1:9" ht="16.8" x14ac:dyDescent="0.3">
      <c r="A943" s="14" t="s">
        <v>7450</v>
      </c>
      <c r="B943" s="14" t="s">
        <v>5154</v>
      </c>
      <c r="C943" s="15">
        <v>45447</v>
      </c>
      <c r="D943" s="14">
        <v>227970.96</v>
      </c>
      <c r="E943" s="14" t="s">
        <v>6505</v>
      </c>
      <c r="F943" s="14" t="s">
        <v>6506</v>
      </c>
      <c r="G943" s="14" t="s">
        <v>46</v>
      </c>
      <c r="H943" s="14">
        <v>42</v>
      </c>
      <c r="I943" s="13" t="str" cm="1">
        <f t="array" ref="I943">_xlfn.IFS(
  OR(ISBLANK(A943),ISBLANK(B943),ISBLANK(D943),ISBLANK(E943),ISBLANK(H943)),"Missing Value",
  D943&lt;0,"Review – Out of Range (Claim Amount)",
  H943&lt;0,"Review – Out of Range (Days to Process)",
  TRUE,"OK"
)</f>
        <v>OK</v>
      </c>
    </row>
    <row r="944" spans="1:9" ht="16.8" x14ac:dyDescent="0.3">
      <c r="A944" s="11" t="s">
        <v>7451</v>
      </c>
      <c r="B944" s="11" t="s">
        <v>4029</v>
      </c>
      <c r="C944" s="12">
        <v>45575</v>
      </c>
      <c r="D944" s="11">
        <v>363971.77</v>
      </c>
      <c r="E944" s="11" t="s">
        <v>6502</v>
      </c>
      <c r="F944" s="11" t="s">
        <v>6511</v>
      </c>
      <c r="G944" s="11" t="s">
        <v>46</v>
      </c>
      <c r="H944" s="11">
        <v>43</v>
      </c>
      <c r="I944" s="13" t="str" cm="1">
        <f t="array" ref="I944">_xlfn.IFS(
  OR(ISBLANK(A944),ISBLANK(B944),ISBLANK(D944),ISBLANK(E944),ISBLANK(H944)),"Missing Value",
  D944&lt;0,"Review – Out of Range (Claim Amount)",
  H944&lt;0,"Review – Out of Range (Days to Process)",
  TRUE,"OK"
)</f>
        <v>OK</v>
      </c>
    </row>
    <row r="945" spans="1:9" ht="16.8" x14ac:dyDescent="0.3">
      <c r="A945" s="14" t="s">
        <v>7452</v>
      </c>
      <c r="B945" s="14" t="s">
        <v>3518</v>
      </c>
      <c r="C945" s="15">
        <v>45523</v>
      </c>
      <c r="D945" s="14">
        <v>392192.18</v>
      </c>
      <c r="E945" s="14" t="s">
        <v>6508</v>
      </c>
      <c r="F945" s="14" t="s">
        <v>6511</v>
      </c>
      <c r="G945" s="14" t="s">
        <v>46</v>
      </c>
      <c r="H945" s="14">
        <v>45</v>
      </c>
      <c r="I945" s="13" t="str" cm="1">
        <f t="array" ref="I945">_xlfn.IFS(
  OR(ISBLANK(A945),ISBLANK(B945),ISBLANK(D945),ISBLANK(E945),ISBLANK(H945)),"Missing Value",
  D945&lt;0,"Review – Out of Range (Claim Amount)",
  H945&lt;0,"Review – Out of Range (Days to Process)",
  TRUE,"OK"
)</f>
        <v>OK</v>
      </c>
    </row>
    <row r="946" spans="1:9" ht="16.8" x14ac:dyDescent="0.3">
      <c r="A946" s="11" t="s">
        <v>7453</v>
      </c>
      <c r="B946" s="11" t="s">
        <v>4578</v>
      </c>
      <c r="C946" s="12">
        <v>44671</v>
      </c>
      <c r="D946" s="11">
        <v>297341.03999999998</v>
      </c>
      <c r="E946" s="11" t="s">
        <v>6502</v>
      </c>
      <c r="F946" s="11" t="s">
        <v>6511</v>
      </c>
      <c r="G946" s="11" t="s">
        <v>45</v>
      </c>
      <c r="H946" s="11">
        <v>22</v>
      </c>
      <c r="I946" s="13" t="str" cm="1">
        <f t="array" ref="I946">_xlfn.IFS(
  OR(ISBLANK(A946),ISBLANK(B946),ISBLANK(D946),ISBLANK(E946),ISBLANK(H946)),"Missing Value",
  D946&lt;0,"Review – Out of Range (Claim Amount)",
  H946&lt;0,"Review – Out of Range (Days to Process)",
  TRUE,"OK"
)</f>
        <v>OK</v>
      </c>
    </row>
    <row r="947" spans="1:9" ht="16.8" x14ac:dyDescent="0.3">
      <c r="A947" s="14" t="s">
        <v>7454</v>
      </c>
      <c r="B947" s="14" t="s">
        <v>6338</v>
      </c>
      <c r="C947" s="15">
        <v>45485</v>
      </c>
      <c r="D947" s="14">
        <v>466075.58</v>
      </c>
      <c r="E947" s="14" t="s">
        <v>6505</v>
      </c>
      <c r="F947" s="14" t="s">
        <v>6509</v>
      </c>
      <c r="G947" s="14" t="s">
        <v>46</v>
      </c>
      <c r="H947" s="14">
        <v>35</v>
      </c>
      <c r="I947" s="13" t="str" cm="1">
        <f t="array" ref="I947">_xlfn.IFS(
  OR(ISBLANK(A947),ISBLANK(B947),ISBLANK(D947),ISBLANK(E947),ISBLANK(H947)),"Missing Value",
  D947&lt;0,"Review – Out of Range (Claim Amount)",
  H947&lt;0,"Review – Out of Range (Days to Process)",
  TRUE,"OK"
)</f>
        <v>OK</v>
      </c>
    </row>
    <row r="948" spans="1:9" ht="16.8" x14ac:dyDescent="0.3">
      <c r="A948" s="11" t="s">
        <v>7455</v>
      </c>
      <c r="B948" s="11" t="s">
        <v>5192</v>
      </c>
      <c r="C948" s="12">
        <v>45308</v>
      </c>
      <c r="D948" s="11">
        <v>30454.61</v>
      </c>
      <c r="E948" s="11" t="s">
        <v>6505</v>
      </c>
      <c r="F948" s="11" t="s">
        <v>6506</v>
      </c>
      <c r="G948" s="11" t="s">
        <v>45</v>
      </c>
      <c r="H948" s="11">
        <v>56</v>
      </c>
      <c r="I948" s="13" t="str" cm="1">
        <f t="array" ref="I948">_xlfn.IFS(
  OR(ISBLANK(A948),ISBLANK(B948),ISBLANK(D948),ISBLANK(E948),ISBLANK(H948)),"Missing Value",
  D948&lt;0,"Review – Out of Range (Claim Amount)",
  H948&lt;0,"Review – Out of Range (Days to Process)",
  TRUE,"OK"
)</f>
        <v>OK</v>
      </c>
    </row>
    <row r="949" spans="1:9" ht="16.8" x14ac:dyDescent="0.3">
      <c r="A949" s="14" t="s">
        <v>7456</v>
      </c>
      <c r="B949" s="14" t="s">
        <v>3708</v>
      </c>
      <c r="C949" s="15">
        <v>44427</v>
      </c>
      <c r="D949" s="14">
        <v>256231.87</v>
      </c>
      <c r="E949" s="14" t="s">
        <v>6505</v>
      </c>
      <c r="F949" s="14" t="s">
        <v>6506</v>
      </c>
      <c r="G949" s="14" t="s">
        <v>46</v>
      </c>
      <c r="H949" s="14">
        <v>9</v>
      </c>
      <c r="I949" s="13" t="str" cm="1">
        <f t="array" ref="I949">_xlfn.IFS(
  OR(ISBLANK(A949),ISBLANK(B949),ISBLANK(D949),ISBLANK(E949),ISBLANK(H949)),"Missing Value",
  D949&lt;0,"Review – Out of Range (Claim Amount)",
  H949&lt;0,"Review – Out of Range (Days to Process)",
  TRUE,"OK"
)</f>
        <v>OK</v>
      </c>
    </row>
    <row r="950" spans="1:9" ht="16.8" x14ac:dyDescent="0.3">
      <c r="A950" s="11" t="s">
        <v>7457</v>
      </c>
      <c r="B950" s="11" t="s">
        <v>5943</v>
      </c>
      <c r="C950" s="12">
        <v>45081</v>
      </c>
      <c r="D950" s="11">
        <v>363104.83</v>
      </c>
      <c r="E950" s="11" t="s">
        <v>6502</v>
      </c>
      <c r="F950" s="11" t="s">
        <v>6516</v>
      </c>
      <c r="G950" s="11" t="s">
        <v>45</v>
      </c>
      <c r="H950" s="11">
        <v>36</v>
      </c>
      <c r="I950" s="13" t="str" cm="1">
        <f t="array" ref="I950">_xlfn.IFS(
  OR(ISBLANK(A950),ISBLANK(B950),ISBLANK(D950),ISBLANK(E950),ISBLANK(H950)),"Missing Value",
  D950&lt;0,"Review – Out of Range (Claim Amount)",
  H950&lt;0,"Review – Out of Range (Days to Process)",
  TRUE,"OK"
)</f>
        <v>OK</v>
      </c>
    </row>
    <row r="951" spans="1:9" ht="16.8" x14ac:dyDescent="0.3">
      <c r="A951" s="14" t="s">
        <v>7458</v>
      </c>
      <c r="B951" s="14" t="s">
        <v>6192</v>
      </c>
      <c r="C951" s="15">
        <v>45636</v>
      </c>
      <c r="D951" s="14">
        <v>184621.55</v>
      </c>
      <c r="E951" s="14" t="s">
        <v>6505</v>
      </c>
      <c r="F951" s="14" t="s">
        <v>6516</v>
      </c>
      <c r="G951" s="14" t="s">
        <v>45</v>
      </c>
      <c r="H951" s="14">
        <v>15</v>
      </c>
      <c r="I951" s="13" t="str" cm="1">
        <f t="array" ref="I951">_xlfn.IFS(
  OR(ISBLANK(A951),ISBLANK(B951),ISBLANK(D951),ISBLANK(E951),ISBLANK(H951)),"Missing Value",
  D951&lt;0,"Review – Out of Range (Claim Amount)",
  H951&lt;0,"Review – Out of Range (Days to Process)",
  TRUE,"OK"
)</f>
        <v>OK</v>
      </c>
    </row>
    <row r="952" spans="1:9" ht="16.8" x14ac:dyDescent="0.3">
      <c r="A952" s="11" t="s">
        <v>7459</v>
      </c>
      <c r="B952" s="11" t="s">
        <v>6216</v>
      </c>
      <c r="C952" s="12">
        <v>44971</v>
      </c>
      <c r="D952" s="11">
        <v>99410.72</v>
      </c>
      <c r="E952" s="11" t="s">
        <v>6508</v>
      </c>
      <c r="F952" s="11" t="s">
        <v>6506</v>
      </c>
      <c r="G952" s="11" t="s">
        <v>46</v>
      </c>
      <c r="H952" s="11">
        <v>4</v>
      </c>
      <c r="I952" s="13" t="str" cm="1">
        <f t="array" ref="I952">_xlfn.IFS(
  OR(ISBLANK(A952),ISBLANK(B952),ISBLANK(D952),ISBLANK(E952),ISBLANK(H952)),"Missing Value",
  D952&lt;0,"Review – Out of Range (Claim Amount)",
  H952&lt;0,"Review – Out of Range (Days to Process)",
  TRUE,"OK"
)</f>
        <v>OK</v>
      </c>
    </row>
    <row r="953" spans="1:9" ht="16.8" x14ac:dyDescent="0.3">
      <c r="A953" s="14" t="s">
        <v>7460</v>
      </c>
      <c r="B953" s="14" t="s">
        <v>5073</v>
      </c>
      <c r="C953" s="15">
        <v>44772</v>
      </c>
      <c r="D953" s="14">
        <v>164023.38</v>
      </c>
      <c r="E953" s="14" t="s">
        <v>6502</v>
      </c>
      <c r="F953" s="14" t="s">
        <v>6506</v>
      </c>
      <c r="G953" s="14" t="s">
        <v>45</v>
      </c>
      <c r="H953" s="14">
        <v>18</v>
      </c>
      <c r="I953" s="13" t="str" cm="1">
        <f t="array" ref="I953">_xlfn.IFS(
  OR(ISBLANK(A953),ISBLANK(B953),ISBLANK(D953),ISBLANK(E953),ISBLANK(H953)),"Missing Value",
  D953&lt;0,"Review – Out of Range (Claim Amount)",
  H953&lt;0,"Review – Out of Range (Days to Process)",
  TRUE,"OK"
)</f>
        <v>OK</v>
      </c>
    </row>
    <row r="954" spans="1:9" ht="16.8" x14ac:dyDescent="0.3">
      <c r="A954" s="11" t="s">
        <v>7461</v>
      </c>
      <c r="B954" s="11" t="s">
        <v>5709</v>
      </c>
      <c r="C954" s="12">
        <v>45080</v>
      </c>
      <c r="D954" s="11">
        <v>65350.77</v>
      </c>
      <c r="E954" s="11" t="s">
        <v>6505</v>
      </c>
      <c r="F954" s="11" t="s">
        <v>6511</v>
      </c>
      <c r="G954" s="11" t="s">
        <v>45</v>
      </c>
      <c r="H954" s="11">
        <v>30</v>
      </c>
      <c r="I954" s="13" t="str" cm="1">
        <f t="array" ref="I954">_xlfn.IFS(
  OR(ISBLANK(A954),ISBLANK(B954),ISBLANK(D954),ISBLANK(E954),ISBLANK(H954)),"Missing Value",
  D954&lt;0,"Review – Out of Range (Claim Amount)",
  H954&lt;0,"Review – Out of Range (Days to Process)",
  TRUE,"OK"
)</f>
        <v>OK</v>
      </c>
    </row>
    <row r="955" spans="1:9" ht="16.8" x14ac:dyDescent="0.3">
      <c r="A955" s="14" t="s">
        <v>7462</v>
      </c>
      <c r="B955" s="14" t="s">
        <v>3778</v>
      </c>
      <c r="C955" s="15">
        <v>45566</v>
      </c>
      <c r="D955" s="14">
        <v>131376.03</v>
      </c>
      <c r="E955" s="14" t="s">
        <v>6502</v>
      </c>
      <c r="F955" s="14" t="s">
        <v>6503</v>
      </c>
      <c r="G955" s="14" t="s">
        <v>46</v>
      </c>
      <c r="H955" s="14">
        <v>55</v>
      </c>
      <c r="I955" s="13" t="str" cm="1">
        <f t="array" ref="I955">_xlfn.IFS(
  OR(ISBLANK(A955),ISBLANK(B955),ISBLANK(D955),ISBLANK(E955),ISBLANK(H955)),"Missing Value",
  D955&lt;0,"Review – Out of Range (Claim Amount)",
  H955&lt;0,"Review – Out of Range (Days to Process)",
  TRUE,"OK"
)</f>
        <v>OK</v>
      </c>
    </row>
    <row r="956" spans="1:9" ht="16.8" x14ac:dyDescent="0.3">
      <c r="A956" s="11" t="s">
        <v>7463</v>
      </c>
      <c r="B956" s="11" t="s">
        <v>4481</v>
      </c>
      <c r="C956" s="12">
        <v>45804</v>
      </c>
      <c r="D956" s="11">
        <v>107879.58</v>
      </c>
      <c r="E956" s="11" t="s">
        <v>6502</v>
      </c>
      <c r="F956" s="11" t="s">
        <v>6516</v>
      </c>
      <c r="G956" s="11" t="s">
        <v>46</v>
      </c>
      <c r="H956" s="11">
        <v>2</v>
      </c>
      <c r="I956" s="13" t="str" cm="1">
        <f t="array" ref="I956">_xlfn.IFS(
  OR(ISBLANK(A956),ISBLANK(B956),ISBLANK(D956),ISBLANK(E956),ISBLANK(H956)),"Missing Value",
  D956&lt;0,"Review – Out of Range (Claim Amount)",
  H956&lt;0,"Review – Out of Range (Days to Process)",
  TRUE,"OK"
)</f>
        <v>OK</v>
      </c>
    </row>
    <row r="957" spans="1:9" ht="16.8" x14ac:dyDescent="0.3">
      <c r="A957" s="14" t="s">
        <v>7464</v>
      </c>
      <c r="B957" s="14" t="s">
        <v>4356</v>
      </c>
      <c r="C957" s="15">
        <v>45147</v>
      </c>
      <c r="D957" s="14">
        <v>297394.61</v>
      </c>
      <c r="E957" s="14" t="s">
        <v>6505</v>
      </c>
      <c r="F957" s="14" t="s">
        <v>6503</v>
      </c>
      <c r="G957" s="14" t="s">
        <v>45</v>
      </c>
      <c r="H957" s="14">
        <v>23</v>
      </c>
      <c r="I957" s="13" t="str" cm="1">
        <f t="array" ref="I957">_xlfn.IFS(
  OR(ISBLANK(A957),ISBLANK(B957),ISBLANK(D957),ISBLANK(E957),ISBLANK(H957)),"Missing Value",
  D957&lt;0,"Review – Out of Range (Claim Amount)",
  H957&lt;0,"Review – Out of Range (Days to Process)",
  TRUE,"OK"
)</f>
        <v>OK</v>
      </c>
    </row>
    <row r="958" spans="1:9" ht="16.8" x14ac:dyDescent="0.3">
      <c r="A958" s="11" t="s">
        <v>7465</v>
      </c>
      <c r="B958" s="11" t="s">
        <v>5895</v>
      </c>
      <c r="C958" s="12">
        <v>44676</v>
      </c>
      <c r="D958" s="11">
        <v>55835.12</v>
      </c>
      <c r="E958" s="11" t="s">
        <v>6502</v>
      </c>
      <c r="F958" s="11" t="s">
        <v>6503</v>
      </c>
      <c r="G958" s="11" t="s">
        <v>45</v>
      </c>
      <c r="H958" s="11">
        <v>41</v>
      </c>
      <c r="I958" s="13" t="str" cm="1">
        <f t="array" ref="I958">_xlfn.IFS(
  OR(ISBLANK(A958),ISBLANK(B958),ISBLANK(D958),ISBLANK(E958),ISBLANK(H958)),"Missing Value",
  D958&lt;0,"Review – Out of Range (Claim Amount)",
  H958&lt;0,"Review – Out of Range (Days to Process)",
  TRUE,"OK"
)</f>
        <v>OK</v>
      </c>
    </row>
    <row r="959" spans="1:9" ht="16.8" x14ac:dyDescent="0.3">
      <c r="A959" s="14" t="s">
        <v>7466</v>
      </c>
      <c r="B959" s="14" t="s">
        <v>3858</v>
      </c>
      <c r="C959" s="15">
        <v>45052</v>
      </c>
      <c r="D959" s="14">
        <v>431221.21</v>
      </c>
      <c r="E959" s="14" t="s">
        <v>6502</v>
      </c>
      <c r="F959" s="14" t="s">
        <v>6506</v>
      </c>
      <c r="G959" s="14" t="s">
        <v>45</v>
      </c>
      <c r="H959" s="14">
        <v>10</v>
      </c>
      <c r="I959" s="13" t="str" cm="1">
        <f t="array" ref="I959">_xlfn.IFS(
  OR(ISBLANK(A959),ISBLANK(B959),ISBLANK(D959),ISBLANK(E959),ISBLANK(H959)),"Missing Value",
  D959&lt;0,"Review – Out of Range (Claim Amount)",
  H959&lt;0,"Review – Out of Range (Days to Process)",
  TRUE,"OK"
)</f>
        <v>OK</v>
      </c>
    </row>
    <row r="960" spans="1:9" ht="16.8" x14ac:dyDescent="0.3">
      <c r="A960" s="11" t="s">
        <v>7467</v>
      </c>
      <c r="B960" s="11" t="s">
        <v>5512</v>
      </c>
      <c r="C960" s="12">
        <v>45290</v>
      </c>
      <c r="D960" s="11">
        <v>217464.11</v>
      </c>
      <c r="E960" s="11" t="s">
        <v>6502</v>
      </c>
      <c r="F960" s="11" t="s">
        <v>6509</v>
      </c>
      <c r="G960" s="11" t="s">
        <v>46</v>
      </c>
      <c r="H960" s="11">
        <v>18</v>
      </c>
      <c r="I960" s="13" t="str" cm="1">
        <f t="array" ref="I960">_xlfn.IFS(
  OR(ISBLANK(A960),ISBLANK(B960),ISBLANK(D960),ISBLANK(E960),ISBLANK(H960)),"Missing Value",
  D960&lt;0,"Review – Out of Range (Claim Amount)",
  H960&lt;0,"Review – Out of Range (Days to Process)",
  TRUE,"OK"
)</f>
        <v>OK</v>
      </c>
    </row>
    <row r="961" spans="1:9" ht="16.8" x14ac:dyDescent="0.3">
      <c r="A961" s="14" t="s">
        <v>7468</v>
      </c>
      <c r="B961" s="14" t="s">
        <v>4357</v>
      </c>
      <c r="C961" s="15">
        <v>45672</v>
      </c>
      <c r="D961" s="14">
        <v>212266.47</v>
      </c>
      <c r="E961" s="14" t="s">
        <v>6508</v>
      </c>
      <c r="F961" s="14" t="s">
        <v>6511</v>
      </c>
      <c r="G961" s="14" t="s">
        <v>46</v>
      </c>
      <c r="H961" s="14">
        <v>35</v>
      </c>
      <c r="I961" s="13" t="str" cm="1">
        <f t="array" ref="I961">_xlfn.IFS(
  OR(ISBLANK(A961),ISBLANK(B961),ISBLANK(D961),ISBLANK(E961),ISBLANK(H961)),"Missing Value",
  D961&lt;0,"Review – Out of Range (Claim Amount)",
  H961&lt;0,"Review – Out of Range (Days to Process)",
  TRUE,"OK"
)</f>
        <v>OK</v>
      </c>
    </row>
    <row r="962" spans="1:9" ht="16.8" x14ac:dyDescent="0.3">
      <c r="A962" s="11" t="s">
        <v>7469</v>
      </c>
      <c r="B962" s="11" t="s">
        <v>4583</v>
      </c>
      <c r="C962" s="12">
        <v>45703</v>
      </c>
      <c r="D962" s="11">
        <v>242528.86</v>
      </c>
      <c r="E962" s="11" t="s">
        <v>6505</v>
      </c>
      <c r="F962" s="11" t="s">
        <v>6516</v>
      </c>
      <c r="G962" s="11" t="s">
        <v>45</v>
      </c>
      <c r="H962" s="11">
        <v>28</v>
      </c>
      <c r="I962" s="13" t="str" cm="1">
        <f t="array" ref="I962">_xlfn.IFS(
  OR(ISBLANK(A962),ISBLANK(B962),ISBLANK(D962),ISBLANK(E962),ISBLANK(H962)),"Missing Value",
  D962&lt;0,"Review – Out of Range (Claim Amount)",
  H962&lt;0,"Review – Out of Range (Days to Process)",
  TRUE,"OK"
)</f>
        <v>OK</v>
      </c>
    </row>
    <row r="963" spans="1:9" ht="16.8" x14ac:dyDescent="0.3">
      <c r="A963" s="14" t="s">
        <v>7470</v>
      </c>
      <c r="B963" s="14" t="s">
        <v>6458</v>
      </c>
      <c r="C963" s="15">
        <v>45403</v>
      </c>
      <c r="D963" s="14">
        <v>388062.71999999997</v>
      </c>
      <c r="E963" s="14" t="s">
        <v>6505</v>
      </c>
      <c r="F963" s="14" t="s">
        <v>6503</v>
      </c>
      <c r="G963" s="14" t="s">
        <v>45</v>
      </c>
      <c r="H963" s="14">
        <v>55</v>
      </c>
      <c r="I963" s="13" t="str" cm="1">
        <f t="array" ref="I963">_xlfn.IFS(
  OR(ISBLANK(A963),ISBLANK(B963),ISBLANK(D963),ISBLANK(E963),ISBLANK(H963)),"Missing Value",
  D963&lt;0,"Review – Out of Range (Claim Amount)",
  H963&lt;0,"Review – Out of Range (Days to Process)",
  TRUE,"OK"
)</f>
        <v>OK</v>
      </c>
    </row>
    <row r="964" spans="1:9" ht="16.8" x14ac:dyDescent="0.3">
      <c r="A964" s="11" t="s">
        <v>7471</v>
      </c>
      <c r="B964" s="11" t="s">
        <v>6118</v>
      </c>
      <c r="C964" s="12">
        <v>45686</v>
      </c>
      <c r="D964" s="11">
        <v>313938.03999999998</v>
      </c>
      <c r="E964" s="11" t="s">
        <v>6508</v>
      </c>
      <c r="F964" s="11" t="s">
        <v>6516</v>
      </c>
      <c r="G964" s="11" t="s">
        <v>45</v>
      </c>
      <c r="H964" s="11">
        <v>40</v>
      </c>
      <c r="I964" s="13" t="str" cm="1">
        <f t="array" ref="I964">_xlfn.IFS(
  OR(ISBLANK(A964),ISBLANK(B964),ISBLANK(D964),ISBLANK(E964),ISBLANK(H964)),"Missing Value",
  D964&lt;0,"Review – Out of Range (Claim Amount)",
  H964&lt;0,"Review – Out of Range (Days to Process)",
  TRUE,"OK"
)</f>
        <v>OK</v>
      </c>
    </row>
    <row r="965" spans="1:9" ht="16.8" x14ac:dyDescent="0.3">
      <c r="A965" s="14" t="s">
        <v>7472</v>
      </c>
      <c r="B965" s="14" t="s">
        <v>3554</v>
      </c>
      <c r="C965" s="15">
        <v>44891</v>
      </c>
      <c r="D965" s="14">
        <v>107608.48</v>
      </c>
      <c r="E965" s="14" t="s">
        <v>6508</v>
      </c>
      <c r="F965" s="14" t="s">
        <v>6509</v>
      </c>
      <c r="G965" s="14" t="s">
        <v>46</v>
      </c>
      <c r="H965" s="14">
        <v>41</v>
      </c>
      <c r="I965" s="13" t="str" cm="1">
        <f t="array" ref="I965">_xlfn.IFS(
  OR(ISBLANK(A965),ISBLANK(B965),ISBLANK(D965),ISBLANK(E965),ISBLANK(H965)),"Missing Value",
  D965&lt;0,"Review – Out of Range (Claim Amount)",
  H965&lt;0,"Review – Out of Range (Days to Process)",
  TRUE,"OK"
)</f>
        <v>OK</v>
      </c>
    </row>
    <row r="966" spans="1:9" ht="16.8" x14ac:dyDescent="0.3">
      <c r="A966" s="11" t="s">
        <v>7473</v>
      </c>
      <c r="B966" s="11" t="s">
        <v>4226</v>
      </c>
      <c r="C966" s="12">
        <v>45623</v>
      </c>
      <c r="D966" s="11">
        <v>402575.37</v>
      </c>
      <c r="E966" s="11" t="s">
        <v>6502</v>
      </c>
      <c r="F966" s="11" t="s">
        <v>6511</v>
      </c>
      <c r="G966" s="11" t="s">
        <v>46</v>
      </c>
      <c r="H966" s="11">
        <v>54</v>
      </c>
      <c r="I966" s="13" t="str" cm="1">
        <f t="array" ref="I966">_xlfn.IFS(
  OR(ISBLANK(A966),ISBLANK(B966),ISBLANK(D966),ISBLANK(E966),ISBLANK(H966)),"Missing Value",
  D966&lt;0,"Review – Out of Range (Claim Amount)",
  H966&lt;0,"Review – Out of Range (Days to Process)",
  TRUE,"OK"
)</f>
        <v>OK</v>
      </c>
    </row>
    <row r="967" spans="1:9" ht="16.8" x14ac:dyDescent="0.3">
      <c r="A967" s="14" t="s">
        <v>7474</v>
      </c>
      <c r="B967" s="14" t="s">
        <v>5209</v>
      </c>
      <c r="C967" s="15">
        <v>44548</v>
      </c>
      <c r="D967" s="14">
        <v>65524.7</v>
      </c>
      <c r="E967" s="14" t="s">
        <v>6508</v>
      </c>
      <c r="F967" s="14" t="s">
        <v>6509</v>
      </c>
      <c r="G967" s="14" t="s">
        <v>46</v>
      </c>
      <c r="H967" s="14">
        <v>53</v>
      </c>
      <c r="I967" s="13" t="str" cm="1">
        <f t="array" ref="I967">_xlfn.IFS(
  OR(ISBLANK(A967),ISBLANK(B967),ISBLANK(D967),ISBLANK(E967),ISBLANK(H967)),"Missing Value",
  D967&lt;0,"Review – Out of Range (Claim Amount)",
  H967&lt;0,"Review – Out of Range (Days to Process)",
  TRUE,"OK"
)</f>
        <v>OK</v>
      </c>
    </row>
    <row r="968" spans="1:9" ht="16.8" x14ac:dyDescent="0.3">
      <c r="A968" s="11" t="s">
        <v>7475</v>
      </c>
      <c r="B968" s="11" t="s">
        <v>5117</v>
      </c>
      <c r="C968" s="12">
        <v>45449</v>
      </c>
      <c r="D968" s="11">
        <v>412472.95</v>
      </c>
      <c r="E968" s="11" t="s">
        <v>6505</v>
      </c>
      <c r="F968" s="11" t="s">
        <v>6509</v>
      </c>
      <c r="G968" s="11" t="s">
        <v>45</v>
      </c>
      <c r="H968" s="11">
        <v>43</v>
      </c>
      <c r="I968" s="13" t="str" cm="1">
        <f t="array" ref="I968">_xlfn.IFS(
  OR(ISBLANK(A968),ISBLANK(B968),ISBLANK(D968),ISBLANK(E968),ISBLANK(H968)),"Missing Value",
  D968&lt;0,"Review – Out of Range (Claim Amount)",
  H968&lt;0,"Review – Out of Range (Days to Process)",
  TRUE,"OK"
)</f>
        <v>OK</v>
      </c>
    </row>
    <row r="969" spans="1:9" ht="16.8" x14ac:dyDescent="0.3">
      <c r="A969" s="14" t="s">
        <v>7476</v>
      </c>
      <c r="B969" s="14" t="s">
        <v>3953</v>
      </c>
      <c r="C969" s="15">
        <v>45010</v>
      </c>
      <c r="D969" s="14">
        <v>449406.42</v>
      </c>
      <c r="E969" s="14" t="s">
        <v>6508</v>
      </c>
      <c r="F969" s="14" t="s">
        <v>6506</v>
      </c>
      <c r="G969" s="14" t="s">
        <v>46</v>
      </c>
      <c r="H969" s="14">
        <v>5</v>
      </c>
      <c r="I969" s="13" t="str" cm="1">
        <f t="array" ref="I969">_xlfn.IFS(
  OR(ISBLANK(A969),ISBLANK(B969),ISBLANK(D969),ISBLANK(E969),ISBLANK(H969)),"Missing Value",
  D969&lt;0,"Review – Out of Range (Claim Amount)",
  H969&lt;0,"Review – Out of Range (Days to Process)",
  TRUE,"OK"
)</f>
        <v>OK</v>
      </c>
    </row>
    <row r="970" spans="1:9" ht="16.8" x14ac:dyDescent="0.3">
      <c r="A970" s="11" t="s">
        <v>7477</v>
      </c>
      <c r="B970" s="11" t="s">
        <v>5106</v>
      </c>
      <c r="C970" s="12">
        <v>45086</v>
      </c>
      <c r="D970" s="11">
        <v>346420.98</v>
      </c>
      <c r="E970" s="11" t="s">
        <v>6502</v>
      </c>
      <c r="F970" s="11" t="s">
        <v>6516</v>
      </c>
      <c r="G970" s="11" t="s">
        <v>46</v>
      </c>
      <c r="H970" s="11">
        <v>37</v>
      </c>
      <c r="I970" s="13" t="str" cm="1">
        <f t="array" ref="I970">_xlfn.IFS(
  OR(ISBLANK(A970),ISBLANK(B970),ISBLANK(D970),ISBLANK(E970),ISBLANK(H970)),"Missing Value",
  D970&lt;0,"Review – Out of Range (Claim Amount)",
  H970&lt;0,"Review – Out of Range (Days to Process)",
  TRUE,"OK"
)</f>
        <v>OK</v>
      </c>
    </row>
    <row r="971" spans="1:9" ht="16.8" x14ac:dyDescent="0.3">
      <c r="A971" s="14" t="s">
        <v>7478</v>
      </c>
      <c r="B971" s="14" t="s">
        <v>6434</v>
      </c>
      <c r="C971" s="15">
        <v>45164</v>
      </c>
      <c r="D971" s="14">
        <v>466486.03</v>
      </c>
      <c r="E971" s="14" t="s">
        <v>6502</v>
      </c>
      <c r="F971" s="14" t="s">
        <v>6506</v>
      </c>
      <c r="G971" s="14" t="s">
        <v>45</v>
      </c>
      <c r="H971" s="14">
        <v>32</v>
      </c>
      <c r="I971" s="13" t="str" cm="1">
        <f t="array" ref="I971">_xlfn.IFS(
  OR(ISBLANK(A971),ISBLANK(B971),ISBLANK(D971),ISBLANK(E971),ISBLANK(H971)),"Missing Value",
  D971&lt;0,"Review – Out of Range (Claim Amount)",
  H971&lt;0,"Review – Out of Range (Days to Process)",
  TRUE,"OK"
)</f>
        <v>OK</v>
      </c>
    </row>
    <row r="972" spans="1:9" ht="16.8" x14ac:dyDescent="0.3">
      <c r="A972" s="11" t="s">
        <v>7479</v>
      </c>
      <c r="B972" s="11" t="s">
        <v>4889</v>
      </c>
      <c r="C972" s="12">
        <v>44877</v>
      </c>
      <c r="D972" s="11">
        <v>335943.48</v>
      </c>
      <c r="E972" s="11" t="s">
        <v>6508</v>
      </c>
      <c r="F972" s="11" t="s">
        <v>6516</v>
      </c>
      <c r="G972" s="11" t="s">
        <v>45</v>
      </c>
      <c r="H972" s="11">
        <v>58</v>
      </c>
      <c r="I972" s="13" t="str" cm="1">
        <f t="array" ref="I972">_xlfn.IFS(
  OR(ISBLANK(A972),ISBLANK(B972),ISBLANK(D972),ISBLANK(E972),ISBLANK(H972)),"Missing Value",
  D972&lt;0,"Review – Out of Range (Claim Amount)",
  H972&lt;0,"Review – Out of Range (Days to Process)",
  TRUE,"OK"
)</f>
        <v>OK</v>
      </c>
    </row>
    <row r="973" spans="1:9" ht="16.8" x14ac:dyDescent="0.3">
      <c r="A973" s="14" t="s">
        <v>7480</v>
      </c>
      <c r="B973" s="14" t="s">
        <v>5633</v>
      </c>
      <c r="C973" s="15">
        <v>45504</v>
      </c>
      <c r="D973" s="14">
        <v>117533.23</v>
      </c>
      <c r="E973" s="14" t="s">
        <v>6502</v>
      </c>
      <c r="F973" s="14" t="s">
        <v>6503</v>
      </c>
      <c r="G973" s="14" t="s">
        <v>46</v>
      </c>
      <c r="H973" s="14">
        <v>8</v>
      </c>
      <c r="I973" s="13" t="str" cm="1">
        <f t="array" ref="I973">_xlfn.IFS(
  OR(ISBLANK(A973),ISBLANK(B973),ISBLANK(D973),ISBLANK(E973),ISBLANK(H973)),"Missing Value",
  D973&lt;0,"Review – Out of Range (Claim Amount)",
  H973&lt;0,"Review – Out of Range (Days to Process)",
  TRUE,"OK"
)</f>
        <v>OK</v>
      </c>
    </row>
    <row r="974" spans="1:9" ht="16.8" x14ac:dyDescent="0.3">
      <c r="A974" s="11" t="s">
        <v>7481</v>
      </c>
      <c r="B974" s="11" t="s">
        <v>4997</v>
      </c>
      <c r="C974" s="12">
        <v>45281</v>
      </c>
      <c r="D974" s="11">
        <v>238958.37</v>
      </c>
      <c r="E974" s="11" t="s">
        <v>6508</v>
      </c>
      <c r="F974" s="11" t="s">
        <v>6503</v>
      </c>
      <c r="G974" s="11" t="s">
        <v>45</v>
      </c>
      <c r="H974" s="11">
        <v>4</v>
      </c>
      <c r="I974" s="13" t="str" cm="1">
        <f t="array" ref="I974">_xlfn.IFS(
  OR(ISBLANK(A974),ISBLANK(B974),ISBLANK(D974),ISBLANK(E974),ISBLANK(H974)),"Missing Value",
  D974&lt;0,"Review – Out of Range (Claim Amount)",
  H974&lt;0,"Review – Out of Range (Days to Process)",
  TRUE,"OK"
)</f>
        <v>OK</v>
      </c>
    </row>
    <row r="975" spans="1:9" ht="16.8" x14ac:dyDescent="0.3">
      <c r="A975" s="14" t="s">
        <v>7482</v>
      </c>
      <c r="B975" s="14" t="s">
        <v>4827</v>
      </c>
      <c r="C975" s="15">
        <v>44450</v>
      </c>
      <c r="D975" s="14">
        <v>70974.990000000005</v>
      </c>
      <c r="E975" s="14" t="s">
        <v>6505</v>
      </c>
      <c r="F975" s="14" t="s">
        <v>6516</v>
      </c>
      <c r="G975" s="14" t="s">
        <v>46</v>
      </c>
      <c r="H975" s="14">
        <v>45</v>
      </c>
      <c r="I975" s="13" t="str" cm="1">
        <f t="array" ref="I975">_xlfn.IFS(
  OR(ISBLANK(A975),ISBLANK(B975),ISBLANK(D975),ISBLANK(E975),ISBLANK(H975)),"Missing Value",
  D975&lt;0,"Review – Out of Range (Claim Amount)",
  H975&lt;0,"Review – Out of Range (Days to Process)",
  TRUE,"OK"
)</f>
        <v>OK</v>
      </c>
    </row>
    <row r="976" spans="1:9" ht="16.8" x14ac:dyDescent="0.3">
      <c r="A976" s="11" t="s">
        <v>7483</v>
      </c>
      <c r="B976" s="11" t="s">
        <v>3693</v>
      </c>
      <c r="C976" s="12">
        <v>44413</v>
      </c>
      <c r="D976" s="11">
        <v>491879.08</v>
      </c>
      <c r="E976" s="11" t="s">
        <v>6502</v>
      </c>
      <c r="F976" s="11" t="s">
        <v>6503</v>
      </c>
      <c r="G976" s="11" t="s">
        <v>45</v>
      </c>
      <c r="H976" s="11">
        <v>26</v>
      </c>
      <c r="I976" s="13" t="str" cm="1">
        <f t="array" ref="I976">_xlfn.IFS(
  OR(ISBLANK(A976),ISBLANK(B976),ISBLANK(D976),ISBLANK(E976),ISBLANK(H976)),"Missing Value",
  D976&lt;0,"Review – Out of Range (Claim Amount)",
  H976&lt;0,"Review – Out of Range (Days to Process)",
  TRUE,"OK"
)</f>
        <v>OK</v>
      </c>
    </row>
    <row r="977" spans="1:9" ht="16.8" x14ac:dyDescent="0.3">
      <c r="A977" s="14" t="s">
        <v>7484</v>
      </c>
      <c r="B977" s="14" t="s">
        <v>5937</v>
      </c>
      <c r="C977" s="15">
        <v>45010</v>
      </c>
      <c r="D977" s="14">
        <v>419832.32000000001</v>
      </c>
      <c r="E977" s="14" t="s">
        <v>6505</v>
      </c>
      <c r="F977" s="14" t="s">
        <v>6511</v>
      </c>
      <c r="G977" s="14" t="s">
        <v>45</v>
      </c>
      <c r="H977" s="14">
        <v>52</v>
      </c>
      <c r="I977" s="13" t="str" cm="1">
        <f t="array" ref="I977">_xlfn.IFS(
  OR(ISBLANK(A977),ISBLANK(B977),ISBLANK(D977),ISBLANK(E977),ISBLANK(H977)),"Missing Value",
  D977&lt;0,"Review – Out of Range (Claim Amount)",
  H977&lt;0,"Review – Out of Range (Days to Process)",
  TRUE,"OK"
)</f>
        <v>OK</v>
      </c>
    </row>
    <row r="978" spans="1:9" ht="16.8" x14ac:dyDescent="0.3">
      <c r="A978" s="11" t="s">
        <v>7485</v>
      </c>
      <c r="B978" s="11" t="s">
        <v>5427</v>
      </c>
      <c r="C978" s="12">
        <v>45305</v>
      </c>
      <c r="D978" s="11">
        <v>290503.36</v>
      </c>
      <c r="E978" s="11" t="s">
        <v>6508</v>
      </c>
      <c r="F978" s="11" t="s">
        <v>6516</v>
      </c>
      <c r="G978" s="11" t="s">
        <v>46</v>
      </c>
      <c r="H978" s="11">
        <v>34</v>
      </c>
      <c r="I978" s="13" t="str" cm="1">
        <f t="array" ref="I978">_xlfn.IFS(
  OR(ISBLANK(A978),ISBLANK(B978),ISBLANK(D978),ISBLANK(E978),ISBLANK(H978)),"Missing Value",
  D978&lt;0,"Review – Out of Range (Claim Amount)",
  H978&lt;0,"Review – Out of Range (Days to Process)",
  TRUE,"OK"
)</f>
        <v>OK</v>
      </c>
    </row>
    <row r="979" spans="1:9" ht="16.8" x14ac:dyDescent="0.3">
      <c r="A979" s="14" t="s">
        <v>7486</v>
      </c>
      <c r="B979" s="14" t="s">
        <v>6132</v>
      </c>
      <c r="C979" s="15">
        <v>45394</v>
      </c>
      <c r="D979" s="14">
        <v>255423.59</v>
      </c>
      <c r="E979" s="14" t="s">
        <v>6502</v>
      </c>
      <c r="F979" s="14" t="s">
        <v>6506</v>
      </c>
      <c r="G979" s="14" t="s">
        <v>45</v>
      </c>
      <c r="H979" s="14">
        <v>54</v>
      </c>
      <c r="I979" s="13" t="str" cm="1">
        <f t="array" ref="I979">_xlfn.IFS(
  OR(ISBLANK(A979),ISBLANK(B979),ISBLANK(D979),ISBLANK(E979),ISBLANK(H979)),"Missing Value",
  D979&lt;0,"Review – Out of Range (Claim Amount)",
  H979&lt;0,"Review – Out of Range (Days to Process)",
  TRUE,"OK"
)</f>
        <v>OK</v>
      </c>
    </row>
    <row r="980" spans="1:9" ht="16.8" x14ac:dyDescent="0.3">
      <c r="A980" s="11" t="s">
        <v>7487</v>
      </c>
      <c r="B980" s="11" t="s">
        <v>6163</v>
      </c>
      <c r="C980" s="12">
        <v>45489</v>
      </c>
      <c r="D980" s="11">
        <v>285421.67</v>
      </c>
      <c r="E980" s="11" t="s">
        <v>6508</v>
      </c>
      <c r="F980" s="11" t="s">
        <v>6509</v>
      </c>
      <c r="G980" s="11" t="s">
        <v>45</v>
      </c>
      <c r="H980" s="11">
        <v>33</v>
      </c>
      <c r="I980" s="13" t="str" cm="1">
        <f t="array" ref="I980">_xlfn.IFS(
  OR(ISBLANK(A980),ISBLANK(B980),ISBLANK(D980),ISBLANK(E980),ISBLANK(H980)),"Missing Value",
  D980&lt;0,"Review – Out of Range (Claim Amount)",
  H980&lt;0,"Review – Out of Range (Days to Process)",
  TRUE,"OK"
)</f>
        <v>OK</v>
      </c>
    </row>
    <row r="981" spans="1:9" ht="16.8" x14ac:dyDescent="0.3">
      <c r="A981" s="14" t="s">
        <v>7488</v>
      </c>
      <c r="B981" s="14" t="s">
        <v>5466</v>
      </c>
      <c r="C981" s="15">
        <v>45456</v>
      </c>
      <c r="D981" s="14">
        <v>459108.8</v>
      </c>
      <c r="E981" s="14" t="s">
        <v>6502</v>
      </c>
      <c r="F981" s="14" t="s">
        <v>6511</v>
      </c>
      <c r="G981" s="14" t="s">
        <v>46</v>
      </c>
      <c r="H981" s="14">
        <v>15</v>
      </c>
      <c r="I981" s="13" t="str" cm="1">
        <f t="array" ref="I981">_xlfn.IFS(
  OR(ISBLANK(A981),ISBLANK(B981),ISBLANK(D981),ISBLANK(E981),ISBLANK(H981)),"Missing Value",
  D981&lt;0,"Review – Out of Range (Claim Amount)",
  H981&lt;0,"Review – Out of Range (Days to Process)",
  TRUE,"OK"
)</f>
        <v>OK</v>
      </c>
    </row>
    <row r="982" spans="1:9" ht="16.8" x14ac:dyDescent="0.3">
      <c r="A982" s="11" t="s">
        <v>7489</v>
      </c>
      <c r="B982" s="11" t="s">
        <v>6290</v>
      </c>
      <c r="C982" s="12">
        <v>44598</v>
      </c>
      <c r="D982" s="11">
        <v>410501.31</v>
      </c>
      <c r="E982" s="11" t="s">
        <v>6508</v>
      </c>
      <c r="F982" s="11" t="s">
        <v>6516</v>
      </c>
      <c r="G982" s="11" t="s">
        <v>46</v>
      </c>
      <c r="H982" s="11">
        <v>56</v>
      </c>
      <c r="I982" s="13" t="str" cm="1">
        <f t="array" ref="I982">_xlfn.IFS(
  OR(ISBLANK(A982),ISBLANK(B982),ISBLANK(D982),ISBLANK(E982),ISBLANK(H982)),"Missing Value",
  D982&lt;0,"Review – Out of Range (Claim Amount)",
  H982&lt;0,"Review – Out of Range (Days to Process)",
  TRUE,"OK"
)</f>
        <v>OK</v>
      </c>
    </row>
    <row r="983" spans="1:9" ht="16.8" x14ac:dyDescent="0.3">
      <c r="A983" s="14" t="s">
        <v>7490</v>
      </c>
      <c r="B983" s="14" t="s">
        <v>4525</v>
      </c>
      <c r="C983" s="15">
        <v>45368</v>
      </c>
      <c r="D983" s="14">
        <v>216546.04</v>
      </c>
      <c r="E983" s="14" t="s">
        <v>6508</v>
      </c>
      <c r="F983" s="14" t="s">
        <v>6509</v>
      </c>
      <c r="G983" s="14" t="s">
        <v>46</v>
      </c>
      <c r="H983" s="14">
        <v>31</v>
      </c>
      <c r="I983" s="13" t="str" cm="1">
        <f t="array" ref="I983">_xlfn.IFS(
  OR(ISBLANK(A983),ISBLANK(B983),ISBLANK(D983),ISBLANK(E983),ISBLANK(H983)),"Missing Value",
  D983&lt;0,"Review – Out of Range (Claim Amount)",
  H983&lt;0,"Review – Out of Range (Days to Process)",
  TRUE,"OK"
)</f>
        <v>OK</v>
      </c>
    </row>
    <row r="984" spans="1:9" ht="16.8" x14ac:dyDescent="0.3">
      <c r="A984" s="11" t="s">
        <v>7491</v>
      </c>
      <c r="B984" s="11" t="s">
        <v>4413</v>
      </c>
      <c r="C984" s="12">
        <v>45261</v>
      </c>
      <c r="D984" s="11">
        <v>425110.46</v>
      </c>
      <c r="E984" s="11" t="s">
        <v>6502</v>
      </c>
      <c r="F984" s="11" t="s">
        <v>6516</v>
      </c>
      <c r="G984" s="11" t="s">
        <v>46</v>
      </c>
      <c r="H984" s="11">
        <v>47</v>
      </c>
      <c r="I984" s="13" t="str" cm="1">
        <f t="array" ref="I984">_xlfn.IFS(
  OR(ISBLANK(A984),ISBLANK(B984),ISBLANK(D984),ISBLANK(E984),ISBLANK(H984)),"Missing Value",
  D984&lt;0,"Review – Out of Range (Claim Amount)",
  H984&lt;0,"Review – Out of Range (Days to Process)",
  TRUE,"OK"
)</f>
        <v>OK</v>
      </c>
    </row>
    <row r="985" spans="1:9" ht="16.8" x14ac:dyDescent="0.3">
      <c r="A985" s="14" t="s">
        <v>7492</v>
      </c>
      <c r="B985" s="14" t="s">
        <v>5084</v>
      </c>
      <c r="C985" s="15">
        <v>45649</v>
      </c>
      <c r="D985" s="14">
        <v>58713.84</v>
      </c>
      <c r="E985" s="14" t="s">
        <v>6508</v>
      </c>
      <c r="F985" s="14" t="s">
        <v>6506</v>
      </c>
      <c r="G985" s="14" t="s">
        <v>45</v>
      </c>
      <c r="H985" s="14">
        <v>47</v>
      </c>
      <c r="I985" s="13" t="str" cm="1">
        <f t="array" ref="I985">_xlfn.IFS(
  OR(ISBLANK(A985),ISBLANK(B985),ISBLANK(D985),ISBLANK(E985),ISBLANK(H985)),"Missing Value",
  D985&lt;0,"Review – Out of Range (Claim Amount)",
  H985&lt;0,"Review – Out of Range (Days to Process)",
  TRUE,"OK"
)</f>
        <v>OK</v>
      </c>
    </row>
    <row r="986" spans="1:9" ht="16.8" x14ac:dyDescent="0.3">
      <c r="A986" s="11" t="s">
        <v>7493</v>
      </c>
      <c r="B986" s="11" t="s">
        <v>4842</v>
      </c>
      <c r="C986" s="12">
        <v>45279</v>
      </c>
      <c r="D986" s="11">
        <v>287200.98</v>
      </c>
      <c r="E986" s="11" t="s">
        <v>6508</v>
      </c>
      <c r="F986" s="11" t="s">
        <v>6509</v>
      </c>
      <c r="G986" s="11" t="s">
        <v>46</v>
      </c>
      <c r="H986" s="11">
        <v>52</v>
      </c>
      <c r="I986" s="13" t="str" cm="1">
        <f t="array" ref="I986">_xlfn.IFS(
  OR(ISBLANK(A986),ISBLANK(B986),ISBLANK(D986),ISBLANK(E986),ISBLANK(H986)),"Missing Value",
  D986&lt;0,"Review – Out of Range (Claim Amount)",
  H986&lt;0,"Review – Out of Range (Days to Process)",
  TRUE,"OK"
)</f>
        <v>OK</v>
      </c>
    </row>
    <row r="987" spans="1:9" ht="16.8" x14ac:dyDescent="0.3">
      <c r="A987" s="14" t="s">
        <v>7494</v>
      </c>
      <c r="B987" s="14" t="s">
        <v>4513</v>
      </c>
      <c r="C987" s="15">
        <v>45112</v>
      </c>
      <c r="D987" s="14">
        <v>196597.97</v>
      </c>
      <c r="E987" s="14" t="s">
        <v>6502</v>
      </c>
      <c r="F987" s="14" t="s">
        <v>6503</v>
      </c>
      <c r="G987" s="14" t="s">
        <v>45</v>
      </c>
      <c r="H987" s="14">
        <v>21</v>
      </c>
      <c r="I987" s="13" t="str" cm="1">
        <f t="array" ref="I987">_xlfn.IFS(
  OR(ISBLANK(A987),ISBLANK(B987),ISBLANK(D987),ISBLANK(E987),ISBLANK(H987)),"Missing Value",
  D987&lt;0,"Review – Out of Range (Claim Amount)",
  H987&lt;0,"Review – Out of Range (Days to Process)",
  TRUE,"OK"
)</f>
        <v>OK</v>
      </c>
    </row>
    <row r="988" spans="1:9" ht="16.8" x14ac:dyDescent="0.3">
      <c r="A988" s="11" t="s">
        <v>7495</v>
      </c>
      <c r="B988" s="11" t="s">
        <v>5512</v>
      </c>
      <c r="C988" s="12">
        <v>45286</v>
      </c>
      <c r="D988" s="11">
        <v>134354.74</v>
      </c>
      <c r="E988" s="11" t="s">
        <v>6502</v>
      </c>
      <c r="F988" s="11" t="s">
        <v>6511</v>
      </c>
      <c r="G988" s="11" t="s">
        <v>46</v>
      </c>
      <c r="H988" s="11">
        <v>52</v>
      </c>
      <c r="I988" s="13" t="str" cm="1">
        <f t="array" ref="I988">_xlfn.IFS(
  OR(ISBLANK(A988),ISBLANK(B988),ISBLANK(D988),ISBLANK(E988),ISBLANK(H988)),"Missing Value",
  D988&lt;0,"Review – Out of Range (Claim Amount)",
  H988&lt;0,"Review – Out of Range (Days to Process)",
  TRUE,"OK"
)</f>
        <v>OK</v>
      </c>
    </row>
    <row r="989" spans="1:9" ht="16.8" x14ac:dyDescent="0.3">
      <c r="A989" s="14" t="s">
        <v>7496</v>
      </c>
      <c r="B989" s="14" t="s">
        <v>5056</v>
      </c>
      <c r="C989" s="15">
        <v>44361</v>
      </c>
      <c r="D989" s="14">
        <v>90327.41</v>
      </c>
      <c r="E989" s="14" t="s">
        <v>6502</v>
      </c>
      <c r="F989" s="14" t="s">
        <v>6503</v>
      </c>
      <c r="G989" s="14" t="s">
        <v>46</v>
      </c>
      <c r="H989" s="14">
        <v>37</v>
      </c>
      <c r="I989" s="13" t="str" cm="1">
        <f t="array" ref="I989">_xlfn.IFS(
  OR(ISBLANK(A989),ISBLANK(B989),ISBLANK(D989),ISBLANK(E989),ISBLANK(H989)),"Missing Value",
  D989&lt;0,"Review – Out of Range (Claim Amount)",
  H989&lt;0,"Review – Out of Range (Days to Process)",
  TRUE,"OK"
)</f>
        <v>OK</v>
      </c>
    </row>
    <row r="990" spans="1:9" ht="16.8" x14ac:dyDescent="0.3">
      <c r="A990" s="11" t="s">
        <v>7497</v>
      </c>
      <c r="B990" s="11" t="s">
        <v>5969</v>
      </c>
      <c r="C990" s="12">
        <v>45702</v>
      </c>
      <c r="D990" s="11">
        <v>253900.39</v>
      </c>
      <c r="E990" s="11" t="s">
        <v>6502</v>
      </c>
      <c r="F990" s="11" t="s">
        <v>6506</v>
      </c>
      <c r="G990" s="11" t="s">
        <v>46</v>
      </c>
      <c r="H990" s="11">
        <v>37</v>
      </c>
      <c r="I990" s="13" t="str" cm="1">
        <f t="array" ref="I990">_xlfn.IFS(
  OR(ISBLANK(A990),ISBLANK(B990),ISBLANK(D990),ISBLANK(E990),ISBLANK(H990)),"Missing Value",
  D990&lt;0,"Review – Out of Range (Claim Amount)",
  H990&lt;0,"Review – Out of Range (Days to Process)",
  TRUE,"OK"
)</f>
        <v>OK</v>
      </c>
    </row>
    <row r="991" spans="1:9" ht="16.8" x14ac:dyDescent="0.3">
      <c r="A991" s="14" t="s">
        <v>7498</v>
      </c>
      <c r="B991" s="14" t="s">
        <v>3832</v>
      </c>
      <c r="C991" s="15">
        <v>45141</v>
      </c>
      <c r="D991" s="14">
        <v>287543.21000000002</v>
      </c>
      <c r="E991" s="14" t="s">
        <v>6508</v>
      </c>
      <c r="F991" s="14" t="s">
        <v>6509</v>
      </c>
      <c r="G991" s="14" t="s">
        <v>45</v>
      </c>
      <c r="H991" s="14">
        <v>38</v>
      </c>
      <c r="I991" s="13" t="str" cm="1">
        <f t="array" ref="I991">_xlfn.IFS(
  OR(ISBLANK(A991),ISBLANK(B991),ISBLANK(D991),ISBLANK(E991),ISBLANK(H991)),"Missing Value",
  D991&lt;0,"Review – Out of Range (Claim Amount)",
  H991&lt;0,"Review – Out of Range (Days to Process)",
  TRUE,"OK"
)</f>
        <v>OK</v>
      </c>
    </row>
    <row r="992" spans="1:9" ht="16.8" x14ac:dyDescent="0.3">
      <c r="A992" s="11" t="s">
        <v>7499</v>
      </c>
      <c r="B992" s="11" t="s">
        <v>4133</v>
      </c>
      <c r="C992" s="12">
        <v>44411</v>
      </c>
      <c r="D992" s="11">
        <v>65062.46</v>
      </c>
      <c r="E992" s="11" t="s">
        <v>6505</v>
      </c>
      <c r="F992" s="11" t="s">
        <v>6509</v>
      </c>
      <c r="G992" s="11" t="s">
        <v>46</v>
      </c>
      <c r="H992" s="11">
        <v>31</v>
      </c>
      <c r="I992" s="13" t="str" cm="1">
        <f t="array" ref="I992">_xlfn.IFS(
  OR(ISBLANK(A992),ISBLANK(B992),ISBLANK(D992),ISBLANK(E992),ISBLANK(H992)),"Missing Value",
  D992&lt;0,"Review – Out of Range (Claim Amount)",
  H992&lt;0,"Review – Out of Range (Days to Process)",
  TRUE,"OK"
)</f>
        <v>OK</v>
      </c>
    </row>
    <row r="993" spans="1:9" ht="16.8" x14ac:dyDescent="0.3">
      <c r="A993" s="14" t="s">
        <v>7500</v>
      </c>
      <c r="B993" s="14" t="s">
        <v>6153</v>
      </c>
      <c r="C993" s="15">
        <v>44902</v>
      </c>
      <c r="D993" s="14">
        <v>413060.74</v>
      </c>
      <c r="E993" s="14" t="s">
        <v>6508</v>
      </c>
      <c r="F993" s="14" t="s">
        <v>6503</v>
      </c>
      <c r="G993" s="14" t="s">
        <v>45</v>
      </c>
      <c r="H993" s="14">
        <v>43</v>
      </c>
      <c r="I993" s="13" t="str" cm="1">
        <f t="array" ref="I993">_xlfn.IFS(
  OR(ISBLANK(A993),ISBLANK(B993),ISBLANK(D993),ISBLANK(E993),ISBLANK(H993)),"Missing Value",
  D993&lt;0,"Review – Out of Range (Claim Amount)",
  H993&lt;0,"Review – Out of Range (Days to Process)",
  TRUE,"OK"
)</f>
        <v>OK</v>
      </c>
    </row>
    <row r="994" spans="1:9" ht="16.8" x14ac:dyDescent="0.3">
      <c r="A994" s="11" t="s">
        <v>7501</v>
      </c>
      <c r="B994" s="11" t="s">
        <v>3582</v>
      </c>
      <c r="C994" s="12">
        <v>45298</v>
      </c>
      <c r="D994" s="11">
        <v>222312.18</v>
      </c>
      <c r="E994" s="11" t="s">
        <v>6505</v>
      </c>
      <c r="F994" s="11" t="s">
        <v>6516</v>
      </c>
      <c r="G994" s="11" t="s">
        <v>46</v>
      </c>
      <c r="H994" s="11">
        <v>29</v>
      </c>
      <c r="I994" s="13" t="str" cm="1">
        <f t="array" ref="I994">_xlfn.IFS(
  OR(ISBLANK(A994),ISBLANK(B994),ISBLANK(D994),ISBLANK(E994),ISBLANK(H994)),"Missing Value",
  D994&lt;0,"Review – Out of Range (Claim Amount)",
  H994&lt;0,"Review – Out of Range (Days to Process)",
  TRUE,"OK"
)</f>
        <v>OK</v>
      </c>
    </row>
    <row r="995" spans="1:9" ht="16.8" x14ac:dyDescent="0.3">
      <c r="A995" s="14" t="s">
        <v>7502</v>
      </c>
      <c r="B995" s="14" t="s">
        <v>3688</v>
      </c>
      <c r="C995" s="15">
        <v>44753</v>
      </c>
      <c r="D995" s="14">
        <v>280526.63</v>
      </c>
      <c r="E995" s="14" t="s">
        <v>6508</v>
      </c>
      <c r="F995" s="14" t="s">
        <v>6511</v>
      </c>
      <c r="G995" s="14" t="s">
        <v>46</v>
      </c>
      <c r="H995" s="14">
        <v>18</v>
      </c>
      <c r="I995" s="13" t="str" cm="1">
        <f t="array" ref="I995">_xlfn.IFS(
  OR(ISBLANK(A995),ISBLANK(B995),ISBLANK(D995),ISBLANK(E995),ISBLANK(H995)),"Missing Value",
  D995&lt;0,"Review – Out of Range (Claim Amount)",
  H995&lt;0,"Review – Out of Range (Days to Process)",
  TRUE,"OK"
)</f>
        <v>OK</v>
      </c>
    </row>
    <row r="996" spans="1:9" ht="16.8" x14ac:dyDescent="0.3">
      <c r="A996" s="11" t="s">
        <v>7503</v>
      </c>
      <c r="B996" s="11" t="s">
        <v>5859</v>
      </c>
      <c r="C996" s="12">
        <v>45567</v>
      </c>
      <c r="D996" s="11">
        <v>367102.94</v>
      </c>
      <c r="E996" s="11" t="s">
        <v>6502</v>
      </c>
      <c r="F996" s="11" t="s">
        <v>6503</v>
      </c>
      <c r="G996" s="11" t="s">
        <v>45</v>
      </c>
      <c r="H996" s="11">
        <v>44</v>
      </c>
      <c r="I996" s="13" t="str" cm="1">
        <f t="array" ref="I996">_xlfn.IFS(
  OR(ISBLANK(A996),ISBLANK(B996),ISBLANK(D996),ISBLANK(E996),ISBLANK(H996)),"Missing Value",
  D996&lt;0,"Review – Out of Range (Claim Amount)",
  H996&lt;0,"Review – Out of Range (Days to Process)",
  TRUE,"OK"
)</f>
        <v>OK</v>
      </c>
    </row>
    <row r="997" spans="1:9" ht="16.8" x14ac:dyDescent="0.3">
      <c r="A997" s="14" t="s">
        <v>7504</v>
      </c>
      <c r="B997" s="14" t="s">
        <v>4779</v>
      </c>
      <c r="C997" s="15">
        <v>45423</v>
      </c>
      <c r="D997" s="14">
        <v>249198.79</v>
      </c>
      <c r="E997" s="14" t="s">
        <v>6505</v>
      </c>
      <c r="F997" s="14" t="s">
        <v>6509</v>
      </c>
      <c r="G997" s="14" t="s">
        <v>46</v>
      </c>
      <c r="H997" s="14">
        <v>31</v>
      </c>
      <c r="I997" s="13" t="str" cm="1">
        <f t="array" ref="I997">_xlfn.IFS(
  OR(ISBLANK(A997),ISBLANK(B997),ISBLANK(D997),ISBLANK(E997),ISBLANK(H997)),"Missing Value",
  D997&lt;0,"Review – Out of Range (Claim Amount)",
  H997&lt;0,"Review – Out of Range (Days to Process)",
  TRUE,"OK"
)</f>
        <v>OK</v>
      </c>
    </row>
    <row r="998" spans="1:9" ht="16.8" x14ac:dyDescent="0.3">
      <c r="A998" s="11" t="s">
        <v>7505</v>
      </c>
      <c r="B998" s="11" t="s">
        <v>3912</v>
      </c>
      <c r="C998" s="12">
        <v>45655</v>
      </c>
      <c r="D998" s="11">
        <v>18770.68</v>
      </c>
      <c r="E998" s="11" t="s">
        <v>6508</v>
      </c>
      <c r="F998" s="11" t="s">
        <v>6516</v>
      </c>
      <c r="G998" s="11" t="s">
        <v>45</v>
      </c>
      <c r="H998" s="11">
        <v>29</v>
      </c>
      <c r="I998" s="13" t="str" cm="1">
        <f t="array" ref="I998">_xlfn.IFS(
  OR(ISBLANK(A998),ISBLANK(B998),ISBLANK(D998),ISBLANK(E998),ISBLANK(H998)),"Missing Value",
  D998&lt;0,"Review – Out of Range (Claim Amount)",
  H998&lt;0,"Review – Out of Range (Days to Process)",
  TRUE,"OK"
)</f>
        <v>OK</v>
      </c>
    </row>
    <row r="999" spans="1:9" ht="16.8" x14ac:dyDescent="0.3">
      <c r="A999" s="14" t="s">
        <v>7506</v>
      </c>
      <c r="B999" s="14" t="s">
        <v>5985</v>
      </c>
      <c r="C999" s="15">
        <v>45251</v>
      </c>
      <c r="D999" s="14">
        <v>243201.03</v>
      </c>
      <c r="E999" s="14" t="s">
        <v>6505</v>
      </c>
      <c r="F999" s="14" t="s">
        <v>6511</v>
      </c>
      <c r="G999" s="14" t="s">
        <v>46</v>
      </c>
      <c r="H999" s="14">
        <v>43</v>
      </c>
      <c r="I999" s="13" t="str" cm="1">
        <f t="array" ref="I999">_xlfn.IFS(
  OR(ISBLANK(A999),ISBLANK(B999),ISBLANK(D999),ISBLANK(E999),ISBLANK(H999)),"Missing Value",
  D999&lt;0,"Review – Out of Range (Claim Amount)",
  H999&lt;0,"Review – Out of Range (Days to Process)",
  TRUE,"OK"
)</f>
        <v>OK</v>
      </c>
    </row>
    <row r="1000" spans="1:9" ht="16.8" x14ac:dyDescent="0.3">
      <c r="A1000" s="11" t="s">
        <v>7507</v>
      </c>
      <c r="B1000" s="11" t="s">
        <v>5940</v>
      </c>
      <c r="C1000" s="12">
        <v>45216</v>
      </c>
      <c r="D1000" s="11">
        <v>314319.48</v>
      </c>
      <c r="E1000" s="11" t="s">
        <v>6505</v>
      </c>
      <c r="F1000" s="11" t="s">
        <v>6506</v>
      </c>
      <c r="G1000" s="11" t="s">
        <v>45</v>
      </c>
      <c r="H1000" s="11">
        <v>12</v>
      </c>
      <c r="I1000" s="13" t="str" cm="1">
        <f t="array" ref="I1000">_xlfn.IFS(
  OR(ISBLANK(A1000),ISBLANK(B1000),ISBLANK(D1000),ISBLANK(E1000),ISBLANK(H1000)),"Missing Value",
  D1000&lt;0,"Review – Out of Range (Claim Amount)",
  H1000&lt;0,"Review – Out of Range (Days to Process)",
  TRUE,"OK"
)</f>
        <v>OK</v>
      </c>
    </row>
    <row r="1001" spans="1:9" ht="16.8" x14ac:dyDescent="0.3">
      <c r="A1001" s="14" t="s">
        <v>7508</v>
      </c>
      <c r="B1001" s="14" t="s">
        <v>4783</v>
      </c>
      <c r="C1001" s="15">
        <v>45313</v>
      </c>
      <c r="D1001" s="14">
        <v>499431.2</v>
      </c>
      <c r="E1001" s="14" t="s">
        <v>6502</v>
      </c>
      <c r="F1001" s="14" t="s">
        <v>6516</v>
      </c>
      <c r="G1001" s="14" t="s">
        <v>45</v>
      </c>
      <c r="H1001" s="14">
        <v>51</v>
      </c>
      <c r="I1001" s="13" t="str" cm="1">
        <f t="array" ref="I1001">_xlfn.IFS(
  OR(ISBLANK(A1001),ISBLANK(B1001),ISBLANK(D1001),ISBLANK(E1001),ISBLANK(H1001)),"Missing Value",
  D1001&lt;0,"Review – Out of Range (Claim Amount)",
  H1001&lt;0,"Review – Out of Range (Days to Process)",
  TRUE,"OK"
)</f>
        <v>OK</v>
      </c>
    </row>
    <row r="1002" spans="1:9" ht="16.8" x14ac:dyDescent="0.3">
      <c r="A1002" s="11" t="s">
        <v>7509</v>
      </c>
      <c r="B1002" s="11" t="s">
        <v>4571</v>
      </c>
      <c r="C1002" s="12">
        <v>45327</v>
      </c>
      <c r="D1002" s="11">
        <v>85627.43</v>
      </c>
      <c r="E1002" s="11" t="s">
        <v>6505</v>
      </c>
      <c r="F1002" s="11" t="s">
        <v>6511</v>
      </c>
      <c r="G1002" s="11" t="s">
        <v>45</v>
      </c>
      <c r="H1002" s="11">
        <v>54</v>
      </c>
      <c r="I1002" s="13" t="str" cm="1">
        <f t="array" ref="I1002">_xlfn.IFS(
  OR(ISBLANK(A1002),ISBLANK(B1002),ISBLANK(D1002),ISBLANK(E1002),ISBLANK(H1002)),"Missing Value",
  D1002&lt;0,"Review – Out of Range (Claim Amount)",
  H1002&lt;0,"Review – Out of Range (Days to Process)",
  TRUE,"OK"
)</f>
        <v>OK</v>
      </c>
    </row>
    <row r="1003" spans="1:9" ht="16.8" x14ac:dyDescent="0.3">
      <c r="A1003" s="14" t="s">
        <v>7510</v>
      </c>
      <c r="B1003" s="14" t="s">
        <v>5310</v>
      </c>
      <c r="C1003" s="15">
        <v>44825</v>
      </c>
      <c r="D1003" s="14">
        <v>452065.56</v>
      </c>
      <c r="E1003" s="14" t="s">
        <v>6508</v>
      </c>
      <c r="F1003" s="14" t="s">
        <v>6516</v>
      </c>
      <c r="G1003" s="14" t="s">
        <v>46</v>
      </c>
      <c r="H1003" s="14">
        <v>46</v>
      </c>
      <c r="I1003" s="13" t="str" cm="1">
        <f t="array" ref="I1003">_xlfn.IFS(
  OR(ISBLANK(A1003),ISBLANK(B1003),ISBLANK(D1003),ISBLANK(E1003),ISBLANK(H1003)),"Missing Value",
  D1003&lt;0,"Review – Out of Range (Claim Amount)",
  H1003&lt;0,"Review – Out of Range (Days to Process)",
  TRUE,"OK"
)</f>
        <v>OK</v>
      </c>
    </row>
    <row r="1004" spans="1:9" ht="16.8" x14ac:dyDescent="0.3">
      <c r="A1004" s="11" t="s">
        <v>7511</v>
      </c>
      <c r="B1004" s="11" t="s">
        <v>4081</v>
      </c>
      <c r="C1004" s="12">
        <v>45405</v>
      </c>
      <c r="D1004" s="11">
        <v>355211.11</v>
      </c>
      <c r="E1004" s="11" t="s">
        <v>6508</v>
      </c>
      <c r="F1004" s="11" t="s">
        <v>6509</v>
      </c>
      <c r="G1004" s="11" t="s">
        <v>46</v>
      </c>
      <c r="H1004" s="11">
        <v>28</v>
      </c>
      <c r="I1004" s="13" t="str" cm="1">
        <f t="array" ref="I1004">_xlfn.IFS(
  OR(ISBLANK(A1004),ISBLANK(B1004),ISBLANK(D1004),ISBLANK(E1004),ISBLANK(H1004)),"Missing Value",
  D1004&lt;0,"Review – Out of Range (Claim Amount)",
  H1004&lt;0,"Review – Out of Range (Days to Process)",
  TRUE,"OK"
)</f>
        <v>OK</v>
      </c>
    </row>
    <row r="1005" spans="1:9" ht="16.8" x14ac:dyDescent="0.3">
      <c r="A1005" s="14" t="s">
        <v>7512</v>
      </c>
      <c r="B1005" s="14" t="s">
        <v>6066</v>
      </c>
      <c r="C1005" s="15">
        <v>45495</v>
      </c>
      <c r="D1005" s="14">
        <v>319360.13</v>
      </c>
      <c r="E1005" s="14" t="s">
        <v>6508</v>
      </c>
      <c r="F1005" s="14" t="s">
        <v>6516</v>
      </c>
      <c r="G1005" s="14" t="s">
        <v>45</v>
      </c>
      <c r="H1005" s="14">
        <v>24</v>
      </c>
      <c r="I1005" s="13" t="str" cm="1">
        <f t="array" ref="I1005">_xlfn.IFS(
  OR(ISBLANK(A1005),ISBLANK(B1005),ISBLANK(D1005),ISBLANK(E1005),ISBLANK(H1005)),"Missing Value",
  D1005&lt;0,"Review – Out of Range (Claim Amount)",
  H1005&lt;0,"Review – Out of Range (Days to Process)",
  TRUE,"OK"
)</f>
        <v>OK</v>
      </c>
    </row>
    <row r="1006" spans="1:9" ht="16.8" x14ac:dyDescent="0.3">
      <c r="A1006" s="11" t="s">
        <v>7513</v>
      </c>
      <c r="B1006" s="11" t="s">
        <v>5832</v>
      </c>
      <c r="C1006" s="12">
        <v>45575</v>
      </c>
      <c r="D1006" s="11">
        <v>113247</v>
      </c>
      <c r="E1006" s="11" t="s">
        <v>6502</v>
      </c>
      <c r="F1006" s="11" t="s">
        <v>6516</v>
      </c>
      <c r="G1006" s="11" t="s">
        <v>46</v>
      </c>
      <c r="H1006" s="11">
        <v>39</v>
      </c>
      <c r="I1006" s="13" t="str" cm="1">
        <f t="array" ref="I1006">_xlfn.IFS(
  OR(ISBLANK(A1006),ISBLANK(B1006),ISBLANK(D1006),ISBLANK(E1006),ISBLANK(H1006)),"Missing Value",
  D1006&lt;0,"Review – Out of Range (Claim Amount)",
  H1006&lt;0,"Review – Out of Range (Days to Process)",
  TRUE,"OK"
)</f>
        <v>OK</v>
      </c>
    </row>
    <row r="1007" spans="1:9" ht="16.8" x14ac:dyDescent="0.3">
      <c r="A1007" s="14" t="s">
        <v>7514</v>
      </c>
      <c r="B1007" s="14" t="s">
        <v>4566</v>
      </c>
      <c r="C1007" s="15">
        <v>45406</v>
      </c>
      <c r="D1007" s="14">
        <v>359416.18</v>
      </c>
      <c r="E1007" s="14" t="s">
        <v>6508</v>
      </c>
      <c r="F1007" s="14" t="s">
        <v>6511</v>
      </c>
      <c r="G1007" s="14" t="s">
        <v>46</v>
      </c>
      <c r="H1007" s="14">
        <v>3</v>
      </c>
      <c r="I1007" s="13" t="str" cm="1">
        <f t="array" ref="I1007">_xlfn.IFS(
  OR(ISBLANK(A1007),ISBLANK(B1007),ISBLANK(D1007),ISBLANK(E1007),ISBLANK(H1007)),"Missing Value",
  D1007&lt;0,"Review – Out of Range (Claim Amount)",
  H1007&lt;0,"Review – Out of Range (Days to Process)",
  TRUE,"OK"
)</f>
        <v>OK</v>
      </c>
    </row>
    <row r="1008" spans="1:9" ht="16.8" x14ac:dyDescent="0.3">
      <c r="A1008" s="11" t="s">
        <v>7515</v>
      </c>
      <c r="B1008" s="11" t="s">
        <v>5118</v>
      </c>
      <c r="C1008" s="12">
        <v>45043</v>
      </c>
      <c r="D1008" s="11">
        <v>59812.75</v>
      </c>
      <c r="E1008" s="11" t="s">
        <v>6505</v>
      </c>
      <c r="F1008" s="11" t="s">
        <v>6516</v>
      </c>
      <c r="G1008" s="11" t="s">
        <v>45</v>
      </c>
      <c r="H1008" s="11">
        <v>54</v>
      </c>
      <c r="I1008" s="13" t="str" cm="1">
        <f t="array" ref="I1008">_xlfn.IFS(
  OR(ISBLANK(A1008),ISBLANK(B1008),ISBLANK(D1008),ISBLANK(E1008),ISBLANK(H1008)),"Missing Value",
  D1008&lt;0,"Review – Out of Range (Claim Amount)",
  H1008&lt;0,"Review – Out of Range (Days to Process)",
  TRUE,"OK"
)</f>
        <v>OK</v>
      </c>
    </row>
    <row r="1009" spans="1:9" ht="16.8" x14ac:dyDescent="0.3">
      <c r="A1009" s="14" t="s">
        <v>7516</v>
      </c>
      <c r="B1009" s="14" t="s">
        <v>4160</v>
      </c>
      <c r="C1009" s="15">
        <v>44517</v>
      </c>
      <c r="D1009" s="14">
        <v>320077.02</v>
      </c>
      <c r="E1009" s="14" t="s">
        <v>6502</v>
      </c>
      <c r="F1009" s="14" t="s">
        <v>6503</v>
      </c>
      <c r="G1009" s="14" t="s">
        <v>45</v>
      </c>
      <c r="H1009" s="14">
        <v>38</v>
      </c>
      <c r="I1009" s="13" t="str" cm="1">
        <f t="array" ref="I1009">_xlfn.IFS(
  OR(ISBLANK(A1009),ISBLANK(B1009),ISBLANK(D1009),ISBLANK(E1009),ISBLANK(H1009)),"Missing Value",
  D1009&lt;0,"Review – Out of Range (Claim Amount)",
  H1009&lt;0,"Review – Out of Range (Days to Process)",
  TRUE,"OK"
)</f>
        <v>OK</v>
      </c>
    </row>
    <row r="1010" spans="1:9" ht="16.8" x14ac:dyDescent="0.3">
      <c r="A1010" s="11" t="s">
        <v>7517</v>
      </c>
      <c r="B1010" s="11" t="s">
        <v>6248</v>
      </c>
      <c r="C1010" s="12">
        <v>45538</v>
      </c>
      <c r="D1010" s="11">
        <v>135307.76999999999</v>
      </c>
      <c r="E1010" s="11" t="s">
        <v>6508</v>
      </c>
      <c r="F1010" s="11" t="s">
        <v>6503</v>
      </c>
      <c r="G1010" s="11" t="s">
        <v>45</v>
      </c>
      <c r="H1010" s="11">
        <v>33</v>
      </c>
      <c r="I1010" s="13" t="str" cm="1">
        <f t="array" ref="I1010">_xlfn.IFS(
  OR(ISBLANK(A1010),ISBLANK(B1010),ISBLANK(D1010),ISBLANK(E1010),ISBLANK(H1010)),"Missing Value",
  D1010&lt;0,"Review – Out of Range (Claim Amount)",
  H1010&lt;0,"Review – Out of Range (Days to Process)",
  TRUE,"OK"
)</f>
        <v>OK</v>
      </c>
    </row>
    <row r="1011" spans="1:9" ht="16.8" x14ac:dyDescent="0.3">
      <c r="A1011" s="14" t="s">
        <v>7518</v>
      </c>
      <c r="B1011" s="14" t="s">
        <v>6368</v>
      </c>
      <c r="C1011" s="15">
        <v>45000</v>
      </c>
      <c r="D1011" s="14">
        <v>455100.04</v>
      </c>
      <c r="E1011" s="14" t="s">
        <v>6508</v>
      </c>
      <c r="F1011" s="14" t="s">
        <v>6509</v>
      </c>
      <c r="G1011" s="14" t="s">
        <v>46</v>
      </c>
      <c r="H1011" s="14">
        <v>51</v>
      </c>
      <c r="I1011" s="13" t="str" cm="1">
        <f t="array" ref="I1011">_xlfn.IFS(
  OR(ISBLANK(A1011),ISBLANK(B1011),ISBLANK(D1011),ISBLANK(E1011),ISBLANK(H1011)),"Missing Value",
  D1011&lt;0,"Review – Out of Range (Claim Amount)",
  H1011&lt;0,"Review – Out of Range (Days to Process)",
  TRUE,"OK"
)</f>
        <v>OK</v>
      </c>
    </row>
    <row r="1012" spans="1:9" ht="16.8" x14ac:dyDescent="0.3">
      <c r="A1012" s="11" t="s">
        <v>7519</v>
      </c>
      <c r="B1012" s="11" t="s">
        <v>4474</v>
      </c>
      <c r="C1012" s="12">
        <v>45104</v>
      </c>
      <c r="D1012" s="11">
        <v>100887.3</v>
      </c>
      <c r="E1012" s="11" t="s">
        <v>6502</v>
      </c>
      <c r="F1012" s="11" t="s">
        <v>6511</v>
      </c>
      <c r="G1012" s="11" t="s">
        <v>45</v>
      </c>
      <c r="H1012" s="11">
        <v>36</v>
      </c>
      <c r="I1012" s="13" t="str" cm="1">
        <f t="array" ref="I1012">_xlfn.IFS(
  OR(ISBLANK(A1012),ISBLANK(B1012),ISBLANK(D1012),ISBLANK(E1012),ISBLANK(H1012)),"Missing Value",
  D1012&lt;0,"Review – Out of Range (Claim Amount)",
  H1012&lt;0,"Review – Out of Range (Days to Process)",
  TRUE,"OK"
)</f>
        <v>OK</v>
      </c>
    </row>
    <row r="1013" spans="1:9" ht="16.8" x14ac:dyDescent="0.3">
      <c r="A1013" s="14" t="s">
        <v>7520</v>
      </c>
      <c r="B1013" s="14" t="s">
        <v>5330</v>
      </c>
      <c r="C1013" s="15">
        <v>45553</v>
      </c>
      <c r="D1013" s="14">
        <v>406931.53</v>
      </c>
      <c r="E1013" s="14" t="s">
        <v>6505</v>
      </c>
      <c r="F1013" s="14" t="s">
        <v>6511</v>
      </c>
      <c r="G1013" s="14" t="s">
        <v>45</v>
      </c>
      <c r="H1013" s="14">
        <v>5</v>
      </c>
      <c r="I1013" s="13" t="str" cm="1">
        <f t="array" ref="I1013">_xlfn.IFS(
  OR(ISBLANK(A1013),ISBLANK(B1013),ISBLANK(D1013),ISBLANK(E1013),ISBLANK(H1013)),"Missing Value",
  D1013&lt;0,"Review – Out of Range (Claim Amount)",
  H1013&lt;0,"Review – Out of Range (Days to Process)",
  TRUE,"OK"
)</f>
        <v>OK</v>
      </c>
    </row>
    <row r="1014" spans="1:9" ht="16.8" x14ac:dyDescent="0.3">
      <c r="A1014" s="11" t="s">
        <v>7521</v>
      </c>
      <c r="B1014" s="11" t="s">
        <v>6002</v>
      </c>
      <c r="C1014" s="12">
        <v>45625</v>
      </c>
      <c r="D1014" s="11">
        <v>339660.63</v>
      </c>
      <c r="E1014" s="11" t="s">
        <v>6508</v>
      </c>
      <c r="F1014" s="11" t="s">
        <v>6503</v>
      </c>
      <c r="G1014" s="11" t="s">
        <v>45</v>
      </c>
      <c r="H1014" s="11">
        <v>34</v>
      </c>
      <c r="I1014" s="13" t="str" cm="1">
        <f t="array" ref="I1014">_xlfn.IFS(
  OR(ISBLANK(A1014),ISBLANK(B1014),ISBLANK(D1014),ISBLANK(E1014),ISBLANK(H1014)),"Missing Value",
  D1014&lt;0,"Review – Out of Range (Claim Amount)",
  H1014&lt;0,"Review – Out of Range (Days to Process)",
  TRUE,"OK"
)</f>
        <v>OK</v>
      </c>
    </row>
    <row r="1015" spans="1:9" ht="16.8" x14ac:dyDescent="0.3">
      <c r="A1015" s="14" t="s">
        <v>7522</v>
      </c>
      <c r="B1015" s="14" t="s">
        <v>5383</v>
      </c>
      <c r="C1015" s="15">
        <v>44216</v>
      </c>
      <c r="D1015" s="14">
        <v>443063.27</v>
      </c>
      <c r="E1015" s="14" t="s">
        <v>6508</v>
      </c>
      <c r="F1015" s="14" t="s">
        <v>6509</v>
      </c>
      <c r="G1015" s="14" t="s">
        <v>45</v>
      </c>
      <c r="H1015" s="14">
        <v>4</v>
      </c>
      <c r="I1015" s="13" t="str" cm="1">
        <f t="array" ref="I1015">_xlfn.IFS(
  OR(ISBLANK(A1015),ISBLANK(B1015),ISBLANK(D1015),ISBLANK(E1015),ISBLANK(H1015)),"Missing Value",
  D1015&lt;0,"Review – Out of Range (Claim Amount)",
  H1015&lt;0,"Review – Out of Range (Days to Process)",
  TRUE,"OK"
)</f>
        <v>OK</v>
      </c>
    </row>
    <row r="1016" spans="1:9" ht="16.8" x14ac:dyDescent="0.3">
      <c r="A1016" s="11" t="s">
        <v>7523</v>
      </c>
      <c r="B1016" s="11" t="s">
        <v>3882</v>
      </c>
      <c r="C1016" s="12">
        <v>45320</v>
      </c>
      <c r="D1016" s="11">
        <v>362619.01</v>
      </c>
      <c r="E1016" s="11" t="s">
        <v>6508</v>
      </c>
      <c r="F1016" s="11" t="s">
        <v>6506</v>
      </c>
      <c r="G1016" s="11" t="s">
        <v>45</v>
      </c>
      <c r="H1016" s="11">
        <v>49</v>
      </c>
      <c r="I1016" s="13" t="str" cm="1">
        <f t="array" ref="I1016">_xlfn.IFS(
  OR(ISBLANK(A1016),ISBLANK(B1016),ISBLANK(D1016),ISBLANK(E1016),ISBLANK(H1016)),"Missing Value",
  D1016&lt;0,"Review – Out of Range (Claim Amount)",
  H1016&lt;0,"Review – Out of Range (Days to Process)",
  TRUE,"OK"
)</f>
        <v>OK</v>
      </c>
    </row>
    <row r="1017" spans="1:9" ht="16.8" x14ac:dyDescent="0.3">
      <c r="A1017" s="14" t="s">
        <v>7524</v>
      </c>
      <c r="B1017" s="14" t="s">
        <v>4384</v>
      </c>
      <c r="C1017" s="15">
        <v>45519</v>
      </c>
      <c r="D1017" s="14">
        <v>257018.19</v>
      </c>
      <c r="E1017" s="14" t="s">
        <v>6505</v>
      </c>
      <c r="F1017" s="14" t="s">
        <v>6509</v>
      </c>
      <c r="G1017" s="14" t="s">
        <v>46</v>
      </c>
      <c r="H1017" s="14">
        <v>58</v>
      </c>
      <c r="I1017" s="13" t="str" cm="1">
        <f t="array" ref="I1017">_xlfn.IFS(
  OR(ISBLANK(A1017),ISBLANK(B1017),ISBLANK(D1017),ISBLANK(E1017),ISBLANK(H1017)),"Missing Value",
  D1017&lt;0,"Review – Out of Range (Claim Amount)",
  H1017&lt;0,"Review – Out of Range (Days to Process)",
  TRUE,"OK"
)</f>
        <v>OK</v>
      </c>
    </row>
    <row r="1018" spans="1:9" ht="16.8" x14ac:dyDescent="0.3">
      <c r="A1018" s="11" t="s">
        <v>7525</v>
      </c>
      <c r="B1018" s="11" t="s">
        <v>6149</v>
      </c>
      <c r="C1018" s="12">
        <v>45540</v>
      </c>
      <c r="D1018" s="11">
        <v>313816.11</v>
      </c>
      <c r="E1018" s="11" t="s">
        <v>6508</v>
      </c>
      <c r="F1018" s="11" t="s">
        <v>6516</v>
      </c>
      <c r="G1018" s="11" t="s">
        <v>46</v>
      </c>
      <c r="H1018" s="11">
        <v>47</v>
      </c>
      <c r="I1018" s="13" t="str" cm="1">
        <f t="array" ref="I1018">_xlfn.IFS(
  OR(ISBLANK(A1018),ISBLANK(B1018),ISBLANK(D1018),ISBLANK(E1018),ISBLANK(H1018)),"Missing Value",
  D1018&lt;0,"Review – Out of Range (Claim Amount)",
  H1018&lt;0,"Review – Out of Range (Days to Process)",
  TRUE,"OK"
)</f>
        <v>OK</v>
      </c>
    </row>
    <row r="1019" spans="1:9" ht="16.8" x14ac:dyDescent="0.3">
      <c r="A1019" s="14" t="s">
        <v>7526</v>
      </c>
      <c r="B1019" s="14" t="s">
        <v>5116</v>
      </c>
      <c r="C1019" s="15">
        <v>45282</v>
      </c>
      <c r="D1019" s="14">
        <v>311063.87</v>
      </c>
      <c r="E1019" s="14" t="s">
        <v>6505</v>
      </c>
      <c r="F1019" s="14" t="s">
        <v>6516</v>
      </c>
      <c r="G1019" s="14" t="s">
        <v>46</v>
      </c>
      <c r="H1019" s="14">
        <v>21</v>
      </c>
      <c r="I1019" s="13" t="str" cm="1">
        <f t="array" ref="I1019">_xlfn.IFS(
  OR(ISBLANK(A1019),ISBLANK(B1019),ISBLANK(D1019),ISBLANK(E1019),ISBLANK(H1019)),"Missing Value",
  D1019&lt;0,"Review – Out of Range (Claim Amount)",
  H1019&lt;0,"Review – Out of Range (Days to Process)",
  TRUE,"OK"
)</f>
        <v>OK</v>
      </c>
    </row>
    <row r="1020" spans="1:9" ht="16.8" x14ac:dyDescent="0.3">
      <c r="A1020" s="11" t="s">
        <v>7527</v>
      </c>
      <c r="B1020" s="11" t="s">
        <v>5884</v>
      </c>
      <c r="C1020" s="12">
        <v>45575</v>
      </c>
      <c r="D1020" s="11">
        <v>457306.56</v>
      </c>
      <c r="E1020" s="11" t="s">
        <v>6505</v>
      </c>
      <c r="F1020" s="11" t="s">
        <v>6506</v>
      </c>
      <c r="G1020" s="11" t="s">
        <v>45</v>
      </c>
      <c r="H1020" s="11">
        <v>3</v>
      </c>
      <c r="I1020" s="13" t="str" cm="1">
        <f t="array" ref="I1020">_xlfn.IFS(
  OR(ISBLANK(A1020),ISBLANK(B1020),ISBLANK(D1020),ISBLANK(E1020),ISBLANK(H1020)),"Missing Value",
  D1020&lt;0,"Review – Out of Range (Claim Amount)",
  H1020&lt;0,"Review – Out of Range (Days to Process)",
  TRUE,"OK"
)</f>
        <v>OK</v>
      </c>
    </row>
    <row r="1021" spans="1:9" ht="16.8" x14ac:dyDescent="0.3">
      <c r="A1021" s="14" t="s">
        <v>7528</v>
      </c>
      <c r="B1021" s="14" t="s">
        <v>4629</v>
      </c>
      <c r="C1021" s="15">
        <v>44782</v>
      </c>
      <c r="D1021" s="14">
        <v>67369.98</v>
      </c>
      <c r="E1021" s="14" t="s">
        <v>6502</v>
      </c>
      <c r="F1021" s="14" t="s">
        <v>6506</v>
      </c>
      <c r="G1021" s="14" t="s">
        <v>46</v>
      </c>
      <c r="H1021" s="14">
        <v>45</v>
      </c>
      <c r="I1021" s="13" t="str" cm="1">
        <f t="array" ref="I1021">_xlfn.IFS(
  OR(ISBLANK(A1021),ISBLANK(B1021),ISBLANK(D1021),ISBLANK(E1021),ISBLANK(H1021)),"Missing Value",
  D1021&lt;0,"Review – Out of Range (Claim Amount)",
  H1021&lt;0,"Review – Out of Range (Days to Process)",
  TRUE,"OK"
)</f>
        <v>OK</v>
      </c>
    </row>
    <row r="1022" spans="1:9" ht="16.8" x14ac:dyDescent="0.3">
      <c r="A1022" s="11" t="s">
        <v>7529</v>
      </c>
      <c r="B1022" s="11" t="s">
        <v>6382</v>
      </c>
      <c r="C1022" s="12">
        <v>45241</v>
      </c>
      <c r="D1022" s="11">
        <v>103018.91</v>
      </c>
      <c r="E1022" s="11" t="s">
        <v>6505</v>
      </c>
      <c r="F1022" s="11" t="s">
        <v>6506</v>
      </c>
      <c r="G1022" s="11" t="s">
        <v>45</v>
      </c>
      <c r="H1022" s="11">
        <v>41</v>
      </c>
      <c r="I1022" s="13" t="str" cm="1">
        <f t="array" ref="I1022">_xlfn.IFS(
  OR(ISBLANK(A1022),ISBLANK(B1022),ISBLANK(D1022),ISBLANK(E1022),ISBLANK(H1022)),"Missing Value",
  D1022&lt;0,"Review – Out of Range (Claim Amount)",
  H1022&lt;0,"Review – Out of Range (Days to Process)",
  TRUE,"OK"
)</f>
        <v>OK</v>
      </c>
    </row>
    <row r="1023" spans="1:9" ht="16.8" x14ac:dyDescent="0.3">
      <c r="A1023" s="14" t="s">
        <v>7530</v>
      </c>
      <c r="B1023" s="14" t="s">
        <v>3885</v>
      </c>
      <c r="C1023" s="15">
        <v>45430</v>
      </c>
      <c r="D1023" s="14">
        <v>411891.54</v>
      </c>
      <c r="E1023" s="14" t="s">
        <v>6508</v>
      </c>
      <c r="F1023" s="14" t="s">
        <v>6509</v>
      </c>
      <c r="G1023" s="14" t="s">
        <v>45</v>
      </c>
      <c r="H1023" s="14">
        <v>21</v>
      </c>
      <c r="I1023" s="13" t="str" cm="1">
        <f t="array" ref="I1023">_xlfn.IFS(
  OR(ISBLANK(A1023),ISBLANK(B1023),ISBLANK(D1023),ISBLANK(E1023),ISBLANK(H1023)),"Missing Value",
  D1023&lt;0,"Review – Out of Range (Claim Amount)",
  H1023&lt;0,"Review – Out of Range (Days to Process)",
  TRUE,"OK"
)</f>
        <v>OK</v>
      </c>
    </row>
    <row r="1024" spans="1:9" ht="16.8" x14ac:dyDescent="0.3">
      <c r="A1024" s="11" t="s">
        <v>7531</v>
      </c>
      <c r="B1024" s="11" t="s">
        <v>3969</v>
      </c>
      <c r="C1024" s="12">
        <v>45444</v>
      </c>
      <c r="D1024" s="11">
        <v>486777.2</v>
      </c>
      <c r="E1024" s="11" t="s">
        <v>6505</v>
      </c>
      <c r="F1024" s="11" t="s">
        <v>6511</v>
      </c>
      <c r="G1024" s="11" t="s">
        <v>45</v>
      </c>
      <c r="H1024" s="11">
        <v>41</v>
      </c>
      <c r="I1024" s="13" t="str" cm="1">
        <f t="array" ref="I1024">_xlfn.IFS(
  OR(ISBLANK(A1024),ISBLANK(B1024),ISBLANK(D1024),ISBLANK(E1024),ISBLANK(H1024)),"Missing Value",
  D1024&lt;0,"Review – Out of Range (Claim Amount)",
  H1024&lt;0,"Review – Out of Range (Days to Process)",
  TRUE,"OK"
)</f>
        <v>OK</v>
      </c>
    </row>
    <row r="1025" spans="1:9" ht="16.8" x14ac:dyDescent="0.3">
      <c r="A1025" s="14" t="s">
        <v>7532</v>
      </c>
      <c r="B1025" s="14" t="s">
        <v>5028</v>
      </c>
      <c r="C1025" s="15">
        <v>45013</v>
      </c>
      <c r="D1025" s="14">
        <v>450460.14</v>
      </c>
      <c r="E1025" s="14" t="s">
        <v>6502</v>
      </c>
      <c r="F1025" s="14" t="s">
        <v>6506</v>
      </c>
      <c r="G1025" s="14" t="s">
        <v>46</v>
      </c>
      <c r="H1025" s="14">
        <v>46</v>
      </c>
      <c r="I1025" s="13" t="str" cm="1">
        <f t="array" ref="I1025">_xlfn.IFS(
  OR(ISBLANK(A1025),ISBLANK(B1025),ISBLANK(D1025),ISBLANK(E1025),ISBLANK(H1025)),"Missing Value",
  D1025&lt;0,"Review – Out of Range (Claim Amount)",
  H1025&lt;0,"Review – Out of Range (Days to Process)",
  TRUE,"OK"
)</f>
        <v>OK</v>
      </c>
    </row>
    <row r="1026" spans="1:9" ht="16.8" x14ac:dyDescent="0.3">
      <c r="A1026" s="11" t="s">
        <v>7533</v>
      </c>
      <c r="B1026" s="11" t="s">
        <v>5873</v>
      </c>
      <c r="C1026" s="12">
        <v>44983</v>
      </c>
      <c r="D1026" s="11">
        <v>49829.01</v>
      </c>
      <c r="E1026" s="11" t="s">
        <v>6502</v>
      </c>
      <c r="F1026" s="11" t="s">
        <v>6503</v>
      </c>
      <c r="G1026" s="11" t="s">
        <v>46</v>
      </c>
      <c r="H1026" s="11">
        <v>42</v>
      </c>
      <c r="I1026" s="13" t="str" cm="1">
        <f t="array" ref="I1026">_xlfn.IFS(
  OR(ISBLANK(A1026),ISBLANK(B1026),ISBLANK(D1026),ISBLANK(E1026),ISBLANK(H1026)),"Missing Value",
  D1026&lt;0,"Review – Out of Range (Claim Amount)",
  H1026&lt;0,"Review – Out of Range (Days to Process)",
  TRUE,"OK"
)</f>
        <v>OK</v>
      </c>
    </row>
    <row r="1027" spans="1:9" ht="16.8" x14ac:dyDescent="0.3">
      <c r="A1027" s="14" t="s">
        <v>7534</v>
      </c>
      <c r="B1027" s="14" t="s">
        <v>5016</v>
      </c>
      <c r="C1027" s="15">
        <v>44154</v>
      </c>
      <c r="D1027" s="14">
        <v>409877.94</v>
      </c>
      <c r="E1027" s="14" t="s">
        <v>6502</v>
      </c>
      <c r="F1027" s="14" t="s">
        <v>6506</v>
      </c>
      <c r="G1027" s="14" t="s">
        <v>46</v>
      </c>
      <c r="H1027" s="14">
        <v>23</v>
      </c>
      <c r="I1027" s="13" t="str" cm="1">
        <f t="array" ref="I1027">_xlfn.IFS(
  OR(ISBLANK(A1027),ISBLANK(B1027),ISBLANK(D1027),ISBLANK(E1027),ISBLANK(H1027)),"Missing Value",
  D1027&lt;0,"Review – Out of Range (Claim Amount)",
  H1027&lt;0,"Review – Out of Range (Days to Process)",
  TRUE,"OK"
)</f>
        <v>OK</v>
      </c>
    </row>
    <row r="1028" spans="1:9" ht="16.8" x14ac:dyDescent="0.3">
      <c r="A1028" s="11" t="s">
        <v>7535</v>
      </c>
      <c r="B1028" s="11" t="s">
        <v>3953</v>
      </c>
      <c r="C1028" s="12">
        <v>44980</v>
      </c>
      <c r="D1028" s="11">
        <v>400708.61</v>
      </c>
      <c r="E1028" s="11" t="s">
        <v>6505</v>
      </c>
      <c r="F1028" s="11" t="s">
        <v>6503</v>
      </c>
      <c r="G1028" s="11" t="s">
        <v>45</v>
      </c>
      <c r="H1028" s="11">
        <v>33</v>
      </c>
      <c r="I1028" s="13" t="str" cm="1">
        <f t="array" ref="I1028">_xlfn.IFS(
  OR(ISBLANK(A1028),ISBLANK(B1028),ISBLANK(D1028),ISBLANK(E1028),ISBLANK(H1028)),"Missing Value",
  D1028&lt;0,"Review – Out of Range (Claim Amount)",
  H1028&lt;0,"Review – Out of Range (Days to Process)",
  TRUE,"OK"
)</f>
        <v>OK</v>
      </c>
    </row>
    <row r="1029" spans="1:9" ht="16.8" x14ac:dyDescent="0.3">
      <c r="A1029" s="14" t="s">
        <v>7536</v>
      </c>
      <c r="B1029" s="14" t="s">
        <v>3392</v>
      </c>
      <c r="C1029" s="15">
        <v>44738</v>
      </c>
      <c r="D1029" s="14">
        <v>442111.49</v>
      </c>
      <c r="E1029" s="14" t="s">
        <v>6505</v>
      </c>
      <c r="F1029" s="14" t="s">
        <v>6509</v>
      </c>
      <c r="G1029" s="14" t="s">
        <v>45</v>
      </c>
      <c r="H1029" s="14">
        <v>57</v>
      </c>
      <c r="I1029" s="13" t="str" cm="1">
        <f t="array" ref="I1029">_xlfn.IFS(
  OR(ISBLANK(A1029),ISBLANK(B1029),ISBLANK(D1029),ISBLANK(E1029),ISBLANK(H1029)),"Missing Value",
  D1029&lt;0,"Review – Out of Range (Claim Amount)",
  H1029&lt;0,"Review – Out of Range (Days to Process)",
  TRUE,"OK"
)</f>
        <v>OK</v>
      </c>
    </row>
    <row r="1030" spans="1:9" ht="16.8" x14ac:dyDescent="0.3">
      <c r="A1030" s="11" t="s">
        <v>7537</v>
      </c>
      <c r="B1030" s="11" t="s">
        <v>3602</v>
      </c>
      <c r="C1030" s="12">
        <v>44417</v>
      </c>
      <c r="D1030" s="11">
        <v>161056.35999999999</v>
      </c>
      <c r="E1030" s="11" t="s">
        <v>6505</v>
      </c>
      <c r="F1030" s="11" t="s">
        <v>6511</v>
      </c>
      <c r="G1030" s="11" t="s">
        <v>46</v>
      </c>
      <c r="H1030" s="11">
        <v>57</v>
      </c>
      <c r="I1030" s="13" t="str" cm="1">
        <f t="array" ref="I1030">_xlfn.IFS(
  OR(ISBLANK(A1030),ISBLANK(B1030),ISBLANK(D1030),ISBLANK(E1030),ISBLANK(H1030)),"Missing Value",
  D1030&lt;0,"Review – Out of Range (Claim Amount)",
  H1030&lt;0,"Review – Out of Range (Days to Process)",
  TRUE,"OK"
)</f>
        <v>OK</v>
      </c>
    </row>
    <row r="1031" spans="1:9" ht="16.8" x14ac:dyDescent="0.3">
      <c r="A1031" s="14" t="s">
        <v>7538</v>
      </c>
      <c r="B1031" s="14" t="s">
        <v>3388</v>
      </c>
      <c r="C1031" s="15">
        <v>45819</v>
      </c>
      <c r="D1031" s="14">
        <v>382996.34</v>
      </c>
      <c r="E1031" s="14" t="s">
        <v>6502</v>
      </c>
      <c r="F1031" s="14" t="s">
        <v>6516</v>
      </c>
      <c r="G1031" s="14" t="s">
        <v>45</v>
      </c>
      <c r="H1031" s="14">
        <v>56</v>
      </c>
      <c r="I1031" s="13" t="str" cm="1">
        <f t="array" ref="I1031">_xlfn.IFS(
  OR(ISBLANK(A1031),ISBLANK(B1031),ISBLANK(D1031),ISBLANK(E1031),ISBLANK(H1031)),"Missing Value",
  D1031&lt;0,"Review – Out of Range (Claim Amount)",
  H1031&lt;0,"Review – Out of Range (Days to Process)",
  TRUE,"OK"
)</f>
        <v>OK</v>
      </c>
    </row>
    <row r="1032" spans="1:9" ht="16.8" x14ac:dyDescent="0.3">
      <c r="A1032" s="11" t="s">
        <v>7539</v>
      </c>
      <c r="B1032" s="11" t="s">
        <v>5727</v>
      </c>
      <c r="C1032" s="12">
        <v>44551</v>
      </c>
      <c r="D1032" s="11">
        <v>117363.51</v>
      </c>
      <c r="E1032" s="11" t="s">
        <v>6505</v>
      </c>
      <c r="F1032" s="11" t="s">
        <v>6503</v>
      </c>
      <c r="G1032" s="11" t="s">
        <v>46</v>
      </c>
      <c r="H1032" s="11">
        <v>12</v>
      </c>
      <c r="I1032" s="13" t="str" cm="1">
        <f t="array" ref="I1032">_xlfn.IFS(
  OR(ISBLANK(A1032),ISBLANK(B1032),ISBLANK(D1032),ISBLANK(E1032),ISBLANK(H1032)),"Missing Value",
  D1032&lt;0,"Review – Out of Range (Claim Amount)",
  H1032&lt;0,"Review – Out of Range (Days to Process)",
  TRUE,"OK"
)</f>
        <v>OK</v>
      </c>
    </row>
    <row r="1033" spans="1:9" ht="16.8" x14ac:dyDescent="0.3">
      <c r="A1033" s="14" t="s">
        <v>7540</v>
      </c>
      <c r="B1033" s="14" t="s">
        <v>5661</v>
      </c>
      <c r="C1033" s="15">
        <v>45447</v>
      </c>
      <c r="D1033" s="14">
        <v>461121.9</v>
      </c>
      <c r="E1033" s="14" t="s">
        <v>6505</v>
      </c>
      <c r="F1033" s="14" t="s">
        <v>6511</v>
      </c>
      <c r="G1033" s="14" t="s">
        <v>45</v>
      </c>
      <c r="H1033" s="14">
        <v>40</v>
      </c>
      <c r="I1033" s="13" t="str" cm="1">
        <f t="array" ref="I1033">_xlfn.IFS(
  OR(ISBLANK(A1033),ISBLANK(B1033),ISBLANK(D1033),ISBLANK(E1033),ISBLANK(H1033)),"Missing Value",
  D1033&lt;0,"Review – Out of Range (Claim Amount)",
  H1033&lt;0,"Review – Out of Range (Days to Process)",
  TRUE,"OK"
)</f>
        <v>OK</v>
      </c>
    </row>
    <row r="1034" spans="1:9" ht="16.8" x14ac:dyDescent="0.3">
      <c r="A1034" s="11" t="s">
        <v>7541</v>
      </c>
      <c r="B1034" s="11" t="s">
        <v>5075</v>
      </c>
      <c r="C1034" s="12">
        <v>44603</v>
      </c>
      <c r="D1034" s="11">
        <v>329646.74</v>
      </c>
      <c r="E1034" s="11" t="s">
        <v>6505</v>
      </c>
      <c r="F1034" s="11" t="s">
        <v>6503</v>
      </c>
      <c r="G1034" s="11" t="s">
        <v>45</v>
      </c>
      <c r="H1034" s="11">
        <v>5</v>
      </c>
      <c r="I1034" s="13" t="str" cm="1">
        <f t="array" ref="I1034">_xlfn.IFS(
  OR(ISBLANK(A1034),ISBLANK(B1034),ISBLANK(D1034),ISBLANK(E1034),ISBLANK(H1034)),"Missing Value",
  D1034&lt;0,"Review – Out of Range (Claim Amount)",
  H1034&lt;0,"Review – Out of Range (Days to Process)",
  TRUE,"OK"
)</f>
        <v>OK</v>
      </c>
    </row>
    <row r="1035" spans="1:9" ht="16.8" x14ac:dyDescent="0.3">
      <c r="A1035" s="14" t="s">
        <v>7542</v>
      </c>
      <c r="B1035" s="14" t="s">
        <v>3965</v>
      </c>
      <c r="C1035" s="15">
        <v>44681</v>
      </c>
      <c r="D1035" s="14">
        <v>285063.75</v>
      </c>
      <c r="E1035" s="14" t="s">
        <v>6502</v>
      </c>
      <c r="F1035" s="14" t="s">
        <v>6506</v>
      </c>
      <c r="G1035" s="14" t="s">
        <v>46</v>
      </c>
      <c r="H1035" s="14">
        <v>24</v>
      </c>
      <c r="I1035" s="13" t="str" cm="1">
        <f t="array" ref="I1035">_xlfn.IFS(
  OR(ISBLANK(A1035),ISBLANK(B1035),ISBLANK(D1035),ISBLANK(E1035),ISBLANK(H1035)),"Missing Value",
  D1035&lt;0,"Review – Out of Range (Claim Amount)",
  H1035&lt;0,"Review – Out of Range (Days to Process)",
  TRUE,"OK"
)</f>
        <v>OK</v>
      </c>
    </row>
    <row r="1036" spans="1:9" ht="16.8" x14ac:dyDescent="0.3">
      <c r="A1036" s="11" t="s">
        <v>7543</v>
      </c>
      <c r="B1036" s="11" t="s">
        <v>5239</v>
      </c>
      <c r="C1036" s="12">
        <v>44462</v>
      </c>
      <c r="D1036" s="11">
        <v>463004.51</v>
      </c>
      <c r="E1036" s="11" t="s">
        <v>6502</v>
      </c>
      <c r="F1036" s="11" t="s">
        <v>6506</v>
      </c>
      <c r="G1036" s="11" t="s">
        <v>45</v>
      </c>
      <c r="H1036" s="11">
        <v>54</v>
      </c>
      <c r="I1036" s="13" t="str" cm="1">
        <f t="array" ref="I1036">_xlfn.IFS(
  OR(ISBLANK(A1036),ISBLANK(B1036),ISBLANK(D1036),ISBLANK(E1036),ISBLANK(H1036)),"Missing Value",
  D1036&lt;0,"Review – Out of Range (Claim Amount)",
  H1036&lt;0,"Review – Out of Range (Days to Process)",
  TRUE,"OK"
)</f>
        <v>OK</v>
      </c>
    </row>
    <row r="1037" spans="1:9" ht="16.8" x14ac:dyDescent="0.3">
      <c r="A1037" s="14" t="s">
        <v>7544</v>
      </c>
      <c r="B1037" s="14" t="s">
        <v>3783</v>
      </c>
      <c r="C1037" s="15">
        <v>45337</v>
      </c>
      <c r="D1037" s="14">
        <v>187053.97</v>
      </c>
      <c r="E1037" s="14" t="s">
        <v>6505</v>
      </c>
      <c r="F1037" s="14" t="s">
        <v>6506</v>
      </c>
      <c r="G1037" s="14" t="s">
        <v>46</v>
      </c>
      <c r="H1037" s="14">
        <v>28</v>
      </c>
      <c r="I1037" s="13" t="str" cm="1">
        <f t="array" ref="I1037">_xlfn.IFS(
  OR(ISBLANK(A1037),ISBLANK(B1037),ISBLANK(D1037),ISBLANK(E1037),ISBLANK(H1037)),"Missing Value",
  D1037&lt;0,"Review – Out of Range (Claim Amount)",
  H1037&lt;0,"Review – Out of Range (Days to Process)",
  TRUE,"OK"
)</f>
        <v>OK</v>
      </c>
    </row>
    <row r="1038" spans="1:9" ht="16.8" x14ac:dyDescent="0.3">
      <c r="A1038" s="11" t="s">
        <v>7545</v>
      </c>
      <c r="B1038" s="11" t="s">
        <v>3460</v>
      </c>
      <c r="C1038" s="12">
        <v>45247</v>
      </c>
      <c r="D1038" s="11">
        <v>127362.93</v>
      </c>
      <c r="E1038" s="11" t="s">
        <v>6505</v>
      </c>
      <c r="F1038" s="11" t="s">
        <v>6506</v>
      </c>
      <c r="G1038" s="11" t="s">
        <v>46</v>
      </c>
      <c r="H1038" s="11">
        <v>11</v>
      </c>
      <c r="I1038" s="13" t="str" cm="1">
        <f t="array" ref="I1038">_xlfn.IFS(
  OR(ISBLANK(A1038),ISBLANK(B1038),ISBLANK(D1038),ISBLANK(E1038),ISBLANK(H1038)),"Missing Value",
  D1038&lt;0,"Review – Out of Range (Claim Amount)",
  H1038&lt;0,"Review – Out of Range (Days to Process)",
  TRUE,"OK"
)</f>
        <v>OK</v>
      </c>
    </row>
    <row r="1039" spans="1:9" ht="16.8" x14ac:dyDescent="0.3">
      <c r="A1039" s="14" t="s">
        <v>7546</v>
      </c>
      <c r="B1039" s="14" t="s">
        <v>4908</v>
      </c>
      <c r="C1039" s="15">
        <v>45571</v>
      </c>
      <c r="D1039" s="14">
        <v>30443.82</v>
      </c>
      <c r="E1039" s="14" t="s">
        <v>6508</v>
      </c>
      <c r="F1039" s="14" t="s">
        <v>6506</v>
      </c>
      <c r="G1039" s="14" t="s">
        <v>46</v>
      </c>
      <c r="H1039" s="14">
        <v>16</v>
      </c>
      <c r="I1039" s="13" t="str" cm="1">
        <f t="array" ref="I1039">_xlfn.IFS(
  OR(ISBLANK(A1039),ISBLANK(B1039),ISBLANK(D1039),ISBLANK(E1039),ISBLANK(H1039)),"Missing Value",
  D1039&lt;0,"Review – Out of Range (Claim Amount)",
  H1039&lt;0,"Review – Out of Range (Days to Process)",
  TRUE,"OK"
)</f>
        <v>OK</v>
      </c>
    </row>
    <row r="1040" spans="1:9" ht="16.8" x14ac:dyDescent="0.3">
      <c r="A1040" s="11" t="s">
        <v>7547</v>
      </c>
      <c r="B1040" s="11" t="s">
        <v>6368</v>
      </c>
      <c r="C1040" s="12">
        <v>44799</v>
      </c>
      <c r="D1040" s="11">
        <v>460886.5</v>
      </c>
      <c r="E1040" s="11" t="s">
        <v>6502</v>
      </c>
      <c r="F1040" s="11" t="s">
        <v>6506</v>
      </c>
      <c r="G1040" s="11" t="s">
        <v>45</v>
      </c>
      <c r="H1040" s="11">
        <v>45</v>
      </c>
      <c r="I1040" s="13" t="str" cm="1">
        <f t="array" ref="I1040">_xlfn.IFS(
  OR(ISBLANK(A1040),ISBLANK(B1040),ISBLANK(D1040),ISBLANK(E1040),ISBLANK(H1040)),"Missing Value",
  D1040&lt;0,"Review – Out of Range (Claim Amount)",
  H1040&lt;0,"Review – Out of Range (Days to Process)",
  TRUE,"OK"
)</f>
        <v>OK</v>
      </c>
    </row>
    <row r="1041" spans="1:9" ht="16.8" x14ac:dyDescent="0.3">
      <c r="A1041" s="14" t="s">
        <v>7548</v>
      </c>
      <c r="B1041" s="14" t="s">
        <v>4593</v>
      </c>
      <c r="C1041" s="15">
        <v>45320</v>
      </c>
      <c r="D1041" s="14">
        <v>406045.54</v>
      </c>
      <c r="E1041" s="14" t="s">
        <v>6508</v>
      </c>
      <c r="F1041" s="14" t="s">
        <v>6511</v>
      </c>
      <c r="G1041" s="14" t="s">
        <v>46</v>
      </c>
      <c r="H1041" s="14">
        <v>51</v>
      </c>
      <c r="I1041" s="13" t="str" cm="1">
        <f t="array" ref="I1041">_xlfn.IFS(
  OR(ISBLANK(A1041),ISBLANK(B1041),ISBLANK(D1041),ISBLANK(E1041),ISBLANK(H1041)),"Missing Value",
  D1041&lt;0,"Review – Out of Range (Claim Amount)",
  H1041&lt;0,"Review – Out of Range (Days to Process)",
  TRUE,"OK"
)</f>
        <v>OK</v>
      </c>
    </row>
    <row r="1042" spans="1:9" ht="16.8" x14ac:dyDescent="0.3">
      <c r="A1042" s="11" t="s">
        <v>7549</v>
      </c>
      <c r="B1042" s="11" t="s">
        <v>4012</v>
      </c>
      <c r="C1042" s="12">
        <v>45180</v>
      </c>
      <c r="D1042" s="11">
        <v>21198.080000000002</v>
      </c>
      <c r="E1042" s="11" t="s">
        <v>6508</v>
      </c>
      <c r="F1042" s="11" t="s">
        <v>6516</v>
      </c>
      <c r="G1042" s="11" t="s">
        <v>45</v>
      </c>
      <c r="H1042" s="11">
        <v>14</v>
      </c>
      <c r="I1042" s="13" t="str" cm="1">
        <f t="array" ref="I1042">_xlfn.IFS(
  OR(ISBLANK(A1042),ISBLANK(B1042),ISBLANK(D1042),ISBLANK(E1042),ISBLANK(H1042)),"Missing Value",
  D1042&lt;0,"Review – Out of Range (Claim Amount)",
  H1042&lt;0,"Review – Out of Range (Days to Process)",
  TRUE,"OK"
)</f>
        <v>OK</v>
      </c>
    </row>
    <row r="1043" spans="1:9" ht="16.8" x14ac:dyDescent="0.3">
      <c r="A1043" s="14" t="s">
        <v>7550</v>
      </c>
      <c r="B1043" s="14" t="s">
        <v>5106</v>
      </c>
      <c r="C1043" s="15">
        <v>45123</v>
      </c>
      <c r="D1043" s="14">
        <v>343595.18</v>
      </c>
      <c r="E1043" s="14" t="s">
        <v>6508</v>
      </c>
      <c r="F1043" s="14" t="s">
        <v>6516</v>
      </c>
      <c r="G1043" s="14" t="s">
        <v>45</v>
      </c>
      <c r="H1043" s="14">
        <v>57</v>
      </c>
      <c r="I1043" s="13" t="str" cm="1">
        <f t="array" ref="I1043">_xlfn.IFS(
  OR(ISBLANK(A1043),ISBLANK(B1043),ISBLANK(D1043),ISBLANK(E1043),ISBLANK(H1043)),"Missing Value",
  D1043&lt;0,"Review – Out of Range (Claim Amount)",
  H1043&lt;0,"Review – Out of Range (Days to Process)",
  TRUE,"OK"
)</f>
        <v>OK</v>
      </c>
    </row>
    <row r="1044" spans="1:9" ht="16.8" x14ac:dyDescent="0.3">
      <c r="A1044" s="11" t="s">
        <v>7551</v>
      </c>
      <c r="B1044" s="11" t="s">
        <v>3448</v>
      </c>
      <c r="C1044" s="12">
        <v>45532</v>
      </c>
      <c r="D1044" s="11">
        <v>335223.87</v>
      </c>
      <c r="E1044" s="11" t="s">
        <v>6508</v>
      </c>
      <c r="F1044" s="11" t="s">
        <v>6503</v>
      </c>
      <c r="G1044" s="11" t="s">
        <v>45</v>
      </c>
      <c r="H1044" s="11">
        <v>31</v>
      </c>
      <c r="I1044" s="13" t="str" cm="1">
        <f t="array" ref="I1044">_xlfn.IFS(
  OR(ISBLANK(A1044),ISBLANK(B1044),ISBLANK(D1044),ISBLANK(E1044),ISBLANK(H1044)),"Missing Value",
  D1044&lt;0,"Review – Out of Range (Claim Amount)",
  H1044&lt;0,"Review – Out of Range (Days to Process)",
  TRUE,"OK"
)</f>
        <v>OK</v>
      </c>
    </row>
    <row r="1045" spans="1:9" ht="16.8" x14ac:dyDescent="0.3">
      <c r="A1045" s="14" t="s">
        <v>7552</v>
      </c>
      <c r="B1045" s="14" t="s">
        <v>4743</v>
      </c>
      <c r="C1045" s="15">
        <v>44826</v>
      </c>
      <c r="D1045" s="14">
        <v>245273.26</v>
      </c>
      <c r="E1045" s="14" t="s">
        <v>6508</v>
      </c>
      <c r="F1045" s="14" t="s">
        <v>6516</v>
      </c>
      <c r="G1045" s="14" t="s">
        <v>46</v>
      </c>
      <c r="H1045" s="14">
        <v>38</v>
      </c>
      <c r="I1045" s="13" t="str" cm="1">
        <f t="array" ref="I1045">_xlfn.IFS(
  OR(ISBLANK(A1045),ISBLANK(B1045),ISBLANK(D1045),ISBLANK(E1045),ISBLANK(H1045)),"Missing Value",
  D1045&lt;0,"Review – Out of Range (Claim Amount)",
  H1045&lt;0,"Review – Out of Range (Days to Process)",
  TRUE,"OK"
)</f>
        <v>OK</v>
      </c>
    </row>
    <row r="1046" spans="1:9" ht="16.8" x14ac:dyDescent="0.3">
      <c r="A1046" s="11" t="s">
        <v>7553</v>
      </c>
      <c r="B1046" s="11" t="s">
        <v>5111</v>
      </c>
      <c r="C1046" s="12">
        <v>45188</v>
      </c>
      <c r="D1046" s="11">
        <v>163429.96</v>
      </c>
      <c r="E1046" s="11" t="s">
        <v>6508</v>
      </c>
      <c r="F1046" s="11" t="s">
        <v>6511</v>
      </c>
      <c r="G1046" s="11" t="s">
        <v>45</v>
      </c>
      <c r="H1046" s="11">
        <v>29</v>
      </c>
      <c r="I1046" s="13" t="str" cm="1">
        <f t="array" ref="I1046">_xlfn.IFS(
  OR(ISBLANK(A1046),ISBLANK(B1046),ISBLANK(D1046),ISBLANK(E1046),ISBLANK(H1046)),"Missing Value",
  D1046&lt;0,"Review – Out of Range (Claim Amount)",
  H1046&lt;0,"Review – Out of Range (Days to Process)",
  TRUE,"OK"
)</f>
        <v>OK</v>
      </c>
    </row>
    <row r="1047" spans="1:9" ht="16.8" x14ac:dyDescent="0.3">
      <c r="A1047" s="14" t="s">
        <v>7554</v>
      </c>
      <c r="B1047" s="14" t="s">
        <v>6221</v>
      </c>
      <c r="C1047" s="15">
        <v>45324</v>
      </c>
      <c r="D1047" s="14">
        <v>416752.55</v>
      </c>
      <c r="E1047" s="14" t="s">
        <v>6505</v>
      </c>
      <c r="F1047" s="14" t="s">
        <v>6511</v>
      </c>
      <c r="G1047" s="14" t="s">
        <v>46</v>
      </c>
      <c r="H1047" s="14">
        <v>7</v>
      </c>
      <c r="I1047" s="13" t="str" cm="1">
        <f t="array" ref="I1047">_xlfn.IFS(
  OR(ISBLANK(A1047),ISBLANK(B1047),ISBLANK(D1047),ISBLANK(E1047),ISBLANK(H1047)),"Missing Value",
  D1047&lt;0,"Review – Out of Range (Claim Amount)",
  H1047&lt;0,"Review – Out of Range (Days to Process)",
  TRUE,"OK"
)</f>
        <v>OK</v>
      </c>
    </row>
    <row r="1048" spans="1:9" ht="16.8" x14ac:dyDescent="0.3">
      <c r="A1048" s="11" t="s">
        <v>7555</v>
      </c>
      <c r="B1048" s="11" t="s">
        <v>5119</v>
      </c>
      <c r="C1048" s="12">
        <v>44629</v>
      </c>
      <c r="D1048" s="11">
        <v>385727.6</v>
      </c>
      <c r="E1048" s="11" t="s">
        <v>6505</v>
      </c>
      <c r="F1048" s="11" t="s">
        <v>6506</v>
      </c>
      <c r="G1048" s="11" t="s">
        <v>46</v>
      </c>
      <c r="H1048" s="11">
        <v>54</v>
      </c>
      <c r="I1048" s="13" t="str" cm="1">
        <f t="array" ref="I1048">_xlfn.IFS(
  OR(ISBLANK(A1048),ISBLANK(B1048),ISBLANK(D1048),ISBLANK(E1048),ISBLANK(H1048)),"Missing Value",
  D1048&lt;0,"Review – Out of Range (Claim Amount)",
  H1048&lt;0,"Review – Out of Range (Days to Process)",
  TRUE,"OK"
)</f>
        <v>OK</v>
      </c>
    </row>
    <row r="1049" spans="1:9" ht="16.8" x14ac:dyDescent="0.3">
      <c r="A1049" s="14" t="s">
        <v>7556</v>
      </c>
      <c r="B1049" s="14" t="s">
        <v>4798</v>
      </c>
      <c r="C1049" s="15">
        <v>45528</v>
      </c>
      <c r="D1049" s="14">
        <v>402755.87</v>
      </c>
      <c r="E1049" s="14" t="s">
        <v>6502</v>
      </c>
      <c r="F1049" s="14" t="s">
        <v>6506</v>
      </c>
      <c r="G1049" s="14" t="s">
        <v>45</v>
      </c>
      <c r="H1049" s="14">
        <v>43</v>
      </c>
      <c r="I1049" s="13" t="str" cm="1">
        <f t="array" ref="I1049">_xlfn.IFS(
  OR(ISBLANK(A1049),ISBLANK(B1049),ISBLANK(D1049),ISBLANK(E1049),ISBLANK(H1049)),"Missing Value",
  D1049&lt;0,"Review – Out of Range (Claim Amount)",
  H1049&lt;0,"Review – Out of Range (Days to Process)",
  TRUE,"OK"
)</f>
        <v>OK</v>
      </c>
    </row>
    <row r="1050" spans="1:9" ht="16.8" x14ac:dyDescent="0.3">
      <c r="A1050" s="11" t="s">
        <v>7557</v>
      </c>
      <c r="B1050" s="11" t="s">
        <v>6236</v>
      </c>
      <c r="C1050" s="12">
        <v>45455</v>
      </c>
      <c r="D1050" s="11">
        <v>421411.19</v>
      </c>
      <c r="E1050" s="11" t="s">
        <v>6502</v>
      </c>
      <c r="F1050" s="11" t="s">
        <v>6503</v>
      </c>
      <c r="G1050" s="11" t="s">
        <v>46</v>
      </c>
      <c r="H1050" s="11">
        <v>23</v>
      </c>
      <c r="I1050" s="13" t="str" cm="1">
        <f t="array" ref="I1050">_xlfn.IFS(
  OR(ISBLANK(A1050),ISBLANK(B1050),ISBLANK(D1050),ISBLANK(E1050),ISBLANK(H1050)),"Missing Value",
  D1050&lt;0,"Review – Out of Range (Claim Amount)",
  H1050&lt;0,"Review – Out of Range (Days to Process)",
  TRUE,"OK"
)</f>
        <v>OK</v>
      </c>
    </row>
    <row r="1051" spans="1:9" ht="16.8" x14ac:dyDescent="0.3">
      <c r="A1051" s="14" t="s">
        <v>7558</v>
      </c>
      <c r="B1051" s="14" t="s">
        <v>5811</v>
      </c>
      <c r="C1051" s="15">
        <v>45370</v>
      </c>
      <c r="D1051" s="14">
        <v>70209.919999999998</v>
      </c>
      <c r="E1051" s="14" t="s">
        <v>6505</v>
      </c>
      <c r="F1051" s="14" t="s">
        <v>6509</v>
      </c>
      <c r="G1051" s="14" t="s">
        <v>46</v>
      </c>
      <c r="H1051" s="14">
        <v>2</v>
      </c>
      <c r="I1051" s="13" t="str" cm="1">
        <f t="array" ref="I1051">_xlfn.IFS(
  OR(ISBLANK(A1051),ISBLANK(B1051),ISBLANK(D1051),ISBLANK(E1051),ISBLANK(H1051)),"Missing Value",
  D1051&lt;0,"Review – Out of Range (Claim Amount)",
  H1051&lt;0,"Review – Out of Range (Days to Process)",
  TRUE,"OK"
)</f>
        <v>OK</v>
      </c>
    </row>
    <row r="1052" spans="1:9" ht="16.8" x14ac:dyDescent="0.3">
      <c r="A1052" s="11" t="s">
        <v>7559</v>
      </c>
      <c r="B1052" s="11" t="s">
        <v>5014</v>
      </c>
      <c r="C1052" s="12">
        <v>45482</v>
      </c>
      <c r="D1052" s="11">
        <v>316872.07</v>
      </c>
      <c r="E1052" s="11" t="s">
        <v>6508</v>
      </c>
      <c r="F1052" s="11" t="s">
        <v>6511</v>
      </c>
      <c r="G1052" s="11" t="s">
        <v>46</v>
      </c>
      <c r="H1052" s="11">
        <v>39</v>
      </c>
      <c r="I1052" s="13" t="str" cm="1">
        <f t="array" ref="I1052">_xlfn.IFS(
  OR(ISBLANK(A1052),ISBLANK(B1052),ISBLANK(D1052),ISBLANK(E1052),ISBLANK(H1052)),"Missing Value",
  D1052&lt;0,"Review – Out of Range (Claim Amount)",
  H1052&lt;0,"Review – Out of Range (Days to Process)",
  TRUE,"OK"
)</f>
        <v>OK</v>
      </c>
    </row>
    <row r="1053" spans="1:9" ht="16.8" x14ac:dyDescent="0.3">
      <c r="A1053" s="14" t="s">
        <v>7560</v>
      </c>
      <c r="B1053" s="14" t="s">
        <v>4926</v>
      </c>
      <c r="C1053" s="15">
        <v>44851</v>
      </c>
      <c r="D1053" s="14">
        <v>70399.37</v>
      </c>
      <c r="E1053" s="14" t="s">
        <v>6505</v>
      </c>
      <c r="F1053" s="14" t="s">
        <v>6511</v>
      </c>
      <c r="G1053" s="14" t="s">
        <v>46</v>
      </c>
      <c r="H1053" s="14">
        <v>26</v>
      </c>
      <c r="I1053" s="13" t="str" cm="1">
        <f t="array" ref="I1053">_xlfn.IFS(
  OR(ISBLANK(A1053),ISBLANK(B1053),ISBLANK(D1053),ISBLANK(E1053),ISBLANK(H1053)),"Missing Value",
  D1053&lt;0,"Review – Out of Range (Claim Amount)",
  H1053&lt;0,"Review – Out of Range (Days to Process)",
  TRUE,"OK"
)</f>
        <v>OK</v>
      </c>
    </row>
    <row r="1054" spans="1:9" ht="16.8" x14ac:dyDescent="0.3">
      <c r="A1054" s="11" t="s">
        <v>7561</v>
      </c>
      <c r="B1054" s="11" t="s">
        <v>3987</v>
      </c>
      <c r="C1054" s="12">
        <v>44425</v>
      </c>
      <c r="D1054" s="11">
        <v>233666.49</v>
      </c>
      <c r="E1054" s="11" t="s">
        <v>6505</v>
      </c>
      <c r="F1054" s="11" t="s">
        <v>6506</v>
      </c>
      <c r="G1054" s="11" t="s">
        <v>46</v>
      </c>
      <c r="H1054" s="11">
        <v>42</v>
      </c>
      <c r="I1054" s="13" t="str" cm="1">
        <f t="array" ref="I1054">_xlfn.IFS(
  OR(ISBLANK(A1054),ISBLANK(B1054),ISBLANK(D1054),ISBLANK(E1054),ISBLANK(H1054)),"Missing Value",
  D1054&lt;0,"Review – Out of Range (Claim Amount)",
  H1054&lt;0,"Review – Out of Range (Days to Process)",
  TRUE,"OK"
)</f>
        <v>OK</v>
      </c>
    </row>
    <row r="1055" spans="1:9" ht="16.8" x14ac:dyDescent="0.3">
      <c r="A1055" s="14" t="s">
        <v>7562</v>
      </c>
      <c r="B1055" s="14" t="s">
        <v>4847</v>
      </c>
      <c r="C1055" s="15">
        <v>45155</v>
      </c>
      <c r="D1055" s="14">
        <v>77261.5</v>
      </c>
      <c r="E1055" s="14" t="s">
        <v>6505</v>
      </c>
      <c r="F1055" s="14" t="s">
        <v>6516</v>
      </c>
      <c r="G1055" s="14" t="s">
        <v>45</v>
      </c>
      <c r="H1055" s="14">
        <v>23</v>
      </c>
      <c r="I1055" s="13" t="str" cm="1">
        <f t="array" ref="I1055">_xlfn.IFS(
  OR(ISBLANK(A1055),ISBLANK(B1055),ISBLANK(D1055),ISBLANK(E1055),ISBLANK(H1055)),"Missing Value",
  D1055&lt;0,"Review – Out of Range (Claim Amount)",
  H1055&lt;0,"Review – Out of Range (Days to Process)",
  TRUE,"OK"
)</f>
        <v>OK</v>
      </c>
    </row>
    <row r="1056" spans="1:9" ht="16.8" x14ac:dyDescent="0.3">
      <c r="A1056" s="11" t="s">
        <v>7563</v>
      </c>
      <c r="B1056" s="11" t="s">
        <v>5957</v>
      </c>
      <c r="C1056" s="12">
        <v>45310</v>
      </c>
      <c r="D1056" s="11">
        <v>181111.66</v>
      </c>
      <c r="E1056" s="11" t="s">
        <v>6505</v>
      </c>
      <c r="F1056" s="11" t="s">
        <v>6506</v>
      </c>
      <c r="G1056" s="11" t="s">
        <v>45</v>
      </c>
      <c r="H1056" s="11">
        <v>5</v>
      </c>
      <c r="I1056" s="13" t="str" cm="1">
        <f t="array" ref="I1056">_xlfn.IFS(
  OR(ISBLANK(A1056),ISBLANK(B1056),ISBLANK(D1056),ISBLANK(E1056),ISBLANK(H1056)),"Missing Value",
  D1056&lt;0,"Review – Out of Range (Claim Amount)",
  H1056&lt;0,"Review – Out of Range (Days to Process)",
  TRUE,"OK"
)</f>
        <v>OK</v>
      </c>
    </row>
    <row r="1057" spans="1:9" ht="16.8" x14ac:dyDescent="0.3">
      <c r="A1057" s="14" t="s">
        <v>7564</v>
      </c>
      <c r="B1057" s="14" t="s">
        <v>3666</v>
      </c>
      <c r="C1057" s="15">
        <v>45431</v>
      </c>
      <c r="D1057" s="14">
        <v>33122.94</v>
      </c>
      <c r="E1057" s="14" t="s">
        <v>6505</v>
      </c>
      <c r="F1057" s="14" t="s">
        <v>6509</v>
      </c>
      <c r="G1057" s="14" t="s">
        <v>45</v>
      </c>
      <c r="H1057" s="14">
        <v>7</v>
      </c>
      <c r="I1057" s="13" t="str" cm="1">
        <f t="array" ref="I1057">_xlfn.IFS(
  OR(ISBLANK(A1057),ISBLANK(B1057),ISBLANK(D1057),ISBLANK(E1057),ISBLANK(H1057)),"Missing Value",
  D1057&lt;0,"Review – Out of Range (Claim Amount)",
  H1057&lt;0,"Review – Out of Range (Days to Process)",
  TRUE,"OK"
)</f>
        <v>OK</v>
      </c>
    </row>
    <row r="1058" spans="1:9" ht="16.8" x14ac:dyDescent="0.3">
      <c r="A1058" s="11" t="s">
        <v>7565</v>
      </c>
      <c r="B1058" s="11" t="s">
        <v>5900</v>
      </c>
      <c r="C1058" s="12">
        <v>45416</v>
      </c>
      <c r="D1058" s="11">
        <v>235128.7</v>
      </c>
      <c r="E1058" s="11" t="s">
        <v>6508</v>
      </c>
      <c r="F1058" s="11" t="s">
        <v>6503</v>
      </c>
      <c r="G1058" s="11" t="s">
        <v>45</v>
      </c>
      <c r="H1058" s="11">
        <v>39</v>
      </c>
      <c r="I1058" s="13" t="str" cm="1">
        <f t="array" ref="I1058">_xlfn.IFS(
  OR(ISBLANK(A1058),ISBLANK(B1058),ISBLANK(D1058),ISBLANK(E1058),ISBLANK(H1058)),"Missing Value",
  D1058&lt;0,"Review – Out of Range (Claim Amount)",
  H1058&lt;0,"Review – Out of Range (Days to Process)",
  TRUE,"OK"
)</f>
        <v>OK</v>
      </c>
    </row>
    <row r="1059" spans="1:9" ht="16.8" x14ac:dyDescent="0.3">
      <c r="A1059" s="14" t="s">
        <v>7566</v>
      </c>
      <c r="B1059" s="14" t="s">
        <v>5701</v>
      </c>
      <c r="C1059" s="15">
        <v>45167</v>
      </c>
      <c r="D1059" s="14">
        <v>346442.46</v>
      </c>
      <c r="E1059" s="14" t="s">
        <v>6502</v>
      </c>
      <c r="F1059" s="14" t="s">
        <v>6511</v>
      </c>
      <c r="G1059" s="14" t="s">
        <v>45</v>
      </c>
      <c r="H1059" s="14">
        <v>5</v>
      </c>
      <c r="I1059" s="13" t="str" cm="1">
        <f t="array" ref="I1059">_xlfn.IFS(
  OR(ISBLANK(A1059),ISBLANK(B1059),ISBLANK(D1059),ISBLANK(E1059),ISBLANK(H1059)),"Missing Value",
  D1059&lt;0,"Review – Out of Range (Claim Amount)",
  H1059&lt;0,"Review – Out of Range (Days to Process)",
  TRUE,"OK"
)</f>
        <v>OK</v>
      </c>
    </row>
    <row r="1060" spans="1:9" ht="16.8" x14ac:dyDescent="0.3">
      <c r="A1060" s="11" t="s">
        <v>7567</v>
      </c>
      <c r="B1060" s="11" t="s">
        <v>4794</v>
      </c>
      <c r="C1060" s="12">
        <v>45406</v>
      </c>
      <c r="D1060" s="11">
        <v>26983.11</v>
      </c>
      <c r="E1060" s="11" t="s">
        <v>6505</v>
      </c>
      <c r="F1060" s="11" t="s">
        <v>6503</v>
      </c>
      <c r="G1060" s="11" t="s">
        <v>46</v>
      </c>
      <c r="H1060" s="11">
        <v>31</v>
      </c>
      <c r="I1060" s="13" t="str" cm="1">
        <f t="array" ref="I1060">_xlfn.IFS(
  OR(ISBLANK(A1060),ISBLANK(B1060),ISBLANK(D1060),ISBLANK(E1060),ISBLANK(H1060)),"Missing Value",
  D1060&lt;0,"Review – Out of Range (Claim Amount)",
  H1060&lt;0,"Review – Out of Range (Days to Process)",
  TRUE,"OK"
)</f>
        <v>OK</v>
      </c>
    </row>
    <row r="1061" spans="1:9" ht="16.8" x14ac:dyDescent="0.3">
      <c r="A1061" s="14" t="s">
        <v>7568</v>
      </c>
      <c r="B1061" s="14" t="s">
        <v>5878</v>
      </c>
      <c r="C1061" s="15">
        <v>44880</v>
      </c>
      <c r="D1061" s="14">
        <v>24126.7</v>
      </c>
      <c r="E1061" s="14" t="s">
        <v>6508</v>
      </c>
      <c r="F1061" s="14" t="s">
        <v>6511</v>
      </c>
      <c r="G1061" s="14" t="s">
        <v>45</v>
      </c>
      <c r="H1061" s="14">
        <v>47</v>
      </c>
      <c r="I1061" s="13" t="str" cm="1">
        <f t="array" ref="I1061">_xlfn.IFS(
  OR(ISBLANK(A1061),ISBLANK(B1061),ISBLANK(D1061),ISBLANK(E1061),ISBLANK(H1061)),"Missing Value",
  D1061&lt;0,"Review – Out of Range (Claim Amount)",
  H1061&lt;0,"Review – Out of Range (Days to Process)",
  TRUE,"OK"
)</f>
        <v>OK</v>
      </c>
    </row>
    <row r="1062" spans="1:9" ht="16.8" x14ac:dyDescent="0.3">
      <c r="A1062" s="11" t="s">
        <v>7569</v>
      </c>
      <c r="B1062" s="11" t="s">
        <v>6443</v>
      </c>
      <c r="C1062" s="12">
        <v>45614</v>
      </c>
      <c r="D1062" s="11">
        <v>281160.61</v>
      </c>
      <c r="E1062" s="11" t="s">
        <v>6505</v>
      </c>
      <c r="F1062" s="11" t="s">
        <v>6509</v>
      </c>
      <c r="G1062" s="11" t="s">
        <v>45</v>
      </c>
      <c r="H1062" s="11">
        <v>50</v>
      </c>
      <c r="I1062" s="13" t="str" cm="1">
        <f t="array" ref="I1062">_xlfn.IFS(
  OR(ISBLANK(A1062),ISBLANK(B1062),ISBLANK(D1062),ISBLANK(E1062),ISBLANK(H1062)),"Missing Value",
  D1062&lt;0,"Review – Out of Range (Claim Amount)",
  H1062&lt;0,"Review – Out of Range (Days to Process)",
  TRUE,"OK"
)</f>
        <v>OK</v>
      </c>
    </row>
    <row r="1063" spans="1:9" ht="16.8" x14ac:dyDescent="0.3">
      <c r="A1063" s="14" t="s">
        <v>7570</v>
      </c>
      <c r="B1063" s="14" t="s">
        <v>5061</v>
      </c>
      <c r="C1063" s="15">
        <v>45402</v>
      </c>
      <c r="D1063" s="14">
        <v>201329.38</v>
      </c>
      <c r="E1063" s="14" t="s">
        <v>6505</v>
      </c>
      <c r="F1063" s="14" t="s">
        <v>6516</v>
      </c>
      <c r="G1063" s="14" t="s">
        <v>45</v>
      </c>
      <c r="H1063" s="14">
        <v>4</v>
      </c>
      <c r="I1063" s="13" t="str" cm="1">
        <f t="array" ref="I1063">_xlfn.IFS(
  OR(ISBLANK(A1063),ISBLANK(B1063),ISBLANK(D1063),ISBLANK(E1063),ISBLANK(H1063)),"Missing Value",
  D1063&lt;0,"Review – Out of Range (Claim Amount)",
  H1063&lt;0,"Review – Out of Range (Days to Process)",
  TRUE,"OK"
)</f>
        <v>OK</v>
      </c>
    </row>
    <row r="1064" spans="1:9" ht="16.8" x14ac:dyDescent="0.3">
      <c r="A1064" s="11" t="s">
        <v>7571</v>
      </c>
      <c r="B1064" s="11" t="s">
        <v>4024</v>
      </c>
      <c r="C1064" s="12">
        <v>45573</v>
      </c>
      <c r="D1064" s="11">
        <v>281423.03000000003</v>
      </c>
      <c r="E1064" s="11" t="s">
        <v>6508</v>
      </c>
      <c r="F1064" s="11" t="s">
        <v>6503</v>
      </c>
      <c r="G1064" s="11" t="s">
        <v>45</v>
      </c>
      <c r="H1064" s="11">
        <v>34</v>
      </c>
      <c r="I1064" s="13" t="str" cm="1">
        <f t="array" ref="I1064">_xlfn.IFS(
  OR(ISBLANK(A1064),ISBLANK(B1064),ISBLANK(D1064),ISBLANK(E1064),ISBLANK(H1064)),"Missing Value",
  D1064&lt;0,"Review – Out of Range (Claim Amount)",
  H1064&lt;0,"Review – Out of Range (Days to Process)",
  TRUE,"OK"
)</f>
        <v>OK</v>
      </c>
    </row>
    <row r="1065" spans="1:9" ht="16.8" x14ac:dyDescent="0.3">
      <c r="A1065" s="14" t="s">
        <v>7572</v>
      </c>
      <c r="B1065" s="14" t="s">
        <v>5240</v>
      </c>
      <c r="C1065" s="15">
        <v>44959</v>
      </c>
      <c r="D1065" s="14">
        <v>324761.48</v>
      </c>
      <c r="E1065" s="14" t="s">
        <v>6505</v>
      </c>
      <c r="F1065" s="14" t="s">
        <v>6506</v>
      </c>
      <c r="G1065" s="14" t="s">
        <v>45</v>
      </c>
      <c r="H1065" s="14">
        <v>48</v>
      </c>
      <c r="I1065" s="13" t="str" cm="1">
        <f t="array" ref="I1065">_xlfn.IFS(
  OR(ISBLANK(A1065),ISBLANK(B1065),ISBLANK(D1065),ISBLANK(E1065),ISBLANK(H1065)),"Missing Value",
  D1065&lt;0,"Review – Out of Range (Claim Amount)",
  H1065&lt;0,"Review – Out of Range (Days to Process)",
  TRUE,"OK"
)</f>
        <v>OK</v>
      </c>
    </row>
    <row r="1066" spans="1:9" ht="16.8" x14ac:dyDescent="0.3">
      <c r="A1066" s="11" t="s">
        <v>7573</v>
      </c>
      <c r="B1066" s="11" t="s">
        <v>4873</v>
      </c>
      <c r="C1066" s="12">
        <v>45161</v>
      </c>
      <c r="D1066" s="11">
        <v>278760.01</v>
      </c>
      <c r="E1066" s="11" t="s">
        <v>6508</v>
      </c>
      <c r="F1066" s="11" t="s">
        <v>6516</v>
      </c>
      <c r="G1066" s="11" t="s">
        <v>46</v>
      </c>
      <c r="H1066" s="11">
        <v>24</v>
      </c>
      <c r="I1066" s="13" t="str" cm="1">
        <f t="array" ref="I1066">_xlfn.IFS(
  OR(ISBLANK(A1066),ISBLANK(B1066),ISBLANK(D1066),ISBLANK(E1066),ISBLANK(H1066)),"Missing Value",
  D1066&lt;0,"Review – Out of Range (Claim Amount)",
  H1066&lt;0,"Review – Out of Range (Days to Process)",
  TRUE,"OK"
)</f>
        <v>OK</v>
      </c>
    </row>
    <row r="1067" spans="1:9" ht="16.8" x14ac:dyDescent="0.3">
      <c r="A1067" s="14" t="s">
        <v>7574</v>
      </c>
      <c r="B1067" s="14" t="s">
        <v>5659</v>
      </c>
      <c r="C1067" s="15">
        <v>45174</v>
      </c>
      <c r="D1067" s="14">
        <v>187163.61</v>
      </c>
      <c r="E1067" s="14" t="s">
        <v>6508</v>
      </c>
      <c r="F1067" s="14" t="s">
        <v>6516</v>
      </c>
      <c r="G1067" s="14" t="s">
        <v>46</v>
      </c>
      <c r="H1067" s="14">
        <v>51</v>
      </c>
      <c r="I1067" s="13" t="str" cm="1">
        <f t="array" ref="I1067">_xlfn.IFS(
  OR(ISBLANK(A1067),ISBLANK(B1067),ISBLANK(D1067),ISBLANK(E1067),ISBLANK(H1067)),"Missing Value",
  D1067&lt;0,"Review – Out of Range (Claim Amount)",
  H1067&lt;0,"Review – Out of Range (Days to Process)",
  TRUE,"OK"
)</f>
        <v>OK</v>
      </c>
    </row>
    <row r="1068" spans="1:9" ht="16.8" x14ac:dyDescent="0.3">
      <c r="A1068" s="11" t="s">
        <v>7575</v>
      </c>
      <c r="B1068" s="11" t="s">
        <v>3548</v>
      </c>
      <c r="C1068" s="12">
        <v>45142</v>
      </c>
      <c r="D1068" s="11">
        <v>125179.67</v>
      </c>
      <c r="E1068" s="11" t="s">
        <v>6508</v>
      </c>
      <c r="F1068" s="11" t="s">
        <v>6506</v>
      </c>
      <c r="G1068" s="11" t="s">
        <v>45</v>
      </c>
      <c r="H1068" s="11">
        <v>35</v>
      </c>
      <c r="I1068" s="13" t="str" cm="1">
        <f t="array" ref="I1068">_xlfn.IFS(
  OR(ISBLANK(A1068),ISBLANK(B1068),ISBLANK(D1068),ISBLANK(E1068),ISBLANK(H1068)),"Missing Value",
  D1068&lt;0,"Review – Out of Range (Claim Amount)",
  H1068&lt;0,"Review – Out of Range (Days to Process)",
  TRUE,"OK"
)</f>
        <v>OK</v>
      </c>
    </row>
    <row r="1069" spans="1:9" ht="16.8" x14ac:dyDescent="0.3">
      <c r="A1069" s="14" t="s">
        <v>7576</v>
      </c>
      <c r="B1069" s="14" t="s">
        <v>3504</v>
      </c>
      <c r="C1069" s="15">
        <v>45163</v>
      </c>
      <c r="D1069" s="14">
        <v>220835.29</v>
      </c>
      <c r="E1069" s="14" t="s">
        <v>6502</v>
      </c>
      <c r="F1069" s="14" t="s">
        <v>6509</v>
      </c>
      <c r="G1069" s="14" t="s">
        <v>46</v>
      </c>
      <c r="H1069" s="14">
        <v>44</v>
      </c>
      <c r="I1069" s="13" t="str" cm="1">
        <f t="array" ref="I1069">_xlfn.IFS(
  OR(ISBLANK(A1069),ISBLANK(B1069),ISBLANK(D1069),ISBLANK(E1069),ISBLANK(H1069)),"Missing Value",
  D1069&lt;0,"Review – Out of Range (Claim Amount)",
  H1069&lt;0,"Review – Out of Range (Days to Process)",
  TRUE,"OK"
)</f>
        <v>OK</v>
      </c>
    </row>
    <row r="1070" spans="1:9" ht="16.8" x14ac:dyDescent="0.3">
      <c r="A1070" s="11" t="s">
        <v>7577</v>
      </c>
      <c r="B1070" s="11" t="s">
        <v>3680</v>
      </c>
      <c r="C1070" s="12">
        <v>45200</v>
      </c>
      <c r="D1070" s="11">
        <v>397082.84</v>
      </c>
      <c r="E1070" s="11" t="s">
        <v>6505</v>
      </c>
      <c r="F1070" s="11" t="s">
        <v>6509</v>
      </c>
      <c r="G1070" s="11" t="s">
        <v>45</v>
      </c>
      <c r="H1070" s="11">
        <v>12</v>
      </c>
      <c r="I1070" s="13" t="str" cm="1">
        <f t="array" ref="I1070">_xlfn.IFS(
  OR(ISBLANK(A1070),ISBLANK(B1070),ISBLANK(D1070),ISBLANK(E1070),ISBLANK(H1070)),"Missing Value",
  D1070&lt;0,"Review – Out of Range (Claim Amount)",
  H1070&lt;0,"Review – Out of Range (Days to Process)",
  TRUE,"OK"
)</f>
        <v>OK</v>
      </c>
    </row>
    <row r="1071" spans="1:9" ht="16.8" x14ac:dyDescent="0.3">
      <c r="A1071" s="14" t="s">
        <v>7578</v>
      </c>
      <c r="B1071" s="14" t="s">
        <v>4949</v>
      </c>
      <c r="C1071" s="15">
        <v>45032</v>
      </c>
      <c r="D1071" s="14">
        <v>387793.07</v>
      </c>
      <c r="E1071" s="14" t="s">
        <v>6508</v>
      </c>
      <c r="F1071" s="14" t="s">
        <v>6503</v>
      </c>
      <c r="G1071" s="14" t="s">
        <v>46</v>
      </c>
      <c r="H1071" s="14">
        <v>26</v>
      </c>
      <c r="I1071" s="13" t="str" cm="1">
        <f t="array" ref="I1071">_xlfn.IFS(
  OR(ISBLANK(A1071),ISBLANK(B1071),ISBLANK(D1071),ISBLANK(E1071),ISBLANK(H1071)),"Missing Value",
  D1071&lt;0,"Review – Out of Range (Claim Amount)",
  H1071&lt;0,"Review – Out of Range (Days to Process)",
  TRUE,"OK"
)</f>
        <v>OK</v>
      </c>
    </row>
    <row r="1072" spans="1:9" ht="16.8" x14ac:dyDescent="0.3">
      <c r="A1072" s="11" t="s">
        <v>7579</v>
      </c>
      <c r="B1072" s="11" t="s">
        <v>4193</v>
      </c>
      <c r="C1072" s="12">
        <v>45636</v>
      </c>
      <c r="D1072" s="11">
        <v>234777.53</v>
      </c>
      <c r="E1072" s="11" t="s">
        <v>6502</v>
      </c>
      <c r="F1072" s="11" t="s">
        <v>6509</v>
      </c>
      <c r="G1072" s="11" t="s">
        <v>45</v>
      </c>
      <c r="H1072" s="11">
        <v>31</v>
      </c>
      <c r="I1072" s="13" t="str" cm="1">
        <f t="array" ref="I1072">_xlfn.IFS(
  OR(ISBLANK(A1072),ISBLANK(B1072),ISBLANK(D1072),ISBLANK(E1072),ISBLANK(H1072)),"Missing Value",
  D1072&lt;0,"Review – Out of Range (Claim Amount)",
  H1072&lt;0,"Review – Out of Range (Days to Process)",
  TRUE,"OK"
)</f>
        <v>OK</v>
      </c>
    </row>
    <row r="1073" spans="1:9" ht="16.8" x14ac:dyDescent="0.3">
      <c r="A1073" s="14" t="s">
        <v>7580</v>
      </c>
      <c r="B1073" s="14" t="s">
        <v>4992</v>
      </c>
      <c r="C1073" s="15">
        <v>45457</v>
      </c>
      <c r="D1073" s="14">
        <v>427117.57</v>
      </c>
      <c r="E1073" s="14" t="s">
        <v>6502</v>
      </c>
      <c r="F1073" s="14" t="s">
        <v>6509</v>
      </c>
      <c r="G1073" s="14" t="s">
        <v>45</v>
      </c>
      <c r="H1073" s="14">
        <v>32</v>
      </c>
      <c r="I1073" s="13" t="str" cm="1">
        <f t="array" ref="I1073">_xlfn.IFS(
  OR(ISBLANK(A1073),ISBLANK(B1073),ISBLANK(D1073),ISBLANK(E1073),ISBLANK(H1073)),"Missing Value",
  D1073&lt;0,"Review – Out of Range (Claim Amount)",
  H1073&lt;0,"Review – Out of Range (Days to Process)",
  TRUE,"OK"
)</f>
        <v>OK</v>
      </c>
    </row>
    <row r="1074" spans="1:9" ht="16.8" x14ac:dyDescent="0.3">
      <c r="A1074" s="11" t="s">
        <v>7581</v>
      </c>
      <c r="B1074" s="11" t="s">
        <v>5118</v>
      </c>
      <c r="C1074" s="12">
        <v>45294</v>
      </c>
      <c r="D1074" s="11">
        <v>486196.52</v>
      </c>
      <c r="E1074" s="11" t="s">
        <v>6508</v>
      </c>
      <c r="F1074" s="11" t="s">
        <v>6509</v>
      </c>
      <c r="G1074" s="11" t="s">
        <v>45</v>
      </c>
      <c r="H1074" s="11">
        <v>34</v>
      </c>
      <c r="I1074" s="13" t="str" cm="1">
        <f t="array" ref="I1074">_xlfn.IFS(
  OR(ISBLANK(A1074),ISBLANK(B1074),ISBLANK(D1074),ISBLANK(E1074),ISBLANK(H1074)),"Missing Value",
  D1074&lt;0,"Review – Out of Range (Claim Amount)",
  H1074&lt;0,"Review – Out of Range (Days to Process)",
  TRUE,"OK"
)</f>
        <v>OK</v>
      </c>
    </row>
    <row r="1075" spans="1:9" ht="16.8" x14ac:dyDescent="0.3">
      <c r="A1075" s="14" t="s">
        <v>7582</v>
      </c>
      <c r="B1075" s="14" t="s">
        <v>6042</v>
      </c>
      <c r="C1075" s="15">
        <v>45593</v>
      </c>
      <c r="D1075" s="14">
        <v>131472.84</v>
      </c>
      <c r="E1075" s="14" t="s">
        <v>6508</v>
      </c>
      <c r="F1075" s="14" t="s">
        <v>6506</v>
      </c>
      <c r="G1075" s="14" t="s">
        <v>46</v>
      </c>
      <c r="H1075" s="14">
        <v>4</v>
      </c>
      <c r="I1075" s="13" t="str" cm="1">
        <f t="array" ref="I1075">_xlfn.IFS(
  OR(ISBLANK(A1075),ISBLANK(B1075),ISBLANK(D1075),ISBLANK(E1075),ISBLANK(H1075)),"Missing Value",
  D1075&lt;0,"Review – Out of Range (Claim Amount)",
  H1075&lt;0,"Review – Out of Range (Days to Process)",
  TRUE,"OK"
)</f>
        <v>OK</v>
      </c>
    </row>
    <row r="1076" spans="1:9" ht="16.8" x14ac:dyDescent="0.3">
      <c r="A1076" s="11" t="s">
        <v>7583</v>
      </c>
      <c r="B1076" s="11" t="s">
        <v>5151</v>
      </c>
      <c r="C1076" s="12">
        <v>44515</v>
      </c>
      <c r="D1076" s="11">
        <v>355607.25</v>
      </c>
      <c r="E1076" s="11" t="s">
        <v>6505</v>
      </c>
      <c r="F1076" s="11" t="s">
        <v>6506</v>
      </c>
      <c r="G1076" s="11" t="s">
        <v>45</v>
      </c>
      <c r="H1076" s="11">
        <v>18</v>
      </c>
      <c r="I1076" s="13" t="str" cm="1">
        <f t="array" ref="I1076">_xlfn.IFS(
  OR(ISBLANK(A1076),ISBLANK(B1076),ISBLANK(D1076),ISBLANK(E1076),ISBLANK(H1076)),"Missing Value",
  D1076&lt;0,"Review – Out of Range (Claim Amount)",
  H1076&lt;0,"Review – Out of Range (Days to Process)",
  TRUE,"OK"
)</f>
        <v>OK</v>
      </c>
    </row>
    <row r="1077" spans="1:9" ht="16.8" x14ac:dyDescent="0.3">
      <c r="A1077" s="14" t="s">
        <v>7584</v>
      </c>
      <c r="B1077" s="14" t="s">
        <v>4431</v>
      </c>
      <c r="C1077" s="15">
        <v>45027</v>
      </c>
      <c r="D1077" s="14">
        <v>180876</v>
      </c>
      <c r="E1077" s="14" t="s">
        <v>6505</v>
      </c>
      <c r="F1077" s="14" t="s">
        <v>6511</v>
      </c>
      <c r="G1077" s="14" t="s">
        <v>46</v>
      </c>
      <c r="H1077" s="14">
        <v>57</v>
      </c>
      <c r="I1077" s="13" t="str" cm="1">
        <f t="array" ref="I1077">_xlfn.IFS(
  OR(ISBLANK(A1077),ISBLANK(B1077),ISBLANK(D1077),ISBLANK(E1077),ISBLANK(H1077)),"Missing Value",
  D1077&lt;0,"Review – Out of Range (Claim Amount)",
  H1077&lt;0,"Review – Out of Range (Days to Process)",
  TRUE,"OK"
)</f>
        <v>OK</v>
      </c>
    </row>
    <row r="1078" spans="1:9" ht="16.8" x14ac:dyDescent="0.3">
      <c r="A1078" s="11" t="s">
        <v>7585</v>
      </c>
      <c r="B1078" s="11" t="s">
        <v>4822</v>
      </c>
      <c r="C1078" s="12">
        <v>45648</v>
      </c>
      <c r="D1078" s="11">
        <v>103446.66</v>
      </c>
      <c r="E1078" s="11" t="s">
        <v>6508</v>
      </c>
      <c r="F1078" s="11" t="s">
        <v>6506</v>
      </c>
      <c r="G1078" s="11" t="s">
        <v>46</v>
      </c>
      <c r="H1078" s="11">
        <v>47</v>
      </c>
      <c r="I1078" s="13" t="str" cm="1">
        <f t="array" ref="I1078">_xlfn.IFS(
  OR(ISBLANK(A1078),ISBLANK(B1078),ISBLANK(D1078),ISBLANK(E1078),ISBLANK(H1078)),"Missing Value",
  D1078&lt;0,"Review – Out of Range (Claim Amount)",
  H1078&lt;0,"Review – Out of Range (Days to Process)",
  TRUE,"OK"
)</f>
        <v>OK</v>
      </c>
    </row>
    <row r="1079" spans="1:9" ht="16.8" x14ac:dyDescent="0.3">
      <c r="A1079" s="14" t="s">
        <v>7586</v>
      </c>
      <c r="B1079" s="14" t="s">
        <v>5962</v>
      </c>
      <c r="C1079" s="15">
        <v>45094</v>
      </c>
      <c r="D1079" s="14">
        <v>153171.62</v>
      </c>
      <c r="E1079" s="14" t="s">
        <v>6508</v>
      </c>
      <c r="F1079" s="14" t="s">
        <v>6506</v>
      </c>
      <c r="G1079" s="14" t="s">
        <v>45</v>
      </c>
      <c r="H1079" s="14">
        <v>18</v>
      </c>
      <c r="I1079" s="13" t="str" cm="1">
        <f t="array" ref="I1079">_xlfn.IFS(
  OR(ISBLANK(A1079),ISBLANK(B1079),ISBLANK(D1079),ISBLANK(E1079),ISBLANK(H1079)),"Missing Value",
  D1079&lt;0,"Review – Out of Range (Claim Amount)",
  H1079&lt;0,"Review – Out of Range (Days to Process)",
  TRUE,"OK"
)</f>
        <v>OK</v>
      </c>
    </row>
    <row r="1080" spans="1:9" ht="16.8" x14ac:dyDescent="0.3">
      <c r="A1080" s="11" t="s">
        <v>7587</v>
      </c>
      <c r="B1080" s="11" t="s">
        <v>4112</v>
      </c>
      <c r="C1080" s="12">
        <v>44920</v>
      </c>
      <c r="D1080" s="11">
        <v>41758.370000000003</v>
      </c>
      <c r="E1080" s="11" t="s">
        <v>6508</v>
      </c>
      <c r="F1080" s="11" t="s">
        <v>6511</v>
      </c>
      <c r="G1080" s="11" t="s">
        <v>45</v>
      </c>
      <c r="H1080" s="11">
        <v>43</v>
      </c>
      <c r="I1080" s="13" t="str" cm="1">
        <f t="array" ref="I1080">_xlfn.IFS(
  OR(ISBLANK(A1080),ISBLANK(B1080),ISBLANK(D1080),ISBLANK(E1080),ISBLANK(H1080)),"Missing Value",
  D1080&lt;0,"Review – Out of Range (Claim Amount)",
  H1080&lt;0,"Review – Out of Range (Days to Process)",
  TRUE,"OK"
)</f>
        <v>OK</v>
      </c>
    </row>
    <row r="1081" spans="1:9" ht="16.8" x14ac:dyDescent="0.3">
      <c r="A1081" s="14" t="s">
        <v>7588</v>
      </c>
      <c r="B1081" s="14" t="s">
        <v>4573</v>
      </c>
      <c r="C1081" s="15">
        <v>45164</v>
      </c>
      <c r="D1081" s="14">
        <v>245499.84</v>
      </c>
      <c r="E1081" s="14" t="s">
        <v>6505</v>
      </c>
      <c r="F1081" s="14" t="s">
        <v>6506</v>
      </c>
      <c r="G1081" s="14" t="s">
        <v>46</v>
      </c>
      <c r="H1081" s="14">
        <v>49</v>
      </c>
      <c r="I1081" s="13" t="str" cm="1">
        <f t="array" ref="I1081">_xlfn.IFS(
  OR(ISBLANK(A1081),ISBLANK(B1081),ISBLANK(D1081),ISBLANK(E1081),ISBLANK(H1081)),"Missing Value",
  D1081&lt;0,"Review – Out of Range (Claim Amount)",
  H1081&lt;0,"Review – Out of Range (Days to Process)",
  TRUE,"OK"
)</f>
        <v>OK</v>
      </c>
    </row>
    <row r="1082" spans="1:9" ht="16.8" x14ac:dyDescent="0.3">
      <c r="A1082" s="11" t="s">
        <v>7589</v>
      </c>
      <c r="B1082" s="11" t="s">
        <v>4514</v>
      </c>
      <c r="C1082" s="12">
        <v>45653</v>
      </c>
      <c r="D1082" s="11">
        <v>145795.85999999999</v>
      </c>
      <c r="E1082" s="11" t="s">
        <v>6505</v>
      </c>
      <c r="F1082" s="11" t="s">
        <v>6506</v>
      </c>
      <c r="G1082" s="11" t="s">
        <v>45</v>
      </c>
      <c r="H1082" s="11">
        <v>8</v>
      </c>
      <c r="I1082" s="13" t="str" cm="1">
        <f t="array" ref="I1082">_xlfn.IFS(
  OR(ISBLANK(A1082),ISBLANK(B1082),ISBLANK(D1082),ISBLANK(E1082),ISBLANK(H1082)),"Missing Value",
  D1082&lt;0,"Review – Out of Range (Claim Amount)",
  H1082&lt;0,"Review – Out of Range (Days to Process)",
  TRUE,"OK"
)</f>
        <v>OK</v>
      </c>
    </row>
    <row r="1083" spans="1:9" ht="16.8" x14ac:dyDescent="0.3">
      <c r="A1083" s="14" t="s">
        <v>7590</v>
      </c>
      <c r="B1083" s="14" t="s">
        <v>5685</v>
      </c>
      <c r="C1083" s="15">
        <v>45269</v>
      </c>
      <c r="D1083" s="14">
        <v>296107.2</v>
      </c>
      <c r="E1083" s="14" t="s">
        <v>6505</v>
      </c>
      <c r="F1083" s="14" t="s">
        <v>6511</v>
      </c>
      <c r="G1083" s="14" t="s">
        <v>46</v>
      </c>
      <c r="H1083" s="14">
        <v>51</v>
      </c>
      <c r="I1083" s="13" t="str" cm="1">
        <f t="array" ref="I1083">_xlfn.IFS(
  OR(ISBLANK(A1083),ISBLANK(B1083),ISBLANK(D1083),ISBLANK(E1083),ISBLANK(H1083)),"Missing Value",
  D1083&lt;0,"Review – Out of Range (Claim Amount)",
  H1083&lt;0,"Review – Out of Range (Days to Process)",
  TRUE,"OK"
)</f>
        <v>OK</v>
      </c>
    </row>
    <row r="1084" spans="1:9" ht="16.8" x14ac:dyDescent="0.3">
      <c r="A1084" s="11" t="s">
        <v>7591</v>
      </c>
      <c r="B1084" s="11" t="s">
        <v>6450</v>
      </c>
      <c r="C1084" s="12">
        <v>45026</v>
      </c>
      <c r="D1084" s="11">
        <v>269303.65000000002</v>
      </c>
      <c r="E1084" s="11" t="s">
        <v>6502</v>
      </c>
      <c r="F1084" s="11" t="s">
        <v>6509</v>
      </c>
      <c r="G1084" s="11" t="s">
        <v>46</v>
      </c>
      <c r="H1084" s="11">
        <v>35</v>
      </c>
      <c r="I1084" s="13" t="str" cm="1">
        <f t="array" ref="I1084">_xlfn.IFS(
  OR(ISBLANK(A1084),ISBLANK(B1084),ISBLANK(D1084),ISBLANK(E1084),ISBLANK(H1084)),"Missing Value",
  D1084&lt;0,"Review – Out of Range (Claim Amount)",
  H1084&lt;0,"Review – Out of Range (Days to Process)",
  TRUE,"OK"
)</f>
        <v>OK</v>
      </c>
    </row>
    <row r="1085" spans="1:9" ht="16.8" x14ac:dyDescent="0.3">
      <c r="A1085" s="14" t="s">
        <v>7592</v>
      </c>
      <c r="B1085" s="14" t="s">
        <v>3844</v>
      </c>
      <c r="C1085" s="15">
        <v>45238</v>
      </c>
      <c r="D1085" s="14">
        <v>80133.47</v>
      </c>
      <c r="E1085" s="14" t="s">
        <v>6508</v>
      </c>
      <c r="F1085" s="14" t="s">
        <v>6511</v>
      </c>
      <c r="G1085" s="14" t="s">
        <v>46</v>
      </c>
      <c r="H1085" s="14">
        <v>19</v>
      </c>
      <c r="I1085" s="13" t="str" cm="1">
        <f t="array" ref="I1085">_xlfn.IFS(
  OR(ISBLANK(A1085),ISBLANK(B1085),ISBLANK(D1085),ISBLANK(E1085),ISBLANK(H1085)),"Missing Value",
  D1085&lt;0,"Review – Out of Range (Claim Amount)",
  H1085&lt;0,"Review – Out of Range (Days to Process)",
  TRUE,"OK"
)</f>
        <v>OK</v>
      </c>
    </row>
    <row r="1086" spans="1:9" ht="16.8" x14ac:dyDescent="0.3">
      <c r="A1086" s="11" t="s">
        <v>7593</v>
      </c>
      <c r="B1086" s="11" t="s">
        <v>5308</v>
      </c>
      <c r="C1086" s="12">
        <v>44708</v>
      </c>
      <c r="D1086" s="11">
        <v>135867.93</v>
      </c>
      <c r="E1086" s="11" t="s">
        <v>6505</v>
      </c>
      <c r="F1086" s="11" t="s">
        <v>6516</v>
      </c>
      <c r="G1086" s="11" t="s">
        <v>46</v>
      </c>
      <c r="H1086" s="11">
        <v>42</v>
      </c>
      <c r="I1086" s="13" t="str" cm="1">
        <f t="array" ref="I1086">_xlfn.IFS(
  OR(ISBLANK(A1086),ISBLANK(B1086),ISBLANK(D1086),ISBLANK(E1086),ISBLANK(H1086)),"Missing Value",
  D1086&lt;0,"Review – Out of Range (Claim Amount)",
  H1086&lt;0,"Review – Out of Range (Days to Process)",
  TRUE,"OK"
)</f>
        <v>OK</v>
      </c>
    </row>
    <row r="1087" spans="1:9" ht="16.8" x14ac:dyDescent="0.3">
      <c r="A1087" s="14" t="s">
        <v>7594</v>
      </c>
      <c r="B1087" s="14" t="s">
        <v>6121</v>
      </c>
      <c r="C1087" s="15">
        <v>45148</v>
      </c>
      <c r="D1087" s="14">
        <v>156004.62</v>
      </c>
      <c r="E1087" s="14" t="s">
        <v>6502</v>
      </c>
      <c r="F1087" s="14" t="s">
        <v>6511</v>
      </c>
      <c r="G1087" s="14" t="s">
        <v>45</v>
      </c>
      <c r="H1087" s="14">
        <v>43</v>
      </c>
      <c r="I1087" s="13" t="str" cm="1">
        <f t="array" ref="I1087">_xlfn.IFS(
  OR(ISBLANK(A1087),ISBLANK(B1087),ISBLANK(D1087),ISBLANK(E1087),ISBLANK(H1087)),"Missing Value",
  D1087&lt;0,"Review – Out of Range (Claim Amount)",
  H1087&lt;0,"Review – Out of Range (Days to Process)",
  TRUE,"OK"
)</f>
        <v>OK</v>
      </c>
    </row>
    <row r="1088" spans="1:9" ht="16.8" x14ac:dyDescent="0.3">
      <c r="A1088" s="11" t="s">
        <v>7595</v>
      </c>
      <c r="B1088" s="11" t="s">
        <v>4928</v>
      </c>
      <c r="C1088" s="12">
        <v>45263</v>
      </c>
      <c r="D1088" s="11">
        <v>177091.43</v>
      </c>
      <c r="E1088" s="11" t="s">
        <v>6505</v>
      </c>
      <c r="F1088" s="11" t="s">
        <v>6511</v>
      </c>
      <c r="G1088" s="11" t="s">
        <v>46</v>
      </c>
      <c r="H1088" s="11">
        <v>54</v>
      </c>
      <c r="I1088" s="13" t="str" cm="1">
        <f t="array" ref="I1088">_xlfn.IFS(
  OR(ISBLANK(A1088),ISBLANK(B1088),ISBLANK(D1088),ISBLANK(E1088),ISBLANK(H1088)),"Missing Value",
  D1088&lt;0,"Review – Out of Range (Claim Amount)",
  H1088&lt;0,"Review – Out of Range (Days to Process)",
  TRUE,"OK"
)</f>
        <v>OK</v>
      </c>
    </row>
    <row r="1089" spans="1:9" ht="16.8" x14ac:dyDescent="0.3">
      <c r="A1089" s="14" t="s">
        <v>7596</v>
      </c>
      <c r="B1089" s="14" t="s">
        <v>4412</v>
      </c>
      <c r="C1089" s="15">
        <v>45498</v>
      </c>
      <c r="D1089" s="14">
        <v>127813.89</v>
      </c>
      <c r="E1089" s="14" t="s">
        <v>6502</v>
      </c>
      <c r="F1089" s="14" t="s">
        <v>6503</v>
      </c>
      <c r="G1089" s="14" t="s">
        <v>46</v>
      </c>
      <c r="H1089" s="14">
        <v>33</v>
      </c>
      <c r="I1089" s="13" t="str" cm="1">
        <f t="array" ref="I1089">_xlfn.IFS(
  OR(ISBLANK(A1089),ISBLANK(B1089),ISBLANK(D1089),ISBLANK(E1089),ISBLANK(H1089)),"Missing Value",
  D1089&lt;0,"Review – Out of Range (Claim Amount)",
  H1089&lt;0,"Review – Out of Range (Days to Process)",
  TRUE,"OK"
)</f>
        <v>OK</v>
      </c>
    </row>
    <row r="1090" spans="1:9" ht="16.8" x14ac:dyDescent="0.3">
      <c r="A1090" s="11" t="s">
        <v>7597</v>
      </c>
      <c r="B1090" s="11" t="s">
        <v>5602</v>
      </c>
      <c r="C1090" s="12">
        <v>45485</v>
      </c>
      <c r="D1090" s="11">
        <v>389560.07</v>
      </c>
      <c r="E1090" s="11" t="s">
        <v>6508</v>
      </c>
      <c r="F1090" s="11" t="s">
        <v>6503</v>
      </c>
      <c r="G1090" s="11" t="s">
        <v>46</v>
      </c>
      <c r="H1090" s="11">
        <v>46</v>
      </c>
      <c r="I1090" s="13" t="str" cm="1">
        <f t="array" ref="I1090">_xlfn.IFS(
  OR(ISBLANK(A1090),ISBLANK(B1090),ISBLANK(D1090),ISBLANK(E1090),ISBLANK(H1090)),"Missing Value",
  D1090&lt;0,"Review – Out of Range (Claim Amount)",
  H1090&lt;0,"Review – Out of Range (Days to Process)",
  TRUE,"OK"
)</f>
        <v>OK</v>
      </c>
    </row>
    <row r="1091" spans="1:9" ht="16.8" x14ac:dyDescent="0.3">
      <c r="A1091" s="14" t="s">
        <v>7598</v>
      </c>
      <c r="B1091" s="14" t="s">
        <v>6412</v>
      </c>
      <c r="C1091" s="15">
        <v>45253</v>
      </c>
      <c r="D1091" s="14">
        <v>308586.65000000002</v>
      </c>
      <c r="E1091" s="14" t="s">
        <v>6502</v>
      </c>
      <c r="F1091" s="14" t="s">
        <v>6506</v>
      </c>
      <c r="G1091" s="14" t="s">
        <v>45</v>
      </c>
      <c r="H1091" s="14">
        <v>33</v>
      </c>
      <c r="I1091" s="13" t="str" cm="1">
        <f t="array" ref="I1091">_xlfn.IFS(
  OR(ISBLANK(A1091),ISBLANK(B1091),ISBLANK(D1091),ISBLANK(E1091),ISBLANK(H1091)),"Missing Value",
  D1091&lt;0,"Review – Out of Range (Claim Amount)",
  H1091&lt;0,"Review – Out of Range (Days to Process)",
  TRUE,"OK"
)</f>
        <v>OK</v>
      </c>
    </row>
    <row r="1092" spans="1:9" ht="16.8" x14ac:dyDescent="0.3">
      <c r="A1092" s="11" t="s">
        <v>7599</v>
      </c>
      <c r="B1092" s="11" t="s">
        <v>4364</v>
      </c>
      <c r="C1092" s="12">
        <v>44807</v>
      </c>
      <c r="D1092" s="11">
        <v>133341.01</v>
      </c>
      <c r="E1092" s="11" t="s">
        <v>6502</v>
      </c>
      <c r="F1092" s="11" t="s">
        <v>6516</v>
      </c>
      <c r="G1092" s="11" t="s">
        <v>45</v>
      </c>
      <c r="H1092" s="11">
        <v>40</v>
      </c>
      <c r="I1092" s="13" t="str" cm="1">
        <f t="array" ref="I1092">_xlfn.IFS(
  OR(ISBLANK(A1092),ISBLANK(B1092),ISBLANK(D1092),ISBLANK(E1092),ISBLANK(H1092)),"Missing Value",
  D1092&lt;0,"Review – Out of Range (Claim Amount)",
  H1092&lt;0,"Review – Out of Range (Days to Process)",
  TRUE,"OK"
)</f>
        <v>OK</v>
      </c>
    </row>
    <row r="1093" spans="1:9" ht="16.8" x14ac:dyDescent="0.3">
      <c r="A1093" s="14" t="s">
        <v>7600</v>
      </c>
      <c r="B1093" s="14" t="s">
        <v>5680</v>
      </c>
      <c r="C1093" s="15">
        <v>45040</v>
      </c>
      <c r="D1093" s="14">
        <v>297490.28999999998</v>
      </c>
      <c r="E1093" s="14" t="s">
        <v>6505</v>
      </c>
      <c r="F1093" s="14" t="s">
        <v>6509</v>
      </c>
      <c r="G1093" s="14" t="s">
        <v>46</v>
      </c>
      <c r="H1093" s="14">
        <v>56</v>
      </c>
      <c r="I1093" s="13" t="str" cm="1">
        <f t="array" ref="I1093">_xlfn.IFS(
  OR(ISBLANK(A1093),ISBLANK(B1093),ISBLANK(D1093),ISBLANK(E1093),ISBLANK(H1093)),"Missing Value",
  D1093&lt;0,"Review – Out of Range (Claim Amount)",
  H1093&lt;0,"Review – Out of Range (Days to Process)",
  TRUE,"OK"
)</f>
        <v>OK</v>
      </c>
    </row>
    <row r="1094" spans="1:9" ht="16.8" x14ac:dyDescent="0.3">
      <c r="A1094" s="11" t="s">
        <v>7601</v>
      </c>
      <c r="B1094" s="11" t="s">
        <v>5986</v>
      </c>
      <c r="C1094" s="12">
        <v>45488</v>
      </c>
      <c r="D1094" s="11">
        <v>313329.37</v>
      </c>
      <c r="E1094" s="11" t="s">
        <v>6505</v>
      </c>
      <c r="F1094" s="11" t="s">
        <v>6509</v>
      </c>
      <c r="G1094" s="11" t="s">
        <v>45</v>
      </c>
      <c r="H1094" s="11">
        <v>9</v>
      </c>
      <c r="I1094" s="13" t="str" cm="1">
        <f t="array" ref="I1094">_xlfn.IFS(
  OR(ISBLANK(A1094),ISBLANK(B1094),ISBLANK(D1094),ISBLANK(E1094),ISBLANK(H1094)),"Missing Value",
  D1094&lt;0,"Review – Out of Range (Claim Amount)",
  H1094&lt;0,"Review – Out of Range (Days to Process)",
  TRUE,"OK"
)</f>
        <v>OK</v>
      </c>
    </row>
    <row r="1095" spans="1:9" ht="16.8" x14ac:dyDescent="0.3">
      <c r="A1095" s="14" t="s">
        <v>7602</v>
      </c>
      <c r="B1095" s="14" t="s">
        <v>6418</v>
      </c>
      <c r="C1095" s="15">
        <v>44883</v>
      </c>
      <c r="D1095" s="14">
        <v>409795.01</v>
      </c>
      <c r="E1095" s="14" t="s">
        <v>6502</v>
      </c>
      <c r="F1095" s="14" t="s">
        <v>6516</v>
      </c>
      <c r="G1095" s="14" t="s">
        <v>45</v>
      </c>
      <c r="H1095" s="14">
        <v>23</v>
      </c>
      <c r="I1095" s="13" t="str" cm="1">
        <f t="array" ref="I1095">_xlfn.IFS(
  OR(ISBLANK(A1095),ISBLANK(B1095),ISBLANK(D1095),ISBLANK(E1095),ISBLANK(H1095)),"Missing Value",
  D1095&lt;0,"Review – Out of Range (Claim Amount)",
  H1095&lt;0,"Review – Out of Range (Days to Process)",
  TRUE,"OK"
)</f>
        <v>OK</v>
      </c>
    </row>
    <row r="1096" spans="1:9" ht="16.8" x14ac:dyDescent="0.3">
      <c r="A1096" s="11" t="s">
        <v>7603</v>
      </c>
      <c r="B1096" s="11" t="s">
        <v>4078</v>
      </c>
      <c r="C1096" s="12">
        <v>44358</v>
      </c>
      <c r="D1096" s="11">
        <v>134950.23000000001</v>
      </c>
      <c r="E1096" s="11" t="s">
        <v>6505</v>
      </c>
      <c r="F1096" s="11" t="s">
        <v>6509</v>
      </c>
      <c r="G1096" s="11" t="s">
        <v>45</v>
      </c>
      <c r="H1096" s="11">
        <v>8</v>
      </c>
      <c r="I1096" s="13" t="str" cm="1">
        <f t="array" ref="I1096">_xlfn.IFS(
  OR(ISBLANK(A1096),ISBLANK(B1096),ISBLANK(D1096),ISBLANK(E1096),ISBLANK(H1096)),"Missing Value",
  D1096&lt;0,"Review – Out of Range (Claim Amount)",
  H1096&lt;0,"Review – Out of Range (Days to Process)",
  TRUE,"OK"
)</f>
        <v>OK</v>
      </c>
    </row>
    <row r="1097" spans="1:9" ht="16.8" x14ac:dyDescent="0.3">
      <c r="A1097" s="14" t="s">
        <v>7604</v>
      </c>
      <c r="B1097" s="14" t="s">
        <v>4137</v>
      </c>
      <c r="C1097" s="15">
        <v>45221</v>
      </c>
      <c r="D1097" s="14">
        <v>314376.99</v>
      </c>
      <c r="E1097" s="14" t="s">
        <v>6508</v>
      </c>
      <c r="F1097" s="14" t="s">
        <v>6506</v>
      </c>
      <c r="G1097" s="14" t="s">
        <v>45</v>
      </c>
      <c r="H1097" s="14">
        <v>16</v>
      </c>
      <c r="I1097" s="13" t="str" cm="1">
        <f t="array" ref="I1097">_xlfn.IFS(
  OR(ISBLANK(A1097),ISBLANK(B1097),ISBLANK(D1097),ISBLANK(E1097),ISBLANK(H1097)),"Missing Value",
  D1097&lt;0,"Review – Out of Range (Claim Amount)",
  H1097&lt;0,"Review – Out of Range (Days to Process)",
  TRUE,"OK"
)</f>
        <v>OK</v>
      </c>
    </row>
    <row r="1098" spans="1:9" ht="16.8" x14ac:dyDescent="0.3">
      <c r="A1098" s="11" t="s">
        <v>7605</v>
      </c>
      <c r="B1098" s="11" t="s">
        <v>6299</v>
      </c>
      <c r="C1098" s="12">
        <v>45158</v>
      </c>
      <c r="D1098" s="11">
        <v>99667.81</v>
      </c>
      <c r="E1098" s="11" t="s">
        <v>6505</v>
      </c>
      <c r="F1098" s="11" t="s">
        <v>6516</v>
      </c>
      <c r="G1098" s="11" t="s">
        <v>45</v>
      </c>
      <c r="H1098" s="11">
        <v>45</v>
      </c>
      <c r="I1098" s="13" t="str" cm="1">
        <f t="array" ref="I1098">_xlfn.IFS(
  OR(ISBLANK(A1098),ISBLANK(B1098),ISBLANK(D1098),ISBLANK(E1098),ISBLANK(H1098)),"Missing Value",
  D1098&lt;0,"Review – Out of Range (Claim Amount)",
  H1098&lt;0,"Review – Out of Range (Days to Process)",
  TRUE,"OK"
)</f>
        <v>OK</v>
      </c>
    </row>
    <row r="1099" spans="1:9" ht="16.8" x14ac:dyDescent="0.3">
      <c r="A1099" s="14" t="s">
        <v>7606</v>
      </c>
      <c r="B1099" s="14" t="s">
        <v>4132</v>
      </c>
      <c r="C1099" s="15">
        <v>45489</v>
      </c>
      <c r="D1099" s="14">
        <v>394584.75</v>
      </c>
      <c r="E1099" s="14" t="s">
        <v>6505</v>
      </c>
      <c r="F1099" s="14" t="s">
        <v>6516</v>
      </c>
      <c r="G1099" s="14" t="s">
        <v>45</v>
      </c>
      <c r="H1099" s="14">
        <v>8</v>
      </c>
      <c r="I1099" s="13" t="str" cm="1">
        <f t="array" ref="I1099">_xlfn.IFS(
  OR(ISBLANK(A1099),ISBLANK(B1099),ISBLANK(D1099),ISBLANK(E1099),ISBLANK(H1099)),"Missing Value",
  D1099&lt;0,"Review – Out of Range (Claim Amount)",
  H1099&lt;0,"Review – Out of Range (Days to Process)",
  TRUE,"OK"
)</f>
        <v>OK</v>
      </c>
    </row>
    <row r="1100" spans="1:9" ht="16.8" x14ac:dyDescent="0.3">
      <c r="A1100" s="11" t="s">
        <v>7607</v>
      </c>
      <c r="B1100" s="11" t="s">
        <v>5231</v>
      </c>
      <c r="C1100" s="12">
        <v>45118</v>
      </c>
      <c r="D1100" s="11">
        <v>145742.13</v>
      </c>
      <c r="E1100" s="11" t="s">
        <v>6502</v>
      </c>
      <c r="F1100" s="11" t="s">
        <v>6503</v>
      </c>
      <c r="G1100" s="11" t="s">
        <v>46</v>
      </c>
      <c r="H1100" s="11">
        <v>29</v>
      </c>
      <c r="I1100" s="13" t="str" cm="1">
        <f t="array" ref="I1100">_xlfn.IFS(
  OR(ISBLANK(A1100),ISBLANK(B1100),ISBLANK(D1100),ISBLANK(E1100),ISBLANK(H1100)),"Missing Value",
  D1100&lt;0,"Review – Out of Range (Claim Amount)",
  H1100&lt;0,"Review – Out of Range (Days to Process)",
  TRUE,"OK"
)</f>
        <v>OK</v>
      </c>
    </row>
    <row r="1101" spans="1:9" ht="16.8" x14ac:dyDescent="0.3">
      <c r="A1101" s="14" t="s">
        <v>7608</v>
      </c>
      <c r="B1101" s="14" t="s">
        <v>4604</v>
      </c>
      <c r="C1101" s="15">
        <v>45174</v>
      </c>
      <c r="D1101" s="14">
        <v>287201.13</v>
      </c>
      <c r="E1101" s="14" t="s">
        <v>6508</v>
      </c>
      <c r="F1101" s="14" t="s">
        <v>6509</v>
      </c>
      <c r="G1101" s="14" t="s">
        <v>46</v>
      </c>
      <c r="H1101" s="14">
        <v>8</v>
      </c>
      <c r="I1101" s="13" t="str" cm="1">
        <f t="array" ref="I1101">_xlfn.IFS(
  OR(ISBLANK(A1101),ISBLANK(B1101),ISBLANK(D1101),ISBLANK(E1101),ISBLANK(H1101)),"Missing Value",
  D1101&lt;0,"Review – Out of Range (Claim Amount)",
  H1101&lt;0,"Review – Out of Range (Days to Process)",
  TRUE,"OK"
)</f>
        <v>OK</v>
      </c>
    </row>
    <row r="1102" spans="1:9" ht="16.8" x14ac:dyDescent="0.3">
      <c r="A1102" s="11" t="s">
        <v>7609</v>
      </c>
      <c r="B1102" s="11" t="s">
        <v>4916</v>
      </c>
      <c r="C1102" s="12">
        <v>44951</v>
      </c>
      <c r="D1102" s="11">
        <v>123980.04</v>
      </c>
      <c r="E1102" s="11" t="s">
        <v>6508</v>
      </c>
      <c r="F1102" s="11" t="s">
        <v>6509</v>
      </c>
      <c r="G1102" s="11" t="s">
        <v>46</v>
      </c>
      <c r="H1102" s="11">
        <v>37</v>
      </c>
      <c r="I1102" s="13" t="str" cm="1">
        <f t="array" ref="I1102">_xlfn.IFS(
  OR(ISBLANK(A1102),ISBLANK(B1102),ISBLANK(D1102),ISBLANK(E1102),ISBLANK(H1102)),"Missing Value",
  D1102&lt;0,"Review – Out of Range (Claim Amount)",
  H1102&lt;0,"Review – Out of Range (Days to Process)",
  TRUE,"OK"
)</f>
        <v>OK</v>
      </c>
    </row>
    <row r="1103" spans="1:9" ht="16.8" x14ac:dyDescent="0.3">
      <c r="A1103" s="14" t="s">
        <v>7610</v>
      </c>
      <c r="B1103" s="14" t="s">
        <v>3994</v>
      </c>
      <c r="C1103" s="15">
        <v>45480</v>
      </c>
      <c r="D1103" s="14">
        <v>494099.97</v>
      </c>
      <c r="E1103" s="14" t="s">
        <v>6502</v>
      </c>
      <c r="F1103" s="14" t="s">
        <v>6511</v>
      </c>
      <c r="G1103" s="14" t="s">
        <v>46</v>
      </c>
      <c r="H1103" s="14">
        <v>30</v>
      </c>
      <c r="I1103" s="13" t="str" cm="1">
        <f t="array" ref="I1103">_xlfn.IFS(
  OR(ISBLANK(A1103),ISBLANK(B1103),ISBLANK(D1103),ISBLANK(E1103),ISBLANK(H1103)),"Missing Value",
  D1103&lt;0,"Review – Out of Range (Claim Amount)",
  H1103&lt;0,"Review – Out of Range (Days to Process)",
  TRUE,"OK"
)</f>
        <v>OK</v>
      </c>
    </row>
    <row r="1104" spans="1:9" ht="16.8" x14ac:dyDescent="0.3">
      <c r="A1104" s="11" t="s">
        <v>7611</v>
      </c>
      <c r="B1104" s="11" t="s">
        <v>3919</v>
      </c>
      <c r="C1104" s="12">
        <v>45088</v>
      </c>
      <c r="D1104" s="11">
        <v>322779.65999999997</v>
      </c>
      <c r="E1104" s="11" t="s">
        <v>6502</v>
      </c>
      <c r="F1104" s="11" t="s">
        <v>6506</v>
      </c>
      <c r="G1104" s="11" t="s">
        <v>46</v>
      </c>
      <c r="H1104" s="11">
        <v>24</v>
      </c>
      <c r="I1104" s="13" t="str" cm="1">
        <f t="array" ref="I1104">_xlfn.IFS(
  OR(ISBLANK(A1104),ISBLANK(B1104),ISBLANK(D1104),ISBLANK(E1104),ISBLANK(H1104)),"Missing Value",
  D1104&lt;0,"Review – Out of Range (Claim Amount)",
  H1104&lt;0,"Review – Out of Range (Days to Process)",
  TRUE,"OK"
)</f>
        <v>OK</v>
      </c>
    </row>
    <row r="1105" spans="1:9" ht="16.8" x14ac:dyDescent="0.3">
      <c r="A1105" s="14" t="s">
        <v>7612</v>
      </c>
      <c r="B1105" s="14" t="s">
        <v>3710</v>
      </c>
      <c r="C1105" s="15">
        <v>44891</v>
      </c>
      <c r="D1105" s="14">
        <v>75734.81</v>
      </c>
      <c r="E1105" s="14" t="s">
        <v>6508</v>
      </c>
      <c r="F1105" s="14" t="s">
        <v>6509</v>
      </c>
      <c r="G1105" s="14" t="s">
        <v>46</v>
      </c>
      <c r="H1105" s="14">
        <v>14</v>
      </c>
      <c r="I1105" s="13" t="str" cm="1">
        <f t="array" ref="I1105">_xlfn.IFS(
  OR(ISBLANK(A1105),ISBLANK(B1105),ISBLANK(D1105),ISBLANK(E1105),ISBLANK(H1105)),"Missing Value",
  D1105&lt;0,"Review – Out of Range (Claim Amount)",
  H1105&lt;0,"Review – Out of Range (Days to Process)",
  TRUE,"OK"
)</f>
        <v>OK</v>
      </c>
    </row>
    <row r="1106" spans="1:9" ht="16.8" x14ac:dyDescent="0.3">
      <c r="A1106" s="11" t="s">
        <v>7613</v>
      </c>
      <c r="B1106" s="11" t="s">
        <v>5856</v>
      </c>
      <c r="C1106" s="12">
        <v>44752</v>
      </c>
      <c r="D1106" s="11">
        <v>62444.41</v>
      </c>
      <c r="E1106" s="11" t="s">
        <v>6502</v>
      </c>
      <c r="F1106" s="11" t="s">
        <v>6516</v>
      </c>
      <c r="G1106" s="11" t="s">
        <v>46</v>
      </c>
      <c r="H1106" s="11">
        <v>8</v>
      </c>
      <c r="I1106" s="13" t="str" cm="1">
        <f t="array" ref="I1106">_xlfn.IFS(
  OR(ISBLANK(A1106),ISBLANK(B1106),ISBLANK(D1106),ISBLANK(E1106),ISBLANK(H1106)),"Missing Value",
  D1106&lt;0,"Review – Out of Range (Claim Amount)",
  H1106&lt;0,"Review – Out of Range (Days to Process)",
  TRUE,"OK"
)</f>
        <v>OK</v>
      </c>
    </row>
    <row r="1107" spans="1:9" ht="16.8" x14ac:dyDescent="0.3">
      <c r="A1107" s="14" t="s">
        <v>7614</v>
      </c>
      <c r="B1107" s="14" t="s">
        <v>5238</v>
      </c>
      <c r="C1107" s="15">
        <v>44248</v>
      </c>
      <c r="D1107" s="14">
        <v>102146.21</v>
      </c>
      <c r="E1107" s="14" t="s">
        <v>6508</v>
      </c>
      <c r="F1107" s="14" t="s">
        <v>6511</v>
      </c>
      <c r="G1107" s="14" t="s">
        <v>45</v>
      </c>
      <c r="H1107" s="14">
        <v>48</v>
      </c>
      <c r="I1107" s="13" t="str" cm="1">
        <f t="array" ref="I1107">_xlfn.IFS(
  OR(ISBLANK(A1107),ISBLANK(B1107),ISBLANK(D1107),ISBLANK(E1107),ISBLANK(H1107)),"Missing Value",
  D1107&lt;0,"Review – Out of Range (Claim Amount)",
  H1107&lt;0,"Review – Out of Range (Days to Process)",
  TRUE,"OK"
)</f>
        <v>OK</v>
      </c>
    </row>
    <row r="1108" spans="1:9" ht="16.8" x14ac:dyDescent="0.3">
      <c r="A1108" s="11" t="s">
        <v>7615</v>
      </c>
      <c r="B1108" s="11" t="s">
        <v>6204</v>
      </c>
      <c r="C1108" s="12">
        <v>44353</v>
      </c>
      <c r="D1108" s="11">
        <v>468828.3</v>
      </c>
      <c r="E1108" s="11" t="s">
        <v>6502</v>
      </c>
      <c r="F1108" s="11" t="s">
        <v>6509</v>
      </c>
      <c r="G1108" s="11" t="s">
        <v>45</v>
      </c>
      <c r="H1108" s="11">
        <v>57</v>
      </c>
      <c r="I1108" s="13" t="str" cm="1">
        <f t="array" ref="I1108">_xlfn.IFS(
  OR(ISBLANK(A1108),ISBLANK(B1108),ISBLANK(D1108),ISBLANK(E1108),ISBLANK(H1108)),"Missing Value",
  D1108&lt;0,"Review – Out of Range (Claim Amount)",
  H1108&lt;0,"Review – Out of Range (Days to Process)",
  TRUE,"OK"
)</f>
        <v>OK</v>
      </c>
    </row>
    <row r="1109" spans="1:9" ht="16.8" x14ac:dyDescent="0.3">
      <c r="A1109" s="14" t="s">
        <v>7616</v>
      </c>
      <c r="B1109" s="14" t="s">
        <v>6040</v>
      </c>
      <c r="C1109" s="15">
        <v>44939</v>
      </c>
      <c r="D1109" s="14">
        <v>403404.26</v>
      </c>
      <c r="E1109" s="14" t="s">
        <v>6508</v>
      </c>
      <c r="F1109" s="14" t="s">
        <v>6509</v>
      </c>
      <c r="G1109" s="14" t="s">
        <v>46</v>
      </c>
      <c r="H1109" s="14">
        <v>32</v>
      </c>
      <c r="I1109" s="13" t="str" cm="1">
        <f t="array" ref="I1109">_xlfn.IFS(
  OR(ISBLANK(A1109),ISBLANK(B1109),ISBLANK(D1109),ISBLANK(E1109),ISBLANK(H1109)),"Missing Value",
  D1109&lt;0,"Review – Out of Range (Claim Amount)",
  H1109&lt;0,"Review – Out of Range (Days to Process)",
  TRUE,"OK"
)</f>
        <v>OK</v>
      </c>
    </row>
    <row r="1110" spans="1:9" ht="16.8" x14ac:dyDescent="0.3">
      <c r="A1110" s="11" t="s">
        <v>7617</v>
      </c>
      <c r="B1110" s="11" t="s">
        <v>6283</v>
      </c>
      <c r="C1110" s="12">
        <v>45520</v>
      </c>
      <c r="D1110" s="11">
        <v>429559.18</v>
      </c>
      <c r="E1110" s="11" t="s">
        <v>6502</v>
      </c>
      <c r="F1110" s="11" t="s">
        <v>6509</v>
      </c>
      <c r="G1110" s="11" t="s">
        <v>46</v>
      </c>
      <c r="H1110" s="11">
        <v>27</v>
      </c>
      <c r="I1110" s="13" t="str" cm="1">
        <f t="array" ref="I1110">_xlfn.IFS(
  OR(ISBLANK(A1110),ISBLANK(B1110),ISBLANK(D1110),ISBLANK(E1110),ISBLANK(H1110)),"Missing Value",
  D1110&lt;0,"Review – Out of Range (Claim Amount)",
  H1110&lt;0,"Review – Out of Range (Days to Process)",
  TRUE,"OK"
)</f>
        <v>OK</v>
      </c>
    </row>
    <row r="1111" spans="1:9" ht="16.8" x14ac:dyDescent="0.3">
      <c r="A1111" s="14" t="s">
        <v>7618</v>
      </c>
      <c r="B1111" s="14" t="s">
        <v>4654</v>
      </c>
      <c r="C1111" s="15">
        <v>45148</v>
      </c>
      <c r="D1111" s="14">
        <v>450666.09</v>
      </c>
      <c r="E1111" s="14" t="s">
        <v>6505</v>
      </c>
      <c r="F1111" s="14" t="s">
        <v>6503</v>
      </c>
      <c r="G1111" s="14" t="s">
        <v>46</v>
      </c>
      <c r="H1111" s="14">
        <v>39</v>
      </c>
      <c r="I1111" s="13" t="str" cm="1">
        <f t="array" ref="I1111">_xlfn.IFS(
  OR(ISBLANK(A1111),ISBLANK(B1111),ISBLANK(D1111),ISBLANK(E1111),ISBLANK(H1111)),"Missing Value",
  D1111&lt;0,"Review – Out of Range (Claim Amount)",
  H1111&lt;0,"Review – Out of Range (Days to Process)",
  TRUE,"OK"
)</f>
        <v>OK</v>
      </c>
    </row>
    <row r="1112" spans="1:9" ht="16.8" x14ac:dyDescent="0.3">
      <c r="A1112" s="11" t="s">
        <v>7619</v>
      </c>
      <c r="B1112" s="11" t="s">
        <v>5804</v>
      </c>
      <c r="C1112" s="12">
        <v>44806</v>
      </c>
      <c r="D1112" s="11">
        <v>130538.52</v>
      </c>
      <c r="E1112" s="11" t="s">
        <v>6508</v>
      </c>
      <c r="F1112" s="11" t="s">
        <v>6503</v>
      </c>
      <c r="G1112" s="11" t="s">
        <v>45</v>
      </c>
      <c r="H1112" s="11">
        <v>53</v>
      </c>
      <c r="I1112" s="13" t="str" cm="1">
        <f t="array" ref="I1112">_xlfn.IFS(
  OR(ISBLANK(A1112),ISBLANK(B1112),ISBLANK(D1112),ISBLANK(E1112),ISBLANK(H1112)),"Missing Value",
  D1112&lt;0,"Review – Out of Range (Claim Amount)",
  H1112&lt;0,"Review – Out of Range (Days to Process)",
  TRUE,"OK"
)</f>
        <v>OK</v>
      </c>
    </row>
    <row r="1113" spans="1:9" ht="16.8" x14ac:dyDescent="0.3">
      <c r="A1113" s="14" t="s">
        <v>7620</v>
      </c>
      <c r="B1113" s="14" t="s">
        <v>5056</v>
      </c>
      <c r="C1113" s="15">
        <v>44346</v>
      </c>
      <c r="D1113" s="14">
        <v>485618.39</v>
      </c>
      <c r="E1113" s="14" t="s">
        <v>6502</v>
      </c>
      <c r="F1113" s="14" t="s">
        <v>6516</v>
      </c>
      <c r="G1113" s="14" t="s">
        <v>45</v>
      </c>
      <c r="H1113" s="14">
        <v>16</v>
      </c>
      <c r="I1113" s="13" t="str" cm="1">
        <f t="array" ref="I1113">_xlfn.IFS(
  OR(ISBLANK(A1113),ISBLANK(B1113),ISBLANK(D1113),ISBLANK(E1113),ISBLANK(H1113)),"Missing Value",
  D1113&lt;0,"Review – Out of Range (Claim Amount)",
  H1113&lt;0,"Review – Out of Range (Days to Process)",
  TRUE,"OK"
)</f>
        <v>OK</v>
      </c>
    </row>
    <row r="1114" spans="1:9" ht="16.8" x14ac:dyDescent="0.3">
      <c r="A1114" s="11" t="s">
        <v>7621</v>
      </c>
      <c r="B1114" s="11" t="s">
        <v>5289</v>
      </c>
      <c r="C1114" s="12">
        <v>44974</v>
      </c>
      <c r="D1114" s="11">
        <v>161850.19</v>
      </c>
      <c r="E1114" s="11" t="s">
        <v>6508</v>
      </c>
      <c r="F1114" s="11" t="s">
        <v>6516</v>
      </c>
      <c r="G1114" s="11" t="s">
        <v>46</v>
      </c>
      <c r="H1114" s="11">
        <v>35</v>
      </c>
      <c r="I1114" s="13" t="str" cm="1">
        <f t="array" ref="I1114">_xlfn.IFS(
  OR(ISBLANK(A1114),ISBLANK(B1114),ISBLANK(D1114),ISBLANK(E1114),ISBLANK(H1114)),"Missing Value",
  D1114&lt;0,"Review – Out of Range (Claim Amount)",
  H1114&lt;0,"Review – Out of Range (Days to Process)",
  TRUE,"OK"
)</f>
        <v>OK</v>
      </c>
    </row>
    <row r="1115" spans="1:9" ht="16.8" x14ac:dyDescent="0.3">
      <c r="A1115" s="14" t="s">
        <v>7622</v>
      </c>
      <c r="B1115" s="14" t="s">
        <v>4282</v>
      </c>
      <c r="C1115" s="15">
        <v>45246</v>
      </c>
      <c r="D1115" s="14">
        <v>159671.01</v>
      </c>
      <c r="E1115" s="14" t="s">
        <v>6505</v>
      </c>
      <c r="F1115" s="14" t="s">
        <v>6516</v>
      </c>
      <c r="G1115" s="14" t="s">
        <v>46</v>
      </c>
      <c r="H1115" s="14">
        <v>34</v>
      </c>
      <c r="I1115" s="13" t="str" cm="1">
        <f t="array" ref="I1115">_xlfn.IFS(
  OR(ISBLANK(A1115),ISBLANK(B1115),ISBLANK(D1115),ISBLANK(E1115),ISBLANK(H1115)),"Missing Value",
  D1115&lt;0,"Review – Out of Range (Claim Amount)",
  H1115&lt;0,"Review – Out of Range (Days to Process)",
  TRUE,"OK"
)</f>
        <v>OK</v>
      </c>
    </row>
    <row r="1116" spans="1:9" ht="16.8" x14ac:dyDescent="0.3">
      <c r="A1116" s="11" t="s">
        <v>7623</v>
      </c>
      <c r="B1116" s="11" t="s">
        <v>5834</v>
      </c>
      <c r="C1116" s="12">
        <v>44846</v>
      </c>
      <c r="D1116" s="11">
        <v>29316.31</v>
      </c>
      <c r="E1116" s="11" t="s">
        <v>6505</v>
      </c>
      <c r="F1116" s="11" t="s">
        <v>6503</v>
      </c>
      <c r="G1116" s="11" t="s">
        <v>45</v>
      </c>
      <c r="H1116" s="11">
        <v>46</v>
      </c>
      <c r="I1116" s="13" t="str" cm="1">
        <f t="array" ref="I1116">_xlfn.IFS(
  OR(ISBLANK(A1116),ISBLANK(B1116),ISBLANK(D1116),ISBLANK(E1116),ISBLANK(H1116)),"Missing Value",
  D1116&lt;0,"Review – Out of Range (Claim Amount)",
  H1116&lt;0,"Review – Out of Range (Days to Process)",
  TRUE,"OK"
)</f>
        <v>OK</v>
      </c>
    </row>
    <row r="1117" spans="1:9" ht="16.8" x14ac:dyDescent="0.3">
      <c r="A1117" s="14" t="s">
        <v>7624</v>
      </c>
      <c r="B1117" s="14" t="s">
        <v>4068</v>
      </c>
      <c r="C1117" s="15">
        <v>45515</v>
      </c>
      <c r="D1117" s="14">
        <v>419096.51</v>
      </c>
      <c r="E1117" s="14" t="s">
        <v>6508</v>
      </c>
      <c r="F1117" s="14" t="s">
        <v>6509</v>
      </c>
      <c r="G1117" s="14" t="s">
        <v>45</v>
      </c>
      <c r="H1117" s="14">
        <v>4</v>
      </c>
      <c r="I1117" s="13" t="str" cm="1">
        <f t="array" ref="I1117">_xlfn.IFS(
  OR(ISBLANK(A1117),ISBLANK(B1117),ISBLANK(D1117),ISBLANK(E1117),ISBLANK(H1117)),"Missing Value",
  D1117&lt;0,"Review – Out of Range (Claim Amount)",
  H1117&lt;0,"Review – Out of Range (Days to Process)",
  TRUE,"OK"
)</f>
        <v>OK</v>
      </c>
    </row>
    <row r="1118" spans="1:9" ht="16.8" x14ac:dyDescent="0.3">
      <c r="A1118" s="11" t="s">
        <v>7625</v>
      </c>
      <c r="B1118" s="11" t="s">
        <v>3474</v>
      </c>
      <c r="C1118" s="12">
        <v>45171</v>
      </c>
      <c r="D1118" s="11">
        <v>413927.21</v>
      </c>
      <c r="E1118" s="11" t="s">
        <v>6502</v>
      </c>
      <c r="F1118" s="11" t="s">
        <v>6506</v>
      </c>
      <c r="G1118" s="11" t="s">
        <v>46</v>
      </c>
      <c r="H1118" s="11">
        <v>24</v>
      </c>
      <c r="I1118" s="13" t="str" cm="1">
        <f t="array" ref="I1118">_xlfn.IFS(
  OR(ISBLANK(A1118),ISBLANK(B1118),ISBLANK(D1118),ISBLANK(E1118),ISBLANK(H1118)),"Missing Value",
  D1118&lt;0,"Review – Out of Range (Claim Amount)",
  H1118&lt;0,"Review – Out of Range (Days to Process)",
  TRUE,"OK"
)</f>
        <v>OK</v>
      </c>
    </row>
    <row r="1119" spans="1:9" ht="16.8" x14ac:dyDescent="0.3">
      <c r="A1119" s="14" t="s">
        <v>7626</v>
      </c>
      <c r="B1119" s="14" t="s">
        <v>5503</v>
      </c>
      <c r="C1119" s="15">
        <v>45174</v>
      </c>
      <c r="D1119" s="14">
        <v>481634.9</v>
      </c>
      <c r="E1119" s="14" t="s">
        <v>6508</v>
      </c>
      <c r="F1119" s="14" t="s">
        <v>6516</v>
      </c>
      <c r="G1119" s="14" t="s">
        <v>46</v>
      </c>
      <c r="H1119" s="14">
        <v>59</v>
      </c>
      <c r="I1119" s="13" t="str" cm="1">
        <f t="array" ref="I1119">_xlfn.IFS(
  OR(ISBLANK(A1119),ISBLANK(B1119),ISBLANK(D1119),ISBLANK(E1119),ISBLANK(H1119)),"Missing Value",
  D1119&lt;0,"Review – Out of Range (Claim Amount)",
  H1119&lt;0,"Review – Out of Range (Days to Process)",
  TRUE,"OK"
)</f>
        <v>OK</v>
      </c>
    </row>
    <row r="1120" spans="1:9" ht="16.8" x14ac:dyDescent="0.3">
      <c r="A1120" s="11" t="s">
        <v>7627</v>
      </c>
      <c r="B1120" s="11" t="s">
        <v>6112</v>
      </c>
      <c r="C1120" s="12">
        <v>45606</v>
      </c>
      <c r="D1120" s="11">
        <v>38168.26</v>
      </c>
      <c r="E1120" s="11" t="s">
        <v>6508</v>
      </c>
      <c r="F1120" s="11" t="s">
        <v>6516</v>
      </c>
      <c r="G1120" s="11" t="s">
        <v>46</v>
      </c>
      <c r="H1120" s="11">
        <v>5</v>
      </c>
      <c r="I1120" s="13" t="str" cm="1">
        <f t="array" ref="I1120">_xlfn.IFS(
  OR(ISBLANK(A1120),ISBLANK(B1120),ISBLANK(D1120),ISBLANK(E1120),ISBLANK(H1120)),"Missing Value",
  D1120&lt;0,"Review – Out of Range (Claim Amount)",
  H1120&lt;0,"Review – Out of Range (Days to Process)",
  TRUE,"OK"
)</f>
        <v>OK</v>
      </c>
    </row>
    <row r="1121" spans="1:9" ht="16.8" x14ac:dyDescent="0.3">
      <c r="A1121" s="14" t="s">
        <v>7628</v>
      </c>
      <c r="B1121" s="14" t="s">
        <v>6094</v>
      </c>
      <c r="C1121" s="15">
        <v>45650</v>
      </c>
      <c r="D1121" s="14">
        <v>19880.39</v>
      </c>
      <c r="E1121" s="14" t="s">
        <v>6505</v>
      </c>
      <c r="F1121" s="14" t="s">
        <v>6506</v>
      </c>
      <c r="G1121" s="14" t="s">
        <v>46</v>
      </c>
      <c r="H1121" s="14">
        <v>55</v>
      </c>
      <c r="I1121" s="13" t="str" cm="1">
        <f t="array" ref="I1121">_xlfn.IFS(
  OR(ISBLANK(A1121),ISBLANK(B1121),ISBLANK(D1121),ISBLANK(E1121),ISBLANK(H1121)),"Missing Value",
  D1121&lt;0,"Review – Out of Range (Claim Amount)",
  H1121&lt;0,"Review – Out of Range (Days to Process)",
  TRUE,"OK"
)</f>
        <v>OK</v>
      </c>
    </row>
    <row r="1122" spans="1:9" ht="16.8" x14ac:dyDescent="0.3">
      <c r="A1122" s="11" t="s">
        <v>7629</v>
      </c>
      <c r="B1122" s="11" t="s">
        <v>3422</v>
      </c>
      <c r="C1122" s="12">
        <v>44925</v>
      </c>
      <c r="D1122" s="11">
        <v>19300.54</v>
      </c>
      <c r="E1122" s="11" t="s">
        <v>6508</v>
      </c>
      <c r="F1122" s="11" t="s">
        <v>6509</v>
      </c>
      <c r="G1122" s="11" t="s">
        <v>45</v>
      </c>
      <c r="H1122" s="11">
        <v>22</v>
      </c>
      <c r="I1122" s="13" t="str" cm="1">
        <f t="array" ref="I1122">_xlfn.IFS(
  OR(ISBLANK(A1122),ISBLANK(B1122),ISBLANK(D1122),ISBLANK(E1122),ISBLANK(H1122)),"Missing Value",
  D1122&lt;0,"Review – Out of Range (Claim Amount)",
  H1122&lt;0,"Review – Out of Range (Days to Process)",
  TRUE,"OK"
)</f>
        <v>OK</v>
      </c>
    </row>
    <row r="1123" spans="1:9" ht="16.8" x14ac:dyDescent="0.3">
      <c r="A1123" s="14" t="s">
        <v>7630</v>
      </c>
      <c r="B1123" s="14" t="s">
        <v>5803</v>
      </c>
      <c r="C1123" s="15">
        <v>45200</v>
      </c>
      <c r="D1123" s="14">
        <v>212170.17</v>
      </c>
      <c r="E1123" s="14" t="s">
        <v>6502</v>
      </c>
      <c r="F1123" s="14" t="s">
        <v>6516</v>
      </c>
      <c r="G1123" s="14" t="s">
        <v>46</v>
      </c>
      <c r="H1123" s="14">
        <v>59</v>
      </c>
      <c r="I1123" s="13" t="str" cm="1">
        <f t="array" ref="I1123">_xlfn.IFS(
  OR(ISBLANK(A1123),ISBLANK(B1123),ISBLANK(D1123),ISBLANK(E1123),ISBLANK(H1123)),"Missing Value",
  D1123&lt;0,"Review – Out of Range (Claim Amount)",
  H1123&lt;0,"Review – Out of Range (Days to Process)",
  TRUE,"OK"
)</f>
        <v>OK</v>
      </c>
    </row>
    <row r="1124" spans="1:9" ht="16.8" x14ac:dyDescent="0.3">
      <c r="A1124" s="11" t="s">
        <v>7631</v>
      </c>
      <c r="B1124" s="11" t="s">
        <v>4335</v>
      </c>
      <c r="C1124" s="12">
        <v>45232</v>
      </c>
      <c r="D1124" s="11">
        <v>12740.13</v>
      </c>
      <c r="E1124" s="11" t="s">
        <v>6502</v>
      </c>
      <c r="F1124" s="11" t="s">
        <v>6509</v>
      </c>
      <c r="G1124" s="11" t="s">
        <v>45</v>
      </c>
      <c r="H1124" s="11">
        <v>48</v>
      </c>
      <c r="I1124" s="13" t="str" cm="1">
        <f t="array" ref="I1124">_xlfn.IFS(
  OR(ISBLANK(A1124),ISBLANK(B1124),ISBLANK(D1124),ISBLANK(E1124),ISBLANK(H1124)),"Missing Value",
  D1124&lt;0,"Review – Out of Range (Claim Amount)",
  H1124&lt;0,"Review – Out of Range (Days to Process)",
  TRUE,"OK"
)</f>
        <v>OK</v>
      </c>
    </row>
    <row r="1125" spans="1:9" ht="16.8" x14ac:dyDescent="0.3">
      <c r="A1125" s="14" t="s">
        <v>7632</v>
      </c>
      <c r="B1125" s="14" t="s">
        <v>4354</v>
      </c>
      <c r="C1125" s="15">
        <v>45424</v>
      </c>
      <c r="D1125" s="14">
        <v>11895.6</v>
      </c>
      <c r="E1125" s="14" t="s">
        <v>6505</v>
      </c>
      <c r="F1125" s="14" t="s">
        <v>6503</v>
      </c>
      <c r="G1125" s="14" t="s">
        <v>45</v>
      </c>
      <c r="H1125" s="14">
        <v>57</v>
      </c>
      <c r="I1125" s="13" t="str" cm="1">
        <f t="array" ref="I1125">_xlfn.IFS(
  OR(ISBLANK(A1125),ISBLANK(B1125),ISBLANK(D1125),ISBLANK(E1125),ISBLANK(H1125)),"Missing Value",
  D1125&lt;0,"Review – Out of Range (Claim Amount)",
  H1125&lt;0,"Review – Out of Range (Days to Process)",
  TRUE,"OK"
)</f>
        <v>OK</v>
      </c>
    </row>
    <row r="1126" spans="1:9" ht="16.8" x14ac:dyDescent="0.3">
      <c r="A1126" s="11" t="s">
        <v>7633</v>
      </c>
      <c r="B1126" s="11" t="s">
        <v>6288</v>
      </c>
      <c r="C1126" s="12">
        <v>45187</v>
      </c>
      <c r="D1126" s="11">
        <v>21743.22</v>
      </c>
      <c r="E1126" s="11" t="s">
        <v>6505</v>
      </c>
      <c r="F1126" s="11" t="s">
        <v>6509</v>
      </c>
      <c r="G1126" s="11" t="s">
        <v>46</v>
      </c>
      <c r="H1126" s="11">
        <v>10</v>
      </c>
      <c r="I1126" s="13" t="str" cm="1">
        <f t="array" ref="I1126">_xlfn.IFS(
  OR(ISBLANK(A1126),ISBLANK(B1126),ISBLANK(D1126),ISBLANK(E1126),ISBLANK(H1126)),"Missing Value",
  D1126&lt;0,"Review – Out of Range (Claim Amount)",
  H1126&lt;0,"Review – Out of Range (Days to Process)",
  TRUE,"OK"
)</f>
        <v>OK</v>
      </c>
    </row>
    <row r="1127" spans="1:9" ht="16.8" x14ac:dyDescent="0.3">
      <c r="A1127" s="14" t="s">
        <v>7634</v>
      </c>
      <c r="B1127" s="14" t="s">
        <v>5860</v>
      </c>
      <c r="C1127" s="15">
        <v>45038</v>
      </c>
      <c r="D1127" s="14">
        <v>456759.14</v>
      </c>
      <c r="E1127" s="14" t="s">
        <v>6505</v>
      </c>
      <c r="F1127" s="14" t="s">
        <v>6516</v>
      </c>
      <c r="G1127" s="14" t="s">
        <v>45</v>
      </c>
      <c r="H1127" s="14">
        <v>27</v>
      </c>
      <c r="I1127" s="13" t="str" cm="1">
        <f t="array" ref="I1127">_xlfn.IFS(
  OR(ISBLANK(A1127),ISBLANK(B1127),ISBLANK(D1127),ISBLANK(E1127),ISBLANK(H1127)),"Missing Value",
  D1127&lt;0,"Review – Out of Range (Claim Amount)",
  H1127&lt;0,"Review – Out of Range (Days to Process)",
  TRUE,"OK"
)</f>
        <v>OK</v>
      </c>
    </row>
    <row r="1128" spans="1:9" ht="16.8" x14ac:dyDescent="0.3">
      <c r="A1128" s="11" t="s">
        <v>7635</v>
      </c>
      <c r="B1128" s="11" t="s">
        <v>6446</v>
      </c>
      <c r="C1128" s="12">
        <v>44602</v>
      </c>
      <c r="D1128" s="11">
        <v>306810.69</v>
      </c>
      <c r="E1128" s="11" t="s">
        <v>6508</v>
      </c>
      <c r="F1128" s="11" t="s">
        <v>6516</v>
      </c>
      <c r="G1128" s="11" t="s">
        <v>46</v>
      </c>
      <c r="H1128" s="11">
        <v>32</v>
      </c>
      <c r="I1128" s="13" t="str" cm="1">
        <f t="array" ref="I1128">_xlfn.IFS(
  OR(ISBLANK(A1128),ISBLANK(B1128),ISBLANK(D1128),ISBLANK(E1128),ISBLANK(H1128)),"Missing Value",
  D1128&lt;0,"Review – Out of Range (Claim Amount)",
  H1128&lt;0,"Review – Out of Range (Days to Process)",
  TRUE,"OK"
)</f>
        <v>OK</v>
      </c>
    </row>
    <row r="1129" spans="1:9" ht="16.8" x14ac:dyDescent="0.3">
      <c r="A1129" s="14" t="s">
        <v>7636</v>
      </c>
      <c r="B1129" s="14" t="s">
        <v>4612</v>
      </c>
      <c r="C1129" s="15">
        <v>44356</v>
      </c>
      <c r="D1129" s="14">
        <v>135588.35</v>
      </c>
      <c r="E1129" s="14" t="s">
        <v>6508</v>
      </c>
      <c r="F1129" s="14" t="s">
        <v>6503</v>
      </c>
      <c r="G1129" s="14" t="s">
        <v>46</v>
      </c>
      <c r="H1129" s="14">
        <v>59</v>
      </c>
      <c r="I1129" s="13" t="str" cm="1">
        <f t="array" ref="I1129">_xlfn.IFS(
  OR(ISBLANK(A1129),ISBLANK(B1129),ISBLANK(D1129),ISBLANK(E1129),ISBLANK(H1129)),"Missing Value",
  D1129&lt;0,"Review – Out of Range (Claim Amount)",
  H1129&lt;0,"Review – Out of Range (Days to Process)",
  TRUE,"OK"
)</f>
        <v>OK</v>
      </c>
    </row>
    <row r="1130" spans="1:9" ht="16.8" x14ac:dyDescent="0.3">
      <c r="A1130" s="11" t="s">
        <v>7637</v>
      </c>
      <c r="B1130" s="11" t="s">
        <v>4069</v>
      </c>
      <c r="C1130" s="12">
        <v>45468</v>
      </c>
      <c r="D1130" s="11">
        <v>24517.19</v>
      </c>
      <c r="E1130" s="11" t="s">
        <v>6508</v>
      </c>
      <c r="F1130" s="11" t="s">
        <v>6509</v>
      </c>
      <c r="G1130" s="11" t="s">
        <v>45</v>
      </c>
      <c r="H1130" s="11">
        <v>41</v>
      </c>
      <c r="I1130" s="13" t="str" cm="1">
        <f t="array" ref="I1130">_xlfn.IFS(
  OR(ISBLANK(A1130),ISBLANK(B1130),ISBLANK(D1130),ISBLANK(E1130),ISBLANK(H1130)),"Missing Value",
  D1130&lt;0,"Review – Out of Range (Claim Amount)",
  H1130&lt;0,"Review – Out of Range (Days to Process)",
  TRUE,"OK"
)</f>
        <v>OK</v>
      </c>
    </row>
    <row r="1131" spans="1:9" ht="16.8" x14ac:dyDescent="0.3">
      <c r="A1131" s="14" t="s">
        <v>7638</v>
      </c>
      <c r="B1131" s="14" t="s">
        <v>6137</v>
      </c>
      <c r="C1131" s="15">
        <v>45499</v>
      </c>
      <c r="D1131" s="14">
        <v>462850.09</v>
      </c>
      <c r="E1131" s="14" t="s">
        <v>6508</v>
      </c>
      <c r="F1131" s="14" t="s">
        <v>6511</v>
      </c>
      <c r="G1131" s="14" t="s">
        <v>46</v>
      </c>
      <c r="H1131" s="14">
        <v>47</v>
      </c>
      <c r="I1131" s="13" t="str" cm="1">
        <f t="array" ref="I1131">_xlfn.IFS(
  OR(ISBLANK(A1131),ISBLANK(B1131),ISBLANK(D1131),ISBLANK(E1131),ISBLANK(H1131)),"Missing Value",
  D1131&lt;0,"Review – Out of Range (Claim Amount)",
  H1131&lt;0,"Review – Out of Range (Days to Process)",
  TRUE,"OK"
)</f>
        <v>OK</v>
      </c>
    </row>
    <row r="1132" spans="1:9" ht="16.8" x14ac:dyDescent="0.3">
      <c r="A1132" s="11" t="s">
        <v>7639</v>
      </c>
      <c r="B1132" s="11" t="s">
        <v>3688</v>
      </c>
      <c r="C1132" s="12">
        <v>45079</v>
      </c>
      <c r="D1132" s="11">
        <v>441157.49</v>
      </c>
      <c r="E1132" s="11" t="s">
        <v>6508</v>
      </c>
      <c r="F1132" s="11" t="s">
        <v>6509</v>
      </c>
      <c r="G1132" s="11" t="s">
        <v>45</v>
      </c>
      <c r="H1132" s="11">
        <v>28</v>
      </c>
      <c r="I1132" s="13" t="str" cm="1">
        <f t="array" ref="I1132">_xlfn.IFS(
  OR(ISBLANK(A1132),ISBLANK(B1132),ISBLANK(D1132),ISBLANK(E1132),ISBLANK(H1132)),"Missing Value",
  D1132&lt;0,"Review – Out of Range (Claim Amount)",
  H1132&lt;0,"Review – Out of Range (Days to Process)",
  TRUE,"OK"
)</f>
        <v>OK</v>
      </c>
    </row>
    <row r="1133" spans="1:9" ht="16.8" x14ac:dyDescent="0.3">
      <c r="A1133" s="14" t="s">
        <v>7640</v>
      </c>
      <c r="B1133" s="14" t="s">
        <v>4816</v>
      </c>
      <c r="C1133" s="15">
        <v>44855</v>
      </c>
      <c r="D1133" s="14">
        <v>147778.63</v>
      </c>
      <c r="E1133" s="14" t="s">
        <v>6502</v>
      </c>
      <c r="F1133" s="14" t="s">
        <v>6509</v>
      </c>
      <c r="G1133" s="14" t="s">
        <v>46</v>
      </c>
      <c r="H1133" s="14">
        <v>43</v>
      </c>
      <c r="I1133" s="13" t="str" cm="1">
        <f t="array" ref="I1133">_xlfn.IFS(
  OR(ISBLANK(A1133),ISBLANK(B1133),ISBLANK(D1133),ISBLANK(E1133),ISBLANK(H1133)),"Missing Value",
  D1133&lt;0,"Review – Out of Range (Claim Amount)",
  H1133&lt;0,"Review – Out of Range (Days to Process)",
  TRUE,"OK"
)</f>
        <v>OK</v>
      </c>
    </row>
    <row r="1134" spans="1:9" ht="16.8" x14ac:dyDescent="0.3">
      <c r="A1134" s="11" t="s">
        <v>7641</v>
      </c>
      <c r="B1134" s="11" t="s">
        <v>5795</v>
      </c>
      <c r="C1134" s="12">
        <v>44978</v>
      </c>
      <c r="D1134" s="11">
        <v>202118.38</v>
      </c>
      <c r="E1134" s="11" t="s">
        <v>6508</v>
      </c>
      <c r="F1134" s="11" t="s">
        <v>6511</v>
      </c>
      <c r="G1134" s="11" t="s">
        <v>46</v>
      </c>
      <c r="H1134" s="11">
        <v>11</v>
      </c>
      <c r="I1134" s="13" t="str" cm="1">
        <f t="array" ref="I1134">_xlfn.IFS(
  OR(ISBLANK(A1134),ISBLANK(B1134),ISBLANK(D1134),ISBLANK(E1134),ISBLANK(H1134)),"Missing Value",
  D1134&lt;0,"Review – Out of Range (Claim Amount)",
  H1134&lt;0,"Review – Out of Range (Days to Process)",
  TRUE,"OK"
)</f>
        <v>OK</v>
      </c>
    </row>
    <row r="1135" spans="1:9" ht="16.8" x14ac:dyDescent="0.3">
      <c r="A1135" s="14" t="s">
        <v>7642</v>
      </c>
      <c r="B1135" s="14" t="s">
        <v>4916</v>
      </c>
      <c r="C1135" s="15">
        <v>44898</v>
      </c>
      <c r="D1135" s="14">
        <v>121717.53</v>
      </c>
      <c r="E1135" s="14" t="s">
        <v>6505</v>
      </c>
      <c r="F1135" s="14" t="s">
        <v>6506</v>
      </c>
      <c r="G1135" s="14" t="s">
        <v>46</v>
      </c>
      <c r="H1135" s="14">
        <v>34</v>
      </c>
      <c r="I1135" s="13" t="str" cm="1">
        <f t="array" ref="I1135">_xlfn.IFS(
  OR(ISBLANK(A1135),ISBLANK(B1135),ISBLANK(D1135),ISBLANK(E1135),ISBLANK(H1135)),"Missing Value",
  D1135&lt;0,"Review – Out of Range (Claim Amount)",
  H1135&lt;0,"Review – Out of Range (Days to Process)",
  TRUE,"OK"
)</f>
        <v>OK</v>
      </c>
    </row>
    <row r="1136" spans="1:9" ht="16.8" x14ac:dyDescent="0.3">
      <c r="A1136" s="11" t="s">
        <v>7643</v>
      </c>
      <c r="B1136" s="11" t="s">
        <v>4597</v>
      </c>
      <c r="C1136" s="12">
        <v>45384</v>
      </c>
      <c r="D1136" s="11">
        <v>211735.29</v>
      </c>
      <c r="E1136" s="11" t="s">
        <v>6502</v>
      </c>
      <c r="F1136" s="11" t="s">
        <v>6506</v>
      </c>
      <c r="G1136" s="11" t="s">
        <v>46</v>
      </c>
      <c r="H1136" s="11">
        <v>43</v>
      </c>
      <c r="I1136" s="13" t="str" cm="1">
        <f t="array" ref="I1136">_xlfn.IFS(
  OR(ISBLANK(A1136),ISBLANK(B1136),ISBLANK(D1136),ISBLANK(E1136),ISBLANK(H1136)),"Missing Value",
  D1136&lt;0,"Review – Out of Range (Claim Amount)",
  H1136&lt;0,"Review – Out of Range (Days to Process)",
  TRUE,"OK"
)</f>
        <v>OK</v>
      </c>
    </row>
    <row r="1137" spans="1:9" ht="16.8" x14ac:dyDescent="0.3">
      <c r="A1137" s="14" t="s">
        <v>7644</v>
      </c>
      <c r="B1137" s="14" t="s">
        <v>4665</v>
      </c>
      <c r="C1137" s="15">
        <v>44959</v>
      </c>
      <c r="D1137" s="14">
        <v>23992.67</v>
      </c>
      <c r="E1137" s="14" t="s">
        <v>6505</v>
      </c>
      <c r="F1137" s="14" t="s">
        <v>6506</v>
      </c>
      <c r="G1137" s="14" t="s">
        <v>46</v>
      </c>
      <c r="H1137" s="14">
        <v>48</v>
      </c>
      <c r="I1137" s="13" t="str" cm="1">
        <f t="array" ref="I1137">_xlfn.IFS(
  OR(ISBLANK(A1137),ISBLANK(B1137),ISBLANK(D1137),ISBLANK(E1137),ISBLANK(H1137)),"Missing Value",
  D1137&lt;0,"Review – Out of Range (Claim Amount)",
  H1137&lt;0,"Review – Out of Range (Days to Process)",
  TRUE,"OK"
)</f>
        <v>OK</v>
      </c>
    </row>
    <row r="1138" spans="1:9" ht="16.8" x14ac:dyDescent="0.3">
      <c r="A1138" s="11" t="s">
        <v>7645</v>
      </c>
      <c r="B1138" s="11" t="s">
        <v>5913</v>
      </c>
      <c r="C1138" s="12">
        <v>45564</v>
      </c>
      <c r="D1138" s="11">
        <v>378216.45</v>
      </c>
      <c r="E1138" s="11" t="s">
        <v>6505</v>
      </c>
      <c r="F1138" s="11" t="s">
        <v>6516</v>
      </c>
      <c r="G1138" s="11" t="s">
        <v>46</v>
      </c>
      <c r="H1138" s="11">
        <v>52</v>
      </c>
      <c r="I1138" s="13" t="str" cm="1">
        <f t="array" ref="I1138">_xlfn.IFS(
  OR(ISBLANK(A1138),ISBLANK(B1138),ISBLANK(D1138),ISBLANK(E1138),ISBLANK(H1138)),"Missing Value",
  D1138&lt;0,"Review – Out of Range (Claim Amount)",
  H1138&lt;0,"Review – Out of Range (Days to Process)",
  TRUE,"OK"
)</f>
        <v>OK</v>
      </c>
    </row>
    <row r="1139" spans="1:9" ht="16.8" x14ac:dyDescent="0.3">
      <c r="A1139" s="14" t="s">
        <v>7646</v>
      </c>
      <c r="B1139" s="14" t="s">
        <v>4334</v>
      </c>
      <c r="C1139" s="15">
        <v>45196</v>
      </c>
      <c r="D1139" s="14">
        <v>359282.94</v>
      </c>
      <c r="E1139" s="14" t="s">
        <v>6505</v>
      </c>
      <c r="F1139" s="14" t="s">
        <v>6503</v>
      </c>
      <c r="G1139" s="14" t="s">
        <v>45</v>
      </c>
      <c r="H1139" s="14">
        <v>29</v>
      </c>
      <c r="I1139" s="13" t="str" cm="1">
        <f t="array" ref="I1139">_xlfn.IFS(
  OR(ISBLANK(A1139),ISBLANK(B1139),ISBLANK(D1139),ISBLANK(E1139),ISBLANK(H1139)),"Missing Value",
  D1139&lt;0,"Review – Out of Range (Claim Amount)",
  H1139&lt;0,"Review – Out of Range (Days to Process)",
  TRUE,"OK"
)</f>
        <v>OK</v>
      </c>
    </row>
    <row r="1140" spans="1:9" ht="16.8" x14ac:dyDescent="0.3">
      <c r="A1140" s="11" t="s">
        <v>7647</v>
      </c>
      <c r="B1140" s="11" t="s">
        <v>4317</v>
      </c>
      <c r="C1140" s="12">
        <v>45176</v>
      </c>
      <c r="D1140" s="11">
        <v>418247.11</v>
      </c>
      <c r="E1140" s="11" t="s">
        <v>6502</v>
      </c>
      <c r="F1140" s="11" t="s">
        <v>6516</v>
      </c>
      <c r="G1140" s="11" t="s">
        <v>46</v>
      </c>
      <c r="H1140" s="11">
        <v>58</v>
      </c>
      <c r="I1140" s="13" t="str" cm="1">
        <f t="array" ref="I1140">_xlfn.IFS(
  OR(ISBLANK(A1140),ISBLANK(B1140),ISBLANK(D1140),ISBLANK(E1140),ISBLANK(H1140)),"Missing Value",
  D1140&lt;0,"Review – Out of Range (Claim Amount)",
  H1140&lt;0,"Review – Out of Range (Days to Process)",
  TRUE,"OK"
)</f>
        <v>OK</v>
      </c>
    </row>
    <row r="1141" spans="1:9" ht="16.8" x14ac:dyDescent="0.3">
      <c r="A1141" s="14" t="s">
        <v>7648</v>
      </c>
      <c r="B1141" s="14" t="s">
        <v>6068</v>
      </c>
      <c r="C1141" s="15">
        <v>45361</v>
      </c>
      <c r="D1141" s="14">
        <v>99976.74</v>
      </c>
      <c r="E1141" s="14" t="s">
        <v>6502</v>
      </c>
      <c r="F1141" s="14" t="s">
        <v>6503</v>
      </c>
      <c r="G1141" s="14" t="s">
        <v>45</v>
      </c>
      <c r="H1141" s="14">
        <v>42</v>
      </c>
      <c r="I1141" s="13" t="str" cm="1">
        <f t="array" ref="I1141">_xlfn.IFS(
  OR(ISBLANK(A1141),ISBLANK(B1141),ISBLANK(D1141),ISBLANK(E1141),ISBLANK(H1141)),"Missing Value",
  D1141&lt;0,"Review – Out of Range (Claim Amount)",
  H1141&lt;0,"Review – Out of Range (Days to Process)",
  TRUE,"OK"
)</f>
        <v>OK</v>
      </c>
    </row>
    <row r="1142" spans="1:9" ht="16.8" x14ac:dyDescent="0.3">
      <c r="A1142" s="11" t="s">
        <v>7649</v>
      </c>
      <c r="B1142" s="11" t="s">
        <v>4469</v>
      </c>
      <c r="C1142" s="12">
        <v>45512</v>
      </c>
      <c r="D1142" s="11">
        <v>271668.07</v>
      </c>
      <c r="E1142" s="11" t="s">
        <v>6505</v>
      </c>
      <c r="F1142" s="11" t="s">
        <v>6503</v>
      </c>
      <c r="G1142" s="11" t="s">
        <v>45</v>
      </c>
      <c r="H1142" s="11">
        <v>56</v>
      </c>
      <c r="I1142" s="13" t="str" cm="1">
        <f t="array" ref="I1142">_xlfn.IFS(
  OR(ISBLANK(A1142),ISBLANK(B1142),ISBLANK(D1142),ISBLANK(E1142),ISBLANK(H1142)),"Missing Value",
  D1142&lt;0,"Review – Out of Range (Claim Amount)",
  H1142&lt;0,"Review – Out of Range (Days to Process)",
  TRUE,"OK"
)</f>
        <v>OK</v>
      </c>
    </row>
    <row r="1143" spans="1:9" ht="16.8" x14ac:dyDescent="0.3">
      <c r="A1143" s="14" t="s">
        <v>7650</v>
      </c>
      <c r="B1143" s="14" t="s">
        <v>5388</v>
      </c>
      <c r="C1143" s="15">
        <v>45230</v>
      </c>
      <c r="D1143" s="14">
        <v>154772.56</v>
      </c>
      <c r="E1143" s="14" t="s">
        <v>6508</v>
      </c>
      <c r="F1143" s="14" t="s">
        <v>6516</v>
      </c>
      <c r="G1143" s="14" t="s">
        <v>45</v>
      </c>
      <c r="H1143" s="14">
        <v>49</v>
      </c>
      <c r="I1143" s="13" t="str" cm="1">
        <f t="array" ref="I1143">_xlfn.IFS(
  OR(ISBLANK(A1143),ISBLANK(B1143),ISBLANK(D1143),ISBLANK(E1143),ISBLANK(H1143)),"Missing Value",
  D1143&lt;0,"Review – Out of Range (Claim Amount)",
  H1143&lt;0,"Review – Out of Range (Days to Process)",
  TRUE,"OK"
)</f>
        <v>OK</v>
      </c>
    </row>
    <row r="1144" spans="1:9" ht="16.8" x14ac:dyDescent="0.3">
      <c r="A1144" s="11" t="s">
        <v>7651</v>
      </c>
      <c r="B1144" s="11" t="s">
        <v>5407</v>
      </c>
      <c r="C1144" s="12">
        <v>45240</v>
      </c>
      <c r="D1144" s="11">
        <v>311514.21999999997</v>
      </c>
      <c r="E1144" s="11" t="s">
        <v>6505</v>
      </c>
      <c r="F1144" s="11" t="s">
        <v>6511</v>
      </c>
      <c r="G1144" s="11" t="s">
        <v>46</v>
      </c>
      <c r="H1144" s="11">
        <v>14</v>
      </c>
      <c r="I1144" s="13" t="str" cm="1">
        <f t="array" ref="I1144">_xlfn.IFS(
  OR(ISBLANK(A1144),ISBLANK(B1144),ISBLANK(D1144),ISBLANK(E1144),ISBLANK(H1144)),"Missing Value",
  D1144&lt;0,"Review – Out of Range (Claim Amount)",
  H1144&lt;0,"Review – Out of Range (Days to Process)",
  TRUE,"OK"
)</f>
        <v>OK</v>
      </c>
    </row>
    <row r="1145" spans="1:9" ht="16.8" x14ac:dyDescent="0.3">
      <c r="A1145" s="14" t="s">
        <v>7652</v>
      </c>
      <c r="B1145" s="14" t="s">
        <v>5116</v>
      </c>
      <c r="C1145" s="15">
        <v>45620</v>
      </c>
      <c r="D1145" s="14">
        <v>465987.92</v>
      </c>
      <c r="E1145" s="14" t="s">
        <v>6508</v>
      </c>
      <c r="F1145" s="14" t="s">
        <v>6509</v>
      </c>
      <c r="G1145" s="14" t="s">
        <v>46</v>
      </c>
      <c r="H1145" s="14">
        <v>21</v>
      </c>
      <c r="I1145" s="13" t="str" cm="1">
        <f t="array" ref="I1145">_xlfn.IFS(
  OR(ISBLANK(A1145),ISBLANK(B1145),ISBLANK(D1145),ISBLANK(E1145),ISBLANK(H1145)),"Missing Value",
  D1145&lt;0,"Review – Out of Range (Claim Amount)",
  H1145&lt;0,"Review – Out of Range (Days to Process)",
  TRUE,"OK"
)</f>
        <v>OK</v>
      </c>
    </row>
    <row r="1146" spans="1:9" ht="16.8" x14ac:dyDescent="0.3">
      <c r="A1146" s="11" t="s">
        <v>7653</v>
      </c>
      <c r="B1146" s="11" t="s">
        <v>4779</v>
      </c>
      <c r="C1146" s="12">
        <v>45347</v>
      </c>
      <c r="D1146" s="11">
        <v>333149.71000000002</v>
      </c>
      <c r="E1146" s="11" t="s">
        <v>6505</v>
      </c>
      <c r="F1146" s="11" t="s">
        <v>6516</v>
      </c>
      <c r="G1146" s="11" t="s">
        <v>46</v>
      </c>
      <c r="H1146" s="11">
        <v>20</v>
      </c>
      <c r="I1146" s="13" t="str" cm="1">
        <f t="array" ref="I1146">_xlfn.IFS(
  OR(ISBLANK(A1146),ISBLANK(B1146),ISBLANK(D1146),ISBLANK(E1146),ISBLANK(H1146)),"Missing Value",
  D1146&lt;0,"Review – Out of Range (Claim Amount)",
  H1146&lt;0,"Review – Out of Range (Days to Process)",
  TRUE,"OK"
)</f>
        <v>OK</v>
      </c>
    </row>
    <row r="1147" spans="1:9" ht="16.8" x14ac:dyDescent="0.3">
      <c r="A1147" s="14" t="s">
        <v>7654</v>
      </c>
      <c r="B1147" s="14" t="s">
        <v>5867</v>
      </c>
      <c r="C1147" s="15">
        <v>45496</v>
      </c>
      <c r="D1147" s="14">
        <v>156384.72</v>
      </c>
      <c r="E1147" s="14" t="s">
        <v>6502</v>
      </c>
      <c r="F1147" s="14" t="s">
        <v>6511</v>
      </c>
      <c r="G1147" s="14" t="s">
        <v>45</v>
      </c>
      <c r="H1147" s="14">
        <v>56</v>
      </c>
      <c r="I1147" s="13" t="str" cm="1">
        <f t="array" ref="I1147">_xlfn.IFS(
  OR(ISBLANK(A1147),ISBLANK(B1147),ISBLANK(D1147),ISBLANK(E1147),ISBLANK(H1147)),"Missing Value",
  D1147&lt;0,"Review – Out of Range (Claim Amount)",
  H1147&lt;0,"Review – Out of Range (Days to Process)",
  TRUE,"OK"
)</f>
        <v>OK</v>
      </c>
    </row>
    <row r="1148" spans="1:9" ht="16.8" x14ac:dyDescent="0.3">
      <c r="A1148" s="11" t="s">
        <v>7655</v>
      </c>
      <c r="B1148" s="11" t="s">
        <v>3588</v>
      </c>
      <c r="C1148" s="12">
        <v>44657</v>
      </c>
      <c r="D1148" s="11">
        <v>314973.28000000003</v>
      </c>
      <c r="E1148" s="11" t="s">
        <v>6505</v>
      </c>
      <c r="F1148" s="11" t="s">
        <v>6509</v>
      </c>
      <c r="G1148" s="11" t="s">
        <v>46</v>
      </c>
      <c r="H1148" s="11">
        <v>53</v>
      </c>
      <c r="I1148" s="13" t="str" cm="1">
        <f t="array" ref="I1148">_xlfn.IFS(
  OR(ISBLANK(A1148),ISBLANK(B1148),ISBLANK(D1148),ISBLANK(E1148),ISBLANK(H1148)),"Missing Value",
  D1148&lt;0,"Review – Out of Range (Claim Amount)",
  H1148&lt;0,"Review – Out of Range (Days to Process)",
  TRUE,"OK"
)</f>
        <v>OK</v>
      </c>
    </row>
    <row r="1149" spans="1:9" ht="16.8" x14ac:dyDescent="0.3">
      <c r="A1149" s="14" t="s">
        <v>7656</v>
      </c>
      <c r="B1149" s="14" t="s">
        <v>4539</v>
      </c>
      <c r="C1149" s="15">
        <v>44779</v>
      </c>
      <c r="D1149" s="14">
        <v>93470.1</v>
      </c>
      <c r="E1149" s="14" t="s">
        <v>6505</v>
      </c>
      <c r="F1149" s="14" t="s">
        <v>6509</v>
      </c>
      <c r="G1149" s="14" t="s">
        <v>46</v>
      </c>
      <c r="H1149" s="14">
        <v>3</v>
      </c>
      <c r="I1149" s="13" t="str" cm="1">
        <f t="array" ref="I1149">_xlfn.IFS(
  OR(ISBLANK(A1149),ISBLANK(B1149),ISBLANK(D1149),ISBLANK(E1149),ISBLANK(H1149)),"Missing Value",
  D1149&lt;0,"Review – Out of Range (Claim Amount)",
  H1149&lt;0,"Review – Out of Range (Days to Process)",
  TRUE,"OK"
)</f>
        <v>OK</v>
      </c>
    </row>
    <row r="1150" spans="1:9" ht="16.8" x14ac:dyDescent="0.3">
      <c r="A1150" s="11" t="s">
        <v>7657</v>
      </c>
      <c r="B1150" s="11" t="s">
        <v>6011</v>
      </c>
      <c r="C1150" s="12">
        <v>44479</v>
      </c>
      <c r="D1150" s="11">
        <v>370572.45</v>
      </c>
      <c r="E1150" s="11" t="s">
        <v>6508</v>
      </c>
      <c r="F1150" s="11" t="s">
        <v>6509</v>
      </c>
      <c r="G1150" s="11" t="s">
        <v>46</v>
      </c>
      <c r="H1150" s="11">
        <v>39</v>
      </c>
      <c r="I1150" s="13" t="str" cm="1">
        <f t="array" ref="I1150">_xlfn.IFS(
  OR(ISBLANK(A1150),ISBLANK(B1150),ISBLANK(D1150),ISBLANK(E1150),ISBLANK(H1150)),"Missing Value",
  D1150&lt;0,"Review – Out of Range (Claim Amount)",
  H1150&lt;0,"Review – Out of Range (Days to Process)",
  TRUE,"OK"
)</f>
        <v>OK</v>
      </c>
    </row>
    <row r="1151" spans="1:9" ht="16.8" x14ac:dyDescent="0.3">
      <c r="A1151" s="14" t="s">
        <v>7658</v>
      </c>
      <c r="B1151" s="14" t="s">
        <v>4113</v>
      </c>
      <c r="C1151" s="15">
        <v>44534</v>
      </c>
      <c r="D1151" s="14">
        <v>24573.64</v>
      </c>
      <c r="E1151" s="14" t="s">
        <v>6502</v>
      </c>
      <c r="F1151" s="14" t="s">
        <v>6511</v>
      </c>
      <c r="G1151" s="14" t="s">
        <v>45</v>
      </c>
      <c r="H1151" s="14">
        <v>2</v>
      </c>
      <c r="I1151" s="13" t="str" cm="1">
        <f t="array" ref="I1151">_xlfn.IFS(
  OR(ISBLANK(A1151),ISBLANK(B1151),ISBLANK(D1151),ISBLANK(E1151),ISBLANK(H1151)),"Missing Value",
  D1151&lt;0,"Review – Out of Range (Claim Amount)",
  H1151&lt;0,"Review – Out of Range (Days to Process)",
  TRUE,"OK"
)</f>
        <v>OK</v>
      </c>
    </row>
    <row r="1152" spans="1:9" ht="16.8" x14ac:dyDescent="0.3">
      <c r="A1152" s="11" t="s">
        <v>7659</v>
      </c>
      <c r="B1152" s="11" t="s">
        <v>5282</v>
      </c>
      <c r="C1152" s="12">
        <v>44157</v>
      </c>
      <c r="D1152" s="11">
        <v>263894.78999999998</v>
      </c>
      <c r="E1152" s="11" t="s">
        <v>6508</v>
      </c>
      <c r="F1152" s="11" t="s">
        <v>6516</v>
      </c>
      <c r="G1152" s="11" t="s">
        <v>45</v>
      </c>
      <c r="H1152" s="11">
        <v>57</v>
      </c>
      <c r="I1152" s="13" t="str" cm="1">
        <f t="array" ref="I1152">_xlfn.IFS(
  OR(ISBLANK(A1152),ISBLANK(B1152),ISBLANK(D1152),ISBLANK(E1152),ISBLANK(H1152)),"Missing Value",
  D1152&lt;0,"Review – Out of Range (Claim Amount)",
  H1152&lt;0,"Review – Out of Range (Days to Process)",
  TRUE,"OK"
)</f>
        <v>OK</v>
      </c>
    </row>
    <row r="1153" spans="1:9" ht="16.8" x14ac:dyDescent="0.3">
      <c r="A1153" s="14" t="s">
        <v>7660</v>
      </c>
      <c r="B1153" s="14" t="s">
        <v>5889</v>
      </c>
      <c r="C1153" s="15">
        <v>44841</v>
      </c>
      <c r="D1153" s="14">
        <v>137507.91</v>
      </c>
      <c r="E1153" s="14" t="s">
        <v>6505</v>
      </c>
      <c r="F1153" s="14" t="s">
        <v>6516</v>
      </c>
      <c r="G1153" s="14" t="s">
        <v>45</v>
      </c>
      <c r="H1153" s="14">
        <v>43</v>
      </c>
      <c r="I1153" s="13" t="str" cm="1">
        <f t="array" ref="I1153">_xlfn.IFS(
  OR(ISBLANK(A1153),ISBLANK(B1153),ISBLANK(D1153),ISBLANK(E1153),ISBLANK(H1153)),"Missing Value",
  D1153&lt;0,"Review – Out of Range (Claim Amount)",
  H1153&lt;0,"Review – Out of Range (Days to Process)",
  TRUE,"OK"
)</f>
        <v>OK</v>
      </c>
    </row>
    <row r="1154" spans="1:9" ht="16.8" x14ac:dyDescent="0.3">
      <c r="A1154" s="11" t="s">
        <v>7661</v>
      </c>
      <c r="B1154" s="11" t="s">
        <v>4359</v>
      </c>
      <c r="C1154" s="12">
        <v>45349</v>
      </c>
      <c r="D1154" s="11">
        <v>88536.13</v>
      </c>
      <c r="E1154" s="11" t="s">
        <v>6508</v>
      </c>
      <c r="F1154" s="11" t="s">
        <v>6516</v>
      </c>
      <c r="G1154" s="11" t="s">
        <v>46</v>
      </c>
      <c r="H1154" s="11">
        <v>8</v>
      </c>
      <c r="I1154" s="13" t="str" cm="1">
        <f t="array" ref="I1154">_xlfn.IFS(
  OR(ISBLANK(A1154),ISBLANK(B1154),ISBLANK(D1154),ISBLANK(E1154),ISBLANK(H1154)),"Missing Value",
  D1154&lt;0,"Review – Out of Range (Claim Amount)",
  H1154&lt;0,"Review – Out of Range (Days to Process)",
  TRUE,"OK"
)</f>
        <v>OK</v>
      </c>
    </row>
    <row r="1155" spans="1:9" ht="16.8" x14ac:dyDescent="0.3">
      <c r="A1155" s="14" t="s">
        <v>7662</v>
      </c>
      <c r="B1155" s="14" t="s">
        <v>4350</v>
      </c>
      <c r="C1155" s="15">
        <v>45366</v>
      </c>
      <c r="D1155" s="14">
        <v>73711.850000000006</v>
      </c>
      <c r="E1155" s="14" t="s">
        <v>6505</v>
      </c>
      <c r="F1155" s="14" t="s">
        <v>6509</v>
      </c>
      <c r="G1155" s="14" t="s">
        <v>46</v>
      </c>
      <c r="H1155" s="14">
        <v>9</v>
      </c>
      <c r="I1155" s="13" t="str" cm="1">
        <f t="array" ref="I1155">_xlfn.IFS(
  OR(ISBLANK(A1155),ISBLANK(B1155),ISBLANK(D1155),ISBLANK(E1155),ISBLANK(H1155)),"Missing Value",
  D1155&lt;0,"Review – Out of Range (Claim Amount)",
  H1155&lt;0,"Review – Out of Range (Days to Process)",
  TRUE,"OK"
)</f>
        <v>OK</v>
      </c>
    </row>
    <row r="1156" spans="1:9" ht="16.8" x14ac:dyDescent="0.3">
      <c r="A1156" s="11" t="s">
        <v>7663</v>
      </c>
      <c r="B1156" s="11" t="s">
        <v>4736</v>
      </c>
      <c r="C1156" s="12">
        <v>44505</v>
      </c>
      <c r="D1156" s="11">
        <v>363890.85</v>
      </c>
      <c r="E1156" s="11" t="s">
        <v>6502</v>
      </c>
      <c r="F1156" s="11" t="s">
        <v>6509</v>
      </c>
      <c r="G1156" s="11" t="s">
        <v>45</v>
      </c>
      <c r="H1156" s="11">
        <v>21</v>
      </c>
      <c r="I1156" s="13" t="str" cm="1">
        <f t="array" ref="I1156">_xlfn.IFS(
  OR(ISBLANK(A1156),ISBLANK(B1156),ISBLANK(D1156),ISBLANK(E1156),ISBLANK(H1156)),"Missing Value",
  D1156&lt;0,"Review – Out of Range (Claim Amount)",
  H1156&lt;0,"Review – Out of Range (Days to Process)",
  TRUE,"OK"
)</f>
        <v>OK</v>
      </c>
    </row>
    <row r="1157" spans="1:9" ht="16.8" x14ac:dyDescent="0.3">
      <c r="A1157" s="14" t="s">
        <v>7664</v>
      </c>
      <c r="B1157" s="14" t="s">
        <v>5067</v>
      </c>
      <c r="C1157" s="15">
        <v>45432</v>
      </c>
      <c r="D1157" s="14">
        <v>497532.53</v>
      </c>
      <c r="E1157" s="14" t="s">
        <v>6502</v>
      </c>
      <c r="F1157" s="14" t="s">
        <v>6503</v>
      </c>
      <c r="G1157" s="14" t="s">
        <v>46</v>
      </c>
      <c r="H1157" s="14">
        <v>4</v>
      </c>
      <c r="I1157" s="13" t="str" cm="1">
        <f t="array" ref="I1157">_xlfn.IFS(
  OR(ISBLANK(A1157),ISBLANK(B1157),ISBLANK(D1157),ISBLANK(E1157),ISBLANK(H1157)),"Missing Value",
  D1157&lt;0,"Review – Out of Range (Claim Amount)",
  H1157&lt;0,"Review – Out of Range (Days to Process)",
  TRUE,"OK"
)</f>
        <v>OK</v>
      </c>
    </row>
    <row r="1158" spans="1:9" ht="16.8" x14ac:dyDescent="0.3">
      <c r="A1158" s="11" t="s">
        <v>7665</v>
      </c>
      <c r="B1158" s="11" t="s">
        <v>5748</v>
      </c>
      <c r="C1158" s="12">
        <v>44877</v>
      </c>
      <c r="D1158" s="11">
        <v>437622.74</v>
      </c>
      <c r="E1158" s="11" t="s">
        <v>6505</v>
      </c>
      <c r="F1158" s="11" t="s">
        <v>6506</v>
      </c>
      <c r="G1158" s="11" t="s">
        <v>46</v>
      </c>
      <c r="H1158" s="11">
        <v>51</v>
      </c>
      <c r="I1158" s="13" t="str" cm="1">
        <f t="array" ref="I1158">_xlfn.IFS(
  OR(ISBLANK(A1158),ISBLANK(B1158),ISBLANK(D1158),ISBLANK(E1158),ISBLANK(H1158)),"Missing Value",
  D1158&lt;0,"Review – Out of Range (Claim Amount)",
  H1158&lt;0,"Review – Out of Range (Days to Process)",
  TRUE,"OK"
)</f>
        <v>OK</v>
      </c>
    </row>
    <row r="1159" spans="1:9" ht="16.8" x14ac:dyDescent="0.3">
      <c r="A1159" s="14" t="s">
        <v>7666</v>
      </c>
      <c r="B1159" s="14" t="s">
        <v>4015</v>
      </c>
      <c r="C1159" s="15">
        <v>45776</v>
      </c>
      <c r="D1159" s="14">
        <v>170888.84</v>
      </c>
      <c r="E1159" s="14" t="s">
        <v>6505</v>
      </c>
      <c r="F1159" s="14" t="s">
        <v>6506</v>
      </c>
      <c r="G1159" s="14" t="s">
        <v>46</v>
      </c>
      <c r="H1159" s="14">
        <v>29</v>
      </c>
      <c r="I1159" s="13" t="str" cm="1">
        <f t="array" ref="I1159">_xlfn.IFS(
  OR(ISBLANK(A1159),ISBLANK(B1159),ISBLANK(D1159),ISBLANK(E1159),ISBLANK(H1159)),"Missing Value",
  D1159&lt;0,"Review – Out of Range (Claim Amount)",
  H1159&lt;0,"Review – Out of Range (Days to Process)",
  TRUE,"OK"
)</f>
        <v>OK</v>
      </c>
    </row>
    <row r="1160" spans="1:9" ht="16.8" x14ac:dyDescent="0.3">
      <c r="A1160" s="11" t="s">
        <v>7667</v>
      </c>
      <c r="B1160" s="11" t="s">
        <v>5987</v>
      </c>
      <c r="C1160" s="12">
        <v>44724</v>
      </c>
      <c r="D1160" s="11">
        <v>472180.56</v>
      </c>
      <c r="E1160" s="11" t="s">
        <v>6502</v>
      </c>
      <c r="F1160" s="11" t="s">
        <v>6516</v>
      </c>
      <c r="G1160" s="11" t="s">
        <v>46</v>
      </c>
      <c r="H1160" s="11">
        <v>26</v>
      </c>
      <c r="I1160" s="13" t="str" cm="1">
        <f t="array" ref="I1160">_xlfn.IFS(
  OR(ISBLANK(A1160),ISBLANK(B1160),ISBLANK(D1160),ISBLANK(E1160),ISBLANK(H1160)),"Missing Value",
  D1160&lt;0,"Review – Out of Range (Claim Amount)",
  H1160&lt;0,"Review – Out of Range (Days to Process)",
  TRUE,"OK"
)</f>
        <v>OK</v>
      </c>
    </row>
    <row r="1161" spans="1:9" ht="16.8" x14ac:dyDescent="0.3">
      <c r="A1161" s="14" t="s">
        <v>7668</v>
      </c>
      <c r="B1161" s="14" t="s">
        <v>6233</v>
      </c>
      <c r="C1161" s="15">
        <v>45228</v>
      </c>
      <c r="D1161" s="14">
        <v>281400.21000000002</v>
      </c>
      <c r="E1161" s="14" t="s">
        <v>6505</v>
      </c>
      <c r="F1161" s="14" t="s">
        <v>6506</v>
      </c>
      <c r="G1161" s="14" t="s">
        <v>45</v>
      </c>
      <c r="H1161" s="14">
        <v>30</v>
      </c>
      <c r="I1161" s="13" t="str" cm="1">
        <f t="array" ref="I1161">_xlfn.IFS(
  OR(ISBLANK(A1161),ISBLANK(B1161),ISBLANK(D1161),ISBLANK(E1161),ISBLANK(H1161)),"Missing Value",
  D1161&lt;0,"Review – Out of Range (Claim Amount)",
  H1161&lt;0,"Review – Out of Range (Days to Process)",
  TRUE,"OK"
)</f>
        <v>OK</v>
      </c>
    </row>
    <row r="1162" spans="1:9" ht="16.8" x14ac:dyDescent="0.3">
      <c r="A1162" s="11" t="s">
        <v>7669</v>
      </c>
      <c r="B1162" s="11" t="s">
        <v>3713</v>
      </c>
      <c r="C1162" s="12">
        <v>44800</v>
      </c>
      <c r="D1162" s="11">
        <v>299149.09000000003</v>
      </c>
      <c r="E1162" s="11" t="s">
        <v>6505</v>
      </c>
      <c r="F1162" s="11" t="s">
        <v>6516</v>
      </c>
      <c r="G1162" s="11" t="s">
        <v>45</v>
      </c>
      <c r="H1162" s="11">
        <v>13</v>
      </c>
      <c r="I1162" s="13" t="str" cm="1">
        <f t="array" ref="I1162">_xlfn.IFS(
  OR(ISBLANK(A1162),ISBLANK(B1162),ISBLANK(D1162),ISBLANK(E1162),ISBLANK(H1162)),"Missing Value",
  D1162&lt;0,"Review – Out of Range (Claim Amount)",
  H1162&lt;0,"Review – Out of Range (Days to Process)",
  TRUE,"OK"
)</f>
        <v>OK</v>
      </c>
    </row>
    <row r="1163" spans="1:9" ht="16.8" x14ac:dyDescent="0.3">
      <c r="A1163" s="14" t="s">
        <v>7670</v>
      </c>
      <c r="B1163" s="14" t="s">
        <v>4061</v>
      </c>
      <c r="C1163" s="15">
        <v>45542</v>
      </c>
      <c r="D1163" s="14">
        <v>191551.24</v>
      </c>
      <c r="E1163" s="14" t="s">
        <v>6508</v>
      </c>
      <c r="F1163" s="14" t="s">
        <v>6509</v>
      </c>
      <c r="G1163" s="14" t="s">
        <v>45</v>
      </c>
      <c r="H1163" s="14">
        <v>53</v>
      </c>
      <c r="I1163" s="13" t="str" cm="1">
        <f t="array" ref="I1163">_xlfn.IFS(
  OR(ISBLANK(A1163),ISBLANK(B1163),ISBLANK(D1163),ISBLANK(E1163),ISBLANK(H1163)),"Missing Value",
  D1163&lt;0,"Review – Out of Range (Claim Amount)",
  H1163&lt;0,"Review – Out of Range (Days to Process)",
  TRUE,"OK"
)</f>
        <v>OK</v>
      </c>
    </row>
    <row r="1164" spans="1:9" ht="16.8" x14ac:dyDescent="0.3">
      <c r="A1164" s="11" t="s">
        <v>7671</v>
      </c>
      <c r="B1164" s="11" t="s">
        <v>6125</v>
      </c>
      <c r="C1164" s="12">
        <v>44869</v>
      </c>
      <c r="D1164" s="11">
        <v>160699.35</v>
      </c>
      <c r="E1164" s="11" t="s">
        <v>6508</v>
      </c>
      <c r="F1164" s="11" t="s">
        <v>6506</v>
      </c>
      <c r="G1164" s="11" t="s">
        <v>45</v>
      </c>
      <c r="H1164" s="11">
        <v>48</v>
      </c>
      <c r="I1164" s="13" t="str" cm="1">
        <f t="array" ref="I1164">_xlfn.IFS(
  OR(ISBLANK(A1164),ISBLANK(B1164),ISBLANK(D1164),ISBLANK(E1164),ISBLANK(H1164)),"Missing Value",
  D1164&lt;0,"Review – Out of Range (Claim Amount)",
  H1164&lt;0,"Review – Out of Range (Days to Process)",
  TRUE,"OK"
)</f>
        <v>OK</v>
      </c>
    </row>
    <row r="1165" spans="1:9" ht="16.8" x14ac:dyDescent="0.3">
      <c r="A1165" s="14" t="s">
        <v>7672</v>
      </c>
      <c r="B1165" s="14" t="s">
        <v>5010</v>
      </c>
      <c r="C1165" s="15">
        <v>44265</v>
      </c>
      <c r="D1165" s="14">
        <v>207532.35</v>
      </c>
      <c r="E1165" s="14" t="s">
        <v>6505</v>
      </c>
      <c r="F1165" s="14" t="s">
        <v>6509</v>
      </c>
      <c r="G1165" s="14" t="s">
        <v>46</v>
      </c>
      <c r="H1165" s="14">
        <v>59</v>
      </c>
      <c r="I1165" s="13" t="str" cm="1">
        <f t="array" ref="I1165">_xlfn.IFS(
  OR(ISBLANK(A1165),ISBLANK(B1165),ISBLANK(D1165),ISBLANK(E1165),ISBLANK(H1165)),"Missing Value",
  D1165&lt;0,"Review – Out of Range (Claim Amount)",
  H1165&lt;0,"Review – Out of Range (Days to Process)",
  TRUE,"OK"
)</f>
        <v>OK</v>
      </c>
    </row>
    <row r="1166" spans="1:9" ht="16.8" x14ac:dyDescent="0.3">
      <c r="A1166" s="11" t="s">
        <v>7673</v>
      </c>
      <c r="B1166" s="11" t="s">
        <v>5419</v>
      </c>
      <c r="C1166" s="12">
        <v>45218</v>
      </c>
      <c r="D1166" s="11">
        <v>147781.76000000001</v>
      </c>
      <c r="E1166" s="11" t="s">
        <v>6508</v>
      </c>
      <c r="F1166" s="11" t="s">
        <v>6509</v>
      </c>
      <c r="G1166" s="11" t="s">
        <v>46</v>
      </c>
      <c r="H1166" s="11">
        <v>27</v>
      </c>
      <c r="I1166" s="13" t="str" cm="1">
        <f t="array" ref="I1166">_xlfn.IFS(
  OR(ISBLANK(A1166),ISBLANK(B1166),ISBLANK(D1166),ISBLANK(E1166),ISBLANK(H1166)),"Missing Value",
  D1166&lt;0,"Review – Out of Range (Claim Amount)",
  H1166&lt;0,"Review – Out of Range (Days to Process)",
  TRUE,"OK"
)</f>
        <v>OK</v>
      </c>
    </row>
    <row r="1167" spans="1:9" ht="16.8" x14ac:dyDescent="0.3">
      <c r="A1167" s="14" t="s">
        <v>7674</v>
      </c>
      <c r="B1167" s="14" t="s">
        <v>4722</v>
      </c>
      <c r="C1167" s="15">
        <v>44970</v>
      </c>
      <c r="D1167" s="14">
        <v>78301.16</v>
      </c>
      <c r="E1167" s="14" t="s">
        <v>6502</v>
      </c>
      <c r="F1167" s="14" t="s">
        <v>6506</v>
      </c>
      <c r="G1167" s="14" t="s">
        <v>46</v>
      </c>
      <c r="H1167" s="14">
        <v>36</v>
      </c>
      <c r="I1167" s="13" t="str" cm="1">
        <f t="array" ref="I1167">_xlfn.IFS(
  OR(ISBLANK(A1167),ISBLANK(B1167),ISBLANK(D1167),ISBLANK(E1167),ISBLANK(H1167)),"Missing Value",
  D1167&lt;0,"Review – Out of Range (Claim Amount)",
  H1167&lt;0,"Review – Out of Range (Days to Process)",
  TRUE,"OK"
)</f>
        <v>OK</v>
      </c>
    </row>
    <row r="1168" spans="1:9" ht="16.8" x14ac:dyDescent="0.3">
      <c r="A1168" s="11" t="s">
        <v>7675</v>
      </c>
      <c r="B1168" s="11" t="s">
        <v>4736</v>
      </c>
      <c r="C1168" s="12">
        <v>45313</v>
      </c>
      <c r="D1168" s="11">
        <v>131785.54999999999</v>
      </c>
      <c r="E1168" s="11" t="s">
        <v>6505</v>
      </c>
      <c r="F1168" s="11" t="s">
        <v>6516</v>
      </c>
      <c r="G1168" s="11" t="s">
        <v>46</v>
      </c>
      <c r="H1168" s="11">
        <v>37</v>
      </c>
      <c r="I1168" s="13" t="str" cm="1">
        <f t="array" ref="I1168">_xlfn.IFS(
  OR(ISBLANK(A1168),ISBLANK(B1168),ISBLANK(D1168),ISBLANK(E1168),ISBLANK(H1168)),"Missing Value",
  D1168&lt;0,"Review – Out of Range (Claim Amount)",
  H1168&lt;0,"Review – Out of Range (Days to Process)",
  TRUE,"OK"
)</f>
        <v>OK</v>
      </c>
    </row>
    <row r="1169" spans="1:9" ht="16.8" x14ac:dyDescent="0.3">
      <c r="A1169" s="14" t="s">
        <v>7676</v>
      </c>
      <c r="B1169" s="14" t="s">
        <v>6008</v>
      </c>
      <c r="C1169" s="15">
        <v>45433</v>
      </c>
      <c r="D1169" s="14">
        <v>93920.99</v>
      </c>
      <c r="E1169" s="14" t="s">
        <v>6505</v>
      </c>
      <c r="F1169" s="14" t="s">
        <v>6511</v>
      </c>
      <c r="G1169" s="14" t="s">
        <v>45</v>
      </c>
      <c r="H1169" s="14">
        <v>53</v>
      </c>
      <c r="I1169" s="13" t="str" cm="1">
        <f t="array" ref="I1169">_xlfn.IFS(
  OR(ISBLANK(A1169),ISBLANK(B1169),ISBLANK(D1169),ISBLANK(E1169),ISBLANK(H1169)),"Missing Value",
  D1169&lt;0,"Review – Out of Range (Claim Amount)",
  H1169&lt;0,"Review – Out of Range (Days to Process)",
  TRUE,"OK"
)</f>
        <v>OK</v>
      </c>
    </row>
    <row r="1170" spans="1:9" ht="16.8" x14ac:dyDescent="0.3">
      <c r="A1170" s="11" t="s">
        <v>7677</v>
      </c>
      <c r="B1170" s="11" t="s">
        <v>4947</v>
      </c>
      <c r="C1170" s="12">
        <v>44952</v>
      </c>
      <c r="D1170" s="11">
        <v>305939.76</v>
      </c>
      <c r="E1170" s="11" t="s">
        <v>6508</v>
      </c>
      <c r="F1170" s="11" t="s">
        <v>6516</v>
      </c>
      <c r="G1170" s="11" t="s">
        <v>46</v>
      </c>
      <c r="H1170" s="11">
        <v>54</v>
      </c>
      <c r="I1170" s="13" t="str" cm="1">
        <f t="array" ref="I1170">_xlfn.IFS(
  OR(ISBLANK(A1170),ISBLANK(B1170),ISBLANK(D1170),ISBLANK(E1170),ISBLANK(H1170)),"Missing Value",
  D1170&lt;0,"Review – Out of Range (Claim Amount)",
  H1170&lt;0,"Review – Out of Range (Days to Process)",
  TRUE,"OK"
)</f>
        <v>OK</v>
      </c>
    </row>
    <row r="1171" spans="1:9" ht="16.8" x14ac:dyDescent="0.3">
      <c r="A1171" s="14" t="s">
        <v>7678</v>
      </c>
      <c r="B1171" s="14" t="s">
        <v>6364</v>
      </c>
      <c r="C1171" s="15">
        <v>45443</v>
      </c>
      <c r="D1171" s="14">
        <v>114792.34</v>
      </c>
      <c r="E1171" s="14" t="s">
        <v>6508</v>
      </c>
      <c r="F1171" s="14" t="s">
        <v>6516</v>
      </c>
      <c r="G1171" s="14" t="s">
        <v>45</v>
      </c>
      <c r="H1171" s="14">
        <v>42</v>
      </c>
      <c r="I1171" s="13" t="str" cm="1">
        <f t="array" ref="I1171">_xlfn.IFS(
  OR(ISBLANK(A1171),ISBLANK(B1171),ISBLANK(D1171),ISBLANK(E1171),ISBLANK(H1171)),"Missing Value",
  D1171&lt;0,"Review – Out of Range (Claim Amount)",
  H1171&lt;0,"Review – Out of Range (Days to Process)",
  TRUE,"OK"
)</f>
        <v>OK</v>
      </c>
    </row>
    <row r="1172" spans="1:9" ht="16.8" x14ac:dyDescent="0.3">
      <c r="A1172" s="11" t="s">
        <v>7679</v>
      </c>
      <c r="B1172" s="11" t="s">
        <v>6187</v>
      </c>
      <c r="C1172" s="12">
        <v>45386</v>
      </c>
      <c r="D1172" s="11">
        <v>131611.45000000001</v>
      </c>
      <c r="E1172" s="11" t="s">
        <v>6508</v>
      </c>
      <c r="F1172" s="11" t="s">
        <v>6509</v>
      </c>
      <c r="G1172" s="11" t="s">
        <v>46</v>
      </c>
      <c r="H1172" s="11">
        <v>19</v>
      </c>
      <c r="I1172" s="13" t="str" cm="1">
        <f t="array" ref="I1172">_xlfn.IFS(
  OR(ISBLANK(A1172),ISBLANK(B1172),ISBLANK(D1172),ISBLANK(E1172),ISBLANK(H1172)),"Missing Value",
  D1172&lt;0,"Review – Out of Range (Claim Amount)",
  H1172&lt;0,"Review – Out of Range (Days to Process)",
  TRUE,"OK"
)</f>
        <v>OK</v>
      </c>
    </row>
    <row r="1173" spans="1:9" ht="16.8" x14ac:dyDescent="0.3">
      <c r="A1173" s="14" t="s">
        <v>7680</v>
      </c>
      <c r="B1173" s="14" t="s">
        <v>3596</v>
      </c>
      <c r="C1173" s="15">
        <v>44433</v>
      </c>
      <c r="D1173" s="14">
        <v>342089.73</v>
      </c>
      <c r="E1173" s="14" t="s">
        <v>6508</v>
      </c>
      <c r="F1173" s="14" t="s">
        <v>6511</v>
      </c>
      <c r="G1173" s="14" t="s">
        <v>46</v>
      </c>
      <c r="H1173" s="14">
        <v>49</v>
      </c>
      <c r="I1173" s="13" t="str" cm="1">
        <f t="array" ref="I1173">_xlfn.IFS(
  OR(ISBLANK(A1173),ISBLANK(B1173),ISBLANK(D1173),ISBLANK(E1173),ISBLANK(H1173)),"Missing Value",
  D1173&lt;0,"Review – Out of Range (Claim Amount)",
  H1173&lt;0,"Review – Out of Range (Days to Process)",
  TRUE,"OK"
)</f>
        <v>OK</v>
      </c>
    </row>
    <row r="1174" spans="1:9" ht="16.8" x14ac:dyDescent="0.3">
      <c r="A1174" s="11" t="s">
        <v>7681</v>
      </c>
      <c r="B1174" s="11" t="s">
        <v>4451</v>
      </c>
      <c r="C1174" s="12">
        <v>45405</v>
      </c>
      <c r="D1174" s="11">
        <v>439792.36</v>
      </c>
      <c r="E1174" s="11" t="s">
        <v>6505</v>
      </c>
      <c r="F1174" s="11" t="s">
        <v>6509</v>
      </c>
      <c r="G1174" s="11" t="s">
        <v>46</v>
      </c>
      <c r="H1174" s="11">
        <v>36</v>
      </c>
      <c r="I1174" s="13" t="str" cm="1">
        <f t="array" ref="I1174">_xlfn.IFS(
  OR(ISBLANK(A1174),ISBLANK(B1174),ISBLANK(D1174),ISBLANK(E1174),ISBLANK(H1174)),"Missing Value",
  D1174&lt;0,"Review – Out of Range (Claim Amount)",
  H1174&lt;0,"Review – Out of Range (Days to Process)",
  TRUE,"OK"
)</f>
        <v>OK</v>
      </c>
    </row>
    <row r="1175" spans="1:9" ht="16.8" x14ac:dyDescent="0.3">
      <c r="A1175" s="14" t="s">
        <v>7682</v>
      </c>
      <c r="B1175" s="14" t="s">
        <v>5203</v>
      </c>
      <c r="C1175" s="15">
        <v>45435</v>
      </c>
      <c r="D1175" s="14">
        <v>25378.46</v>
      </c>
      <c r="E1175" s="14" t="s">
        <v>6508</v>
      </c>
      <c r="F1175" s="14" t="s">
        <v>6511</v>
      </c>
      <c r="G1175" s="14" t="s">
        <v>45</v>
      </c>
      <c r="H1175" s="14">
        <v>33</v>
      </c>
      <c r="I1175" s="13" t="str" cm="1">
        <f t="array" ref="I1175">_xlfn.IFS(
  OR(ISBLANK(A1175),ISBLANK(B1175),ISBLANK(D1175),ISBLANK(E1175),ISBLANK(H1175)),"Missing Value",
  D1175&lt;0,"Review – Out of Range (Claim Amount)",
  H1175&lt;0,"Review – Out of Range (Days to Process)",
  TRUE,"OK"
)</f>
        <v>OK</v>
      </c>
    </row>
    <row r="1176" spans="1:9" ht="16.8" x14ac:dyDescent="0.3">
      <c r="A1176" s="11" t="s">
        <v>7683</v>
      </c>
      <c r="B1176" s="11" t="s">
        <v>3570</v>
      </c>
      <c r="C1176" s="12">
        <v>45032</v>
      </c>
      <c r="D1176" s="11">
        <v>341288.64</v>
      </c>
      <c r="E1176" s="11" t="s">
        <v>6508</v>
      </c>
      <c r="F1176" s="11" t="s">
        <v>6509</v>
      </c>
      <c r="G1176" s="11" t="s">
        <v>45</v>
      </c>
      <c r="H1176" s="11">
        <v>34</v>
      </c>
      <c r="I1176" s="13" t="str" cm="1">
        <f t="array" ref="I1176">_xlfn.IFS(
  OR(ISBLANK(A1176),ISBLANK(B1176),ISBLANK(D1176),ISBLANK(E1176),ISBLANK(H1176)),"Missing Value",
  D1176&lt;0,"Review – Out of Range (Claim Amount)",
  H1176&lt;0,"Review – Out of Range (Days to Process)",
  TRUE,"OK"
)</f>
        <v>OK</v>
      </c>
    </row>
    <row r="1177" spans="1:9" ht="16.8" x14ac:dyDescent="0.3">
      <c r="A1177" s="14" t="s">
        <v>7684</v>
      </c>
      <c r="B1177" s="14" t="s">
        <v>5486</v>
      </c>
      <c r="C1177" s="15">
        <v>45058</v>
      </c>
      <c r="D1177" s="14">
        <v>349992.65</v>
      </c>
      <c r="E1177" s="14" t="s">
        <v>6505</v>
      </c>
      <c r="F1177" s="14" t="s">
        <v>6511</v>
      </c>
      <c r="G1177" s="14" t="s">
        <v>45</v>
      </c>
      <c r="H1177" s="14">
        <v>47</v>
      </c>
      <c r="I1177" s="13" t="str" cm="1">
        <f t="array" ref="I1177">_xlfn.IFS(
  OR(ISBLANK(A1177),ISBLANK(B1177),ISBLANK(D1177),ISBLANK(E1177),ISBLANK(H1177)),"Missing Value",
  D1177&lt;0,"Review – Out of Range (Claim Amount)",
  H1177&lt;0,"Review – Out of Range (Days to Process)",
  TRUE,"OK"
)</f>
        <v>OK</v>
      </c>
    </row>
    <row r="1178" spans="1:9" ht="16.8" x14ac:dyDescent="0.3">
      <c r="A1178" s="11" t="s">
        <v>7685</v>
      </c>
      <c r="B1178" s="11" t="s">
        <v>6436</v>
      </c>
      <c r="C1178" s="12">
        <v>45567</v>
      </c>
      <c r="D1178" s="11">
        <v>311040.68</v>
      </c>
      <c r="E1178" s="11" t="s">
        <v>6505</v>
      </c>
      <c r="F1178" s="11" t="s">
        <v>6509</v>
      </c>
      <c r="G1178" s="11" t="s">
        <v>46</v>
      </c>
      <c r="H1178" s="11">
        <v>44</v>
      </c>
      <c r="I1178" s="13" t="str" cm="1">
        <f t="array" ref="I1178">_xlfn.IFS(
  OR(ISBLANK(A1178),ISBLANK(B1178),ISBLANK(D1178),ISBLANK(E1178),ISBLANK(H1178)),"Missing Value",
  D1178&lt;0,"Review – Out of Range (Claim Amount)",
  H1178&lt;0,"Review – Out of Range (Days to Process)",
  TRUE,"OK"
)</f>
        <v>OK</v>
      </c>
    </row>
    <row r="1179" spans="1:9" ht="16.8" x14ac:dyDescent="0.3">
      <c r="A1179" s="14" t="s">
        <v>7686</v>
      </c>
      <c r="B1179" s="14" t="s">
        <v>6328</v>
      </c>
      <c r="C1179" s="15">
        <v>45637</v>
      </c>
      <c r="D1179" s="14">
        <v>354958.52</v>
      </c>
      <c r="E1179" s="14" t="s">
        <v>6508</v>
      </c>
      <c r="F1179" s="14" t="s">
        <v>6516</v>
      </c>
      <c r="G1179" s="14" t="s">
        <v>46</v>
      </c>
      <c r="H1179" s="14">
        <v>41</v>
      </c>
      <c r="I1179" s="13" t="str" cm="1">
        <f t="array" ref="I1179">_xlfn.IFS(
  OR(ISBLANK(A1179),ISBLANK(B1179),ISBLANK(D1179),ISBLANK(E1179),ISBLANK(H1179)),"Missing Value",
  D1179&lt;0,"Review – Out of Range (Claim Amount)",
  H1179&lt;0,"Review – Out of Range (Days to Process)",
  TRUE,"OK"
)</f>
        <v>OK</v>
      </c>
    </row>
    <row r="1180" spans="1:9" ht="16.8" x14ac:dyDescent="0.3">
      <c r="A1180" s="11" t="s">
        <v>7687</v>
      </c>
      <c r="B1180" s="11" t="s">
        <v>5836</v>
      </c>
      <c r="C1180" s="12">
        <v>44909</v>
      </c>
      <c r="D1180" s="11">
        <v>50670.67</v>
      </c>
      <c r="E1180" s="11" t="s">
        <v>6502</v>
      </c>
      <c r="F1180" s="11" t="s">
        <v>6506</v>
      </c>
      <c r="G1180" s="11" t="s">
        <v>46</v>
      </c>
      <c r="H1180" s="11">
        <v>5</v>
      </c>
      <c r="I1180" s="13" t="str" cm="1">
        <f t="array" ref="I1180">_xlfn.IFS(
  OR(ISBLANK(A1180),ISBLANK(B1180),ISBLANK(D1180),ISBLANK(E1180),ISBLANK(H1180)),"Missing Value",
  D1180&lt;0,"Review – Out of Range (Claim Amount)",
  H1180&lt;0,"Review – Out of Range (Days to Process)",
  TRUE,"OK"
)</f>
        <v>OK</v>
      </c>
    </row>
    <row r="1181" spans="1:9" ht="16.8" x14ac:dyDescent="0.3">
      <c r="A1181" s="14" t="s">
        <v>7688</v>
      </c>
      <c r="B1181" s="14" t="s">
        <v>4654</v>
      </c>
      <c r="C1181" s="15">
        <v>44922</v>
      </c>
      <c r="D1181" s="14">
        <v>94163.46</v>
      </c>
      <c r="E1181" s="14" t="s">
        <v>6505</v>
      </c>
      <c r="F1181" s="14" t="s">
        <v>6506</v>
      </c>
      <c r="G1181" s="14" t="s">
        <v>46</v>
      </c>
      <c r="H1181" s="14">
        <v>53</v>
      </c>
      <c r="I1181" s="13" t="str" cm="1">
        <f t="array" ref="I1181">_xlfn.IFS(
  OR(ISBLANK(A1181),ISBLANK(B1181),ISBLANK(D1181),ISBLANK(E1181),ISBLANK(H1181)),"Missing Value",
  D1181&lt;0,"Review – Out of Range (Claim Amount)",
  H1181&lt;0,"Review – Out of Range (Days to Process)",
  TRUE,"OK"
)</f>
        <v>OK</v>
      </c>
    </row>
    <row r="1182" spans="1:9" ht="16.8" x14ac:dyDescent="0.3">
      <c r="A1182" s="11" t="s">
        <v>7689</v>
      </c>
      <c r="B1182" s="11" t="s">
        <v>4318</v>
      </c>
      <c r="C1182" s="12">
        <v>45599</v>
      </c>
      <c r="D1182" s="11">
        <v>275497.12</v>
      </c>
      <c r="E1182" s="11" t="s">
        <v>6508</v>
      </c>
      <c r="F1182" s="11" t="s">
        <v>6511</v>
      </c>
      <c r="G1182" s="11" t="s">
        <v>46</v>
      </c>
      <c r="H1182" s="11">
        <v>21</v>
      </c>
      <c r="I1182" s="13" t="str" cm="1">
        <f t="array" ref="I1182">_xlfn.IFS(
  OR(ISBLANK(A1182),ISBLANK(B1182),ISBLANK(D1182),ISBLANK(E1182),ISBLANK(H1182)),"Missing Value",
  D1182&lt;0,"Review – Out of Range (Claim Amount)",
  H1182&lt;0,"Review – Out of Range (Days to Process)",
  TRUE,"OK"
)</f>
        <v>OK</v>
      </c>
    </row>
    <row r="1183" spans="1:9" ht="16.8" x14ac:dyDescent="0.3">
      <c r="A1183" s="14" t="s">
        <v>7690</v>
      </c>
      <c r="B1183" s="14" t="s">
        <v>4828</v>
      </c>
      <c r="C1183" s="15">
        <v>45505</v>
      </c>
      <c r="D1183" s="14">
        <v>342731.75</v>
      </c>
      <c r="E1183" s="14" t="s">
        <v>6505</v>
      </c>
      <c r="F1183" s="14" t="s">
        <v>6511</v>
      </c>
      <c r="G1183" s="14" t="s">
        <v>45</v>
      </c>
      <c r="H1183" s="14">
        <v>12</v>
      </c>
      <c r="I1183" s="13" t="str" cm="1">
        <f t="array" ref="I1183">_xlfn.IFS(
  OR(ISBLANK(A1183),ISBLANK(B1183),ISBLANK(D1183),ISBLANK(E1183),ISBLANK(H1183)),"Missing Value",
  D1183&lt;0,"Review – Out of Range (Claim Amount)",
  H1183&lt;0,"Review – Out of Range (Days to Process)",
  TRUE,"OK"
)</f>
        <v>OK</v>
      </c>
    </row>
    <row r="1184" spans="1:9" ht="16.8" x14ac:dyDescent="0.3">
      <c r="A1184" s="11" t="s">
        <v>7691</v>
      </c>
      <c r="B1184" s="11" t="s">
        <v>5622</v>
      </c>
      <c r="C1184" s="12">
        <v>44406</v>
      </c>
      <c r="D1184" s="11">
        <v>373385.59</v>
      </c>
      <c r="E1184" s="11" t="s">
        <v>6508</v>
      </c>
      <c r="F1184" s="11" t="s">
        <v>6503</v>
      </c>
      <c r="G1184" s="11" t="s">
        <v>46</v>
      </c>
      <c r="H1184" s="11">
        <v>31</v>
      </c>
      <c r="I1184" s="13" t="str" cm="1">
        <f t="array" ref="I1184">_xlfn.IFS(
  OR(ISBLANK(A1184),ISBLANK(B1184),ISBLANK(D1184),ISBLANK(E1184),ISBLANK(H1184)),"Missing Value",
  D1184&lt;0,"Review – Out of Range (Claim Amount)",
  H1184&lt;0,"Review – Out of Range (Days to Process)",
  TRUE,"OK"
)</f>
        <v>OK</v>
      </c>
    </row>
    <row r="1185" spans="1:9" ht="16.8" x14ac:dyDescent="0.3">
      <c r="A1185" s="14" t="s">
        <v>7692</v>
      </c>
      <c r="B1185" s="14" t="s">
        <v>6148</v>
      </c>
      <c r="C1185" s="15">
        <v>44889</v>
      </c>
      <c r="D1185" s="14">
        <v>94472.02</v>
      </c>
      <c r="E1185" s="14" t="s">
        <v>6505</v>
      </c>
      <c r="F1185" s="14" t="s">
        <v>6511</v>
      </c>
      <c r="G1185" s="14" t="s">
        <v>45</v>
      </c>
      <c r="H1185" s="14">
        <v>3</v>
      </c>
      <c r="I1185" s="13" t="str" cm="1">
        <f t="array" ref="I1185">_xlfn.IFS(
  OR(ISBLANK(A1185),ISBLANK(B1185),ISBLANK(D1185),ISBLANK(E1185),ISBLANK(H1185)),"Missing Value",
  D1185&lt;0,"Review – Out of Range (Claim Amount)",
  H1185&lt;0,"Review – Out of Range (Days to Process)",
  TRUE,"OK"
)</f>
        <v>OK</v>
      </c>
    </row>
    <row r="1186" spans="1:9" ht="16.8" x14ac:dyDescent="0.3">
      <c r="A1186" s="11" t="s">
        <v>7693</v>
      </c>
      <c r="B1186" s="11" t="s">
        <v>6184</v>
      </c>
      <c r="C1186" s="12">
        <v>45101</v>
      </c>
      <c r="D1186" s="11">
        <v>115651.24</v>
      </c>
      <c r="E1186" s="11" t="s">
        <v>6502</v>
      </c>
      <c r="F1186" s="11" t="s">
        <v>6509</v>
      </c>
      <c r="G1186" s="11" t="s">
        <v>46</v>
      </c>
      <c r="H1186" s="11">
        <v>23</v>
      </c>
      <c r="I1186" s="13" t="str" cm="1">
        <f t="array" ref="I1186">_xlfn.IFS(
  OR(ISBLANK(A1186),ISBLANK(B1186),ISBLANK(D1186),ISBLANK(E1186),ISBLANK(H1186)),"Missing Value",
  D1186&lt;0,"Review – Out of Range (Claim Amount)",
  H1186&lt;0,"Review – Out of Range (Days to Process)",
  TRUE,"OK"
)</f>
        <v>OK</v>
      </c>
    </row>
    <row r="1187" spans="1:9" ht="16.8" x14ac:dyDescent="0.3">
      <c r="A1187" s="14" t="s">
        <v>7694</v>
      </c>
      <c r="B1187" s="14" t="s">
        <v>5704</v>
      </c>
      <c r="C1187" s="15">
        <v>45790</v>
      </c>
      <c r="D1187" s="14">
        <v>282410.64</v>
      </c>
      <c r="E1187" s="14" t="s">
        <v>6505</v>
      </c>
      <c r="F1187" s="14" t="s">
        <v>6503</v>
      </c>
      <c r="G1187" s="14" t="s">
        <v>46</v>
      </c>
      <c r="H1187" s="14">
        <v>6</v>
      </c>
      <c r="I1187" s="13" t="str" cm="1">
        <f t="array" ref="I1187">_xlfn.IFS(
  OR(ISBLANK(A1187),ISBLANK(B1187),ISBLANK(D1187),ISBLANK(E1187),ISBLANK(H1187)),"Missing Value",
  D1187&lt;0,"Review – Out of Range (Claim Amount)",
  H1187&lt;0,"Review – Out of Range (Days to Process)",
  TRUE,"OK"
)</f>
        <v>OK</v>
      </c>
    </row>
    <row r="1188" spans="1:9" ht="16.8" x14ac:dyDescent="0.3">
      <c r="A1188" s="11" t="s">
        <v>7695</v>
      </c>
      <c r="B1188" s="11" t="s">
        <v>5309</v>
      </c>
      <c r="C1188" s="12">
        <v>44720</v>
      </c>
      <c r="D1188" s="11">
        <v>251374.71</v>
      </c>
      <c r="E1188" s="11" t="s">
        <v>6508</v>
      </c>
      <c r="F1188" s="11" t="s">
        <v>6509</v>
      </c>
      <c r="G1188" s="11" t="s">
        <v>46</v>
      </c>
      <c r="H1188" s="11">
        <v>42</v>
      </c>
      <c r="I1188" s="13" t="str" cm="1">
        <f t="array" ref="I1188">_xlfn.IFS(
  OR(ISBLANK(A1188),ISBLANK(B1188),ISBLANK(D1188),ISBLANK(E1188),ISBLANK(H1188)),"Missing Value",
  D1188&lt;0,"Review – Out of Range (Claim Amount)",
  H1188&lt;0,"Review – Out of Range (Days to Process)",
  TRUE,"OK"
)</f>
        <v>OK</v>
      </c>
    </row>
    <row r="1189" spans="1:9" ht="16.8" x14ac:dyDescent="0.3">
      <c r="A1189" s="14" t="s">
        <v>7696</v>
      </c>
      <c r="B1189" s="14" t="s">
        <v>4567</v>
      </c>
      <c r="C1189" s="15">
        <v>44397</v>
      </c>
      <c r="D1189" s="14">
        <v>367507.52</v>
      </c>
      <c r="E1189" s="14" t="s">
        <v>6505</v>
      </c>
      <c r="F1189" s="14" t="s">
        <v>6516</v>
      </c>
      <c r="G1189" s="14" t="s">
        <v>45</v>
      </c>
      <c r="H1189" s="14">
        <v>38</v>
      </c>
      <c r="I1189" s="13" t="str" cm="1">
        <f t="array" ref="I1189">_xlfn.IFS(
  OR(ISBLANK(A1189),ISBLANK(B1189),ISBLANK(D1189),ISBLANK(E1189),ISBLANK(H1189)),"Missing Value",
  D1189&lt;0,"Review – Out of Range (Claim Amount)",
  H1189&lt;0,"Review – Out of Range (Days to Process)",
  TRUE,"OK"
)</f>
        <v>OK</v>
      </c>
    </row>
    <row r="1190" spans="1:9" ht="16.8" x14ac:dyDescent="0.3">
      <c r="A1190" s="11" t="s">
        <v>7697</v>
      </c>
      <c r="B1190" s="11" t="s">
        <v>5780</v>
      </c>
      <c r="C1190" s="12">
        <v>45307</v>
      </c>
      <c r="D1190" s="11">
        <v>285921.19</v>
      </c>
      <c r="E1190" s="11" t="s">
        <v>6505</v>
      </c>
      <c r="F1190" s="11" t="s">
        <v>6503</v>
      </c>
      <c r="G1190" s="11" t="s">
        <v>45</v>
      </c>
      <c r="H1190" s="11">
        <v>7</v>
      </c>
      <c r="I1190" s="13" t="str" cm="1">
        <f t="array" ref="I1190">_xlfn.IFS(
  OR(ISBLANK(A1190),ISBLANK(B1190),ISBLANK(D1190),ISBLANK(E1190),ISBLANK(H1190)),"Missing Value",
  D1190&lt;0,"Review – Out of Range (Claim Amount)",
  H1190&lt;0,"Review – Out of Range (Days to Process)",
  TRUE,"OK"
)</f>
        <v>OK</v>
      </c>
    </row>
    <row r="1191" spans="1:9" ht="16.8" x14ac:dyDescent="0.3">
      <c r="A1191" s="14" t="s">
        <v>7698</v>
      </c>
      <c r="B1191" s="14" t="s">
        <v>4353</v>
      </c>
      <c r="C1191" s="15">
        <v>44599</v>
      </c>
      <c r="D1191" s="14">
        <v>464224.64</v>
      </c>
      <c r="E1191" s="14" t="s">
        <v>6502</v>
      </c>
      <c r="F1191" s="14" t="s">
        <v>6503</v>
      </c>
      <c r="G1191" s="14" t="s">
        <v>45</v>
      </c>
      <c r="H1191" s="14">
        <v>50</v>
      </c>
      <c r="I1191" s="13" t="str" cm="1">
        <f t="array" ref="I1191">_xlfn.IFS(
  OR(ISBLANK(A1191),ISBLANK(B1191),ISBLANK(D1191),ISBLANK(E1191),ISBLANK(H1191)),"Missing Value",
  D1191&lt;0,"Review – Out of Range (Claim Amount)",
  H1191&lt;0,"Review – Out of Range (Days to Process)",
  TRUE,"OK"
)</f>
        <v>OK</v>
      </c>
    </row>
    <row r="1192" spans="1:9" ht="16.8" x14ac:dyDescent="0.3">
      <c r="A1192" s="11" t="s">
        <v>7699</v>
      </c>
      <c r="B1192" s="11" t="s">
        <v>4491</v>
      </c>
      <c r="C1192" s="12">
        <v>45527</v>
      </c>
      <c r="D1192" s="11">
        <v>303126.92</v>
      </c>
      <c r="E1192" s="11" t="s">
        <v>6502</v>
      </c>
      <c r="F1192" s="11" t="s">
        <v>6516</v>
      </c>
      <c r="G1192" s="11" t="s">
        <v>46</v>
      </c>
      <c r="H1192" s="11">
        <v>4</v>
      </c>
      <c r="I1192" s="13" t="str" cm="1">
        <f t="array" ref="I1192">_xlfn.IFS(
  OR(ISBLANK(A1192),ISBLANK(B1192),ISBLANK(D1192),ISBLANK(E1192),ISBLANK(H1192)),"Missing Value",
  D1192&lt;0,"Review – Out of Range (Claim Amount)",
  H1192&lt;0,"Review – Out of Range (Days to Process)",
  TRUE,"OK"
)</f>
        <v>OK</v>
      </c>
    </row>
    <row r="1193" spans="1:9" ht="16.8" x14ac:dyDescent="0.3">
      <c r="A1193" s="14" t="s">
        <v>7700</v>
      </c>
      <c r="B1193" s="14" t="s">
        <v>5532</v>
      </c>
      <c r="C1193" s="15">
        <v>45562</v>
      </c>
      <c r="D1193" s="14">
        <v>14985.34</v>
      </c>
      <c r="E1193" s="14" t="s">
        <v>6502</v>
      </c>
      <c r="F1193" s="14" t="s">
        <v>6511</v>
      </c>
      <c r="G1193" s="14" t="s">
        <v>45</v>
      </c>
      <c r="H1193" s="14">
        <v>37</v>
      </c>
      <c r="I1193" s="13" t="str" cm="1">
        <f t="array" ref="I1193">_xlfn.IFS(
  OR(ISBLANK(A1193),ISBLANK(B1193),ISBLANK(D1193),ISBLANK(E1193),ISBLANK(H1193)),"Missing Value",
  D1193&lt;0,"Review – Out of Range (Claim Amount)",
  H1193&lt;0,"Review – Out of Range (Days to Process)",
  TRUE,"OK"
)</f>
        <v>OK</v>
      </c>
    </row>
    <row r="1194" spans="1:9" ht="16.8" x14ac:dyDescent="0.3">
      <c r="A1194" s="11" t="s">
        <v>7701</v>
      </c>
      <c r="B1194" s="11" t="s">
        <v>4668</v>
      </c>
      <c r="C1194" s="12">
        <v>45340</v>
      </c>
      <c r="D1194" s="11">
        <v>408243.33</v>
      </c>
      <c r="E1194" s="11" t="s">
        <v>6505</v>
      </c>
      <c r="F1194" s="11" t="s">
        <v>6509</v>
      </c>
      <c r="G1194" s="11" t="s">
        <v>45</v>
      </c>
      <c r="H1194" s="11">
        <v>26</v>
      </c>
      <c r="I1194" s="13" t="str" cm="1">
        <f t="array" ref="I1194">_xlfn.IFS(
  OR(ISBLANK(A1194),ISBLANK(B1194),ISBLANK(D1194),ISBLANK(E1194),ISBLANK(H1194)),"Missing Value",
  D1194&lt;0,"Review – Out of Range (Claim Amount)",
  H1194&lt;0,"Review – Out of Range (Days to Process)",
  TRUE,"OK"
)</f>
        <v>OK</v>
      </c>
    </row>
    <row r="1195" spans="1:9" ht="16.8" x14ac:dyDescent="0.3">
      <c r="A1195" s="14" t="s">
        <v>7702</v>
      </c>
      <c r="B1195" s="14" t="s">
        <v>5437</v>
      </c>
      <c r="C1195" s="15">
        <v>44448</v>
      </c>
      <c r="D1195" s="14">
        <v>109961.85</v>
      </c>
      <c r="E1195" s="14" t="s">
        <v>6502</v>
      </c>
      <c r="F1195" s="14" t="s">
        <v>6503</v>
      </c>
      <c r="G1195" s="14" t="s">
        <v>46</v>
      </c>
      <c r="H1195" s="14">
        <v>40</v>
      </c>
      <c r="I1195" s="13" t="str" cm="1">
        <f t="array" ref="I1195">_xlfn.IFS(
  OR(ISBLANK(A1195),ISBLANK(B1195),ISBLANK(D1195),ISBLANK(E1195),ISBLANK(H1195)),"Missing Value",
  D1195&lt;0,"Review – Out of Range (Claim Amount)",
  H1195&lt;0,"Review – Out of Range (Days to Process)",
  TRUE,"OK"
)</f>
        <v>OK</v>
      </c>
    </row>
    <row r="1196" spans="1:9" ht="16.8" x14ac:dyDescent="0.3">
      <c r="A1196" s="11" t="s">
        <v>7703</v>
      </c>
      <c r="B1196" s="11" t="s">
        <v>4475</v>
      </c>
      <c r="C1196" s="12">
        <v>45324</v>
      </c>
      <c r="D1196" s="11">
        <v>427669.07</v>
      </c>
      <c r="E1196" s="11" t="s">
        <v>6505</v>
      </c>
      <c r="F1196" s="11" t="s">
        <v>6511</v>
      </c>
      <c r="G1196" s="11" t="s">
        <v>46</v>
      </c>
      <c r="H1196" s="11">
        <v>40</v>
      </c>
      <c r="I1196" s="13" t="str" cm="1">
        <f t="array" ref="I1196">_xlfn.IFS(
  OR(ISBLANK(A1196),ISBLANK(B1196),ISBLANK(D1196),ISBLANK(E1196),ISBLANK(H1196)),"Missing Value",
  D1196&lt;0,"Review – Out of Range (Claim Amount)",
  H1196&lt;0,"Review – Out of Range (Days to Process)",
  TRUE,"OK"
)</f>
        <v>OK</v>
      </c>
    </row>
    <row r="1197" spans="1:9" ht="16.8" x14ac:dyDescent="0.3">
      <c r="A1197" s="14" t="s">
        <v>7704</v>
      </c>
      <c r="B1197" s="14" t="s">
        <v>5486</v>
      </c>
      <c r="C1197" s="15">
        <v>45063</v>
      </c>
      <c r="D1197" s="14">
        <v>419757.76</v>
      </c>
      <c r="E1197" s="14" t="s">
        <v>6502</v>
      </c>
      <c r="F1197" s="14" t="s">
        <v>6509</v>
      </c>
      <c r="G1197" s="14" t="s">
        <v>46</v>
      </c>
      <c r="H1197" s="14">
        <v>18</v>
      </c>
      <c r="I1197" s="13" t="str" cm="1">
        <f t="array" ref="I1197">_xlfn.IFS(
  OR(ISBLANK(A1197),ISBLANK(B1197),ISBLANK(D1197),ISBLANK(E1197),ISBLANK(H1197)),"Missing Value",
  D1197&lt;0,"Review – Out of Range (Claim Amount)",
  H1197&lt;0,"Review – Out of Range (Days to Process)",
  TRUE,"OK"
)</f>
        <v>OK</v>
      </c>
    </row>
    <row r="1198" spans="1:9" ht="16.8" x14ac:dyDescent="0.3">
      <c r="A1198" s="11" t="s">
        <v>7705</v>
      </c>
      <c r="B1198" s="11" t="s">
        <v>4188</v>
      </c>
      <c r="C1198" s="12">
        <v>45593</v>
      </c>
      <c r="D1198" s="11">
        <v>444058.43</v>
      </c>
      <c r="E1198" s="11" t="s">
        <v>6502</v>
      </c>
      <c r="F1198" s="11" t="s">
        <v>6516</v>
      </c>
      <c r="G1198" s="11" t="s">
        <v>45</v>
      </c>
      <c r="H1198" s="11">
        <v>23</v>
      </c>
      <c r="I1198" s="13" t="str" cm="1">
        <f t="array" ref="I1198">_xlfn.IFS(
  OR(ISBLANK(A1198),ISBLANK(B1198),ISBLANK(D1198),ISBLANK(E1198),ISBLANK(H1198)),"Missing Value",
  D1198&lt;0,"Review – Out of Range (Claim Amount)",
  H1198&lt;0,"Review – Out of Range (Days to Process)",
  TRUE,"OK"
)</f>
        <v>OK</v>
      </c>
    </row>
    <row r="1199" spans="1:9" ht="16.8" x14ac:dyDescent="0.3">
      <c r="A1199" s="14" t="s">
        <v>7706</v>
      </c>
      <c r="B1199" s="14" t="s">
        <v>4478</v>
      </c>
      <c r="C1199" s="15">
        <v>45186</v>
      </c>
      <c r="D1199" s="14">
        <v>279253.83</v>
      </c>
      <c r="E1199" s="14" t="s">
        <v>6502</v>
      </c>
      <c r="F1199" s="14" t="s">
        <v>6511</v>
      </c>
      <c r="G1199" s="14" t="s">
        <v>45</v>
      </c>
      <c r="H1199" s="14">
        <v>34</v>
      </c>
      <c r="I1199" s="13" t="str" cm="1">
        <f t="array" ref="I1199">_xlfn.IFS(
  OR(ISBLANK(A1199),ISBLANK(B1199),ISBLANK(D1199),ISBLANK(E1199),ISBLANK(H1199)),"Missing Value",
  D1199&lt;0,"Review – Out of Range (Claim Amount)",
  H1199&lt;0,"Review – Out of Range (Days to Process)",
  TRUE,"OK"
)</f>
        <v>OK</v>
      </c>
    </row>
    <row r="1200" spans="1:9" ht="16.8" x14ac:dyDescent="0.3">
      <c r="A1200" s="11" t="s">
        <v>7707</v>
      </c>
      <c r="B1200" s="11" t="s">
        <v>4139</v>
      </c>
      <c r="C1200" s="12">
        <v>44279</v>
      </c>
      <c r="D1200" s="11">
        <v>353851.39</v>
      </c>
      <c r="E1200" s="11" t="s">
        <v>6502</v>
      </c>
      <c r="F1200" s="11" t="s">
        <v>6511</v>
      </c>
      <c r="G1200" s="11" t="s">
        <v>45</v>
      </c>
      <c r="H1200" s="11">
        <v>43</v>
      </c>
      <c r="I1200" s="13" t="str" cm="1">
        <f t="array" ref="I1200">_xlfn.IFS(
  OR(ISBLANK(A1200),ISBLANK(B1200),ISBLANK(D1200),ISBLANK(E1200),ISBLANK(H1200)),"Missing Value",
  D1200&lt;0,"Review – Out of Range (Claim Amount)",
  H1200&lt;0,"Review – Out of Range (Days to Process)",
  TRUE,"OK"
)</f>
        <v>OK</v>
      </c>
    </row>
    <row r="1201" spans="1:9" ht="16.8" x14ac:dyDescent="0.3">
      <c r="A1201" s="14" t="s">
        <v>7708</v>
      </c>
      <c r="B1201" s="14" t="s">
        <v>6126</v>
      </c>
      <c r="C1201" s="15">
        <v>45206</v>
      </c>
      <c r="D1201" s="14">
        <v>385031.95</v>
      </c>
      <c r="E1201" s="14" t="s">
        <v>6508</v>
      </c>
      <c r="F1201" s="14" t="s">
        <v>6509</v>
      </c>
      <c r="G1201" s="14" t="s">
        <v>45</v>
      </c>
      <c r="H1201" s="14">
        <v>16</v>
      </c>
      <c r="I1201" s="13" t="str" cm="1">
        <f t="array" ref="I1201">_xlfn.IFS(
  OR(ISBLANK(A1201),ISBLANK(B1201),ISBLANK(D1201),ISBLANK(E1201),ISBLANK(H1201)),"Missing Value",
  D1201&lt;0,"Review – Out of Range (Claim Amount)",
  H1201&lt;0,"Review – Out of Range (Days to Process)",
  TRUE,"OK"
)</f>
        <v>OK</v>
      </c>
    </row>
    <row r="1202" spans="1:9" ht="16.8" x14ac:dyDescent="0.3">
      <c r="A1202" s="11" t="s">
        <v>7709</v>
      </c>
      <c r="B1202" s="11" t="s">
        <v>5426</v>
      </c>
      <c r="C1202" s="12">
        <v>45162</v>
      </c>
      <c r="D1202" s="11">
        <v>243804.02</v>
      </c>
      <c r="E1202" s="11" t="s">
        <v>6505</v>
      </c>
      <c r="F1202" s="11" t="s">
        <v>6509</v>
      </c>
      <c r="G1202" s="11" t="s">
        <v>45</v>
      </c>
      <c r="H1202" s="11">
        <v>23</v>
      </c>
      <c r="I1202" s="13" t="str" cm="1">
        <f t="array" ref="I1202">_xlfn.IFS(
  OR(ISBLANK(A1202),ISBLANK(B1202),ISBLANK(D1202),ISBLANK(E1202),ISBLANK(H1202)),"Missing Value",
  D1202&lt;0,"Review – Out of Range (Claim Amount)",
  H1202&lt;0,"Review – Out of Range (Days to Process)",
  TRUE,"OK"
)</f>
        <v>OK</v>
      </c>
    </row>
    <row r="1203" spans="1:9" ht="16.8" x14ac:dyDescent="0.3">
      <c r="A1203" s="14" t="s">
        <v>7710</v>
      </c>
      <c r="B1203" s="14" t="s">
        <v>5971</v>
      </c>
      <c r="C1203" s="15">
        <v>45470</v>
      </c>
      <c r="D1203" s="14">
        <v>115133.03</v>
      </c>
      <c r="E1203" s="14" t="s">
        <v>6508</v>
      </c>
      <c r="F1203" s="14" t="s">
        <v>6503</v>
      </c>
      <c r="G1203" s="14" t="s">
        <v>45</v>
      </c>
      <c r="H1203" s="14">
        <v>50</v>
      </c>
      <c r="I1203" s="13" t="str" cm="1">
        <f t="array" ref="I1203">_xlfn.IFS(
  OR(ISBLANK(A1203),ISBLANK(B1203),ISBLANK(D1203),ISBLANK(E1203),ISBLANK(H1203)),"Missing Value",
  D1203&lt;0,"Review – Out of Range (Claim Amount)",
  H1203&lt;0,"Review – Out of Range (Days to Process)",
  TRUE,"OK"
)</f>
        <v>OK</v>
      </c>
    </row>
    <row r="1204" spans="1:9" ht="16.8" x14ac:dyDescent="0.3">
      <c r="A1204" s="11" t="s">
        <v>7711</v>
      </c>
      <c r="B1204" s="11" t="s">
        <v>4768</v>
      </c>
      <c r="C1204" s="12">
        <v>45553</v>
      </c>
      <c r="D1204" s="11">
        <v>235904.58</v>
      </c>
      <c r="E1204" s="11" t="s">
        <v>6502</v>
      </c>
      <c r="F1204" s="11" t="s">
        <v>6503</v>
      </c>
      <c r="G1204" s="11" t="s">
        <v>45</v>
      </c>
      <c r="H1204" s="11">
        <v>43</v>
      </c>
      <c r="I1204" s="13" t="str" cm="1">
        <f t="array" ref="I1204">_xlfn.IFS(
  OR(ISBLANK(A1204),ISBLANK(B1204),ISBLANK(D1204),ISBLANK(E1204),ISBLANK(H1204)),"Missing Value",
  D1204&lt;0,"Review – Out of Range (Claim Amount)",
  H1204&lt;0,"Review – Out of Range (Days to Process)",
  TRUE,"OK"
)</f>
        <v>OK</v>
      </c>
    </row>
    <row r="1205" spans="1:9" ht="16.8" x14ac:dyDescent="0.3">
      <c r="A1205" s="14" t="s">
        <v>7712</v>
      </c>
      <c r="B1205" s="14" t="s">
        <v>4685</v>
      </c>
      <c r="C1205" s="15">
        <v>44768</v>
      </c>
      <c r="D1205" s="14">
        <v>46093.64</v>
      </c>
      <c r="E1205" s="14" t="s">
        <v>6505</v>
      </c>
      <c r="F1205" s="14" t="s">
        <v>6506</v>
      </c>
      <c r="G1205" s="14" t="s">
        <v>46</v>
      </c>
      <c r="H1205" s="14">
        <v>21</v>
      </c>
      <c r="I1205" s="13" t="str" cm="1">
        <f t="array" ref="I1205">_xlfn.IFS(
  OR(ISBLANK(A1205),ISBLANK(B1205),ISBLANK(D1205),ISBLANK(E1205),ISBLANK(H1205)),"Missing Value",
  D1205&lt;0,"Review – Out of Range (Claim Amount)",
  H1205&lt;0,"Review – Out of Range (Days to Process)",
  TRUE,"OK"
)</f>
        <v>OK</v>
      </c>
    </row>
    <row r="1206" spans="1:9" ht="16.8" x14ac:dyDescent="0.3">
      <c r="A1206" s="11" t="s">
        <v>7713</v>
      </c>
      <c r="B1206" s="11" t="s">
        <v>6462</v>
      </c>
      <c r="C1206" s="12">
        <v>45116</v>
      </c>
      <c r="D1206" s="11">
        <v>49557.08</v>
      </c>
      <c r="E1206" s="11" t="s">
        <v>6505</v>
      </c>
      <c r="F1206" s="11" t="s">
        <v>6506</v>
      </c>
      <c r="G1206" s="11" t="s">
        <v>46</v>
      </c>
      <c r="H1206" s="11">
        <v>16</v>
      </c>
      <c r="I1206" s="13" t="str" cm="1">
        <f t="array" ref="I1206">_xlfn.IFS(
  OR(ISBLANK(A1206),ISBLANK(B1206),ISBLANK(D1206),ISBLANK(E1206),ISBLANK(H1206)),"Missing Value",
  D1206&lt;0,"Review – Out of Range (Claim Amount)",
  H1206&lt;0,"Review – Out of Range (Days to Process)",
  TRUE,"OK"
)</f>
        <v>OK</v>
      </c>
    </row>
    <row r="1207" spans="1:9" ht="16.8" x14ac:dyDescent="0.3">
      <c r="A1207" s="14" t="s">
        <v>7714</v>
      </c>
      <c r="B1207" s="14" t="s">
        <v>5804</v>
      </c>
      <c r="C1207" s="15">
        <v>44758</v>
      </c>
      <c r="D1207" s="14">
        <v>256108.24</v>
      </c>
      <c r="E1207" s="14" t="s">
        <v>6502</v>
      </c>
      <c r="F1207" s="14" t="s">
        <v>6516</v>
      </c>
      <c r="G1207" s="14" t="s">
        <v>46</v>
      </c>
      <c r="H1207" s="14">
        <v>46</v>
      </c>
      <c r="I1207" s="13" t="str" cm="1">
        <f t="array" ref="I1207">_xlfn.IFS(
  OR(ISBLANK(A1207),ISBLANK(B1207),ISBLANK(D1207),ISBLANK(E1207),ISBLANK(H1207)),"Missing Value",
  D1207&lt;0,"Review – Out of Range (Claim Amount)",
  H1207&lt;0,"Review – Out of Range (Days to Process)",
  TRUE,"OK"
)</f>
        <v>OK</v>
      </c>
    </row>
    <row r="1208" spans="1:9" ht="16.8" x14ac:dyDescent="0.3">
      <c r="A1208" s="11" t="s">
        <v>7715</v>
      </c>
      <c r="B1208" s="11" t="s">
        <v>5186</v>
      </c>
      <c r="C1208" s="12">
        <v>44764</v>
      </c>
      <c r="D1208" s="11">
        <v>254711.93</v>
      </c>
      <c r="E1208" s="11" t="s">
        <v>6505</v>
      </c>
      <c r="F1208" s="11" t="s">
        <v>6511</v>
      </c>
      <c r="G1208" s="11" t="s">
        <v>45</v>
      </c>
      <c r="H1208" s="11">
        <v>15</v>
      </c>
      <c r="I1208" s="13" t="str" cm="1">
        <f t="array" ref="I1208">_xlfn.IFS(
  OR(ISBLANK(A1208),ISBLANK(B1208),ISBLANK(D1208),ISBLANK(E1208),ISBLANK(H1208)),"Missing Value",
  D1208&lt;0,"Review – Out of Range (Claim Amount)",
  H1208&lt;0,"Review – Out of Range (Days to Process)",
  TRUE,"OK"
)</f>
        <v>OK</v>
      </c>
    </row>
    <row r="1209" spans="1:9" ht="16.8" x14ac:dyDescent="0.3">
      <c r="A1209" s="14" t="s">
        <v>7716</v>
      </c>
      <c r="B1209" s="14" t="s">
        <v>6059</v>
      </c>
      <c r="C1209" s="15">
        <v>44782</v>
      </c>
      <c r="D1209" s="14">
        <v>153674.6</v>
      </c>
      <c r="E1209" s="14" t="s">
        <v>6502</v>
      </c>
      <c r="F1209" s="14" t="s">
        <v>6516</v>
      </c>
      <c r="G1209" s="14" t="s">
        <v>45</v>
      </c>
      <c r="H1209" s="14">
        <v>50</v>
      </c>
      <c r="I1209" s="13" t="str" cm="1">
        <f t="array" ref="I1209">_xlfn.IFS(
  OR(ISBLANK(A1209),ISBLANK(B1209),ISBLANK(D1209),ISBLANK(E1209),ISBLANK(H1209)),"Missing Value",
  D1209&lt;0,"Review – Out of Range (Claim Amount)",
  H1209&lt;0,"Review – Out of Range (Days to Process)",
  TRUE,"OK"
)</f>
        <v>OK</v>
      </c>
    </row>
    <row r="1210" spans="1:9" ht="16.8" x14ac:dyDescent="0.3">
      <c r="A1210" s="11" t="s">
        <v>7717</v>
      </c>
      <c r="B1210" s="11" t="s">
        <v>4773</v>
      </c>
      <c r="C1210" s="12">
        <v>45181</v>
      </c>
      <c r="D1210" s="11">
        <v>35974.949999999997</v>
      </c>
      <c r="E1210" s="11" t="s">
        <v>6508</v>
      </c>
      <c r="F1210" s="11" t="s">
        <v>6506</v>
      </c>
      <c r="G1210" s="11" t="s">
        <v>46</v>
      </c>
      <c r="H1210" s="11">
        <v>14</v>
      </c>
      <c r="I1210" s="13" t="str" cm="1">
        <f t="array" ref="I1210">_xlfn.IFS(
  OR(ISBLANK(A1210),ISBLANK(B1210),ISBLANK(D1210),ISBLANK(E1210),ISBLANK(H1210)),"Missing Value",
  D1210&lt;0,"Review – Out of Range (Claim Amount)",
  H1210&lt;0,"Review – Out of Range (Days to Process)",
  TRUE,"OK"
)</f>
        <v>OK</v>
      </c>
    </row>
    <row r="1211" spans="1:9" ht="16.8" x14ac:dyDescent="0.3">
      <c r="A1211" s="14" t="s">
        <v>7718</v>
      </c>
      <c r="B1211" s="14" t="s">
        <v>3953</v>
      </c>
      <c r="C1211" s="15">
        <v>45173</v>
      </c>
      <c r="D1211" s="14">
        <v>155552.24</v>
      </c>
      <c r="E1211" s="14" t="s">
        <v>6505</v>
      </c>
      <c r="F1211" s="14" t="s">
        <v>6511</v>
      </c>
      <c r="G1211" s="14" t="s">
        <v>46</v>
      </c>
      <c r="H1211" s="14">
        <v>38</v>
      </c>
      <c r="I1211" s="13" t="str" cm="1">
        <f t="array" ref="I1211">_xlfn.IFS(
  OR(ISBLANK(A1211),ISBLANK(B1211),ISBLANK(D1211),ISBLANK(E1211),ISBLANK(H1211)),"Missing Value",
  D1211&lt;0,"Review – Out of Range (Claim Amount)",
  H1211&lt;0,"Review – Out of Range (Days to Process)",
  TRUE,"OK"
)</f>
        <v>OK</v>
      </c>
    </row>
    <row r="1212" spans="1:9" ht="16.8" x14ac:dyDescent="0.3">
      <c r="A1212" s="11" t="s">
        <v>7719</v>
      </c>
      <c r="B1212" s="11" t="s">
        <v>6006</v>
      </c>
      <c r="C1212" s="12">
        <v>44999</v>
      </c>
      <c r="D1212" s="11">
        <v>137691.39000000001</v>
      </c>
      <c r="E1212" s="11" t="s">
        <v>6508</v>
      </c>
      <c r="F1212" s="11" t="s">
        <v>6506</v>
      </c>
      <c r="G1212" s="11" t="s">
        <v>46</v>
      </c>
      <c r="H1212" s="11">
        <v>55</v>
      </c>
      <c r="I1212" s="13" t="str" cm="1">
        <f t="array" ref="I1212">_xlfn.IFS(
  OR(ISBLANK(A1212),ISBLANK(B1212),ISBLANK(D1212),ISBLANK(E1212),ISBLANK(H1212)),"Missing Value",
  D1212&lt;0,"Review – Out of Range (Claim Amount)",
  H1212&lt;0,"Review – Out of Range (Days to Process)",
  TRUE,"OK"
)</f>
        <v>OK</v>
      </c>
    </row>
    <row r="1213" spans="1:9" ht="16.8" x14ac:dyDescent="0.3">
      <c r="A1213" s="14" t="s">
        <v>7720</v>
      </c>
      <c r="B1213" s="14" t="s">
        <v>6286</v>
      </c>
      <c r="C1213" s="15">
        <v>44249</v>
      </c>
      <c r="D1213" s="14">
        <v>262069.9</v>
      </c>
      <c r="E1213" s="14" t="s">
        <v>6505</v>
      </c>
      <c r="F1213" s="14" t="s">
        <v>6516</v>
      </c>
      <c r="G1213" s="14" t="s">
        <v>45</v>
      </c>
      <c r="H1213" s="14">
        <v>44</v>
      </c>
      <c r="I1213" s="13" t="str" cm="1">
        <f t="array" ref="I1213">_xlfn.IFS(
  OR(ISBLANK(A1213),ISBLANK(B1213),ISBLANK(D1213),ISBLANK(E1213),ISBLANK(H1213)),"Missing Value",
  D1213&lt;0,"Review – Out of Range (Claim Amount)",
  H1213&lt;0,"Review – Out of Range (Days to Process)",
  TRUE,"OK"
)</f>
        <v>OK</v>
      </c>
    </row>
    <row r="1214" spans="1:9" ht="16.8" x14ac:dyDescent="0.3">
      <c r="A1214" s="11" t="s">
        <v>7721</v>
      </c>
      <c r="B1214" s="11" t="s">
        <v>4791</v>
      </c>
      <c r="C1214" s="12">
        <v>44641</v>
      </c>
      <c r="D1214" s="11">
        <v>403048.99</v>
      </c>
      <c r="E1214" s="11" t="s">
        <v>6502</v>
      </c>
      <c r="F1214" s="11" t="s">
        <v>6511</v>
      </c>
      <c r="G1214" s="11" t="s">
        <v>46</v>
      </c>
      <c r="H1214" s="11">
        <v>10</v>
      </c>
      <c r="I1214" s="13" t="str" cm="1">
        <f t="array" ref="I1214">_xlfn.IFS(
  OR(ISBLANK(A1214),ISBLANK(B1214),ISBLANK(D1214),ISBLANK(E1214),ISBLANK(H1214)),"Missing Value",
  D1214&lt;0,"Review – Out of Range (Claim Amount)",
  H1214&lt;0,"Review – Out of Range (Days to Process)",
  TRUE,"OK"
)</f>
        <v>OK</v>
      </c>
    </row>
    <row r="1215" spans="1:9" ht="16.8" x14ac:dyDescent="0.3">
      <c r="A1215" s="14" t="s">
        <v>7722</v>
      </c>
      <c r="B1215" s="14" t="s">
        <v>4837</v>
      </c>
      <c r="C1215" s="15">
        <v>45468</v>
      </c>
      <c r="D1215" s="14">
        <v>253382.41</v>
      </c>
      <c r="E1215" s="14" t="s">
        <v>6505</v>
      </c>
      <c r="F1215" s="14" t="s">
        <v>6506</v>
      </c>
      <c r="G1215" s="14" t="s">
        <v>45</v>
      </c>
      <c r="H1215" s="14">
        <v>25</v>
      </c>
      <c r="I1215" s="13" t="str" cm="1">
        <f t="array" ref="I1215">_xlfn.IFS(
  OR(ISBLANK(A1215),ISBLANK(B1215),ISBLANK(D1215),ISBLANK(E1215),ISBLANK(H1215)),"Missing Value",
  D1215&lt;0,"Review – Out of Range (Claim Amount)",
  H1215&lt;0,"Review – Out of Range (Days to Process)",
  TRUE,"OK"
)</f>
        <v>OK</v>
      </c>
    </row>
    <row r="1216" spans="1:9" ht="16.8" x14ac:dyDescent="0.3">
      <c r="A1216" s="11" t="s">
        <v>7723</v>
      </c>
      <c r="B1216" s="11" t="s">
        <v>6480</v>
      </c>
      <c r="C1216" s="12">
        <v>45732</v>
      </c>
      <c r="D1216" s="11">
        <v>429472</v>
      </c>
      <c r="E1216" s="11" t="s">
        <v>6505</v>
      </c>
      <c r="F1216" s="11" t="s">
        <v>6509</v>
      </c>
      <c r="G1216" s="11" t="s">
        <v>45</v>
      </c>
      <c r="H1216" s="11">
        <v>15</v>
      </c>
      <c r="I1216" s="13" t="str" cm="1">
        <f t="array" ref="I1216">_xlfn.IFS(
  OR(ISBLANK(A1216),ISBLANK(B1216),ISBLANK(D1216),ISBLANK(E1216),ISBLANK(H1216)),"Missing Value",
  D1216&lt;0,"Review – Out of Range (Claim Amount)",
  H1216&lt;0,"Review – Out of Range (Days to Process)",
  TRUE,"OK"
)</f>
        <v>OK</v>
      </c>
    </row>
    <row r="1217" spans="1:9" ht="16.8" x14ac:dyDescent="0.3">
      <c r="A1217" s="14" t="s">
        <v>7724</v>
      </c>
      <c r="B1217" s="14" t="s">
        <v>5018</v>
      </c>
      <c r="C1217" s="15">
        <v>45106</v>
      </c>
      <c r="D1217" s="14">
        <v>94691.42</v>
      </c>
      <c r="E1217" s="14" t="s">
        <v>6505</v>
      </c>
      <c r="F1217" s="14" t="s">
        <v>6503</v>
      </c>
      <c r="G1217" s="14" t="s">
        <v>46</v>
      </c>
      <c r="H1217" s="14">
        <v>7</v>
      </c>
      <c r="I1217" s="13" t="str" cm="1">
        <f t="array" ref="I1217">_xlfn.IFS(
  OR(ISBLANK(A1217),ISBLANK(B1217),ISBLANK(D1217),ISBLANK(E1217),ISBLANK(H1217)),"Missing Value",
  D1217&lt;0,"Review – Out of Range (Claim Amount)",
  H1217&lt;0,"Review – Out of Range (Days to Process)",
  TRUE,"OK"
)</f>
        <v>OK</v>
      </c>
    </row>
    <row r="1218" spans="1:9" ht="16.8" x14ac:dyDescent="0.3">
      <c r="A1218" s="11" t="s">
        <v>7725</v>
      </c>
      <c r="B1218" s="11" t="s">
        <v>4532</v>
      </c>
      <c r="C1218" s="12">
        <v>44186</v>
      </c>
      <c r="D1218" s="11">
        <v>275904.92</v>
      </c>
      <c r="E1218" s="11" t="s">
        <v>6505</v>
      </c>
      <c r="F1218" s="11" t="s">
        <v>6516</v>
      </c>
      <c r="G1218" s="11" t="s">
        <v>46</v>
      </c>
      <c r="H1218" s="11">
        <v>24</v>
      </c>
      <c r="I1218" s="13" t="str" cm="1">
        <f t="array" ref="I1218">_xlfn.IFS(
  OR(ISBLANK(A1218),ISBLANK(B1218),ISBLANK(D1218),ISBLANK(E1218),ISBLANK(H1218)),"Missing Value",
  D1218&lt;0,"Review – Out of Range (Claim Amount)",
  H1218&lt;0,"Review – Out of Range (Days to Process)",
  TRUE,"OK"
)</f>
        <v>OK</v>
      </c>
    </row>
    <row r="1219" spans="1:9" ht="16.8" x14ac:dyDescent="0.3">
      <c r="A1219" s="14" t="s">
        <v>7726</v>
      </c>
      <c r="B1219" s="14" t="s">
        <v>5029</v>
      </c>
      <c r="C1219" s="15">
        <v>45356</v>
      </c>
      <c r="D1219" s="14">
        <v>209896.9</v>
      </c>
      <c r="E1219" s="14" t="s">
        <v>6505</v>
      </c>
      <c r="F1219" s="14" t="s">
        <v>6511</v>
      </c>
      <c r="G1219" s="14" t="s">
        <v>45</v>
      </c>
      <c r="H1219" s="14">
        <v>31</v>
      </c>
      <c r="I1219" s="13" t="str" cm="1">
        <f t="array" ref="I1219">_xlfn.IFS(
  OR(ISBLANK(A1219),ISBLANK(B1219),ISBLANK(D1219),ISBLANK(E1219),ISBLANK(H1219)),"Missing Value",
  D1219&lt;0,"Review – Out of Range (Claim Amount)",
  H1219&lt;0,"Review – Out of Range (Days to Process)",
  TRUE,"OK"
)</f>
        <v>OK</v>
      </c>
    </row>
    <row r="1220" spans="1:9" ht="16.8" x14ac:dyDescent="0.3">
      <c r="A1220" s="11" t="s">
        <v>7727</v>
      </c>
      <c r="B1220" s="11" t="s">
        <v>5015</v>
      </c>
      <c r="C1220" s="12">
        <v>45493</v>
      </c>
      <c r="D1220" s="11">
        <v>301290.64</v>
      </c>
      <c r="E1220" s="11" t="s">
        <v>6502</v>
      </c>
      <c r="F1220" s="11" t="s">
        <v>6509</v>
      </c>
      <c r="G1220" s="11" t="s">
        <v>45</v>
      </c>
      <c r="H1220" s="11">
        <v>40</v>
      </c>
      <c r="I1220" s="13" t="str" cm="1">
        <f t="array" ref="I1220">_xlfn.IFS(
  OR(ISBLANK(A1220),ISBLANK(B1220),ISBLANK(D1220),ISBLANK(E1220),ISBLANK(H1220)),"Missing Value",
  D1220&lt;0,"Review – Out of Range (Claim Amount)",
  H1220&lt;0,"Review – Out of Range (Days to Process)",
  TRUE,"OK"
)</f>
        <v>OK</v>
      </c>
    </row>
    <row r="1221" spans="1:9" ht="16.8" x14ac:dyDescent="0.3">
      <c r="A1221" s="14" t="s">
        <v>7728</v>
      </c>
      <c r="B1221" s="14" t="s">
        <v>5100</v>
      </c>
      <c r="C1221" s="15">
        <v>45020</v>
      </c>
      <c r="D1221" s="14">
        <v>74828.429999999993</v>
      </c>
      <c r="E1221" s="14" t="s">
        <v>6505</v>
      </c>
      <c r="F1221" s="14" t="s">
        <v>6511</v>
      </c>
      <c r="G1221" s="14" t="s">
        <v>46</v>
      </c>
      <c r="H1221" s="14">
        <v>55</v>
      </c>
      <c r="I1221" s="13" t="str" cm="1">
        <f t="array" ref="I1221">_xlfn.IFS(
  OR(ISBLANK(A1221),ISBLANK(B1221),ISBLANK(D1221),ISBLANK(E1221),ISBLANK(H1221)),"Missing Value",
  D1221&lt;0,"Review – Out of Range (Claim Amount)",
  H1221&lt;0,"Review – Out of Range (Days to Process)",
  TRUE,"OK"
)</f>
        <v>OK</v>
      </c>
    </row>
    <row r="1222" spans="1:9" ht="16.8" x14ac:dyDescent="0.3">
      <c r="A1222" s="11" t="s">
        <v>7729</v>
      </c>
      <c r="B1222" s="11" t="s">
        <v>6158</v>
      </c>
      <c r="C1222" s="12">
        <v>44592</v>
      </c>
      <c r="D1222" s="11">
        <v>217849.99</v>
      </c>
      <c r="E1222" s="11" t="s">
        <v>6505</v>
      </c>
      <c r="F1222" s="11" t="s">
        <v>6503</v>
      </c>
      <c r="G1222" s="11" t="s">
        <v>45</v>
      </c>
      <c r="H1222" s="11">
        <v>33</v>
      </c>
      <c r="I1222" s="13" t="str" cm="1">
        <f t="array" ref="I1222">_xlfn.IFS(
  OR(ISBLANK(A1222),ISBLANK(B1222),ISBLANK(D1222),ISBLANK(E1222),ISBLANK(H1222)),"Missing Value",
  D1222&lt;0,"Review – Out of Range (Claim Amount)",
  H1222&lt;0,"Review – Out of Range (Days to Process)",
  TRUE,"OK"
)</f>
        <v>OK</v>
      </c>
    </row>
    <row r="1223" spans="1:9" ht="16.8" x14ac:dyDescent="0.3">
      <c r="A1223" s="14" t="s">
        <v>7730</v>
      </c>
      <c r="B1223" s="14" t="s">
        <v>4397</v>
      </c>
      <c r="C1223" s="15">
        <v>45566</v>
      </c>
      <c r="D1223" s="14">
        <v>234019.38</v>
      </c>
      <c r="E1223" s="14" t="s">
        <v>6502</v>
      </c>
      <c r="F1223" s="14" t="s">
        <v>6509</v>
      </c>
      <c r="G1223" s="14" t="s">
        <v>45</v>
      </c>
      <c r="H1223" s="14">
        <v>42</v>
      </c>
      <c r="I1223" s="13" t="str" cm="1">
        <f t="array" ref="I1223">_xlfn.IFS(
  OR(ISBLANK(A1223),ISBLANK(B1223),ISBLANK(D1223),ISBLANK(E1223),ISBLANK(H1223)),"Missing Value",
  D1223&lt;0,"Review – Out of Range (Claim Amount)",
  H1223&lt;0,"Review – Out of Range (Days to Process)",
  TRUE,"OK"
)</f>
        <v>OK</v>
      </c>
    </row>
    <row r="1224" spans="1:9" ht="16.8" x14ac:dyDescent="0.3">
      <c r="A1224" s="11" t="s">
        <v>7731</v>
      </c>
      <c r="B1224" s="11" t="s">
        <v>4266</v>
      </c>
      <c r="C1224" s="12">
        <v>45144</v>
      </c>
      <c r="D1224" s="11">
        <v>35811.94</v>
      </c>
      <c r="E1224" s="11" t="s">
        <v>6508</v>
      </c>
      <c r="F1224" s="11" t="s">
        <v>6509</v>
      </c>
      <c r="G1224" s="11" t="s">
        <v>45</v>
      </c>
      <c r="H1224" s="11">
        <v>2</v>
      </c>
      <c r="I1224" s="13" t="str" cm="1">
        <f t="array" ref="I1224">_xlfn.IFS(
  OR(ISBLANK(A1224),ISBLANK(B1224),ISBLANK(D1224),ISBLANK(E1224),ISBLANK(H1224)),"Missing Value",
  D1224&lt;0,"Review – Out of Range (Claim Amount)",
  H1224&lt;0,"Review – Out of Range (Days to Process)",
  TRUE,"OK"
)</f>
        <v>OK</v>
      </c>
    </row>
    <row r="1225" spans="1:9" ht="16.8" x14ac:dyDescent="0.3">
      <c r="A1225" s="14" t="s">
        <v>7732</v>
      </c>
      <c r="B1225" s="14" t="s">
        <v>5689</v>
      </c>
      <c r="C1225" s="15">
        <v>44812</v>
      </c>
      <c r="D1225" s="14">
        <v>463428.48</v>
      </c>
      <c r="E1225" s="14" t="s">
        <v>6502</v>
      </c>
      <c r="F1225" s="14" t="s">
        <v>6506</v>
      </c>
      <c r="G1225" s="14" t="s">
        <v>45</v>
      </c>
      <c r="H1225" s="14">
        <v>14</v>
      </c>
      <c r="I1225" s="13" t="str" cm="1">
        <f t="array" ref="I1225">_xlfn.IFS(
  OR(ISBLANK(A1225),ISBLANK(B1225),ISBLANK(D1225),ISBLANK(E1225),ISBLANK(H1225)),"Missing Value",
  D1225&lt;0,"Review – Out of Range (Claim Amount)",
  H1225&lt;0,"Review – Out of Range (Days to Process)",
  TRUE,"OK"
)</f>
        <v>OK</v>
      </c>
    </row>
    <row r="1226" spans="1:9" ht="16.8" x14ac:dyDescent="0.3">
      <c r="A1226" s="11" t="s">
        <v>7733</v>
      </c>
      <c r="B1226" s="11" t="s">
        <v>4219</v>
      </c>
      <c r="C1226" s="12">
        <v>44808</v>
      </c>
      <c r="D1226" s="11">
        <v>298414.78999999998</v>
      </c>
      <c r="E1226" s="11" t="s">
        <v>6502</v>
      </c>
      <c r="F1226" s="11" t="s">
        <v>6516</v>
      </c>
      <c r="G1226" s="11" t="s">
        <v>46</v>
      </c>
      <c r="H1226" s="11">
        <v>58</v>
      </c>
      <c r="I1226" s="13" t="str" cm="1">
        <f t="array" ref="I1226">_xlfn.IFS(
  OR(ISBLANK(A1226),ISBLANK(B1226),ISBLANK(D1226),ISBLANK(E1226),ISBLANK(H1226)),"Missing Value",
  D1226&lt;0,"Review – Out of Range (Claim Amount)",
  H1226&lt;0,"Review – Out of Range (Days to Process)",
  TRUE,"OK"
)</f>
        <v>OK</v>
      </c>
    </row>
    <row r="1227" spans="1:9" ht="16.8" x14ac:dyDescent="0.3">
      <c r="A1227" s="14" t="s">
        <v>7734</v>
      </c>
      <c r="B1227" s="14" t="s">
        <v>4896</v>
      </c>
      <c r="C1227" s="15">
        <v>45157</v>
      </c>
      <c r="D1227" s="14">
        <v>142522.76</v>
      </c>
      <c r="E1227" s="14" t="s">
        <v>6505</v>
      </c>
      <c r="F1227" s="14" t="s">
        <v>6516</v>
      </c>
      <c r="G1227" s="14" t="s">
        <v>45</v>
      </c>
      <c r="H1227" s="14">
        <v>43</v>
      </c>
      <c r="I1227" s="13" t="str" cm="1">
        <f t="array" ref="I1227">_xlfn.IFS(
  OR(ISBLANK(A1227),ISBLANK(B1227),ISBLANK(D1227),ISBLANK(E1227),ISBLANK(H1227)),"Missing Value",
  D1227&lt;0,"Review – Out of Range (Claim Amount)",
  H1227&lt;0,"Review – Out of Range (Days to Process)",
  TRUE,"OK"
)</f>
        <v>OK</v>
      </c>
    </row>
    <row r="1228" spans="1:9" ht="16.8" x14ac:dyDescent="0.3">
      <c r="A1228" s="11" t="s">
        <v>7735</v>
      </c>
      <c r="B1228" s="11" t="s">
        <v>4390</v>
      </c>
      <c r="C1228" s="12">
        <v>45413</v>
      </c>
      <c r="D1228" s="11">
        <v>366431.28</v>
      </c>
      <c r="E1228" s="11" t="s">
        <v>6508</v>
      </c>
      <c r="F1228" s="11" t="s">
        <v>6511</v>
      </c>
      <c r="G1228" s="11" t="s">
        <v>46</v>
      </c>
      <c r="H1228" s="11">
        <v>54</v>
      </c>
      <c r="I1228" s="13" t="str" cm="1">
        <f t="array" ref="I1228">_xlfn.IFS(
  OR(ISBLANK(A1228),ISBLANK(B1228),ISBLANK(D1228),ISBLANK(E1228),ISBLANK(H1228)),"Missing Value",
  D1228&lt;0,"Review – Out of Range (Claim Amount)",
  H1228&lt;0,"Review – Out of Range (Days to Process)",
  TRUE,"OK"
)</f>
        <v>OK</v>
      </c>
    </row>
    <row r="1229" spans="1:9" ht="16.8" x14ac:dyDescent="0.3">
      <c r="A1229" s="14" t="s">
        <v>7736</v>
      </c>
      <c r="B1229" s="14" t="s">
        <v>4840</v>
      </c>
      <c r="C1229" s="15">
        <v>45461</v>
      </c>
      <c r="D1229" s="14">
        <v>89491.21</v>
      </c>
      <c r="E1229" s="14" t="s">
        <v>6505</v>
      </c>
      <c r="F1229" s="14" t="s">
        <v>6511</v>
      </c>
      <c r="G1229" s="14" t="s">
        <v>45</v>
      </c>
      <c r="H1229" s="14">
        <v>44</v>
      </c>
      <c r="I1229" s="13" t="str" cm="1">
        <f t="array" ref="I1229">_xlfn.IFS(
  OR(ISBLANK(A1229),ISBLANK(B1229),ISBLANK(D1229),ISBLANK(E1229),ISBLANK(H1229)),"Missing Value",
  D1229&lt;0,"Review – Out of Range (Claim Amount)",
  H1229&lt;0,"Review – Out of Range (Days to Process)",
  TRUE,"OK"
)</f>
        <v>OK</v>
      </c>
    </row>
    <row r="1230" spans="1:9" ht="16.8" x14ac:dyDescent="0.3">
      <c r="A1230" s="11" t="s">
        <v>7737</v>
      </c>
      <c r="B1230" s="11" t="s">
        <v>5814</v>
      </c>
      <c r="C1230" s="12">
        <v>44621</v>
      </c>
      <c r="D1230" s="11">
        <v>427000.54</v>
      </c>
      <c r="E1230" s="11" t="s">
        <v>6508</v>
      </c>
      <c r="F1230" s="11" t="s">
        <v>6511</v>
      </c>
      <c r="G1230" s="11" t="s">
        <v>46</v>
      </c>
      <c r="H1230" s="11">
        <v>9</v>
      </c>
      <c r="I1230" s="13" t="str" cm="1">
        <f t="array" ref="I1230">_xlfn.IFS(
  OR(ISBLANK(A1230),ISBLANK(B1230),ISBLANK(D1230),ISBLANK(E1230),ISBLANK(H1230)),"Missing Value",
  D1230&lt;0,"Review – Out of Range (Claim Amount)",
  H1230&lt;0,"Review – Out of Range (Days to Process)",
  TRUE,"OK"
)</f>
        <v>OK</v>
      </c>
    </row>
    <row r="1231" spans="1:9" ht="16.8" x14ac:dyDescent="0.3">
      <c r="A1231" s="14" t="s">
        <v>7738</v>
      </c>
      <c r="B1231" s="14" t="s">
        <v>6003</v>
      </c>
      <c r="C1231" s="15">
        <v>45035</v>
      </c>
      <c r="D1231" s="14">
        <v>293357.32</v>
      </c>
      <c r="E1231" s="14" t="s">
        <v>6505</v>
      </c>
      <c r="F1231" s="14" t="s">
        <v>6503</v>
      </c>
      <c r="G1231" s="14" t="s">
        <v>45</v>
      </c>
      <c r="H1231" s="14">
        <v>59</v>
      </c>
      <c r="I1231" s="13" t="str" cm="1">
        <f t="array" ref="I1231">_xlfn.IFS(
  OR(ISBLANK(A1231),ISBLANK(B1231),ISBLANK(D1231),ISBLANK(E1231),ISBLANK(H1231)),"Missing Value",
  D1231&lt;0,"Review – Out of Range (Claim Amount)",
  H1231&lt;0,"Review – Out of Range (Days to Process)",
  TRUE,"OK"
)</f>
        <v>OK</v>
      </c>
    </row>
    <row r="1232" spans="1:9" ht="16.8" x14ac:dyDescent="0.3">
      <c r="A1232" s="11" t="s">
        <v>7739</v>
      </c>
      <c r="B1232" s="11" t="s">
        <v>5852</v>
      </c>
      <c r="C1232" s="12">
        <v>45432</v>
      </c>
      <c r="D1232" s="11">
        <v>341418.85</v>
      </c>
      <c r="E1232" s="11" t="s">
        <v>6508</v>
      </c>
      <c r="F1232" s="11" t="s">
        <v>6506</v>
      </c>
      <c r="G1232" s="11" t="s">
        <v>46</v>
      </c>
      <c r="H1232" s="11">
        <v>24</v>
      </c>
      <c r="I1232" s="13" t="str" cm="1">
        <f t="array" ref="I1232">_xlfn.IFS(
  OR(ISBLANK(A1232),ISBLANK(B1232),ISBLANK(D1232),ISBLANK(E1232),ISBLANK(H1232)),"Missing Value",
  D1232&lt;0,"Review – Out of Range (Claim Amount)",
  H1232&lt;0,"Review – Out of Range (Days to Process)",
  TRUE,"OK"
)</f>
        <v>OK</v>
      </c>
    </row>
    <row r="1233" spans="1:9" ht="16.8" x14ac:dyDescent="0.3">
      <c r="A1233" s="14" t="s">
        <v>7740</v>
      </c>
      <c r="B1233" s="14" t="s">
        <v>5698</v>
      </c>
      <c r="C1233" s="15">
        <v>45479</v>
      </c>
      <c r="D1233" s="14">
        <v>131561.73000000001</v>
      </c>
      <c r="E1233" s="14" t="s">
        <v>6508</v>
      </c>
      <c r="F1233" s="14" t="s">
        <v>6509</v>
      </c>
      <c r="G1233" s="14" t="s">
        <v>46</v>
      </c>
      <c r="H1233" s="14">
        <v>7</v>
      </c>
      <c r="I1233" s="13" t="str" cm="1">
        <f t="array" ref="I1233">_xlfn.IFS(
  OR(ISBLANK(A1233),ISBLANK(B1233),ISBLANK(D1233),ISBLANK(E1233),ISBLANK(H1233)),"Missing Value",
  D1233&lt;0,"Review – Out of Range (Claim Amount)",
  H1233&lt;0,"Review – Out of Range (Days to Process)",
  TRUE,"OK"
)</f>
        <v>OK</v>
      </c>
    </row>
    <row r="1234" spans="1:9" ht="16.8" x14ac:dyDescent="0.3">
      <c r="A1234" s="11" t="s">
        <v>7741</v>
      </c>
      <c r="B1234" s="11" t="s">
        <v>4408</v>
      </c>
      <c r="C1234" s="12">
        <v>45118</v>
      </c>
      <c r="D1234" s="11">
        <v>11374.37</v>
      </c>
      <c r="E1234" s="11" t="s">
        <v>6502</v>
      </c>
      <c r="F1234" s="11" t="s">
        <v>6511</v>
      </c>
      <c r="G1234" s="11" t="s">
        <v>46</v>
      </c>
      <c r="H1234" s="11">
        <v>41</v>
      </c>
      <c r="I1234" s="13" t="str" cm="1">
        <f t="array" ref="I1234">_xlfn.IFS(
  OR(ISBLANK(A1234),ISBLANK(B1234),ISBLANK(D1234),ISBLANK(E1234),ISBLANK(H1234)),"Missing Value",
  D1234&lt;0,"Review – Out of Range (Claim Amount)",
  H1234&lt;0,"Review – Out of Range (Days to Process)",
  TRUE,"OK"
)</f>
        <v>OK</v>
      </c>
    </row>
    <row r="1235" spans="1:9" ht="16.8" x14ac:dyDescent="0.3">
      <c r="A1235" s="14" t="s">
        <v>7742</v>
      </c>
      <c r="B1235" s="14" t="s">
        <v>5349</v>
      </c>
      <c r="C1235" s="15">
        <v>44965</v>
      </c>
      <c r="D1235" s="14">
        <v>490030.61</v>
      </c>
      <c r="E1235" s="14" t="s">
        <v>6505</v>
      </c>
      <c r="F1235" s="14" t="s">
        <v>6506</v>
      </c>
      <c r="G1235" s="14" t="s">
        <v>45</v>
      </c>
      <c r="H1235" s="14">
        <v>15</v>
      </c>
      <c r="I1235" s="13" t="str" cm="1">
        <f t="array" ref="I1235">_xlfn.IFS(
  OR(ISBLANK(A1235),ISBLANK(B1235),ISBLANK(D1235),ISBLANK(E1235),ISBLANK(H1235)),"Missing Value",
  D1235&lt;0,"Review – Out of Range (Claim Amount)",
  H1235&lt;0,"Review – Out of Range (Days to Process)",
  TRUE,"OK"
)</f>
        <v>OK</v>
      </c>
    </row>
    <row r="1236" spans="1:9" ht="16.8" x14ac:dyDescent="0.3">
      <c r="A1236" s="11" t="s">
        <v>7743</v>
      </c>
      <c r="B1236" s="11" t="s">
        <v>4319</v>
      </c>
      <c r="C1236" s="12">
        <v>45248</v>
      </c>
      <c r="D1236" s="11">
        <v>472743.73</v>
      </c>
      <c r="E1236" s="11" t="s">
        <v>6502</v>
      </c>
      <c r="F1236" s="11" t="s">
        <v>6503</v>
      </c>
      <c r="G1236" s="11" t="s">
        <v>46</v>
      </c>
      <c r="H1236" s="11">
        <v>25</v>
      </c>
      <c r="I1236" s="13" t="str" cm="1">
        <f t="array" ref="I1236">_xlfn.IFS(
  OR(ISBLANK(A1236),ISBLANK(B1236),ISBLANK(D1236),ISBLANK(E1236),ISBLANK(H1236)),"Missing Value",
  D1236&lt;0,"Review – Out of Range (Claim Amount)",
  H1236&lt;0,"Review – Out of Range (Days to Process)",
  TRUE,"OK"
)</f>
        <v>OK</v>
      </c>
    </row>
    <row r="1237" spans="1:9" ht="16.8" x14ac:dyDescent="0.3">
      <c r="A1237" s="14" t="s">
        <v>7744</v>
      </c>
      <c r="B1237" s="14" t="s">
        <v>5982</v>
      </c>
      <c r="C1237" s="15">
        <v>44579</v>
      </c>
      <c r="D1237" s="14">
        <v>344345.47</v>
      </c>
      <c r="E1237" s="14" t="s">
        <v>6502</v>
      </c>
      <c r="F1237" s="14" t="s">
        <v>6516</v>
      </c>
      <c r="G1237" s="14" t="s">
        <v>46</v>
      </c>
      <c r="H1237" s="14">
        <v>44</v>
      </c>
      <c r="I1237" s="13" t="str" cm="1">
        <f t="array" ref="I1237">_xlfn.IFS(
  OR(ISBLANK(A1237),ISBLANK(B1237),ISBLANK(D1237),ISBLANK(E1237),ISBLANK(H1237)),"Missing Value",
  D1237&lt;0,"Review – Out of Range (Claim Amount)",
  H1237&lt;0,"Review – Out of Range (Days to Process)",
  TRUE,"OK"
)</f>
        <v>OK</v>
      </c>
    </row>
    <row r="1238" spans="1:9" ht="16.8" x14ac:dyDescent="0.3">
      <c r="A1238" s="11" t="s">
        <v>7745</v>
      </c>
      <c r="B1238" s="11" t="s">
        <v>5024</v>
      </c>
      <c r="C1238" s="12">
        <v>45357</v>
      </c>
      <c r="D1238" s="11">
        <v>277463.26</v>
      </c>
      <c r="E1238" s="11" t="s">
        <v>6502</v>
      </c>
      <c r="F1238" s="11" t="s">
        <v>6516</v>
      </c>
      <c r="G1238" s="11" t="s">
        <v>45</v>
      </c>
      <c r="H1238" s="11">
        <v>14</v>
      </c>
      <c r="I1238" s="13" t="str" cm="1">
        <f t="array" ref="I1238">_xlfn.IFS(
  OR(ISBLANK(A1238),ISBLANK(B1238),ISBLANK(D1238),ISBLANK(E1238),ISBLANK(H1238)),"Missing Value",
  D1238&lt;0,"Review – Out of Range (Claim Amount)",
  H1238&lt;0,"Review – Out of Range (Days to Process)",
  TRUE,"OK"
)</f>
        <v>OK</v>
      </c>
    </row>
    <row r="1239" spans="1:9" ht="16.8" x14ac:dyDescent="0.3">
      <c r="A1239" s="14" t="s">
        <v>7746</v>
      </c>
      <c r="B1239" s="14" t="s">
        <v>3858</v>
      </c>
      <c r="C1239" s="15">
        <v>45286</v>
      </c>
      <c r="D1239" s="14">
        <v>266795.21999999997</v>
      </c>
      <c r="E1239" s="14" t="s">
        <v>6502</v>
      </c>
      <c r="F1239" s="14" t="s">
        <v>6516</v>
      </c>
      <c r="G1239" s="14" t="s">
        <v>45</v>
      </c>
      <c r="H1239" s="14">
        <v>44</v>
      </c>
      <c r="I1239" s="13" t="str" cm="1">
        <f t="array" ref="I1239">_xlfn.IFS(
  OR(ISBLANK(A1239),ISBLANK(B1239),ISBLANK(D1239),ISBLANK(E1239),ISBLANK(H1239)),"Missing Value",
  D1239&lt;0,"Review – Out of Range (Claim Amount)",
  H1239&lt;0,"Review – Out of Range (Days to Process)",
  TRUE,"OK"
)</f>
        <v>OK</v>
      </c>
    </row>
    <row r="1240" spans="1:9" ht="16.8" x14ac:dyDescent="0.3">
      <c r="A1240" s="11" t="s">
        <v>7747</v>
      </c>
      <c r="B1240" s="11" t="s">
        <v>6351</v>
      </c>
      <c r="C1240" s="12">
        <v>45494</v>
      </c>
      <c r="D1240" s="11">
        <v>141236.97</v>
      </c>
      <c r="E1240" s="11" t="s">
        <v>6508</v>
      </c>
      <c r="F1240" s="11" t="s">
        <v>6516</v>
      </c>
      <c r="G1240" s="11" t="s">
        <v>46</v>
      </c>
      <c r="H1240" s="11">
        <v>37</v>
      </c>
      <c r="I1240" s="13" t="str" cm="1">
        <f t="array" ref="I1240">_xlfn.IFS(
  OR(ISBLANK(A1240),ISBLANK(B1240),ISBLANK(D1240),ISBLANK(E1240),ISBLANK(H1240)),"Missing Value",
  D1240&lt;0,"Review – Out of Range (Claim Amount)",
  H1240&lt;0,"Review – Out of Range (Days to Process)",
  TRUE,"OK"
)</f>
        <v>OK</v>
      </c>
    </row>
    <row r="1241" spans="1:9" ht="16.8" x14ac:dyDescent="0.3">
      <c r="A1241" s="14" t="s">
        <v>7748</v>
      </c>
      <c r="B1241" s="14" t="s">
        <v>5277</v>
      </c>
      <c r="C1241" s="15">
        <v>45484</v>
      </c>
      <c r="D1241" s="14">
        <v>78020.649999999994</v>
      </c>
      <c r="E1241" s="14" t="s">
        <v>6505</v>
      </c>
      <c r="F1241" s="14" t="s">
        <v>6506</v>
      </c>
      <c r="G1241" s="14" t="s">
        <v>46</v>
      </c>
      <c r="H1241" s="14">
        <v>35</v>
      </c>
      <c r="I1241" s="13" t="str" cm="1">
        <f t="array" ref="I1241">_xlfn.IFS(
  OR(ISBLANK(A1241),ISBLANK(B1241),ISBLANK(D1241),ISBLANK(E1241),ISBLANK(H1241)),"Missing Value",
  D1241&lt;0,"Review – Out of Range (Claim Amount)",
  H1241&lt;0,"Review – Out of Range (Days to Process)",
  TRUE,"OK"
)</f>
        <v>OK</v>
      </c>
    </row>
    <row r="1242" spans="1:9" ht="16.8" x14ac:dyDescent="0.3">
      <c r="A1242" s="11" t="s">
        <v>7749</v>
      </c>
      <c r="B1242" s="11" t="s">
        <v>5503</v>
      </c>
      <c r="C1242" s="12">
        <v>45160</v>
      </c>
      <c r="D1242" s="11">
        <v>101693.45</v>
      </c>
      <c r="E1242" s="11" t="s">
        <v>6502</v>
      </c>
      <c r="F1242" s="11" t="s">
        <v>6503</v>
      </c>
      <c r="G1242" s="11" t="s">
        <v>46</v>
      </c>
      <c r="H1242" s="11">
        <v>53</v>
      </c>
      <c r="I1242" s="13" t="str" cm="1">
        <f t="array" ref="I1242">_xlfn.IFS(
  OR(ISBLANK(A1242),ISBLANK(B1242),ISBLANK(D1242),ISBLANK(E1242),ISBLANK(H1242)),"Missing Value",
  D1242&lt;0,"Review – Out of Range (Claim Amount)",
  H1242&lt;0,"Review – Out of Range (Days to Process)",
  TRUE,"OK"
)</f>
        <v>OK</v>
      </c>
    </row>
    <row r="1243" spans="1:9" ht="16.8" x14ac:dyDescent="0.3">
      <c r="A1243" s="14" t="s">
        <v>7750</v>
      </c>
      <c r="B1243" s="14" t="s">
        <v>6481</v>
      </c>
      <c r="C1243" s="15">
        <v>44718</v>
      </c>
      <c r="D1243" s="14">
        <v>488889.85</v>
      </c>
      <c r="E1243" s="14" t="s">
        <v>6502</v>
      </c>
      <c r="F1243" s="14" t="s">
        <v>6506</v>
      </c>
      <c r="G1243" s="14" t="s">
        <v>45</v>
      </c>
      <c r="H1243" s="14">
        <v>26</v>
      </c>
      <c r="I1243" s="13" t="str" cm="1">
        <f t="array" ref="I1243">_xlfn.IFS(
  OR(ISBLANK(A1243),ISBLANK(B1243),ISBLANK(D1243),ISBLANK(E1243),ISBLANK(H1243)),"Missing Value",
  D1243&lt;0,"Review – Out of Range (Claim Amount)",
  H1243&lt;0,"Review – Out of Range (Days to Process)",
  TRUE,"OK"
)</f>
        <v>OK</v>
      </c>
    </row>
    <row r="1244" spans="1:9" ht="16.8" x14ac:dyDescent="0.3">
      <c r="A1244" s="11" t="s">
        <v>7751</v>
      </c>
      <c r="B1244" s="11" t="s">
        <v>5500</v>
      </c>
      <c r="C1244" s="12">
        <v>44512</v>
      </c>
      <c r="D1244" s="11">
        <v>176626.44</v>
      </c>
      <c r="E1244" s="11" t="s">
        <v>6508</v>
      </c>
      <c r="F1244" s="11" t="s">
        <v>6509</v>
      </c>
      <c r="G1244" s="11" t="s">
        <v>46</v>
      </c>
      <c r="H1244" s="11">
        <v>58</v>
      </c>
      <c r="I1244" s="13" t="str" cm="1">
        <f t="array" ref="I1244">_xlfn.IFS(
  OR(ISBLANK(A1244),ISBLANK(B1244),ISBLANK(D1244),ISBLANK(E1244),ISBLANK(H1244)),"Missing Value",
  D1244&lt;0,"Review – Out of Range (Claim Amount)",
  H1244&lt;0,"Review – Out of Range (Days to Process)",
  TRUE,"OK"
)</f>
        <v>OK</v>
      </c>
    </row>
    <row r="1245" spans="1:9" ht="16.8" x14ac:dyDescent="0.3">
      <c r="A1245" s="14" t="s">
        <v>7752</v>
      </c>
      <c r="B1245" s="14" t="s">
        <v>3803</v>
      </c>
      <c r="C1245" s="15">
        <v>44774</v>
      </c>
      <c r="D1245" s="14">
        <v>313617.17</v>
      </c>
      <c r="E1245" s="14" t="s">
        <v>6508</v>
      </c>
      <c r="F1245" s="14" t="s">
        <v>6509</v>
      </c>
      <c r="G1245" s="14" t="s">
        <v>45</v>
      </c>
      <c r="H1245" s="14">
        <v>26</v>
      </c>
      <c r="I1245" s="13" t="str" cm="1">
        <f t="array" ref="I1245">_xlfn.IFS(
  OR(ISBLANK(A1245),ISBLANK(B1245),ISBLANK(D1245),ISBLANK(E1245),ISBLANK(H1245)),"Missing Value",
  D1245&lt;0,"Review – Out of Range (Claim Amount)",
  H1245&lt;0,"Review – Out of Range (Days to Process)",
  TRUE,"OK"
)</f>
        <v>OK</v>
      </c>
    </row>
    <row r="1246" spans="1:9" ht="16.8" x14ac:dyDescent="0.3">
      <c r="A1246" s="11" t="s">
        <v>7753</v>
      </c>
      <c r="B1246" s="11" t="s">
        <v>6041</v>
      </c>
      <c r="C1246" s="12">
        <v>45237</v>
      </c>
      <c r="D1246" s="11">
        <v>285711.37</v>
      </c>
      <c r="E1246" s="11" t="s">
        <v>6508</v>
      </c>
      <c r="F1246" s="11" t="s">
        <v>6503</v>
      </c>
      <c r="G1246" s="11" t="s">
        <v>45</v>
      </c>
      <c r="H1246" s="11">
        <v>29</v>
      </c>
      <c r="I1246" s="13" t="str" cm="1">
        <f t="array" ref="I1246">_xlfn.IFS(
  OR(ISBLANK(A1246),ISBLANK(B1246),ISBLANK(D1246),ISBLANK(E1246),ISBLANK(H1246)),"Missing Value",
  D1246&lt;0,"Review – Out of Range (Claim Amount)",
  H1246&lt;0,"Review – Out of Range (Days to Process)",
  TRUE,"OK"
)</f>
        <v>OK</v>
      </c>
    </row>
    <row r="1247" spans="1:9" ht="16.8" x14ac:dyDescent="0.3">
      <c r="A1247" s="14" t="s">
        <v>7754</v>
      </c>
      <c r="B1247" s="14" t="s">
        <v>5442</v>
      </c>
      <c r="C1247" s="15">
        <v>45383</v>
      </c>
      <c r="D1247" s="14">
        <v>12382.59</v>
      </c>
      <c r="E1247" s="14" t="s">
        <v>6505</v>
      </c>
      <c r="F1247" s="14" t="s">
        <v>6503</v>
      </c>
      <c r="G1247" s="14" t="s">
        <v>46</v>
      </c>
      <c r="H1247" s="14">
        <v>4</v>
      </c>
      <c r="I1247" s="13" t="str" cm="1">
        <f t="array" ref="I1247">_xlfn.IFS(
  OR(ISBLANK(A1247),ISBLANK(B1247),ISBLANK(D1247),ISBLANK(E1247),ISBLANK(H1247)),"Missing Value",
  D1247&lt;0,"Review – Out of Range (Claim Amount)",
  H1247&lt;0,"Review – Out of Range (Days to Process)",
  TRUE,"OK"
)</f>
        <v>OK</v>
      </c>
    </row>
    <row r="1248" spans="1:9" ht="16.8" x14ac:dyDescent="0.3">
      <c r="A1248" s="11" t="s">
        <v>7755</v>
      </c>
      <c r="B1248" s="11" t="s">
        <v>4645</v>
      </c>
      <c r="C1248" s="12">
        <v>45703</v>
      </c>
      <c r="D1248" s="11">
        <v>207657.94</v>
      </c>
      <c r="E1248" s="11" t="s">
        <v>6505</v>
      </c>
      <c r="F1248" s="11" t="s">
        <v>6511</v>
      </c>
      <c r="G1248" s="11" t="s">
        <v>45</v>
      </c>
      <c r="H1248" s="11">
        <v>19</v>
      </c>
      <c r="I1248" s="13" t="str" cm="1">
        <f t="array" ref="I1248">_xlfn.IFS(
  OR(ISBLANK(A1248),ISBLANK(B1248),ISBLANK(D1248),ISBLANK(E1248),ISBLANK(H1248)),"Missing Value",
  D1248&lt;0,"Review – Out of Range (Claim Amount)",
  H1248&lt;0,"Review – Out of Range (Days to Process)",
  TRUE,"OK"
)</f>
        <v>OK</v>
      </c>
    </row>
    <row r="1249" spans="1:9" ht="16.8" x14ac:dyDescent="0.3">
      <c r="A1249" s="14" t="s">
        <v>7756</v>
      </c>
      <c r="B1249" s="14" t="s">
        <v>3546</v>
      </c>
      <c r="C1249" s="15">
        <v>45114</v>
      </c>
      <c r="D1249" s="14">
        <v>139978.70000000001</v>
      </c>
      <c r="E1249" s="14" t="s">
        <v>6505</v>
      </c>
      <c r="F1249" s="14" t="s">
        <v>6516</v>
      </c>
      <c r="G1249" s="14" t="s">
        <v>45</v>
      </c>
      <c r="H1249" s="14">
        <v>32</v>
      </c>
      <c r="I1249" s="13" t="str" cm="1">
        <f t="array" ref="I1249">_xlfn.IFS(
  OR(ISBLANK(A1249),ISBLANK(B1249),ISBLANK(D1249),ISBLANK(E1249),ISBLANK(H1249)),"Missing Value",
  D1249&lt;0,"Review – Out of Range (Claim Amount)",
  H1249&lt;0,"Review – Out of Range (Days to Process)",
  TRUE,"OK"
)</f>
        <v>OK</v>
      </c>
    </row>
    <row r="1250" spans="1:9" ht="16.8" x14ac:dyDescent="0.3">
      <c r="A1250" s="11" t="s">
        <v>7757</v>
      </c>
      <c r="B1250" s="11" t="s">
        <v>5270</v>
      </c>
      <c r="C1250" s="12">
        <v>45230</v>
      </c>
      <c r="D1250" s="11">
        <v>377533.92</v>
      </c>
      <c r="E1250" s="11" t="s">
        <v>6508</v>
      </c>
      <c r="F1250" s="11" t="s">
        <v>6516</v>
      </c>
      <c r="G1250" s="11" t="s">
        <v>45</v>
      </c>
      <c r="H1250" s="11">
        <v>35</v>
      </c>
      <c r="I1250" s="13" t="str" cm="1">
        <f t="array" ref="I1250">_xlfn.IFS(
  OR(ISBLANK(A1250),ISBLANK(B1250),ISBLANK(D1250),ISBLANK(E1250),ISBLANK(H1250)),"Missing Value",
  D1250&lt;0,"Review – Out of Range (Claim Amount)",
  H1250&lt;0,"Review – Out of Range (Days to Process)",
  TRUE,"OK"
)</f>
        <v>OK</v>
      </c>
    </row>
    <row r="1251" spans="1:9" ht="16.8" x14ac:dyDescent="0.3">
      <c r="A1251" s="14" t="s">
        <v>7758</v>
      </c>
      <c r="B1251" s="14" t="s">
        <v>5903</v>
      </c>
      <c r="C1251" s="15">
        <v>44809</v>
      </c>
      <c r="D1251" s="14">
        <v>280802.52</v>
      </c>
      <c r="E1251" s="14" t="s">
        <v>6508</v>
      </c>
      <c r="F1251" s="14" t="s">
        <v>6506</v>
      </c>
      <c r="G1251" s="14" t="s">
        <v>45</v>
      </c>
      <c r="H1251" s="14">
        <v>11</v>
      </c>
      <c r="I1251" s="13" t="str" cm="1">
        <f t="array" ref="I1251">_xlfn.IFS(
  OR(ISBLANK(A1251),ISBLANK(B1251),ISBLANK(D1251),ISBLANK(E1251),ISBLANK(H1251)),"Missing Value",
  D1251&lt;0,"Review – Out of Range (Claim Amount)",
  H1251&lt;0,"Review – Out of Range (Days to Process)",
  TRUE,"OK"
)</f>
        <v>OK</v>
      </c>
    </row>
    <row r="1252" spans="1:9" ht="16.8" x14ac:dyDescent="0.3">
      <c r="A1252" s="11" t="s">
        <v>7759</v>
      </c>
      <c r="B1252" s="11" t="s">
        <v>6191</v>
      </c>
      <c r="C1252" s="12">
        <v>45484</v>
      </c>
      <c r="D1252" s="11">
        <v>213618.84</v>
      </c>
      <c r="E1252" s="11" t="s">
        <v>6505</v>
      </c>
      <c r="F1252" s="11" t="s">
        <v>6506</v>
      </c>
      <c r="G1252" s="11" t="s">
        <v>46</v>
      </c>
      <c r="H1252" s="11">
        <v>54</v>
      </c>
      <c r="I1252" s="13" t="str" cm="1">
        <f t="array" ref="I1252">_xlfn.IFS(
  OR(ISBLANK(A1252),ISBLANK(B1252),ISBLANK(D1252),ISBLANK(E1252),ISBLANK(H1252)),"Missing Value",
  D1252&lt;0,"Review – Out of Range (Claim Amount)",
  H1252&lt;0,"Review – Out of Range (Days to Process)",
  TRUE,"OK"
)</f>
        <v>OK</v>
      </c>
    </row>
    <row r="1253" spans="1:9" ht="16.8" x14ac:dyDescent="0.3">
      <c r="A1253" s="14" t="s">
        <v>7760</v>
      </c>
      <c r="B1253" s="14" t="s">
        <v>6032</v>
      </c>
      <c r="C1253" s="15">
        <v>45176</v>
      </c>
      <c r="D1253" s="14">
        <v>362827.64</v>
      </c>
      <c r="E1253" s="14" t="s">
        <v>6505</v>
      </c>
      <c r="F1253" s="14" t="s">
        <v>6503</v>
      </c>
      <c r="G1253" s="14" t="s">
        <v>45</v>
      </c>
      <c r="H1253" s="14">
        <v>8</v>
      </c>
      <c r="I1253" s="13" t="str" cm="1">
        <f t="array" ref="I1253">_xlfn.IFS(
  OR(ISBLANK(A1253),ISBLANK(B1253),ISBLANK(D1253),ISBLANK(E1253),ISBLANK(H1253)),"Missing Value",
  D1253&lt;0,"Review – Out of Range (Claim Amount)",
  H1253&lt;0,"Review – Out of Range (Days to Process)",
  TRUE,"OK"
)</f>
        <v>OK</v>
      </c>
    </row>
    <row r="1254" spans="1:9" ht="16.8" x14ac:dyDescent="0.3">
      <c r="A1254" s="11" t="s">
        <v>7761</v>
      </c>
      <c r="B1254" s="11" t="s">
        <v>5560</v>
      </c>
      <c r="C1254" s="12">
        <v>44838</v>
      </c>
      <c r="D1254" s="11">
        <v>25919.17</v>
      </c>
      <c r="E1254" s="11" t="s">
        <v>6508</v>
      </c>
      <c r="F1254" s="11" t="s">
        <v>6516</v>
      </c>
      <c r="G1254" s="11" t="s">
        <v>46</v>
      </c>
      <c r="H1254" s="11">
        <v>41</v>
      </c>
      <c r="I1254" s="13" t="str" cm="1">
        <f t="array" ref="I1254">_xlfn.IFS(
  OR(ISBLANK(A1254),ISBLANK(B1254),ISBLANK(D1254),ISBLANK(E1254),ISBLANK(H1254)),"Missing Value",
  D1254&lt;0,"Review – Out of Range (Claim Amount)",
  H1254&lt;0,"Review – Out of Range (Days to Process)",
  TRUE,"OK"
)</f>
        <v>OK</v>
      </c>
    </row>
    <row r="1255" spans="1:9" ht="16.8" x14ac:dyDescent="0.3">
      <c r="A1255" s="14" t="s">
        <v>7762</v>
      </c>
      <c r="B1255" s="14" t="s">
        <v>5990</v>
      </c>
      <c r="C1255" s="15">
        <v>45795</v>
      </c>
      <c r="D1255" s="14">
        <v>155508.51</v>
      </c>
      <c r="E1255" s="14" t="s">
        <v>6502</v>
      </c>
      <c r="F1255" s="14" t="s">
        <v>6509</v>
      </c>
      <c r="G1255" s="14" t="s">
        <v>46</v>
      </c>
      <c r="H1255" s="14">
        <v>56</v>
      </c>
      <c r="I1255" s="13" t="str" cm="1">
        <f t="array" ref="I1255">_xlfn.IFS(
  OR(ISBLANK(A1255),ISBLANK(B1255),ISBLANK(D1255),ISBLANK(E1255),ISBLANK(H1255)),"Missing Value",
  D1255&lt;0,"Review – Out of Range (Claim Amount)",
  H1255&lt;0,"Review – Out of Range (Days to Process)",
  TRUE,"OK"
)</f>
        <v>OK</v>
      </c>
    </row>
    <row r="1256" spans="1:9" ht="16.8" x14ac:dyDescent="0.3">
      <c r="A1256" s="11" t="s">
        <v>7763</v>
      </c>
      <c r="B1256" s="11" t="s">
        <v>4092</v>
      </c>
      <c r="C1256" s="12">
        <v>45280</v>
      </c>
      <c r="D1256" s="11">
        <v>26521.78</v>
      </c>
      <c r="E1256" s="11" t="s">
        <v>6502</v>
      </c>
      <c r="F1256" s="11" t="s">
        <v>6509</v>
      </c>
      <c r="G1256" s="11" t="s">
        <v>45</v>
      </c>
      <c r="H1256" s="11">
        <v>53</v>
      </c>
      <c r="I1256" s="13" t="str" cm="1">
        <f t="array" ref="I1256">_xlfn.IFS(
  OR(ISBLANK(A1256),ISBLANK(B1256),ISBLANK(D1256),ISBLANK(E1256),ISBLANK(H1256)),"Missing Value",
  D1256&lt;0,"Review – Out of Range (Claim Amount)",
  H1256&lt;0,"Review – Out of Range (Days to Process)",
  TRUE,"OK"
)</f>
        <v>OK</v>
      </c>
    </row>
    <row r="1257" spans="1:9" ht="16.8" x14ac:dyDescent="0.3">
      <c r="A1257" s="14" t="s">
        <v>7764</v>
      </c>
      <c r="B1257" s="14" t="s">
        <v>5688</v>
      </c>
      <c r="C1257" s="15">
        <v>45409</v>
      </c>
      <c r="D1257" s="14">
        <v>73843.17</v>
      </c>
      <c r="E1257" s="14" t="s">
        <v>6508</v>
      </c>
      <c r="F1257" s="14" t="s">
        <v>6503</v>
      </c>
      <c r="G1257" s="14" t="s">
        <v>45</v>
      </c>
      <c r="H1257" s="14">
        <v>4</v>
      </c>
      <c r="I1257" s="13" t="str" cm="1">
        <f t="array" ref="I1257">_xlfn.IFS(
  OR(ISBLANK(A1257),ISBLANK(B1257),ISBLANK(D1257),ISBLANK(E1257),ISBLANK(H1257)),"Missing Value",
  D1257&lt;0,"Review – Out of Range (Claim Amount)",
  H1257&lt;0,"Review – Out of Range (Days to Process)",
  TRUE,"OK"
)</f>
        <v>OK</v>
      </c>
    </row>
    <row r="1258" spans="1:9" ht="16.8" x14ac:dyDescent="0.3">
      <c r="A1258" s="11" t="s">
        <v>7765</v>
      </c>
      <c r="B1258" s="11" t="s">
        <v>4786</v>
      </c>
      <c r="C1258" s="12">
        <v>45147</v>
      </c>
      <c r="D1258" s="11">
        <v>376216.73</v>
      </c>
      <c r="E1258" s="11" t="s">
        <v>6508</v>
      </c>
      <c r="F1258" s="11" t="s">
        <v>6506</v>
      </c>
      <c r="G1258" s="11" t="s">
        <v>45</v>
      </c>
      <c r="H1258" s="11">
        <v>3</v>
      </c>
      <c r="I1258" s="13" t="str" cm="1">
        <f t="array" ref="I1258">_xlfn.IFS(
  OR(ISBLANK(A1258),ISBLANK(B1258),ISBLANK(D1258),ISBLANK(E1258),ISBLANK(H1258)),"Missing Value",
  D1258&lt;0,"Review – Out of Range (Claim Amount)",
  H1258&lt;0,"Review – Out of Range (Days to Process)",
  TRUE,"OK"
)</f>
        <v>OK</v>
      </c>
    </row>
    <row r="1259" spans="1:9" ht="16.8" x14ac:dyDescent="0.3">
      <c r="A1259" s="14" t="s">
        <v>7766</v>
      </c>
      <c r="B1259" s="14" t="s">
        <v>3909</v>
      </c>
      <c r="C1259" s="15">
        <v>44439</v>
      </c>
      <c r="D1259" s="14">
        <v>121727.6</v>
      </c>
      <c r="E1259" s="14" t="s">
        <v>6502</v>
      </c>
      <c r="F1259" s="14" t="s">
        <v>6509</v>
      </c>
      <c r="G1259" s="14" t="s">
        <v>45</v>
      </c>
      <c r="H1259" s="14">
        <v>12</v>
      </c>
      <c r="I1259" s="13" t="str" cm="1">
        <f t="array" ref="I1259">_xlfn.IFS(
  OR(ISBLANK(A1259),ISBLANK(B1259),ISBLANK(D1259),ISBLANK(E1259),ISBLANK(H1259)),"Missing Value",
  D1259&lt;0,"Review – Out of Range (Claim Amount)",
  H1259&lt;0,"Review – Out of Range (Days to Process)",
  TRUE,"OK"
)</f>
        <v>OK</v>
      </c>
    </row>
    <row r="1260" spans="1:9" ht="16.8" x14ac:dyDescent="0.3">
      <c r="A1260" s="11" t="s">
        <v>7767</v>
      </c>
      <c r="B1260" s="11" t="s">
        <v>5588</v>
      </c>
      <c r="C1260" s="12">
        <v>45565</v>
      </c>
      <c r="D1260" s="11">
        <v>210894.89</v>
      </c>
      <c r="E1260" s="11" t="s">
        <v>6505</v>
      </c>
      <c r="F1260" s="11" t="s">
        <v>6511</v>
      </c>
      <c r="G1260" s="11" t="s">
        <v>46</v>
      </c>
      <c r="H1260" s="11">
        <v>10</v>
      </c>
      <c r="I1260" s="13" t="str" cm="1">
        <f t="array" ref="I1260">_xlfn.IFS(
  OR(ISBLANK(A1260),ISBLANK(B1260),ISBLANK(D1260),ISBLANK(E1260),ISBLANK(H1260)),"Missing Value",
  D1260&lt;0,"Review – Out of Range (Claim Amount)",
  H1260&lt;0,"Review – Out of Range (Days to Process)",
  TRUE,"OK"
)</f>
        <v>OK</v>
      </c>
    </row>
    <row r="1261" spans="1:9" ht="16.8" x14ac:dyDescent="0.3">
      <c r="A1261" s="14" t="s">
        <v>7768</v>
      </c>
      <c r="B1261" s="14" t="s">
        <v>3585</v>
      </c>
      <c r="C1261" s="15">
        <v>44682</v>
      </c>
      <c r="D1261" s="14">
        <v>43425.1</v>
      </c>
      <c r="E1261" s="14" t="s">
        <v>6505</v>
      </c>
      <c r="F1261" s="14" t="s">
        <v>6511</v>
      </c>
      <c r="G1261" s="14" t="s">
        <v>45</v>
      </c>
      <c r="H1261" s="14">
        <v>2</v>
      </c>
      <c r="I1261" s="13" t="str" cm="1">
        <f t="array" ref="I1261">_xlfn.IFS(
  OR(ISBLANK(A1261),ISBLANK(B1261),ISBLANK(D1261),ISBLANK(E1261),ISBLANK(H1261)),"Missing Value",
  D1261&lt;0,"Review – Out of Range (Claim Amount)",
  H1261&lt;0,"Review – Out of Range (Days to Process)",
  TRUE,"OK"
)</f>
        <v>OK</v>
      </c>
    </row>
    <row r="1262" spans="1:9" ht="16.8" x14ac:dyDescent="0.3">
      <c r="A1262" s="11" t="s">
        <v>7769</v>
      </c>
      <c r="B1262" s="11" t="s">
        <v>6060</v>
      </c>
      <c r="C1262" s="12">
        <v>44756</v>
      </c>
      <c r="D1262" s="11">
        <v>145073.45000000001</v>
      </c>
      <c r="E1262" s="11" t="s">
        <v>6505</v>
      </c>
      <c r="F1262" s="11" t="s">
        <v>6503</v>
      </c>
      <c r="G1262" s="11" t="s">
        <v>46</v>
      </c>
      <c r="H1262" s="11">
        <v>24</v>
      </c>
      <c r="I1262" s="13" t="str" cm="1">
        <f t="array" ref="I1262">_xlfn.IFS(
  OR(ISBLANK(A1262),ISBLANK(B1262),ISBLANK(D1262),ISBLANK(E1262),ISBLANK(H1262)),"Missing Value",
  D1262&lt;0,"Review – Out of Range (Claim Amount)",
  H1262&lt;0,"Review – Out of Range (Days to Process)",
  TRUE,"OK"
)</f>
        <v>OK</v>
      </c>
    </row>
    <row r="1263" spans="1:9" ht="16.8" x14ac:dyDescent="0.3">
      <c r="A1263" s="14" t="s">
        <v>7770</v>
      </c>
      <c r="B1263" s="14" t="s">
        <v>5678</v>
      </c>
      <c r="C1263" s="15">
        <v>45200</v>
      </c>
      <c r="D1263" s="14">
        <v>202686.07999999999</v>
      </c>
      <c r="E1263" s="14" t="s">
        <v>6502</v>
      </c>
      <c r="F1263" s="14" t="s">
        <v>6503</v>
      </c>
      <c r="G1263" s="14" t="s">
        <v>45</v>
      </c>
      <c r="H1263" s="14">
        <v>11</v>
      </c>
      <c r="I1263" s="13" t="str" cm="1">
        <f t="array" ref="I1263">_xlfn.IFS(
  OR(ISBLANK(A1263),ISBLANK(B1263),ISBLANK(D1263),ISBLANK(E1263),ISBLANK(H1263)),"Missing Value",
  D1263&lt;0,"Review – Out of Range (Claim Amount)",
  H1263&lt;0,"Review – Out of Range (Days to Process)",
  TRUE,"OK"
)</f>
        <v>OK</v>
      </c>
    </row>
    <row r="1264" spans="1:9" ht="16.8" x14ac:dyDescent="0.3">
      <c r="A1264" s="11" t="s">
        <v>7771</v>
      </c>
      <c r="B1264" s="11" t="s">
        <v>5664</v>
      </c>
      <c r="C1264" s="12">
        <v>45436</v>
      </c>
      <c r="D1264" s="11">
        <v>447677.43</v>
      </c>
      <c r="E1264" s="11" t="s">
        <v>6502</v>
      </c>
      <c r="F1264" s="11" t="s">
        <v>6516</v>
      </c>
      <c r="G1264" s="11" t="s">
        <v>45</v>
      </c>
      <c r="H1264" s="11">
        <v>33</v>
      </c>
      <c r="I1264" s="13" t="str" cm="1">
        <f t="array" ref="I1264">_xlfn.IFS(
  OR(ISBLANK(A1264),ISBLANK(B1264),ISBLANK(D1264),ISBLANK(E1264),ISBLANK(H1264)),"Missing Value",
  D1264&lt;0,"Review – Out of Range (Claim Amount)",
  H1264&lt;0,"Review – Out of Range (Days to Process)",
  TRUE,"OK"
)</f>
        <v>OK</v>
      </c>
    </row>
    <row r="1265" spans="1:9" ht="16.8" x14ac:dyDescent="0.3">
      <c r="A1265" s="14" t="s">
        <v>7772</v>
      </c>
      <c r="B1265" s="14" t="s">
        <v>4531</v>
      </c>
      <c r="C1265" s="15">
        <v>44967</v>
      </c>
      <c r="D1265" s="14">
        <v>288030.77</v>
      </c>
      <c r="E1265" s="14" t="s">
        <v>6508</v>
      </c>
      <c r="F1265" s="14" t="s">
        <v>6506</v>
      </c>
      <c r="G1265" s="14" t="s">
        <v>46</v>
      </c>
      <c r="H1265" s="14">
        <v>58</v>
      </c>
      <c r="I1265" s="13" t="str" cm="1">
        <f t="array" ref="I1265">_xlfn.IFS(
  OR(ISBLANK(A1265),ISBLANK(B1265),ISBLANK(D1265),ISBLANK(E1265),ISBLANK(H1265)),"Missing Value",
  D1265&lt;0,"Review – Out of Range (Claim Amount)",
  H1265&lt;0,"Review – Out of Range (Days to Process)",
  TRUE,"OK"
)</f>
        <v>OK</v>
      </c>
    </row>
    <row r="1266" spans="1:9" ht="16.8" x14ac:dyDescent="0.3">
      <c r="A1266" s="11" t="s">
        <v>7773</v>
      </c>
      <c r="B1266" s="11" t="s">
        <v>3994</v>
      </c>
      <c r="C1266" s="12">
        <v>45523</v>
      </c>
      <c r="D1266" s="11">
        <v>304623.89</v>
      </c>
      <c r="E1266" s="11" t="s">
        <v>6505</v>
      </c>
      <c r="F1266" s="11" t="s">
        <v>6509</v>
      </c>
      <c r="G1266" s="11" t="s">
        <v>46</v>
      </c>
      <c r="H1266" s="11">
        <v>44</v>
      </c>
      <c r="I1266" s="13" t="str" cm="1">
        <f t="array" ref="I1266">_xlfn.IFS(
  OR(ISBLANK(A1266),ISBLANK(B1266),ISBLANK(D1266),ISBLANK(E1266),ISBLANK(H1266)),"Missing Value",
  D1266&lt;0,"Review – Out of Range (Claim Amount)",
  H1266&lt;0,"Review – Out of Range (Days to Process)",
  TRUE,"OK"
)</f>
        <v>OK</v>
      </c>
    </row>
    <row r="1267" spans="1:9" ht="16.8" x14ac:dyDescent="0.3">
      <c r="A1267" s="14" t="s">
        <v>7774</v>
      </c>
      <c r="B1267" s="14" t="s">
        <v>6230</v>
      </c>
      <c r="C1267" s="15">
        <v>45633</v>
      </c>
      <c r="D1267" s="14">
        <v>345339.1</v>
      </c>
      <c r="E1267" s="14" t="s">
        <v>6505</v>
      </c>
      <c r="F1267" s="14" t="s">
        <v>6511</v>
      </c>
      <c r="G1267" s="14" t="s">
        <v>45</v>
      </c>
      <c r="H1267" s="14">
        <v>53</v>
      </c>
      <c r="I1267" s="13" t="str" cm="1">
        <f t="array" ref="I1267">_xlfn.IFS(
  OR(ISBLANK(A1267),ISBLANK(B1267),ISBLANK(D1267),ISBLANK(E1267),ISBLANK(H1267)),"Missing Value",
  D1267&lt;0,"Review – Out of Range (Claim Amount)",
  H1267&lt;0,"Review – Out of Range (Days to Process)",
  TRUE,"OK"
)</f>
        <v>OK</v>
      </c>
    </row>
    <row r="1268" spans="1:9" ht="16.8" x14ac:dyDescent="0.3">
      <c r="A1268" s="11" t="s">
        <v>7775</v>
      </c>
      <c r="B1268" s="11" t="s">
        <v>6032</v>
      </c>
      <c r="C1268" s="12">
        <v>45426</v>
      </c>
      <c r="D1268" s="11">
        <v>15739.41</v>
      </c>
      <c r="E1268" s="11" t="s">
        <v>6502</v>
      </c>
      <c r="F1268" s="11" t="s">
        <v>6516</v>
      </c>
      <c r="G1268" s="11" t="s">
        <v>46</v>
      </c>
      <c r="H1268" s="11">
        <v>34</v>
      </c>
      <c r="I1268" s="13" t="str" cm="1">
        <f t="array" ref="I1268">_xlfn.IFS(
  OR(ISBLANK(A1268),ISBLANK(B1268),ISBLANK(D1268),ISBLANK(E1268),ISBLANK(H1268)),"Missing Value",
  D1268&lt;0,"Review – Out of Range (Claim Amount)",
  H1268&lt;0,"Review – Out of Range (Days to Process)",
  TRUE,"OK"
)</f>
        <v>OK</v>
      </c>
    </row>
    <row r="1269" spans="1:9" ht="16.8" x14ac:dyDescent="0.3">
      <c r="A1269" s="14" t="s">
        <v>7776</v>
      </c>
      <c r="B1269" s="14" t="s">
        <v>4590</v>
      </c>
      <c r="C1269" s="15">
        <v>45470</v>
      </c>
      <c r="D1269" s="14">
        <v>271950.96000000002</v>
      </c>
      <c r="E1269" s="14" t="s">
        <v>6505</v>
      </c>
      <c r="F1269" s="14" t="s">
        <v>6511</v>
      </c>
      <c r="G1269" s="14" t="s">
        <v>46</v>
      </c>
      <c r="H1269" s="14">
        <v>45</v>
      </c>
      <c r="I1269" s="13" t="str" cm="1">
        <f t="array" ref="I1269">_xlfn.IFS(
  OR(ISBLANK(A1269),ISBLANK(B1269),ISBLANK(D1269),ISBLANK(E1269),ISBLANK(H1269)),"Missing Value",
  D1269&lt;0,"Review – Out of Range (Claim Amount)",
  H1269&lt;0,"Review – Out of Range (Days to Process)",
  TRUE,"OK"
)</f>
        <v>OK</v>
      </c>
    </row>
    <row r="1270" spans="1:9" ht="16.8" x14ac:dyDescent="0.3">
      <c r="A1270" s="11" t="s">
        <v>7777</v>
      </c>
      <c r="B1270" s="11" t="s">
        <v>5537</v>
      </c>
      <c r="C1270" s="12">
        <v>45297</v>
      </c>
      <c r="D1270" s="11">
        <v>223552</v>
      </c>
      <c r="E1270" s="11" t="s">
        <v>6508</v>
      </c>
      <c r="F1270" s="11" t="s">
        <v>6503</v>
      </c>
      <c r="G1270" s="11" t="s">
        <v>45</v>
      </c>
      <c r="H1270" s="11">
        <v>19</v>
      </c>
      <c r="I1270" s="13" t="str" cm="1">
        <f t="array" ref="I1270">_xlfn.IFS(
  OR(ISBLANK(A1270),ISBLANK(B1270),ISBLANK(D1270),ISBLANK(E1270),ISBLANK(H1270)),"Missing Value",
  D1270&lt;0,"Review – Out of Range (Claim Amount)",
  H1270&lt;0,"Review – Out of Range (Days to Process)",
  TRUE,"OK"
)</f>
        <v>OK</v>
      </c>
    </row>
    <row r="1271" spans="1:9" ht="16.8" x14ac:dyDescent="0.3">
      <c r="A1271" s="14" t="s">
        <v>7778</v>
      </c>
      <c r="B1271" s="14" t="s">
        <v>3876</v>
      </c>
      <c r="C1271" s="15">
        <v>44226</v>
      </c>
      <c r="D1271" s="14">
        <v>11061.28</v>
      </c>
      <c r="E1271" s="14" t="s">
        <v>6505</v>
      </c>
      <c r="F1271" s="14" t="s">
        <v>6509</v>
      </c>
      <c r="G1271" s="14" t="s">
        <v>46</v>
      </c>
      <c r="H1271" s="14">
        <v>8</v>
      </c>
      <c r="I1271" s="13" t="str" cm="1">
        <f t="array" ref="I1271">_xlfn.IFS(
  OR(ISBLANK(A1271),ISBLANK(B1271),ISBLANK(D1271),ISBLANK(E1271),ISBLANK(H1271)),"Missing Value",
  D1271&lt;0,"Review – Out of Range (Claim Amount)",
  H1271&lt;0,"Review – Out of Range (Days to Process)",
  TRUE,"OK"
)</f>
        <v>OK</v>
      </c>
    </row>
    <row r="1272" spans="1:9" ht="16.8" x14ac:dyDescent="0.3">
      <c r="A1272" s="11" t="s">
        <v>7779</v>
      </c>
      <c r="B1272" s="11" t="s">
        <v>4462</v>
      </c>
      <c r="C1272" s="12">
        <v>44416</v>
      </c>
      <c r="D1272" s="11">
        <v>465762.5</v>
      </c>
      <c r="E1272" s="11" t="s">
        <v>6502</v>
      </c>
      <c r="F1272" s="11" t="s">
        <v>6511</v>
      </c>
      <c r="G1272" s="11" t="s">
        <v>46</v>
      </c>
      <c r="H1272" s="11">
        <v>17</v>
      </c>
      <c r="I1272" s="13" t="str" cm="1">
        <f t="array" ref="I1272">_xlfn.IFS(
  OR(ISBLANK(A1272),ISBLANK(B1272),ISBLANK(D1272),ISBLANK(E1272),ISBLANK(H1272)),"Missing Value",
  D1272&lt;0,"Review – Out of Range (Claim Amount)",
  H1272&lt;0,"Review – Out of Range (Days to Process)",
  TRUE,"OK"
)</f>
        <v>OK</v>
      </c>
    </row>
    <row r="1273" spans="1:9" ht="16.8" x14ac:dyDescent="0.3">
      <c r="A1273" s="14" t="s">
        <v>7780</v>
      </c>
      <c r="B1273" s="14" t="s">
        <v>4585</v>
      </c>
      <c r="C1273" s="15">
        <v>45699</v>
      </c>
      <c r="D1273" s="14">
        <v>203527.11</v>
      </c>
      <c r="E1273" s="14" t="s">
        <v>6508</v>
      </c>
      <c r="F1273" s="14" t="s">
        <v>6516</v>
      </c>
      <c r="G1273" s="14" t="s">
        <v>45</v>
      </c>
      <c r="H1273" s="14">
        <v>25</v>
      </c>
      <c r="I1273" s="13" t="str" cm="1">
        <f t="array" ref="I1273">_xlfn.IFS(
  OR(ISBLANK(A1273),ISBLANK(B1273),ISBLANK(D1273),ISBLANK(E1273),ISBLANK(H1273)),"Missing Value",
  D1273&lt;0,"Review – Out of Range (Claim Amount)",
  H1273&lt;0,"Review – Out of Range (Days to Process)",
  TRUE,"OK"
)</f>
        <v>OK</v>
      </c>
    </row>
    <row r="1274" spans="1:9" ht="16.8" x14ac:dyDescent="0.3">
      <c r="A1274" s="11" t="s">
        <v>7781</v>
      </c>
      <c r="B1274" s="11" t="s">
        <v>5356</v>
      </c>
      <c r="C1274" s="12">
        <v>45190</v>
      </c>
      <c r="D1274" s="11">
        <v>51820.54</v>
      </c>
      <c r="E1274" s="11" t="s">
        <v>6505</v>
      </c>
      <c r="F1274" s="11" t="s">
        <v>6503</v>
      </c>
      <c r="G1274" s="11" t="s">
        <v>45</v>
      </c>
      <c r="H1274" s="11">
        <v>25</v>
      </c>
      <c r="I1274" s="13" t="str" cm="1">
        <f t="array" ref="I1274">_xlfn.IFS(
  OR(ISBLANK(A1274),ISBLANK(B1274),ISBLANK(D1274),ISBLANK(E1274),ISBLANK(H1274)),"Missing Value",
  D1274&lt;0,"Review – Out of Range (Claim Amount)",
  H1274&lt;0,"Review – Out of Range (Days to Process)",
  TRUE,"OK"
)</f>
        <v>OK</v>
      </c>
    </row>
    <row r="1275" spans="1:9" ht="16.8" x14ac:dyDescent="0.3">
      <c r="A1275" s="14" t="s">
        <v>7782</v>
      </c>
      <c r="B1275" s="14" t="s">
        <v>5250</v>
      </c>
      <c r="C1275" s="15">
        <v>45571</v>
      </c>
      <c r="D1275" s="14">
        <v>360701.49</v>
      </c>
      <c r="E1275" s="14" t="s">
        <v>6505</v>
      </c>
      <c r="F1275" s="14" t="s">
        <v>6506</v>
      </c>
      <c r="G1275" s="14" t="s">
        <v>46</v>
      </c>
      <c r="H1275" s="14">
        <v>33</v>
      </c>
      <c r="I1275" s="13" t="str" cm="1">
        <f t="array" ref="I1275">_xlfn.IFS(
  OR(ISBLANK(A1275),ISBLANK(B1275),ISBLANK(D1275),ISBLANK(E1275),ISBLANK(H1275)),"Missing Value",
  D1275&lt;0,"Review – Out of Range (Claim Amount)",
  H1275&lt;0,"Review – Out of Range (Days to Process)",
  TRUE,"OK"
)</f>
        <v>OK</v>
      </c>
    </row>
    <row r="1276" spans="1:9" ht="16.8" x14ac:dyDescent="0.3">
      <c r="A1276" s="11" t="s">
        <v>7783</v>
      </c>
      <c r="B1276" s="11" t="s">
        <v>6051</v>
      </c>
      <c r="C1276" s="12">
        <v>44942</v>
      </c>
      <c r="D1276" s="11">
        <v>370638.42</v>
      </c>
      <c r="E1276" s="11" t="s">
        <v>6502</v>
      </c>
      <c r="F1276" s="11" t="s">
        <v>6516</v>
      </c>
      <c r="G1276" s="11" t="s">
        <v>45</v>
      </c>
      <c r="H1276" s="11">
        <v>25</v>
      </c>
      <c r="I1276" s="13" t="str" cm="1">
        <f t="array" ref="I1276">_xlfn.IFS(
  OR(ISBLANK(A1276),ISBLANK(B1276),ISBLANK(D1276),ISBLANK(E1276),ISBLANK(H1276)),"Missing Value",
  D1276&lt;0,"Review – Out of Range (Claim Amount)",
  H1276&lt;0,"Review – Out of Range (Days to Process)",
  TRUE,"OK"
)</f>
        <v>OK</v>
      </c>
    </row>
    <row r="1277" spans="1:9" ht="16.8" x14ac:dyDescent="0.3">
      <c r="A1277" s="14" t="s">
        <v>7784</v>
      </c>
      <c r="B1277" s="14" t="s">
        <v>3583</v>
      </c>
      <c r="C1277" s="15">
        <v>45227</v>
      </c>
      <c r="D1277" s="14">
        <v>277516.55</v>
      </c>
      <c r="E1277" s="14" t="s">
        <v>6505</v>
      </c>
      <c r="F1277" s="14" t="s">
        <v>6511</v>
      </c>
      <c r="G1277" s="14" t="s">
        <v>45</v>
      </c>
      <c r="H1277" s="14">
        <v>28</v>
      </c>
      <c r="I1277" s="13" t="str" cm="1">
        <f t="array" ref="I1277">_xlfn.IFS(
  OR(ISBLANK(A1277),ISBLANK(B1277),ISBLANK(D1277),ISBLANK(E1277),ISBLANK(H1277)),"Missing Value",
  D1277&lt;0,"Review – Out of Range (Claim Amount)",
  H1277&lt;0,"Review – Out of Range (Days to Process)",
  TRUE,"OK"
)</f>
        <v>OK</v>
      </c>
    </row>
    <row r="1278" spans="1:9" ht="16.8" x14ac:dyDescent="0.3">
      <c r="A1278" s="11" t="s">
        <v>7785</v>
      </c>
      <c r="B1278" s="11" t="s">
        <v>3695</v>
      </c>
      <c r="C1278" s="12">
        <v>45248</v>
      </c>
      <c r="D1278" s="11">
        <v>276214.74</v>
      </c>
      <c r="E1278" s="11" t="s">
        <v>6505</v>
      </c>
      <c r="F1278" s="11" t="s">
        <v>6503</v>
      </c>
      <c r="G1278" s="11" t="s">
        <v>46</v>
      </c>
      <c r="H1278" s="11">
        <v>14</v>
      </c>
      <c r="I1278" s="13" t="str" cm="1">
        <f t="array" ref="I1278">_xlfn.IFS(
  OR(ISBLANK(A1278),ISBLANK(B1278),ISBLANK(D1278),ISBLANK(E1278),ISBLANK(H1278)),"Missing Value",
  D1278&lt;0,"Review – Out of Range (Claim Amount)",
  H1278&lt;0,"Review – Out of Range (Days to Process)",
  TRUE,"OK"
)</f>
        <v>OK</v>
      </c>
    </row>
    <row r="1279" spans="1:9" ht="16.8" x14ac:dyDescent="0.3">
      <c r="A1279" s="14" t="s">
        <v>7786</v>
      </c>
      <c r="B1279" s="14" t="s">
        <v>3656</v>
      </c>
      <c r="C1279" s="15">
        <v>44108</v>
      </c>
      <c r="D1279" s="14">
        <v>246588.89</v>
      </c>
      <c r="E1279" s="14" t="s">
        <v>6505</v>
      </c>
      <c r="F1279" s="14" t="s">
        <v>6503</v>
      </c>
      <c r="G1279" s="14" t="s">
        <v>45</v>
      </c>
      <c r="H1279" s="14">
        <v>5</v>
      </c>
      <c r="I1279" s="13" t="str" cm="1">
        <f t="array" ref="I1279">_xlfn.IFS(
  OR(ISBLANK(A1279),ISBLANK(B1279),ISBLANK(D1279),ISBLANK(E1279),ISBLANK(H1279)),"Missing Value",
  D1279&lt;0,"Review – Out of Range (Claim Amount)",
  H1279&lt;0,"Review – Out of Range (Days to Process)",
  TRUE,"OK"
)</f>
        <v>OK</v>
      </c>
    </row>
    <row r="1280" spans="1:9" ht="16.8" x14ac:dyDescent="0.3">
      <c r="A1280" s="11" t="s">
        <v>7787</v>
      </c>
      <c r="B1280" s="11" t="s">
        <v>6217</v>
      </c>
      <c r="C1280" s="12">
        <v>45312</v>
      </c>
      <c r="D1280" s="11">
        <v>37487.040000000001</v>
      </c>
      <c r="E1280" s="11" t="s">
        <v>6508</v>
      </c>
      <c r="F1280" s="11" t="s">
        <v>6509</v>
      </c>
      <c r="G1280" s="11" t="s">
        <v>45</v>
      </c>
      <c r="H1280" s="11">
        <v>15</v>
      </c>
      <c r="I1280" s="13" t="str" cm="1">
        <f t="array" ref="I1280">_xlfn.IFS(
  OR(ISBLANK(A1280),ISBLANK(B1280),ISBLANK(D1280),ISBLANK(E1280),ISBLANK(H1280)),"Missing Value",
  D1280&lt;0,"Review – Out of Range (Claim Amount)",
  H1280&lt;0,"Review – Out of Range (Days to Process)",
  TRUE,"OK"
)</f>
        <v>OK</v>
      </c>
    </row>
    <row r="1281" spans="1:9" ht="16.8" x14ac:dyDescent="0.3">
      <c r="A1281" s="14" t="s">
        <v>7788</v>
      </c>
      <c r="B1281" s="14" t="s">
        <v>4946</v>
      </c>
      <c r="C1281" s="15">
        <v>45700</v>
      </c>
      <c r="D1281" s="14">
        <v>431060.63</v>
      </c>
      <c r="E1281" s="14" t="s">
        <v>6502</v>
      </c>
      <c r="F1281" s="14" t="s">
        <v>6506</v>
      </c>
      <c r="G1281" s="14" t="s">
        <v>45</v>
      </c>
      <c r="H1281" s="14">
        <v>55</v>
      </c>
      <c r="I1281" s="13" t="str" cm="1">
        <f t="array" ref="I1281">_xlfn.IFS(
  OR(ISBLANK(A1281),ISBLANK(B1281),ISBLANK(D1281),ISBLANK(E1281),ISBLANK(H1281)),"Missing Value",
  D1281&lt;0,"Review – Out of Range (Claim Amount)",
  H1281&lt;0,"Review – Out of Range (Days to Process)",
  TRUE,"OK"
)</f>
        <v>OK</v>
      </c>
    </row>
    <row r="1282" spans="1:9" ht="16.8" x14ac:dyDescent="0.3">
      <c r="A1282" s="11" t="s">
        <v>7789</v>
      </c>
      <c r="B1282" s="11" t="s">
        <v>4534</v>
      </c>
      <c r="C1282" s="12">
        <v>44905</v>
      </c>
      <c r="D1282" s="11">
        <v>182510.17</v>
      </c>
      <c r="E1282" s="11" t="s">
        <v>6502</v>
      </c>
      <c r="F1282" s="11" t="s">
        <v>6503</v>
      </c>
      <c r="G1282" s="11" t="s">
        <v>46</v>
      </c>
      <c r="H1282" s="11">
        <v>48</v>
      </c>
      <c r="I1282" s="13" t="str" cm="1">
        <f t="array" ref="I1282">_xlfn.IFS(
  OR(ISBLANK(A1282),ISBLANK(B1282),ISBLANK(D1282),ISBLANK(E1282),ISBLANK(H1282)),"Missing Value",
  D1282&lt;0,"Review – Out of Range (Claim Amount)",
  H1282&lt;0,"Review – Out of Range (Days to Process)",
  TRUE,"OK"
)</f>
        <v>OK</v>
      </c>
    </row>
    <row r="1283" spans="1:9" ht="16.8" x14ac:dyDescent="0.3">
      <c r="A1283" s="14" t="s">
        <v>7790</v>
      </c>
      <c r="B1283" s="14" t="s">
        <v>4341</v>
      </c>
      <c r="C1283" s="15">
        <v>44997</v>
      </c>
      <c r="D1283" s="14">
        <v>183793.43</v>
      </c>
      <c r="E1283" s="14" t="s">
        <v>6505</v>
      </c>
      <c r="F1283" s="14" t="s">
        <v>6511</v>
      </c>
      <c r="G1283" s="14" t="s">
        <v>45</v>
      </c>
      <c r="H1283" s="14">
        <v>41</v>
      </c>
      <c r="I1283" s="13" t="str" cm="1">
        <f t="array" ref="I1283">_xlfn.IFS(
  OR(ISBLANK(A1283),ISBLANK(B1283),ISBLANK(D1283),ISBLANK(E1283),ISBLANK(H1283)),"Missing Value",
  D1283&lt;0,"Review – Out of Range (Claim Amount)",
  H1283&lt;0,"Review – Out of Range (Days to Process)",
  TRUE,"OK"
)</f>
        <v>OK</v>
      </c>
    </row>
    <row r="1284" spans="1:9" ht="16.8" x14ac:dyDescent="0.3">
      <c r="A1284" s="11" t="s">
        <v>7791</v>
      </c>
      <c r="B1284" s="11" t="s">
        <v>4977</v>
      </c>
      <c r="C1284" s="12">
        <v>45338</v>
      </c>
      <c r="D1284" s="11">
        <v>63479.199999999997</v>
      </c>
      <c r="E1284" s="11" t="s">
        <v>6508</v>
      </c>
      <c r="F1284" s="11" t="s">
        <v>6511</v>
      </c>
      <c r="G1284" s="11" t="s">
        <v>45</v>
      </c>
      <c r="H1284" s="11">
        <v>37</v>
      </c>
      <c r="I1284" s="13" t="str" cm="1">
        <f t="array" ref="I1284">_xlfn.IFS(
  OR(ISBLANK(A1284),ISBLANK(B1284),ISBLANK(D1284),ISBLANK(E1284),ISBLANK(H1284)),"Missing Value",
  D1284&lt;0,"Review – Out of Range (Claim Amount)",
  H1284&lt;0,"Review – Out of Range (Days to Process)",
  TRUE,"OK"
)</f>
        <v>OK</v>
      </c>
    </row>
    <row r="1285" spans="1:9" ht="16.8" x14ac:dyDescent="0.3">
      <c r="A1285" s="14" t="s">
        <v>7792</v>
      </c>
      <c r="B1285" s="14" t="s">
        <v>5337</v>
      </c>
      <c r="C1285" s="15">
        <v>45330</v>
      </c>
      <c r="D1285" s="14">
        <v>70575.56</v>
      </c>
      <c r="E1285" s="14" t="s">
        <v>6508</v>
      </c>
      <c r="F1285" s="14" t="s">
        <v>6509</v>
      </c>
      <c r="G1285" s="14" t="s">
        <v>46</v>
      </c>
      <c r="H1285" s="14">
        <v>27</v>
      </c>
      <c r="I1285" s="13" t="str" cm="1">
        <f t="array" ref="I1285">_xlfn.IFS(
  OR(ISBLANK(A1285),ISBLANK(B1285),ISBLANK(D1285),ISBLANK(E1285),ISBLANK(H1285)),"Missing Value",
  D1285&lt;0,"Review – Out of Range (Claim Amount)",
  H1285&lt;0,"Review – Out of Range (Days to Process)",
  TRUE,"OK"
)</f>
        <v>OK</v>
      </c>
    </row>
    <row r="1286" spans="1:9" ht="16.8" x14ac:dyDescent="0.3">
      <c r="A1286" s="11" t="s">
        <v>7793</v>
      </c>
      <c r="B1286" s="11" t="s">
        <v>3877</v>
      </c>
      <c r="C1286" s="12">
        <v>45167</v>
      </c>
      <c r="D1286" s="11">
        <v>406234.13</v>
      </c>
      <c r="E1286" s="11" t="s">
        <v>6502</v>
      </c>
      <c r="F1286" s="11" t="s">
        <v>6516</v>
      </c>
      <c r="G1286" s="11" t="s">
        <v>46</v>
      </c>
      <c r="H1286" s="11">
        <v>10</v>
      </c>
      <c r="I1286" s="13" t="str" cm="1">
        <f t="array" ref="I1286">_xlfn.IFS(
  OR(ISBLANK(A1286),ISBLANK(B1286),ISBLANK(D1286),ISBLANK(E1286),ISBLANK(H1286)),"Missing Value",
  D1286&lt;0,"Review – Out of Range (Claim Amount)",
  H1286&lt;0,"Review – Out of Range (Days to Process)",
  TRUE,"OK"
)</f>
        <v>OK</v>
      </c>
    </row>
    <row r="1287" spans="1:9" ht="16.8" x14ac:dyDescent="0.3">
      <c r="A1287" s="14" t="s">
        <v>7794</v>
      </c>
      <c r="B1287" s="14" t="s">
        <v>5612</v>
      </c>
      <c r="C1287" s="15">
        <v>45574</v>
      </c>
      <c r="D1287" s="14">
        <v>429975.42</v>
      </c>
      <c r="E1287" s="14" t="s">
        <v>6505</v>
      </c>
      <c r="F1287" s="14" t="s">
        <v>6503</v>
      </c>
      <c r="G1287" s="14" t="s">
        <v>46</v>
      </c>
      <c r="H1287" s="14">
        <v>39</v>
      </c>
      <c r="I1287" s="13" t="str" cm="1">
        <f t="array" ref="I1287">_xlfn.IFS(
  OR(ISBLANK(A1287),ISBLANK(B1287),ISBLANK(D1287),ISBLANK(E1287),ISBLANK(H1287)),"Missing Value",
  D1287&lt;0,"Review – Out of Range (Claim Amount)",
  H1287&lt;0,"Review – Out of Range (Days to Process)",
  TRUE,"OK"
)</f>
        <v>OK</v>
      </c>
    </row>
    <row r="1288" spans="1:9" ht="16.8" x14ac:dyDescent="0.3">
      <c r="A1288" s="11" t="s">
        <v>7795</v>
      </c>
      <c r="B1288" s="11" t="s">
        <v>3908</v>
      </c>
      <c r="C1288" s="12">
        <v>45303</v>
      </c>
      <c r="D1288" s="11">
        <v>335247.14</v>
      </c>
      <c r="E1288" s="11" t="s">
        <v>6502</v>
      </c>
      <c r="F1288" s="11" t="s">
        <v>6509</v>
      </c>
      <c r="G1288" s="11" t="s">
        <v>46</v>
      </c>
      <c r="H1288" s="11">
        <v>45</v>
      </c>
      <c r="I1288" s="13" t="str" cm="1">
        <f t="array" ref="I1288">_xlfn.IFS(
  OR(ISBLANK(A1288),ISBLANK(B1288),ISBLANK(D1288),ISBLANK(E1288),ISBLANK(H1288)),"Missing Value",
  D1288&lt;0,"Review – Out of Range (Claim Amount)",
  H1288&lt;0,"Review – Out of Range (Days to Process)",
  TRUE,"OK"
)</f>
        <v>OK</v>
      </c>
    </row>
    <row r="1289" spans="1:9" ht="16.8" x14ac:dyDescent="0.3">
      <c r="A1289" s="14" t="s">
        <v>7796</v>
      </c>
      <c r="B1289" s="14" t="s">
        <v>5778</v>
      </c>
      <c r="C1289" s="15">
        <v>45452</v>
      </c>
      <c r="D1289" s="14">
        <v>132733.79999999999</v>
      </c>
      <c r="E1289" s="14" t="s">
        <v>6508</v>
      </c>
      <c r="F1289" s="14" t="s">
        <v>6506</v>
      </c>
      <c r="G1289" s="14" t="s">
        <v>45</v>
      </c>
      <c r="H1289" s="14">
        <v>14</v>
      </c>
      <c r="I1289" s="13" t="str" cm="1">
        <f t="array" ref="I1289">_xlfn.IFS(
  OR(ISBLANK(A1289),ISBLANK(B1289),ISBLANK(D1289),ISBLANK(E1289),ISBLANK(H1289)),"Missing Value",
  D1289&lt;0,"Review – Out of Range (Claim Amount)",
  H1289&lt;0,"Review – Out of Range (Days to Process)",
  TRUE,"OK"
)</f>
        <v>OK</v>
      </c>
    </row>
    <row r="1290" spans="1:9" ht="16.8" x14ac:dyDescent="0.3">
      <c r="A1290" s="11" t="s">
        <v>7797</v>
      </c>
      <c r="B1290" s="11" t="s">
        <v>4017</v>
      </c>
      <c r="C1290" s="12">
        <v>44792</v>
      </c>
      <c r="D1290" s="11">
        <v>266018.2</v>
      </c>
      <c r="E1290" s="11" t="s">
        <v>6502</v>
      </c>
      <c r="F1290" s="11" t="s">
        <v>6503</v>
      </c>
      <c r="G1290" s="11" t="s">
        <v>45</v>
      </c>
      <c r="H1290" s="11">
        <v>38</v>
      </c>
      <c r="I1290" s="13" t="str" cm="1">
        <f t="array" ref="I1290">_xlfn.IFS(
  OR(ISBLANK(A1290),ISBLANK(B1290),ISBLANK(D1290),ISBLANK(E1290),ISBLANK(H1290)),"Missing Value",
  D1290&lt;0,"Review – Out of Range (Claim Amount)",
  H1290&lt;0,"Review – Out of Range (Days to Process)",
  TRUE,"OK"
)</f>
        <v>OK</v>
      </c>
    </row>
    <row r="1291" spans="1:9" ht="16.8" x14ac:dyDescent="0.3">
      <c r="A1291" s="14" t="s">
        <v>7798</v>
      </c>
      <c r="B1291" s="14" t="s">
        <v>3679</v>
      </c>
      <c r="C1291" s="15">
        <v>45398</v>
      </c>
      <c r="D1291" s="14">
        <v>326869.51</v>
      </c>
      <c r="E1291" s="14" t="s">
        <v>6502</v>
      </c>
      <c r="F1291" s="14" t="s">
        <v>6506</v>
      </c>
      <c r="G1291" s="14" t="s">
        <v>45</v>
      </c>
      <c r="H1291" s="14">
        <v>42</v>
      </c>
      <c r="I1291" s="13" t="str" cm="1">
        <f t="array" ref="I1291">_xlfn.IFS(
  OR(ISBLANK(A1291),ISBLANK(B1291),ISBLANK(D1291),ISBLANK(E1291),ISBLANK(H1291)),"Missing Value",
  D1291&lt;0,"Review – Out of Range (Claim Amount)",
  H1291&lt;0,"Review – Out of Range (Days to Process)",
  TRUE,"OK"
)</f>
        <v>OK</v>
      </c>
    </row>
    <row r="1292" spans="1:9" ht="16.8" x14ac:dyDescent="0.3">
      <c r="A1292" s="11" t="s">
        <v>7799</v>
      </c>
      <c r="B1292" s="11" t="s">
        <v>6233</v>
      </c>
      <c r="C1292" s="12">
        <v>45375</v>
      </c>
      <c r="D1292" s="11">
        <v>411871.09</v>
      </c>
      <c r="E1292" s="11" t="s">
        <v>6505</v>
      </c>
      <c r="F1292" s="11" t="s">
        <v>6503</v>
      </c>
      <c r="G1292" s="11" t="s">
        <v>46</v>
      </c>
      <c r="H1292" s="11">
        <v>12</v>
      </c>
      <c r="I1292" s="13" t="str" cm="1">
        <f t="array" ref="I1292">_xlfn.IFS(
  OR(ISBLANK(A1292),ISBLANK(B1292),ISBLANK(D1292),ISBLANK(E1292),ISBLANK(H1292)),"Missing Value",
  D1292&lt;0,"Review – Out of Range (Claim Amount)",
  H1292&lt;0,"Review – Out of Range (Days to Process)",
  TRUE,"OK"
)</f>
        <v>OK</v>
      </c>
    </row>
    <row r="1293" spans="1:9" ht="16.8" x14ac:dyDescent="0.3">
      <c r="A1293" s="14" t="s">
        <v>7800</v>
      </c>
      <c r="B1293" s="14" t="s">
        <v>5490</v>
      </c>
      <c r="C1293" s="15">
        <v>45572</v>
      </c>
      <c r="D1293" s="14">
        <v>265365.06</v>
      </c>
      <c r="E1293" s="14" t="s">
        <v>6505</v>
      </c>
      <c r="F1293" s="14" t="s">
        <v>6509</v>
      </c>
      <c r="G1293" s="14" t="s">
        <v>45</v>
      </c>
      <c r="H1293" s="14">
        <v>29</v>
      </c>
      <c r="I1293" s="13" t="str" cm="1">
        <f t="array" ref="I1293">_xlfn.IFS(
  OR(ISBLANK(A1293),ISBLANK(B1293),ISBLANK(D1293),ISBLANK(E1293),ISBLANK(H1293)),"Missing Value",
  D1293&lt;0,"Review – Out of Range (Claim Amount)",
  H1293&lt;0,"Review – Out of Range (Days to Process)",
  TRUE,"OK"
)</f>
        <v>OK</v>
      </c>
    </row>
    <row r="1294" spans="1:9" ht="16.8" x14ac:dyDescent="0.3">
      <c r="A1294" s="11" t="s">
        <v>7801</v>
      </c>
      <c r="B1294" s="11" t="s">
        <v>4780</v>
      </c>
      <c r="C1294" s="12">
        <v>44497</v>
      </c>
      <c r="D1294" s="11">
        <v>334294.48</v>
      </c>
      <c r="E1294" s="11" t="s">
        <v>6505</v>
      </c>
      <c r="F1294" s="11" t="s">
        <v>6506</v>
      </c>
      <c r="G1294" s="11" t="s">
        <v>45</v>
      </c>
      <c r="H1294" s="11">
        <v>16</v>
      </c>
      <c r="I1294" s="13" t="str" cm="1">
        <f t="array" ref="I1294">_xlfn.IFS(
  OR(ISBLANK(A1294),ISBLANK(B1294),ISBLANK(D1294),ISBLANK(E1294),ISBLANK(H1294)),"Missing Value",
  D1294&lt;0,"Review – Out of Range (Claim Amount)",
  H1294&lt;0,"Review – Out of Range (Days to Process)",
  TRUE,"OK"
)</f>
        <v>OK</v>
      </c>
    </row>
    <row r="1295" spans="1:9" ht="16.8" x14ac:dyDescent="0.3">
      <c r="A1295" s="14" t="s">
        <v>7802</v>
      </c>
      <c r="B1295" s="14" t="s">
        <v>3988</v>
      </c>
      <c r="C1295" s="15">
        <v>45097</v>
      </c>
      <c r="D1295" s="14">
        <v>360055.87</v>
      </c>
      <c r="E1295" s="14" t="s">
        <v>6502</v>
      </c>
      <c r="F1295" s="14" t="s">
        <v>6511</v>
      </c>
      <c r="G1295" s="14" t="s">
        <v>45</v>
      </c>
      <c r="H1295" s="14">
        <v>19</v>
      </c>
      <c r="I1295" s="13" t="str" cm="1">
        <f t="array" ref="I1295">_xlfn.IFS(
  OR(ISBLANK(A1295),ISBLANK(B1295),ISBLANK(D1295),ISBLANK(E1295),ISBLANK(H1295)),"Missing Value",
  D1295&lt;0,"Review – Out of Range (Claim Amount)",
  H1295&lt;0,"Review – Out of Range (Days to Process)",
  TRUE,"OK"
)</f>
        <v>OK</v>
      </c>
    </row>
    <row r="1296" spans="1:9" ht="16.8" x14ac:dyDescent="0.3">
      <c r="A1296" s="11" t="s">
        <v>7803</v>
      </c>
      <c r="B1296" s="11" t="s">
        <v>5372</v>
      </c>
      <c r="C1296" s="12">
        <v>45559</v>
      </c>
      <c r="D1296" s="11">
        <v>271751.28000000003</v>
      </c>
      <c r="E1296" s="11" t="s">
        <v>6502</v>
      </c>
      <c r="F1296" s="11" t="s">
        <v>6511</v>
      </c>
      <c r="G1296" s="11" t="s">
        <v>45</v>
      </c>
      <c r="H1296" s="11">
        <v>44</v>
      </c>
      <c r="I1296" s="13" t="str" cm="1">
        <f t="array" ref="I1296">_xlfn.IFS(
  OR(ISBLANK(A1296),ISBLANK(B1296),ISBLANK(D1296),ISBLANK(E1296),ISBLANK(H1296)),"Missing Value",
  D1296&lt;0,"Review – Out of Range (Claim Amount)",
  H1296&lt;0,"Review – Out of Range (Days to Process)",
  TRUE,"OK"
)</f>
        <v>OK</v>
      </c>
    </row>
    <row r="1297" spans="1:9" ht="16.8" x14ac:dyDescent="0.3">
      <c r="A1297" s="14" t="s">
        <v>7804</v>
      </c>
      <c r="B1297" s="14" t="s">
        <v>4394</v>
      </c>
      <c r="C1297" s="15">
        <v>45392</v>
      </c>
      <c r="D1297" s="14">
        <v>188398.4</v>
      </c>
      <c r="E1297" s="14" t="s">
        <v>6508</v>
      </c>
      <c r="F1297" s="14" t="s">
        <v>6511</v>
      </c>
      <c r="G1297" s="14" t="s">
        <v>46</v>
      </c>
      <c r="H1297" s="14">
        <v>55</v>
      </c>
      <c r="I1297" s="13" t="str" cm="1">
        <f t="array" ref="I1297">_xlfn.IFS(
  OR(ISBLANK(A1297),ISBLANK(B1297),ISBLANK(D1297),ISBLANK(E1297),ISBLANK(H1297)),"Missing Value",
  D1297&lt;0,"Review – Out of Range (Claim Amount)",
  H1297&lt;0,"Review – Out of Range (Days to Process)",
  TRUE,"OK"
)</f>
        <v>OK</v>
      </c>
    </row>
    <row r="1298" spans="1:9" ht="16.8" x14ac:dyDescent="0.3">
      <c r="A1298" s="11" t="s">
        <v>7805</v>
      </c>
      <c r="B1298" s="11" t="s">
        <v>6426</v>
      </c>
      <c r="C1298" s="12">
        <v>45503</v>
      </c>
      <c r="D1298" s="11">
        <v>379783.89</v>
      </c>
      <c r="E1298" s="11" t="s">
        <v>6505</v>
      </c>
      <c r="F1298" s="11" t="s">
        <v>6511</v>
      </c>
      <c r="G1298" s="11" t="s">
        <v>46</v>
      </c>
      <c r="H1298" s="11">
        <v>45</v>
      </c>
      <c r="I1298" s="13" t="str" cm="1">
        <f t="array" ref="I1298">_xlfn.IFS(
  OR(ISBLANK(A1298),ISBLANK(B1298),ISBLANK(D1298),ISBLANK(E1298),ISBLANK(H1298)),"Missing Value",
  D1298&lt;0,"Review – Out of Range (Claim Amount)",
  H1298&lt;0,"Review – Out of Range (Days to Process)",
  TRUE,"OK"
)</f>
        <v>OK</v>
      </c>
    </row>
    <row r="1299" spans="1:9" ht="16.8" x14ac:dyDescent="0.3">
      <c r="A1299" s="14" t="s">
        <v>7806</v>
      </c>
      <c r="B1299" s="14" t="s">
        <v>4424</v>
      </c>
      <c r="C1299" s="15">
        <v>45606</v>
      </c>
      <c r="D1299" s="14">
        <v>275746.57</v>
      </c>
      <c r="E1299" s="14" t="s">
        <v>6505</v>
      </c>
      <c r="F1299" s="14" t="s">
        <v>6503</v>
      </c>
      <c r="G1299" s="14" t="s">
        <v>45</v>
      </c>
      <c r="H1299" s="14">
        <v>37</v>
      </c>
      <c r="I1299" s="13" t="str" cm="1">
        <f t="array" ref="I1299">_xlfn.IFS(
  OR(ISBLANK(A1299),ISBLANK(B1299),ISBLANK(D1299),ISBLANK(E1299),ISBLANK(H1299)),"Missing Value",
  D1299&lt;0,"Review – Out of Range (Claim Amount)",
  H1299&lt;0,"Review – Out of Range (Days to Process)",
  TRUE,"OK"
)</f>
        <v>OK</v>
      </c>
    </row>
    <row r="1300" spans="1:9" ht="16.8" x14ac:dyDescent="0.3">
      <c r="A1300" s="11" t="s">
        <v>7807</v>
      </c>
      <c r="B1300" s="11" t="s">
        <v>6044</v>
      </c>
      <c r="C1300" s="12">
        <v>45497</v>
      </c>
      <c r="D1300" s="11">
        <v>69898.490000000005</v>
      </c>
      <c r="E1300" s="11" t="s">
        <v>6502</v>
      </c>
      <c r="F1300" s="11" t="s">
        <v>6509</v>
      </c>
      <c r="G1300" s="11" t="s">
        <v>46</v>
      </c>
      <c r="H1300" s="11">
        <v>15</v>
      </c>
      <c r="I1300" s="13" t="str" cm="1">
        <f t="array" ref="I1300">_xlfn.IFS(
  OR(ISBLANK(A1300),ISBLANK(B1300),ISBLANK(D1300),ISBLANK(E1300),ISBLANK(H1300)),"Missing Value",
  D1300&lt;0,"Review – Out of Range (Claim Amount)",
  H1300&lt;0,"Review – Out of Range (Days to Process)",
  TRUE,"OK"
)</f>
        <v>OK</v>
      </c>
    </row>
    <row r="1301" spans="1:9" ht="16.8" x14ac:dyDescent="0.3">
      <c r="A1301" s="14" t="s">
        <v>7808</v>
      </c>
      <c r="B1301" s="14" t="s">
        <v>6245</v>
      </c>
      <c r="C1301" s="15">
        <v>45174</v>
      </c>
      <c r="D1301" s="14">
        <v>369574.84</v>
      </c>
      <c r="E1301" s="14" t="s">
        <v>6502</v>
      </c>
      <c r="F1301" s="14" t="s">
        <v>6509</v>
      </c>
      <c r="G1301" s="14" t="s">
        <v>45</v>
      </c>
      <c r="H1301" s="14">
        <v>35</v>
      </c>
      <c r="I1301" s="13" t="str" cm="1">
        <f t="array" ref="I1301">_xlfn.IFS(
  OR(ISBLANK(A1301),ISBLANK(B1301),ISBLANK(D1301),ISBLANK(E1301),ISBLANK(H1301)),"Missing Value",
  D1301&lt;0,"Review – Out of Range (Claim Amount)",
  H1301&lt;0,"Review – Out of Range (Days to Process)",
  TRUE,"OK"
)</f>
        <v>OK</v>
      </c>
    </row>
    <row r="1302" spans="1:9" ht="16.8" x14ac:dyDescent="0.3">
      <c r="A1302" s="11" t="s">
        <v>7809</v>
      </c>
      <c r="B1302" s="11" t="s">
        <v>5282</v>
      </c>
      <c r="C1302" s="12">
        <v>44149</v>
      </c>
      <c r="D1302" s="11">
        <v>370161.36</v>
      </c>
      <c r="E1302" s="11" t="s">
        <v>6505</v>
      </c>
      <c r="F1302" s="11" t="s">
        <v>6516</v>
      </c>
      <c r="G1302" s="11" t="s">
        <v>46</v>
      </c>
      <c r="H1302" s="11">
        <v>18</v>
      </c>
      <c r="I1302" s="13" t="str" cm="1">
        <f t="array" ref="I1302">_xlfn.IFS(
  OR(ISBLANK(A1302),ISBLANK(B1302),ISBLANK(D1302),ISBLANK(E1302),ISBLANK(H1302)),"Missing Value",
  D1302&lt;0,"Review – Out of Range (Claim Amount)",
  H1302&lt;0,"Review – Out of Range (Days to Process)",
  TRUE,"OK"
)</f>
        <v>OK</v>
      </c>
    </row>
    <row r="1303" spans="1:9" ht="16.8" x14ac:dyDescent="0.3">
      <c r="A1303" s="14" t="s">
        <v>7810</v>
      </c>
      <c r="B1303" s="14" t="s">
        <v>4352</v>
      </c>
      <c r="C1303" s="15">
        <v>44992</v>
      </c>
      <c r="D1303" s="14">
        <v>312453.48</v>
      </c>
      <c r="E1303" s="14" t="s">
        <v>6502</v>
      </c>
      <c r="F1303" s="14" t="s">
        <v>6506</v>
      </c>
      <c r="G1303" s="14" t="s">
        <v>46</v>
      </c>
      <c r="H1303" s="14">
        <v>16</v>
      </c>
      <c r="I1303" s="13" t="str" cm="1">
        <f t="array" ref="I1303">_xlfn.IFS(
  OR(ISBLANK(A1303),ISBLANK(B1303),ISBLANK(D1303),ISBLANK(E1303),ISBLANK(H1303)),"Missing Value",
  D1303&lt;0,"Review – Out of Range (Claim Amount)",
  H1303&lt;0,"Review – Out of Range (Days to Process)",
  TRUE,"OK"
)</f>
        <v>OK</v>
      </c>
    </row>
    <row r="1304" spans="1:9" ht="16.8" x14ac:dyDescent="0.3">
      <c r="A1304" s="11" t="s">
        <v>7811</v>
      </c>
      <c r="B1304" s="11" t="s">
        <v>4453</v>
      </c>
      <c r="C1304" s="12">
        <v>45081</v>
      </c>
      <c r="D1304" s="11">
        <v>75579.39</v>
      </c>
      <c r="E1304" s="11" t="s">
        <v>6508</v>
      </c>
      <c r="F1304" s="11" t="s">
        <v>6511</v>
      </c>
      <c r="G1304" s="11" t="s">
        <v>46</v>
      </c>
      <c r="H1304" s="11">
        <v>24</v>
      </c>
      <c r="I1304" s="13" t="str" cm="1">
        <f t="array" ref="I1304">_xlfn.IFS(
  OR(ISBLANK(A1304),ISBLANK(B1304),ISBLANK(D1304),ISBLANK(E1304),ISBLANK(H1304)),"Missing Value",
  D1304&lt;0,"Review – Out of Range (Claim Amount)",
  H1304&lt;0,"Review – Out of Range (Days to Process)",
  TRUE,"OK"
)</f>
        <v>OK</v>
      </c>
    </row>
    <row r="1305" spans="1:9" ht="16.8" x14ac:dyDescent="0.3">
      <c r="A1305" s="14" t="s">
        <v>7812</v>
      </c>
      <c r="B1305" s="14" t="s">
        <v>4054</v>
      </c>
      <c r="C1305" s="15">
        <v>45586</v>
      </c>
      <c r="D1305" s="14">
        <v>45059.15</v>
      </c>
      <c r="E1305" s="14" t="s">
        <v>6508</v>
      </c>
      <c r="F1305" s="14" t="s">
        <v>6506</v>
      </c>
      <c r="G1305" s="14" t="s">
        <v>45</v>
      </c>
      <c r="H1305" s="14">
        <v>21</v>
      </c>
      <c r="I1305" s="13" t="str" cm="1">
        <f t="array" ref="I1305">_xlfn.IFS(
  OR(ISBLANK(A1305),ISBLANK(B1305),ISBLANK(D1305),ISBLANK(E1305),ISBLANK(H1305)),"Missing Value",
  D1305&lt;0,"Review – Out of Range (Claim Amount)",
  H1305&lt;0,"Review – Out of Range (Days to Process)",
  TRUE,"OK"
)</f>
        <v>OK</v>
      </c>
    </row>
    <row r="1306" spans="1:9" ht="16.8" x14ac:dyDescent="0.3">
      <c r="A1306" s="11" t="s">
        <v>7813</v>
      </c>
      <c r="B1306" s="11" t="s">
        <v>3921</v>
      </c>
      <c r="C1306" s="12">
        <v>45458</v>
      </c>
      <c r="D1306" s="11">
        <v>285062.12</v>
      </c>
      <c r="E1306" s="11" t="s">
        <v>6505</v>
      </c>
      <c r="F1306" s="11" t="s">
        <v>6509</v>
      </c>
      <c r="G1306" s="11" t="s">
        <v>45</v>
      </c>
      <c r="H1306" s="11">
        <v>45</v>
      </c>
      <c r="I1306" s="13" t="str" cm="1">
        <f t="array" ref="I1306">_xlfn.IFS(
  OR(ISBLANK(A1306),ISBLANK(B1306),ISBLANK(D1306),ISBLANK(E1306),ISBLANK(H1306)),"Missing Value",
  D1306&lt;0,"Review – Out of Range (Claim Amount)",
  H1306&lt;0,"Review – Out of Range (Days to Process)",
  TRUE,"OK"
)</f>
        <v>OK</v>
      </c>
    </row>
    <row r="1307" spans="1:9" ht="16.8" x14ac:dyDescent="0.3">
      <c r="A1307" s="14" t="s">
        <v>7814</v>
      </c>
      <c r="B1307" s="14" t="s">
        <v>5444</v>
      </c>
      <c r="C1307" s="15">
        <v>45219</v>
      </c>
      <c r="D1307" s="14">
        <v>297996.01</v>
      </c>
      <c r="E1307" s="14" t="s">
        <v>6508</v>
      </c>
      <c r="F1307" s="14" t="s">
        <v>6506</v>
      </c>
      <c r="G1307" s="14" t="s">
        <v>46</v>
      </c>
      <c r="H1307" s="14">
        <v>26</v>
      </c>
      <c r="I1307" s="13" t="str" cm="1">
        <f t="array" ref="I1307">_xlfn.IFS(
  OR(ISBLANK(A1307),ISBLANK(B1307),ISBLANK(D1307),ISBLANK(E1307),ISBLANK(H1307)),"Missing Value",
  D1307&lt;0,"Review – Out of Range (Claim Amount)",
  H1307&lt;0,"Review – Out of Range (Days to Process)",
  TRUE,"OK"
)</f>
        <v>OK</v>
      </c>
    </row>
    <row r="1308" spans="1:9" ht="16.8" x14ac:dyDescent="0.3">
      <c r="A1308" s="11" t="s">
        <v>7815</v>
      </c>
      <c r="B1308" s="11" t="s">
        <v>5863</v>
      </c>
      <c r="C1308" s="12">
        <v>44836</v>
      </c>
      <c r="D1308" s="11">
        <v>297228.55</v>
      </c>
      <c r="E1308" s="11" t="s">
        <v>6508</v>
      </c>
      <c r="F1308" s="11" t="s">
        <v>6509</v>
      </c>
      <c r="G1308" s="11" t="s">
        <v>45</v>
      </c>
      <c r="H1308" s="11">
        <v>22</v>
      </c>
      <c r="I1308" s="13" t="str" cm="1">
        <f t="array" ref="I1308">_xlfn.IFS(
  OR(ISBLANK(A1308),ISBLANK(B1308),ISBLANK(D1308),ISBLANK(E1308),ISBLANK(H1308)),"Missing Value",
  D1308&lt;0,"Review – Out of Range (Claim Amount)",
  H1308&lt;0,"Review – Out of Range (Days to Process)",
  TRUE,"OK"
)</f>
        <v>OK</v>
      </c>
    </row>
    <row r="1309" spans="1:9" ht="16.8" x14ac:dyDescent="0.3">
      <c r="A1309" s="14" t="s">
        <v>7816</v>
      </c>
      <c r="B1309" s="14" t="s">
        <v>4171</v>
      </c>
      <c r="C1309" s="15">
        <v>45087</v>
      </c>
      <c r="D1309" s="14">
        <v>256735.85</v>
      </c>
      <c r="E1309" s="14" t="s">
        <v>6502</v>
      </c>
      <c r="F1309" s="14" t="s">
        <v>6503</v>
      </c>
      <c r="G1309" s="14" t="s">
        <v>45</v>
      </c>
      <c r="H1309" s="14">
        <v>18</v>
      </c>
      <c r="I1309" s="13" t="str" cm="1">
        <f t="array" ref="I1309">_xlfn.IFS(
  OR(ISBLANK(A1309),ISBLANK(B1309),ISBLANK(D1309),ISBLANK(E1309),ISBLANK(H1309)),"Missing Value",
  D1309&lt;0,"Review – Out of Range (Claim Amount)",
  H1309&lt;0,"Review – Out of Range (Days to Process)",
  TRUE,"OK"
)</f>
        <v>OK</v>
      </c>
    </row>
    <row r="1310" spans="1:9" ht="16.8" x14ac:dyDescent="0.3">
      <c r="A1310" s="11" t="s">
        <v>7817</v>
      </c>
      <c r="B1310" s="11" t="s">
        <v>3860</v>
      </c>
      <c r="C1310" s="12">
        <v>44889</v>
      </c>
      <c r="D1310" s="11">
        <v>371499.23</v>
      </c>
      <c r="E1310" s="11" t="s">
        <v>6502</v>
      </c>
      <c r="F1310" s="11" t="s">
        <v>6516</v>
      </c>
      <c r="G1310" s="11" t="s">
        <v>45</v>
      </c>
      <c r="H1310" s="11">
        <v>19</v>
      </c>
      <c r="I1310" s="13" t="str" cm="1">
        <f t="array" ref="I1310">_xlfn.IFS(
  OR(ISBLANK(A1310),ISBLANK(B1310),ISBLANK(D1310),ISBLANK(E1310),ISBLANK(H1310)),"Missing Value",
  D1310&lt;0,"Review – Out of Range (Claim Amount)",
  H1310&lt;0,"Review – Out of Range (Days to Process)",
  TRUE,"OK"
)</f>
        <v>OK</v>
      </c>
    </row>
    <row r="1311" spans="1:9" ht="16.8" x14ac:dyDescent="0.3">
      <c r="A1311" s="14" t="s">
        <v>7818</v>
      </c>
      <c r="B1311" s="14" t="s">
        <v>3611</v>
      </c>
      <c r="C1311" s="15">
        <v>45683</v>
      </c>
      <c r="D1311" s="14">
        <v>385356.15</v>
      </c>
      <c r="E1311" s="14" t="s">
        <v>6502</v>
      </c>
      <c r="F1311" s="14" t="s">
        <v>6511</v>
      </c>
      <c r="G1311" s="14" t="s">
        <v>46</v>
      </c>
      <c r="H1311" s="14">
        <v>30</v>
      </c>
      <c r="I1311" s="13" t="str" cm="1">
        <f t="array" ref="I1311">_xlfn.IFS(
  OR(ISBLANK(A1311),ISBLANK(B1311),ISBLANK(D1311),ISBLANK(E1311),ISBLANK(H1311)),"Missing Value",
  D1311&lt;0,"Review – Out of Range (Claim Amount)",
  H1311&lt;0,"Review – Out of Range (Days to Process)",
  TRUE,"OK"
)</f>
        <v>OK</v>
      </c>
    </row>
    <row r="1312" spans="1:9" ht="16.8" x14ac:dyDescent="0.3">
      <c r="A1312" s="11" t="s">
        <v>7819</v>
      </c>
      <c r="B1312" s="11" t="s">
        <v>4005</v>
      </c>
      <c r="C1312" s="12">
        <v>44730</v>
      </c>
      <c r="D1312" s="11">
        <v>122280.01</v>
      </c>
      <c r="E1312" s="11" t="s">
        <v>6508</v>
      </c>
      <c r="F1312" s="11" t="s">
        <v>6511</v>
      </c>
      <c r="G1312" s="11" t="s">
        <v>45</v>
      </c>
      <c r="H1312" s="11">
        <v>27</v>
      </c>
      <c r="I1312" s="13" t="str" cm="1">
        <f t="array" ref="I1312">_xlfn.IFS(
  OR(ISBLANK(A1312),ISBLANK(B1312),ISBLANK(D1312),ISBLANK(E1312),ISBLANK(H1312)),"Missing Value",
  D1312&lt;0,"Review – Out of Range (Claim Amount)",
  H1312&lt;0,"Review – Out of Range (Days to Process)",
  TRUE,"OK"
)</f>
        <v>OK</v>
      </c>
    </row>
    <row r="1313" spans="1:9" ht="16.8" x14ac:dyDescent="0.3">
      <c r="A1313" s="14" t="s">
        <v>7820</v>
      </c>
      <c r="B1313" s="14" t="s">
        <v>4745</v>
      </c>
      <c r="C1313" s="15">
        <v>45531</v>
      </c>
      <c r="D1313" s="14">
        <v>64899.71</v>
      </c>
      <c r="E1313" s="14" t="s">
        <v>6505</v>
      </c>
      <c r="F1313" s="14" t="s">
        <v>6509</v>
      </c>
      <c r="G1313" s="14" t="s">
        <v>45</v>
      </c>
      <c r="H1313" s="14">
        <v>26</v>
      </c>
      <c r="I1313" s="13" t="str" cm="1">
        <f t="array" ref="I1313">_xlfn.IFS(
  OR(ISBLANK(A1313),ISBLANK(B1313),ISBLANK(D1313),ISBLANK(E1313),ISBLANK(H1313)),"Missing Value",
  D1313&lt;0,"Review – Out of Range (Claim Amount)",
  H1313&lt;0,"Review – Out of Range (Days to Process)",
  TRUE,"OK"
)</f>
        <v>OK</v>
      </c>
    </row>
    <row r="1314" spans="1:9" ht="16.8" x14ac:dyDescent="0.3">
      <c r="A1314" s="11" t="s">
        <v>7821</v>
      </c>
      <c r="B1314" s="11" t="s">
        <v>6069</v>
      </c>
      <c r="C1314" s="12">
        <v>45325</v>
      </c>
      <c r="D1314" s="11">
        <v>125620.11</v>
      </c>
      <c r="E1314" s="11" t="s">
        <v>6502</v>
      </c>
      <c r="F1314" s="11" t="s">
        <v>6503</v>
      </c>
      <c r="G1314" s="11" t="s">
        <v>45</v>
      </c>
      <c r="H1314" s="11">
        <v>40</v>
      </c>
      <c r="I1314" s="13" t="str" cm="1">
        <f t="array" ref="I1314">_xlfn.IFS(
  OR(ISBLANK(A1314),ISBLANK(B1314),ISBLANK(D1314),ISBLANK(E1314),ISBLANK(H1314)),"Missing Value",
  D1314&lt;0,"Review – Out of Range (Claim Amount)",
  H1314&lt;0,"Review – Out of Range (Days to Process)",
  TRUE,"OK"
)</f>
        <v>OK</v>
      </c>
    </row>
    <row r="1315" spans="1:9" ht="16.8" x14ac:dyDescent="0.3">
      <c r="A1315" s="14" t="s">
        <v>7822</v>
      </c>
      <c r="B1315" s="14" t="s">
        <v>5775</v>
      </c>
      <c r="C1315" s="15">
        <v>45005</v>
      </c>
      <c r="D1315" s="14">
        <v>72363.92</v>
      </c>
      <c r="E1315" s="14" t="s">
        <v>6505</v>
      </c>
      <c r="F1315" s="14" t="s">
        <v>6503</v>
      </c>
      <c r="G1315" s="14" t="s">
        <v>45</v>
      </c>
      <c r="H1315" s="14">
        <v>36</v>
      </c>
      <c r="I1315" s="13" t="str" cm="1">
        <f t="array" ref="I1315">_xlfn.IFS(
  OR(ISBLANK(A1315),ISBLANK(B1315),ISBLANK(D1315),ISBLANK(E1315),ISBLANK(H1315)),"Missing Value",
  D1315&lt;0,"Review – Out of Range (Claim Amount)",
  H1315&lt;0,"Review – Out of Range (Days to Process)",
  TRUE,"OK"
)</f>
        <v>OK</v>
      </c>
    </row>
    <row r="1316" spans="1:9" ht="16.8" x14ac:dyDescent="0.3">
      <c r="A1316" s="11" t="s">
        <v>7823</v>
      </c>
      <c r="B1316" s="11" t="s">
        <v>5313</v>
      </c>
      <c r="C1316" s="12">
        <v>44842</v>
      </c>
      <c r="D1316" s="11">
        <v>348092.69</v>
      </c>
      <c r="E1316" s="11" t="s">
        <v>6505</v>
      </c>
      <c r="F1316" s="11" t="s">
        <v>6503</v>
      </c>
      <c r="G1316" s="11" t="s">
        <v>45</v>
      </c>
      <c r="H1316" s="11">
        <v>58</v>
      </c>
      <c r="I1316" s="13" t="str" cm="1">
        <f t="array" ref="I1316">_xlfn.IFS(
  OR(ISBLANK(A1316),ISBLANK(B1316),ISBLANK(D1316),ISBLANK(E1316),ISBLANK(H1316)),"Missing Value",
  D1316&lt;0,"Review – Out of Range (Claim Amount)",
  H1316&lt;0,"Review – Out of Range (Days to Process)",
  TRUE,"OK"
)</f>
        <v>OK</v>
      </c>
    </row>
    <row r="1317" spans="1:9" ht="16.8" x14ac:dyDescent="0.3">
      <c r="A1317" s="14" t="s">
        <v>7824</v>
      </c>
      <c r="B1317" s="14" t="s">
        <v>4875</v>
      </c>
      <c r="C1317" s="15">
        <v>45560</v>
      </c>
      <c r="D1317" s="14">
        <v>208923.41</v>
      </c>
      <c r="E1317" s="14" t="s">
        <v>6505</v>
      </c>
      <c r="F1317" s="14" t="s">
        <v>6511</v>
      </c>
      <c r="G1317" s="14" t="s">
        <v>45</v>
      </c>
      <c r="H1317" s="14">
        <v>3</v>
      </c>
      <c r="I1317" s="13" t="str" cm="1">
        <f t="array" ref="I1317">_xlfn.IFS(
  OR(ISBLANK(A1317),ISBLANK(B1317),ISBLANK(D1317),ISBLANK(E1317),ISBLANK(H1317)),"Missing Value",
  D1317&lt;0,"Review – Out of Range (Claim Amount)",
  H1317&lt;0,"Review – Out of Range (Days to Process)",
  TRUE,"OK"
)</f>
        <v>OK</v>
      </c>
    </row>
    <row r="1318" spans="1:9" ht="16.8" x14ac:dyDescent="0.3">
      <c r="A1318" s="11" t="s">
        <v>7825</v>
      </c>
      <c r="B1318" s="11" t="s">
        <v>5530</v>
      </c>
      <c r="C1318" s="12">
        <v>44144</v>
      </c>
      <c r="D1318" s="11">
        <v>180237.95</v>
      </c>
      <c r="E1318" s="11" t="s">
        <v>6508</v>
      </c>
      <c r="F1318" s="11" t="s">
        <v>6506</v>
      </c>
      <c r="G1318" s="11" t="s">
        <v>46</v>
      </c>
      <c r="H1318" s="11">
        <v>48</v>
      </c>
      <c r="I1318" s="13" t="str" cm="1">
        <f t="array" ref="I1318">_xlfn.IFS(
  OR(ISBLANK(A1318),ISBLANK(B1318),ISBLANK(D1318),ISBLANK(E1318),ISBLANK(H1318)),"Missing Value",
  D1318&lt;0,"Review – Out of Range (Claim Amount)",
  H1318&lt;0,"Review – Out of Range (Days to Process)",
  TRUE,"OK"
)</f>
        <v>OK</v>
      </c>
    </row>
    <row r="1319" spans="1:9" ht="16.8" x14ac:dyDescent="0.3">
      <c r="A1319" s="14" t="s">
        <v>7826</v>
      </c>
      <c r="B1319" s="14" t="s">
        <v>4233</v>
      </c>
      <c r="C1319" s="15">
        <v>44604</v>
      </c>
      <c r="D1319" s="14">
        <v>312209.06</v>
      </c>
      <c r="E1319" s="14" t="s">
        <v>6505</v>
      </c>
      <c r="F1319" s="14" t="s">
        <v>6503</v>
      </c>
      <c r="G1319" s="14" t="s">
        <v>46</v>
      </c>
      <c r="H1319" s="14">
        <v>52</v>
      </c>
      <c r="I1319" s="13" t="str" cm="1">
        <f t="array" ref="I1319">_xlfn.IFS(
  OR(ISBLANK(A1319),ISBLANK(B1319),ISBLANK(D1319),ISBLANK(E1319),ISBLANK(H1319)),"Missing Value",
  D1319&lt;0,"Review – Out of Range (Claim Amount)",
  H1319&lt;0,"Review – Out of Range (Days to Process)",
  TRUE,"OK"
)</f>
        <v>OK</v>
      </c>
    </row>
    <row r="1320" spans="1:9" ht="16.8" x14ac:dyDescent="0.3">
      <c r="A1320" s="11" t="s">
        <v>7827</v>
      </c>
      <c r="B1320" s="11" t="s">
        <v>5744</v>
      </c>
      <c r="C1320" s="12">
        <v>45567</v>
      </c>
      <c r="D1320" s="11">
        <v>312150.90000000002</v>
      </c>
      <c r="E1320" s="11" t="s">
        <v>6505</v>
      </c>
      <c r="F1320" s="11" t="s">
        <v>6511</v>
      </c>
      <c r="G1320" s="11" t="s">
        <v>45</v>
      </c>
      <c r="H1320" s="11">
        <v>5</v>
      </c>
      <c r="I1320" s="13" t="str" cm="1">
        <f t="array" ref="I1320">_xlfn.IFS(
  OR(ISBLANK(A1320),ISBLANK(B1320),ISBLANK(D1320),ISBLANK(E1320),ISBLANK(H1320)),"Missing Value",
  D1320&lt;0,"Review – Out of Range (Claim Amount)",
  H1320&lt;0,"Review – Out of Range (Days to Process)",
  TRUE,"OK"
)</f>
        <v>OK</v>
      </c>
    </row>
    <row r="1321" spans="1:9" ht="16.8" x14ac:dyDescent="0.3">
      <c r="A1321" s="14" t="s">
        <v>7828</v>
      </c>
      <c r="B1321" s="14" t="s">
        <v>4203</v>
      </c>
      <c r="C1321" s="15">
        <v>44623</v>
      </c>
      <c r="D1321" s="14">
        <v>256986.25</v>
      </c>
      <c r="E1321" s="14" t="s">
        <v>6505</v>
      </c>
      <c r="F1321" s="14" t="s">
        <v>6503</v>
      </c>
      <c r="G1321" s="14" t="s">
        <v>46</v>
      </c>
      <c r="H1321" s="14">
        <v>36</v>
      </c>
      <c r="I1321" s="13" t="str" cm="1">
        <f t="array" ref="I1321">_xlfn.IFS(
  OR(ISBLANK(A1321),ISBLANK(B1321),ISBLANK(D1321),ISBLANK(E1321),ISBLANK(H1321)),"Missing Value",
  D1321&lt;0,"Review – Out of Range (Claim Amount)",
  H1321&lt;0,"Review – Out of Range (Days to Process)",
  TRUE,"OK"
)</f>
        <v>OK</v>
      </c>
    </row>
    <row r="1322" spans="1:9" ht="16.8" x14ac:dyDescent="0.3">
      <c r="A1322" s="11" t="s">
        <v>7829</v>
      </c>
      <c r="B1322" s="11" t="s">
        <v>3402</v>
      </c>
      <c r="C1322" s="12">
        <v>44818</v>
      </c>
      <c r="D1322" s="11">
        <v>226254.25</v>
      </c>
      <c r="E1322" s="11" t="s">
        <v>6508</v>
      </c>
      <c r="F1322" s="11" t="s">
        <v>6503</v>
      </c>
      <c r="G1322" s="11" t="s">
        <v>46</v>
      </c>
      <c r="H1322" s="11">
        <v>10</v>
      </c>
      <c r="I1322" s="13" t="str" cm="1">
        <f t="array" ref="I1322">_xlfn.IFS(
  OR(ISBLANK(A1322),ISBLANK(B1322),ISBLANK(D1322),ISBLANK(E1322),ISBLANK(H1322)),"Missing Value",
  D1322&lt;0,"Review – Out of Range (Claim Amount)",
  H1322&lt;0,"Review – Out of Range (Days to Process)",
  TRUE,"OK"
)</f>
        <v>OK</v>
      </c>
    </row>
    <row r="1323" spans="1:9" ht="16.8" x14ac:dyDescent="0.3">
      <c r="A1323" s="14" t="s">
        <v>7830</v>
      </c>
      <c r="B1323" s="14" t="s">
        <v>6425</v>
      </c>
      <c r="C1323" s="15">
        <v>45376</v>
      </c>
      <c r="D1323" s="14">
        <v>67870.789999999994</v>
      </c>
      <c r="E1323" s="14" t="s">
        <v>6502</v>
      </c>
      <c r="F1323" s="14" t="s">
        <v>6503</v>
      </c>
      <c r="G1323" s="14" t="s">
        <v>46</v>
      </c>
      <c r="H1323" s="14">
        <v>57</v>
      </c>
      <c r="I1323" s="13" t="str" cm="1">
        <f t="array" ref="I1323">_xlfn.IFS(
  OR(ISBLANK(A1323),ISBLANK(B1323),ISBLANK(D1323),ISBLANK(E1323),ISBLANK(H1323)),"Missing Value",
  D1323&lt;0,"Review – Out of Range (Claim Amount)",
  H1323&lt;0,"Review – Out of Range (Days to Process)",
  TRUE,"OK"
)</f>
        <v>OK</v>
      </c>
    </row>
    <row r="1324" spans="1:9" ht="16.8" x14ac:dyDescent="0.3">
      <c r="A1324" s="11" t="s">
        <v>7831</v>
      </c>
      <c r="B1324" s="11" t="s">
        <v>4534</v>
      </c>
      <c r="C1324" s="12">
        <v>44908</v>
      </c>
      <c r="D1324" s="11">
        <v>214971.11</v>
      </c>
      <c r="E1324" s="11" t="s">
        <v>6508</v>
      </c>
      <c r="F1324" s="11" t="s">
        <v>6511</v>
      </c>
      <c r="G1324" s="11" t="s">
        <v>46</v>
      </c>
      <c r="H1324" s="11">
        <v>16</v>
      </c>
      <c r="I1324" s="13" t="str" cm="1">
        <f t="array" ref="I1324">_xlfn.IFS(
  OR(ISBLANK(A1324),ISBLANK(B1324),ISBLANK(D1324),ISBLANK(E1324),ISBLANK(H1324)),"Missing Value",
  D1324&lt;0,"Review – Out of Range (Claim Amount)",
  H1324&lt;0,"Review – Out of Range (Days to Process)",
  TRUE,"OK"
)</f>
        <v>OK</v>
      </c>
    </row>
    <row r="1325" spans="1:9" ht="16.8" x14ac:dyDescent="0.3">
      <c r="A1325" s="14" t="s">
        <v>7832</v>
      </c>
      <c r="B1325" s="14" t="s">
        <v>5055</v>
      </c>
      <c r="C1325" s="15">
        <v>44593</v>
      </c>
      <c r="D1325" s="14">
        <v>315155.32</v>
      </c>
      <c r="E1325" s="14" t="s">
        <v>6508</v>
      </c>
      <c r="F1325" s="14" t="s">
        <v>6511</v>
      </c>
      <c r="G1325" s="14" t="s">
        <v>46</v>
      </c>
      <c r="H1325" s="14">
        <v>39</v>
      </c>
      <c r="I1325" s="13" t="str" cm="1">
        <f t="array" ref="I1325">_xlfn.IFS(
  OR(ISBLANK(A1325),ISBLANK(B1325),ISBLANK(D1325),ISBLANK(E1325),ISBLANK(H1325)),"Missing Value",
  D1325&lt;0,"Review – Out of Range (Claim Amount)",
  H1325&lt;0,"Review – Out of Range (Days to Process)",
  TRUE,"OK"
)</f>
        <v>OK</v>
      </c>
    </row>
    <row r="1326" spans="1:9" ht="16.8" x14ac:dyDescent="0.3">
      <c r="A1326" s="11" t="s">
        <v>7833</v>
      </c>
      <c r="B1326" s="11" t="s">
        <v>4034</v>
      </c>
      <c r="C1326" s="12">
        <v>44872</v>
      </c>
      <c r="D1326" s="11">
        <v>161510.10999999999</v>
      </c>
      <c r="E1326" s="11" t="s">
        <v>6505</v>
      </c>
      <c r="F1326" s="11" t="s">
        <v>6506</v>
      </c>
      <c r="G1326" s="11" t="s">
        <v>45</v>
      </c>
      <c r="H1326" s="11">
        <v>4</v>
      </c>
      <c r="I1326" s="13" t="str" cm="1">
        <f t="array" ref="I1326">_xlfn.IFS(
  OR(ISBLANK(A1326),ISBLANK(B1326),ISBLANK(D1326),ISBLANK(E1326),ISBLANK(H1326)),"Missing Value",
  D1326&lt;0,"Review – Out of Range (Claim Amount)",
  H1326&lt;0,"Review – Out of Range (Days to Process)",
  TRUE,"OK"
)</f>
        <v>OK</v>
      </c>
    </row>
    <row r="1327" spans="1:9" ht="16.8" x14ac:dyDescent="0.3">
      <c r="A1327" s="14" t="s">
        <v>7834</v>
      </c>
      <c r="B1327" s="14" t="s">
        <v>5327</v>
      </c>
      <c r="C1327" s="15">
        <v>45148</v>
      </c>
      <c r="D1327" s="14">
        <v>213480.49</v>
      </c>
      <c r="E1327" s="14" t="s">
        <v>6505</v>
      </c>
      <c r="F1327" s="14" t="s">
        <v>6506</v>
      </c>
      <c r="G1327" s="14" t="s">
        <v>45</v>
      </c>
      <c r="H1327" s="14">
        <v>34</v>
      </c>
      <c r="I1327" s="13" t="str" cm="1">
        <f t="array" ref="I1327">_xlfn.IFS(
  OR(ISBLANK(A1327),ISBLANK(B1327),ISBLANK(D1327),ISBLANK(E1327),ISBLANK(H1327)),"Missing Value",
  D1327&lt;0,"Review – Out of Range (Claim Amount)",
  H1327&lt;0,"Review – Out of Range (Days to Process)",
  TRUE,"OK"
)</f>
        <v>OK</v>
      </c>
    </row>
    <row r="1328" spans="1:9" ht="16.8" x14ac:dyDescent="0.3">
      <c r="A1328" s="11" t="s">
        <v>7835</v>
      </c>
      <c r="B1328" s="11" t="s">
        <v>3596</v>
      </c>
      <c r="C1328" s="12">
        <v>44428</v>
      </c>
      <c r="D1328" s="11">
        <v>420314.23</v>
      </c>
      <c r="E1328" s="11" t="s">
        <v>6505</v>
      </c>
      <c r="F1328" s="11" t="s">
        <v>6506</v>
      </c>
      <c r="G1328" s="11" t="s">
        <v>46</v>
      </c>
      <c r="H1328" s="11">
        <v>4</v>
      </c>
      <c r="I1328" s="13" t="str" cm="1">
        <f t="array" ref="I1328">_xlfn.IFS(
  OR(ISBLANK(A1328),ISBLANK(B1328),ISBLANK(D1328),ISBLANK(E1328),ISBLANK(H1328)),"Missing Value",
  D1328&lt;0,"Review – Out of Range (Claim Amount)",
  H1328&lt;0,"Review – Out of Range (Days to Process)",
  TRUE,"OK"
)</f>
        <v>OK</v>
      </c>
    </row>
    <row r="1329" spans="1:9" ht="16.8" x14ac:dyDescent="0.3">
      <c r="A1329" s="14" t="s">
        <v>7836</v>
      </c>
      <c r="B1329" s="14" t="s">
        <v>5841</v>
      </c>
      <c r="C1329" s="15">
        <v>45207</v>
      </c>
      <c r="D1329" s="14">
        <v>366683.43</v>
      </c>
      <c r="E1329" s="14" t="s">
        <v>6505</v>
      </c>
      <c r="F1329" s="14" t="s">
        <v>6516</v>
      </c>
      <c r="G1329" s="14" t="s">
        <v>45</v>
      </c>
      <c r="H1329" s="14">
        <v>31</v>
      </c>
      <c r="I1329" s="13" t="str" cm="1">
        <f t="array" ref="I1329">_xlfn.IFS(
  OR(ISBLANK(A1329),ISBLANK(B1329),ISBLANK(D1329),ISBLANK(E1329),ISBLANK(H1329)),"Missing Value",
  D1329&lt;0,"Review – Out of Range (Claim Amount)",
  H1329&lt;0,"Review – Out of Range (Days to Process)",
  TRUE,"OK"
)</f>
        <v>OK</v>
      </c>
    </row>
    <row r="1330" spans="1:9" ht="16.8" x14ac:dyDescent="0.3">
      <c r="A1330" s="11" t="s">
        <v>7837</v>
      </c>
      <c r="B1330" s="11" t="s">
        <v>5233</v>
      </c>
      <c r="C1330" s="12">
        <v>45486</v>
      </c>
      <c r="D1330" s="11">
        <v>284203.52000000002</v>
      </c>
      <c r="E1330" s="11" t="s">
        <v>6502</v>
      </c>
      <c r="F1330" s="11" t="s">
        <v>6509</v>
      </c>
      <c r="G1330" s="11" t="s">
        <v>46</v>
      </c>
      <c r="H1330" s="11">
        <v>2</v>
      </c>
      <c r="I1330" s="13" t="str" cm="1">
        <f t="array" ref="I1330">_xlfn.IFS(
  OR(ISBLANK(A1330),ISBLANK(B1330),ISBLANK(D1330),ISBLANK(E1330),ISBLANK(H1330)),"Missing Value",
  D1330&lt;0,"Review – Out of Range (Claim Amount)",
  H1330&lt;0,"Review – Out of Range (Days to Process)",
  TRUE,"OK"
)</f>
        <v>OK</v>
      </c>
    </row>
    <row r="1331" spans="1:9" ht="16.8" x14ac:dyDescent="0.3">
      <c r="A1331" s="14" t="s">
        <v>7838</v>
      </c>
      <c r="B1331" s="14" t="s">
        <v>6036</v>
      </c>
      <c r="C1331" s="15">
        <v>45211</v>
      </c>
      <c r="D1331" s="14">
        <v>499014.37</v>
      </c>
      <c r="E1331" s="14" t="s">
        <v>6502</v>
      </c>
      <c r="F1331" s="14" t="s">
        <v>6503</v>
      </c>
      <c r="G1331" s="14" t="s">
        <v>45</v>
      </c>
      <c r="H1331" s="14">
        <v>17</v>
      </c>
      <c r="I1331" s="13" t="str" cm="1">
        <f t="array" ref="I1331">_xlfn.IFS(
  OR(ISBLANK(A1331),ISBLANK(B1331),ISBLANK(D1331),ISBLANK(E1331),ISBLANK(H1331)),"Missing Value",
  D1331&lt;0,"Review – Out of Range (Claim Amount)",
  H1331&lt;0,"Review – Out of Range (Days to Process)",
  TRUE,"OK"
)</f>
        <v>OK</v>
      </c>
    </row>
    <row r="1332" spans="1:9" ht="16.8" x14ac:dyDescent="0.3">
      <c r="A1332" s="11" t="s">
        <v>7839</v>
      </c>
      <c r="B1332" s="11" t="s">
        <v>4544</v>
      </c>
      <c r="C1332" s="12">
        <v>45478</v>
      </c>
      <c r="D1332" s="11">
        <v>477448.06</v>
      </c>
      <c r="E1332" s="11" t="s">
        <v>6505</v>
      </c>
      <c r="F1332" s="11" t="s">
        <v>6516</v>
      </c>
      <c r="G1332" s="11" t="s">
        <v>45</v>
      </c>
      <c r="H1332" s="11">
        <v>4</v>
      </c>
      <c r="I1332" s="13" t="str" cm="1">
        <f t="array" ref="I1332">_xlfn.IFS(
  OR(ISBLANK(A1332),ISBLANK(B1332),ISBLANK(D1332),ISBLANK(E1332),ISBLANK(H1332)),"Missing Value",
  D1332&lt;0,"Review – Out of Range (Claim Amount)",
  H1332&lt;0,"Review – Out of Range (Days to Process)",
  TRUE,"OK"
)</f>
        <v>OK</v>
      </c>
    </row>
    <row r="1333" spans="1:9" ht="16.8" x14ac:dyDescent="0.3">
      <c r="A1333" s="14" t="s">
        <v>7840</v>
      </c>
      <c r="B1333" s="14" t="s">
        <v>4110</v>
      </c>
      <c r="C1333" s="15">
        <v>45124</v>
      </c>
      <c r="D1333" s="14">
        <v>345554.94</v>
      </c>
      <c r="E1333" s="14" t="s">
        <v>6502</v>
      </c>
      <c r="F1333" s="14" t="s">
        <v>6506</v>
      </c>
      <c r="G1333" s="14" t="s">
        <v>45</v>
      </c>
      <c r="H1333" s="14">
        <v>19</v>
      </c>
      <c r="I1333" s="13" t="str" cm="1">
        <f t="array" ref="I1333">_xlfn.IFS(
  OR(ISBLANK(A1333),ISBLANK(B1333),ISBLANK(D1333),ISBLANK(E1333),ISBLANK(H1333)),"Missing Value",
  D1333&lt;0,"Review – Out of Range (Claim Amount)",
  H1333&lt;0,"Review – Out of Range (Days to Process)",
  TRUE,"OK"
)</f>
        <v>OK</v>
      </c>
    </row>
    <row r="1334" spans="1:9" ht="16.8" x14ac:dyDescent="0.3">
      <c r="A1334" s="11" t="s">
        <v>7841</v>
      </c>
      <c r="B1334" s="11" t="s">
        <v>5691</v>
      </c>
      <c r="C1334" s="12">
        <v>45054</v>
      </c>
      <c r="D1334" s="11">
        <v>119502.84</v>
      </c>
      <c r="E1334" s="11" t="s">
        <v>6505</v>
      </c>
      <c r="F1334" s="11" t="s">
        <v>6509</v>
      </c>
      <c r="G1334" s="11" t="s">
        <v>45</v>
      </c>
      <c r="H1334" s="11">
        <v>25</v>
      </c>
      <c r="I1334" s="13" t="str" cm="1">
        <f t="array" ref="I1334">_xlfn.IFS(
  OR(ISBLANK(A1334),ISBLANK(B1334),ISBLANK(D1334),ISBLANK(E1334),ISBLANK(H1334)),"Missing Value",
  D1334&lt;0,"Review – Out of Range (Claim Amount)",
  H1334&lt;0,"Review – Out of Range (Days to Process)",
  TRUE,"OK"
)</f>
        <v>OK</v>
      </c>
    </row>
    <row r="1335" spans="1:9" ht="16.8" x14ac:dyDescent="0.3">
      <c r="A1335" s="14" t="s">
        <v>7842</v>
      </c>
      <c r="B1335" s="14" t="s">
        <v>5569</v>
      </c>
      <c r="C1335" s="15">
        <v>44944</v>
      </c>
      <c r="D1335" s="14">
        <v>389009.81</v>
      </c>
      <c r="E1335" s="14" t="s">
        <v>6505</v>
      </c>
      <c r="F1335" s="14" t="s">
        <v>6503</v>
      </c>
      <c r="G1335" s="14" t="s">
        <v>46</v>
      </c>
      <c r="H1335" s="14">
        <v>58</v>
      </c>
      <c r="I1335" s="13" t="str" cm="1">
        <f t="array" ref="I1335">_xlfn.IFS(
  OR(ISBLANK(A1335),ISBLANK(B1335),ISBLANK(D1335),ISBLANK(E1335),ISBLANK(H1335)),"Missing Value",
  D1335&lt;0,"Review – Out of Range (Claim Amount)",
  H1335&lt;0,"Review – Out of Range (Days to Process)",
  TRUE,"OK"
)</f>
        <v>OK</v>
      </c>
    </row>
    <row r="1336" spans="1:9" ht="16.8" x14ac:dyDescent="0.3">
      <c r="A1336" s="11" t="s">
        <v>7843</v>
      </c>
      <c r="B1336" s="11" t="s">
        <v>3966</v>
      </c>
      <c r="C1336" s="12">
        <v>45145</v>
      </c>
      <c r="D1336" s="11">
        <v>146405.74</v>
      </c>
      <c r="E1336" s="11" t="s">
        <v>6505</v>
      </c>
      <c r="F1336" s="11" t="s">
        <v>6516</v>
      </c>
      <c r="G1336" s="11" t="s">
        <v>45</v>
      </c>
      <c r="H1336" s="11">
        <v>53</v>
      </c>
      <c r="I1336" s="13" t="str" cm="1">
        <f t="array" ref="I1336">_xlfn.IFS(
  OR(ISBLANK(A1336),ISBLANK(B1336),ISBLANK(D1336),ISBLANK(E1336),ISBLANK(H1336)),"Missing Value",
  D1336&lt;0,"Review – Out of Range (Claim Amount)",
  H1336&lt;0,"Review – Out of Range (Days to Process)",
  TRUE,"OK"
)</f>
        <v>OK</v>
      </c>
    </row>
    <row r="1337" spans="1:9" ht="16.8" x14ac:dyDescent="0.3">
      <c r="A1337" s="14" t="s">
        <v>7844</v>
      </c>
      <c r="B1337" s="14" t="s">
        <v>5573</v>
      </c>
      <c r="C1337" s="15">
        <v>44436</v>
      </c>
      <c r="D1337" s="14">
        <v>154425.38</v>
      </c>
      <c r="E1337" s="14" t="s">
        <v>6508</v>
      </c>
      <c r="F1337" s="14" t="s">
        <v>6509</v>
      </c>
      <c r="G1337" s="14" t="s">
        <v>45</v>
      </c>
      <c r="H1337" s="14">
        <v>31</v>
      </c>
      <c r="I1337" s="13" t="str" cm="1">
        <f t="array" ref="I1337">_xlfn.IFS(
  OR(ISBLANK(A1337),ISBLANK(B1337),ISBLANK(D1337),ISBLANK(E1337),ISBLANK(H1337)),"Missing Value",
  D1337&lt;0,"Review – Out of Range (Claim Amount)",
  H1337&lt;0,"Review – Out of Range (Days to Process)",
  TRUE,"OK"
)</f>
        <v>OK</v>
      </c>
    </row>
    <row r="1338" spans="1:9" ht="16.8" x14ac:dyDescent="0.3">
      <c r="A1338" s="11" t="s">
        <v>7845</v>
      </c>
      <c r="B1338" s="11" t="s">
        <v>3392</v>
      </c>
      <c r="C1338" s="12">
        <v>44639</v>
      </c>
      <c r="D1338" s="11">
        <v>443247.03</v>
      </c>
      <c r="E1338" s="11" t="s">
        <v>6505</v>
      </c>
      <c r="F1338" s="11" t="s">
        <v>6506</v>
      </c>
      <c r="G1338" s="11" t="s">
        <v>46</v>
      </c>
      <c r="H1338" s="11">
        <v>45</v>
      </c>
      <c r="I1338" s="13" t="str" cm="1">
        <f t="array" ref="I1338">_xlfn.IFS(
  OR(ISBLANK(A1338),ISBLANK(B1338),ISBLANK(D1338),ISBLANK(E1338),ISBLANK(H1338)),"Missing Value",
  D1338&lt;0,"Review – Out of Range (Claim Amount)",
  H1338&lt;0,"Review – Out of Range (Days to Process)",
  TRUE,"OK"
)</f>
        <v>OK</v>
      </c>
    </row>
    <row r="1339" spans="1:9" ht="16.8" x14ac:dyDescent="0.3">
      <c r="A1339" s="14" t="s">
        <v>7846</v>
      </c>
      <c r="B1339" s="14" t="s">
        <v>4652</v>
      </c>
      <c r="C1339" s="15">
        <v>44715</v>
      </c>
      <c r="D1339" s="14">
        <v>355495.91</v>
      </c>
      <c r="E1339" s="14" t="s">
        <v>6508</v>
      </c>
      <c r="F1339" s="14" t="s">
        <v>6509</v>
      </c>
      <c r="G1339" s="14" t="s">
        <v>45</v>
      </c>
      <c r="H1339" s="14">
        <v>43</v>
      </c>
      <c r="I1339" s="13" t="str" cm="1">
        <f t="array" ref="I1339">_xlfn.IFS(
  OR(ISBLANK(A1339),ISBLANK(B1339),ISBLANK(D1339),ISBLANK(E1339),ISBLANK(H1339)),"Missing Value",
  D1339&lt;0,"Review – Out of Range (Claim Amount)",
  H1339&lt;0,"Review – Out of Range (Days to Process)",
  TRUE,"OK"
)</f>
        <v>OK</v>
      </c>
    </row>
    <row r="1340" spans="1:9" ht="16.8" x14ac:dyDescent="0.3">
      <c r="A1340" s="11" t="s">
        <v>7847</v>
      </c>
      <c r="B1340" s="11" t="s">
        <v>5221</v>
      </c>
      <c r="C1340" s="12">
        <v>45199</v>
      </c>
      <c r="D1340" s="11">
        <v>330072.90000000002</v>
      </c>
      <c r="E1340" s="11" t="s">
        <v>6502</v>
      </c>
      <c r="F1340" s="11" t="s">
        <v>6509</v>
      </c>
      <c r="G1340" s="11" t="s">
        <v>45</v>
      </c>
      <c r="H1340" s="11">
        <v>49</v>
      </c>
      <c r="I1340" s="13" t="str" cm="1">
        <f t="array" ref="I1340">_xlfn.IFS(
  OR(ISBLANK(A1340),ISBLANK(B1340),ISBLANK(D1340),ISBLANK(E1340),ISBLANK(H1340)),"Missing Value",
  D1340&lt;0,"Review – Out of Range (Claim Amount)",
  H1340&lt;0,"Review – Out of Range (Days to Process)",
  TRUE,"OK"
)</f>
        <v>OK</v>
      </c>
    </row>
    <row r="1341" spans="1:9" ht="16.8" x14ac:dyDescent="0.3">
      <c r="A1341" s="14" t="s">
        <v>7848</v>
      </c>
      <c r="B1341" s="14" t="s">
        <v>6261</v>
      </c>
      <c r="C1341" s="15">
        <v>45091</v>
      </c>
      <c r="D1341" s="14">
        <v>343554.63</v>
      </c>
      <c r="E1341" s="14" t="s">
        <v>6505</v>
      </c>
      <c r="F1341" s="14" t="s">
        <v>6516</v>
      </c>
      <c r="G1341" s="14" t="s">
        <v>46</v>
      </c>
      <c r="H1341" s="14">
        <v>58</v>
      </c>
      <c r="I1341" s="13" t="str" cm="1">
        <f t="array" ref="I1341">_xlfn.IFS(
  OR(ISBLANK(A1341),ISBLANK(B1341),ISBLANK(D1341),ISBLANK(E1341),ISBLANK(H1341)),"Missing Value",
  D1341&lt;0,"Review – Out of Range (Claim Amount)",
  H1341&lt;0,"Review – Out of Range (Days to Process)",
  TRUE,"OK"
)</f>
        <v>OK</v>
      </c>
    </row>
    <row r="1342" spans="1:9" ht="16.8" x14ac:dyDescent="0.3">
      <c r="A1342" s="11" t="s">
        <v>7849</v>
      </c>
      <c r="B1342" s="11" t="s">
        <v>5216</v>
      </c>
      <c r="C1342" s="12">
        <v>45111</v>
      </c>
      <c r="D1342" s="11">
        <v>380276.87</v>
      </c>
      <c r="E1342" s="11" t="s">
        <v>6502</v>
      </c>
      <c r="F1342" s="11" t="s">
        <v>6503</v>
      </c>
      <c r="G1342" s="11" t="s">
        <v>45</v>
      </c>
      <c r="H1342" s="11">
        <v>19</v>
      </c>
      <c r="I1342" s="13" t="str" cm="1">
        <f t="array" ref="I1342">_xlfn.IFS(
  OR(ISBLANK(A1342),ISBLANK(B1342),ISBLANK(D1342),ISBLANK(E1342),ISBLANK(H1342)),"Missing Value",
  D1342&lt;0,"Review – Out of Range (Claim Amount)",
  H1342&lt;0,"Review – Out of Range (Days to Process)",
  TRUE,"OK"
)</f>
        <v>OK</v>
      </c>
    </row>
    <row r="1343" spans="1:9" ht="16.8" x14ac:dyDescent="0.3">
      <c r="A1343" s="14" t="s">
        <v>7850</v>
      </c>
      <c r="B1343" s="14" t="s">
        <v>6472</v>
      </c>
      <c r="C1343" s="15">
        <v>45165</v>
      </c>
      <c r="D1343" s="14">
        <v>432633.92</v>
      </c>
      <c r="E1343" s="14" t="s">
        <v>6505</v>
      </c>
      <c r="F1343" s="14" t="s">
        <v>6509</v>
      </c>
      <c r="G1343" s="14" t="s">
        <v>46</v>
      </c>
      <c r="H1343" s="14">
        <v>12</v>
      </c>
      <c r="I1343" s="13" t="str" cm="1">
        <f t="array" ref="I1343">_xlfn.IFS(
  OR(ISBLANK(A1343),ISBLANK(B1343),ISBLANK(D1343),ISBLANK(E1343),ISBLANK(H1343)),"Missing Value",
  D1343&lt;0,"Review – Out of Range (Claim Amount)",
  H1343&lt;0,"Review – Out of Range (Days to Process)",
  TRUE,"OK"
)</f>
        <v>OK</v>
      </c>
    </row>
    <row r="1344" spans="1:9" ht="16.8" x14ac:dyDescent="0.3">
      <c r="A1344" s="11" t="s">
        <v>7851</v>
      </c>
      <c r="B1344" s="11" t="s">
        <v>6367</v>
      </c>
      <c r="C1344" s="12">
        <v>45662</v>
      </c>
      <c r="D1344" s="11">
        <v>332183.23</v>
      </c>
      <c r="E1344" s="11" t="s">
        <v>6502</v>
      </c>
      <c r="F1344" s="11" t="s">
        <v>6506</v>
      </c>
      <c r="G1344" s="11" t="s">
        <v>45</v>
      </c>
      <c r="H1344" s="11">
        <v>12</v>
      </c>
      <c r="I1344" s="13" t="str" cm="1">
        <f t="array" ref="I1344">_xlfn.IFS(
  OR(ISBLANK(A1344),ISBLANK(B1344),ISBLANK(D1344),ISBLANK(E1344),ISBLANK(H1344)),"Missing Value",
  D1344&lt;0,"Review – Out of Range (Claim Amount)",
  H1344&lt;0,"Review – Out of Range (Days to Process)",
  TRUE,"OK"
)</f>
        <v>OK</v>
      </c>
    </row>
    <row r="1345" spans="1:9" ht="16.8" x14ac:dyDescent="0.3">
      <c r="A1345" s="14" t="s">
        <v>7852</v>
      </c>
      <c r="B1345" s="14" t="s">
        <v>6055</v>
      </c>
      <c r="C1345" s="15">
        <v>45074</v>
      </c>
      <c r="D1345" s="14">
        <v>283987.96999999997</v>
      </c>
      <c r="E1345" s="14" t="s">
        <v>6505</v>
      </c>
      <c r="F1345" s="14" t="s">
        <v>6506</v>
      </c>
      <c r="G1345" s="14" t="s">
        <v>46</v>
      </c>
      <c r="H1345" s="14">
        <v>38</v>
      </c>
      <c r="I1345" s="13" t="str" cm="1">
        <f t="array" ref="I1345">_xlfn.IFS(
  OR(ISBLANK(A1345),ISBLANK(B1345),ISBLANK(D1345),ISBLANK(E1345),ISBLANK(H1345)),"Missing Value",
  D1345&lt;0,"Review – Out of Range (Claim Amount)",
  H1345&lt;0,"Review – Out of Range (Days to Process)",
  TRUE,"OK"
)</f>
        <v>OK</v>
      </c>
    </row>
    <row r="1346" spans="1:9" ht="16.8" x14ac:dyDescent="0.3">
      <c r="A1346" s="11" t="s">
        <v>7853</v>
      </c>
      <c r="B1346" s="11" t="s">
        <v>4159</v>
      </c>
      <c r="C1346" s="12">
        <v>45579</v>
      </c>
      <c r="D1346" s="11">
        <v>229787.85</v>
      </c>
      <c r="E1346" s="11" t="s">
        <v>6502</v>
      </c>
      <c r="F1346" s="11" t="s">
        <v>6516</v>
      </c>
      <c r="G1346" s="11" t="s">
        <v>46</v>
      </c>
      <c r="H1346" s="11">
        <v>17</v>
      </c>
      <c r="I1346" s="13" t="str" cm="1">
        <f t="array" ref="I1346">_xlfn.IFS(
  OR(ISBLANK(A1346),ISBLANK(B1346),ISBLANK(D1346),ISBLANK(E1346),ISBLANK(H1346)),"Missing Value",
  D1346&lt;0,"Review – Out of Range (Claim Amount)",
  H1346&lt;0,"Review – Out of Range (Days to Process)",
  TRUE,"OK"
)</f>
        <v>OK</v>
      </c>
    </row>
    <row r="1347" spans="1:9" ht="16.8" x14ac:dyDescent="0.3">
      <c r="A1347" s="14" t="s">
        <v>7854</v>
      </c>
      <c r="B1347" s="14" t="s">
        <v>6017</v>
      </c>
      <c r="C1347" s="15">
        <v>45592</v>
      </c>
      <c r="D1347" s="14">
        <v>396898.79</v>
      </c>
      <c r="E1347" s="14" t="s">
        <v>6505</v>
      </c>
      <c r="F1347" s="14" t="s">
        <v>6503</v>
      </c>
      <c r="G1347" s="14" t="s">
        <v>45</v>
      </c>
      <c r="H1347" s="14">
        <v>31</v>
      </c>
      <c r="I1347" s="13" t="str" cm="1">
        <f t="array" ref="I1347">_xlfn.IFS(
  OR(ISBLANK(A1347),ISBLANK(B1347),ISBLANK(D1347),ISBLANK(E1347),ISBLANK(H1347)),"Missing Value",
  D1347&lt;0,"Review – Out of Range (Claim Amount)",
  H1347&lt;0,"Review – Out of Range (Days to Process)",
  TRUE,"OK"
)</f>
        <v>OK</v>
      </c>
    </row>
    <row r="1348" spans="1:9" ht="16.8" x14ac:dyDescent="0.3">
      <c r="A1348" s="11" t="s">
        <v>7855</v>
      </c>
      <c r="B1348" s="11" t="s">
        <v>5478</v>
      </c>
      <c r="C1348" s="12">
        <v>45346</v>
      </c>
      <c r="D1348" s="11">
        <v>452468.82</v>
      </c>
      <c r="E1348" s="11" t="s">
        <v>6508</v>
      </c>
      <c r="F1348" s="11" t="s">
        <v>6516</v>
      </c>
      <c r="G1348" s="11" t="s">
        <v>46</v>
      </c>
      <c r="H1348" s="11">
        <v>27</v>
      </c>
      <c r="I1348" s="13" t="str" cm="1">
        <f t="array" ref="I1348">_xlfn.IFS(
  OR(ISBLANK(A1348),ISBLANK(B1348),ISBLANK(D1348),ISBLANK(E1348),ISBLANK(H1348)),"Missing Value",
  D1348&lt;0,"Review – Out of Range (Claim Amount)",
  H1348&lt;0,"Review – Out of Range (Days to Process)",
  TRUE,"OK"
)</f>
        <v>OK</v>
      </c>
    </row>
    <row r="1349" spans="1:9" ht="16.8" x14ac:dyDescent="0.3">
      <c r="A1349" s="14" t="s">
        <v>7856</v>
      </c>
      <c r="B1349" s="14" t="s">
        <v>6361</v>
      </c>
      <c r="C1349" s="15">
        <v>44759</v>
      </c>
      <c r="D1349" s="14">
        <v>13090.82</v>
      </c>
      <c r="E1349" s="14" t="s">
        <v>6502</v>
      </c>
      <c r="F1349" s="14" t="s">
        <v>6506</v>
      </c>
      <c r="G1349" s="14" t="s">
        <v>45</v>
      </c>
      <c r="H1349" s="14">
        <v>31</v>
      </c>
      <c r="I1349" s="13" t="str" cm="1">
        <f t="array" ref="I1349">_xlfn.IFS(
  OR(ISBLANK(A1349),ISBLANK(B1349),ISBLANK(D1349),ISBLANK(E1349),ISBLANK(H1349)),"Missing Value",
  D1349&lt;0,"Review – Out of Range (Claim Amount)",
  H1349&lt;0,"Review – Out of Range (Days to Process)",
  TRUE,"OK"
)</f>
        <v>OK</v>
      </c>
    </row>
    <row r="1350" spans="1:9" ht="16.8" x14ac:dyDescent="0.3">
      <c r="A1350" s="11" t="s">
        <v>7857</v>
      </c>
      <c r="B1350" s="11" t="s">
        <v>3598</v>
      </c>
      <c r="C1350" s="12">
        <v>45263</v>
      </c>
      <c r="D1350" s="11">
        <v>330665.71000000002</v>
      </c>
      <c r="E1350" s="11" t="s">
        <v>6505</v>
      </c>
      <c r="F1350" s="11" t="s">
        <v>6511</v>
      </c>
      <c r="G1350" s="11" t="s">
        <v>46</v>
      </c>
      <c r="H1350" s="11">
        <v>32</v>
      </c>
      <c r="I1350" s="13" t="str" cm="1">
        <f t="array" ref="I1350">_xlfn.IFS(
  OR(ISBLANK(A1350),ISBLANK(B1350),ISBLANK(D1350),ISBLANK(E1350),ISBLANK(H1350)),"Missing Value",
  D1350&lt;0,"Review – Out of Range (Claim Amount)",
  H1350&lt;0,"Review – Out of Range (Days to Process)",
  TRUE,"OK"
)</f>
        <v>OK</v>
      </c>
    </row>
    <row r="1351" spans="1:9" ht="16.8" x14ac:dyDescent="0.3">
      <c r="A1351" s="14" t="s">
        <v>7858</v>
      </c>
      <c r="B1351" s="14" t="s">
        <v>5446</v>
      </c>
      <c r="C1351" s="15">
        <v>44467</v>
      </c>
      <c r="D1351" s="14">
        <v>490082.3</v>
      </c>
      <c r="E1351" s="14" t="s">
        <v>6502</v>
      </c>
      <c r="F1351" s="14" t="s">
        <v>6509</v>
      </c>
      <c r="G1351" s="14" t="s">
        <v>46</v>
      </c>
      <c r="H1351" s="14">
        <v>49</v>
      </c>
      <c r="I1351" s="13" t="str" cm="1">
        <f t="array" ref="I1351">_xlfn.IFS(
  OR(ISBLANK(A1351),ISBLANK(B1351),ISBLANK(D1351),ISBLANK(E1351),ISBLANK(H1351)),"Missing Value",
  D1351&lt;0,"Review – Out of Range (Claim Amount)",
  H1351&lt;0,"Review – Out of Range (Days to Process)",
  TRUE,"OK"
)</f>
        <v>OK</v>
      </c>
    </row>
    <row r="1352" spans="1:9" ht="16.8" x14ac:dyDescent="0.3">
      <c r="A1352" s="11" t="s">
        <v>7859</v>
      </c>
      <c r="B1352" s="11" t="s">
        <v>5762</v>
      </c>
      <c r="C1352" s="12">
        <v>44548</v>
      </c>
      <c r="D1352" s="11">
        <v>200612.35</v>
      </c>
      <c r="E1352" s="11" t="s">
        <v>6502</v>
      </c>
      <c r="F1352" s="11" t="s">
        <v>6509</v>
      </c>
      <c r="G1352" s="11" t="s">
        <v>46</v>
      </c>
      <c r="H1352" s="11">
        <v>42</v>
      </c>
      <c r="I1352" s="13" t="str" cm="1">
        <f t="array" ref="I1352">_xlfn.IFS(
  OR(ISBLANK(A1352),ISBLANK(B1352),ISBLANK(D1352),ISBLANK(E1352),ISBLANK(H1352)),"Missing Value",
  D1352&lt;0,"Review – Out of Range (Claim Amount)",
  H1352&lt;0,"Review – Out of Range (Days to Process)",
  TRUE,"OK"
)</f>
        <v>OK</v>
      </c>
    </row>
    <row r="1353" spans="1:9" ht="16.8" x14ac:dyDescent="0.3">
      <c r="A1353" s="14" t="s">
        <v>7860</v>
      </c>
      <c r="B1353" s="14" t="s">
        <v>5134</v>
      </c>
      <c r="C1353" s="15">
        <v>44900</v>
      </c>
      <c r="D1353" s="14">
        <v>357103.01</v>
      </c>
      <c r="E1353" s="14" t="s">
        <v>6508</v>
      </c>
      <c r="F1353" s="14" t="s">
        <v>6509</v>
      </c>
      <c r="G1353" s="14" t="s">
        <v>46</v>
      </c>
      <c r="H1353" s="14">
        <v>18</v>
      </c>
      <c r="I1353" s="13" t="str" cm="1">
        <f t="array" ref="I1353">_xlfn.IFS(
  OR(ISBLANK(A1353),ISBLANK(B1353),ISBLANK(D1353),ISBLANK(E1353),ISBLANK(H1353)),"Missing Value",
  D1353&lt;0,"Review – Out of Range (Claim Amount)",
  H1353&lt;0,"Review – Out of Range (Days to Process)",
  TRUE,"OK"
)</f>
        <v>OK</v>
      </c>
    </row>
    <row r="1354" spans="1:9" ht="16.8" x14ac:dyDescent="0.3">
      <c r="A1354" s="11" t="s">
        <v>7861</v>
      </c>
      <c r="B1354" s="11" t="s">
        <v>4409</v>
      </c>
      <c r="C1354" s="12">
        <v>45374</v>
      </c>
      <c r="D1354" s="11">
        <v>137972.62</v>
      </c>
      <c r="E1354" s="11" t="s">
        <v>6505</v>
      </c>
      <c r="F1354" s="11" t="s">
        <v>6511</v>
      </c>
      <c r="G1354" s="11" t="s">
        <v>45</v>
      </c>
      <c r="H1354" s="11">
        <v>37</v>
      </c>
      <c r="I1354" s="13" t="str" cm="1">
        <f t="array" ref="I1354">_xlfn.IFS(
  OR(ISBLANK(A1354),ISBLANK(B1354),ISBLANK(D1354),ISBLANK(E1354),ISBLANK(H1354)),"Missing Value",
  D1354&lt;0,"Review – Out of Range (Claim Amount)",
  H1354&lt;0,"Review – Out of Range (Days to Process)",
  TRUE,"OK"
)</f>
        <v>OK</v>
      </c>
    </row>
    <row r="1355" spans="1:9" ht="16.8" x14ac:dyDescent="0.3">
      <c r="A1355" s="14" t="s">
        <v>7862</v>
      </c>
      <c r="B1355" s="14" t="s">
        <v>5248</v>
      </c>
      <c r="C1355" s="15">
        <v>45233</v>
      </c>
      <c r="D1355" s="14">
        <v>133140.79999999999</v>
      </c>
      <c r="E1355" s="14" t="s">
        <v>6502</v>
      </c>
      <c r="F1355" s="14" t="s">
        <v>6503</v>
      </c>
      <c r="G1355" s="14" t="s">
        <v>46</v>
      </c>
      <c r="H1355" s="14">
        <v>11</v>
      </c>
      <c r="I1355" s="13" t="str" cm="1">
        <f t="array" ref="I1355">_xlfn.IFS(
  OR(ISBLANK(A1355),ISBLANK(B1355),ISBLANK(D1355),ISBLANK(E1355),ISBLANK(H1355)),"Missing Value",
  D1355&lt;0,"Review – Out of Range (Claim Amount)",
  H1355&lt;0,"Review – Out of Range (Days to Process)",
  TRUE,"OK"
)</f>
        <v>OK</v>
      </c>
    </row>
    <row r="1356" spans="1:9" ht="16.8" x14ac:dyDescent="0.3">
      <c r="A1356" s="11" t="s">
        <v>7863</v>
      </c>
      <c r="B1356" s="11" t="s">
        <v>6244</v>
      </c>
      <c r="C1356" s="12">
        <v>45108</v>
      </c>
      <c r="D1356" s="11">
        <v>310170.56</v>
      </c>
      <c r="E1356" s="11" t="s">
        <v>6508</v>
      </c>
      <c r="F1356" s="11" t="s">
        <v>6509</v>
      </c>
      <c r="G1356" s="11" t="s">
        <v>46</v>
      </c>
      <c r="H1356" s="11">
        <v>42</v>
      </c>
      <c r="I1356" s="13" t="str" cm="1">
        <f t="array" ref="I1356">_xlfn.IFS(
  OR(ISBLANK(A1356),ISBLANK(B1356),ISBLANK(D1356),ISBLANK(E1356),ISBLANK(H1356)),"Missing Value",
  D1356&lt;0,"Review – Out of Range (Claim Amount)",
  H1356&lt;0,"Review – Out of Range (Days to Process)",
  TRUE,"OK"
)</f>
        <v>OK</v>
      </c>
    </row>
    <row r="1357" spans="1:9" ht="16.8" x14ac:dyDescent="0.3">
      <c r="A1357" s="14" t="s">
        <v>7864</v>
      </c>
      <c r="B1357" s="14" t="s">
        <v>6008</v>
      </c>
      <c r="C1357" s="15">
        <v>45532</v>
      </c>
      <c r="D1357" s="14">
        <v>353894.27</v>
      </c>
      <c r="E1357" s="14" t="s">
        <v>6505</v>
      </c>
      <c r="F1357" s="14" t="s">
        <v>6509</v>
      </c>
      <c r="G1357" s="14" t="s">
        <v>45</v>
      </c>
      <c r="H1357" s="14">
        <v>39</v>
      </c>
      <c r="I1357" s="13" t="str" cm="1">
        <f t="array" ref="I1357">_xlfn.IFS(
  OR(ISBLANK(A1357),ISBLANK(B1357),ISBLANK(D1357),ISBLANK(E1357),ISBLANK(H1357)),"Missing Value",
  D1357&lt;0,"Review – Out of Range (Claim Amount)",
  H1357&lt;0,"Review – Out of Range (Days to Process)",
  TRUE,"OK"
)</f>
        <v>OK</v>
      </c>
    </row>
    <row r="1358" spans="1:9" ht="16.8" x14ac:dyDescent="0.3">
      <c r="A1358" s="11" t="s">
        <v>7865</v>
      </c>
      <c r="B1358" s="11" t="s">
        <v>4124</v>
      </c>
      <c r="C1358" s="12">
        <v>45471</v>
      </c>
      <c r="D1358" s="11">
        <v>383911.55</v>
      </c>
      <c r="E1358" s="11" t="s">
        <v>6508</v>
      </c>
      <c r="F1358" s="11" t="s">
        <v>6503</v>
      </c>
      <c r="G1358" s="11" t="s">
        <v>45</v>
      </c>
      <c r="H1358" s="11">
        <v>25</v>
      </c>
      <c r="I1358" s="13" t="str" cm="1">
        <f t="array" ref="I1358">_xlfn.IFS(
  OR(ISBLANK(A1358),ISBLANK(B1358),ISBLANK(D1358),ISBLANK(E1358),ISBLANK(H1358)),"Missing Value",
  D1358&lt;0,"Review – Out of Range (Claim Amount)",
  H1358&lt;0,"Review – Out of Range (Days to Process)",
  TRUE,"OK"
)</f>
        <v>OK</v>
      </c>
    </row>
    <row r="1359" spans="1:9" ht="16.8" x14ac:dyDescent="0.3">
      <c r="A1359" s="14" t="s">
        <v>7866</v>
      </c>
      <c r="B1359" s="14" t="s">
        <v>6212</v>
      </c>
      <c r="C1359" s="15">
        <v>45203</v>
      </c>
      <c r="D1359" s="14">
        <v>267934.13</v>
      </c>
      <c r="E1359" s="14" t="s">
        <v>6505</v>
      </c>
      <c r="F1359" s="14" t="s">
        <v>6516</v>
      </c>
      <c r="G1359" s="14" t="s">
        <v>45</v>
      </c>
      <c r="H1359" s="14">
        <v>48</v>
      </c>
      <c r="I1359" s="13" t="str" cm="1">
        <f t="array" ref="I1359">_xlfn.IFS(
  OR(ISBLANK(A1359),ISBLANK(B1359),ISBLANK(D1359),ISBLANK(E1359),ISBLANK(H1359)),"Missing Value",
  D1359&lt;0,"Review – Out of Range (Claim Amount)",
  H1359&lt;0,"Review – Out of Range (Days to Process)",
  TRUE,"OK"
)</f>
        <v>OK</v>
      </c>
    </row>
    <row r="1360" spans="1:9" ht="16.8" x14ac:dyDescent="0.3">
      <c r="A1360" s="11" t="s">
        <v>7867</v>
      </c>
      <c r="B1360" s="11" t="s">
        <v>3938</v>
      </c>
      <c r="C1360" s="12">
        <v>45045</v>
      </c>
      <c r="D1360" s="11">
        <v>306316.33</v>
      </c>
      <c r="E1360" s="11" t="s">
        <v>6505</v>
      </c>
      <c r="F1360" s="11" t="s">
        <v>6516</v>
      </c>
      <c r="G1360" s="11" t="s">
        <v>46</v>
      </c>
      <c r="H1360" s="11">
        <v>59</v>
      </c>
      <c r="I1360" s="13" t="str" cm="1">
        <f t="array" ref="I1360">_xlfn.IFS(
  OR(ISBLANK(A1360),ISBLANK(B1360),ISBLANK(D1360),ISBLANK(E1360),ISBLANK(H1360)),"Missing Value",
  D1360&lt;0,"Review – Out of Range (Claim Amount)",
  H1360&lt;0,"Review – Out of Range (Days to Process)",
  TRUE,"OK"
)</f>
        <v>OK</v>
      </c>
    </row>
    <row r="1361" spans="1:9" ht="16.8" x14ac:dyDescent="0.3">
      <c r="A1361" s="14" t="s">
        <v>7868</v>
      </c>
      <c r="B1361" s="14" t="s">
        <v>6413</v>
      </c>
      <c r="C1361" s="15">
        <v>45242</v>
      </c>
      <c r="D1361" s="14">
        <v>47123.31</v>
      </c>
      <c r="E1361" s="14" t="s">
        <v>6505</v>
      </c>
      <c r="F1361" s="14" t="s">
        <v>6511</v>
      </c>
      <c r="G1361" s="14" t="s">
        <v>46</v>
      </c>
      <c r="H1361" s="14">
        <v>34</v>
      </c>
      <c r="I1361" s="13" t="str" cm="1">
        <f t="array" ref="I1361">_xlfn.IFS(
  OR(ISBLANK(A1361),ISBLANK(B1361),ISBLANK(D1361),ISBLANK(E1361),ISBLANK(H1361)),"Missing Value",
  D1361&lt;0,"Review – Out of Range (Claim Amount)",
  H1361&lt;0,"Review – Out of Range (Days to Process)",
  TRUE,"OK"
)</f>
        <v>OK</v>
      </c>
    </row>
    <row r="1362" spans="1:9" ht="16.8" x14ac:dyDescent="0.3">
      <c r="A1362" s="11" t="s">
        <v>7869</v>
      </c>
      <c r="B1362" s="11" t="s">
        <v>4966</v>
      </c>
      <c r="C1362" s="12">
        <v>44942</v>
      </c>
      <c r="D1362" s="11">
        <v>169159.85</v>
      </c>
      <c r="E1362" s="11" t="s">
        <v>6502</v>
      </c>
      <c r="F1362" s="11" t="s">
        <v>6516</v>
      </c>
      <c r="G1362" s="11" t="s">
        <v>45</v>
      </c>
      <c r="H1362" s="11">
        <v>45</v>
      </c>
      <c r="I1362" s="13" t="str" cm="1">
        <f t="array" ref="I1362">_xlfn.IFS(
  OR(ISBLANK(A1362),ISBLANK(B1362),ISBLANK(D1362),ISBLANK(E1362),ISBLANK(H1362)),"Missing Value",
  D1362&lt;0,"Review – Out of Range (Claim Amount)",
  H1362&lt;0,"Review – Out of Range (Days to Process)",
  TRUE,"OK"
)</f>
        <v>OK</v>
      </c>
    </row>
    <row r="1363" spans="1:9" ht="16.8" x14ac:dyDescent="0.3">
      <c r="A1363" s="14" t="s">
        <v>7870</v>
      </c>
      <c r="B1363" s="14" t="s">
        <v>5381</v>
      </c>
      <c r="C1363" s="15">
        <v>45296</v>
      </c>
      <c r="D1363" s="14">
        <v>203702.43</v>
      </c>
      <c r="E1363" s="14" t="s">
        <v>6508</v>
      </c>
      <c r="F1363" s="14" t="s">
        <v>6503</v>
      </c>
      <c r="G1363" s="14" t="s">
        <v>45</v>
      </c>
      <c r="H1363" s="14">
        <v>17</v>
      </c>
      <c r="I1363" s="13" t="str" cm="1">
        <f t="array" ref="I1363">_xlfn.IFS(
  OR(ISBLANK(A1363),ISBLANK(B1363),ISBLANK(D1363),ISBLANK(E1363),ISBLANK(H1363)),"Missing Value",
  D1363&lt;0,"Review – Out of Range (Claim Amount)",
  H1363&lt;0,"Review – Out of Range (Days to Process)",
  TRUE,"OK"
)</f>
        <v>OK</v>
      </c>
    </row>
    <row r="1364" spans="1:9" ht="16.8" x14ac:dyDescent="0.3">
      <c r="A1364" s="11" t="s">
        <v>7871</v>
      </c>
      <c r="B1364" s="11" t="s">
        <v>4997</v>
      </c>
      <c r="C1364" s="12">
        <v>45209</v>
      </c>
      <c r="D1364" s="11">
        <v>490321.32</v>
      </c>
      <c r="E1364" s="11" t="s">
        <v>6508</v>
      </c>
      <c r="F1364" s="11" t="s">
        <v>6503</v>
      </c>
      <c r="G1364" s="11" t="s">
        <v>45</v>
      </c>
      <c r="H1364" s="11">
        <v>8</v>
      </c>
      <c r="I1364" s="13" t="str" cm="1">
        <f t="array" ref="I1364">_xlfn.IFS(
  OR(ISBLANK(A1364),ISBLANK(B1364),ISBLANK(D1364),ISBLANK(E1364),ISBLANK(H1364)),"Missing Value",
  D1364&lt;0,"Review – Out of Range (Claim Amount)",
  H1364&lt;0,"Review – Out of Range (Days to Process)",
  TRUE,"OK"
)</f>
        <v>OK</v>
      </c>
    </row>
    <row r="1365" spans="1:9" ht="16.8" x14ac:dyDescent="0.3">
      <c r="A1365" s="14" t="s">
        <v>7872</v>
      </c>
      <c r="B1365" s="14" t="s">
        <v>5057</v>
      </c>
      <c r="C1365" s="15">
        <v>45287</v>
      </c>
      <c r="D1365" s="14">
        <v>346264.63</v>
      </c>
      <c r="E1365" s="14" t="s">
        <v>6508</v>
      </c>
      <c r="F1365" s="14" t="s">
        <v>6503</v>
      </c>
      <c r="G1365" s="14" t="s">
        <v>45</v>
      </c>
      <c r="H1365" s="14">
        <v>27</v>
      </c>
      <c r="I1365" s="13" t="str" cm="1">
        <f t="array" ref="I1365">_xlfn.IFS(
  OR(ISBLANK(A1365),ISBLANK(B1365),ISBLANK(D1365),ISBLANK(E1365),ISBLANK(H1365)),"Missing Value",
  D1365&lt;0,"Review – Out of Range (Claim Amount)",
  H1365&lt;0,"Review – Out of Range (Days to Process)",
  TRUE,"OK"
)</f>
        <v>OK</v>
      </c>
    </row>
    <row r="1366" spans="1:9" ht="16.8" x14ac:dyDescent="0.3">
      <c r="A1366" s="11" t="s">
        <v>7873</v>
      </c>
      <c r="B1366" s="11" t="s">
        <v>5079</v>
      </c>
      <c r="C1366" s="12">
        <v>44980</v>
      </c>
      <c r="D1366" s="11">
        <v>67283.679999999993</v>
      </c>
      <c r="E1366" s="11" t="s">
        <v>6508</v>
      </c>
      <c r="F1366" s="11" t="s">
        <v>6503</v>
      </c>
      <c r="G1366" s="11" t="s">
        <v>45</v>
      </c>
      <c r="H1366" s="11">
        <v>33</v>
      </c>
      <c r="I1366" s="13" t="str" cm="1">
        <f t="array" ref="I1366">_xlfn.IFS(
  OR(ISBLANK(A1366),ISBLANK(B1366),ISBLANK(D1366),ISBLANK(E1366),ISBLANK(H1366)),"Missing Value",
  D1366&lt;0,"Review – Out of Range (Claim Amount)",
  H1366&lt;0,"Review – Out of Range (Days to Process)",
  TRUE,"OK"
)</f>
        <v>OK</v>
      </c>
    </row>
    <row r="1367" spans="1:9" ht="16.8" x14ac:dyDescent="0.3">
      <c r="A1367" s="14" t="s">
        <v>7874</v>
      </c>
      <c r="B1367" s="14" t="s">
        <v>5888</v>
      </c>
      <c r="C1367" s="15">
        <v>44781</v>
      </c>
      <c r="D1367" s="14">
        <v>131719.76</v>
      </c>
      <c r="E1367" s="14" t="s">
        <v>6508</v>
      </c>
      <c r="F1367" s="14" t="s">
        <v>6516</v>
      </c>
      <c r="G1367" s="14" t="s">
        <v>46</v>
      </c>
      <c r="H1367" s="14">
        <v>46</v>
      </c>
      <c r="I1367" s="13" t="str" cm="1">
        <f t="array" ref="I1367">_xlfn.IFS(
  OR(ISBLANK(A1367),ISBLANK(B1367),ISBLANK(D1367),ISBLANK(E1367),ISBLANK(H1367)),"Missing Value",
  D1367&lt;0,"Review – Out of Range (Claim Amount)",
  H1367&lt;0,"Review – Out of Range (Days to Process)",
  TRUE,"OK"
)</f>
        <v>OK</v>
      </c>
    </row>
    <row r="1368" spans="1:9" ht="16.8" x14ac:dyDescent="0.3">
      <c r="A1368" s="11" t="s">
        <v>7875</v>
      </c>
      <c r="B1368" s="11" t="s">
        <v>5517</v>
      </c>
      <c r="C1368" s="12">
        <v>45322</v>
      </c>
      <c r="D1368" s="11">
        <v>432486.37</v>
      </c>
      <c r="E1368" s="11" t="s">
        <v>6505</v>
      </c>
      <c r="F1368" s="11" t="s">
        <v>6509</v>
      </c>
      <c r="G1368" s="11" t="s">
        <v>46</v>
      </c>
      <c r="H1368" s="11">
        <v>42</v>
      </c>
      <c r="I1368" s="13" t="str" cm="1">
        <f t="array" ref="I1368">_xlfn.IFS(
  OR(ISBLANK(A1368),ISBLANK(B1368),ISBLANK(D1368),ISBLANK(E1368),ISBLANK(H1368)),"Missing Value",
  D1368&lt;0,"Review – Out of Range (Claim Amount)",
  H1368&lt;0,"Review – Out of Range (Days to Process)",
  TRUE,"OK"
)</f>
        <v>OK</v>
      </c>
    </row>
    <row r="1369" spans="1:9" ht="16.8" x14ac:dyDescent="0.3">
      <c r="A1369" s="14" t="s">
        <v>7876</v>
      </c>
      <c r="B1369" s="14" t="s">
        <v>5053</v>
      </c>
      <c r="C1369" s="15">
        <v>45217</v>
      </c>
      <c r="D1369" s="14">
        <v>176826.83</v>
      </c>
      <c r="E1369" s="14" t="s">
        <v>6508</v>
      </c>
      <c r="F1369" s="14" t="s">
        <v>6516</v>
      </c>
      <c r="G1369" s="14" t="s">
        <v>45</v>
      </c>
      <c r="H1369" s="14">
        <v>34</v>
      </c>
      <c r="I1369" s="13" t="str" cm="1">
        <f t="array" ref="I1369">_xlfn.IFS(
  OR(ISBLANK(A1369),ISBLANK(B1369),ISBLANK(D1369),ISBLANK(E1369),ISBLANK(H1369)),"Missing Value",
  D1369&lt;0,"Review – Out of Range (Claim Amount)",
  H1369&lt;0,"Review – Out of Range (Days to Process)",
  TRUE,"OK"
)</f>
        <v>OK</v>
      </c>
    </row>
    <row r="1370" spans="1:9" ht="16.8" x14ac:dyDescent="0.3">
      <c r="A1370" s="11" t="s">
        <v>7877</v>
      </c>
      <c r="B1370" s="11" t="s">
        <v>5576</v>
      </c>
      <c r="C1370" s="12">
        <v>45353</v>
      </c>
      <c r="D1370" s="11">
        <v>42409.64</v>
      </c>
      <c r="E1370" s="11" t="s">
        <v>6505</v>
      </c>
      <c r="F1370" s="11" t="s">
        <v>6511</v>
      </c>
      <c r="G1370" s="11" t="s">
        <v>46</v>
      </c>
      <c r="H1370" s="11">
        <v>3</v>
      </c>
      <c r="I1370" s="13" t="str" cm="1">
        <f t="array" ref="I1370">_xlfn.IFS(
  OR(ISBLANK(A1370),ISBLANK(B1370),ISBLANK(D1370),ISBLANK(E1370),ISBLANK(H1370)),"Missing Value",
  D1370&lt;0,"Review – Out of Range (Claim Amount)",
  H1370&lt;0,"Review – Out of Range (Days to Process)",
  TRUE,"OK"
)</f>
        <v>OK</v>
      </c>
    </row>
    <row r="1371" spans="1:9" ht="16.8" x14ac:dyDescent="0.3">
      <c r="A1371" s="14" t="s">
        <v>7878</v>
      </c>
      <c r="B1371" s="14" t="s">
        <v>4150</v>
      </c>
      <c r="C1371" s="15">
        <v>45332</v>
      </c>
      <c r="D1371" s="14">
        <v>296454.08</v>
      </c>
      <c r="E1371" s="14" t="s">
        <v>6508</v>
      </c>
      <c r="F1371" s="14" t="s">
        <v>6511</v>
      </c>
      <c r="G1371" s="14" t="s">
        <v>46</v>
      </c>
      <c r="H1371" s="14">
        <v>59</v>
      </c>
      <c r="I1371" s="13" t="str" cm="1">
        <f t="array" ref="I1371">_xlfn.IFS(
  OR(ISBLANK(A1371),ISBLANK(B1371),ISBLANK(D1371),ISBLANK(E1371),ISBLANK(H1371)),"Missing Value",
  D1371&lt;0,"Review – Out of Range (Claim Amount)",
  H1371&lt;0,"Review – Out of Range (Days to Process)",
  TRUE,"OK"
)</f>
        <v>OK</v>
      </c>
    </row>
    <row r="1372" spans="1:9" ht="16.8" x14ac:dyDescent="0.3">
      <c r="A1372" s="11" t="s">
        <v>7879</v>
      </c>
      <c r="B1372" s="11" t="s">
        <v>3897</v>
      </c>
      <c r="C1372" s="12">
        <v>45652</v>
      </c>
      <c r="D1372" s="11">
        <v>274101.78000000003</v>
      </c>
      <c r="E1372" s="11" t="s">
        <v>6505</v>
      </c>
      <c r="F1372" s="11" t="s">
        <v>6503</v>
      </c>
      <c r="G1372" s="11" t="s">
        <v>45</v>
      </c>
      <c r="H1372" s="11">
        <v>51</v>
      </c>
      <c r="I1372" s="13" t="str" cm="1">
        <f t="array" ref="I1372">_xlfn.IFS(
  OR(ISBLANK(A1372),ISBLANK(B1372),ISBLANK(D1372),ISBLANK(E1372),ISBLANK(H1372)),"Missing Value",
  D1372&lt;0,"Review – Out of Range (Claim Amount)",
  H1372&lt;0,"Review – Out of Range (Days to Process)",
  TRUE,"OK"
)</f>
        <v>OK</v>
      </c>
    </row>
    <row r="1373" spans="1:9" ht="16.8" x14ac:dyDescent="0.3">
      <c r="A1373" s="14" t="s">
        <v>7880</v>
      </c>
      <c r="B1373" s="14" t="s">
        <v>4472</v>
      </c>
      <c r="C1373" s="15">
        <v>45556</v>
      </c>
      <c r="D1373" s="14">
        <v>276931.21000000002</v>
      </c>
      <c r="E1373" s="14" t="s">
        <v>6505</v>
      </c>
      <c r="F1373" s="14" t="s">
        <v>6509</v>
      </c>
      <c r="G1373" s="14" t="s">
        <v>45</v>
      </c>
      <c r="H1373" s="14">
        <v>37</v>
      </c>
      <c r="I1373" s="13" t="str" cm="1">
        <f t="array" ref="I1373">_xlfn.IFS(
  OR(ISBLANK(A1373),ISBLANK(B1373),ISBLANK(D1373),ISBLANK(E1373),ISBLANK(H1373)),"Missing Value",
  D1373&lt;0,"Review – Out of Range (Claim Amount)",
  H1373&lt;0,"Review – Out of Range (Days to Process)",
  TRUE,"OK"
)</f>
        <v>OK</v>
      </c>
    </row>
    <row r="1374" spans="1:9" ht="16.8" x14ac:dyDescent="0.3">
      <c r="A1374" s="11" t="s">
        <v>7881</v>
      </c>
      <c r="B1374" s="11" t="s">
        <v>3414</v>
      </c>
      <c r="C1374" s="12">
        <v>44925</v>
      </c>
      <c r="D1374" s="11">
        <v>118840.39</v>
      </c>
      <c r="E1374" s="11" t="s">
        <v>6505</v>
      </c>
      <c r="F1374" s="11" t="s">
        <v>6506</v>
      </c>
      <c r="G1374" s="11" t="s">
        <v>46</v>
      </c>
      <c r="H1374" s="11">
        <v>48</v>
      </c>
      <c r="I1374" s="13" t="str" cm="1">
        <f t="array" ref="I1374">_xlfn.IFS(
  OR(ISBLANK(A1374),ISBLANK(B1374),ISBLANK(D1374),ISBLANK(E1374),ISBLANK(H1374)),"Missing Value",
  D1374&lt;0,"Review – Out of Range (Claim Amount)",
  H1374&lt;0,"Review – Out of Range (Days to Process)",
  TRUE,"OK"
)</f>
        <v>OK</v>
      </c>
    </row>
    <row r="1375" spans="1:9" ht="16.8" x14ac:dyDescent="0.3">
      <c r="A1375" s="14" t="s">
        <v>7882</v>
      </c>
      <c r="B1375" s="14" t="s">
        <v>5363</v>
      </c>
      <c r="C1375" s="15">
        <v>45633</v>
      </c>
      <c r="D1375" s="14">
        <v>262744.96000000002</v>
      </c>
      <c r="E1375" s="14" t="s">
        <v>6505</v>
      </c>
      <c r="F1375" s="14" t="s">
        <v>6509</v>
      </c>
      <c r="G1375" s="14" t="s">
        <v>46</v>
      </c>
      <c r="H1375" s="14">
        <v>13</v>
      </c>
      <c r="I1375" s="13" t="str" cm="1">
        <f t="array" ref="I1375">_xlfn.IFS(
  OR(ISBLANK(A1375),ISBLANK(B1375),ISBLANK(D1375),ISBLANK(E1375),ISBLANK(H1375)),"Missing Value",
  D1375&lt;0,"Review – Out of Range (Claim Amount)",
  H1375&lt;0,"Review – Out of Range (Days to Process)",
  TRUE,"OK"
)</f>
        <v>OK</v>
      </c>
    </row>
    <row r="1376" spans="1:9" ht="16.8" x14ac:dyDescent="0.3">
      <c r="A1376" s="11" t="s">
        <v>7883</v>
      </c>
      <c r="B1376" s="11" t="s">
        <v>6440</v>
      </c>
      <c r="C1376" s="12">
        <v>45149</v>
      </c>
      <c r="D1376" s="11">
        <v>151121.42000000001</v>
      </c>
      <c r="E1376" s="11" t="s">
        <v>6502</v>
      </c>
      <c r="F1376" s="11" t="s">
        <v>6516</v>
      </c>
      <c r="G1376" s="11" t="s">
        <v>46</v>
      </c>
      <c r="H1376" s="11">
        <v>36</v>
      </c>
      <c r="I1376" s="13" t="str" cm="1">
        <f t="array" ref="I1376">_xlfn.IFS(
  OR(ISBLANK(A1376),ISBLANK(B1376),ISBLANK(D1376),ISBLANK(E1376),ISBLANK(H1376)),"Missing Value",
  D1376&lt;0,"Review – Out of Range (Claim Amount)",
  H1376&lt;0,"Review – Out of Range (Days to Process)",
  TRUE,"OK"
)</f>
        <v>OK</v>
      </c>
    </row>
    <row r="1377" spans="1:9" ht="16.8" x14ac:dyDescent="0.3">
      <c r="A1377" s="14" t="s">
        <v>7884</v>
      </c>
      <c r="B1377" s="14" t="s">
        <v>6041</v>
      </c>
      <c r="C1377" s="15">
        <v>45222</v>
      </c>
      <c r="D1377" s="14">
        <v>225216.92</v>
      </c>
      <c r="E1377" s="14" t="s">
        <v>6508</v>
      </c>
      <c r="F1377" s="14" t="s">
        <v>6509</v>
      </c>
      <c r="G1377" s="14" t="s">
        <v>46</v>
      </c>
      <c r="H1377" s="14">
        <v>54</v>
      </c>
      <c r="I1377" s="13" t="str" cm="1">
        <f t="array" ref="I1377">_xlfn.IFS(
  OR(ISBLANK(A1377),ISBLANK(B1377),ISBLANK(D1377),ISBLANK(E1377),ISBLANK(H1377)),"Missing Value",
  D1377&lt;0,"Review – Out of Range (Claim Amount)",
  H1377&lt;0,"Review – Out of Range (Days to Process)",
  TRUE,"OK"
)</f>
        <v>OK</v>
      </c>
    </row>
    <row r="1378" spans="1:9" ht="16.8" x14ac:dyDescent="0.3">
      <c r="A1378" s="11" t="s">
        <v>7885</v>
      </c>
      <c r="B1378" s="11" t="s">
        <v>4462</v>
      </c>
      <c r="C1378" s="12">
        <v>44411</v>
      </c>
      <c r="D1378" s="11">
        <v>263091.40999999997</v>
      </c>
      <c r="E1378" s="11" t="s">
        <v>6508</v>
      </c>
      <c r="F1378" s="11" t="s">
        <v>6503</v>
      </c>
      <c r="G1378" s="11" t="s">
        <v>46</v>
      </c>
      <c r="H1378" s="11">
        <v>38</v>
      </c>
      <c r="I1378" s="13" t="str" cm="1">
        <f t="array" ref="I1378">_xlfn.IFS(
  OR(ISBLANK(A1378),ISBLANK(B1378),ISBLANK(D1378),ISBLANK(E1378),ISBLANK(H1378)),"Missing Value",
  D1378&lt;0,"Review – Out of Range (Claim Amount)",
  H1378&lt;0,"Review – Out of Range (Days to Process)",
  TRUE,"OK"
)</f>
        <v>OK</v>
      </c>
    </row>
    <row r="1379" spans="1:9" ht="16.8" x14ac:dyDescent="0.3">
      <c r="A1379" s="14" t="s">
        <v>7886</v>
      </c>
      <c r="B1379" s="14" t="s">
        <v>4741</v>
      </c>
      <c r="C1379" s="15">
        <v>45563</v>
      </c>
      <c r="D1379" s="14">
        <v>221928.7</v>
      </c>
      <c r="E1379" s="14" t="s">
        <v>6502</v>
      </c>
      <c r="F1379" s="14" t="s">
        <v>6511</v>
      </c>
      <c r="G1379" s="14" t="s">
        <v>45</v>
      </c>
      <c r="H1379" s="14">
        <v>56</v>
      </c>
      <c r="I1379" s="13" t="str" cm="1">
        <f t="array" ref="I1379">_xlfn.IFS(
  OR(ISBLANK(A1379),ISBLANK(B1379),ISBLANK(D1379),ISBLANK(E1379),ISBLANK(H1379)),"Missing Value",
  D1379&lt;0,"Review – Out of Range (Claim Amount)",
  H1379&lt;0,"Review – Out of Range (Days to Process)",
  TRUE,"OK"
)</f>
        <v>OK</v>
      </c>
    </row>
    <row r="1380" spans="1:9" ht="16.8" x14ac:dyDescent="0.3">
      <c r="A1380" s="11" t="s">
        <v>7887</v>
      </c>
      <c r="B1380" s="11" t="s">
        <v>4094</v>
      </c>
      <c r="C1380" s="12">
        <v>45175</v>
      </c>
      <c r="D1380" s="11">
        <v>134037.46</v>
      </c>
      <c r="E1380" s="11" t="s">
        <v>6508</v>
      </c>
      <c r="F1380" s="11" t="s">
        <v>6509</v>
      </c>
      <c r="G1380" s="11" t="s">
        <v>46</v>
      </c>
      <c r="H1380" s="11">
        <v>42</v>
      </c>
      <c r="I1380" s="13" t="str" cm="1">
        <f t="array" ref="I1380">_xlfn.IFS(
  OR(ISBLANK(A1380),ISBLANK(B1380),ISBLANK(D1380),ISBLANK(E1380),ISBLANK(H1380)),"Missing Value",
  D1380&lt;0,"Review – Out of Range (Claim Amount)",
  H1380&lt;0,"Review – Out of Range (Days to Process)",
  TRUE,"OK"
)</f>
        <v>OK</v>
      </c>
    </row>
    <row r="1381" spans="1:9" ht="16.8" x14ac:dyDescent="0.3">
      <c r="A1381" s="14" t="s">
        <v>7888</v>
      </c>
      <c r="B1381" s="14" t="s">
        <v>3618</v>
      </c>
      <c r="C1381" s="15">
        <v>44704</v>
      </c>
      <c r="D1381" s="14">
        <v>319703.82</v>
      </c>
      <c r="E1381" s="14" t="s">
        <v>6502</v>
      </c>
      <c r="F1381" s="14" t="s">
        <v>6503</v>
      </c>
      <c r="G1381" s="14" t="s">
        <v>46</v>
      </c>
      <c r="H1381" s="14">
        <v>43</v>
      </c>
      <c r="I1381" s="13" t="str" cm="1">
        <f t="array" ref="I1381">_xlfn.IFS(
  OR(ISBLANK(A1381),ISBLANK(B1381),ISBLANK(D1381),ISBLANK(E1381),ISBLANK(H1381)),"Missing Value",
  D1381&lt;0,"Review – Out of Range (Claim Amount)",
  H1381&lt;0,"Review – Out of Range (Days to Process)",
  TRUE,"OK"
)</f>
        <v>OK</v>
      </c>
    </row>
    <row r="1382" spans="1:9" ht="16.8" x14ac:dyDescent="0.3">
      <c r="A1382" s="11" t="s">
        <v>7889</v>
      </c>
      <c r="B1382" s="11" t="s">
        <v>6447</v>
      </c>
      <c r="C1382" s="12">
        <v>44900</v>
      </c>
      <c r="D1382" s="11">
        <v>63264.45</v>
      </c>
      <c r="E1382" s="11" t="s">
        <v>6502</v>
      </c>
      <c r="F1382" s="11" t="s">
        <v>6511</v>
      </c>
      <c r="G1382" s="11" t="s">
        <v>45</v>
      </c>
      <c r="H1382" s="11">
        <v>3</v>
      </c>
      <c r="I1382" s="13" t="str" cm="1">
        <f t="array" ref="I1382">_xlfn.IFS(
  OR(ISBLANK(A1382),ISBLANK(B1382),ISBLANK(D1382),ISBLANK(E1382),ISBLANK(H1382)),"Missing Value",
  D1382&lt;0,"Review – Out of Range (Claim Amount)",
  H1382&lt;0,"Review – Out of Range (Days to Process)",
  TRUE,"OK"
)</f>
        <v>OK</v>
      </c>
    </row>
    <row r="1383" spans="1:9" ht="16.8" x14ac:dyDescent="0.3">
      <c r="A1383" s="14" t="s">
        <v>7890</v>
      </c>
      <c r="B1383" s="14" t="s">
        <v>5493</v>
      </c>
      <c r="C1383" s="15">
        <v>44676</v>
      </c>
      <c r="D1383" s="14">
        <v>237510.38</v>
      </c>
      <c r="E1383" s="14" t="s">
        <v>6505</v>
      </c>
      <c r="F1383" s="14" t="s">
        <v>6506</v>
      </c>
      <c r="G1383" s="14" t="s">
        <v>46</v>
      </c>
      <c r="H1383" s="14">
        <v>20</v>
      </c>
      <c r="I1383" s="13" t="str" cm="1">
        <f t="array" ref="I1383">_xlfn.IFS(
  OR(ISBLANK(A1383),ISBLANK(B1383),ISBLANK(D1383),ISBLANK(E1383),ISBLANK(H1383)),"Missing Value",
  D1383&lt;0,"Review – Out of Range (Claim Amount)",
  H1383&lt;0,"Review – Out of Range (Days to Process)",
  TRUE,"OK"
)</f>
        <v>OK</v>
      </c>
    </row>
    <row r="1384" spans="1:9" ht="16.8" x14ac:dyDescent="0.3">
      <c r="A1384" s="11" t="s">
        <v>7891</v>
      </c>
      <c r="B1384" s="11" t="s">
        <v>5534</v>
      </c>
      <c r="C1384" s="12">
        <v>45450</v>
      </c>
      <c r="D1384" s="11">
        <v>428852.71</v>
      </c>
      <c r="E1384" s="11" t="s">
        <v>6508</v>
      </c>
      <c r="F1384" s="11" t="s">
        <v>6509</v>
      </c>
      <c r="G1384" s="11" t="s">
        <v>46</v>
      </c>
      <c r="H1384" s="11">
        <v>44</v>
      </c>
      <c r="I1384" s="13" t="str" cm="1">
        <f t="array" ref="I1384">_xlfn.IFS(
  OR(ISBLANK(A1384),ISBLANK(B1384),ISBLANK(D1384),ISBLANK(E1384),ISBLANK(H1384)),"Missing Value",
  D1384&lt;0,"Review – Out of Range (Claim Amount)",
  H1384&lt;0,"Review – Out of Range (Days to Process)",
  TRUE,"OK"
)</f>
        <v>OK</v>
      </c>
    </row>
    <row r="1385" spans="1:9" ht="16.8" x14ac:dyDescent="0.3">
      <c r="A1385" s="14" t="s">
        <v>7892</v>
      </c>
      <c r="B1385" s="14" t="s">
        <v>5105</v>
      </c>
      <c r="C1385" s="15">
        <v>45210</v>
      </c>
      <c r="D1385" s="14">
        <v>120374.43</v>
      </c>
      <c r="E1385" s="14" t="s">
        <v>6502</v>
      </c>
      <c r="F1385" s="14" t="s">
        <v>6509</v>
      </c>
      <c r="G1385" s="14" t="s">
        <v>46</v>
      </c>
      <c r="H1385" s="14">
        <v>19</v>
      </c>
      <c r="I1385" s="13" t="str" cm="1">
        <f t="array" ref="I1385">_xlfn.IFS(
  OR(ISBLANK(A1385),ISBLANK(B1385),ISBLANK(D1385),ISBLANK(E1385),ISBLANK(H1385)),"Missing Value",
  D1385&lt;0,"Review – Out of Range (Claim Amount)",
  H1385&lt;0,"Review – Out of Range (Days to Process)",
  TRUE,"OK"
)</f>
        <v>OK</v>
      </c>
    </row>
    <row r="1386" spans="1:9" ht="16.8" x14ac:dyDescent="0.3">
      <c r="A1386" s="11" t="s">
        <v>7893</v>
      </c>
      <c r="B1386" s="11" t="s">
        <v>4943</v>
      </c>
      <c r="C1386" s="12">
        <v>44827</v>
      </c>
      <c r="D1386" s="11">
        <v>391752.99</v>
      </c>
      <c r="E1386" s="11" t="s">
        <v>6505</v>
      </c>
      <c r="F1386" s="11" t="s">
        <v>6503</v>
      </c>
      <c r="G1386" s="11" t="s">
        <v>45</v>
      </c>
      <c r="H1386" s="11">
        <v>57</v>
      </c>
      <c r="I1386" s="13" t="str" cm="1">
        <f t="array" ref="I1386">_xlfn.IFS(
  OR(ISBLANK(A1386),ISBLANK(B1386),ISBLANK(D1386),ISBLANK(E1386),ISBLANK(H1386)),"Missing Value",
  D1386&lt;0,"Review – Out of Range (Claim Amount)",
  H1386&lt;0,"Review – Out of Range (Days to Process)",
  TRUE,"OK"
)</f>
        <v>OK</v>
      </c>
    </row>
    <row r="1387" spans="1:9" ht="16.8" x14ac:dyDescent="0.3">
      <c r="A1387" s="14" t="s">
        <v>7894</v>
      </c>
      <c r="B1387" s="14" t="s">
        <v>5478</v>
      </c>
      <c r="C1387" s="15">
        <v>45261</v>
      </c>
      <c r="D1387" s="14">
        <v>85469.97</v>
      </c>
      <c r="E1387" s="14" t="s">
        <v>6505</v>
      </c>
      <c r="F1387" s="14" t="s">
        <v>6511</v>
      </c>
      <c r="G1387" s="14" t="s">
        <v>45</v>
      </c>
      <c r="H1387" s="14">
        <v>16</v>
      </c>
      <c r="I1387" s="13" t="str" cm="1">
        <f t="array" ref="I1387">_xlfn.IFS(
  OR(ISBLANK(A1387),ISBLANK(B1387),ISBLANK(D1387),ISBLANK(E1387),ISBLANK(H1387)),"Missing Value",
  D1387&lt;0,"Review – Out of Range (Claim Amount)",
  H1387&lt;0,"Review – Out of Range (Days to Process)",
  TRUE,"OK"
)</f>
        <v>OK</v>
      </c>
    </row>
    <row r="1388" spans="1:9" ht="16.8" x14ac:dyDescent="0.3">
      <c r="A1388" s="11" t="s">
        <v>7895</v>
      </c>
      <c r="B1388" s="11" t="s">
        <v>5090</v>
      </c>
      <c r="C1388" s="12">
        <v>44810</v>
      </c>
      <c r="D1388" s="11">
        <v>71058.73</v>
      </c>
      <c r="E1388" s="11" t="s">
        <v>6502</v>
      </c>
      <c r="F1388" s="11" t="s">
        <v>6509</v>
      </c>
      <c r="G1388" s="11" t="s">
        <v>46</v>
      </c>
      <c r="H1388" s="11">
        <v>55</v>
      </c>
      <c r="I1388" s="13" t="str" cm="1">
        <f t="array" ref="I1388">_xlfn.IFS(
  OR(ISBLANK(A1388),ISBLANK(B1388),ISBLANK(D1388),ISBLANK(E1388),ISBLANK(H1388)),"Missing Value",
  D1388&lt;0,"Review – Out of Range (Claim Amount)",
  H1388&lt;0,"Review – Out of Range (Days to Process)",
  TRUE,"OK"
)</f>
        <v>OK</v>
      </c>
    </row>
    <row r="1389" spans="1:9" ht="16.8" x14ac:dyDescent="0.3">
      <c r="A1389" s="14" t="s">
        <v>7896</v>
      </c>
      <c r="B1389" s="14" t="s">
        <v>5050</v>
      </c>
      <c r="C1389" s="15">
        <v>45271</v>
      </c>
      <c r="D1389" s="14">
        <v>103092.28</v>
      </c>
      <c r="E1389" s="14" t="s">
        <v>6502</v>
      </c>
      <c r="F1389" s="14" t="s">
        <v>6506</v>
      </c>
      <c r="G1389" s="14" t="s">
        <v>45</v>
      </c>
      <c r="H1389" s="14">
        <v>30</v>
      </c>
      <c r="I1389" s="13" t="str" cm="1">
        <f t="array" ref="I1389">_xlfn.IFS(
  OR(ISBLANK(A1389),ISBLANK(B1389),ISBLANK(D1389),ISBLANK(E1389),ISBLANK(H1389)),"Missing Value",
  D1389&lt;0,"Review – Out of Range (Claim Amount)",
  H1389&lt;0,"Review – Out of Range (Days to Process)",
  TRUE,"OK"
)</f>
        <v>OK</v>
      </c>
    </row>
    <row r="1390" spans="1:9" ht="16.8" x14ac:dyDescent="0.3">
      <c r="A1390" s="11" t="s">
        <v>7897</v>
      </c>
      <c r="B1390" s="11" t="s">
        <v>6096</v>
      </c>
      <c r="C1390" s="12">
        <v>45156</v>
      </c>
      <c r="D1390" s="11">
        <v>37759.589999999997</v>
      </c>
      <c r="E1390" s="11" t="s">
        <v>6502</v>
      </c>
      <c r="F1390" s="11" t="s">
        <v>6516</v>
      </c>
      <c r="G1390" s="11" t="s">
        <v>45</v>
      </c>
      <c r="H1390" s="11">
        <v>22</v>
      </c>
      <c r="I1390" s="13" t="str" cm="1">
        <f t="array" ref="I1390">_xlfn.IFS(
  OR(ISBLANK(A1390),ISBLANK(B1390),ISBLANK(D1390),ISBLANK(E1390),ISBLANK(H1390)),"Missing Value",
  D1390&lt;0,"Review – Out of Range (Claim Amount)",
  H1390&lt;0,"Review – Out of Range (Days to Process)",
  TRUE,"OK"
)</f>
        <v>OK</v>
      </c>
    </row>
    <row r="1391" spans="1:9" ht="16.8" x14ac:dyDescent="0.3">
      <c r="A1391" s="14" t="s">
        <v>7898</v>
      </c>
      <c r="B1391" s="14" t="s">
        <v>6025</v>
      </c>
      <c r="C1391" s="15">
        <v>44415</v>
      </c>
      <c r="D1391" s="14">
        <v>217827.22</v>
      </c>
      <c r="E1391" s="14" t="s">
        <v>6502</v>
      </c>
      <c r="F1391" s="14" t="s">
        <v>6511</v>
      </c>
      <c r="G1391" s="14" t="s">
        <v>45</v>
      </c>
      <c r="H1391" s="14">
        <v>28</v>
      </c>
      <c r="I1391" s="13" t="str" cm="1">
        <f t="array" ref="I1391">_xlfn.IFS(
  OR(ISBLANK(A1391),ISBLANK(B1391),ISBLANK(D1391),ISBLANK(E1391),ISBLANK(H1391)),"Missing Value",
  D1391&lt;0,"Review – Out of Range (Claim Amount)",
  H1391&lt;0,"Review – Out of Range (Days to Process)",
  TRUE,"OK"
)</f>
        <v>OK</v>
      </c>
    </row>
    <row r="1392" spans="1:9" ht="16.8" x14ac:dyDescent="0.3">
      <c r="A1392" s="11" t="s">
        <v>7899</v>
      </c>
      <c r="B1392" s="11" t="s">
        <v>4073</v>
      </c>
      <c r="C1392" s="12">
        <v>44810</v>
      </c>
      <c r="D1392" s="11">
        <v>423430.23</v>
      </c>
      <c r="E1392" s="11" t="s">
        <v>6505</v>
      </c>
      <c r="F1392" s="11" t="s">
        <v>6516</v>
      </c>
      <c r="G1392" s="11" t="s">
        <v>45</v>
      </c>
      <c r="H1392" s="11">
        <v>3</v>
      </c>
      <c r="I1392" s="13" t="str" cm="1">
        <f t="array" ref="I1392">_xlfn.IFS(
  OR(ISBLANK(A1392),ISBLANK(B1392),ISBLANK(D1392),ISBLANK(E1392),ISBLANK(H1392)),"Missing Value",
  D1392&lt;0,"Review – Out of Range (Claim Amount)",
  H1392&lt;0,"Review – Out of Range (Days to Process)",
  TRUE,"OK"
)</f>
        <v>OK</v>
      </c>
    </row>
    <row r="1393" spans="1:9" ht="16.8" x14ac:dyDescent="0.3">
      <c r="A1393" s="14" t="s">
        <v>7900</v>
      </c>
      <c r="B1393" s="14" t="s">
        <v>4730</v>
      </c>
      <c r="C1393" s="15">
        <v>44715</v>
      </c>
      <c r="D1393" s="14">
        <v>265306.09999999998</v>
      </c>
      <c r="E1393" s="14" t="s">
        <v>6508</v>
      </c>
      <c r="F1393" s="14" t="s">
        <v>6509</v>
      </c>
      <c r="G1393" s="14" t="s">
        <v>46</v>
      </c>
      <c r="H1393" s="14">
        <v>10</v>
      </c>
      <c r="I1393" s="13" t="str" cm="1">
        <f t="array" ref="I1393">_xlfn.IFS(
  OR(ISBLANK(A1393),ISBLANK(B1393),ISBLANK(D1393),ISBLANK(E1393),ISBLANK(H1393)),"Missing Value",
  D1393&lt;0,"Review – Out of Range (Claim Amount)",
  H1393&lt;0,"Review – Out of Range (Days to Process)",
  TRUE,"OK"
)</f>
        <v>OK</v>
      </c>
    </row>
    <row r="1394" spans="1:9" ht="16.8" x14ac:dyDescent="0.3">
      <c r="A1394" s="11" t="s">
        <v>7901</v>
      </c>
      <c r="B1394" s="11" t="s">
        <v>6072</v>
      </c>
      <c r="C1394" s="12">
        <v>44528</v>
      </c>
      <c r="D1394" s="11">
        <v>409509.86</v>
      </c>
      <c r="E1394" s="11" t="s">
        <v>6508</v>
      </c>
      <c r="F1394" s="11" t="s">
        <v>6506</v>
      </c>
      <c r="G1394" s="11" t="s">
        <v>46</v>
      </c>
      <c r="H1394" s="11">
        <v>8</v>
      </c>
      <c r="I1394" s="13" t="str" cm="1">
        <f t="array" ref="I1394">_xlfn.IFS(
  OR(ISBLANK(A1394),ISBLANK(B1394),ISBLANK(D1394),ISBLANK(E1394),ISBLANK(H1394)),"Missing Value",
  D1394&lt;0,"Review – Out of Range (Claim Amount)",
  H1394&lt;0,"Review – Out of Range (Days to Process)",
  TRUE,"OK"
)</f>
        <v>OK</v>
      </c>
    </row>
    <row r="1395" spans="1:9" ht="16.8" x14ac:dyDescent="0.3">
      <c r="A1395" s="14" t="s">
        <v>7902</v>
      </c>
      <c r="B1395" s="14" t="s">
        <v>4225</v>
      </c>
      <c r="C1395" s="15">
        <v>44354</v>
      </c>
      <c r="D1395" s="14">
        <v>339086.82</v>
      </c>
      <c r="E1395" s="14" t="s">
        <v>6502</v>
      </c>
      <c r="F1395" s="14" t="s">
        <v>6506</v>
      </c>
      <c r="G1395" s="14" t="s">
        <v>46</v>
      </c>
      <c r="H1395" s="14">
        <v>6</v>
      </c>
      <c r="I1395" s="13" t="str" cm="1">
        <f t="array" ref="I1395">_xlfn.IFS(
  OR(ISBLANK(A1395),ISBLANK(B1395),ISBLANK(D1395),ISBLANK(E1395),ISBLANK(H1395)),"Missing Value",
  D1395&lt;0,"Review – Out of Range (Claim Amount)",
  H1395&lt;0,"Review – Out of Range (Days to Process)",
  TRUE,"OK"
)</f>
        <v>OK</v>
      </c>
    </row>
    <row r="1396" spans="1:9" ht="16.8" x14ac:dyDescent="0.3">
      <c r="A1396" s="11" t="s">
        <v>7903</v>
      </c>
      <c r="B1396" s="11" t="s">
        <v>4260</v>
      </c>
      <c r="C1396" s="12">
        <v>45258</v>
      </c>
      <c r="D1396" s="11">
        <v>182027.58</v>
      </c>
      <c r="E1396" s="11" t="s">
        <v>6505</v>
      </c>
      <c r="F1396" s="11" t="s">
        <v>6511</v>
      </c>
      <c r="G1396" s="11" t="s">
        <v>46</v>
      </c>
      <c r="H1396" s="11">
        <v>38</v>
      </c>
      <c r="I1396" s="13" t="str" cm="1">
        <f t="array" ref="I1396">_xlfn.IFS(
  OR(ISBLANK(A1396),ISBLANK(B1396),ISBLANK(D1396),ISBLANK(E1396),ISBLANK(H1396)),"Missing Value",
  D1396&lt;0,"Review – Out of Range (Claim Amount)",
  H1396&lt;0,"Review – Out of Range (Days to Process)",
  TRUE,"OK"
)</f>
        <v>OK</v>
      </c>
    </row>
    <row r="1397" spans="1:9" ht="16.8" x14ac:dyDescent="0.3">
      <c r="A1397" s="14" t="s">
        <v>7904</v>
      </c>
      <c r="B1397" s="14" t="s">
        <v>3420</v>
      </c>
      <c r="C1397" s="15">
        <v>45480</v>
      </c>
      <c r="D1397" s="14">
        <v>440888.59</v>
      </c>
      <c r="E1397" s="14" t="s">
        <v>6502</v>
      </c>
      <c r="F1397" s="14" t="s">
        <v>6511</v>
      </c>
      <c r="G1397" s="14" t="s">
        <v>46</v>
      </c>
      <c r="H1397" s="14">
        <v>33</v>
      </c>
      <c r="I1397" s="13" t="str" cm="1">
        <f t="array" ref="I1397">_xlfn.IFS(
  OR(ISBLANK(A1397),ISBLANK(B1397),ISBLANK(D1397),ISBLANK(E1397),ISBLANK(H1397)),"Missing Value",
  D1397&lt;0,"Review – Out of Range (Claim Amount)",
  H1397&lt;0,"Review – Out of Range (Days to Process)",
  TRUE,"OK"
)</f>
        <v>OK</v>
      </c>
    </row>
    <row r="1398" spans="1:9" ht="16.8" x14ac:dyDescent="0.3">
      <c r="A1398" s="11" t="s">
        <v>7905</v>
      </c>
      <c r="B1398" s="11" t="s">
        <v>3489</v>
      </c>
      <c r="C1398" s="12">
        <v>45621</v>
      </c>
      <c r="D1398" s="11">
        <v>448047.75</v>
      </c>
      <c r="E1398" s="11" t="s">
        <v>6502</v>
      </c>
      <c r="F1398" s="11" t="s">
        <v>6511</v>
      </c>
      <c r="G1398" s="11" t="s">
        <v>45</v>
      </c>
      <c r="H1398" s="11">
        <v>30</v>
      </c>
      <c r="I1398" s="13" t="str" cm="1">
        <f t="array" ref="I1398">_xlfn.IFS(
  OR(ISBLANK(A1398),ISBLANK(B1398),ISBLANK(D1398),ISBLANK(E1398),ISBLANK(H1398)),"Missing Value",
  D1398&lt;0,"Review – Out of Range (Claim Amount)",
  H1398&lt;0,"Review – Out of Range (Days to Process)",
  TRUE,"OK"
)</f>
        <v>OK</v>
      </c>
    </row>
    <row r="1399" spans="1:9" ht="16.8" x14ac:dyDescent="0.3">
      <c r="A1399" s="14" t="s">
        <v>7906</v>
      </c>
      <c r="B1399" s="14" t="s">
        <v>6477</v>
      </c>
      <c r="C1399" s="15">
        <v>45366</v>
      </c>
      <c r="D1399" s="14">
        <v>229672.11</v>
      </c>
      <c r="E1399" s="14" t="s">
        <v>6505</v>
      </c>
      <c r="F1399" s="14" t="s">
        <v>6509</v>
      </c>
      <c r="G1399" s="14" t="s">
        <v>45</v>
      </c>
      <c r="H1399" s="14">
        <v>29</v>
      </c>
      <c r="I1399" s="13" t="str" cm="1">
        <f t="array" ref="I1399">_xlfn.IFS(
  OR(ISBLANK(A1399),ISBLANK(B1399),ISBLANK(D1399),ISBLANK(E1399),ISBLANK(H1399)),"Missing Value",
  D1399&lt;0,"Review – Out of Range (Claim Amount)",
  H1399&lt;0,"Review – Out of Range (Days to Process)",
  TRUE,"OK"
)</f>
        <v>OK</v>
      </c>
    </row>
    <row r="1400" spans="1:9" ht="16.8" x14ac:dyDescent="0.3">
      <c r="A1400" s="11" t="s">
        <v>7907</v>
      </c>
      <c r="B1400" s="11" t="s">
        <v>6191</v>
      </c>
      <c r="C1400" s="12">
        <v>45383</v>
      </c>
      <c r="D1400" s="11">
        <v>381721.67</v>
      </c>
      <c r="E1400" s="11" t="s">
        <v>6502</v>
      </c>
      <c r="F1400" s="11" t="s">
        <v>6516</v>
      </c>
      <c r="G1400" s="11" t="s">
        <v>46</v>
      </c>
      <c r="H1400" s="11">
        <v>4</v>
      </c>
      <c r="I1400" s="13" t="str" cm="1">
        <f t="array" ref="I1400">_xlfn.IFS(
  OR(ISBLANK(A1400),ISBLANK(B1400),ISBLANK(D1400),ISBLANK(E1400),ISBLANK(H1400)),"Missing Value",
  D1400&lt;0,"Review – Out of Range (Claim Amount)",
  H1400&lt;0,"Review – Out of Range (Days to Process)",
  TRUE,"OK"
)</f>
        <v>OK</v>
      </c>
    </row>
    <row r="1401" spans="1:9" ht="16.8" x14ac:dyDescent="0.3">
      <c r="A1401" s="14" t="s">
        <v>7908</v>
      </c>
      <c r="B1401" s="14" t="s">
        <v>3681</v>
      </c>
      <c r="C1401" s="15">
        <v>45191</v>
      </c>
      <c r="D1401" s="14">
        <v>423005.08</v>
      </c>
      <c r="E1401" s="14" t="s">
        <v>6508</v>
      </c>
      <c r="F1401" s="14" t="s">
        <v>6516</v>
      </c>
      <c r="G1401" s="14" t="s">
        <v>46</v>
      </c>
      <c r="H1401" s="14">
        <v>17</v>
      </c>
      <c r="I1401" s="13" t="str" cm="1">
        <f t="array" ref="I1401">_xlfn.IFS(
  OR(ISBLANK(A1401),ISBLANK(B1401),ISBLANK(D1401),ISBLANK(E1401),ISBLANK(H1401)),"Missing Value",
  D1401&lt;0,"Review – Out of Range (Claim Amount)",
  H1401&lt;0,"Review – Out of Range (Days to Process)",
  TRUE,"OK"
)</f>
        <v>OK</v>
      </c>
    </row>
    <row r="1402" spans="1:9" ht="16.8" x14ac:dyDescent="0.3">
      <c r="A1402" s="11" t="s">
        <v>7909</v>
      </c>
      <c r="B1402" s="11" t="s">
        <v>5325</v>
      </c>
      <c r="C1402" s="12">
        <v>45248</v>
      </c>
      <c r="D1402" s="11">
        <v>125443.45</v>
      </c>
      <c r="E1402" s="11" t="s">
        <v>6505</v>
      </c>
      <c r="F1402" s="11" t="s">
        <v>6503</v>
      </c>
      <c r="G1402" s="11" t="s">
        <v>45</v>
      </c>
      <c r="H1402" s="11">
        <v>34</v>
      </c>
      <c r="I1402" s="13" t="str" cm="1">
        <f t="array" ref="I1402">_xlfn.IFS(
  OR(ISBLANK(A1402),ISBLANK(B1402),ISBLANK(D1402),ISBLANK(E1402),ISBLANK(H1402)),"Missing Value",
  D1402&lt;0,"Review – Out of Range (Claim Amount)",
  H1402&lt;0,"Review – Out of Range (Days to Process)",
  TRUE,"OK"
)</f>
        <v>OK</v>
      </c>
    </row>
    <row r="1403" spans="1:9" ht="16.8" x14ac:dyDescent="0.3">
      <c r="A1403" s="14" t="s">
        <v>7910</v>
      </c>
      <c r="B1403" s="14" t="s">
        <v>3667</v>
      </c>
      <c r="C1403" s="15">
        <v>45557</v>
      </c>
      <c r="D1403" s="14">
        <v>399400.01</v>
      </c>
      <c r="E1403" s="14" t="s">
        <v>6508</v>
      </c>
      <c r="F1403" s="14" t="s">
        <v>6516</v>
      </c>
      <c r="G1403" s="14" t="s">
        <v>45</v>
      </c>
      <c r="H1403" s="14">
        <v>50</v>
      </c>
      <c r="I1403" s="13" t="str" cm="1">
        <f t="array" ref="I1403">_xlfn.IFS(
  OR(ISBLANK(A1403),ISBLANK(B1403),ISBLANK(D1403),ISBLANK(E1403),ISBLANK(H1403)),"Missing Value",
  D1403&lt;0,"Review – Out of Range (Claim Amount)",
  H1403&lt;0,"Review – Out of Range (Days to Process)",
  TRUE,"OK"
)</f>
        <v>OK</v>
      </c>
    </row>
    <row r="1404" spans="1:9" ht="16.8" x14ac:dyDescent="0.3">
      <c r="A1404" s="11" t="s">
        <v>7911</v>
      </c>
      <c r="B1404" s="11" t="s">
        <v>4733</v>
      </c>
      <c r="C1404" s="12">
        <v>45320</v>
      </c>
      <c r="D1404" s="11">
        <v>109732.19</v>
      </c>
      <c r="E1404" s="11" t="s">
        <v>6508</v>
      </c>
      <c r="F1404" s="11" t="s">
        <v>6506</v>
      </c>
      <c r="G1404" s="11" t="s">
        <v>46</v>
      </c>
      <c r="H1404" s="11">
        <v>41</v>
      </c>
      <c r="I1404" s="13" t="str" cm="1">
        <f t="array" ref="I1404">_xlfn.IFS(
  OR(ISBLANK(A1404),ISBLANK(B1404),ISBLANK(D1404),ISBLANK(E1404),ISBLANK(H1404)),"Missing Value",
  D1404&lt;0,"Review – Out of Range (Claim Amount)",
  H1404&lt;0,"Review – Out of Range (Days to Process)",
  TRUE,"OK"
)</f>
        <v>OK</v>
      </c>
    </row>
    <row r="1405" spans="1:9" ht="16.8" x14ac:dyDescent="0.3">
      <c r="A1405" s="14" t="s">
        <v>7912</v>
      </c>
      <c r="B1405" s="14" t="s">
        <v>4909</v>
      </c>
      <c r="C1405" s="15">
        <v>45335</v>
      </c>
      <c r="D1405" s="14">
        <v>438345.46</v>
      </c>
      <c r="E1405" s="14" t="s">
        <v>6505</v>
      </c>
      <c r="F1405" s="14" t="s">
        <v>6511</v>
      </c>
      <c r="G1405" s="14" t="s">
        <v>45</v>
      </c>
      <c r="H1405" s="14">
        <v>46</v>
      </c>
      <c r="I1405" s="13" t="str" cm="1">
        <f t="array" ref="I1405">_xlfn.IFS(
  OR(ISBLANK(A1405),ISBLANK(B1405),ISBLANK(D1405),ISBLANK(E1405),ISBLANK(H1405)),"Missing Value",
  D1405&lt;0,"Review – Out of Range (Claim Amount)",
  H1405&lt;0,"Review – Out of Range (Days to Process)",
  TRUE,"OK"
)</f>
        <v>OK</v>
      </c>
    </row>
    <row r="1406" spans="1:9" ht="16.8" x14ac:dyDescent="0.3">
      <c r="A1406" s="11" t="s">
        <v>7913</v>
      </c>
      <c r="B1406" s="11" t="s">
        <v>5767</v>
      </c>
      <c r="C1406" s="12">
        <v>44650</v>
      </c>
      <c r="D1406" s="11">
        <v>373093.5</v>
      </c>
      <c r="E1406" s="11" t="s">
        <v>6508</v>
      </c>
      <c r="F1406" s="11" t="s">
        <v>6516</v>
      </c>
      <c r="G1406" s="11" t="s">
        <v>45</v>
      </c>
      <c r="H1406" s="11">
        <v>23</v>
      </c>
      <c r="I1406" s="13" t="str" cm="1">
        <f t="array" ref="I1406">_xlfn.IFS(
  OR(ISBLANK(A1406),ISBLANK(B1406),ISBLANK(D1406),ISBLANK(E1406),ISBLANK(H1406)),"Missing Value",
  D1406&lt;0,"Review – Out of Range (Claim Amount)",
  H1406&lt;0,"Review – Out of Range (Days to Process)",
  TRUE,"OK"
)</f>
        <v>OK</v>
      </c>
    </row>
    <row r="1407" spans="1:9" ht="16.8" x14ac:dyDescent="0.3">
      <c r="A1407" s="14" t="s">
        <v>7914</v>
      </c>
      <c r="B1407" s="14" t="s">
        <v>6205</v>
      </c>
      <c r="C1407" s="15">
        <v>45265</v>
      </c>
      <c r="D1407" s="14">
        <v>124149.71</v>
      </c>
      <c r="E1407" s="14" t="s">
        <v>6508</v>
      </c>
      <c r="F1407" s="14" t="s">
        <v>6511</v>
      </c>
      <c r="G1407" s="14" t="s">
        <v>46</v>
      </c>
      <c r="H1407" s="14">
        <v>5</v>
      </c>
      <c r="I1407" s="13" t="str" cm="1">
        <f t="array" ref="I1407">_xlfn.IFS(
  OR(ISBLANK(A1407),ISBLANK(B1407),ISBLANK(D1407),ISBLANK(E1407),ISBLANK(H1407)),"Missing Value",
  D1407&lt;0,"Review – Out of Range (Claim Amount)",
  H1407&lt;0,"Review – Out of Range (Days to Process)",
  TRUE,"OK"
)</f>
        <v>OK</v>
      </c>
    </row>
  </sheetData>
  <autoFilter ref="A1:I1407" xr:uid="{00000000-0009-0000-0000-000004000000}"/>
  <conditionalFormatting sqref="A2:B1407">
    <cfRule type="cellIs" dxfId="23" priority="8" operator="equal">
      <formula>""</formula>
    </cfRule>
  </conditionalFormatting>
  <conditionalFormatting sqref="D2:D1407">
    <cfRule type="expression" dxfId="22" priority="9">
      <formula>D2&lt;0</formula>
    </cfRule>
  </conditionalFormatting>
  <conditionalFormatting sqref="H2:H1407">
    <cfRule type="expression" dxfId="21" priority="10">
      <formula>H2&lt;0</formula>
    </cfRule>
  </conditionalFormatting>
  <conditionalFormatting sqref="I2:I1407">
    <cfRule type="expression" dxfId="20" priority="4">
      <formula>I2="OK"</formula>
    </cfRule>
    <cfRule type="expression" dxfId="19" priority="5">
      <formula>ISNUMBER(SEARCH("Review", I2))</formula>
    </cfRule>
    <cfRule type="expression" dxfId="18" priority="6">
      <formula>ISNUMBER(SEARCH("Missing", I2))</formula>
    </cfRule>
    <cfRule type="expression" dxfId="17" priority="7">
      <formula>ISNUMBER(SEARCH("Retained", I2))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A1:H301"/>
  <sheetViews>
    <sheetView showGridLines="0" workbookViewId="0">
      <pane ySplit="1" topLeftCell="A2" activePane="bottomLeft" state="frozen"/>
      <selection pane="bottomLeft" activeCell="H2" sqref="H2:H301"/>
    </sheetView>
  </sheetViews>
  <sheetFormatPr defaultRowHeight="14.4" x14ac:dyDescent="0.3"/>
  <cols>
    <col min="1" max="1" width="11" bestFit="1" customWidth="1"/>
    <col min="2" max="2" width="13" bestFit="1" customWidth="1"/>
    <col min="3" max="4" width="22" bestFit="1" customWidth="1"/>
    <col min="5" max="5" width="18" bestFit="1" customWidth="1"/>
    <col min="6" max="6" width="19" bestFit="1" customWidth="1"/>
    <col min="7" max="7" width="20" bestFit="1" customWidth="1"/>
    <col min="8" max="8" width="22" customWidth="1"/>
  </cols>
  <sheetData>
    <row r="1" spans="1:8" ht="22.05" customHeight="1" x14ac:dyDescent="0.3">
      <c r="A1" s="10" t="s">
        <v>3356</v>
      </c>
      <c r="B1" s="10" t="s">
        <v>33</v>
      </c>
      <c r="C1" s="10" t="s">
        <v>7915</v>
      </c>
      <c r="D1" s="10" t="s">
        <v>7916</v>
      </c>
      <c r="E1" s="10" t="s">
        <v>7917</v>
      </c>
      <c r="F1" s="10" t="s">
        <v>7918</v>
      </c>
      <c r="G1" s="10" t="s">
        <v>7919</v>
      </c>
      <c r="H1" s="10" t="s">
        <v>38</v>
      </c>
    </row>
    <row r="2" spans="1:8" ht="16.8" x14ac:dyDescent="0.3">
      <c r="A2" s="11" t="s">
        <v>4231</v>
      </c>
      <c r="B2" s="11" t="s">
        <v>55</v>
      </c>
      <c r="C2" s="12">
        <v>42415</v>
      </c>
      <c r="D2" s="11">
        <v>196</v>
      </c>
      <c r="E2" s="11">
        <v>42</v>
      </c>
      <c r="F2" s="11">
        <v>37018.35</v>
      </c>
      <c r="G2" s="11">
        <v>8</v>
      </c>
      <c r="H2" s="13" t="str" cm="1">
        <f t="array" ref="H2">_xlfn.IFS(
  ISBLANK(A2),"Missing Value",
  D2&lt;0,"Review – Out of Range (Total Policies)",
  E2&lt;0,"Review – Out of Range (Lapsed Policies)",
  F2&lt;0,"Review – Out of Range (Avg Premium)",
  G2&lt;0,"Review – Out of Range (Fraud Assoc)",
  TRUE,"OK"
)</f>
        <v>OK</v>
      </c>
    </row>
    <row r="3" spans="1:8" ht="16.8" x14ac:dyDescent="0.3">
      <c r="A3" s="14" t="s">
        <v>3391</v>
      </c>
      <c r="B3" s="14" t="s">
        <v>55</v>
      </c>
      <c r="C3" s="15">
        <v>42618</v>
      </c>
      <c r="D3" s="14">
        <v>189</v>
      </c>
      <c r="E3" s="14">
        <v>28</v>
      </c>
      <c r="F3" s="14">
        <v>48370.36</v>
      </c>
      <c r="G3" s="14">
        <v>5</v>
      </c>
      <c r="H3" s="13" t="str" cm="1">
        <f t="array" ref="H3">_xlfn.IFS(
  ISBLANK(A3),"Missing Value",
  D3&lt;0,"Review – Out of Range (Total Policies)",
  E3&lt;0,"Review – Out of Range (Lapsed Policies)",
  F3&lt;0,"Review – Out of Range (Avg Premium)",
  G3&lt;0,"Review – Out of Range (Fraud Assoc)",
  TRUE,"OK"
)</f>
        <v>OK</v>
      </c>
    </row>
    <row r="4" spans="1:8" ht="16.8" x14ac:dyDescent="0.3">
      <c r="A4" s="11" t="s">
        <v>3573</v>
      </c>
      <c r="B4" s="11" t="s">
        <v>60</v>
      </c>
      <c r="C4" s="12">
        <v>42547</v>
      </c>
      <c r="D4" s="11">
        <v>66</v>
      </c>
      <c r="E4" s="11">
        <v>0</v>
      </c>
      <c r="F4" s="11">
        <v>10489.65</v>
      </c>
      <c r="G4" s="11">
        <v>3</v>
      </c>
      <c r="H4" s="13" t="str" cm="1">
        <f t="array" ref="H4">_xlfn.IFS(
  ISBLANK(A4),"Missing Value",
  D4&lt;0,"Review – Out of Range (Total Policies)",
  E4&lt;0,"Review – Out of Range (Lapsed Policies)",
  F4&lt;0,"Review – Out of Range (Avg Premium)",
  G4&lt;0,"Review – Out of Range (Fraud Assoc)",
  TRUE,"OK"
)</f>
        <v>OK</v>
      </c>
    </row>
    <row r="5" spans="1:8" ht="16.8" x14ac:dyDescent="0.3">
      <c r="A5" s="14" t="s">
        <v>4080</v>
      </c>
      <c r="B5" s="14" t="s">
        <v>94</v>
      </c>
      <c r="C5" s="15">
        <v>42483</v>
      </c>
      <c r="D5" s="14">
        <v>250</v>
      </c>
      <c r="E5" s="14">
        <v>3</v>
      </c>
      <c r="F5" s="14">
        <v>12415.84</v>
      </c>
      <c r="G5" s="14">
        <v>6</v>
      </c>
      <c r="H5" s="13" t="str" cm="1">
        <f t="array" ref="H5">_xlfn.IFS(
  ISBLANK(A5),"Missing Value",
  D5&lt;0,"Review – Out of Range (Total Policies)",
  E5&lt;0,"Review – Out of Range (Lapsed Policies)",
  F5&lt;0,"Review – Out of Range (Avg Premium)",
  G5&lt;0,"Review – Out of Range (Fraud Assoc)",
  TRUE,"OK"
)</f>
        <v>OK</v>
      </c>
    </row>
    <row r="6" spans="1:8" ht="16.8" x14ac:dyDescent="0.3">
      <c r="A6" s="11" t="s">
        <v>3413</v>
      </c>
      <c r="B6" s="11" t="s">
        <v>60</v>
      </c>
      <c r="C6" s="12">
        <v>44881</v>
      </c>
      <c r="D6" s="11">
        <v>263</v>
      </c>
      <c r="E6" s="11">
        <v>69</v>
      </c>
      <c r="F6" s="11">
        <v>24057.14</v>
      </c>
      <c r="G6" s="11">
        <v>4</v>
      </c>
      <c r="H6" s="13" t="str" cm="1">
        <f t="array" ref="H6">_xlfn.IFS(
  ISBLANK(A6),"Missing Value",
  D6&lt;0,"Review – Out of Range (Total Policies)",
  E6&lt;0,"Review – Out of Range (Lapsed Policies)",
  F6&lt;0,"Review – Out of Range (Avg Premium)",
  G6&lt;0,"Review – Out of Range (Fraud Assoc)",
  TRUE,"OK"
)</f>
        <v>OK</v>
      </c>
    </row>
    <row r="7" spans="1:8" ht="16.8" x14ac:dyDescent="0.3">
      <c r="A7" s="14" t="s">
        <v>3553</v>
      </c>
      <c r="B7" s="14" t="s">
        <v>44</v>
      </c>
      <c r="C7" s="15">
        <v>44297</v>
      </c>
      <c r="D7" s="14">
        <v>122</v>
      </c>
      <c r="E7" s="14">
        <v>30</v>
      </c>
      <c r="F7" s="14">
        <v>47203.01</v>
      </c>
      <c r="G7" s="14">
        <v>8</v>
      </c>
      <c r="H7" s="13" t="str" cm="1">
        <f t="array" ref="H7">_xlfn.IFS(
  ISBLANK(A7),"Missing Value",
  D7&lt;0,"Review – Out of Range (Total Policies)",
  E7&lt;0,"Review – Out of Range (Lapsed Policies)",
  F7&lt;0,"Review – Out of Range (Avg Premium)",
  G7&lt;0,"Review – Out of Range (Fraud Assoc)",
  TRUE,"OK"
)</f>
        <v>OK</v>
      </c>
    </row>
    <row r="8" spans="1:8" ht="16.8" x14ac:dyDescent="0.3">
      <c r="A8" s="11" t="s">
        <v>3886</v>
      </c>
      <c r="B8" s="11" t="s">
        <v>60</v>
      </c>
      <c r="C8" s="12">
        <v>44520</v>
      </c>
      <c r="D8" s="11">
        <v>121</v>
      </c>
      <c r="E8" s="11">
        <v>9</v>
      </c>
      <c r="F8" s="11">
        <v>34370.199999999997</v>
      </c>
      <c r="G8" s="11">
        <v>5</v>
      </c>
      <c r="H8" s="13" t="str" cm="1">
        <f t="array" ref="H8">_xlfn.IFS(
  ISBLANK(A8),"Missing Value",
  D8&lt;0,"Review – Out of Range (Total Policies)",
  E8&lt;0,"Review – Out of Range (Lapsed Policies)",
  F8&lt;0,"Review – Out of Range (Avg Premium)",
  G8&lt;0,"Review – Out of Range (Fraud Assoc)",
  TRUE,"OK"
)</f>
        <v>OK</v>
      </c>
    </row>
    <row r="9" spans="1:8" ht="16.8" x14ac:dyDescent="0.3">
      <c r="A9" s="14" t="s">
        <v>3636</v>
      </c>
      <c r="B9" s="14" t="s">
        <v>55</v>
      </c>
      <c r="C9" s="15">
        <v>43310</v>
      </c>
      <c r="D9" s="14">
        <v>281</v>
      </c>
      <c r="E9" s="14">
        <v>43</v>
      </c>
      <c r="F9" s="14">
        <v>22272.080000000002</v>
      </c>
      <c r="G9" s="14">
        <v>0</v>
      </c>
      <c r="H9" s="13" t="str" cm="1">
        <f t="array" ref="H9">_xlfn.IFS(
  ISBLANK(A9),"Missing Value",
  D9&lt;0,"Review – Out of Range (Total Policies)",
  E9&lt;0,"Review – Out of Range (Lapsed Policies)",
  F9&lt;0,"Review – Out of Range (Avg Premium)",
  G9&lt;0,"Review – Out of Range (Fraud Assoc)",
  TRUE,"OK"
)</f>
        <v>OK</v>
      </c>
    </row>
    <row r="10" spans="1:8" ht="16.8" x14ac:dyDescent="0.3">
      <c r="A10" s="11" t="s">
        <v>3364</v>
      </c>
      <c r="B10" s="11" t="s">
        <v>55</v>
      </c>
      <c r="C10" s="12">
        <v>42151</v>
      </c>
      <c r="D10" s="11">
        <v>95</v>
      </c>
      <c r="E10" s="11">
        <v>1</v>
      </c>
      <c r="F10" s="11">
        <v>41526.04</v>
      </c>
      <c r="G10" s="11">
        <v>8</v>
      </c>
      <c r="H10" s="13" t="str" cm="1">
        <f t="array" ref="H10">_xlfn.IFS(
  ISBLANK(A10),"Missing Value",
  D10&lt;0,"Review – Out of Range (Total Policies)",
  E10&lt;0,"Review – Out of Range (Lapsed Policies)",
  F10&lt;0,"Review – Out of Range (Avg Premium)",
  G10&lt;0,"Review – Out of Range (Fraud Assoc)",
  TRUE,"OK"
)</f>
        <v>OK</v>
      </c>
    </row>
    <row r="11" spans="1:8" ht="16.8" x14ac:dyDescent="0.3">
      <c r="A11" s="14" t="s">
        <v>4240</v>
      </c>
      <c r="B11" s="14" t="s">
        <v>55</v>
      </c>
      <c r="C11" s="15">
        <v>42318</v>
      </c>
      <c r="D11" s="14">
        <v>78</v>
      </c>
      <c r="E11" s="14">
        <v>18</v>
      </c>
      <c r="F11" s="14">
        <v>23533.56</v>
      </c>
      <c r="G11" s="14">
        <v>9</v>
      </c>
      <c r="H11" s="13" t="str" cm="1">
        <f t="array" ref="H11">_xlfn.IFS(
  ISBLANK(A11),"Missing Value",
  D11&lt;0,"Review – Out of Range (Total Policies)",
  E11&lt;0,"Review – Out of Range (Lapsed Policies)",
  F11&lt;0,"Review – Out of Range (Avg Premium)",
  G11&lt;0,"Review – Out of Range (Fraud Assoc)",
  TRUE,"OK"
)</f>
        <v>OK</v>
      </c>
    </row>
    <row r="12" spans="1:8" ht="16.8" x14ac:dyDescent="0.3">
      <c r="A12" s="11" t="s">
        <v>4328</v>
      </c>
      <c r="B12" s="11" t="s">
        <v>109</v>
      </c>
      <c r="C12" s="12">
        <v>42284</v>
      </c>
      <c r="D12" s="11">
        <v>198</v>
      </c>
      <c r="E12" s="11">
        <v>42</v>
      </c>
      <c r="F12" s="11">
        <v>42112.09</v>
      </c>
      <c r="G12" s="11">
        <v>3</v>
      </c>
      <c r="H12" s="13" t="str" cm="1">
        <f t="array" ref="H12">_xlfn.IFS(
  ISBLANK(A12),"Missing Value",
  D12&lt;0,"Review – Out of Range (Total Policies)",
  E12&lt;0,"Review – Out of Range (Lapsed Policies)",
  F12&lt;0,"Review – Out of Range (Avg Premium)",
  G12&lt;0,"Review – Out of Range (Fraud Assoc)",
  TRUE,"OK"
)</f>
        <v>OK</v>
      </c>
    </row>
    <row r="13" spans="1:8" ht="16.8" x14ac:dyDescent="0.3">
      <c r="A13" s="14" t="s">
        <v>3652</v>
      </c>
      <c r="B13" s="14" t="s">
        <v>94</v>
      </c>
      <c r="C13" s="15">
        <v>43556</v>
      </c>
      <c r="D13" s="14">
        <v>190</v>
      </c>
      <c r="E13" s="14">
        <v>38</v>
      </c>
      <c r="F13" s="14">
        <v>18546.41</v>
      </c>
      <c r="G13" s="14">
        <v>6</v>
      </c>
      <c r="H13" s="13" t="str" cm="1">
        <f t="array" ref="H13">_xlfn.IFS(
  ISBLANK(A13),"Missing Value",
  D13&lt;0,"Review – Out of Range (Total Policies)",
  E13&lt;0,"Review – Out of Range (Lapsed Policies)",
  F13&lt;0,"Review – Out of Range (Avg Premium)",
  G13&lt;0,"Review – Out of Range (Fraud Assoc)",
  TRUE,"OK"
)</f>
        <v>OK</v>
      </c>
    </row>
    <row r="14" spans="1:8" ht="16.8" x14ac:dyDescent="0.3">
      <c r="A14" s="11" t="s">
        <v>3532</v>
      </c>
      <c r="B14" s="11" t="s">
        <v>109</v>
      </c>
      <c r="C14" s="12">
        <v>42807</v>
      </c>
      <c r="D14" s="11">
        <v>133</v>
      </c>
      <c r="E14" s="11">
        <v>9</v>
      </c>
      <c r="F14" s="11">
        <v>49655.93</v>
      </c>
      <c r="G14" s="11">
        <v>3</v>
      </c>
      <c r="H14" s="13" t="str" cm="1">
        <f t="array" ref="H14">_xlfn.IFS(
  ISBLANK(A14),"Missing Value",
  D14&lt;0,"Review – Out of Range (Total Policies)",
  E14&lt;0,"Review – Out of Range (Lapsed Policies)",
  F14&lt;0,"Review – Out of Range (Avg Premium)",
  G14&lt;0,"Review – Out of Range (Fraud Assoc)",
  TRUE,"OK"
)</f>
        <v>OK</v>
      </c>
    </row>
    <row r="15" spans="1:8" ht="16.8" x14ac:dyDescent="0.3">
      <c r="A15" s="14" t="s">
        <v>4123</v>
      </c>
      <c r="B15" s="14" t="s">
        <v>52</v>
      </c>
      <c r="C15" s="15">
        <v>44413</v>
      </c>
      <c r="D15" s="14">
        <v>91</v>
      </c>
      <c r="E15" s="14">
        <v>3</v>
      </c>
      <c r="F15" s="14">
        <v>33781.519999999997</v>
      </c>
      <c r="G15" s="14">
        <v>4</v>
      </c>
      <c r="H15" s="13" t="str" cm="1">
        <f t="array" ref="H15">_xlfn.IFS(
  ISBLANK(A15),"Missing Value",
  D15&lt;0,"Review – Out of Range (Total Policies)",
  E15&lt;0,"Review – Out of Range (Lapsed Policies)",
  F15&lt;0,"Review – Out of Range (Avg Premium)",
  G15&lt;0,"Review – Out of Range (Fraud Assoc)",
  TRUE,"OK"
)</f>
        <v>OK</v>
      </c>
    </row>
    <row r="16" spans="1:8" ht="16.8" x14ac:dyDescent="0.3">
      <c r="A16" s="11" t="s">
        <v>4198</v>
      </c>
      <c r="B16" s="11" t="s">
        <v>55</v>
      </c>
      <c r="C16" s="12">
        <v>42026</v>
      </c>
      <c r="D16" s="11">
        <v>153</v>
      </c>
      <c r="E16" s="11">
        <v>15</v>
      </c>
      <c r="F16" s="11">
        <v>46025.27</v>
      </c>
      <c r="G16" s="11">
        <v>1</v>
      </c>
      <c r="H16" s="13" t="str" cm="1">
        <f t="array" ref="H16">_xlfn.IFS(
  ISBLANK(A16),"Missing Value",
  D16&lt;0,"Review – Out of Range (Total Policies)",
  E16&lt;0,"Review – Out of Range (Lapsed Policies)",
  F16&lt;0,"Review – Out of Range (Avg Premium)",
  G16&lt;0,"Review – Out of Range (Fraud Assoc)",
  TRUE,"OK"
)</f>
        <v>OK</v>
      </c>
    </row>
    <row r="17" spans="1:8" ht="16.8" x14ac:dyDescent="0.3">
      <c r="A17" s="14" t="s">
        <v>3992</v>
      </c>
      <c r="B17" s="14" t="s">
        <v>44</v>
      </c>
      <c r="C17" s="15">
        <v>43902</v>
      </c>
      <c r="D17" s="14">
        <v>134</v>
      </c>
      <c r="E17" s="14">
        <v>30</v>
      </c>
      <c r="F17" s="14">
        <v>5500.34</v>
      </c>
      <c r="G17" s="14">
        <v>8</v>
      </c>
      <c r="H17" s="13" t="str" cm="1">
        <f t="array" ref="H17">_xlfn.IFS(
  ISBLANK(A17),"Missing Value",
  D17&lt;0,"Review – Out of Range (Total Policies)",
  E17&lt;0,"Review – Out of Range (Lapsed Policies)",
  F17&lt;0,"Review – Out of Range (Avg Premium)",
  G17&lt;0,"Review – Out of Range (Fraud Assoc)",
  TRUE,"OK"
)</f>
        <v>OK</v>
      </c>
    </row>
    <row r="18" spans="1:8" ht="16.8" x14ac:dyDescent="0.3">
      <c r="A18" s="11" t="s">
        <v>3440</v>
      </c>
      <c r="B18" s="11" t="s">
        <v>44</v>
      </c>
      <c r="C18" s="12">
        <v>44528</v>
      </c>
      <c r="D18" s="11">
        <v>292</v>
      </c>
      <c r="E18" s="11">
        <v>39</v>
      </c>
      <c r="F18" s="11">
        <v>33845.519999999997</v>
      </c>
      <c r="G18" s="11">
        <v>6</v>
      </c>
      <c r="H18" s="13" t="str" cm="1">
        <f t="array" ref="H18">_xlfn.IFS(
  ISBLANK(A18),"Missing Value",
  D18&lt;0,"Review – Out of Range (Total Policies)",
  E18&lt;0,"Review – Out of Range (Lapsed Policies)",
  F18&lt;0,"Review – Out of Range (Avg Premium)",
  G18&lt;0,"Review – Out of Range (Fraud Assoc)",
  TRUE,"OK"
)</f>
        <v>OK</v>
      </c>
    </row>
    <row r="19" spans="1:8" ht="16.8" x14ac:dyDescent="0.3">
      <c r="A19" s="14" t="s">
        <v>3593</v>
      </c>
      <c r="B19" s="14" t="s">
        <v>109</v>
      </c>
      <c r="C19" s="15">
        <v>43958</v>
      </c>
      <c r="D19" s="14">
        <v>186</v>
      </c>
      <c r="E19" s="14">
        <v>20</v>
      </c>
      <c r="F19" s="14">
        <v>28027.759999999998</v>
      </c>
      <c r="G19" s="14">
        <v>2</v>
      </c>
      <c r="H19" s="13" t="str" cm="1">
        <f t="array" ref="H19">_xlfn.IFS(
  ISBLANK(A19),"Missing Value",
  D19&lt;0,"Review – Out of Range (Total Policies)",
  E19&lt;0,"Review – Out of Range (Lapsed Policies)",
  F19&lt;0,"Review – Out of Range (Avg Premium)",
  G19&lt;0,"Review – Out of Range (Fraud Assoc)",
  TRUE,"OK"
)</f>
        <v>OK</v>
      </c>
    </row>
    <row r="20" spans="1:8" ht="16.8" x14ac:dyDescent="0.3">
      <c r="A20" s="11" t="s">
        <v>4374</v>
      </c>
      <c r="B20" s="11" t="s">
        <v>55</v>
      </c>
      <c r="C20" s="12">
        <v>42167</v>
      </c>
      <c r="D20" s="11">
        <v>139</v>
      </c>
      <c r="E20" s="11">
        <v>13</v>
      </c>
      <c r="F20" s="11">
        <v>27457.439999999999</v>
      </c>
      <c r="G20" s="11">
        <v>5</v>
      </c>
      <c r="H20" s="13" t="str" cm="1">
        <f t="array" ref="H20">_xlfn.IFS(
  ISBLANK(A20),"Missing Value",
  D20&lt;0,"Review – Out of Range (Total Policies)",
  E20&lt;0,"Review – Out of Range (Lapsed Policies)",
  F20&lt;0,"Review – Out of Range (Avg Premium)",
  G20&lt;0,"Review – Out of Range (Fraud Assoc)",
  TRUE,"OK"
)</f>
        <v>OK</v>
      </c>
    </row>
    <row r="21" spans="1:8" ht="16.8" x14ac:dyDescent="0.3">
      <c r="A21" s="14" t="s">
        <v>3526</v>
      </c>
      <c r="B21" s="14" t="s">
        <v>55</v>
      </c>
      <c r="C21" s="15">
        <v>43158</v>
      </c>
      <c r="D21" s="14">
        <v>260</v>
      </c>
      <c r="E21" s="14">
        <v>4</v>
      </c>
      <c r="F21" s="14">
        <v>42252.38</v>
      </c>
      <c r="G21" s="14">
        <v>7</v>
      </c>
      <c r="H21" s="13" t="str" cm="1">
        <f t="array" ref="H21">_xlfn.IFS(
  ISBLANK(A21),"Missing Value",
  D21&lt;0,"Review – Out of Range (Total Policies)",
  E21&lt;0,"Review – Out of Range (Lapsed Policies)",
  F21&lt;0,"Review – Out of Range (Avg Premium)",
  G21&lt;0,"Review – Out of Range (Fraud Assoc)",
  TRUE,"OK"
)</f>
        <v>OK</v>
      </c>
    </row>
    <row r="22" spans="1:8" ht="16.8" x14ac:dyDescent="0.3">
      <c r="A22" s="11" t="s">
        <v>3530</v>
      </c>
      <c r="B22" s="11" t="s">
        <v>109</v>
      </c>
      <c r="C22" s="12">
        <v>43253</v>
      </c>
      <c r="D22" s="11">
        <v>292</v>
      </c>
      <c r="E22" s="11">
        <v>19</v>
      </c>
      <c r="F22" s="11">
        <v>44069.11</v>
      </c>
      <c r="G22" s="11">
        <v>2</v>
      </c>
      <c r="H22" s="13" t="str" cm="1">
        <f t="array" ref="H22">_xlfn.IFS(
  ISBLANK(A22),"Missing Value",
  D22&lt;0,"Review – Out of Range (Total Policies)",
  E22&lt;0,"Review – Out of Range (Lapsed Policies)",
  F22&lt;0,"Review – Out of Range (Avg Premium)",
  G22&lt;0,"Review – Out of Range (Fraud Assoc)",
  TRUE,"OK"
)</f>
        <v>OK</v>
      </c>
    </row>
    <row r="23" spans="1:8" ht="16.8" x14ac:dyDescent="0.3">
      <c r="A23" s="14" t="s">
        <v>3923</v>
      </c>
      <c r="B23" s="14" t="s">
        <v>55</v>
      </c>
      <c r="C23" s="15">
        <v>42339</v>
      </c>
      <c r="D23" s="14">
        <v>107</v>
      </c>
      <c r="E23" s="14">
        <v>26</v>
      </c>
      <c r="F23" s="14">
        <v>19963.41</v>
      </c>
      <c r="G23" s="14">
        <v>8</v>
      </c>
      <c r="H23" s="13" t="str" cm="1">
        <f t="array" ref="H23">_xlfn.IFS(
  ISBLANK(A23),"Missing Value",
  D23&lt;0,"Review – Out of Range (Total Policies)",
  E23&lt;0,"Review – Out of Range (Lapsed Policies)",
  F23&lt;0,"Review – Out of Range (Avg Premium)",
  G23&lt;0,"Review – Out of Range (Fraud Assoc)",
  TRUE,"OK"
)</f>
        <v>OK</v>
      </c>
    </row>
    <row r="24" spans="1:8" ht="16.8" x14ac:dyDescent="0.3">
      <c r="A24" s="11" t="s">
        <v>3675</v>
      </c>
      <c r="B24" s="11" t="s">
        <v>44</v>
      </c>
      <c r="C24" s="12">
        <v>42944</v>
      </c>
      <c r="D24" s="11">
        <v>212</v>
      </c>
      <c r="E24" s="11">
        <v>43</v>
      </c>
      <c r="F24" s="11">
        <v>14539.41</v>
      </c>
      <c r="G24" s="11">
        <v>1</v>
      </c>
      <c r="H24" s="13" t="str" cm="1">
        <f t="array" ref="H24">_xlfn.IFS(
  ISBLANK(A24),"Missing Value",
  D24&lt;0,"Review – Out of Range (Total Policies)",
  E24&lt;0,"Review – Out of Range (Lapsed Policies)",
  F24&lt;0,"Review – Out of Range (Avg Premium)",
  G24&lt;0,"Review – Out of Range (Fraud Assoc)",
  TRUE,"OK"
)</f>
        <v>OK</v>
      </c>
    </row>
    <row r="25" spans="1:8" ht="16.8" x14ac:dyDescent="0.3">
      <c r="A25" s="14" t="s">
        <v>3861</v>
      </c>
      <c r="B25" s="14" t="s">
        <v>60</v>
      </c>
      <c r="C25" s="15">
        <v>44293</v>
      </c>
      <c r="D25" s="14">
        <v>204</v>
      </c>
      <c r="E25" s="14">
        <v>5</v>
      </c>
      <c r="F25" s="14">
        <v>41549.599999999999</v>
      </c>
      <c r="G25" s="14">
        <v>5</v>
      </c>
      <c r="H25" s="13" t="str" cm="1">
        <f t="array" ref="H25">_xlfn.IFS(
  ISBLANK(A25),"Missing Value",
  D25&lt;0,"Review – Out of Range (Total Policies)",
  E25&lt;0,"Review – Out of Range (Lapsed Policies)",
  F25&lt;0,"Review – Out of Range (Avg Premium)",
  G25&lt;0,"Review – Out of Range (Fraud Assoc)",
  TRUE,"OK"
)</f>
        <v>OK</v>
      </c>
    </row>
    <row r="26" spans="1:8" ht="16.8" x14ac:dyDescent="0.3">
      <c r="A26" s="11" t="s">
        <v>3581</v>
      </c>
      <c r="B26" s="11" t="s">
        <v>60</v>
      </c>
      <c r="C26" s="12">
        <v>42626</v>
      </c>
      <c r="D26" s="11">
        <v>267</v>
      </c>
      <c r="E26" s="11">
        <v>16</v>
      </c>
      <c r="F26" s="11">
        <v>46581.91</v>
      </c>
      <c r="G26" s="11">
        <v>6</v>
      </c>
      <c r="H26" s="13" t="str" cm="1">
        <f t="array" ref="H26">_xlfn.IFS(
  ISBLANK(A26),"Missing Value",
  D26&lt;0,"Review – Out of Range (Total Policies)",
  E26&lt;0,"Review – Out of Range (Lapsed Policies)",
  F26&lt;0,"Review – Out of Range (Avg Premium)",
  G26&lt;0,"Review – Out of Range (Fraud Assoc)",
  TRUE,"OK"
)</f>
        <v>OK</v>
      </c>
    </row>
    <row r="27" spans="1:8" ht="16.8" x14ac:dyDescent="0.3">
      <c r="A27" s="14" t="s">
        <v>3718</v>
      </c>
      <c r="B27" s="14" t="s">
        <v>52</v>
      </c>
      <c r="C27" s="15">
        <v>42464</v>
      </c>
      <c r="D27" s="14">
        <v>74</v>
      </c>
      <c r="E27" s="14">
        <v>6</v>
      </c>
      <c r="F27" s="14">
        <v>35478.699999999997</v>
      </c>
      <c r="G27" s="14">
        <v>1</v>
      </c>
      <c r="H27" s="13" t="str" cm="1">
        <f t="array" ref="H27">_xlfn.IFS(
  ISBLANK(A27),"Missing Value",
  D27&lt;0,"Review – Out of Range (Total Policies)",
  E27&lt;0,"Review – Out of Range (Lapsed Policies)",
  F27&lt;0,"Review – Out of Range (Avg Premium)",
  G27&lt;0,"Review – Out of Range (Fraud Assoc)",
  TRUE,"OK"
)</f>
        <v>OK</v>
      </c>
    </row>
    <row r="28" spans="1:8" ht="16.8" x14ac:dyDescent="0.3">
      <c r="A28" s="11" t="s">
        <v>3707</v>
      </c>
      <c r="B28" s="11" t="s">
        <v>109</v>
      </c>
      <c r="C28" s="12">
        <v>43566</v>
      </c>
      <c r="D28" s="11">
        <v>81</v>
      </c>
      <c r="E28" s="11">
        <v>23</v>
      </c>
      <c r="F28" s="11">
        <v>48773.43</v>
      </c>
      <c r="G28" s="11">
        <v>8</v>
      </c>
      <c r="H28" s="13" t="str" cm="1">
        <f t="array" ref="H28">_xlfn.IFS(
  ISBLANK(A28),"Missing Value",
  D28&lt;0,"Review – Out of Range (Total Policies)",
  E28&lt;0,"Review – Out of Range (Lapsed Policies)",
  F28&lt;0,"Review – Out of Range (Avg Premium)",
  G28&lt;0,"Review – Out of Range (Fraud Assoc)",
  TRUE,"OK"
)</f>
        <v>OK</v>
      </c>
    </row>
    <row r="29" spans="1:8" ht="16.8" x14ac:dyDescent="0.3">
      <c r="A29" s="14" t="s">
        <v>3403</v>
      </c>
      <c r="B29" s="14" t="s">
        <v>52</v>
      </c>
      <c r="C29" s="15">
        <v>42558</v>
      </c>
      <c r="D29" s="14">
        <v>122</v>
      </c>
      <c r="E29" s="14">
        <v>35</v>
      </c>
      <c r="F29" s="14">
        <v>22153.87</v>
      </c>
      <c r="G29" s="14">
        <v>1</v>
      </c>
      <c r="H29" s="13" t="str" cm="1">
        <f t="array" ref="H29">_xlfn.IFS(
  ISBLANK(A29),"Missing Value",
  D29&lt;0,"Review – Out of Range (Total Policies)",
  E29&lt;0,"Review – Out of Range (Lapsed Policies)",
  F29&lt;0,"Review – Out of Range (Avg Premium)",
  G29&lt;0,"Review – Out of Range (Fraud Assoc)",
  TRUE,"OK"
)</f>
        <v>OK</v>
      </c>
    </row>
    <row r="30" spans="1:8" ht="16.8" x14ac:dyDescent="0.3">
      <c r="A30" s="11" t="s">
        <v>3378</v>
      </c>
      <c r="B30" s="11" t="s">
        <v>109</v>
      </c>
      <c r="C30" s="12">
        <v>43354</v>
      </c>
      <c r="D30" s="11">
        <v>222</v>
      </c>
      <c r="E30" s="11">
        <v>10</v>
      </c>
      <c r="F30" s="11">
        <v>17636.53</v>
      </c>
      <c r="G30" s="11">
        <v>9</v>
      </c>
      <c r="H30" s="13" t="str" cm="1">
        <f t="array" ref="H30">_xlfn.IFS(
  ISBLANK(A30),"Missing Value",
  D30&lt;0,"Review – Out of Range (Total Policies)",
  E30&lt;0,"Review – Out of Range (Lapsed Policies)",
  F30&lt;0,"Review – Out of Range (Avg Premium)",
  G30&lt;0,"Review – Out of Range (Fraud Assoc)",
  TRUE,"OK"
)</f>
        <v>OK</v>
      </c>
    </row>
    <row r="31" spans="1:8" ht="16.8" x14ac:dyDescent="0.3">
      <c r="A31" s="14" t="s">
        <v>4295</v>
      </c>
      <c r="B31" s="14" t="s">
        <v>109</v>
      </c>
      <c r="C31" s="15">
        <v>44590</v>
      </c>
      <c r="D31" s="14">
        <v>250</v>
      </c>
      <c r="E31" s="14">
        <v>45</v>
      </c>
      <c r="F31" s="14">
        <v>20497.91</v>
      </c>
      <c r="G31" s="14">
        <v>4</v>
      </c>
      <c r="H31" s="13" t="str" cm="1">
        <f t="array" ref="H31">_xlfn.IFS(
  ISBLANK(A31),"Missing Value",
  D31&lt;0,"Review – Out of Range (Total Policies)",
  E31&lt;0,"Review – Out of Range (Lapsed Policies)",
  F31&lt;0,"Review – Out of Range (Avg Premium)",
  G31&lt;0,"Review – Out of Range (Fraud Assoc)",
  TRUE,"OK"
)</f>
        <v>OK</v>
      </c>
    </row>
    <row r="32" spans="1:8" ht="16.8" x14ac:dyDescent="0.3">
      <c r="A32" s="11" t="s">
        <v>3841</v>
      </c>
      <c r="B32" s="11" t="s">
        <v>44</v>
      </c>
      <c r="C32" s="12">
        <v>42502</v>
      </c>
      <c r="D32" s="11">
        <v>203</v>
      </c>
      <c r="E32" s="11">
        <v>23</v>
      </c>
      <c r="F32" s="11">
        <v>17443.900000000001</v>
      </c>
      <c r="G32" s="11">
        <v>5</v>
      </c>
      <c r="H32" s="13" t="str" cm="1">
        <f t="array" ref="H32">_xlfn.IFS(
  ISBLANK(A32),"Missing Value",
  D32&lt;0,"Review – Out of Range (Total Policies)",
  E32&lt;0,"Review – Out of Range (Lapsed Policies)",
  F32&lt;0,"Review – Out of Range (Avg Premium)",
  G32&lt;0,"Review – Out of Range (Fraud Assoc)",
  TRUE,"OK"
)</f>
        <v>OK</v>
      </c>
    </row>
    <row r="33" spans="1:8" ht="16.8" x14ac:dyDescent="0.3">
      <c r="A33" s="14" t="s">
        <v>3746</v>
      </c>
      <c r="B33" s="14" t="s">
        <v>44</v>
      </c>
      <c r="C33" s="15">
        <v>43832</v>
      </c>
      <c r="D33" s="14">
        <v>292</v>
      </c>
      <c r="E33" s="14">
        <v>18</v>
      </c>
      <c r="F33" s="14">
        <v>8209.32</v>
      </c>
      <c r="G33" s="14">
        <v>4</v>
      </c>
      <c r="H33" s="13" t="str" cm="1">
        <f t="array" ref="H33">_xlfn.IFS(
  ISBLANK(A33),"Missing Value",
  D33&lt;0,"Review – Out of Range (Total Policies)",
  E33&lt;0,"Review – Out of Range (Lapsed Policies)",
  F33&lt;0,"Review – Out of Range (Avg Premium)",
  G33&lt;0,"Review – Out of Range (Fraud Assoc)",
  TRUE,"OK"
)</f>
        <v>OK</v>
      </c>
    </row>
    <row r="34" spans="1:8" ht="16.8" x14ac:dyDescent="0.3">
      <c r="A34" s="11" t="s">
        <v>4164</v>
      </c>
      <c r="B34" s="11" t="s">
        <v>60</v>
      </c>
      <c r="C34" s="12">
        <v>42449</v>
      </c>
      <c r="D34" s="11">
        <v>141</v>
      </c>
      <c r="E34" s="11">
        <v>36</v>
      </c>
      <c r="F34" s="11">
        <v>22604.02</v>
      </c>
      <c r="G34" s="11">
        <v>4</v>
      </c>
      <c r="H34" s="13" t="str" cm="1">
        <f t="array" ref="H34">_xlfn.IFS(
  ISBLANK(A34),"Missing Value",
  D34&lt;0,"Review – Out of Range (Total Policies)",
  E34&lt;0,"Review – Out of Range (Lapsed Policies)",
  F34&lt;0,"Review – Out of Range (Avg Premium)",
  G34&lt;0,"Review – Out of Range (Fraud Assoc)",
  TRUE,"OK"
)</f>
        <v>OK</v>
      </c>
    </row>
    <row r="35" spans="1:8" ht="16.8" x14ac:dyDescent="0.3">
      <c r="A35" s="14" t="s">
        <v>4098</v>
      </c>
      <c r="B35" s="14" t="s">
        <v>55</v>
      </c>
      <c r="C35" s="15">
        <v>43990</v>
      </c>
      <c r="D35" s="14">
        <v>66</v>
      </c>
      <c r="E35" s="14">
        <v>3</v>
      </c>
      <c r="F35" s="14">
        <v>40479.839999999997</v>
      </c>
      <c r="G35" s="14">
        <v>7</v>
      </c>
      <c r="H35" s="13" t="str" cm="1">
        <f t="array" ref="H35">_xlfn.IFS(
  ISBLANK(A35),"Missing Value",
  D35&lt;0,"Review – Out of Range (Total Policies)",
  E35&lt;0,"Review – Out of Range (Lapsed Policies)",
  F35&lt;0,"Review – Out of Range (Avg Premium)",
  G35&lt;0,"Review – Out of Range (Fraud Assoc)",
  TRUE,"OK"
)</f>
        <v>OK</v>
      </c>
    </row>
    <row r="36" spans="1:8" ht="16.8" x14ac:dyDescent="0.3">
      <c r="A36" s="11" t="s">
        <v>3865</v>
      </c>
      <c r="B36" s="11" t="s">
        <v>55</v>
      </c>
      <c r="C36" s="12">
        <v>42643</v>
      </c>
      <c r="D36" s="11">
        <v>198</v>
      </c>
      <c r="E36" s="11">
        <v>51</v>
      </c>
      <c r="F36" s="11">
        <v>10843.67</v>
      </c>
      <c r="G36" s="11">
        <v>7</v>
      </c>
      <c r="H36" s="13" t="str" cm="1">
        <f t="array" ref="H36">_xlfn.IFS(
  ISBLANK(A36),"Missing Value",
  D36&lt;0,"Review – Out of Range (Total Policies)",
  E36&lt;0,"Review – Out of Range (Lapsed Policies)",
  F36&lt;0,"Review – Out of Range (Avg Premium)",
  G36&lt;0,"Review – Out of Range (Fraud Assoc)",
  TRUE,"OK"
)</f>
        <v>OK</v>
      </c>
    </row>
    <row r="37" spans="1:8" ht="16.8" x14ac:dyDescent="0.3">
      <c r="A37" s="14" t="s">
        <v>3809</v>
      </c>
      <c r="B37" s="14" t="s">
        <v>52</v>
      </c>
      <c r="C37" s="15">
        <v>43042</v>
      </c>
      <c r="D37" s="14">
        <v>224</v>
      </c>
      <c r="E37" s="14">
        <v>14</v>
      </c>
      <c r="F37" s="14">
        <v>48483.43</v>
      </c>
      <c r="G37" s="14">
        <v>4</v>
      </c>
      <c r="H37" s="13" t="str" cm="1">
        <f t="array" ref="H37">_xlfn.IFS(
  ISBLANK(A37),"Missing Value",
  D37&lt;0,"Review – Out of Range (Total Policies)",
  E37&lt;0,"Review – Out of Range (Lapsed Policies)",
  F37&lt;0,"Review – Out of Range (Avg Premium)",
  G37&lt;0,"Review – Out of Range (Fraud Assoc)",
  TRUE,"OK"
)</f>
        <v>OK</v>
      </c>
    </row>
    <row r="38" spans="1:8" ht="16.8" x14ac:dyDescent="0.3">
      <c r="A38" s="11" t="s">
        <v>5488</v>
      </c>
      <c r="B38" s="11" t="s">
        <v>52</v>
      </c>
      <c r="C38" s="12">
        <v>44442</v>
      </c>
      <c r="D38" s="11">
        <v>272</v>
      </c>
      <c r="E38" s="11">
        <v>43</v>
      </c>
      <c r="F38" s="11">
        <v>33627.82</v>
      </c>
      <c r="G38" s="11">
        <v>0</v>
      </c>
      <c r="H38" s="13" t="str" cm="1">
        <f t="array" ref="H38">_xlfn.IFS(
  ISBLANK(A38),"Missing Value",
  D38&lt;0,"Review – Out of Range (Total Policies)",
  E38&lt;0,"Review – Out of Range (Lapsed Policies)",
  F38&lt;0,"Review – Out of Range (Avg Premium)",
  G38&lt;0,"Review – Out of Range (Fraud Assoc)",
  TRUE,"OK"
)</f>
        <v>OK</v>
      </c>
    </row>
    <row r="39" spans="1:8" ht="16.8" x14ac:dyDescent="0.3">
      <c r="A39" s="14" t="s">
        <v>3569</v>
      </c>
      <c r="B39" s="14" t="s">
        <v>44</v>
      </c>
      <c r="C39" s="15">
        <v>43299</v>
      </c>
      <c r="D39" s="14">
        <v>207</v>
      </c>
      <c r="E39" s="14">
        <v>32</v>
      </c>
      <c r="F39" s="14">
        <v>14856.9</v>
      </c>
      <c r="G39" s="14">
        <v>9</v>
      </c>
      <c r="H39" s="13" t="str" cm="1">
        <f t="array" ref="H39">_xlfn.IFS(
  ISBLANK(A39),"Missing Value",
  D39&lt;0,"Review – Out of Range (Total Policies)",
  E39&lt;0,"Review – Out of Range (Lapsed Policies)",
  F39&lt;0,"Review – Out of Range (Avg Premium)",
  G39&lt;0,"Review – Out of Range (Fraud Assoc)",
  TRUE,"OK"
)</f>
        <v>OK</v>
      </c>
    </row>
    <row r="40" spans="1:8" ht="16.8" x14ac:dyDescent="0.3">
      <c r="A40" s="11" t="s">
        <v>3429</v>
      </c>
      <c r="B40" s="11" t="s">
        <v>52</v>
      </c>
      <c r="C40" s="12">
        <v>42152</v>
      </c>
      <c r="D40" s="11">
        <v>60</v>
      </c>
      <c r="E40" s="11">
        <v>3</v>
      </c>
      <c r="F40" s="11">
        <v>36377.51</v>
      </c>
      <c r="G40" s="11">
        <v>9</v>
      </c>
      <c r="H40" s="13" t="str" cm="1">
        <f t="array" ref="H40">_xlfn.IFS(
  ISBLANK(A40),"Missing Value",
  D40&lt;0,"Review – Out of Range (Total Policies)",
  E40&lt;0,"Review – Out of Range (Lapsed Policies)",
  F40&lt;0,"Review – Out of Range (Avg Premium)",
  G40&lt;0,"Review – Out of Range (Fraud Assoc)",
  TRUE,"OK"
)</f>
        <v>OK</v>
      </c>
    </row>
    <row r="41" spans="1:8" ht="16.8" x14ac:dyDescent="0.3">
      <c r="A41" s="14" t="s">
        <v>4600</v>
      </c>
      <c r="B41" s="14" t="s">
        <v>60</v>
      </c>
      <c r="C41" s="15">
        <v>44897</v>
      </c>
      <c r="D41" s="14">
        <v>52</v>
      </c>
      <c r="E41" s="14">
        <v>12</v>
      </c>
      <c r="F41" s="14">
        <v>42920.49</v>
      </c>
      <c r="G41" s="14">
        <v>5</v>
      </c>
      <c r="H41" s="13" t="str" cm="1">
        <f t="array" ref="H41">_xlfn.IFS(
  ISBLANK(A41),"Missing Value",
  D41&lt;0,"Review – Out of Range (Total Policies)",
  E41&lt;0,"Review – Out of Range (Lapsed Policies)",
  F41&lt;0,"Review – Out of Range (Avg Premium)",
  G41&lt;0,"Review – Out of Range (Fraud Assoc)",
  TRUE,"OK"
)</f>
        <v>OK</v>
      </c>
    </row>
    <row r="42" spans="1:8" ht="16.8" x14ac:dyDescent="0.3">
      <c r="A42" s="11" t="s">
        <v>3480</v>
      </c>
      <c r="B42" s="11" t="s">
        <v>52</v>
      </c>
      <c r="C42" s="12">
        <v>42646</v>
      </c>
      <c r="D42" s="11">
        <v>131</v>
      </c>
      <c r="E42" s="11">
        <v>3</v>
      </c>
      <c r="F42" s="11">
        <v>28771.56</v>
      </c>
      <c r="G42" s="11">
        <v>4</v>
      </c>
      <c r="H42" s="13" t="str" cm="1">
        <f t="array" ref="H42">_xlfn.IFS(
  ISBLANK(A42),"Missing Value",
  D42&lt;0,"Review – Out of Range (Total Policies)",
  E42&lt;0,"Review – Out of Range (Lapsed Policies)",
  F42&lt;0,"Review – Out of Range (Avg Premium)",
  G42&lt;0,"Review – Out of Range (Fraud Assoc)",
  TRUE,"OK"
)</f>
        <v>OK</v>
      </c>
    </row>
    <row r="43" spans="1:8" ht="16.8" x14ac:dyDescent="0.3">
      <c r="A43" s="14" t="s">
        <v>3626</v>
      </c>
      <c r="B43" s="14" t="s">
        <v>94</v>
      </c>
      <c r="C43" s="15">
        <v>42347</v>
      </c>
      <c r="D43" s="14">
        <v>149</v>
      </c>
      <c r="E43" s="14">
        <v>39</v>
      </c>
      <c r="F43" s="14">
        <v>43245.59</v>
      </c>
      <c r="G43" s="14">
        <v>3</v>
      </c>
      <c r="H43" s="13" t="str" cm="1">
        <f t="array" ref="H43">_xlfn.IFS(
  ISBLANK(A43),"Missing Value",
  D43&lt;0,"Review – Out of Range (Total Policies)",
  E43&lt;0,"Review – Out of Range (Lapsed Policies)",
  F43&lt;0,"Review – Out of Range (Avg Premium)",
  G43&lt;0,"Review – Out of Range (Fraud Assoc)",
  TRUE,"OK"
)</f>
        <v>OK</v>
      </c>
    </row>
    <row r="44" spans="1:8" ht="16.8" x14ac:dyDescent="0.3">
      <c r="A44" s="11" t="s">
        <v>3417</v>
      </c>
      <c r="B44" s="11" t="s">
        <v>109</v>
      </c>
      <c r="C44" s="12">
        <v>44722</v>
      </c>
      <c r="D44" s="11">
        <v>296</v>
      </c>
      <c r="E44" s="11">
        <v>8</v>
      </c>
      <c r="F44" s="11">
        <v>9982.32</v>
      </c>
      <c r="G44" s="11">
        <v>2</v>
      </c>
      <c r="H44" s="13" t="str" cm="1">
        <f t="array" ref="H44">_xlfn.IFS(
  ISBLANK(A44),"Missing Value",
  D44&lt;0,"Review – Out of Range (Total Policies)",
  E44&lt;0,"Review – Out of Range (Lapsed Policies)",
  F44&lt;0,"Review – Out of Range (Avg Premium)",
  G44&lt;0,"Review – Out of Range (Fraud Assoc)",
  TRUE,"OK"
)</f>
        <v>OK</v>
      </c>
    </row>
    <row r="45" spans="1:8" ht="16.8" x14ac:dyDescent="0.3">
      <c r="A45" s="14" t="s">
        <v>3752</v>
      </c>
      <c r="B45" s="14" t="s">
        <v>60</v>
      </c>
      <c r="C45" s="15">
        <v>43338</v>
      </c>
      <c r="D45" s="14">
        <v>98</v>
      </c>
      <c r="E45" s="14">
        <v>28</v>
      </c>
      <c r="F45" s="14">
        <v>46360.37</v>
      </c>
      <c r="G45" s="14">
        <v>4</v>
      </c>
      <c r="H45" s="13" t="str" cm="1">
        <f t="array" ref="H45">_xlfn.IFS(
  ISBLANK(A45),"Missing Value",
  D45&lt;0,"Review – Out of Range (Total Policies)",
  E45&lt;0,"Review – Out of Range (Lapsed Policies)",
  F45&lt;0,"Review – Out of Range (Avg Premium)",
  G45&lt;0,"Review – Out of Range (Fraud Assoc)",
  TRUE,"OK"
)</f>
        <v>OK</v>
      </c>
    </row>
    <row r="46" spans="1:8" ht="16.8" x14ac:dyDescent="0.3">
      <c r="A46" s="11" t="s">
        <v>4887</v>
      </c>
      <c r="B46" s="11" t="s">
        <v>52</v>
      </c>
      <c r="C46" s="12">
        <v>44612</v>
      </c>
      <c r="D46" s="11">
        <v>209</v>
      </c>
      <c r="E46" s="11">
        <v>24</v>
      </c>
      <c r="F46" s="11">
        <v>8575.2800000000007</v>
      </c>
      <c r="G46" s="11">
        <v>0</v>
      </c>
      <c r="H46" s="13" t="str" cm="1">
        <f t="array" ref="H46">_xlfn.IFS(
  ISBLANK(A46),"Missing Value",
  D46&lt;0,"Review – Out of Range (Total Policies)",
  E46&lt;0,"Review – Out of Range (Lapsed Policies)",
  F46&lt;0,"Review – Out of Range (Avg Premium)",
  G46&lt;0,"Review – Out of Range (Fraud Assoc)",
  TRUE,"OK"
)</f>
        <v>OK</v>
      </c>
    </row>
    <row r="47" spans="1:8" ht="16.8" x14ac:dyDescent="0.3">
      <c r="A47" s="14" t="s">
        <v>3830</v>
      </c>
      <c r="B47" s="14" t="s">
        <v>109</v>
      </c>
      <c r="C47" s="15">
        <v>42211</v>
      </c>
      <c r="D47" s="14">
        <v>281</v>
      </c>
      <c r="E47" s="14">
        <v>53</v>
      </c>
      <c r="F47" s="14">
        <v>47522.400000000001</v>
      </c>
      <c r="G47" s="14">
        <v>9</v>
      </c>
      <c r="H47" s="13" t="str" cm="1">
        <f t="array" ref="H47">_xlfn.IFS(
  ISBLANK(A47),"Missing Value",
  D47&lt;0,"Review – Out of Range (Total Policies)",
  E47&lt;0,"Review – Out of Range (Lapsed Policies)",
  F47&lt;0,"Review – Out of Range (Avg Premium)",
  G47&lt;0,"Review – Out of Range (Fraud Assoc)",
  TRUE,"OK"
)</f>
        <v>OK</v>
      </c>
    </row>
    <row r="48" spans="1:8" ht="16.8" x14ac:dyDescent="0.3">
      <c r="A48" s="11" t="s">
        <v>4473</v>
      </c>
      <c r="B48" s="11" t="s">
        <v>52</v>
      </c>
      <c r="C48" s="12">
        <v>44853</v>
      </c>
      <c r="D48" s="11">
        <v>94</v>
      </c>
      <c r="E48" s="11">
        <v>10</v>
      </c>
      <c r="F48" s="11">
        <v>39246.31</v>
      </c>
      <c r="G48" s="11">
        <v>2</v>
      </c>
      <c r="H48" s="13" t="str" cm="1">
        <f t="array" ref="H48">_xlfn.IFS(
  ISBLANK(A48),"Missing Value",
  D48&lt;0,"Review – Out of Range (Total Policies)",
  E48&lt;0,"Review – Out of Range (Lapsed Policies)",
  F48&lt;0,"Review – Out of Range (Avg Premium)",
  G48&lt;0,"Review – Out of Range (Fraud Assoc)",
  TRUE,"OK"
)</f>
        <v>OK</v>
      </c>
    </row>
    <row r="49" spans="1:8" ht="16.8" x14ac:dyDescent="0.3">
      <c r="A49" s="14" t="s">
        <v>4056</v>
      </c>
      <c r="B49" s="14" t="s">
        <v>44</v>
      </c>
      <c r="C49" s="15">
        <v>43419</v>
      </c>
      <c r="D49" s="14">
        <v>122</v>
      </c>
      <c r="E49" s="14">
        <v>9</v>
      </c>
      <c r="F49" s="14">
        <v>9034.98</v>
      </c>
      <c r="G49" s="14">
        <v>7</v>
      </c>
      <c r="H49" s="13" t="str" cm="1">
        <f t="array" ref="H49">_xlfn.IFS(
  ISBLANK(A49),"Missing Value",
  D49&lt;0,"Review – Out of Range (Total Policies)",
  E49&lt;0,"Review – Out of Range (Lapsed Policies)",
  F49&lt;0,"Review – Out of Range (Avg Premium)",
  G49&lt;0,"Review – Out of Range (Fraud Assoc)",
  TRUE,"OK"
)</f>
        <v>OK</v>
      </c>
    </row>
    <row r="50" spans="1:8" ht="16.8" x14ac:dyDescent="0.3">
      <c r="A50" s="11" t="s">
        <v>3456</v>
      </c>
      <c r="B50" s="11" t="s">
        <v>109</v>
      </c>
      <c r="C50" s="12">
        <v>43351</v>
      </c>
      <c r="D50" s="11">
        <v>58</v>
      </c>
      <c r="E50" s="11">
        <v>2</v>
      </c>
      <c r="F50" s="11">
        <v>12093.78</v>
      </c>
      <c r="G50" s="11">
        <v>8</v>
      </c>
      <c r="H50" s="13" t="str" cm="1">
        <f t="array" ref="H50">_xlfn.IFS(
  ISBLANK(A50),"Missing Value",
  D50&lt;0,"Review – Out of Range (Total Policies)",
  E50&lt;0,"Review – Out of Range (Lapsed Policies)",
  F50&lt;0,"Review – Out of Range (Avg Premium)",
  G50&lt;0,"Review – Out of Range (Fraud Assoc)",
  TRUE,"OK"
)</f>
        <v>OK</v>
      </c>
    </row>
    <row r="51" spans="1:8" ht="16.8" x14ac:dyDescent="0.3">
      <c r="A51" s="14" t="s">
        <v>3595</v>
      </c>
      <c r="B51" s="14" t="s">
        <v>55</v>
      </c>
      <c r="C51" s="15">
        <v>42703</v>
      </c>
      <c r="D51" s="14">
        <v>180</v>
      </c>
      <c r="E51" s="14">
        <v>45</v>
      </c>
      <c r="F51" s="14">
        <v>23745.58</v>
      </c>
      <c r="G51" s="14">
        <v>9</v>
      </c>
      <c r="H51" s="13" t="str" cm="1">
        <f t="array" ref="H51">_xlfn.IFS(
  ISBLANK(A51),"Missing Value",
  D51&lt;0,"Review – Out of Range (Total Policies)",
  E51&lt;0,"Review – Out of Range (Lapsed Policies)",
  F51&lt;0,"Review – Out of Range (Avg Premium)",
  G51&lt;0,"Review – Out of Range (Fraud Assoc)",
  TRUE,"OK"
)</f>
        <v>OK</v>
      </c>
    </row>
    <row r="52" spans="1:8" ht="16.8" x14ac:dyDescent="0.3">
      <c r="A52" s="11" t="s">
        <v>3372</v>
      </c>
      <c r="B52" s="11" t="s">
        <v>52</v>
      </c>
      <c r="C52" s="12">
        <v>42585</v>
      </c>
      <c r="D52" s="11">
        <v>268</v>
      </c>
      <c r="E52" s="11">
        <v>11</v>
      </c>
      <c r="F52" s="11">
        <v>46369.63</v>
      </c>
      <c r="G52" s="11">
        <v>4</v>
      </c>
      <c r="H52" s="13" t="str" cm="1">
        <f t="array" ref="H52">_xlfn.IFS(
  ISBLANK(A52),"Missing Value",
  D52&lt;0,"Review – Out of Range (Total Policies)",
  E52&lt;0,"Review – Out of Range (Lapsed Policies)",
  F52&lt;0,"Review – Out of Range (Avg Premium)",
  G52&lt;0,"Review – Out of Range (Fraud Assoc)",
  TRUE,"OK"
)</f>
        <v>OK</v>
      </c>
    </row>
    <row r="53" spans="1:8" ht="16.8" x14ac:dyDescent="0.3">
      <c r="A53" s="14" t="s">
        <v>3560</v>
      </c>
      <c r="B53" s="14" t="s">
        <v>52</v>
      </c>
      <c r="C53" s="15">
        <v>44670</v>
      </c>
      <c r="D53" s="14">
        <v>174</v>
      </c>
      <c r="E53" s="14">
        <v>15</v>
      </c>
      <c r="F53" s="14">
        <v>10618.25</v>
      </c>
      <c r="G53" s="14">
        <v>1</v>
      </c>
      <c r="H53" s="13" t="str" cm="1">
        <f t="array" ref="H53">_xlfn.IFS(
  ISBLANK(A53),"Missing Value",
  D53&lt;0,"Review – Out of Range (Total Policies)",
  E53&lt;0,"Review – Out of Range (Lapsed Policies)",
  F53&lt;0,"Review – Out of Range (Avg Premium)",
  G53&lt;0,"Review – Out of Range (Fraud Assoc)",
  TRUE,"OK"
)</f>
        <v>OK</v>
      </c>
    </row>
    <row r="54" spans="1:8" ht="16.8" x14ac:dyDescent="0.3">
      <c r="A54" s="11" t="s">
        <v>4234</v>
      </c>
      <c r="B54" s="11" t="s">
        <v>60</v>
      </c>
      <c r="C54" s="12">
        <v>43720</v>
      </c>
      <c r="D54" s="11">
        <v>261</v>
      </c>
      <c r="E54" s="11">
        <v>66</v>
      </c>
      <c r="F54" s="11">
        <v>24451.360000000001</v>
      </c>
      <c r="G54" s="11">
        <v>4</v>
      </c>
      <c r="H54" s="13" t="str" cm="1">
        <f t="array" ref="H54">_xlfn.IFS(
  ISBLANK(A54),"Missing Value",
  D54&lt;0,"Review – Out of Range (Total Policies)",
  E54&lt;0,"Review – Out of Range (Lapsed Policies)",
  F54&lt;0,"Review – Out of Range (Avg Premium)",
  G54&lt;0,"Review – Out of Range (Fraud Assoc)",
  TRUE,"OK"
)</f>
        <v>OK</v>
      </c>
    </row>
    <row r="55" spans="1:8" ht="16.8" x14ac:dyDescent="0.3">
      <c r="A55" s="14" t="s">
        <v>3854</v>
      </c>
      <c r="B55" s="14" t="s">
        <v>60</v>
      </c>
      <c r="C55" s="15">
        <v>43008</v>
      </c>
      <c r="D55" s="14">
        <v>165</v>
      </c>
      <c r="E55" s="14">
        <v>22</v>
      </c>
      <c r="F55" s="14">
        <v>30361.52</v>
      </c>
      <c r="G55" s="14">
        <v>1</v>
      </c>
      <c r="H55" s="13" t="str" cm="1">
        <f t="array" ref="H55">_xlfn.IFS(
  ISBLANK(A55),"Missing Value",
  D55&lt;0,"Review – Out of Range (Total Policies)",
  E55&lt;0,"Review – Out of Range (Lapsed Policies)",
  F55&lt;0,"Review – Out of Range (Avg Premium)",
  G55&lt;0,"Review – Out of Range (Fraud Assoc)",
  TRUE,"OK"
)</f>
        <v>OK</v>
      </c>
    </row>
    <row r="56" spans="1:8" ht="16.8" x14ac:dyDescent="0.3">
      <c r="A56" s="11" t="s">
        <v>4158</v>
      </c>
      <c r="B56" s="11" t="s">
        <v>52</v>
      </c>
      <c r="C56" s="12">
        <v>42739</v>
      </c>
      <c r="D56" s="11">
        <v>202</v>
      </c>
      <c r="E56" s="11">
        <v>53</v>
      </c>
      <c r="F56" s="11">
        <v>34911.61</v>
      </c>
      <c r="G56" s="11">
        <v>7</v>
      </c>
      <c r="H56" s="13" t="str" cm="1">
        <f t="array" ref="H56">_xlfn.IFS(
  ISBLANK(A56),"Missing Value",
  D56&lt;0,"Review – Out of Range (Total Policies)",
  E56&lt;0,"Review – Out of Range (Lapsed Policies)",
  F56&lt;0,"Review – Out of Range (Avg Premium)",
  G56&lt;0,"Review – Out of Range (Fraud Assoc)",
  TRUE,"OK"
)</f>
        <v>OK</v>
      </c>
    </row>
    <row r="57" spans="1:8" ht="16.8" x14ac:dyDescent="0.3">
      <c r="A57" s="14" t="s">
        <v>3624</v>
      </c>
      <c r="B57" s="14" t="s">
        <v>60</v>
      </c>
      <c r="C57" s="15">
        <v>42477</v>
      </c>
      <c r="D57" s="14">
        <v>154</v>
      </c>
      <c r="E57" s="14">
        <v>41</v>
      </c>
      <c r="F57" s="14">
        <v>23569.5</v>
      </c>
      <c r="G57" s="14">
        <v>5</v>
      </c>
      <c r="H57" s="13" t="str" cm="1">
        <f t="array" ref="H57">_xlfn.IFS(
  ISBLANK(A57),"Missing Value",
  D57&lt;0,"Review – Out of Range (Total Policies)",
  E57&lt;0,"Review – Out of Range (Lapsed Policies)",
  F57&lt;0,"Review – Out of Range (Avg Premium)",
  G57&lt;0,"Review – Out of Range (Fraud Assoc)",
  TRUE,"OK"
)</f>
        <v>OK</v>
      </c>
    </row>
    <row r="58" spans="1:8" ht="16.8" x14ac:dyDescent="0.3">
      <c r="A58" s="11" t="s">
        <v>4187</v>
      </c>
      <c r="B58" s="11" t="s">
        <v>94</v>
      </c>
      <c r="C58" s="12">
        <v>43901</v>
      </c>
      <c r="D58" s="11">
        <v>50</v>
      </c>
      <c r="E58" s="11">
        <v>7</v>
      </c>
      <c r="F58" s="11">
        <v>27832.34</v>
      </c>
      <c r="G58" s="11">
        <v>8</v>
      </c>
      <c r="H58" s="13" t="str" cm="1">
        <f t="array" ref="H58">_xlfn.IFS(
  ISBLANK(A58),"Missing Value",
  D58&lt;0,"Review – Out of Range (Total Policies)",
  E58&lt;0,"Review – Out of Range (Lapsed Policies)",
  F58&lt;0,"Review – Out of Range (Avg Premium)",
  G58&lt;0,"Review – Out of Range (Fraud Assoc)",
  TRUE,"OK"
)</f>
        <v>OK</v>
      </c>
    </row>
    <row r="59" spans="1:8" ht="16.8" x14ac:dyDescent="0.3">
      <c r="A59" s="14" t="s">
        <v>3649</v>
      </c>
      <c r="B59" s="14" t="s">
        <v>94</v>
      </c>
      <c r="C59" s="15">
        <v>43317</v>
      </c>
      <c r="D59" s="14">
        <v>293</v>
      </c>
      <c r="E59" s="14">
        <v>6</v>
      </c>
      <c r="F59" s="14">
        <v>43613.17</v>
      </c>
      <c r="G59" s="14">
        <v>6</v>
      </c>
      <c r="H59" s="13" t="str" cm="1">
        <f t="array" ref="H59">_xlfn.IFS(
  ISBLANK(A59),"Missing Value",
  D59&lt;0,"Review – Out of Range (Total Policies)",
  E59&lt;0,"Review – Out of Range (Lapsed Policies)",
  F59&lt;0,"Review – Out of Range (Avg Premium)",
  G59&lt;0,"Review – Out of Range (Fraud Assoc)",
  TRUE,"OK"
)</f>
        <v>OK</v>
      </c>
    </row>
    <row r="60" spans="1:8" ht="16.8" x14ac:dyDescent="0.3">
      <c r="A60" s="11" t="s">
        <v>3764</v>
      </c>
      <c r="B60" s="11" t="s">
        <v>52</v>
      </c>
      <c r="C60" s="12">
        <v>44066</v>
      </c>
      <c r="D60" s="11">
        <v>146</v>
      </c>
      <c r="E60" s="11">
        <v>19</v>
      </c>
      <c r="F60" s="11">
        <v>9194.1299999999992</v>
      </c>
      <c r="G60" s="11">
        <v>3</v>
      </c>
      <c r="H60" s="13" t="str" cm="1">
        <f t="array" ref="H60">_xlfn.IFS(
  ISBLANK(A60),"Missing Value",
  D60&lt;0,"Review – Out of Range (Total Policies)",
  E60&lt;0,"Review – Out of Range (Lapsed Policies)",
  F60&lt;0,"Review – Out of Range (Avg Premium)",
  G60&lt;0,"Review – Out of Range (Fraud Assoc)",
  TRUE,"OK"
)</f>
        <v>OK</v>
      </c>
    </row>
    <row r="61" spans="1:8" ht="16.8" x14ac:dyDescent="0.3">
      <c r="A61" s="14" t="s">
        <v>4032</v>
      </c>
      <c r="B61" s="14" t="s">
        <v>44</v>
      </c>
      <c r="C61" s="15">
        <v>44043</v>
      </c>
      <c r="D61" s="14">
        <v>73</v>
      </c>
      <c r="E61" s="14">
        <v>10</v>
      </c>
      <c r="F61" s="14">
        <v>39488.86</v>
      </c>
      <c r="G61" s="14">
        <v>5</v>
      </c>
      <c r="H61" s="13" t="str" cm="1">
        <f t="array" ref="H61">_xlfn.IFS(
  ISBLANK(A61),"Missing Value",
  D61&lt;0,"Review – Out of Range (Total Policies)",
  E61&lt;0,"Review – Out of Range (Lapsed Policies)",
  F61&lt;0,"Review – Out of Range (Avg Premium)",
  G61&lt;0,"Review – Out of Range (Fraud Assoc)",
  TRUE,"OK"
)</f>
        <v>OK</v>
      </c>
    </row>
    <row r="62" spans="1:8" ht="16.8" x14ac:dyDescent="0.3">
      <c r="A62" s="11" t="s">
        <v>3687</v>
      </c>
      <c r="B62" s="11" t="s">
        <v>55</v>
      </c>
      <c r="C62" s="12">
        <v>44816</v>
      </c>
      <c r="D62" s="11">
        <v>83</v>
      </c>
      <c r="E62" s="11">
        <v>22</v>
      </c>
      <c r="F62" s="11">
        <v>9710.07</v>
      </c>
      <c r="G62" s="11">
        <v>0</v>
      </c>
      <c r="H62" s="13" t="str" cm="1">
        <f t="array" ref="H62">_xlfn.IFS(
  ISBLANK(A62),"Missing Value",
  D62&lt;0,"Review – Out of Range (Total Policies)",
  E62&lt;0,"Review – Out of Range (Lapsed Policies)",
  F62&lt;0,"Review – Out of Range (Avg Premium)",
  G62&lt;0,"Review – Out of Range (Fraud Assoc)",
  TRUE,"OK"
)</f>
        <v>OK</v>
      </c>
    </row>
    <row r="63" spans="1:8" ht="16.8" x14ac:dyDescent="0.3">
      <c r="A63" s="14" t="s">
        <v>3409</v>
      </c>
      <c r="B63" s="14" t="s">
        <v>60</v>
      </c>
      <c r="C63" s="15">
        <v>42634</v>
      </c>
      <c r="D63" s="14">
        <v>73</v>
      </c>
      <c r="E63" s="14">
        <v>5</v>
      </c>
      <c r="F63" s="14">
        <v>39437.58</v>
      </c>
      <c r="G63" s="14">
        <v>3</v>
      </c>
      <c r="H63" s="13" t="str" cm="1">
        <f t="array" ref="H63">_xlfn.IFS(
  ISBLANK(A63),"Missing Value",
  D63&lt;0,"Review – Out of Range (Total Policies)",
  E63&lt;0,"Review – Out of Range (Lapsed Policies)",
  F63&lt;0,"Review – Out of Range (Avg Premium)",
  G63&lt;0,"Review – Out of Range (Fraud Assoc)",
  TRUE,"OK"
)</f>
        <v>OK</v>
      </c>
    </row>
    <row r="64" spans="1:8" ht="16.8" x14ac:dyDescent="0.3">
      <c r="A64" s="11" t="s">
        <v>3918</v>
      </c>
      <c r="B64" s="11" t="s">
        <v>55</v>
      </c>
      <c r="C64" s="12">
        <v>42638</v>
      </c>
      <c r="D64" s="11">
        <v>292</v>
      </c>
      <c r="E64" s="11">
        <v>35</v>
      </c>
      <c r="F64" s="11">
        <v>13903.3</v>
      </c>
      <c r="G64" s="11">
        <v>4</v>
      </c>
      <c r="H64" s="13" t="str" cm="1">
        <f t="array" ref="H64">_xlfn.IFS(
  ISBLANK(A64),"Missing Value",
  D64&lt;0,"Review – Out of Range (Total Policies)",
  E64&lt;0,"Review – Out of Range (Lapsed Policies)",
  F64&lt;0,"Review – Out of Range (Avg Premium)",
  G64&lt;0,"Review – Out of Range (Fraud Assoc)",
  TRUE,"OK"
)</f>
        <v>OK</v>
      </c>
    </row>
    <row r="65" spans="1:8" ht="16.8" x14ac:dyDescent="0.3">
      <c r="A65" s="14" t="s">
        <v>3419</v>
      </c>
      <c r="B65" s="14" t="s">
        <v>55</v>
      </c>
      <c r="C65" s="15">
        <v>43645</v>
      </c>
      <c r="D65" s="14">
        <v>222</v>
      </c>
      <c r="E65" s="14">
        <v>58</v>
      </c>
      <c r="F65" s="14">
        <v>29841.91</v>
      </c>
      <c r="G65" s="14">
        <v>5</v>
      </c>
      <c r="H65" s="13" t="str" cm="1">
        <f t="array" ref="H65">_xlfn.IFS(
  ISBLANK(A65),"Missing Value",
  D65&lt;0,"Review – Out of Range (Total Policies)",
  E65&lt;0,"Review – Out of Range (Lapsed Policies)",
  F65&lt;0,"Review – Out of Range (Avg Premium)",
  G65&lt;0,"Review – Out of Range (Fraud Assoc)",
  TRUE,"OK"
)</f>
        <v>OK</v>
      </c>
    </row>
    <row r="66" spans="1:8" ht="16.8" x14ac:dyDescent="0.3">
      <c r="A66" s="11" t="s">
        <v>3461</v>
      </c>
      <c r="B66" s="11" t="s">
        <v>55</v>
      </c>
      <c r="C66" s="12">
        <v>44832</v>
      </c>
      <c r="D66" s="11">
        <v>171</v>
      </c>
      <c r="E66" s="11">
        <v>22</v>
      </c>
      <c r="F66" s="11">
        <v>24644.57</v>
      </c>
      <c r="G66" s="11">
        <v>1</v>
      </c>
      <c r="H66" s="13" t="str" cm="1">
        <f t="array" ref="H66">_xlfn.IFS(
  ISBLANK(A66),"Missing Value",
  D66&lt;0,"Review – Out of Range (Total Policies)",
  E66&lt;0,"Review – Out of Range (Lapsed Policies)",
  F66&lt;0,"Review – Out of Range (Avg Premium)",
  G66&lt;0,"Review – Out of Range (Fraud Assoc)",
  TRUE,"OK"
)</f>
        <v>OK</v>
      </c>
    </row>
    <row r="67" spans="1:8" ht="16.8" x14ac:dyDescent="0.3">
      <c r="A67" s="14" t="s">
        <v>3798</v>
      </c>
      <c r="B67" s="14" t="s">
        <v>60</v>
      </c>
      <c r="C67" s="15">
        <v>44526</v>
      </c>
      <c r="D67" s="14">
        <v>236</v>
      </c>
      <c r="E67" s="14">
        <v>11</v>
      </c>
      <c r="F67" s="14">
        <v>7085.31</v>
      </c>
      <c r="G67" s="14">
        <v>0</v>
      </c>
      <c r="H67" s="13" t="str" cm="1">
        <f t="array" ref="H67">_xlfn.IFS(
  ISBLANK(A67),"Missing Value",
  D67&lt;0,"Review – Out of Range (Total Policies)",
  E67&lt;0,"Review – Out of Range (Lapsed Policies)",
  F67&lt;0,"Review – Out of Range (Avg Premium)",
  G67&lt;0,"Review – Out of Range (Fraud Assoc)",
  TRUE,"OK"
)</f>
        <v>OK</v>
      </c>
    </row>
    <row r="68" spans="1:8" ht="16.8" x14ac:dyDescent="0.3">
      <c r="A68" s="11" t="s">
        <v>3423</v>
      </c>
      <c r="B68" s="11" t="s">
        <v>94</v>
      </c>
      <c r="C68" s="12">
        <v>42538</v>
      </c>
      <c r="D68" s="11">
        <v>233</v>
      </c>
      <c r="E68" s="11">
        <v>6</v>
      </c>
      <c r="F68" s="11">
        <v>9499.86</v>
      </c>
      <c r="G68" s="11">
        <v>2</v>
      </c>
      <c r="H68" s="13" t="str" cm="1">
        <f t="array" ref="H68">_xlfn.IFS(
  ISBLANK(A68),"Missing Value",
  D68&lt;0,"Review – Out of Range (Total Policies)",
  E68&lt;0,"Review – Out of Range (Lapsed Policies)",
  F68&lt;0,"Review – Out of Range (Avg Premium)",
  G68&lt;0,"Review – Out of Range (Fraud Assoc)",
  TRUE,"OK"
)</f>
        <v>OK</v>
      </c>
    </row>
    <row r="69" spans="1:8" ht="16.8" x14ac:dyDescent="0.3">
      <c r="A69" s="14" t="s">
        <v>3381</v>
      </c>
      <c r="B69" s="14" t="s">
        <v>55</v>
      </c>
      <c r="C69" s="15">
        <v>42967</v>
      </c>
      <c r="D69" s="14">
        <v>254</v>
      </c>
      <c r="E69" s="14">
        <v>35</v>
      </c>
      <c r="F69" s="14">
        <v>15933.77</v>
      </c>
      <c r="G69" s="14">
        <v>0</v>
      </c>
      <c r="H69" s="13" t="str" cm="1">
        <f t="array" ref="H69">_xlfn.IFS(
  ISBLANK(A69),"Missing Value",
  D69&lt;0,"Review – Out of Range (Total Policies)",
  E69&lt;0,"Review – Out of Range (Lapsed Policies)",
  F69&lt;0,"Review – Out of Range (Avg Premium)",
  G69&lt;0,"Review – Out of Range (Fraud Assoc)",
  TRUE,"OK"
)</f>
        <v>OK</v>
      </c>
    </row>
    <row r="70" spans="1:8" ht="16.8" x14ac:dyDescent="0.3">
      <c r="A70" s="11" t="s">
        <v>4410</v>
      </c>
      <c r="B70" s="11" t="s">
        <v>55</v>
      </c>
      <c r="C70" s="12">
        <v>44151</v>
      </c>
      <c r="D70" s="11">
        <v>153</v>
      </c>
      <c r="E70" s="11">
        <v>28</v>
      </c>
      <c r="F70" s="11">
        <v>34634.639999999999</v>
      </c>
      <c r="G70" s="11">
        <v>4</v>
      </c>
      <c r="H70" s="13" t="str" cm="1">
        <f t="array" ref="H70">_xlfn.IFS(
  ISBLANK(A70),"Missing Value",
  D70&lt;0,"Review – Out of Range (Total Policies)",
  E70&lt;0,"Review – Out of Range (Lapsed Policies)",
  F70&lt;0,"Review – Out of Range (Avg Premium)",
  G70&lt;0,"Review – Out of Range (Fraud Assoc)",
  TRUE,"OK"
)</f>
        <v>OK</v>
      </c>
    </row>
    <row r="71" spans="1:8" ht="16.8" x14ac:dyDescent="0.3">
      <c r="A71" s="14" t="s">
        <v>4766</v>
      </c>
      <c r="B71" s="14" t="s">
        <v>44</v>
      </c>
      <c r="C71" s="15">
        <v>43846</v>
      </c>
      <c r="D71" s="14">
        <v>265</v>
      </c>
      <c r="E71" s="14">
        <v>40</v>
      </c>
      <c r="F71" s="14">
        <v>8661.49</v>
      </c>
      <c r="G71" s="14">
        <v>9</v>
      </c>
      <c r="H71" s="13" t="str" cm="1">
        <f t="array" ref="H71">_xlfn.IFS(
  ISBLANK(A71),"Missing Value",
  D71&lt;0,"Review – Out of Range (Total Policies)",
  E71&lt;0,"Review – Out of Range (Lapsed Policies)",
  F71&lt;0,"Review – Out of Range (Avg Premium)",
  G71&lt;0,"Review – Out of Range (Fraud Assoc)",
  TRUE,"OK"
)</f>
        <v>OK</v>
      </c>
    </row>
    <row r="72" spans="1:8" ht="16.8" x14ac:dyDescent="0.3">
      <c r="A72" s="11" t="s">
        <v>3811</v>
      </c>
      <c r="B72" s="11" t="s">
        <v>44</v>
      </c>
      <c r="C72" s="12">
        <v>43898</v>
      </c>
      <c r="D72" s="11">
        <v>175</v>
      </c>
      <c r="E72" s="11">
        <v>47</v>
      </c>
      <c r="F72" s="11">
        <v>18022.02</v>
      </c>
      <c r="G72" s="11">
        <v>7</v>
      </c>
      <c r="H72" s="13" t="str" cm="1">
        <f t="array" ref="H72">_xlfn.IFS(
  ISBLANK(A72),"Missing Value",
  D72&lt;0,"Review – Out of Range (Total Policies)",
  E72&lt;0,"Review – Out of Range (Lapsed Policies)",
  F72&lt;0,"Review – Out of Range (Avg Premium)",
  G72&lt;0,"Review – Out of Range (Fraud Assoc)",
  TRUE,"OK"
)</f>
        <v>OK</v>
      </c>
    </row>
    <row r="73" spans="1:8" ht="16.8" x14ac:dyDescent="0.3">
      <c r="A73" s="14" t="s">
        <v>4067</v>
      </c>
      <c r="B73" s="14" t="s">
        <v>52</v>
      </c>
      <c r="C73" s="15">
        <v>43263</v>
      </c>
      <c r="D73" s="14">
        <v>132</v>
      </c>
      <c r="E73" s="14">
        <v>18</v>
      </c>
      <c r="F73" s="14">
        <v>45352.53</v>
      </c>
      <c r="G73" s="14">
        <v>7</v>
      </c>
      <c r="H73" s="13" t="str" cm="1">
        <f t="array" ref="H73">_xlfn.IFS(
  ISBLANK(A73),"Missing Value",
  D73&lt;0,"Review – Out of Range (Total Policies)",
  E73&lt;0,"Review – Out of Range (Lapsed Policies)",
  F73&lt;0,"Review – Out of Range (Avg Premium)",
  G73&lt;0,"Review – Out of Range (Fraud Assoc)",
  TRUE,"OK"
)</f>
        <v>OK</v>
      </c>
    </row>
    <row r="74" spans="1:8" ht="16.8" x14ac:dyDescent="0.3">
      <c r="A74" s="11" t="s">
        <v>3662</v>
      </c>
      <c r="B74" s="11" t="s">
        <v>109</v>
      </c>
      <c r="C74" s="12">
        <v>42689</v>
      </c>
      <c r="D74" s="11">
        <v>91</v>
      </c>
      <c r="E74" s="11">
        <v>10</v>
      </c>
      <c r="F74" s="11">
        <v>49756.05</v>
      </c>
      <c r="G74" s="11">
        <v>6</v>
      </c>
      <c r="H74" s="13" t="str" cm="1">
        <f t="array" ref="H74">_xlfn.IFS(
  ISBLANK(A74),"Missing Value",
  D74&lt;0,"Review – Out of Range (Total Policies)",
  E74&lt;0,"Review – Out of Range (Lapsed Policies)",
  F74&lt;0,"Review – Out of Range (Avg Premium)",
  G74&lt;0,"Review – Out of Range (Fraud Assoc)",
  TRUE,"OK"
)</f>
        <v>OK</v>
      </c>
    </row>
    <row r="75" spans="1:8" ht="16.8" x14ac:dyDescent="0.3">
      <c r="A75" s="14" t="s">
        <v>3709</v>
      </c>
      <c r="B75" s="14" t="s">
        <v>60</v>
      </c>
      <c r="C75" s="15">
        <v>44095</v>
      </c>
      <c r="D75" s="14">
        <v>245</v>
      </c>
      <c r="E75" s="14">
        <v>52</v>
      </c>
      <c r="F75" s="14">
        <v>19732.46</v>
      </c>
      <c r="G75" s="14">
        <v>2</v>
      </c>
      <c r="H75" s="13" t="str" cm="1">
        <f t="array" ref="H75">_xlfn.IFS(
  ISBLANK(A75),"Missing Value",
  D75&lt;0,"Review – Out of Range (Total Policies)",
  E75&lt;0,"Review – Out of Range (Lapsed Policies)",
  F75&lt;0,"Review – Out of Range (Avg Premium)",
  G75&lt;0,"Review – Out of Range (Fraud Assoc)",
  TRUE,"OK"
)</f>
        <v>OK</v>
      </c>
    </row>
    <row r="76" spans="1:8" ht="16.8" x14ac:dyDescent="0.3">
      <c r="A76" s="11" t="s">
        <v>4365</v>
      </c>
      <c r="B76" s="11" t="s">
        <v>94</v>
      </c>
      <c r="C76" s="12">
        <v>44008</v>
      </c>
      <c r="D76" s="11">
        <v>66</v>
      </c>
      <c r="E76" s="11">
        <v>11</v>
      </c>
      <c r="F76" s="11">
        <v>33479.269999999997</v>
      </c>
      <c r="G76" s="11">
        <v>3</v>
      </c>
      <c r="H76" s="13" t="str" cm="1">
        <f t="array" ref="H76">_xlfn.IFS(
  ISBLANK(A76),"Missing Value",
  D76&lt;0,"Review – Out of Range (Total Policies)",
  E76&lt;0,"Review – Out of Range (Lapsed Policies)",
  F76&lt;0,"Review – Out of Range (Avg Premium)",
  G76&lt;0,"Review – Out of Range (Fraud Assoc)",
  TRUE,"OK"
)</f>
        <v>OK</v>
      </c>
    </row>
    <row r="77" spans="1:8" ht="16.8" x14ac:dyDescent="0.3">
      <c r="A77" s="14" t="s">
        <v>3638</v>
      </c>
      <c r="B77" s="14" t="s">
        <v>109</v>
      </c>
      <c r="C77" s="15">
        <v>42049</v>
      </c>
      <c r="D77" s="14">
        <v>60</v>
      </c>
      <c r="E77" s="14">
        <v>6</v>
      </c>
      <c r="F77" s="14">
        <v>28192.27</v>
      </c>
      <c r="G77" s="14">
        <v>8</v>
      </c>
      <c r="H77" s="13" t="str" cm="1">
        <f t="array" ref="H77">_xlfn.IFS(
  ISBLANK(A77),"Missing Value",
  D77&lt;0,"Review – Out of Range (Total Policies)",
  E77&lt;0,"Review – Out of Range (Lapsed Policies)",
  F77&lt;0,"Review – Out of Range (Avg Premium)",
  G77&lt;0,"Review – Out of Range (Fraud Assoc)",
  TRUE,"OK"
)</f>
        <v>OK</v>
      </c>
    </row>
    <row r="78" spans="1:8" ht="16.8" x14ac:dyDescent="0.3">
      <c r="A78" s="11" t="s">
        <v>3562</v>
      </c>
      <c r="B78" s="11" t="s">
        <v>44</v>
      </c>
      <c r="C78" s="12">
        <v>42804</v>
      </c>
      <c r="D78" s="11">
        <v>267</v>
      </c>
      <c r="E78" s="11">
        <v>3</v>
      </c>
      <c r="F78" s="11">
        <v>11625.4</v>
      </c>
      <c r="G78" s="11">
        <v>2</v>
      </c>
      <c r="H78" s="13" t="str" cm="1">
        <f t="array" ref="H78">_xlfn.IFS(
  ISBLANK(A78),"Missing Value",
  D78&lt;0,"Review – Out of Range (Total Policies)",
  E78&lt;0,"Review – Out of Range (Lapsed Policies)",
  F78&lt;0,"Review – Out of Range (Avg Premium)",
  G78&lt;0,"Review – Out of Range (Fraud Assoc)",
  TRUE,"OK"
)</f>
        <v>OK</v>
      </c>
    </row>
    <row r="79" spans="1:8" ht="16.8" x14ac:dyDescent="0.3">
      <c r="A79" s="14" t="s">
        <v>4244</v>
      </c>
      <c r="B79" s="14" t="s">
        <v>109</v>
      </c>
      <c r="C79" s="15">
        <v>42258</v>
      </c>
      <c r="D79" s="14">
        <v>267</v>
      </c>
      <c r="E79" s="14">
        <v>74</v>
      </c>
      <c r="F79" s="14">
        <v>41037.379999999997</v>
      </c>
      <c r="G79" s="14">
        <v>6</v>
      </c>
      <c r="H79" s="13" t="str" cm="1">
        <f t="array" ref="H79">_xlfn.IFS(
  ISBLANK(A79),"Missing Value",
  D79&lt;0,"Review – Out of Range (Total Policies)",
  E79&lt;0,"Review – Out of Range (Lapsed Policies)",
  F79&lt;0,"Review – Out of Range (Avg Premium)",
  G79&lt;0,"Review – Out of Range (Fraud Assoc)",
  TRUE,"OK"
)</f>
        <v>OK</v>
      </c>
    </row>
    <row r="80" spans="1:8" ht="16.8" x14ac:dyDescent="0.3">
      <c r="A80" s="11" t="s">
        <v>3947</v>
      </c>
      <c r="B80" s="11" t="s">
        <v>55</v>
      </c>
      <c r="C80" s="12">
        <v>43230</v>
      </c>
      <c r="D80" s="11">
        <v>193</v>
      </c>
      <c r="E80" s="11">
        <v>36</v>
      </c>
      <c r="F80" s="11">
        <v>15870.41</v>
      </c>
      <c r="G80" s="11">
        <v>8</v>
      </c>
      <c r="H80" s="13" t="str" cm="1">
        <f t="array" ref="H80">_xlfn.IFS(
  ISBLANK(A80),"Missing Value",
  D80&lt;0,"Review – Out of Range (Total Policies)",
  E80&lt;0,"Review – Out of Range (Lapsed Policies)",
  F80&lt;0,"Review – Out of Range (Avg Premium)",
  G80&lt;0,"Review – Out of Range (Fraud Assoc)",
  TRUE,"OK"
)</f>
        <v>OK</v>
      </c>
    </row>
    <row r="81" spans="1:8" ht="16.8" x14ac:dyDescent="0.3">
      <c r="A81" s="14" t="s">
        <v>4116</v>
      </c>
      <c r="B81" s="14" t="s">
        <v>109</v>
      </c>
      <c r="C81" s="15">
        <v>43776</v>
      </c>
      <c r="D81" s="14">
        <v>289</v>
      </c>
      <c r="E81" s="14">
        <v>84</v>
      </c>
      <c r="F81" s="14">
        <v>38713.449999999997</v>
      </c>
      <c r="G81" s="14">
        <v>9</v>
      </c>
      <c r="H81" s="13" t="str" cm="1">
        <f t="array" ref="H81">_xlfn.IFS(
  ISBLANK(A81),"Missing Value",
  D81&lt;0,"Review – Out of Range (Total Policies)",
  E81&lt;0,"Review – Out of Range (Lapsed Policies)",
  F81&lt;0,"Review – Out of Range (Avg Premium)",
  G81&lt;0,"Review – Out of Range (Fraud Assoc)",
  TRUE,"OK"
)</f>
        <v>OK</v>
      </c>
    </row>
    <row r="82" spans="1:8" ht="16.8" x14ac:dyDescent="0.3">
      <c r="A82" s="11" t="s">
        <v>3511</v>
      </c>
      <c r="B82" s="11" t="s">
        <v>60</v>
      </c>
      <c r="C82" s="12">
        <v>42133</v>
      </c>
      <c r="D82" s="11">
        <v>287</v>
      </c>
      <c r="E82" s="11">
        <v>73</v>
      </c>
      <c r="F82" s="11">
        <v>32015.13</v>
      </c>
      <c r="G82" s="11">
        <v>5</v>
      </c>
      <c r="H82" s="13" t="str" cm="1">
        <f t="array" ref="H82">_xlfn.IFS(
  ISBLANK(A82),"Missing Value",
  D82&lt;0,"Review – Out of Range (Total Policies)",
  E82&lt;0,"Review – Out of Range (Lapsed Policies)",
  F82&lt;0,"Review – Out of Range (Avg Premium)",
  G82&lt;0,"Review – Out of Range (Fraud Assoc)",
  TRUE,"OK"
)</f>
        <v>OK</v>
      </c>
    </row>
    <row r="83" spans="1:8" ht="16.8" x14ac:dyDescent="0.3">
      <c r="A83" s="14" t="s">
        <v>4254</v>
      </c>
      <c r="B83" s="14" t="s">
        <v>94</v>
      </c>
      <c r="C83" s="15">
        <v>44374</v>
      </c>
      <c r="D83" s="14">
        <v>74</v>
      </c>
      <c r="E83" s="14">
        <v>15</v>
      </c>
      <c r="F83" s="14">
        <v>36632.080000000002</v>
      </c>
      <c r="G83" s="14">
        <v>5</v>
      </c>
      <c r="H83" s="13" t="str" cm="1">
        <f t="array" ref="H83">_xlfn.IFS(
  ISBLANK(A83),"Missing Value",
  D83&lt;0,"Review – Out of Range (Total Policies)",
  E83&lt;0,"Review – Out of Range (Lapsed Policies)",
  F83&lt;0,"Review – Out of Range (Avg Premium)",
  G83&lt;0,"Review – Out of Range (Fraud Assoc)",
  TRUE,"OK"
)</f>
        <v>OK</v>
      </c>
    </row>
    <row r="84" spans="1:8" ht="16.8" x14ac:dyDescent="0.3">
      <c r="A84" s="11" t="s">
        <v>3601</v>
      </c>
      <c r="B84" s="11" t="s">
        <v>44</v>
      </c>
      <c r="C84" s="12">
        <v>43714</v>
      </c>
      <c r="D84" s="11">
        <v>269</v>
      </c>
      <c r="E84" s="11">
        <v>19</v>
      </c>
      <c r="F84" s="11">
        <v>8244.15</v>
      </c>
      <c r="G84" s="11">
        <v>0</v>
      </c>
      <c r="H84" s="13" t="str" cm="1">
        <f t="array" ref="H84">_xlfn.IFS(
  ISBLANK(A84),"Missing Value",
  D84&lt;0,"Review – Out of Range (Total Policies)",
  E84&lt;0,"Review – Out of Range (Lapsed Policies)",
  F84&lt;0,"Review – Out of Range (Avg Premium)",
  G84&lt;0,"Review – Out of Range (Fraud Assoc)",
  TRUE,"OK"
)</f>
        <v>OK</v>
      </c>
    </row>
    <row r="85" spans="1:8" ht="16.8" x14ac:dyDescent="0.3">
      <c r="A85" s="14" t="s">
        <v>3622</v>
      </c>
      <c r="B85" s="14" t="s">
        <v>44</v>
      </c>
      <c r="C85" s="15">
        <v>43844</v>
      </c>
      <c r="D85" s="14">
        <v>80</v>
      </c>
      <c r="E85" s="14">
        <v>14</v>
      </c>
      <c r="F85" s="14">
        <v>42395.25</v>
      </c>
      <c r="G85" s="14">
        <v>3</v>
      </c>
      <c r="H85" s="13" t="str" cm="1">
        <f t="array" ref="H85">_xlfn.IFS(
  ISBLANK(A85),"Missing Value",
  D85&lt;0,"Review – Out of Range (Total Policies)",
  E85&lt;0,"Review – Out of Range (Lapsed Policies)",
  F85&lt;0,"Review – Out of Range (Avg Premium)",
  G85&lt;0,"Review – Out of Range (Fraud Assoc)",
  TRUE,"OK"
)</f>
        <v>OK</v>
      </c>
    </row>
    <row r="86" spans="1:8" ht="16.8" x14ac:dyDescent="0.3">
      <c r="A86" s="11" t="s">
        <v>4596</v>
      </c>
      <c r="B86" s="11" t="s">
        <v>44</v>
      </c>
      <c r="C86" s="12">
        <v>42720</v>
      </c>
      <c r="D86" s="11">
        <v>194</v>
      </c>
      <c r="E86" s="11">
        <v>56</v>
      </c>
      <c r="F86" s="11">
        <v>13197.24</v>
      </c>
      <c r="G86" s="11">
        <v>6</v>
      </c>
      <c r="H86" s="13" t="str" cm="1">
        <f t="array" ref="H86">_xlfn.IFS(
  ISBLANK(A86),"Missing Value",
  D86&lt;0,"Review – Out of Range (Total Policies)",
  E86&lt;0,"Review – Out of Range (Lapsed Policies)",
  F86&lt;0,"Review – Out of Range (Avg Premium)",
  G86&lt;0,"Review – Out of Range (Fraud Assoc)",
  TRUE,"OK"
)</f>
        <v>OK</v>
      </c>
    </row>
    <row r="87" spans="1:8" ht="16.8" x14ac:dyDescent="0.3">
      <c r="A87" s="14" t="s">
        <v>3383</v>
      </c>
      <c r="B87" s="14" t="s">
        <v>109</v>
      </c>
      <c r="C87" s="15">
        <v>43554</v>
      </c>
      <c r="D87" s="14">
        <v>75</v>
      </c>
      <c r="E87" s="14">
        <v>9</v>
      </c>
      <c r="F87" s="14">
        <v>29002.3</v>
      </c>
      <c r="G87" s="14">
        <v>4</v>
      </c>
      <c r="H87" s="13" t="str" cm="1">
        <f t="array" ref="H87">_xlfn.IFS(
  ISBLANK(A87),"Missing Value",
  D87&lt;0,"Review – Out of Range (Total Policies)",
  E87&lt;0,"Review – Out of Range (Lapsed Policies)",
  F87&lt;0,"Review – Out of Range (Avg Premium)",
  G87&lt;0,"Review – Out of Range (Fraud Assoc)",
  TRUE,"OK"
)</f>
        <v>OK</v>
      </c>
    </row>
    <row r="88" spans="1:8" ht="16.8" x14ac:dyDescent="0.3">
      <c r="A88" s="11" t="s">
        <v>3750</v>
      </c>
      <c r="B88" s="11" t="s">
        <v>55</v>
      </c>
      <c r="C88" s="12">
        <v>44596</v>
      </c>
      <c r="D88" s="11">
        <v>107</v>
      </c>
      <c r="E88" s="11">
        <v>14</v>
      </c>
      <c r="F88" s="11">
        <v>35431.230000000003</v>
      </c>
      <c r="G88" s="11">
        <v>9</v>
      </c>
      <c r="H88" s="13" t="str" cm="1">
        <f t="array" ref="H88">_xlfn.IFS(
  ISBLANK(A88),"Missing Value",
  D88&lt;0,"Review – Out of Range (Total Policies)",
  E88&lt;0,"Review – Out of Range (Lapsed Policies)",
  F88&lt;0,"Review – Out of Range (Avg Premium)",
  G88&lt;0,"Review – Out of Range (Fraud Assoc)",
  TRUE,"OK"
)</f>
        <v>OK</v>
      </c>
    </row>
    <row r="89" spans="1:8" ht="16.8" x14ac:dyDescent="0.3">
      <c r="A89" s="14" t="s">
        <v>4675</v>
      </c>
      <c r="B89" s="14" t="s">
        <v>60</v>
      </c>
      <c r="C89" s="15">
        <v>44909</v>
      </c>
      <c r="D89" s="14">
        <v>235</v>
      </c>
      <c r="E89" s="14">
        <v>37</v>
      </c>
      <c r="F89" s="14">
        <v>12042.3</v>
      </c>
      <c r="G89" s="14">
        <v>7</v>
      </c>
      <c r="H89" s="13" t="str" cm="1">
        <f t="array" ref="H89">_xlfn.IFS(
  ISBLANK(A89),"Missing Value",
  D89&lt;0,"Review – Out of Range (Total Policies)",
  E89&lt;0,"Review – Out of Range (Lapsed Policies)",
  F89&lt;0,"Review – Out of Range (Avg Premium)",
  G89&lt;0,"Review – Out of Range (Fraud Assoc)",
  TRUE,"OK"
)</f>
        <v>OK</v>
      </c>
    </row>
    <row r="90" spans="1:8" ht="16.8" x14ac:dyDescent="0.3">
      <c r="A90" s="11" t="s">
        <v>3939</v>
      </c>
      <c r="B90" s="11" t="s">
        <v>109</v>
      </c>
      <c r="C90" s="12">
        <v>43783</v>
      </c>
      <c r="D90" s="11">
        <v>192</v>
      </c>
      <c r="E90" s="11">
        <v>10</v>
      </c>
      <c r="F90" s="11">
        <v>37987.230000000003</v>
      </c>
      <c r="G90" s="11">
        <v>3</v>
      </c>
      <c r="H90" s="13" t="str" cm="1">
        <f t="array" ref="H90">_xlfn.IFS(
  ISBLANK(A90),"Missing Value",
  D90&lt;0,"Review – Out of Range (Total Policies)",
  E90&lt;0,"Review – Out of Range (Lapsed Policies)",
  F90&lt;0,"Review – Out of Range (Avg Premium)",
  G90&lt;0,"Review – Out of Range (Fraud Assoc)",
  TRUE,"OK"
)</f>
        <v>OK</v>
      </c>
    </row>
    <row r="91" spans="1:8" ht="16.8" x14ac:dyDescent="0.3">
      <c r="A91" s="14" t="s">
        <v>3658</v>
      </c>
      <c r="B91" s="14" t="s">
        <v>94</v>
      </c>
      <c r="C91" s="15">
        <v>43282</v>
      </c>
      <c r="D91" s="14">
        <v>141</v>
      </c>
      <c r="E91" s="14">
        <v>21</v>
      </c>
      <c r="F91" s="14">
        <v>37207.17</v>
      </c>
      <c r="G91" s="14">
        <v>1</v>
      </c>
      <c r="H91" s="13" t="str" cm="1">
        <f t="array" ref="H91">_xlfn.IFS(
  ISBLANK(A91),"Missing Value",
  D91&lt;0,"Review – Out of Range (Total Policies)",
  E91&lt;0,"Review – Out of Range (Lapsed Policies)",
  F91&lt;0,"Review – Out of Range (Avg Premium)",
  G91&lt;0,"Review – Out of Range (Fraud Assoc)",
  TRUE,"OK"
)</f>
        <v>OK</v>
      </c>
    </row>
    <row r="92" spans="1:8" ht="16.8" x14ac:dyDescent="0.3">
      <c r="A92" s="11" t="s">
        <v>3369</v>
      </c>
      <c r="B92" s="11" t="s">
        <v>109</v>
      </c>
      <c r="C92" s="12">
        <v>44455</v>
      </c>
      <c r="D92" s="11">
        <v>61</v>
      </c>
      <c r="E92" s="11">
        <v>15</v>
      </c>
      <c r="F92" s="11">
        <v>36461.82</v>
      </c>
      <c r="G92" s="11">
        <v>4</v>
      </c>
      <c r="H92" s="13" t="str" cm="1">
        <f t="array" ref="H92">_xlfn.IFS(
  ISBLANK(A92),"Missing Value",
  D92&lt;0,"Review – Out of Range (Total Policies)",
  E92&lt;0,"Review – Out of Range (Lapsed Policies)",
  F92&lt;0,"Review – Out of Range (Avg Premium)",
  G92&lt;0,"Review – Out of Range (Fraud Assoc)",
  TRUE,"OK"
)</f>
        <v>OK</v>
      </c>
    </row>
    <row r="93" spans="1:8" ht="16.8" x14ac:dyDescent="0.3">
      <c r="A93" s="14" t="s">
        <v>4190</v>
      </c>
      <c r="B93" s="14" t="s">
        <v>55</v>
      </c>
      <c r="C93" s="15">
        <v>44615</v>
      </c>
      <c r="D93" s="14">
        <v>149</v>
      </c>
      <c r="E93" s="14">
        <v>28</v>
      </c>
      <c r="F93" s="14">
        <v>33506.129999999997</v>
      </c>
      <c r="G93" s="14">
        <v>9</v>
      </c>
      <c r="H93" s="13" t="str" cm="1">
        <f t="array" ref="H93">_xlfn.IFS(
  ISBLANK(A93),"Missing Value",
  D93&lt;0,"Review – Out of Range (Total Policies)",
  E93&lt;0,"Review – Out of Range (Lapsed Policies)",
  F93&lt;0,"Review – Out of Range (Avg Premium)",
  G93&lt;0,"Review – Out of Range (Fraud Assoc)",
  TRUE,"OK"
)</f>
        <v>OK</v>
      </c>
    </row>
    <row r="94" spans="1:8" ht="16.8" x14ac:dyDescent="0.3">
      <c r="A94" s="11" t="s">
        <v>4064</v>
      </c>
      <c r="B94" s="11" t="s">
        <v>55</v>
      </c>
      <c r="C94" s="12">
        <v>43057</v>
      </c>
      <c r="D94" s="11">
        <v>63</v>
      </c>
      <c r="E94" s="11">
        <v>3</v>
      </c>
      <c r="F94" s="11">
        <v>17653.05</v>
      </c>
      <c r="G94" s="11">
        <v>7</v>
      </c>
      <c r="H94" s="13" t="str" cm="1">
        <f t="array" ref="H94">_xlfn.IFS(
  ISBLANK(A94),"Missing Value",
  D94&lt;0,"Review – Out of Range (Total Policies)",
  E94&lt;0,"Review – Out of Range (Lapsed Policies)",
  F94&lt;0,"Review – Out of Range (Avg Premium)",
  G94&lt;0,"Review – Out of Range (Fraud Assoc)",
  TRUE,"OK"
)</f>
        <v>OK</v>
      </c>
    </row>
    <row r="95" spans="1:8" ht="16.8" x14ac:dyDescent="0.3">
      <c r="A95" s="14" t="s">
        <v>4650</v>
      </c>
      <c r="B95" s="14" t="s">
        <v>94</v>
      </c>
      <c r="C95" s="15">
        <v>44023</v>
      </c>
      <c r="D95" s="14">
        <v>115</v>
      </c>
      <c r="E95" s="14">
        <v>25</v>
      </c>
      <c r="F95" s="14">
        <v>29570.83</v>
      </c>
      <c r="G95" s="14">
        <v>9</v>
      </c>
      <c r="H95" s="13" t="str" cm="1">
        <f t="array" ref="H95">_xlfn.IFS(
  ISBLANK(A95),"Missing Value",
  D95&lt;0,"Review – Out of Range (Total Policies)",
  E95&lt;0,"Review – Out of Range (Lapsed Policies)",
  F95&lt;0,"Review – Out of Range (Avg Premium)",
  G95&lt;0,"Review – Out of Range (Fraud Assoc)",
  TRUE,"OK"
)</f>
        <v>OK</v>
      </c>
    </row>
    <row r="96" spans="1:8" ht="16.8" x14ac:dyDescent="0.3">
      <c r="A96" s="11" t="s">
        <v>3794</v>
      </c>
      <c r="B96" s="11" t="s">
        <v>55</v>
      </c>
      <c r="C96" s="12">
        <v>43704</v>
      </c>
      <c r="D96" s="11">
        <v>186</v>
      </c>
      <c r="E96" s="11">
        <v>0</v>
      </c>
      <c r="F96" s="11">
        <v>32496.07</v>
      </c>
      <c r="G96" s="11">
        <v>2</v>
      </c>
      <c r="H96" s="13" t="str" cm="1">
        <f t="array" ref="H96">_xlfn.IFS(
  ISBLANK(A96),"Missing Value",
  D96&lt;0,"Review – Out of Range (Total Policies)",
  E96&lt;0,"Review – Out of Range (Lapsed Policies)",
  F96&lt;0,"Review – Out of Range (Avg Premium)",
  G96&lt;0,"Review – Out of Range (Fraud Assoc)",
  TRUE,"OK"
)</f>
        <v>OK</v>
      </c>
    </row>
    <row r="97" spans="1:8" ht="16.8" x14ac:dyDescent="0.3">
      <c r="A97" s="14" t="s">
        <v>3894</v>
      </c>
      <c r="B97" s="14" t="s">
        <v>52</v>
      </c>
      <c r="C97" s="15">
        <v>44443</v>
      </c>
      <c r="D97" s="14">
        <v>197</v>
      </c>
      <c r="E97" s="14">
        <v>12</v>
      </c>
      <c r="F97" s="14">
        <v>34211.949999999997</v>
      </c>
      <c r="G97" s="14">
        <v>5</v>
      </c>
      <c r="H97" s="13" t="str" cm="1">
        <f t="array" ref="H97">_xlfn.IFS(
  ISBLANK(A97),"Missing Value",
  D97&lt;0,"Review – Out of Range (Total Policies)",
  E97&lt;0,"Review – Out of Range (Lapsed Policies)",
  F97&lt;0,"Review – Out of Range (Avg Premium)",
  G97&lt;0,"Review – Out of Range (Fraud Assoc)",
  TRUE,"OK"
)</f>
        <v>OK</v>
      </c>
    </row>
    <row r="98" spans="1:8" ht="16.8" x14ac:dyDescent="0.3">
      <c r="A98" s="11" t="s">
        <v>3558</v>
      </c>
      <c r="B98" s="11" t="s">
        <v>52</v>
      </c>
      <c r="C98" s="12">
        <v>43057</v>
      </c>
      <c r="D98" s="11">
        <v>100</v>
      </c>
      <c r="E98" s="11">
        <v>21</v>
      </c>
      <c r="F98" s="11">
        <v>42272.02</v>
      </c>
      <c r="G98" s="11">
        <v>0</v>
      </c>
      <c r="H98" s="13" t="str" cm="1">
        <f t="array" ref="H98">_xlfn.IFS(
  ISBLANK(A98),"Missing Value",
  D98&lt;0,"Review – Out of Range (Total Policies)",
  E98&lt;0,"Review – Out of Range (Lapsed Policies)",
  F98&lt;0,"Review – Out of Range (Avg Premium)",
  G98&lt;0,"Review – Out of Range (Fraud Assoc)",
  TRUE,"OK"
)</f>
        <v>OK</v>
      </c>
    </row>
    <row r="99" spans="1:8" ht="16.8" x14ac:dyDescent="0.3">
      <c r="A99" s="14" t="s">
        <v>3501</v>
      </c>
      <c r="B99" s="14" t="s">
        <v>52</v>
      </c>
      <c r="C99" s="15">
        <v>44618</v>
      </c>
      <c r="D99" s="14">
        <v>240</v>
      </c>
      <c r="E99" s="14">
        <v>46</v>
      </c>
      <c r="F99" s="14">
        <v>48223.08</v>
      </c>
      <c r="G99" s="14">
        <v>0</v>
      </c>
      <c r="H99" s="13" t="str" cm="1">
        <f t="array" ref="H99">_xlfn.IFS(
  ISBLANK(A99),"Missing Value",
  D99&lt;0,"Review – Out of Range (Total Policies)",
  E99&lt;0,"Review – Out of Range (Lapsed Policies)",
  F99&lt;0,"Review – Out of Range (Avg Premium)",
  G99&lt;0,"Review – Out of Range (Fraud Assoc)",
  TRUE,"OK"
)</f>
        <v>OK</v>
      </c>
    </row>
    <row r="100" spans="1:8" ht="16.8" x14ac:dyDescent="0.3">
      <c r="A100" s="11" t="s">
        <v>3397</v>
      </c>
      <c r="B100" s="11" t="s">
        <v>109</v>
      </c>
      <c r="C100" s="12">
        <v>43089</v>
      </c>
      <c r="D100" s="11">
        <v>205</v>
      </c>
      <c r="E100" s="11">
        <v>48</v>
      </c>
      <c r="F100" s="11">
        <v>16446.02</v>
      </c>
      <c r="G100" s="11">
        <v>6</v>
      </c>
      <c r="H100" s="13" t="str" cm="1">
        <f t="array" ref="H100">_xlfn.IFS(
  ISBLANK(A100),"Missing Value",
  D100&lt;0,"Review – Out of Range (Total Policies)",
  E100&lt;0,"Review – Out of Range (Lapsed Policies)",
  F100&lt;0,"Review – Out of Range (Avg Premium)",
  G100&lt;0,"Review – Out of Range (Fraud Assoc)",
  TRUE,"OK"
)</f>
        <v>OK</v>
      </c>
    </row>
    <row r="101" spans="1:8" ht="16.8" x14ac:dyDescent="0.3">
      <c r="A101" s="14" t="s">
        <v>3549</v>
      </c>
      <c r="B101" s="14" t="s">
        <v>94</v>
      </c>
      <c r="C101" s="15">
        <v>43252</v>
      </c>
      <c r="D101" s="14">
        <v>62</v>
      </c>
      <c r="E101" s="14">
        <v>12</v>
      </c>
      <c r="F101" s="14">
        <v>29769.55</v>
      </c>
      <c r="G101" s="14">
        <v>3</v>
      </c>
      <c r="H101" s="13" t="str" cm="1">
        <f t="array" ref="H101">_xlfn.IFS(
  ISBLANK(A101),"Missing Value",
  D101&lt;0,"Review – Out of Range (Total Policies)",
  E101&lt;0,"Review – Out of Range (Lapsed Policies)",
  F101&lt;0,"Review – Out of Range (Avg Premium)",
  G101&lt;0,"Review – Out of Range (Fraud Assoc)",
  TRUE,"OK"
)</f>
        <v>OK</v>
      </c>
    </row>
    <row r="102" spans="1:8" ht="16.8" x14ac:dyDescent="0.3">
      <c r="A102" s="11" t="s">
        <v>4415</v>
      </c>
      <c r="B102" s="11" t="s">
        <v>44</v>
      </c>
      <c r="C102" s="12">
        <v>43414</v>
      </c>
      <c r="D102" s="11">
        <v>57</v>
      </c>
      <c r="E102" s="11">
        <v>16</v>
      </c>
      <c r="F102" s="11">
        <v>33036.370000000003</v>
      </c>
      <c r="G102" s="11">
        <v>8</v>
      </c>
      <c r="H102" s="13" t="str" cm="1">
        <f t="array" ref="H102">_xlfn.IFS(
  ISBLANK(A102),"Missing Value",
  D102&lt;0,"Review – Out of Range (Total Policies)",
  E102&lt;0,"Review – Out of Range (Lapsed Policies)",
  F102&lt;0,"Review – Out of Range (Avg Premium)",
  G102&lt;0,"Review – Out of Range (Fraud Assoc)",
  TRUE,"OK"
)</f>
        <v>OK</v>
      </c>
    </row>
    <row r="103" spans="1:8" ht="16.8" x14ac:dyDescent="0.3">
      <c r="A103" s="14" t="s">
        <v>3997</v>
      </c>
      <c r="B103" s="14" t="s">
        <v>44</v>
      </c>
      <c r="C103" s="15">
        <v>43896</v>
      </c>
      <c r="D103" s="14">
        <v>87</v>
      </c>
      <c r="E103" s="14">
        <v>25</v>
      </c>
      <c r="F103" s="14">
        <v>38599.230000000003</v>
      </c>
      <c r="G103" s="14">
        <v>2</v>
      </c>
      <c r="H103" s="13" t="str" cm="1">
        <f t="array" ref="H103">_xlfn.IFS(
  ISBLANK(A103),"Missing Value",
  D103&lt;0,"Review – Out of Range (Total Policies)",
  E103&lt;0,"Review – Out of Range (Lapsed Policies)",
  F103&lt;0,"Review – Out of Range (Avg Premium)",
  G103&lt;0,"Review – Out of Range (Fraud Assoc)",
  TRUE,"OK"
)</f>
        <v>OK</v>
      </c>
    </row>
    <row r="104" spans="1:8" ht="16.8" x14ac:dyDescent="0.3">
      <c r="A104" s="11" t="s">
        <v>4247</v>
      </c>
      <c r="B104" s="11" t="s">
        <v>94</v>
      </c>
      <c r="C104" s="12">
        <v>42488</v>
      </c>
      <c r="D104" s="11">
        <v>190</v>
      </c>
      <c r="E104" s="11">
        <v>24</v>
      </c>
      <c r="F104" s="11">
        <v>29628.66</v>
      </c>
      <c r="G104" s="11">
        <v>6</v>
      </c>
      <c r="H104" s="13" t="str" cm="1">
        <f t="array" ref="H104">_xlfn.IFS(
  ISBLANK(A104),"Missing Value",
  D104&lt;0,"Review – Out of Range (Total Policies)",
  E104&lt;0,"Review – Out of Range (Lapsed Policies)",
  F104&lt;0,"Review – Out of Range (Avg Premium)",
  G104&lt;0,"Review – Out of Range (Fraud Assoc)",
  TRUE,"OK"
)</f>
        <v>OK</v>
      </c>
    </row>
    <row r="105" spans="1:8" ht="16.8" x14ac:dyDescent="0.3">
      <c r="A105" s="14" t="s">
        <v>4136</v>
      </c>
      <c r="B105" s="14" t="s">
        <v>60</v>
      </c>
      <c r="C105" s="15">
        <v>44822</v>
      </c>
      <c r="D105" s="14">
        <v>140</v>
      </c>
      <c r="E105" s="14">
        <v>0</v>
      </c>
      <c r="F105" s="14">
        <v>6683.84</v>
      </c>
      <c r="G105" s="14">
        <v>4</v>
      </c>
      <c r="H105" s="13" t="str" cm="1">
        <f t="array" ref="H105">_xlfn.IFS(
  ISBLANK(A105),"Missing Value",
  D105&lt;0,"Review – Out of Range (Total Policies)",
  E105&lt;0,"Review – Out of Range (Lapsed Policies)",
  F105&lt;0,"Review – Out of Range (Avg Premium)",
  G105&lt;0,"Review – Out of Range (Fraud Assoc)",
  TRUE,"OK"
)</f>
        <v>OK</v>
      </c>
    </row>
    <row r="106" spans="1:8" ht="16.8" x14ac:dyDescent="0.3">
      <c r="A106" s="11" t="s">
        <v>3447</v>
      </c>
      <c r="B106" s="11" t="s">
        <v>94</v>
      </c>
      <c r="C106" s="12">
        <v>43849</v>
      </c>
      <c r="D106" s="11">
        <v>299</v>
      </c>
      <c r="E106" s="11">
        <v>73</v>
      </c>
      <c r="F106" s="11">
        <v>34125.56</v>
      </c>
      <c r="G106" s="11">
        <v>2</v>
      </c>
      <c r="H106" s="13" t="str" cm="1">
        <f t="array" ref="H106">_xlfn.IFS(
  ISBLANK(A106),"Missing Value",
  D106&lt;0,"Review – Out of Range (Total Policies)",
  E106&lt;0,"Review – Out of Range (Lapsed Policies)",
  F106&lt;0,"Review – Out of Range (Avg Premium)",
  G106&lt;0,"Review – Out of Range (Fraud Assoc)",
  TRUE,"OK"
)</f>
        <v>OK</v>
      </c>
    </row>
    <row r="107" spans="1:8" ht="16.8" x14ac:dyDescent="0.3">
      <c r="A107" s="14" t="s">
        <v>3584</v>
      </c>
      <c r="B107" s="14" t="s">
        <v>55</v>
      </c>
      <c r="C107" s="15">
        <v>43416</v>
      </c>
      <c r="D107" s="14">
        <v>70</v>
      </c>
      <c r="E107" s="14">
        <v>6</v>
      </c>
      <c r="F107" s="14">
        <v>39984.620000000003</v>
      </c>
      <c r="G107" s="14">
        <v>6</v>
      </c>
      <c r="H107" s="13" t="str" cm="1">
        <f t="array" ref="H107">_xlfn.IFS(
  ISBLANK(A107),"Missing Value",
  D107&lt;0,"Review – Out of Range (Total Policies)",
  E107&lt;0,"Review – Out of Range (Lapsed Policies)",
  F107&lt;0,"Review – Out of Range (Avg Premium)",
  G107&lt;0,"Review – Out of Range (Fraud Assoc)",
  TRUE,"OK"
)</f>
        <v>OK</v>
      </c>
    </row>
    <row r="108" spans="1:8" ht="16.8" x14ac:dyDescent="0.3">
      <c r="A108" s="11" t="s">
        <v>4154</v>
      </c>
      <c r="B108" s="11" t="s">
        <v>60</v>
      </c>
      <c r="C108" s="12">
        <v>43048</v>
      </c>
      <c r="D108" s="11">
        <v>174</v>
      </c>
      <c r="E108" s="11">
        <v>47</v>
      </c>
      <c r="F108" s="11">
        <v>49417.58</v>
      </c>
      <c r="G108" s="11">
        <v>8</v>
      </c>
      <c r="H108" s="13" t="str" cm="1">
        <f t="array" ref="H108">_xlfn.IFS(
  ISBLANK(A108),"Missing Value",
  D108&lt;0,"Review – Out of Range (Total Policies)",
  E108&lt;0,"Review – Out of Range (Lapsed Policies)",
  F108&lt;0,"Review – Out of Range (Avg Premium)",
  G108&lt;0,"Review – Out of Range (Fraud Assoc)",
  TRUE,"OK"
)</f>
        <v>OK</v>
      </c>
    </row>
    <row r="109" spans="1:8" ht="16.8" x14ac:dyDescent="0.3">
      <c r="A109" s="14" t="s">
        <v>3465</v>
      </c>
      <c r="B109" s="14" t="s">
        <v>60</v>
      </c>
      <c r="C109" s="15">
        <v>43912</v>
      </c>
      <c r="D109" s="14">
        <v>95</v>
      </c>
      <c r="E109" s="14">
        <v>3</v>
      </c>
      <c r="F109" s="14">
        <v>41953.31</v>
      </c>
      <c r="G109" s="14">
        <v>0</v>
      </c>
      <c r="H109" s="13" t="str" cm="1">
        <f t="array" ref="H109">_xlfn.IFS(
  ISBLANK(A109),"Missing Value",
  D109&lt;0,"Review – Out of Range (Total Policies)",
  E109&lt;0,"Review – Out of Range (Lapsed Policies)",
  F109&lt;0,"Review – Out of Range (Avg Premium)",
  G109&lt;0,"Review – Out of Range (Fraud Assoc)",
  TRUE,"OK"
)</f>
        <v>OK</v>
      </c>
    </row>
    <row r="110" spans="1:8" ht="16.8" x14ac:dyDescent="0.3">
      <c r="A110" s="11" t="s">
        <v>3454</v>
      </c>
      <c r="B110" s="11" t="s">
        <v>109</v>
      </c>
      <c r="C110" s="12">
        <v>44388</v>
      </c>
      <c r="D110" s="11">
        <v>169</v>
      </c>
      <c r="E110" s="11">
        <v>21</v>
      </c>
      <c r="F110" s="11">
        <v>9134.67</v>
      </c>
      <c r="G110" s="11">
        <v>5</v>
      </c>
      <c r="H110" s="13" t="str" cm="1">
        <f t="array" ref="H110">_xlfn.IFS(
  ISBLANK(A110),"Missing Value",
  D110&lt;0,"Review – Out of Range (Total Policies)",
  E110&lt;0,"Review – Out of Range (Lapsed Policies)",
  F110&lt;0,"Review – Out of Range (Avg Premium)",
  G110&lt;0,"Review – Out of Range (Fraud Assoc)",
  TRUE,"OK"
)</f>
        <v>OK</v>
      </c>
    </row>
    <row r="111" spans="1:8" ht="16.8" x14ac:dyDescent="0.3">
      <c r="A111" s="14" t="s">
        <v>3691</v>
      </c>
      <c r="B111" s="14" t="s">
        <v>60</v>
      </c>
      <c r="C111" s="15">
        <v>44608</v>
      </c>
      <c r="D111" s="14">
        <v>56</v>
      </c>
      <c r="E111" s="14">
        <v>5</v>
      </c>
      <c r="F111" s="14">
        <v>36133.870000000003</v>
      </c>
      <c r="G111" s="14">
        <v>1</v>
      </c>
      <c r="H111" s="13" t="str" cm="1">
        <f t="array" ref="H111">_xlfn.IFS(
  ISBLANK(A111),"Missing Value",
  D111&lt;0,"Review – Out of Range (Total Policies)",
  E111&lt;0,"Review – Out of Range (Lapsed Policies)",
  F111&lt;0,"Review – Out of Range (Avg Premium)",
  G111&lt;0,"Review – Out of Range (Fraud Assoc)",
  TRUE,"OK"
)</f>
        <v>OK</v>
      </c>
    </row>
    <row r="112" spans="1:8" ht="16.8" x14ac:dyDescent="0.3">
      <c r="A112" s="11" t="s">
        <v>3640</v>
      </c>
      <c r="B112" s="11" t="s">
        <v>60</v>
      </c>
      <c r="C112" s="12">
        <v>44139</v>
      </c>
      <c r="D112" s="11">
        <v>272</v>
      </c>
      <c r="E112" s="11">
        <v>74</v>
      </c>
      <c r="F112" s="11">
        <v>8949.1200000000008</v>
      </c>
      <c r="G112" s="11">
        <v>5</v>
      </c>
      <c r="H112" s="13" t="str" cm="1">
        <f t="array" ref="H112">_xlfn.IFS(
  ISBLANK(A112),"Missing Value",
  D112&lt;0,"Review – Out of Range (Total Policies)",
  E112&lt;0,"Review – Out of Range (Lapsed Policies)",
  F112&lt;0,"Review – Out of Range (Avg Premium)",
  G112&lt;0,"Review – Out of Range (Fraud Assoc)",
  TRUE,"OK"
)</f>
        <v>OK</v>
      </c>
    </row>
    <row r="113" spans="1:8" ht="16.8" x14ac:dyDescent="0.3">
      <c r="A113" s="14" t="s">
        <v>3599</v>
      </c>
      <c r="B113" s="14" t="s">
        <v>44</v>
      </c>
      <c r="C113" s="15">
        <v>42885</v>
      </c>
      <c r="D113" s="14">
        <v>50</v>
      </c>
      <c r="E113" s="14">
        <v>1</v>
      </c>
      <c r="F113" s="14">
        <v>28511.3</v>
      </c>
      <c r="G113" s="14">
        <v>0</v>
      </c>
      <c r="H113" s="13" t="str" cm="1">
        <f t="array" ref="H113">_xlfn.IFS(
  ISBLANK(A113),"Missing Value",
  D113&lt;0,"Review – Out of Range (Total Policies)",
  E113&lt;0,"Review – Out of Range (Lapsed Policies)",
  F113&lt;0,"Review – Out of Range (Avg Premium)",
  G113&lt;0,"Review – Out of Range (Fraud Assoc)",
  TRUE,"OK"
)</f>
        <v>OK</v>
      </c>
    </row>
    <row r="114" spans="1:8" ht="16.8" x14ac:dyDescent="0.3">
      <c r="A114" s="11" t="s">
        <v>3881</v>
      </c>
      <c r="B114" s="11" t="s">
        <v>60</v>
      </c>
      <c r="C114" s="12">
        <v>42715</v>
      </c>
      <c r="D114" s="11">
        <v>97</v>
      </c>
      <c r="E114" s="11">
        <v>14</v>
      </c>
      <c r="F114" s="11">
        <v>39731.31</v>
      </c>
      <c r="G114" s="11">
        <v>4</v>
      </c>
      <c r="H114" s="13" t="str" cm="1">
        <f t="array" ref="H114">_xlfn.IFS(
  ISBLANK(A114),"Missing Value",
  D114&lt;0,"Review – Out of Range (Total Policies)",
  E114&lt;0,"Review – Out of Range (Lapsed Policies)",
  F114&lt;0,"Review – Out of Range (Avg Premium)",
  G114&lt;0,"Review – Out of Range (Fraud Assoc)",
  TRUE,"OK"
)</f>
        <v>OK</v>
      </c>
    </row>
    <row r="115" spans="1:8" ht="16.8" x14ac:dyDescent="0.3">
      <c r="A115" s="14" t="s">
        <v>4043</v>
      </c>
      <c r="B115" s="14" t="s">
        <v>44</v>
      </c>
      <c r="C115" s="15">
        <v>43551</v>
      </c>
      <c r="D115" s="14">
        <v>272</v>
      </c>
      <c r="E115" s="14">
        <v>10</v>
      </c>
      <c r="F115" s="14">
        <v>6038.16</v>
      </c>
      <c r="G115" s="14">
        <v>9</v>
      </c>
      <c r="H115" s="13" t="str" cm="1">
        <f t="array" ref="H115">_xlfn.IFS(
  ISBLANK(A115),"Missing Value",
  D115&lt;0,"Review – Out of Range (Total Policies)",
  E115&lt;0,"Review – Out of Range (Lapsed Policies)",
  F115&lt;0,"Review – Out of Range (Avg Premium)",
  G115&lt;0,"Review – Out of Range (Fraud Assoc)",
  TRUE,"OK"
)</f>
        <v>OK</v>
      </c>
    </row>
    <row r="116" spans="1:8" ht="16.8" x14ac:dyDescent="0.3">
      <c r="A116" s="11" t="s">
        <v>4006</v>
      </c>
      <c r="B116" s="11" t="s">
        <v>44</v>
      </c>
      <c r="C116" s="12">
        <v>43317</v>
      </c>
      <c r="D116" s="11">
        <v>251</v>
      </c>
      <c r="E116" s="11">
        <v>33</v>
      </c>
      <c r="F116" s="11">
        <v>34381.550000000003</v>
      </c>
      <c r="G116" s="11">
        <v>8</v>
      </c>
      <c r="H116" s="13" t="str" cm="1">
        <f t="array" ref="H116">_xlfn.IFS(
  ISBLANK(A116),"Missing Value",
  D116&lt;0,"Review – Out of Range (Total Policies)",
  E116&lt;0,"Review – Out of Range (Lapsed Policies)",
  F116&lt;0,"Review – Out of Range (Avg Premium)",
  G116&lt;0,"Review – Out of Range (Fraud Assoc)",
  TRUE,"OK"
)</f>
        <v>OK</v>
      </c>
    </row>
    <row r="117" spans="1:8" ht="16.8" x14ac:dyDescent="0.3">
      <c r="A117" s="14" t="s">
        <v>3968</v>
      </c>
      <c r="B117" s="14" t="s">
        <v>52</v>
      </c>
      <c r="C117" s="15">
        <v>44193</v>
      </c>
      <c r="D117" s="14">
        <v>163</v>
      </c>
      <c r="E117" s="14">
        <v>5</v>
      </c>
      <c r="F117" s="14">
        <v>38911.279999999999</v>
      </c>
      <c r="G117" s="14">
        <v>4</v>
      </c>
      <c r="H117" s="13" t="str" cm="1">
        <f t="array" ref="H117">_xlfn.IFS(
  ISBLANK(A117),"Missing Value",
  D117&lt;0,"Review – Out of Range (Total Policies)",
  E117&lt;0,"Review – Out of Range (Lapsed Policies)",
  F117&lt;0,"Review – Out of Range (Avg Premium)",
  G117&lt;0,"Review – Out of Range (Fraud Assoc)",
  TRUE,"OK"
)</f>
        <v>OK</v>
      </c>
    </row>
    <row r="118" spans="1:8" ht="16.8" x14ac:dyDescent="0.3">
      <c r="A118" s="11" t="s">
        <v>3620</v>
      </c>
      <c r="B118" s="11" t="s">
        <v>94</v>
      </c>
      <c r="C118" s="12">
        <v>43190</v>
      </c>
      <c r="D118" s="11">
        <v>295</v>
      </c>
      <c r="E118" s="11">
        <v>39</v>
      </c>
      <c r="F118" s="11">
        <v>11406.97</v>
      </c>
      <c r="G118" s="11">
        <v>2</v>
      </c>
      <c r="H118" s="13" t="str" cm="1">
        <f t="array" ref="H118">_xlfn.IFS(
  ISBLANK(A118),"Missing Value",
  D118&lt;0,"Review – Out of Range (Total Policies)",
  E118&lt;0,"Review – Out of Range (Lapsed Policies)",
  F118&lt;0,"Review – Out of Range (Avg Premium)",
  G118&lt;0,"Review – Out of Range (Fraud Assoc)",
  TRUE,"OK"
)</f>
        <v>OK</v>
      </c>
    </row>
    <row r="119" spans="1:8" ht="16.8" x14ac:dyDescent="0.3">
      <c r="A119" s="14" t="s">
        <v>3471</v>
      </c>
      <c r="B119" s="14" t="s">
        <v>60</v>
      </c>
      <c r="C119" s="15">
        <v>44051</v>
      </c>
      <c r="D119" s="14">
        <v>262</v>
      </c>
      <c r="E119" s="14">
        <v>18</v>
      </c>
      <c r="F119" s="14">
        <v>26835.86</v>
      </c>
      <c r="G119" s="14">
        <v>0</v>
      </c>
      <c r="H119" s="13" t="str" cm="1">
        <f t="array" ref="H119">_xlfn.IFS(
  ISBLANK(A119),"Missing Value",
  D119&lt;0,"Review – Out of Range (Total Policies)",
  E119&lt;0,"Review – Out of Range (Lapsed Policies)",
  F119&lt;0,"Review – Out of Range (Avg Premium)",
  G119&lt;0,"Review – Out of Range (Fraud Assoc)",
  TRUE,"OK"
)</f>
        <v>OK</v>
      </c>
    </row>
    <row r="120" spans="1:8" ht="16.8" x14ac:dyDescent="0.3">
      <c r="A120" s="11" t="s">
        <v>3367</v>
      </c>
      <c r="B120" s="11" t="s">
        <v>52</v>
      </c>
      <c r="C120" s="12">
        <v>44438</v>
      </c>
      <c r="D120" s="11">
        <v>298</v>
      </c>
      <c r="E120" s="11">
        <v>65</v>
      </c>
      <c r="F120" s="11">
        <v>34593.11</v>
      </c>
      <c r="G120" s="11">
        <v>3</v>
      </c>
      <c r="H120" s="13" t="str" cm="1">
        <f t="array" ref="H120">_xlfn.IFS(
  ISBLANK(A120),"Missing Value",
  D120&lt;0,"Review – Out of Range (Total Policies)",
  E120&lt;0,"Review – Out of Range (Lapsed Policies)",
  F120&lt;0,"Review – Out of Range (Avg Premium)",
  G120&lt;0,"Review – Out of Range (Fraud Assoc)",
  TRUE,"OK"
)</f>
        <v>OK</v>
      </c>
    </row>
    <row r="121" spans="1:8" ht="16.8" x14ac:dyDescent="0.3">
      <c r="A121" s="14" t="s">
        <v>3571</v>
      </c>
      <c r="B121" s="14" t="s">
        <v>52</v>
      </c>
      <c r="C121" s="15">
        <v>43759</v>
      </c>
      <c r="D121" s="14">
        <v>107</v>
      </c>
      <c r="E121" s="14">
        <v>31</v>
      </c>
      <c r="F121" s="14">
        <v>15421.58</v>
      </c>
      <c r="G121" s="14">
        <v>4</v>
      </c>
      <c r="H121" s="13" t="str" cm="1">
        <f t="array" ref="H121">_xlfn.IFS(
  ISBLANK(A121),"Missing Value",
  D121&lt;0,"Review – Out of Range (Total Policies)",
  E121&lt;0,"Review – Out of Range (Lapsed Policies)",
  F121&lt;0,"Review – Out of Range (Avg Premium)",
  G121&lt;0,"Review – Out of Range (Fraud Assoc)",
  TRUE,"OK"
)</f>
        <v>OK</v>
      </c>
    </row>
    <row r="122" spans="1:8" ht="16.8" x14ac:dyDescent="0.3">
      <c r="A122" s="11" t="s">
        <v>3721</v>
      </c>
      <c r="B122" s="11" t="s">
        <v>94</v>
      </c>
      <c r="C122" s="12">
        <v>43255</v>
      </c>
      <c r="D122" s="11">
        <v>298</v>
      </c>
      <c r="E122" s="11">
        <v>84</v>
      </c>
      <c r="F122" s="11">
        <v>25674.15</v>
      </c>
      <c r="G122" s="11">
        <v>4</v>
      </c>
      <c r="H122" s="13" t="str" cm="1">
        <f t="array" ref="H122">_xlfn.IFS(
  ISBLANK(A122),"Missing Value",
  D122&lt;0,"Review – Out of Range (Total Policies)",
  E122&lt;0,"Review – Out of Range (Lapsed Policies)",
  F122&lt;0,"Review – Out of Range (Avg Premium)",
  G122&lt;0,"Review – Out of Range (Fraud Assoc)",
  TRUE,"OK"
)</f>
        <v>OK</v>
      </c>
    </row>
    <row r="123" spans="1:8" ht="16.8" x14ac:dyDescent="0.3">
      <c r="A123" s="14" t="s">
        <v>3644</v>
      </c>
      <c r="B123" s="14" t="s">
        <v>52</v>
      </c>
      <c r="C123" s="15">
        <v>44577</v>
      </c>
      <c r="D123" s="14">
        <v>269</v>
      </c>
      <c r="E123" s="14">
        <v>55</v>
      </c>
      <c r="F123" s="14">
        <v>5819.39</v>
      </c>
      <c r="G123" s="14">
        <v>6</v>
      </c>
      <c r="H123" s="13" t="str" cm="1">
        <f t="array" ref="H123">_xlfn.IFS(
  ISBLANK(A123),"Missing Value",
  D123&lt;0,"Review – Out of Range (Total Policies)",
  E123&lt;0,"Review – Out of Range (Lapsed Policies)",
  F123&lt;0,"Review – Out of Range (Avg Premium)",
  G123&lt;0,"Review – Out of Range (Fraud Assoc)",
  TRUE,"OK"
)</f>
        <v>OK</v>
      </c>
    </row>
    <row r="124" spans="1:8" ht="16.8" x14ac:dyDescent="0.3">
      <c r="A124" s="11" t="s">
        <v>3442</v>
      </c>
      <c r="B124" s="11" t="s">
        <v>52</v>
      </c>
      <c r="C124" s="12">
        <v>44657</v>
      </c>
      <c r="D124" s="11">
        <v>188</v>
      </c>
      <c r="E124" s="11">
        <v>44</v>
      </c>
      <c r="F124" s="11">
        <v>18919.810000000001</v>
      </c>
      <c r="G124" s="11">
        <v>3</v>
      </c>
      <c r="H124" s="13" t="str" cm="1">
        <f t="array" ref="H124">_xlfn.IFS(
  ISBLANK(A124),"Missing Value",
  D124&lt;0,"Review – Out of Range (Total Policies)",
  E124&lt;0,"Review – Out of Range (Lapsed Policies)",
  F124&lt;0,"Review – Out of Range (Avg Premium)",
  G124&lt;0,"Review – Out of Range (Fraud Assoc)",
  TRUE,"OK"
)</f>
        <v>OK</v>
      </c>
    </row>
    <row r="125" spans="1:8" ht="16.8" x14ac:dyDescent="0.3">
      <c r="A125" s="14" t="s">
        <v>5438</v>
      </c>
      <c r="B125" s="14" t="s">
        <v>55</v>
      </c>
      <c r="C125" s="15">
        <v>42779</v>
      </c>
      <c r="D125" s="14">
        <v>176</v>
      </c>
      <c r="E125" s="14">
        <v>28</v>
      </c>
      <c r="F125" s="14">
        <v>40275.53</v>
      </c>
      <c r="G125" s="14">
        <v>4</v>
      </c>
      <c r="H125" s="13" t="str" cm="1">
        <f t="array" ref="H125">_xlfn.IFS(
  ISBLANK(A125),"Missing Value",
  D125&lt;0,"Review – Out of Range (Total Policies)",
  E125&lt;0,"Review – Out of Range (Lapsed Policies)",
  F125&lt;0,"Review – Out of Range (Avg Premium)",
  G125&lt;0,"Review – Out of Range (Fraud Assoc)",
  TRUE,"OK"
)</f>
        <v>OK</v>
      </c>
    </row>
    <row r="126" spans="1:8" ht="16.8" x14ac:dyDescent="0.3">
      <c r="A126" s="11" t="s">
        <v>3459</v>
      </c>
      <c r="B126" s="11" t="s">
        <v>94</v>
      </c>
      <c r="C126" s="12">
        <v>42128</v>
      </c>
      <c r="D126" s="11">
        <v>169</v>
      </c>
      <c r="E126" s="11">
        <v>28</v>
      </c>
      <c r="F126" s="11">
        <v>39484.629999999997</v>
      </c>
      <c r="G126" s="11">
        <v>1</v>
      </c>
      <c r="H126" s="13" t="str" cm="1">
        <f t="array" ref="H126">_xlfn.IFS(
  ISBLANK(A126),"Missing Value",
  D126&lt;0,"Review – Out of Range (Total Policies)",
  E126&lt;0,"Review – Out of Range (Lapsed Policies)",
  F126&lt;0,"Review – Out of Range (Avg Premium)",
  G126&lt;0,"Review – Out of Range (Fraud Assoc)",
  TRUE,"OK"
)</f>
        <v>OK</v>
      </c>
    </row>
    <row r="127" spans="1:8" ht="16.8" x14ac:dyDescent="0.3">
      <c r="A127" s="14" t="s">
        <v>3436</v>
      </c>
      <c r="B127" s="14" t="s">
        <v>94</v>
      </c>
      <c r="C127" s="15">
        <v>42119</v>
      </c>
      <c r="D127" s="14">
        <v>112</v>
      </c>
      <c r="E127" s="14">
        <v>3</v>
      </c>
      <c r="F127" s="14">
        <v>10164.870000000001</v>
      </c>
      <c r="G127" s="14">
        <v>4</v>
      </c>
      <c r="H127" s="13" t="str" cm="1">
        <f t="array" ref="H127">_xlfn.IFS(
  ISBLANK(A127),"Missing Value",
  D127&lt;0,"Review – Out of Range (Total Policies)",
  E127&lt;0,"Review – Out of Range (Lapsed Policies)",
  F127&lt;0,"Review – Out of Range (Avg Premium)",
  G127&lt;0,"Review – Out of Range (Fraud Assoc)",
  TRUE,"OK"
)</f>
        <v>OK</v>
      </c>
    </row>
    <row r="128" spans="1:8" ht="16.8" x14ac:dyDescent="0.3">
      <c r="A128" s="11" t="s">
        <v>3407</v>
      </c>
      <c r="B128" s="11" t="s">
        <v>60</v>
      </c>
      <c r="C128" s="12">
        <v>44639</v>
      </c>
      <c r="D128" s="11">
        <v>114</v>
      </c>
      <c r="E128" s="11">
        <v>1</v>
      </c>
      <c r="F128" s="11">
        <v>38879.97</v>
      </c>
      <c r="G128" s="11">
        <v>1</v>
      </c>
      <c r="H128" s="13" t="str" cm="1">
        <f t="array" ref="H128">_xlfn.IFS(
  ISBLANK(A128),"Missing Value",
  D128&lt;0,"Review – Out of Range (Total Policies)",
  E128&lt;0,"Review – Out of Range (Lapsed Policies)",
  F128&lt;0,"Review – Out of Range (Avg Premium)",
  G128&lt;0,"Review – Out of Range (Fraud Assoc)",
  TRUE,"OK"
)</f>
        <v>OK</v>
      </c>
    </row>
    <row r="129" spans="1:8" ht="16.8" x14ac:dyDescent="0.3">
      <c r="A129" s="14" t="s">
        <v>3852</v>
      </c>
      <c r="B129" s="14" t="s">
        <v>55</v>
      </c>
      <c r="C129" s="15">
        <v>43234</v>
      </c>
      <c r="D129" s="14">
        <v>131</v>
      </c>
      <c r="E129" s="14">
        <v>10</v>
      </c>
      <c r="F129" s="14">
        <v>44502.69</v>
      </c>
      <c r="G129" s="14">
        <v>6</v>
      </c>
      <c r="H129" s="13" t="str" cm="1">
        <f t="array" ref="H129">_xlfn.IFS(
  ISBLANK(A129),"Missing Value",
  D129&lt;0,"Review – Out of Range (Total Policies)",
  E129&lt;0,"Review – Out of Range (Lapsed Policies)",
  F129&lt;0,"Review – Out of Range (Avg Premium)",
  G129&lt;0,"Review – Out of Range (Fraud Assoc)",
  TRUE,"OK"
)</f>
        <v>OK</v>
      </c>
    </row>
    <row r="130" spans="1:8" ht="16.8" x14ac:dyDescent="0.3">
      <c r="A130" s="11" t="s">
        <v>4575</v>
      </c>
      <c r="B130" s="11" t="s">
        <v>60</v>
      </c>
      <c r="C130" s="12">
        <v>43580</v>
      </c>
      <c r="D130" s="11">
        <v>54</v>
      </c>
      <c r="E130" s="11">
        <v>12</v>
      </c>
      <c r="F130" s="11">
        <v>10432.73</v>
      </c>
      <c r="G130" s="11">
        <v>1</v>
      </c>
      <c r="H130" s="13" t="str" cm="1">
        <f t="array" ref="H130">_xlfn.IFS(
  ISBLANK(A130),"Missing Value",
  D130&lt;0,"Review – Out of Range (Total Policies)",
  E130&lt;0,"Review – Out of Range (Lapsed Policies)",
  F130&lt;0,"Review – Out of Range (Avg Premium)",
  G130&lt;0,"Review – Out of Range (Fraud Assoc)",
  TRUE,"OK"
)</f>
        <v>OK</v>
      </c>
    </row>
    <row r="131" spans="1:8" ht="16.8" x14ac:dyDescent="0.3">
      <c r="A131" s="14" t="s">
        <v>3789</v>
      </c>
      <c r="B131" s="14" t="s">
        <v>44</v>
      </c>
      <c r="C131" s="15">
        <v>43341</v>
      </c>
      <c r="D131" s="14">
        <v>77</v>
      </c>
      <c r="E131" s="14">
        <v>20</v>
      </c>
      <c r="F131" s="14">
        <v>14570.54</v>
      </c>
      <c r="G131" s="14">
        <v>6</v>
      </c>
      <c r="H131" s="13" t="str" cm="1">
        <f t="array" ref="H131">_xlfn.IFS(
  ISBLANK(A131),"Missing Value",
  D131&lt;0,"Review – Out of Range (Total Policies)",
  E131&lt;0,"Review – Out of Range (Lapsed Policies)",
  F131&lt;0,"Review – Out of Range (Avg Premium)",
  G131&lt;0,"Review – Out of Range (Fraud Assoc)",
  TRUE,"OK"
)</f>
        <v>OK</v>
      </c>
    </row>
    <row r="132" spans="1:8" ht="16.8" x14ac:dyDescent="0.3">
      <c r="A132" s="11" t="s">
        <v>4108</v>
      </c>
      <c r="B132" s="11" t="s">
        <v>109</v>
      </c>
      <c r="C132" s="12">
        <v>43208</v>
      </c>
      <c r="D132" s="11">
        <v>74</v>
      </c>
      <c r="E132" s="11">
        <v>1</v>
      </c>
      <c r="F132" s="11">
        <v>6352.81</v>
      </c>
      <c r="G132" s="11">
        <v>3</v>
      </c>
      <c r="H132" s="13" t="str" cm="1">
        <f t="array" ref="H132">_xlfn.IFS(
  ISBLANK(A132),"Missing Value",
  D132&lt;0,"Review – Out of Range (Total Policies)",
  E132&lt;0,"Review – Out of Range (Lapsed Policies)",
  F132&lt;0,"Review – Out of Range (Avg Premium)",
  G132&lt;0,"Review – Out of Range (Fraud Assoc)",
  TRUE,"OK"
)</f>
        <v>OK</v>
      </c>
    </row>
    <row r="133" spans="1:8" ht="16.8" x14ac:dyDescent="0.3">
      <c r="A133" s="14" t="s">
        <v>3564</v>
      </c>
      <c r="B133" s="14" t="s">
        <v>52</v>
      </c>
      <c r="C133" s="15">
        <v>42829</v>
      </c>
      <c r="D133" s="14">
        <v>116</v>
      </c>
      <c r="E133" s="14">
        <v>20</v>
      </c>
      <c r="F133" s="14">
        <v>9380.3700000000008</v>
      </c>
      <c r="G133" s="14">
        <v>9</v>
      </c>
      <c r="H133" s="13" t="str" cm="1">
        <f t="array" ref="H133">_xlfn.IFS(
  ISBLANK(A133),"Missing Value",
  D133&lt;0,"Review – Out of Range (Total Policies)",
  E133&lt;0,"Review – Out of Range (Lapsed Policies)",
  F133&lt;0,"Review – Out of Range (Avg Premium)",
  G133&lt;0,"Review – Out of Range (Fraud Assoc)",
  TRUE,"OK"
)</f>
        <v>OK</v>
      </c>
    </row>
    <row r="134" spans="1:8" ht="16.8" x14ac:dyDescent="0.3">
      <c r="A134" s="11" t="s">
        <v>3421</v>
      </c>
      <c r="B134" s="11" t="s">
        <v>109</v>
      </c>
      <c r="C134" s="12">
        <v>44270</v>
      </c>
      <c r="D134" s="11">
        <v>216</v>
      </c>
      <c r="E134" s="11">
        <v>41</v>
      </c>
      <c r="F134" s="11">
        <v>31188.69</v>
      </c>
      <c r="G134" s="11">
        <v>8</v>
      </c>
      <c r="H134" s="13" t="str" cm="1">
        <f t="array" ref="H134">_xlfn.IFS(
  ISBLANK(A134),"Missing Value",
  D134&lt;0,"Review – Out of Range (Total Policies)",
  E134&lt;0,"Review – Out of Range (Lapsed Policies)",
  F134&lt;0,"Review – Out of Range (Avg Premium)",
  G134&lt;0,"Review – Out of Range (Fraud Assoc)",
  TRUE,"OK"
)</f>
        <v>OK</v>
      </c>
    </row>
    <row r="135" spans="1:8" ht="16.8" x14ac:dyDescent="0.3">
      <c r="A135" s="14" t="s">
        <v>3617</v>
      </c>
      <c r="B135" s="14" t="s">
        <v>60</v>
      </c>
      <c r="C135" s="15">
        <v>42885</v>
      </c>
      <c r="D135" s="14">
        <v>193</v>
      </c>
      <c r="E135" s="14">
        <v>41</v>
      </c>
      <c r="F135" s="14">
        <v>46337.29</v>
      </c>
      <c r="G135" s="14">
        <v>1</v>
      </c>
      <c r="H135" s="13" t="str" cm="1">
        <f t="array" ref="H135">_xlfn.IFS(
  ISBLANK(A135),"Missing Value",
  D135&lt;0,"Review – Out of Range (Total Policies)",
  E135&lt;0,"Review – Out of Range (Lapsed Policies)",
  F135&lt;0,"Review – Out of Range (Avg Premium)",
  G135&lt;0,"Review – Out of Range (Fraud Assoc)",
  TRUE,"OK"
)</f>
        <v>OK</v>
      </c>
    </row>
    <row r="136" spans="1:8" ht="16.8" x14ac:dyDescent="0.3">
      <c r="A136" s="11" t="s">
        <v>4151</v>
      </c>
      <c r="B136" s="11" t="s">
        <v>60</v>
      </c>
      <c r="C136" s="12">
        <v>43024</v>
      </c>
      <c r="D136" s="11">
        <v>108</v>
      </c>
      <c r="E136" s="11">
        <v>31</v>
      </c>
      <c r="F136" s="11">
        <v>23696.59</v>
      </c>
      <c r="G136" s="11">
        <v>7</v>
      </c>
      <c r="H136" s="13" t="str" cm="1">
        <f t="array" ref="H136">_xlfn.IFS(
  ISBLANK(A136),"Missing Value",
  D136&lt;0,"Review – Out of Range (Total Policies)",
  E136&lt;0,"Review – Out of Range (Lapsed Policies)",
  F136&lt;0,"Review – Out of Range (Avg Premium)",
  G136&lt;0,"Review – Out of Range (Fraud Assoc)",
  TRUE,"OK"
)</f>
        <v>OK</v>
      </c>
    </row>
    <row r="137" spans="1:8" ht="16.8" x14ac:dyDescent="0.3">
      <c r="A137" s="14" t="s">
        <v>3538</v>
      </c>
      <c r="B137" s="14" t="s">
        <v>52</v>
      </c>
      <c r="C137" s="15">
        <v>43368</v>
      </c>
      <c r="D137" s="14">
        <v>287</v>
      </c>
      <c r="E137" s="14">
        <v>42</v>
      </c>
      <c r="F137" s="14">
        <v>44729.63</v>
      </c>
      <c r="G137" s="14">
        <v>2</v>
      </c>
      <c r="H137" s="13" t="str" cm="1">
        <f t="array" ref="H137">_xlfn.IFS(
  ISBLANK(A137),"Missing Value",
  D137&lt;0,"Review – Out of Range (Total Policies)",
  E137&lt;0,"Review – Out of Range (Lapsed Policies)",
  F137&lt;0,"Review – Out of Range (Avg Premium)",
  G137&lt;0,"Review – Out of Range (Fraud Assoc)",
  TRUE,"OK"
)</f>
        <v>OK</v>
      </c>
    </row>
    <row r="138" spans="1:8" ht="16.8" x14ac:dyDescent="0.3">
      <c r="A138" s="11" t="s">
        <v>3415</v>
      </c>
      <c r="B138" s="11" t="s">
        <v>94</v>
      </c>
      <c r="C138" s="12">
        <v>43007</v>
      </c>
      <c r="D138" s="11">
        <v>223</v>
      </c>
      <c r="E138" s="11">
        <v>12</v>
      </c>
      <c r="F138" s="11">
        <v>34604.11</v>
      </c>
      <c r="G138" s="11">
        <v>3</v>
      </c>
      <c r="H138" s="13" t="str" cm="1">
        <f t="array" ref="H138">_xlfn.IFS(
  ISBLANK(A138),"Missing Value",
  D138&lt;0,"Review – Out of Range (Total Policies)",
  E138&lt;0,"Review – Out of Range (Lapsed Policies)",
  F138&lt;0,"Review – Out of Range (Avg Premium)",
  G138&lt;0,"Review – Out of Range (Fraud Assoc)",
  TRUE,"OK"
)</f>
        <v>OK</v>
      </c>
    </row>
    <row r="139" spans="1:8" ht="16.8" x14ac:dyDescent="0.3">
      <c r="A139" s="14" t="s">
        <v>3434</v>
      </c>
      <c r="B139" s="14" t="s">
        <v>60</v>
      </c>
      <c r="C139" s="15">
        <v>43434</v>
      </c>
      <c r="D139" s="14">
        <v>131</v>
      </c>
      <c r="E139" s="14">
        <v>0</v>
      </c>
      <c r="F139" s="14">
        <v>10746.96</v>
      </c>
      <c r="G139" s="14">
        <v>2</v>
      </c>
      <c r="H139" s="13" t="str" cm="1">
        <f t="array" ref="H139">_xlfn.IFS(
  ISBLANK(A139),"Missing Value",
  D139&lt;0,"Review – Out of Range (Total Policies)",
  E139&lt;0,"Review – Out of Range (Lapsed Policies)",
  F139&lt;0,"Review – Out of Range (Avg Premium)",
  G139&lt;0,"Review – Out of Range (Fraud Assoc)",
  TRUE,"OK"
)</f>
        <v>OK</v>
      </c>
    </row>
    <row r="140" spans="1:8" ht="16.8" x14ac:dyDescent="0.3">
      <c r="A140" s="11" t="s">
        <v>3982</v>
      </c>
      <c r="B140" s="11" t="s">
        <v>44</v>
      </c>
      <c r="C140" s="12">
        <v>43713</v>
      </c>
      <c r="D140" s="11">
        <v>88</v>
      </c>
      <c r="E140" s="11">
        <v>22</v>
      </c>
      <c r="F140" s="11">
        <v>27215.89</v>
      </c>
      <c r="G140" s="11">
        <v>0</v>
      </c>
      <c r="H140" s="13" t="str" cm="1">
        <f t="array" ref="H140">_xlfn.IFS(
  ISBLANK(A140),"Missing Value",
  D140&lt;0,"Review – Out of Range (Total Policies)",
  E140&lt;0,"Review – Out of Range (Lapsed Policies)",
  F140&lt;0,"Review – Out of Range (Avg Premium)",
  G140&lt;0,"Review – Out of Range (Fraud Assoc)",
  TRUE,"OK"
)</f>
        <v>OK</v>
      </c>
    </row>
    <row r="141" spans="1:8" ht="16.8" x14ac:dyDescent="0.3">
      <c r="A141" s="14" t="s">
        <v>4900</v>
      </c>
      <c r="B141" s="14" t="s">
        <v>109</v>
      </c>
      <c r="C141" s="15">
        <v>42668</v>
      </c>
      <c r="D141" s="14">
        <v>153</v>
      </c>
      <c r="E141" s="14">
        <v>36</v>
      </c>
      <c r="F141" s="14">
        <v>39014.559999999998</v>
      </c>
      <c r="G141" s="14">
        <v>6</v>
      </c>
      <c r="H141" s="13" t="str" cm="1">
        <f t="array" ref="H141">_xlfn.IFS(
  ISBLANK(A141),"Missing Value",
  D141&lt;0,"Review – Out of Range (Total Policies)",
  E141&lt;0,"Review – Out of Range (Lapsed Policies)",
  F141&lt;0,"Review – Out of Range (Avg Premium)",
  G141&lt;0,"Review – Out of Range (Fraud Assoc)",
  TRUE,"OK"
)</f>
        <v>OK</v>
      </c>
    </row>
    <row r="142" spans="1:8" ht="16.8" x14ac:dyDescent="0.3">
      <c r="A142" s="11" t="s">
        <v>3725</v>
      </c>
      <c r="B142" s="11" t="s">
        <v>60</v>
      </c>
      <c r="C142" s="12">
        <v>44150</v>
      </c>
      <c r="D142" s="11">
        <v>139</v>
      </c>
      <c r="E142" s="11">
        <v>33</v>
      </c>
      <c r="F142" s="11">
        <v>37964.019999999997</v>
      </c>
      <c r="G142" s="11">
        <v>2</v>
      </c>
      <c r="H142" s="13" t="str" cm="1">
        <f t="array" ref="H142">_xlfn.IFS(
  ISBLANK(A142),"Missing Value",
  D142&lt;0,"Review – Out of Range (Total Policies)",
  E142&lt;0,"Review – Out of Range (Lapsed Policies)",
  F142&lt;0,"Review – Out of Range (Avg Premium)",
  G142&lt;0,"Review – Out of Range (Fraud Assoc)",
  TRUE,"OK"
)</f>
        <v>OK</v>
      </c>
    </row>
    <row r="143" spans="1:8" ht="16.8" x14ac:dyDescent="0.3">
      <c r="A143" s="14" t="s">
        <v>3469</v>
      </c>
      <c r="B143" s="14" t="s">
        <v>109</v>
      </c>
      <c r="C143" s="15">
        <v>43706</v>
      </c>
      <c r="D143" s="14">
        <v>235</v>
      </c>
      <c r="E143" s="14">
        <v>26</v>
      </c>
      <c r="F143" s="14">
        <v>42343.5</v>
      </c>
      <c r="G143" s="14">
        <v>6</v>
      </c>
      <c r="H143" s="13" t="str" cm="1">
        <f t="array" ref="H143">_xlfn.IFS(
  ISBLANK(A143),"Missing Value",
  D143&lt;0,"Review – Out of Range (Total Policies)",
  E143&lt;0,"Review – Out of Range (Lapsed Policies)",
  F143&lt;0,"Review – Out of Range (Avg Premium)",
  G143&lt;0,"Review – Out of Range (Fraud Assoc)",
  TRUE,"OK"
)</f>
        <v>OK</v>
      </c>
    </row>
    <row r="144" spans="1:8" ht="16.8" x14ac:dyDescent="0.3">
      <c r="A144" s="11" t="s">
        <v>3475</v>
      </c>
      <c r="B144" s="11" t="s">
        <v>52</v>
      </c>
      <c r="C144" s="12">
        <v>43988</v>
      </c>
      <c r="D144" s="11">
        <v>116</v>
      </c>
      <c r="E144" s="11">
        <v>20</v>
      </c>
      <c r="F144" s="11">
        <v>25797.84</v>
      </c>
      <c r="G144" s="11">
        <v>3</v>
      </c>
      <c r="H144" s="13" t="str" cm="1">
        <f t="array" ref="H144">_xlfn.IFS(
  ISBLANK(A144),"Missing Value",
  D144&lt;0,"Review – Out of Range (Total Policies)",
  E144&lt;0,"Review – Out of Range (Lapsed Policies)",
  F144&lt;0,"Review – Out of Range (Avg Premium)",
  G144&lt;0,"Review – Out of Range (Fraud Assoc)",
  TRUE,"OK"
)</f>
        <v>OK</v>
      </c>
    </row>
    <row r="145" spans="1:8" ht="16.8" x14ac:dyDescent="0.3">
      <c r="A145" s="14" t="s">
        <v>3451</v>
      </c>
      <c r="B145" s="14" t="s">
        <v>94</v>
      </c>
      <c r="C145" s="15">
        <v>43514</v>
      </c>
      <c r="D145" s="14">
        <v>231</v>
      </c>
      <c r="E145" s="14">
        <v>29</v>
      </c>
      <c r="F145" s="14">
        <v>9306.15</v>
      </c>
      <c r="G145" s="14">
        <v>3</v>
      </c>
      <c r="H145" s="13" t="str" cm="1">
        <f t="array" ref="H145">_xlfn.IFS(
  ISBLANK(A145),"Missing Value",
  D145&lt;0,"Review – Out of Range (Total Policies)",
  E145&lt;0,"Review – Out of Range (Lapsed Policies)",
  F145&lt;0,"Review – Out of Range (Avg Premium)",
  G145&lt;0,"Review – Out of Range (Fraud Assoc)",
  TRUE,"OK"
)</f>
        <v>OK</v>
      </c>
    </row>
    <row r="146" spans="1:8" ht="16.8" x14ac:dyDescent="0.3">
      <c r="A146" s="11" t="s">
        <v>3655</v>
      </c>
      <c r="B146" s="11" t="s">
        <v>52</v>
      </c>
      <c r="C146" s="12">
        <v>44482</v>
      </c>
      <c r="D146" s="11">
        <v>197</v>
      </c>
      <c r="E146" s="11">
        <v>41</v>
      </c>
      <c r="F146" s="11">
        <v>20322.59</v>
      </c>
      <c r="G146" s="11">
        <v>6</v>
      </c>
      <c r="H146" s="13" t="str" cm="1">
        <f t="array" ref="H146">_xlfn.IFS(
  ISBLANK(A146),"Missing Value",
  D146&lt;0,"Review – Out of Range (Total Policies)",
  E146&lt;0,"Review – Out of Range (Lapsed Policies)",
  F146&lt;0,"Review – Out of Range (Avg Premium)",
  G146&lt;0,"Review – Out of Range (Fraud Assoc)",
  TRUE,"OK"
)</f>
        <v>OK</v>
      </c>
    </row>
    <row r="147" spans="1:8" ht="16.8" x14ac:dyDescent="0.3">
      <c r="A147" s="14" t="s">
        <v>4143</v>
      </c>
      <c r="B147" s="14" t="s">
        <v>94</v>
      </c>
      <c r="C147" s="15">
        <v>42614</v>
      </c>
      <c r="D147" s="14">
        <v>126</v>
      </c>
      <c r="E147" s="14">
        <v>34</v>
      </c>
      <c r="F147" s="14">
        <v>9396.42</v>
      </c>
      <c r="G147" s="14">
        <v>7</v>
      </c>
      <c r="H147" s="13" t="str" cm="1">
        <f t="array" ref="H147">_xlfn.IFS(
  ISBLANK(A147),"Missing Value",
  D147&lt;0,"Review – Out of Range (Total Policies)",
  E147&lt;0,"Review – Out of Range (Lapsed Policies)",
  F147&lt;0,"Review – Out of Range (Avg Premium)",
  G147&lt;0,"Review – Out of Range (Fraud Assoc)",
  TRUE,"OK"
)</f>
        <v>OK</v>
      </c>
    </row>
    <row r="148" spans="1:8" ht="16.8" x14ac:dyDescent="0.3">
      <c r="A148" s="11" t="s">
        <v>4170</v>
      </c>
      <c r="B148" s="11" t="s">
        <v>94</v>
      </c>
      <c r="C148" s="12">
        <v>42026</v>
      </c>
      <c r="D148" s="11">
        <v>225</v>
      </c>
      <c r="E148" s="11">
        <v>50</v>
      </c>
      <c r="F148" s="11">
        <v>49136.21</v>
      </c>
      <c r="G148" s="11">
        <v>2</v>
      </c>
      <c r="H148" s="13" t="str" cm="1">
        <f t="array" ref="H148">_xlfn.IFS(
  ISBLANK(A148),"Missing Value",
  D148&lt;0,"Review – Out of Range (Total Policies)",
  E148&lt;0,"Review – Out of Range (Lapsed Policies)",
  F148&lt;0,"Review – Out of Range (Avg Premium)",
  G148&lt;0,"Review – Out of Range (Fraud Assoc)",
  TRUE,"OK"
)</f>
        <v>OK</v>
      </c>
    </row>
    <row r="149" spans="1:8" ht="16.8" x14ac:dyDescent="0.3">
      <c r="A149" s="14" t="s">
        <v>3986</v>
      </c>
      <c r="B149" s="14" t="s">
        <v>60</v>
      </c>
      <c r="C149" s="15">
        <v>44871</v>
      </c>
      <c r="D149" s="14">
        <v>134</v>
      </c>
      <c r="E149" s="14">
        <v>24</v>
      </c>
      <c r="F149" s="14">
        <v>16780.43</v>
      </c>
      <c r="G149" s="14">
        <v>4</v>
      </c>
      <c r="H149" s="13" t="str" cm="1">
        <f t="array" ref="H149">_xlfn.IFS(
  ISBLANK(A149),"Missing Value",
  D149&lt;0,"Review – Out of Range (Total Policies)",
  E149&lt;0,"Review – Out of Range (Lapsed Policies)",
  F149&lt;0,"Review – Out of Range (Avg Premium)",
  G149&lt;0,"Review – Out of Range (Fraud Assoc)",
  TRUE,"OK"
)</f>
        <v>OK</v>
      </c>
    </row>
    <row r="150" spans="1:8" ht="16.8" x14ac:dyDescent="0.3">
      <c r="A150" s="11" t="s">
        <v>3536</v>
      </c>
      <c r="B150" s="11" t="s">
        <v>109</v>
      </c>
      <c r="C150" s="12">
        <v>44246</v>
      </c>
      <c r="D150" s="11">
        <v>179</v>
      </c>
      <c r="E150" s="11">
        <v>44</v>
      </c>
      <c r="F150" s="11">
        <v>7787.08</v>
      </c>
      <c r="G150" s="11">
        <v>2</v>
      </c>
      <c r="H150" s="13" t="str" cm="1">
        <f t="array" ref="H150">_xlfn.IFS(
  ISBLANK(A150),"Missing Value",
  D150&lt;0,"Review – Out of Range (Total Policies)",
  E150&lt;0,"Review – Out of Range (Lapsed Policies)",
  F150&lt;0,"Review – Out of Range (Avg Premium)",
  G150&lt;0,"Review – Out of Range (Fraud Assoc)",
  TRUE,"OK"
)</f>
        <v>OK</v>
      </c>
    </row>
    <row r="151" spans="1:8" ht="16.8" x14ac:dyDescent="0.3">
      <c r="A151" s="14" t="s">
        <v>3545</v>
      </c>
      <c r="B151" s="14" t="s">
        <v>55</v>
      </c>
      <c r="C151" s="15">
        <v>42468</v>
      </c>
      <c r="D151" s="14">
        <v>171</v>
      </c>
      <c r="E151" s="14">
        <v>1</v>
      </c>
      <c r="F151" s="14">
        <v>43760.53</v>
      </c>
      <c r="G151" s="14">
        <v>6</v>
      </c>
      <c r="H151" s="13" t="str" cm="1">
        <f t="array" ref="H151">_xlfn.IFS(
  ISBLANK(A151),"Missing Value",
  D151&lt;0,"Review – Out of Range (Total Policies)",
  E151&lt;0,"Review – Out of Range (Lapsed Policies)",
  F151&lt;0,"Review – Out of Range (Avg Premium)",
  G151&lt;0,"Review – Out of Range (Fraud Assoc)",
  TRUE,"OK"
)</f>
        <v>OK</v>
      </c>
    </row>
    <row r="152" spans="1:8" ht="16.8" x14ac:dyDescent="0.3">
      <c r="A152" s="11" t="s">
        <v>3438</v>
      </c>
      <c r="B152" s="11" t="s">
        <v>60</v>
      </c>
      <c r="C152" s="12">
        <v>42958</v>
      </c>
      <c r="D152" s="11">
        <v>254</v>
      </c>
      <c r="E152" s="11">
        <v>69</v>
      </c>
      <c r="F152" s="11">
        <v>29959.46</v>
      </c>
      <c r="G152" s="11">
        <v>7</v>
      </c>
      <c r="H152" s="13" t="str" cm="1">
        <f t="array" ref="H152">_xlfn.IFS(
  ISBLANK(A152),"Missing Value",
  D152&lt;0,"Review – Out of Range (Total Policies)",
  E152&lt;0,"Review – Out of Range (Lapsed Policies)",
  F152&lt;0,"Review – Out of Range (Avg Premium)",
  G152&lt;0,"Review – Out of Range (Fraud Assoc)",
  TRUE,"OK"
)</f>
        <v>OK</v>
      </c>
    </row>
    <row r="153" spans="1:8" ht="16.8" x14ac:dyDescent="0.3">
      <c r="A153" s="14" t="s">
        <v>3903</v>
      </c>
      <c r="B153" s="14" t="s">
        <v>94</v>
      </c>
      <c r="C153" s="15">
        <v>43916</v>
      </c>
      <c r="D153" s="14">
        <v>63</v>
      </c>
      <c r="E153" s="14">
        <v>6</v>
      </c>
      <c r="F153" s="14">
        <v>6698.51</v>
      </c>
      <c r="G153" s="14">
        <v>4</v>
      </c>
      <c r="H153" s="13" t="str" cm="1">
        <f t="array" ref="H153">_xlfn.IFS(
  ISBLANK(A153),"Missing Value",
  D153&lt;0,"Review – Out of Range (Total Policies)",
  E153&lt;0,"Review – Out of Range (Lapsed Policies)",
  F153&lt;0,"Review – Out of Range (Avg Premium)",
  G153&lt;0,"Review – Out of Range (Fraud Assoc)",
  TRUE,"OK"
)</f>
        <v>OK</v>
      </c>
    </row>
    <row r="154" spans="1:8" ht="16.8" x14ac:dyDescent="0.3">
      <c r="A154" s="11" t="s">
        <v>4630</v>
      </c>
      <c r="B154" s="11" t="s">
        <v>94</v>
      </c>
      <c r="C154" s="12">
        <v>43629</v>
      </c>
      <c r="D154" s="11">
        <v>148</v>
      </c>
      <c r="E154" s="11">
        <v>18</v>
      </c>
      <c r="F154" s="11">
        <v>30130.81</v>
      </c>
      <c r="G154" s="11">
        <v>1</v>
      </c>
      <c r="H154" s="13" t="str" cm="1">
        <f t="array" ref="H154">_xlfn.IFS(
  ISBLANK(A154),"Missing Value",
  D154&lt;0,"Review – Out of Range (Total Policies)",
  E154&lt;0,"Review – Out of Range (Lapsed Policies)",
  F154&lt;0,"Review – Out of Range (Avg Premium)",
  G154&lt;0,"Review – Out of Range (Fraud Assoc)",
  TRUE,"OK"
)</f>
        <v>OK</v>
      </c>
    </row>
    <row r="155" spans="1:8" ht="16.8" x14ac:dyDescent="0.3">
      <c r="A155" s="14" t="s">
        <v>4423</v>
      </c>
      <c r="B155" s="14" t="s">
        <v>55</v>
      </c>
      <c r="C155" s="15">
        <v>44509</v>
      </c>
      <c r="D155" s="14">
        <v>242</v>
      </c>
      <c r="E155" s="14">
        <v>16</v>
      </c>
      <c r="F155" s="14">
        <v>41429.58</v>
      </c>
      <c r="G155" s="14">
        <v>1</v>
      </c>
      <c r="H155" s="13" t="str" cm="1">
        <f t="array" ref="H155">_xlfn.IFS(
  ISBLANK(A155),"Missing Value",
  D155&lt;0,"Review – Out of Range (Total Policies)",
  E155&lt;0,"Review – Out of Range (Lapsed Policies)",
  F155&lt;0,"Review – Out of Range (Avg Premium)",
  G155&lt;0,"Review – Out of Range (Fraud Assoc)",
  TRUE,"OK"
)</f>
        <v>OK</v>
      </c>
    </row>
    <row r="156" spans="1:8" ht="16.8" x14ac:dyDescent="0.3">
      <c r="A156" s="11" t="s">
        <v>3728</v>
      </c>
      <c r="B156" s="11" t="s">
        <v>55</v>
      </c>
      <c r="C156" s="12">
        <v>43501</v>
      </c>
      <c r="D156" s="11">
        <v>184</v>
      </c>
      <c r="E156" s="11">
        <v>54</v>
      </c>
      <c r="F156" s="11">
        <v>49984.7</v>
      </c>
      <c r="G156" s="11">
        <v>3</v>
      </c>
      <c r="H156" s="13" t="str" cm="1">
        <f t="array" ref="H156">_xlfn.IFS(
  ISBLANK(A156),"Missing Value",
  D156&lt;0,"Review – Out of Range (Total Policies)",
  E156&lt;0,"Review – Out of Range (Lapsed Policies)",
  F156&lt;0,"Review – Out of Range (Avg Premium)",
  G156&lt;0,"Review – Out of Range (Fraud Assoc)",
  TRUE,"OK"
)</f>
        <v>OK</v>
      </c>
    </row>
    <row r="157" spans="1:8" ht="16.8" x14ac:dyDescent="0.3">
      <c r="A157" s="14" t="s">
        <v>3806</v>
      </c>
      <c r="B157" s="14" t="s">
        <v>94</v>
      </c>
      <c r="C157" s="15">
        <v>43876</v>
      </c>
      <c r="D157" s="14">
        <v>196</v>
      </c>
      <c r="E157" s="14">
        <v>14</v>
      </c>
      <c r="F157" s="14">
        <v>19925.32</v>
      </c>
      <c r="G157" s="14">
        <v>6</v>
      </c>
      <c r="H157" s="13" t="str" cm="1">
        <f t="array" ref="H157">_xlfn.IFS(
  ISBLANK(A157),"Missing Value",
  D157&lt;0,"Review – Out of Range (Total Policies)",
  E157&lt;0,"Review – Out of Range (Lapsed Policies)",
  F157&lt;0,"Review – Out of Range (Avg Premium)",
  G157&lt;0,"Review – Out of Range (Fraud Assoc)",
  TRUE,"OK"
)</f>
        <v>OK</v>
      </c>
    </row>
    <row r="158" spans="1:8" ht="16.8" x14ac:dyDescent="0.3">
      <c r="A158" s="11" t="s">
        <v>3540</v>
      </c>
      <c r="B158" s="11" t="s">
        <v>44</v>
      </c>
      <c r="C158" s="12">
        <v>42037</v>
      </c>
      <c r="D158" s="11">
        <v>182</v>
      </c>
      <c r="E158" s="11">
        <v>29</v>
      </c>
      <c r="F158" s="11">
        <v>29934.98</v>
      </c>
      <c r="G158" s="11">
        <v>4</v>
      </c>
      <c r="H158" s="13" t="str" cm="1">
        <f t="array" ref="H158">_xlfn.IFS(
  ISBLANK(A158),"Missing Value",
  D158&lt;0,"Review – Out of Range (Total Policies)",
  E158&lt;0,"Review – Out of Range (Lapsed Policies)",
  F158&lt;0,"Review – Out of Range (Avg Premium)",
  G158&lt;0,"Review – Out of Range (Fraud Assoc)",
  TRUE,"OK"
)</f>
        <v>OK</v>
      </c>
    </row>
    <row r="159" spans="1:8" ht="16.8" x14ac:dyDescent="0.3">
      <c r="A159" s="14" t="s">
        <v>3698</v>
      </c>
      <c r="B159" s="14" t="s">
        <v>55</v>
      </c>
      <c r="C159" s="15">
        <v>43277</v>
      </c>
      <c r="D159" s="14">
        <v>204</v>
      </c>
      <c r="E159" s="14">
        <v>27</v>
      </c>
      <c r="F159" s="14">
        <v>8477.58</v>
      </c>
      <c r="G159" s="14">
        <v>3</v>
      </c>
      <c r="H159" s="13" t="str" cm="1">
        <f t="array" ref="H159">_xlfn.IFS(
  ISBLANK(A159),"Missing Value",
  D159&lt;0,"Review – Out of Range (Total Policies)",
  E159&lt;0,"Review – Out of Range (Lapsed Policies)",
  F159&lt;0,"Review – Out of Range (Avg Premium)",
  G159&lt;0,"Review – Out of Range (Fraud Assoc)",
  TRUE,"OK"
)</f>
        <v>OK</v>
      </c>
    </row>
    <row r="160" spans="1:8" ht="16.8" x14ac:dyDescent="0.3">
      <c r="A160" s="11" t="s">
        <v>3555</v>
      </c>
      <c r="B160" s="11" t="s">
        <v>55</v>
      </c>
      <c r="C160" s="12">
        <v>42476</v>
      </c>
      <c r="D160" s="11">
        <v>100</v>
      </c>
      <c r="E160" s="11">
        <v>23</v>
      </c>
      <c r="F160" s="11">
        <v>45667.28</v>
      </c>
      <c r="G160" s="11">
        <v>6</v>
      </c>
      <c r="H160" s="13" t="str" cm="1">
        <f t="array" ref="H160">_xlfn.IFS(
  ISBLANK(A160),"Missing Value",
  D160&lt;0,"Review – Out of Range (Total Policies)",
  E160&lt;0,"Review – Out of Range (Lapsed Policies)",
  F160&lt;0,"Review – Out of Range (Avg Premium)",
  G160&lt;0,"Review – Out of Range (Fraud Assoc)",
  TRUE,"OK"
)</f>
        <v>OK</v>
      </c>
    </row>
    <row r="161" spans="1:8" ht="16.8" x14ac:dyDescent="0.3">
      <c r="A161" s="14" t="s">
        <v>3955</v>
      </c>
      <c r="B161" s="14" t="s">
        <v>55</v>
      </c>
      <c r="C161" s="15">
        <v>43463</v>
      </c>
      <c r="D161" s="14">
        <v>139</v>
      </c>
      <c r="E161" s="14">
        <v>1</v>
      </c>
      <c r="F161" s="14">
        <v>23812.91</v>
      </c>
      <c r="G161" s="14">
        <v>6</v>
      </c>
      <c r="H161" s="13" t="str" cm="1">
        <f t="array" ref="H161">_xlfn.IFS(
  ISBLANK(A161),"Missing Value",
  D161&lt;0,"Review – Out of Range (Total Policies)",
  E161&lt;0,"Review – Out of Range (Lapsed Policies)",
  F161&lt;0,"Review – Out of Range (Avg Premium)",
  G161&lt;0,"Review – Out of Range (Fraud Assoc)",
  TRUE,"OK"
)</f>
        <v>OK</v>
      </c>
    </row>
    <row r="162" spans="1:8" ht="16.8" x14ac:dyDescent="0.3">
      <c r="A162" s="11" t="s">
        <v>3859</v>
      </c>
      <c r="B162" s="11" t="s">
        <v>94</v>
      </c>
      <c r="C162" s="12">
        <v>44169</v>
      </c>
      <c r="D162" s="11">
        <v>117</v>
      </c>
      <c r="E162" s="11">
        <v>2</v>
      </c>
      <c r="F162" s="11">
        <v>31135.119999999999</v>
      </c>
      <c r="G162" s="11">
        <v>7</v>
      </c>
      <c r="H162" s="13" t="str" cm="1">
        <f t="array" ref="H162">_xlfn.IFS(
  ISBLANK(A162),"Missing Value",
  D162&lt;0,"Review – Out of Range (Total Policies)",
  E162&lt;0,"Review – Out of Range (Lapsed Policies)",
  F162&lt;0,"Review – Out of Range (Avg Premium)",
  G162&lt;0,"Review – Out of Range (Fraud Assoc)",
  TRUE,"OK"
)</f>
        <v>OK</v>
      </c>
    </row>
    <row r="163" spans="1:8" ht="16.8" x14ac:dyDescent="0.3">
      <c r="A163" s="14" t="s">
        <v>3731</v>
      </c>
      <c r="B163" s="14" t="s">
        <v>55</v>
      </c>
      <c r="C163" s="15">
        <v>44612</v>
      </c>
      <c r="D163" s="14">
        <v>260</v>
      </c>
      <c r="E163" s="14">
        <v>1</v>
      </c>
      <c r="F163" s="14">
        <v>49319.6</v>
      </c>
      <c r="G163" s="14">
        <v>6</v>
      </c>
      <c r="H163" s="13" t="str" cm="1">
        <f t="array" ref="H163">_xlfn.IFS(
  ISBLANK(A163),"Missing Value",
  D163&lt;0,"Review – Out of Range (Total Policies)",
  E163&lt;0,"Review – Out of Range (Lapsed Policies)",
  F163&lt;0,"Review – Out of Range (Avg Premium)",
  G163&lt;0,"Review – Out of Range (Fraud Assoc)",
  TRUE,"OK"
)</f>
        <v>OK</v>
      </c>
    </row>
    <row r="164" spans="1:8" ht="16.8" x14ac:dyDescent="0.3">
      <c r="A164" s="11" t="s">
        <v>4660</v>
      </c>
      <c r="B164" s="11" t="s">
        <v>44</v>
      </c>
      <c r="C164" s="12">
        <v>42634</v>
      </c>
      <c r="D164" s="11">
        <v>92</v>
      </c>
      <c r="E164" s="11">
        <v>0</v>
      </c>
      <c r="F164" s="11">
        <v>24339.08</v>
      </c>
      <c r="G164" s="11">
        <v>4</v>
      </c>
      <c r="H164" s="13" t="str" cm="1">
        <f t="array" ref="H164">_xlfn.IFS(
  ISBLANK(A164),"Missing Value",
  D164&lt;0,"Review – Out of Range (Total Policies)",
  E164&lt;0,"Review – Out of Range (Lapsed Policies)",
  F164&lt;0,"Review – Out of Range (Avg Premium)",
  G164&lt;0,"Review – Out of Range (Fraud Assoc)",
  TRUE,"OK"
)</f>
        <v>OK</v>
      </c>
    </row>
    <row r="165" spans="1:8" ht="16.8" x14ac:dyDescent="0.3">
      <c r="A165" s="14" t="s">
        <v>3781</v>
      </c>
      <c r="B165" s="14" t="s">
        <v>60</v>
      </c>
      <c r="C165" s="15">
        <v>42288</v>
      </c>
      <c r="D165" s="14">
        <v>217</v>
      </c>
      <c r="E165" s="14">
        <v>25</v>
      </c>
      <c r="F165" s="14">
        <v>36969.39</v>
      </c>
      <c r="G165" s="14">
        <v>6</v>
      </c>
      <c r="H165" s="13" t="str" cm="1">
        <f t="array" ref="H165">_xlfn.IFS(
  ISBLANK(A165),"Missing Value",
  D165&lt;0,"Review – Out of Range (Total Policies)",
  E165&lt;0,"Review – Out of Range (Lapsed Policies)",
  F165&lt;0,"Review – Out of Range (Avg Premium)",
  G165&lt;0,"Review – Out of Range (Fraud Assoc)",
  TRUE,"OK"
)</f>
        <v>OK</v>
      </c>
    </row>
    <row r="166" spans="1:8" ht="16.8" x14ac:dyDescent="0.3">
      <c r="A166" s="11" t="s">
        <v>3898</v>
      </c>
      <c r="B166" s="11" t="s">
        <v>52</v>
      </c>
      <c r="C166" s="12">
        <v>43001</v>
      </c>
      <c r="D166" s="11">
        <v>70</v>
      </c>
      <c r="E166" s="11">
        <v>20</v>
      </c>
      <c r="F166" s="11">
        <v>14408.18</v>
      </c>
      <c r="G166" s="11">
        <v>3</v>
      </c>
      <c r="H166" s="13" t="str" cm="1">
        <f t="array" ref="H166">_xlfn.IFS(
  ISBLANK(A166),"Missing Value",
  D166&lt;0,"Review – Out of Range (Total Policies)",
  E166&lt;0,"Review – Out of Range (Lapsed Policies)",
  F166&lt;0,"Review – Out of Range (Avg Premium)",
  G166&lt;0,"Review – Out of Range (Fraud Assoc)",
  TRUE,"OK"
)</f>
        <v>OK</v>
      </c>
    </row>
    <row r="167" spans="1:8" ht="16.8" x14ac:dyDescent="0.3">
      <c r="A167" s="14" t="s">
        <v>3473</v>
      </c>
      <c r="B167" s="14" t="s">
        <v>109</v>
      </c>
      <c r="C167" s="15">
        <v>43124</v>
      </c>
      <c r="D167" s="14">
        <v>253</v>
      </c>
      <c r="E167" s="14">
        <v>58</v>
      </c>
      <c r="F167" s="14">
        <v>35669.31</v>
      </c>
      <c r="G167" s="14">
        <v>2</v>
      </c>
      <c r="H167" s="13" t="str" cm="1">
        <f t="array" ref="H167">_xlfn.IFS(
  ISBLANK(A167),"Missing Value",
  D167&lt;0,"Review – Out of Range (Total Policies)",
  E167&lt;0,"Review – Out of Range (Lapsed Policies)",
  F167&lt;0,"Review – Out of Range (Avg Premium)",
  G167&lt;0,"Review – Out of Range (Fraud Assoc)",
  TRUE,"OK"
)</f>
        <v>OK</v>
      </c>
    </row>
    <row r="168" spans="1:8" ht="16.8" x14ac:dyDescent="0.3">
      <c r="A168" s="11" t="s">
        <v>3846</v>
      </c>
      <c r="B168" s="11" t="s">
        <v>60</v>
      </c>
      <c r="C168" s="12">
        <v>44252</v>
      </c>
      <c r="D168" s="11">
        <v>292</v>
      </c>
      <c r="E168" s="11">
        <v>5</v>
      </c>
      <c r="F168" s="11">
        <v>42765.59</v>
      </c>
      <c r="G168" s="11">
        <v>0</v>
      </c>
      <c r="H168" s="13" t="str" cm="1">
        <f t="array" ref="H168">_xlfn.IFS(
  ISBLANK(A168),"Missing Value",
  D168&lt;0,"Review – Out of Range (Total Policies)",
  E168&lt;0,"Review – Out of Range (Lapsed Policies)",
  F168&lt;0,"Review – Out of Range (Avg Premium)",
  G168&lt;0,"Review – Out of Range (Fraud Assoc)",
  TRUE,"OK"
)</f>
        <v>OK</v>
      </c>
    </row>
    <row r="169" spans="1:8" ht="16.8" x14ac:dyDescent="0.3">
      <c r="A169" s="14" t="s">
        <v>3964</v>
      </c>
      <c r="B169" s="14" t="s">
        <v>55</v>
      </c>
      <c r="C169" s="15">
        <v>42468</v>
      </c>
      <c r="D169" s="14">
        <v>219</v>
      </c>
      <c r="E169" s="14">
        <v>2</v>
      </c>
      <c r="F169" s="14">
        <v>41731.47</v>
      </c>
      <c r="G169" s="14">
        <v>5</v>
      </c>
      <c r="H169" s="13" t="str" cm="1">
        <f t="array" ref="H169">_xlfn.IFS(
  ISBLANK(A169),"Missing Value",
  D169&lt;0,"Review – Out of Range (Total Policies)",
  E169&lt;0,"Review – Out of Range (Lapsed Policies)",
  F169&lt;0,"Review – Out of Range (Avg Premium)",
  G169&lt;0,"Review – Out of Range (Fraud Assoc)",
  TRUE,"OK"
)</f>
        <v>OK</v>
      </c>
    </row>
    <row r="170" spans="1:8" ht="16.8" x14ac:dyDescent="0.3">
      <c r="A170" s="11" t="s">
        <v>4076</v>
      </c>
      <c r="B170" s="11" t="s">
        <v>52</v>
      </c>
      <c r="C170" s="12">
        <v>44238</v>
      </c>
      <c r="D170" s="11">
        <v>174</v>
      </c>
      <c r="E170" s="11">
        <v>51</v>
      </c>
      <c r="F170" s="11">
        <v>12287.75</v>
      </c>
      <c r="G170" s="11">
        <v>3</v>
      </c>
      <c r="H170" s="13" t="str" cm="1">
        <f t="array" ref="H170">_xlfn.IFS(
  ISBLANK(A170),"Missing Value",
  D170&lt;0,"Review – Out of Range (Total Policies)",
  E170&lt;0,"Review – Out of Range (Lapsed Policies)",
  F170&lt;0,"Review – Out of Range (Avg Premium)",
  G170&lt;0,"Review – Out of Range (Fraud Assoc)",
  TRUE,"OK"
)</f>
        <v>OK</v>
      </c>
    </row>
    <row r="171" spans="1:8" ht="16.8" x14ac:dyDescent="0.3">
      <c r="A171" s="14" t="s">
        <v>4378</v>
      </c>
      <c r="B171" s="14" t="s">
        <v>44</v>
      </c>
      <c r="C171" s="15">
        <v>43663</v>
      </c>
      <c r="D171" s="14">
        <v>152</v>
      </c>
      <c r="E171" s="14">
        <v>33</v>
      </c>
      <c r="F171" s="14">
        <v>23205.48</v>
      </c>
      <c r="G171" s="14">
        <v>9</v>
      </c>
      <c r="H171" s="13" t="str" cm="1">
        <f t="array" ref="H171">_xlfn.IFS(
  ISBLANK(A171),"Missing Value",
  D171&lt;0,"Review – Out of Range (Total Policies)",
  E171&lt;0,"Review – Out of Range (Lapsed Policies)",
  F171&lt;0,"Review – Out of Range (Avg Premium)",
  G171&lt;0,"Review – Out of Range (Fraud Assoc)",
  TRUE,"OK"
)</f>
        <v>OK</v>
      </c>
    </row>
    <row r="172" spans="1:8" ht="16.8" x14ac:dyDescent="0.3">
      <c r="A172" s="11" t="s">
        <v>3385</v>
      </c>
      <c r="B172" s="11" t="s">
        <v>52</v>
      </c>
      <c r="C172" s="12">
        <v>42164</v>
      </c>
      <c r="D172" s="11">
        <v>54</v>
      </c>
      <c r="E172" s="11">
        <v>11</v>
      </c>
      <c r="F172" s="11">
        <v>6947.87</v>
      </c>
      <c r="G172" s="11">
        <v>1</v>
      </c>
      <c r="H172" s="13" t="str" cm="1">
        <f t="array" ref="H172">_xlfn.IFS(
  ISBLANK(A172),"Missing Value",
  D172&lt;0,"Review – Out of Range (Total Policies)",
  E172&lt;0,"Review – Out of Range (Lapsed Policies)",
  F172&lt;0,"Review – Out of Range (Avg Premium)",
  G172&lt;0,"Review – Out of Range (Fraud Assoc)",
  TRUE,"OK"
)</f>
        <v>OK</v>
      </c>
    </row>
    <row r="173" spans="1:8" ht="16.8" x14ac:dyDescent="0.3">
      <c r="A173" s="14" t="s">
        <v>4095</v>
      </c>
      <c r="B173" s="14" t="s">
        <v>109</v>
      </c>
      <c r="C173" s="15">
        <v>42267</v>
      </c>
      <c r="D173" s="14">
        <v>240</v>
      </c>
      <c r="E173" s="14">
        <v>43</v>
      </c>
      <c r="F173" s="14">
        <v>32118.91</v>
      </c>
      <c r="G173" s="14">
        <v>7</v>
      </c>
      <c r="H173" s="13" t="str" cm="1">
        <f t="array" ref="H173">_xlfn.IFS(
  ISBLANK(A173),"Missing Value",
  D173&lt;0,"Review – Out of Range (Total Policies)",
  E173&lt;0,"Review – Out of Range (Lapsed Policies)",
  F173&lt;0,"Review – Out of Range (Avg Premium)",
  G173&lt;0,"Review – Out of Range (Fraud Assoc)",
  TRUE,"OK"
)</f>
        <v>OK</v>
      </c>
    </row>
    <row r="174" spans="1:8" ht="16.8" x14ac:dyDescent="0.3">
      <c r="A174" s="11" t="s">
        <v>3759</v>
      </c>
      <c r="B174" s="11" t="s">
        <v>44</v>
      </c>
      <c r="C174" s="12">
        <v>42832</v>
      </c>
      <c r="D174" s="11">
        <v>94</v>
      </c>
      <c r="E174" s="11">
        <v>14</v>
      </c>
      <c r="F174" s="11">
        <v>32941.550000000003</v>
      </c>
      <c r="G174" s="11">
        <v>9</v>
      </c>
      <c r="H174" s="13" t="str" cm="1">
        <f t="array" ref="H174">_xlfn.IFS(
  ISBLANK(A174),"Missing Value",
  D174&lt;0,"Review – Out of Range (Total Policies)",
  E174&lt;0,"Review – Out of Range (Lapsed Policies)",
  F174&lt;0,"Review – Out of Range (Avg Premium)",
  G174&lt;0,"Review – Out of Range (Fraud Assoc)",
  TRUE,"OK"
)</f>
        <v>OK</v>
      </c>
    </row>
    <row r="175" spans="1:8" ht="16.8" x14ac:dyDescent="0.3">
      <c r="A175" s="14" t="s">
        <v>3834</v>
      </c>
      <c r="B175" s="14" t="s">
        <v>109</v>
      </c>
      <c r="C175" s="15">
        <v>43842</v>
      </c>
      <c r="D175" s="14">
        <v>199</v>
      </c>
      <c r="E175" s="14">
        <v>6</v>
      </c>
      <c r="F175" s="14">
        <v>20570.759999999998</v>
      </c>
      <c r="G175" s="14">
        <v>1</v>
      </c>
      <c r="H175" s="13" t="str" cm="1">
        <f t="array" ref="H175">_xlfn.IFS(
  ISBLANK(A175),"Missing Value",
  D175&lt;0,"Review – Out of Range (Total Policies)",
  E175&lt;0,"Review – Out of Range (Lapsed Policies)",
  F175&lt;0,"Review – Out of Range (Avg Premium)",
  G175&lt;0,"Review – Out of Range (Fraud Assoc)",
  TRUE,"OK"
)</f>
        <v>OK</v>
      </c>
    </row>
    <row r="176" spans="1:8" ht="16.8" x14ac:dyDescent="0.3">
      <c r="A176" s="11" t="s">
        <v>3770</v>
      </c>
      <c r="B176" s="11" t="s">
        <v>94</v>
      </c>
      <c r="C176" s="12">
        <v>43497</v>
      </c>
      <c r="D176" s="11">
        <v>280</v>
      </c>
      <c r="E176" s="11">
        <v>8</v>
      </c>
      <c r="F176" s="11">
        <v>40365.89</v>
      </c>
      <c r="G176" s="11">
        <v>0</v>
      </c>
      <c r="H176" s="13" t="str" cm="1">
        <f t="array" ref="H176">_xlfn.IFS(
  ISBLANK(A176),"Missing Value",
  D176&lt;0,"Review – Out of Range (Total Policies)",
  E176&lt;0,"Review – Out of Range (Lapsed Policies)",
  F176&lt;0,"Review – Out of Range (Avg Premium)",
  G176&lt;0,"Review – Out of Range (Fraud Assoc)",
  TRUE,"OK"
)</f>
        <v>OK</v>
      </c>
    </row>
    <row r="177" spans="1:8" ht="16.8" x14ac:dyDescent="0.3">
      <c r="A177" s="14" t="s">
        <v>4324</v>
      </c>
      <c r="B177" s="14" t="s">
        <v>55</v>
      </c>
      <c r="C177" s="15">
        <v>43516</v>
      </c>
      <c r="D177" s="14">
        <v>290</v>
      </c>
      <c r="E177" s="14">
        <v>52</v>
      </c>
      <c r="F177" s="14">
        <v>18258.32</v>
      </c>
      <c r="G177" s="14">
        <v>1</v>
      </c>
      <c r="H177" s="13" t="str" cm="1">
        <f t="array" ref="H177">_xlfn.IFS(
  ISBLANK(A177),"Missing Value",
  D177&lt;0,"Review – Out of Range (Total Policies)",
  E177&lt;0,"Review – Out of Range (Lapsed Policies)",
  F177&lt;0,"Review – Out of Range (Avg Premium)",
  G177&lt;0,"Review – Out of Range (Fraud Assoc)",
  TRUE,"OK"
)</f>
        <v>OK</v>
      </c>
    </row>
    <row r="178" spans="1:8" ht="16.8" x14ac:dyDescent="0.3">
      <c r="A178" s="11" t="s">
        <v>3399</v>
      </c>
      <c r="B178" s="11" t="s">
        <v>44</v>
      </c>
      <c r="C178" s="12">
        <v>44485</v>
      </c>
      <c r="D178" s="11">
        <v>230</v>
      </c>
      <c r="E178" s="11">
        <v>55</v>
      </c>
      <c r="F178" s="11">
        <v>30164.63</v>
      </c>
      <c r="G178" s="11">
        <v>2</v>
      </c>
      <c r="H178" s="13" t="str" cm="1">
        <f t="array" ref="H178">_xlfn.IFS(
  ISBLANK(A178),"Missing Value",
  D178&lt;0,"Review – Out of Range (Total Policies)",
  E178&lt;0,"Review – Out of Range (Lapsed Policies)",
  F178&lt;0,"Review – Out of Range (Avg Premium)",
  G178&lt;0,"Review – Out of Range (Fraud Assoc)",
  TRUE,"OK"
)</f>
        <v>OK</v>
      </c>
    </row>
    <row r="179" spans="1:8" ht="16.8" x14ac:dyDescent="0.3">
      <c r="A179" s="14" t="s">
        <v>3449</v>
      </c>
      <c r="B179" s="14" t="s">
        <v>60</v>
      </c>
      <c r="C179" s="15">
        <v>42499</v>
      </c>
      <c r="D179" s="14">
        <v>133</v>
      </c>
      <c r="E179" s="14">
        <v>36</v>
      </c>
      <c r="F179" s="14">
        <v>19090.759999999998</v>
      </c>
      <c r="G179" s="14">
        <v>1</v>
      </c>
      <c r="H179" s="13" t="str" cm="1">
        <f t="array" ref="H179">_xlfn.IFS(
  ISBLANK(A179),"Missing Value",
  D179&lt;0,"Review – Out of Range (Total Policies)",
  E179&lt;0,"Review – Out of Range (Lapsed Policies)",
  F179&lt;0,"Review – Out of Range (Avg Premium)",
  G179&lt;0,"Review – Out of Range (Fraud Assoc)",
  TRUE,"OK"
)</f>
        <v>OK</v>
      </c>
    </row>
    <row r="180" spans="1:8" ht="16.8" x14ac:dyDescent="0.3">
      <c r="A180" s="11" t="s">
        <v>4011</v>
      </c>
      <c r="B180" s="11" t="s">
        <v>52</v>
      </c>
      <c r="C180" s="12">
        <v>42268</v>
      </c>
      <c r="D180" s="11">
        <v>134</v>
      </c>
      <c r="E180" s="11">
        <v>7</v>
      </c>
      <c r="F180" s="11">
        <v>14835.28</v>
      </c>
      <c r="G180" s="11">
        <v>9</v>
      </c>
      <c r="H180" s="13" t="str" cm="1">
        <f t="array" ref="H180">_xlfn.IFS(
  ISBLANK(A180),"Missing Value",
  D180&lt;0,"Review – Out of Range (Total Policies)",
  E180&lt;0,"Review – Out of Range (Lapsed Policies)",
  F180&lt;0,"Review – Out of Range (Avg Premium)",
  G180&lt;0,"Review – Out of Range (Fraud Assoc)",
  TRUE,"OK"
)</f>
        <v>OK</v>
      </c>
    </row>
    <row r="181" spans="1:8" ht="16.8" x14ac:dyDescent="0.3">
      <c r="A181" s="14" t="s">
        <v>3486</v>
      </c>
      <c r="B181" s="14" t="s">
        <v>55</v>
      </c>
      <c r="C181" s="15">
        <v>44690</v>
      </c>
      <c r="D181" s="14">
        <v>72</v>
      </c>
      <c r="E181" s="14">
        <v>7</v>
      </c>
      <c r="F181" s="14">
        <v>46999.58</v>
      </c>
      <c r="G181" s="14">
        <v>3</v>
      </c>
      <c r="H181" s="13" t="str" cm="1">
        <f t="array" ref="H181">_xlfn.IFS(
  ISBLANK(A181),"Missing Value",
  D181&lt;0,"Review – Out of Range (Total Policies)",
  E181&lt;0,"Review – Out of Range (Lapsed Policies)",
  F181&lt;0,"Review – Out of Range (Avg Premium)",
  G181&lt;0,"Review – Out of Range (Fraud Assoc)",
  TRUE,"OK"
)</f>
        <v>OK</v>
      </c>
    </row>
    <row r="182" spans="1:8" ht="16.8" x14ac:dyDescent="0.3">
      <c r="A182" s="11" t="s">
        <v>3704</v>
      </c>
      <c r="B182" s="11" t="s">
        <v>109</v>
      </c>
      <c r="C182" s="12">
        <v>44285</v>
      </c>
      <c r="D182" s="11">
        <v>156</v>
      </c>
      <c r="E182" s="11">
        <v>19</v>
      </c>
      <c r="F182" s="11">
        <v>15938.02</v>
      </c>
      <c r="G182" s="11">
        <v>6</v>
      </c>
      <c r="H182" s="13" t="str" cm="1">
        <f t="array" ref="H182">_xlfn.IFS(
  ISBLANK(A182),"Missing Value",
  D182&lt;0,"Review – Out of Range (Total Policies)",
  E182&lt;0,"Review – Out of Range (Lapsed Policies)",
  F182&lt;0,"Review – Out of Range (Avg Premium)",
  G182&lt;0,"Review – Out of Range (Fraud Assoc)",
  TRUE,"OK"
)</f>
        <v>OK</v>
      </c>
    </row>
    <row r="183" spans="1:8" ht="16.8" x14ac:dyDescent="0.3">
      <c r="A183" s="14" t="s">
        <v>3914</v>
      </c>
      <c r="B183" s="14" t="s">
        <v>55</v>
      </c>
      <c r="C183" s="15">
        <v>42259</v>
      </c>
      <c r="D183" s="14">
        <v>75</v>
      </c>
      <c r="E183" s="14">
        <v>4</v>
      </c>
      <c r="F183" s="14">
        <v>44003.24</v>
      </c>
      <c r="G183" s="14">
        <v>2</v>
      </c>
      <c r="H183" s="13" t="str" cm="1">
        <f t="array" ref="H183">_xlfn.IFS(
  ISBLANK(A183),"Missing Value",
  D183&lt;0,"Review – Out of Range (Total Policies)",
  E183&lt;0,"Review – Out of Range (Lapsed Policies)",
  F183&lt;0,"Review – Out of Range (Avg Premium)",
  G183&lt;0,"Review – Out of Range (Fraud Assoc)",
  TRUE,"OK"
)</f>
        <v>OK</v>
      </c>
    </row>
    <row r="184" spans="1:8" ht="16.8" x14ac:dyDescent="0.3">
      <c r="A184" s="11" t="s">
        <v>3892</v>
      </c>
      <c r="B184" s="11" t="s">
        <v>55</v>
      </c>
      <c r="C184" s="12">
        <v>44644</v>
      </c>
      <c r="D184" s="11">
        <v>90</v>
      </c>
      <c r="E184" s="11">
        <v>25</v>
      </c>
      <c r="F184" s="11">
        <v>32907.85</v>
      </c>
      <c r="G184" s="11">
        <v>2</v>
      </c>
      <c r="H184" s="13" t="str" cm="1">
        <f t="array" ref="H184">_xlfn.IFS(
  ISBLANK(A184),"Missing Value",
  D184&lt;0,"Review – Out of Range (Total Policies)",
  E184&lt;0,"Review – Out of Range (Lapsed Policies)",
  F184&lt;0,"Review – Out of Range (Avg Premium)",
  G184&lt;0,"Review – Out of Range (Fraud Assoc)",
  TRUE,"OK"
)</f>
        <v>OK</v>
      </c>
    </row>
    <row r="185" spans="1:8" ht="16.8" x14ac:dyDescent="0.3">
      <c r="A185" s="14" t="s">
        <v>3534</v>
      </c>
      <c r="B185" s="14" t="s">
        <v>109</v>
      </c>
      <c r="C185" s="15">
        <v>43089</v>
      </c>
      <c r="D185" s="14">
        <v>110</v>
      </c>
      <c r="E185" s="14">
        <v>13</v>
      </c>
      <c r="F185" s="14">
        <v>7533.92</v>
      </c>
      <c r="G185" s="14">
        <v>6</v>
      </c>
      <c r="H185" s="13" t="str" cm="1">
        <f t="array" ref="H185">_xlfn.IFS(
  ISBLANK(A185),"Missing Value",
  D185&lt;0,"Review – Out of Range (Total Policies)",
  E185&lt;0,"Review – Out of Range (Lapsed Policies)",
  F185&lt;0,"Review – Out of Range (Avg Premium)",
  G185&lt;0,"Review – Out of Range (Fraud Assoc)",
  TRUE,"OK"
)</f>
        <v>OK</v>
      </c>
    </row>
    <row r="186" spans="1:8" ht="16.8" x14ac:dyDescent="0.3">
      <c r="A186" s="11" t="s">
        <v>3610</v>
      </c>
      <c r="B186" s="11" t="s">
        <v>52</v>
      </c>
      <c r="C186" s="12">
        <v>42910</v>
      </c>
      <c r="D186" s="11">
        <v>246</v>
      </c>
      <c r="E186" s="11">
        <v>32</v>
      </c>
      <c r="F186" s="11">
        <v>18674.7</v>
      </c>
      <c r="G186" s="11">
        <v>8</v>
      </c>
      <c r="H186" s="13" t="str" cm="1">
        <f t="array" ref="H186">_xlfn.IFS(
  ISBLANK(A186),"Missing Value",
  D186&lt;0,"Review – Out of Range (Total Policies)",
  E186&lt;0,"Review – Out of Range (Lapsed Policies)",
  F186&lt;0,"Review – Out of Range (Avg Premium)",
  G186&lt;0,"Review – Out of Range (Fraud Assoc)",
  TRUE,"OK"
)</f>
        <v>OK</v>
      </c>
    </row>
    <row r="187" spans="1:8" ht="16.8" x14ac:dyDescent="0.3">
      <c r="A187" s="14" t="s">
        <v>4208</v>
      </c>
      <c r="B187" s="14" t="s">
        <v>55</v>
      </c>
      <c r="C187" s="15">
        <v>42150</v>
      </c>
      <c r="D187" s="14">
        <v>273</v>
      </c>
      <c r="E187" s="14">
        <v>77</v>
      </c>
      <c r="F187" s="14">
        <v>6715.89</v>
      </c>
      <c r="G187" s="14">
        <v>0</v>
      </c>
      <c r="H187" s="13" t="str" cm="1">
        <f t="array" ref="H187">_xlfn.IFS(
  ISBLANK(A187),"Missing Value",
  D187&lt;0,"Review – Out of Range (Total Policies)",
  E187&lt;0,"Review – Out of Range (Lapsed Policies)",
  F187&lt;0,"Review – Out of Range (Avg Premium)",
  G187&lt;0,"Review – Out of Range (Fraud Assoc)",
  TRUE,"OK"
)</f>
        <v>OK</v>
      </c>
    </row>
    <row r="188" spans="1:8" ht="16.8" x14ac:dyDescent="0.3">
      <c r="A188" s="11" t="s">
        <v>4404</v>
      </c>
      <c r="B188" s="11" t="s">
        <v>60</v>
      </c>
      <c r="C188" s="12">
        <v>43886</v>
      </c>
      <c r="D188" s="11">
        <v>137</v>
      </c>
      <c r="E188" s="11">
        <v>37</v>
      </c>
      <c r="F188" s="11">
        <v>20444.240000000002</v>
      </c>
      <c r="G188" s="11">
        <v>9</v>
      </c>
      <c r="H188" s="13" t="str" cm="1">
        <f t="array" ref="H188">_xlfn.IFS(
  ISBLANK(A188),"Missing Value",
  D188&lt;0,"Review – Out of Range (Total Policies)",
  E188&lt;0,"Review – Out of Range (Lapsed Policies)",
  F188&lt;0,"Review – Out of Range (Avg Premium)",
  G188&lt;0,"Review – Out of Range (Fraud Assoc)",
  TRUE,"OK"
)</f>
        <v>OK</v>
      </c>
    </row>
    <row r="189" spans="1:8" ht="16.8" x14ac:dyDescent="0.3">
      <c r="A189" s="14" t="s">
        <v>4161</v>
      </c>
      <c r="B189" s="14" t="s">
        <v>44</v>
      </c>
      <c r="C189" s="15">
        <v>42927</v>
      </c>
      <c r="D189" s="14">
        <v>133</v>
      </c>
      <c r="E189" s="14">
        <v>7</v>
      </c>
      <c r="F189" s="14">
        <v>5835.05</v>
      </c>
      <c r="G189" s="14">
        <v>9</v>
      </c>
      <c r="H189" s="13" t="str" cm="1">
        <f t="array" ref="H189">_xlfn.IFS(
  ISBLANK(A189),"Missing Value",
  D189&lt;0,"Review – Out of Range (Total Policies)",
  E189&lt;0,"Review – Out of Range (Lapsed Policies)",
  F189&lt;0,"Review – Out of Range (Avg Premium)",
  G189&lt;0,"Review – Out of Range (Fraud Assoc)",
  TRUE,"OK"
)</f>
        <v>OK</v>
      </c>
    </row>
    <row r="190" spans="1:8" ht="16.8" x14ac:dyDescent="0.3">
      <c r="A190" s="11" t="s">
        <v>3779</v>
      </c>
      <c r="B190" s="11" t="s">
        <v>60</v>
      </c>
      <c r="C190" s="12">
        <v>42062</v>
      </c>
      <c r="D190" s="11">
        <v>296</v>
      </c>
      <c r="E190" s="11">
        <v>75</v>
      </c>
      <c r="F190" s="11">
        <v>49968.47</v>
      </c>
      <c r="G190" s="11">
        <v>6</v>
      </c>
      <c r="H190" s="13" t="str" cm="1">
        <f t="array" ref="H190">_xlfn.IFS(
  ISBLANK(A190),"Missing Value",
  D190&lt;0,"Review – Out of Range (Total Policies)",
  E190&lt;0,"Review – Out of Range (Lapsed Policies)",
  F190&lt;0,"Review – Out of Range (Avg Premium)",
  G190&lt;0,"Review – Out of Range (Fraud Assoc)",
  TRUE,"OK"
)</f>
        <v>OK</v>
      </c>
    </row>
    <row r="191" spans="1:8" ht="16.8" x14ac:dyDescent="0.3">
      <c r="A191" s="14" t="s">
        <v>3389</v>
      </c>
      <c r="B191" s="14" t="s">
        <v>94</v>
      </c>
      <c r="C191" s="15">
        <v>43541</v>
      </c>
      <c r="D191" s="14">
        <v>141</v>
      </c>
      <c r="E191" s="14">
        <v>7</v>
      </c>
      <c r="F191" s="14">
        <v>11230.72</v>
      </c>
      <c r="G191" s="14">
        <v>8</v>
      </c>
      <c r="H191" s="13" t="str" cm="1">
        <f t="array" ref="H191">_xlfn.IFS(
  ISBLANK(A191),"Missing Value",
  D191&lt;0,"Review – Out of Range (Total Policies)",
  E191&lt;0,"Review – Out of Range (Lapsed Policies)",
  F191&lt;0,"Review – Out of Range (Avg Premium)",
  G191&lt;0,"Review – Out of Range (Fraud Assoc)",
  TRUE,"OK"
)</f>
        <v>OK</v>
      </c>
    </row>
    <row r="192" spans="1:8" ht="16.8" x14ac:dyDescent="0.3">
      <c r="A192" s="11" t="s">
        <v>3928</v>
      </c>
      <c r="B192" s="11" t="s">
        <v>52</v>
      </c>
      <c r="C192" s="12">
        <v>43631</v>
      </c>
      <c r="D192" s="11">
        <v>255</v>
      </c>
      <c r="E192" s="11">
        <v>75</v>
      </c>
      <c r="F192" s="11">
        <v>25680.45</v>
      </c>
      <c r="G192" s="11">
        <v>3</v>
      </c>
      <c r="H192" s="13" t="str" cm="1">
        <f t="array" ref="H192">_xlfn.IFS(
  ISBLANK(A192),"Missing Value",
  D192&lt;0,"Review – Out of Range (Total Policies)",
  E192&lt;0,"Review – Out of Range (Lapsed Policies)",
  F192&lt;0,"Review – Out of Range (Avg Premium)",
  G192&lt;0,"Review – Out of Range (Fraud Assoc)",
  TRUE,"OK"
)</f>
        <v>OK</v>
      </c>
    </row>
    <row r="193" spans="1:8" ht="16.8" x14ac:dyDescent="0.3">
      <c r="A193" s="14" t="s">
        <v>3575</v>
      </c>
      <c r="B193" s="14" t="s">
        <v>109</v>
      </c>
      <c r="C193" s="15">
        <v>43189</v>
      </c>
      <c r="D193" s="14">
        <v>224</v>
      </c>
      <c r="E193" s="14">
        <v>32</v>
      </c>
      <c r="F193" s="14">
        <v>45151.51</v>
      </c>
      <c r="G193" s="14">
        <v>7</v>
      </c>
      <c r="H193" s="13" t="str" cm="1">
        <f t="array" ref="H193">_xlfn.IFS(
  ISBLANK(A193),"Missing Value",
  D193&lt;0,"Review – Out of Range (Total Policies)",
  E193&lt;0,"Review – Out of Range (Lapsed Policies)",
  F193&lt;0,"Review – Out of Range (Avg Premium)",
  G193&lt;0,"Review – Out of Range (Fraud Assoc)",
  TRUE,"OK"
)</f>
        <v>OK</v>
      </c>
    </row>
    <row r="194" spans="1:8" ht="16.8" x14ac:dyDescent="0.3">
      <c r="A194" s="11" t="s">
        <v>3591</v>
      </c>
      <c r="B194" s="11" t="s">
        <v>60</v>
      </c>
      <c r="C194" s="12">
        <v>43833</v>
      </c>
      <c r="D194" s="11">
        <v>165</v>
      </c>
      <c r="E194" s="11">
        <v>37</v>
      </c>
      <c r="F194" s="11">
        <v>38466.33</v>
      </c>
      <c r="G194" s="11">
        <v>9</v>
      </c>
      <c r="H194" s="13" t="str" cm="1">
        <f t="array" ref="H194">_xlfn.IFS(
  ISBLANK(A194),"Missing Value",
  D194&lt;0,"Review – Out of Range (Total Policies)",
  E194&lt;0,"Review – Out of Range (Lapsed Policies)",
  F194&lt;0,"Review – Out of Range (Avg Premium)",
  G194&lt;0,"Review – Out of Range (Fraud Assoc)",
  TRUE,"OK"
)</f>
        <v>OK</v>
      </c>
    </row>
    <row r="195" spans="1:8" ht="16.8" x14ac:dyDescent="0.3">
      <c r="A195" s="14" t="s">
        <v>3427</v>
      </c>
      <c r="B195" s="14" t="s">
        <v>94</v>
      </c>
      <c r="C195" s="15">
        <v>43696</v>
      </c>
      <c r="D195" s="14">
        <v>185</v>
      </c>
      <c r="E195" s="14">
        <v>27</v>
      </c>
      <c r="F195" s="14">
        <v>22720.16</v>
      </c>
      <c r="G195" s="14">
        <v>8</v>
      </c>
      <c r="H195" s="13" t="str" cm="1">
        <f t="array" ref="H195">_xlfn.IFS(
  ISBLANK(A195),"Missing Value",
  D195&lt;0,"Review – Out of Range (Total Policies)",
  E195&lt;0,"Review – Out of Range (Lapsed Policies)",
  F195&lt;0,"Review – Out of Range (Avg Premium)",
  G195&lt;0,"Review – Out of Range (Fraud Assoc)",
  TRUE,"OK"
)</f>
        <v>OK</v>
      </c>
    </row>
    <row r="196" spans="1:8" ht="16.8" x14ac:dyDescent="0.3">
      <c r="A196" s="11" t="s">
        <v>3482</v>
      </c>
      <c r="B196" s="11" t="s">
        <v>94</v>
      </c>
      <c r="C196" s="12">
        <v>42777</v>
      </c>
      <c r="D196" s="11">
        <v>272</v>
      </c>
      <c r="E196" s="11">
        <v>60</v>
      </c>
      <c r="F196" s="11">
        <v>49719.67</v>
      </c>
      <c r="G196" s="11">
        <v>3</v>
      </c>
      <c r="H196" s="13" t="str" cm="1">
        <f t="array" ref="H196">_xlfn.IFS(
  ISBLANK(A196),"Missing Value",
  D196&lt;0,"Review – Out of Range (Total Policies)",
  E196&lt;0,"Review – Out of Range (Lapsed Policies)",
  F196&lt;0,"Review – Out of Range (Avg Premium)",
  G196&lt;0,"Review – Out of Range (Fraud Assoc)",
  TRUE,"OK"
)</f>
        <v>OK</v>
      </c>
    </row>
    <row r="197" spans="1:8" ht="16.8" x14ac:dyDescent="0.3">
      <c r="A197" s="14" t="s">
        <v>3670</v>
      </c>
      <c r="B197" s="14" t="s">
        <v>109</v>
      </c>
      <c r="C197" s="15">
        <v>42039</v>
      </c>
      <c r="D197" s="14">
        <v>174</v>
      </c>
      <c r="E197" s="14">
        <v>6</v>
      </c>
      <c r="F197" s="14">
        <v>27594.41</v>
      </c>
      <c r="G197" s="14">
        <v>7</v>
      </c>
      <c r="H197" s="13" t="str" cm="1">
        <f t="array" ref="H197">_xlfn.IFS(
  ISBLANK(A197),"Missing Value",
  D197&lt;0,"Review – Out of Range (Total Policies)",
  E197&lt;0,"Review – Out of Range (Lapsed Policies)",
  F197&lt;0,"Review – Out of Range (Avg Premium)",
  G197&lt;0,"Review – Out of Range (Fraud Assoc)",
  TRUE,"OK"
)</f>
        <v>OK</v>
      </c>
    </row>
    <row r="198" spans="1:8" ht="16.8" x14ac:dyDescent="0.3">
      <c r="A198" s="11" t="s">
        <v>3754</v>
      </c>
      <c r="B198" s="11" t="s">
        <v>94</v>
      </c>
      <c r="C198" s="12">
        <v>44160</v>
      </c>
      <c r="D198" s="11">
        <v>125</v>
      </c>
      <c r="E198" s="11">
        <v>30</v>
      </c>
      <c r="F198" s="11">
        <v>25009.35</v>
      </c>
      <c r="G198" s="11">
        <v>9</v>
      </c>
      <c r="H198" s="13" t="str" cm="1">
        <f t="array" ref="H198">_xlfn.IFS(
  ISBLANK(A198),"Missing Value",
  D198&lt;0,"Review – Out of Range (Total Policies)",
  E198&lt;0,"Review – Out of Range (Lapsed Policies)",
  F198&lt;0,"Review – Out of Range (Avg Premium)",
  G198&lt;0,"Review – Out of Range (Fraud Assoc)",
  TRUE,"OK"
)</f>
        <v>OK</v>
      </c>
    </row>
    <row r="199" spans="1:8" ht="16.8" x14ac:dyDescent="0.3">
      <c r="A199" s="14" t="s">
        <v>3432</v>
      </c>
      <c r="B199" s="14" t="s">
        <v>60</v>
      </c>
      <c r="C199" s="15">
        <v>43572</v>
      </c>
      <c r="D199" s="14">
        <v>277</v>
      </c>
      <c r="E199" s="14">
        <v>2</v>
      </c>
      <c r="F199" s="14">
        <v>21024.3</v>
      </c>
      <c r="G199" s="14">
        <v>7</v>
      </c>
      <c r="H199" s="13" t="str" cm="1">
        <f t="array" ref="H199">_xlfn.IFS(
  ISBLANK(A199),"Missing Value",
  D199&lt;0,"Review – Out of Range (Total Policies)",
  E199&lt;0,"Review – Out of Range (Lapsed Policies)",
  F199&lt;0,"Review – Out of Range (Avg Premium)",
  G199&lt;0,"Review – Out of Range (Fraud Assoc)",
  TRUE,"OK"
)</f>
        <v>OK</v>
      </c>
    </row>
    <row r="200" spans="1:8" ht="16.8" x14ac:dyDescent="0.3">
      <c r="A200" s="11" t="s">
        <v>4511</v>
      </c>
      <c r="B200" s="11" t="s">
        <v>60</v>
      </c>
      <c r="C200" s="12">
        <v>42680</v>
      </c>
      <c r="D200" s="11">
        <v>105</v>
      </c>
      <c r="E200" s="11">
        <v>25</v>
      </c>
      <c r="F200" s="11">
        <v>26663.66</v>
      </c>
      <c r="G200" s="11">
        <v>8</v>
      </c>
      <c r="H200" s="13" t="str" cm="1">
        <f t="array" ref="H200">_xlfn.IFS(
  ISBLANK(A200),"Missing Value",
  D200&lt;0,"Review – Out of Range (Total Policies)",
  E200&lt;0,"Review – Out of Range (Lapsed Policies)",
  F200&lt;0,"Review – Out of Range (Avg Premium)",
  G200&lt;0,"Review – Out of Range (Fraud Assoc)",
  TRUE,"OK"
)</f>
        <v>OK</v>
      </c>
    </row>
    <row r="201" spans="1:8" ht="16.8" x14ac:dyDescent="0.3">
      <c r="A201" s="14" t="s">
        <v>3787</v>
      </c>
      <c r="B201" s="14" t="s">
        <v>44</v>
      </c>
      <c r="C201" s="15">
        <v>43828</v>
      </c>
      <c r="D201" s="14">
        <v>59</v>
      </c>
      <c r="E201" s="14">
        <v>14</v>
      </c>
      <c r="F201" s="14">
        <v>5362.85</v>
      </c>
      <c r="G201" s="14">
        <v>6</v>
      </c>
      <c r="H201" s="13" t="str" cm="1">
        <f t="array" ref="H201">_xlfn.IFS(
  ISBLANK(A201),"Missing Value",
  D201&lt;0,"Review – Out of Range (Total Policies)",
  E201&lt;0,"Review – Out of Range (Lapsed Policies)",
  F201&lt;0,"Review – Out of Range (Avg Premium)",
  G201&lt;0,"Review – Out of Range (Fraud Assoc)",
  TRUE,"OK"
)</f>
        <v>OK</v>
      </c>
    </row>
    <row r="202" spans="1:8" ht="16.8" x14ac:dyDescent="0.3">
      <c r="A202" s="11" t="s">
        <v>3444</v>
      </c>
      <c r="B202" s="11" t="s">
        <v>44</v>
      </c>
      <c r="C202" s="12">
        <v>42932</v>
      </c>
      <c r="D202" s="11">
        <v>135</v>
      </c>
      <c r="E202" s="11">
        <v>32</v>
      </c>
      <c r="F202" s="11">
        <v>16245.97</v>
      </c>
      <c r="G202" s="11">
        <v>0</v>
      </c>
      <c r="H202" s="13" t="str" cm="1">
        <f t="array" ref="H202">_xlfn.IFS(
  ISBLANK(A202),"Missing Value",
  D202&lt;0,"Review – Out of Range (Total Policies)",
  E202&lt;0,"Review – Out of Range (Lapsed Policies)",
  F202&lt;0,"Review – Out of Range (Avg Premium)",
  G202&lt;0,"Review – Out of Range (Fraud Assoc)",
  TRUE,"OK"
)</f>
        <v>OK</v>
      </c>
    </row>
    <row r="203" spans="1:8" ht="16.8" x14ac:dyDescent="0.3">
      <c r="A203" s="14" t="s">
        <v>5171</v>
      </c>
      <c r="B203" s="14" t="s">
        <v>94</v>
      </c>
      <c r="C203" s="15">
        <v>44631</v>
      </c>
      <c r="D203" s="14">
        <v>232</v>
      </c>
      <c r="E203" s="14">
        <v>14</v>
      </c>
      <c r="F203" s="14">
        <v>20545.759999999998</v>
      </c>
      <c r="G203" s="14">
        <v>7</v>
      </c>
      <c r="H203" s="13" t="str" cm="1">
        <f t="array" ref="H203">_xlfn.IFS(
  ISBLANK(A203),"Missing Value",
  D203&lt;0,"Review – Out of Range (Total Policies)",
  E203&lt;0,"Review – Out of Range (Lapsed Policies)",
  F203&lt;0,"Review – Out of Range (Avg Premium)",
  G203&lt;0,"Review – Out of Range (Fraud Assoc)",
  TRUE,"OK"
)</f>
        <v>OK</v>
      </c>
    </row>
    <row r="204" spans="1:8" ht="16.8" x14ac:dyDescent="0.3">
      <c r="A204" s="11" t="s">
        <v>4391</v>
      </c>
      <c r="B204" s="11" t="s">
        <v>55</v>
      </c>
      <c r="C204" s="12">
        <v>42364</v>
      </c>
      <c r="D204" s="11">
        <v>261</v>
      </c>
      <c r="E204" s="11">
        <v>67</v>
      </c>
      <c r="F204" s="11">
        <v>17328.07</v>
      </c>
      <c r="G204" s="11">
        <v>5</v>
      </c>
      <c r="H204" s="13" t="str" cm="1">
        <f t="array" ref="H204">_xlfn.IFS(
  ISBLANK(A204),"Missing Value",
  D204&lt;0,"Review – Out of Range (Total Policies)",
  E204&lt;0,"Review – Out of Range (Lapsed Policies)",
  F204&lt;0,"Review – Out of Range (Avg Premium)",
  G204&lt;0,"Review – Out of Range (Fraud Assoc)",
  TRUE,"OK"
)</f>
        <v>OK</v>
      </c>
    </row>
    <row r="205" spans="1:8" ht="16.8" x14ac:dyDescent="0.3">
      <c r="A205" s="14" t="s">
        <v>3515</v>
      </c>
      <c r="B205" s="14" t="s">
        <v>52</v>
      </c>
      <c r="C205" s="15">
        <v>43014</v>
      </c>
      <c r="D205" s="14">
        <v>101</v>
      </c>
      <c r="E205" s="14">
        <v>21</v>
      </c>
      <c r="F205" s="14">
        <v>48092.29</v>
      </c>
      <c r="G205" s="14">
        <v>9</v>
      </c>
      <c r="H205" s="13" t="str" cm="1">
        <f t="array" ref="H205">_xlfn.IFS(
  ISBLANK(A205),"Missing Value",
  D205&lt;0,"Review – Out of Range (Total Policies)",
  E205&lt;0,"Review – Out of Range (Lapsed Policies)",
  F205&lt;0,"Review – Out of Range (Avg Premium)",
  G205&lt;0,"Review – Out of Range (Fraud Assoc)",
  TRUE,"OK"
)</f>
        <v>OK</v>
      </c>
    </row>
    <row r="206" spans="1:8" ht="16.8" x14ac:dyDescent="0.3">
      <c r="A206" s="11" t="s">
        <v>3405</v>
      </c>
      <c r="B206" s="11" t="s">
        <v>55</v>
      </c>
      <c r="C206" s="12">
        <v>42256</v>
      </c>
      <c r="D206" s="11">
        <v>126</v>
      </c>
      <c r="E206" s="11">
        <v>24</v>
      </c>
      <c r="F206" s="11">
        <v>42533.91</v>
      </c>
      <c r="G206" s="11">
        <v>1</v>
      </c>
      <c r="H206" s="13" t="str" cm="1">
        <f t="array" ref="H206">_xlfn.IFS(
  ISBLANK(A206),"Missing Value",
  D206&lt;0,"Review – Out of Range (Total Policies)",
  E206&lt;0,"Review – Out of Range (Lapsed Policies)",
  F206&lt;0,"Review – Out of Range (Avg Premium)",
  G206&lt;0,"Review – Out of Range (Fraud Assoc)",
  TRUE,"OK"
)</f>
        <v>OK</v>
      </c>
    </row>
    <row r="207" spans="1:8" ht="16.8" x14ac:dyDescent="0.3">
      <c r="A207" s="14" t="s">
        <v>3484</v>
      </c>
      <c r="B207" s="14" t="s">
        <v>44</v>
      </c>
      <c r="C207" s="15">
        <v>43396</v>
      </c>
      <c r="D207" s="14">
        <v>239</v>
      </c>
      <c r="E207" s="14">
        <v>46</v>
      </c>
      <c r="F207" s="14">
        <v>33455</v>
      </c>
      <c r="G207" s="14">
        <v>2</v>
      </c>
      <c r="H207" s="13" t="str" cm="1">
        <f t="array" ref="H207">_xlfn.IFS(
  ISBLANK(A207),"Missing Value",
  D207&lt;0,"Review – Out of Range (Total Policies)",
  E207&lt;0,"Review – Out of Range (Lapsed Policies)",
  F207&lt;0,"Review – Out of Range (Avg Premium)",
  G207&lt;0,"Review – Out of Range (Fraud Assoc)",
  TRUE,"OK"
)</f>
        <v>OK</v>
      </c>
    </row>
    <row r="208" spans="1:8" ht="16.8" x14ac:dyDescent="0.3">
      <c r="A208" s="11" t="s">
        <v>4062</v>
      </c>
      <c r="B208" s="11" t="s">
        <v>60</v>
      </c>
      <c r="C208" s="12">
        <v>44449</v>
      </c>
      <c r="D208" s="11">
        <v>268</v>
      </c>
      <c r="E208" s="11">
        <v>10</v>
      </c>
      <c r="F208" s="11">
        <v>49548.01</v>
      </c>
      <c r="G208" s="11">
        <v>8</v>
      </c>
      <c r="H208" s="13" t="str" cm="1">
        <f t="array" ref="H208">_xlfn.IFS(
  ISBLANK(A208),"Missing Value",
  D208&lt;0,"Review – Out of Range (Total Policies)",
  E208&lt;0,"Review – Out of Range (Lapsed Policies)",
  F208&lt;0,"Review – Out of Range (Avg Premium)",
  G208&lt;0,"Review – Out of Range (Fraud Assoc)",
  TRUE,"OK"
)</f>
        <v>OK</v>
      </c>
    </row>
    <row r="209" spans="1:8" ht="16.8" x14ac:dyDescent="0.3">
      <c r="A209" s="14" t="s">
        <v>3411</v>
      </c>
      <c r="B209" s="14" t="s">
        <v>109</v>
      </c>
      <c r="C209" s="15">
        <v>43953</v>
      </c>
      <c r="D209" s="14">
        <v>283</v>
      </c>
      <c r="E209" s="14">
        <v>82</v>
      </c>
      <c r="F209" s="14">
        <v>5005.97</v>
      </c>
      <c r="G209" s="14">
        <v>0</v>
      </c>
      <c r="H209" s="13" t="str" cm="1">
        <f t="array" ref="H209">_xlfn.IFS(
  ISBLANK(A209),"Missing Value",
  D209&lt;0,"Review – Out of Range (Total Policies)",
  E209&lt;0,"Review – Out of Range (Lapsed Policies)",
  F209&lt;0,"Review – Out of Range (Avg Premium)",
  G209&lt;0,"Review – Out of Range (Fraud Assoc)",
  TRUE,"OK"
)</f>
        <v>OK</v>
      </c>
    </row>
    <row r="210" spans="1:8" ht="16.8" x14ac:dyDescent="0.3">
      <c r="A210" s="11" t="s">
        <v>3614</v>
      </c>
      <c r="B210" s="11" t="s">
        <v>55</v>
      </c>
      <c r="C210" s="12">
        <v>43136</v>
      </c>
      <c r="D210" s="11">
        <v>108</v>
      </c>
      <c r="E210" s="11">
        <v>28</v>
      </c>
      <c r="F210" s="11">
        <v>38810.28</v>
      </c>
      <c r="G210" s="11">
        <v>1</v>
      </c>
      <c r="H210" s="13" t="str" cm="1">
        <f t="array" ref="H210">_xlfn.IFS(
  ISBLANK(A210),"Missing Value",
  D210&lt;0,"Review – Out of Range (Total Policies)",
  E210&lt;0,"Review – Out of Range (Lapsed Policies)",
  F210&lt;0,"Review – Out of Range (Avg Premium)",
  G210&lt;0,"Review – Out of Range (Fraud Assoc)",
  TRUE,"OK"
)</f>
        <v>OK</v>
      </c>
    </row>
    <row r="211" spans="1:8" ht="16.8" x14ac:dyDescent="0.3">
      <c r="A211" s="14" t="s">
        <v>3401</v>
      </c>
      <c r="B211" s="14" t="s">
        <v>55</v>
      </c>
      <c r="C211" s="15">
        <v>43095</v>
      </c>
      <c r="D211" s="14">
        <v>59</v>
      </c>
      <c r="E211" s="14">
        <v>11</v>
      </c>
      <c r="F211" s="14">
        <v>7422.02</v>
      </c>
      <c r="G211" s="14">
        <v>4</v>
      </c>
      <c r="H211" s="13" t="str" cm="1">
        <f t="array" ref="H211">_xlfn.IFS(
  ISBLANK(A211),"Missing Value",
  D211&lt;0,"Review – Out of Range (Total Policies)",
  E211&lt;0,"Review – Out of Range (Lapsed Policies)",
  F211&lt;0,"Review – Out of Range (Avg Premium)",
  G211&lt;0,"Review – Out of Range (Fraud Assoc)",
  TRUE,"OK"
)</f>
        <v>OK</v>
      </c>
    </row>
    <row r="212" spans="1:8" ht="16.8" x14ac:dyDescent="0.3">
      <c r="A212" s="11" t="s">
        <v>3551</v>
      </c>
      <c r="B212" s="11" t="s">
        <v>60</v>
      </c>
      <c r="C212" s="12">
        <v>43773</v>
      </c>
      <c r="D212" s="11">
        <v>151</v>
      </c>
      <c r="E212" s="11">
        <v>11</v>
      </c>
      <c r="F212" s="11">
        <v>38799</v>
      </c>
      <c r="G212" s="11">
        <v>0</v>
      </c>
      <c r="H212" s="13" t="str" cm="1">
        <f t="array" ref="H212">_xlfn.IFS(
  ISBLANK(A212),"Missing Value",
  D212&lt;0,"Review – Out of Range (Total Policies)",
  E212&lt;0,"Review – Out of Range (Lapsed Policies)",
  F212&lt;0,"Review – Out of Range (Avg Premium)",
  G212&lt;0,"Review – Out of Range (Fraud Assoc)",
  TRUE,"OK"
)</f>
        <v>OK</v>
      </c>
    </row>
    <row r="213" spans="1:8" ht="16.8" x14ac:dyDescent="0.3">
      <c r="A213" s="14" t="s">
        <v>3505</v>
      </c>
      <c r="B213" s="14" t="s">
        <v>94</v>
      </c>
      <c r="C213" s="15">
        <v>43200</v>
      </c>
      <c r="D213" s="14">
        <v>225</v>
      </c>
      <c r="E213" s="14">
        <v>32</v>
      </c>
      <c r="F213" s="14">
        <v>12882.99</v>
      </c>
      <c r="G213" s="14">
        <v>4</v>
      </c>
      <c r="H213" s="13" t="str" cm="1">
        <f t="array" ref="H213">_xlfn.IFS(
  ISBLANK(A213),"Missing Value",
  D213&lt;0,"Review – Out of Range (Total Policies)",
  E213&lt;0,"Review – Out of Range (Lapsed Policies)",
  F213&lt;0,"Review – Out of Range (Avg Premium)",
  G213&lt;0,"Review – Out of Range (Fraud Assoc)",
  TRUE,"OK"
)</f>
        <v>OK</v>
      </c>
    </row>
    <row r="214" spans="1:8" ht="16.8" x14ac:dyDescent="0.3">
      <c r="A214" s="11" t="s">
        <v>3677</v>
      </c>
      <c r="B214" s="11" t="s">
        <v>60</v>
      </c>
      <c r="C214" s="12">
        <v>44429</v>
      </c>
      <c r="D214" s="11">
        <v>295</v>
      </c>
      <c r="E214" s="11">
        <v>14</v>
      </c>
      <c r="F214" s="11">
        <v>31903.21</v>
      </c>
      <c r="G214" s="11">
        <v>6</v>
      </c>
      <c r="H214" s="13" t="str" cm="1">
        <f t="array" ref="H214">_xlfn.IFS(
  ISBLANK(A214),"Missing Value",
  D214&lt;0,"Review – Out of Range (Total Policies)",
  E214&lt;0,"Review – Out of Range (Lapsed Policies)",
  F214&lt;0,"Review – Out of Range (Avg Premium)",
  G214&lt;0,"Review – Out of Range (Fraud Assoc)",
  TRUE,"OK"
)</f>
        <v>OK</v>
      </c>
    </row>
    <row r="215" spans="1:8" ht="16.8" x14ac:dyDescent="0.3">
      <c r="A215" s="14" t="s">
        <v>3393</v>
      </c>
      <c r="B215" s="14" t="s">
        <v>60</v>
      </c>
      <c r="C215" s="15">
        <v>42130</v>
      </c>
      <c r="D215" s="14">
        <v>171</v>
      </c>
      <c r="E215" s="14">
        <v>27</v>
      </c>
      <c r="F215" s="14">
        <v>28472.48</v>
      </c>
      <c r="G215" s="14">
        <v>4</v>
      </c>
      <c r="H215" s="13" t="str" cm="1">
        <f t="array" ref="H215">_xlfn.IFS(
  ISBLANK(A215),"Missing Value",
  D215&lt;0,"Review – Out of Range (Total Policies)",
  E215&lt;0,"Review – Out of Range (Lapsed Policies)",
  F215&lt;0,"Review – Out of Range (Avg Premium)",
  G215&lt;0,"Review – Out of Range (Fraud Assoc)",
  TRUE,"OK"
)</f>
        <v>OK</v>
      </c>
    </row>
    <row r="216" spans="1:8" ht="16.8" x14ac:dyDescent="0.3">
      <c r="A216" s="11" t="s">
        <v>4398</v>
      </c>
      <c r="B216" s="11" t="s">
        <v>44</v>
      </c>
      <c r="C216" s="12">
        <v>44750</v>
      </c>
      <c r="D216" s="11">
        <v>292</v>
      </c>
      <c r="E216" s="11">
        <v>14</v>
      </c>
      <c r="F216" s="11">
        <v>7429.03</v>
      </c>
      <c r="G216" s="11">
        <v>5</v>
      </c>
      <c r="H216" s="13" t="str" cm="1">
        <f t="array" ref="H216">_xlfn.IFS(
  ISBLANK(A216),"Missing Value",
  D216&lt;0,"Review – Out of Range (Total Policies)",
  E216&lt;0,"Review – Out of Range (Lapsed Policies)",
  F216&lt;0,"Review – Out of Range (Avg Premium)",
  G216&lt;0,"Review – Out of Range (Fraud Assoc)",
  TRUE,"OK"
)</f>
        <v>OK</v>
      </c>
    </row>
    <row r="217" spans="1:8" ht="16.8" x14ac:dyDescent="0.3">
      <c r="A217" s="14" t="s">
        <v>3911</v>
      </c>
      <c r="B217" s="14" t="s">
        <v>52</v>
      </c>
      <c r="C217" s="15">
        <v>43567</v>
      </c>
      <c r="D217" s="14">
        <v>119</v>
      </c>
      <c r="E217" s="14">
        <v>15</v>
      </c>
      <c r="F217" s="14">
        <v>36493.589999999997</v>
      </c>
      <c r="G217" s="14">
        <v>3</v>
      </c>
      <c r="H217" s="13" t="str" cm="1">
        <f t="array" ref="H217">_xlfn.IFS(
  ISBLANK(A217),"Missing Value",
  D217&lt;0,"Review – Out of Range (Total Policies)",
  E217&lt;0,"Review – Out of Range (Lapsed Policies)",
  F217&lt;0,"Review – Out of Range (Avg Premium)",
  G217&lt;0,"Review – Out of Range (Fraud Assoc)",
  TRUE,"OK"
)</f>
        <v>OK</v>
      </c>
    </row>
    <row r="218" spans="1:8" ht="16.8" x14ac:dyDescent="0.3">
      <c r="A218" s="11" t="s">
        <v>4114</v>
      </c>
      <c r="B218" s="11" t="s">
        <v>55</v>
      </c>
      <c r="C218" s="12">
        <v>43157</v>
      </c>
      <c r="D218" s="11">
        <v>249</v>
      </c>
      <c r="E218" s="11">
        <v>70</v>
      </c>
      <c r="F218" s="11">
        <v>17136.95</v>
      </c>
      <c r="G218" s="11">
        <v>0</v>
      </c>
      <c r="H218" s="13" t="str" cm="1">
        <f t="array" ref="H218">_xlfn.IFS(
  ISBLANK(A218),"Missing Value",
  D218&lt;0,"Review – Out of Range (Total Policies)",
  E218&lt;0,"Review – Out of Range (Lapsed Policies)",
  F218&lt;0,"Review – Out of Range (Avg Premium)",
  G218&lt;0,"Review – Out of Range (Fraud Assoc)",
  TRUE,"OK"
)</f>
        <v>OK</v>
      </c>
    </row>
    <row r="219" spans="1:8" ht="16.8" x14ac:dyDescent="0.3">
      <c r="A219" s="14" t="s">
        <v>4249</v>
      </c>
      <c r="B219" s="14" t="s">
        <v>60</v>
      </c>
      <c r="C219" s="15">
        <v>44078</v>
      </c>
      <c r="D219" s="14">
        <v>66</v>
      </c>
      <c r="E219" s="14">
        <v>15</v>
      </c>
      <c r="F219" s="14">
        <v>38700.660000000003</v>
      </c>
      <c r="G219" s="14">
        <v>4</v>
      </c>
      <c r="H219" s="13" t="str" cm="1">
        <f t="array" ref="H219">_xlfn.IFS(
  ISBLANK(A219),"Missing Value",
  D219&lt;0,"Review – Out of Range (Total Policies)",
  E219&lt;0,"Review – Out of Range (Lapsed Policies)",
  F219&lt;0,"Review – Out of Range (Avg Premium)",
  G219&lt;0,"Review – Out of Range (Fraud Assoc)",
  TRUE,"OK"
)</f>
        <v>OK</v>
      </c>
    </row>
    <row r="220" spans="1:8" ht="16.8" x14ac:dyDescent="0.3">
      <c r="A220" s="11" t="s">
        <v>4749</v>
      </c>
      <c r="B220" s="11" t="s">
        <v>94</v>
      </c>
      <c r="C220" s="12">
        <v>42831</v>
      </c>
      <c r="D220" s="11">
        <v>172</v>
      </c>
      <c r="E220" s="11">
        <v>16</v>
      </c>
      <c r="F220" s="11">
        <v>31190.55</v>
      </c>
      <c r="G220" s="11">
        <v>7</v>
      </c>
      <c r="H220" s="13" t="str" cm="1">
        <f t="array" ref="H220">_xlfn.IFS(
  ISBLANK(A220),"Missing Value",
  D220&lt;0,"Review – Out of Range (Total Policies)",
  E220&lt;0,"Review – Out of Range (Lapsed Policies)",
  F220&lt;0,"Review – Out of Range (Avg Premium)",
  G220&lt;0,"Review – Out of Range (Fraud Assoc)",
  TRUE,"OK"
)</f>
        <v>OK</v>
      </c>
    </row>
    <row r="221" spans="1:8" ht="16.8" x14ac:dyDescent="0.3">
      <c r="A221" s="14" t="s">
        <v>3634</v>
      </c>
      <c r="B221" s="14" t="s">
        <v>94</v>
      </c>
      <c r="C221" s="15">
        <v>44078</v>
      </c>
      <c r="D221" s="14">
        <v>148</v>
      </c>
      <c r="E221" s="14">
        <v>41</v>
      </c>
      <c r="F221" s="14">
        <v>31530.66</v>
      </c>
      <c r="G221" s="14">
        <v>3</v>
      </c>
      <c r="H221" s="13" t="str" cm="1">
        <f t="array" ref="H221">_xlfn.IFS(
  ISBLANK(A221),"Missing Value",
  D221&lt;0,"Review – Out of Range (Total Policies)",
  E221&lt;0,"Review – Out of Range (Lapsed Policies)",
  F221&lt;0,"Review – Out of Range (Avg Premium)",
  G221&lt;0,"Review – Out of Range (Fraud Assoc)",
  TRUE,"OK"
)</f>
        <v>OK</v>
      </c>
    </row>
    <row r="222" spans="1:8" ht="16.8" x14ac:dyDescent="0.3">
      <c r="A222" s="11" t="s">
        <v>3863</v>
      </c>
      <c r="B222" s="11" t="s">
        <v>94</v>
      </c>
      <c r="C222" s="12">
        <v>42264</v>
      </c>
      <c r="D222" s="11">
        <v>152</v>
      </c>
      <c r="E222" s="11">
        <v>40</v>
      </c>
      <c r="F222" s="11">
        <v>10494.51</v>
      </c>
      <c r="G222" s="11">
        <v>5</v>
      </c>
      <c r="H222" s="13" t="str" cm="1">
        <f t="array" ref="H222">_xlfn.IFS(
  ISBLANK(A222),"Missing Value",
  D222&lt;0,"Review – Out of Range (Total Policies)",
  E222&lt;0,"Review – Out of Range (Lapsed Policies)",
  F222&lt;0,"Review – Out of Range (Avg Premium)",
  G222&lt;0,"Review – Out of Range (Fraud Assoc)",
  TRUE,"OK"
)</f>
        <v>OK</v>
      </c>
    </row>
    <row r="223" spans="1:8" ht="16.8" x14ac:dyDescent="0.3">
      <c r="A223" s="14" t="s">
        <v>4671</v>
      </c>
      <c r="B223" s="14" t="s">
        <v>44</v>
      </c>
      <c r="C223" s="15">
        <v>44041</v>
      </c>
      <c r="D223" s="14">
        <v>218</v>
      </c>
      <c r="E223" s="14">
        <v>0</v>
      </c>
      <c r="F223" s="14">
        <v>18257.009999999998</v>
      </c>
      <c r="G223" s="14">
        <v>3</v>
      </c>
      <c r="H223" s="13" t="str" cm="1">
        <f t="array" ref="H223">_xlfn.IFS(
  ISBLANK(A223),"Missing Value",
  D223&lt;0,"Review – Out of Range (Total Policies)",
  E223&lt;0,"Review – Out of Range (Lapsed Policies)",
  F223&lt;0,"Review – Out of Range (Avg Premium)",
  G223&lt;0,"Review – Out of Range (Fraud Assoc)",
  TRUE,"OK"
)</f>
        <v>OK</v>
      </c>
    </row>
    <row r="224" spans="1:8" ht="16.8" x14ac:dyDescent="0.3">
      <c r="A224" s="11" t="s">
        <v>3528</v>
      </c>
      <c r="B224" s="11" t="s">
        <v>52</v>
      </c>
      <c r="C224" s="12">
        <v>44907</v>
      </c>
      <c r="D224" s="11">
        <v>92</v>
      </c>
      <c r="E224" s="11">
        <v>10</v>
      </c>
      <c r="F224" s="11">
        <v>41356.65</v>
      </c>
      <c r="G224" s="11">
        <v>9</v>
      </c>
      <c r="H224" s="13" t="str" cm="1">
        <f t="array" ref="H224">_xlfn.IFS(
  ISBLANK(A224),"Missing Value",
  D224&lt;0,"Review – Out of Range (Total Policies)",
  E224&lt;0,"Review – Out of Range (Lapsed Policies)",
  F224&lt;0,"Review – Out of Range (Avg Premium)",
  G224&lt;0,"Review – Out of Range (Fraud Assoc)",
  TRUE,"OK"
)</f>
        <v>OK</v>
      </c>
    </row>
    <row r="225" spans="1:8" ht="16.8" x14ac:dyDescent="0.3">
      <c r="A225" s="14" t="s">
        <v>3822</v>
      </c>
      <c r="B225" s="14" t="s">
        <v>94</v>
      </c>
      <c r="C225" s="15">
        <v>42555</v>
      </c>
      <c r="D225" s="14">
        <v>64</v>
      </c>
      <c r="E225" s="14">
        <v>1</v>
      </c>
      <c r="F225" s="14">
        <v>13737.82</v>
      </c>
      <c r="G225" s="14">
        <v>9</v>
      </c>
      <c r="H225" s="13" t="str" cm="1">
        <f t="array" ref="H225">_xlfn.IFS(
  ISBLANK(A225),"Missing Value",
  D225&lt;0,"Review – Out of Range (Total Policies)",
  E225&lt;0,"Review – Out of Range (Lapsed Policies)",
  F225&lt;0,"Review – Out of Range (Avg Premium)",
  G225&lt;0,"Review – Out of Range (Fraud Assoc)",
  TRUE,"OK"
)</f>
        <v>OK</v>
      </c>
    </row>
    <row r="226" spans="1:8" ht="16.8" x14ac:dyDescent="0.3">
      <c r="A226" s="11" t="s">
        <v>3976</v>
      </c>
      <c r="B226" s="11" t="s">
        <v>94</v>
      </c>
      <c r="C226" s="12">
        <v>44217</v>
      </c>
      <c r="D226" s="11">
        <v>188</v>
      </c>
      <c r="E226" s="11">
        <v>35</v>
      </c>
      <c r="F226" s="11">
        <v>6126.5</v>
      </c>
      <c r="G226" s="11">
        <v>1</v>
      </c>
      <c r="H226" s="13" t="str" cm="1">
        <f t="array" ref="H226">_xlfn.IFS(
  ISBLANK(A226),"Missing Value",
  D226&lt;0,"Review – Out of Range (Total Policies)",
  E226&lt;0,"Review – Out of Range (Lapsed Policies)",
  F226&lt;0,"Review – Out of Range (Avg Premium)",
  G226&lt;0,"Review – Out of Range (Fraud Assoc)",
  TRUE,"OK"
)</f>
        <v>OK</v>
      </c>
    </row>
    <row r="227" spans="1:8" ht="16.8" x14ac:dyDescent="0.3">
      <c r="A227" s="14" t="s">
        <v>3612</v>
      </c>
      <c r="B227" s="14" t="s">
        <v>94</v>
      </c>
      <c r="C227" s="15">
        <v>44442</v>
      </c>
      <c r="D227" s="14">
        <v>104</v>
      </c>
      <c r="E227" s="14">
        <v>7</v>
      </c>
      <c r="F227" s="14">
        <v>39955.599999999999</v>
      </c>
      <c r="G227" s="14">
        <v>9</v>
      </c>
      <c r="H227" s="13" t="str" cm="1">
        <f t="array" ref="H227">_xlfn.IFS(
  ISBLANK(A227),"Missing Value",
  D227&lt;0,"Review – Out of Range (Total Policies)",
  E227&lt;0,"Review – Out of Range (Lapsed Policies)",
  F227&lt;0,"Review – Out of Range (Avg Premium)",
  G227&lt;0,"Review – Out of Range (Fraud Assoc)",
  TRUE,"OK"
)</f>
        <v>OK</v>
      </c>
    </row>
    <row r="228" spans="1:8" ht="16.8" x14ac:dyDescent="0.3">
      <c r="A228" s="11" t="s">
        <v>3819</v>
      </c>
      <c r="B228" s="11" t="s">
        <v>52</v>
      </c>
      <c r="C228" s="12">
        <v>43277</v>
      </c>
      <c r="D228" s="11">
        <v>227</v>
      </c>
      <c r="E228" s="11">
        <v>10</v>
      </c>
      <c r="F228" s="11">
        <v>43640.61</v>
      </c>
      <c r="G228" s="11">
        <v>9</v>
      </c>
      <c r="H228" s="13" t="str" cm="1">
        <f t="array" ref="H228">_xlfn.IFS(
  ISBLANK(A228),"Missing Value",
  D228&lt;0,"Review – Out of Range (Total Policies)",
  E228&lt;0,"Review – Out of Range (Lapsed Policies)",
  F228&lt;0,"Review – Out of Range (Avg Premium)",
  G228&lt;0,"Review – Out of Range (Fraud Assoc)",
  TRUE,"OK"
)</f>
        <v>OK</v>
      </c>
    </row>
    <row r="229" spans="1:8" ht="16.8" x14ac:dyDescent="0.3">
      <c r="A229" s="14" t="s">
        <v>3838</v>
      </c>
      <c r="B229" s="14" t="s">
        <v>55</v>
      </c>
      <c r="C229" s="15">
        <v>43462</v>
      </c>
      <c r="D229" s="14">
        <v>257</v>
      </c>
      <c r="E229" s="14">
        <v>31</v>
      </c>
      <c r="F229" s="14">
        <v>8835.4</v>
      </c>
      <c r="G229" s="14">
        <v>0</v>
      </c>
      <c r="H229" s="13" t="str" cm="1">
        <f t="array" ref="H229">_xlfn.IFS(
  ISBLANK(A229),"Missing Value",
  D229&lt;0,"Review – Out of Range (Total Policies)",
  E229&lt;0,"Review – Out of Range (Lapsed Policies)",
  F229&lt;0,"Review – Out of Range (Avg Premium)",
  G229&lt;0,"Review – Out of Range (Fraud Assoc)",
  TRUE,"OK"
)</f>
        <v>OK</v>
      </c>
    </row>
    <row r="230" spans="1:8" ht="16.8" x14ac:dyDescent="0.3">
      <c r="A230" s="11" t="s">
        <v>3605</v>
      </c>
      <c r="B230" s="11" t="s">
        <v>109</v>
      </c>
      <c r="C230" s="12">
        <v>43169</v>
      </c>
      <c r="D230" s="11">
        <v>177</v>
      </c>
      <c r="E230" s="11">
        <v>20</v>
      </c>
      <c r="F230" s="11">
        <v>11215.99</v>
      </c>
      <c r="G230" s="11">
        <v>2</v>
      </c>
      <c r="H230" s="13" t="str" cm="1">
        <f t="array" ref="H230">_xlfn.IFS(
  ISBLANK(A230),"Missing Value",
  D230&lt;0,"Review – Out of Range (Total Policies)",
  E230&lt;0,"Review – Out of Range (Lapsed Policies)",
  F230&lt;0,"Review – Out of Range (Avg Premium)",
  G230&lt;0,"Review – Out of Range (Fraud Assoc)",
  TRUE,"OK"
)</f>
        <v>OK</v>
      </c>
    </row>
    <row r="231" spans="1:8" ht="16.8" x14ac:dyDescent="0.3">
      <c r="A231" s="14" t="s">
        <v>3646</v>
      </c>
      <c r="B231" s="14" t="s">
        <v>94</v>
      </c>
      <c r="C231" s="15">
        <v>43948</v>
      </c>
      <c r="D231" s="14">
        <v>149</v>
      </c>
      <c r="E231" s="14">
        <v>32</v>
      </c>
      <c r="F231" s="14">
        <v>47105</v>
      </c>
      <c r="G231" s="14">
        <v>9</v>
      </c>
      <c r="H231" s="13" t="str" cm="1">
        <f t="array" ref="H231">_xlfn.IFS(
  ISBLANK(A231),"Missing Value",
  D231&lt;0,"Review – Out of Range (Total Policies)",
  E231&lt;0,"Review – Out of Range (Lapsed Policies)",
  F231&lt;0,"Review – Out of Range (Avg Premium)",
  G231&lt;0,"Review – Out of Range (Fraud Assoc)",
  TRUE,"OK"
)</f>
        <v>OK</v>
      </c>
    </row>
    <row r="232" spans="1:8" ht="16.8" x14ac:dyDescent="0.3">
      <c r="A232" s="11" t="s">
        <v>3813</v>
      </c>
      <c r="B232" s="11" t="s">
        <v>52</v>
      </c>
      <c r="C232" s="12">
        <v>43013</v>
      </c>
      <c r="D232" s="11">
        <v>69</v>
      </c>
      <c r="E232" s="11">
        <v>14</v>
      </c>
      <c r="F232" s="11">
        <v>44819.32</v>
      </c>
      <c r="G232" s="11">
        <v>0</v>
      </c>
      <c r="H232" s="13" t="str" cm="1">
        <f t="array" ref="H232">_xlfn.IFS(
  ISBLANK(A232),"Missing Value",
  D232&lt;0,"Review – Out of Range (Total Policies)",
  E232&lt;0,"Review – Out of Range (Lapsed Policies)",
  F232&lt;0,"Review – Out of Range (Avg Premium)",
  G232&lt;0,"Review – Out of Range (Fraud Assoc)",
  TRUE,"OK"
)</f>
        <v>OK</v>
      </c>
    </row>
    <row r="233" spans="1:8" ht="16.8" x14ac:dyDescent="0.3">
      <c r="A233" s="14" t="s">
        <v>5148</v>
      </c>
      <c r="B233" s="14" t="s">
        <v>109</v>
      </c>
      <c r="C233" s="15">
        <v>44396</v>
      </c>
      <c r="D233" s="14">
        <v>113</v>
      </c>
      <c r="E233" s="14">
        <v>14</v>
      </c>
      <c r="F233" s="14">
        <v>45620.9</v>
      </c>
      <c r="G233" s="14">
        <v>3</v>
      </c>
      <c r="H233" s="13" t="str" cm="1">
        <f t="array" ref="H233">_xlfn.IFS(
  ISBLANK(A233),"Missing Value",
  D233&lt;0,"Review – Out of Range (Total Policies)",
  E233&lt;0,"Review – Out of Range (Lapsed Policies)",
  F233&lt;0,"Review – Out of Range (Avg Premium)",
  G233&lt;0,"Review – Out of Range (Fraud Assoc)",
  TRUE,"OK"
)</f>
        <v>OK</v>
      </c>
    </row>
    <row r="234" spans="1:8" ht="16.8" x14ac:dyDescent="0.3">
      <c r="A234" s="11" t="s">
        <v>3603</v>
      </c>
      <c r="B234" s="11" t="s">
        <v>52</v>
      </c>
      <c r="C234" s="12">
        <v>44006</v>
      </c>
      <c r="D234" s="11">
        <v>213</v>
      </c>
      <c r="E234" s="11">
        <v>18</v>
      </c>
      <c r="F234" s="11">
        <v>43729.63</v>
      </c>
      <c r="G234" s="11">
        <v>3</v>
      </c>
      <c r="H234" s="13" t="str" cm="1">
        <f t="array" ref="H234">_xlfn.IFS(
  ISBLANK(A234),"Missing Value",
  D234&lt;0,"Review – Out of Range (Total Policies)",
  E234&lt;0,"Review – Out of Range (Lapsed Policies)",
  F234&lt;0,"Review – Out of Range (Avg Premium)",
  G234&lt;0,"Review – Out of Range (Fraud Assoc)",
  TRUE,"OK"
)</f>
        <v>OK</v>
      </c>
    </row>
    <row r="235" spans="1:8" ht="16.8" x14ac:dyDescent="0.3">
      <c r="A235" s="14" t="s">
        <v>3738</v>
      </c>
      <c r="B235" s="14" t="s">
        <v>52</v>
      </c>
      <c r="C235" s="15">
        <v>42552</v>
      </c>
      <c r="D235" s="14">
        <v>237</v>
      </c>
      <c r="E235" s="14">
        <v>4</v>
      </c>
      <c r="F235" s="14">
        <v>22135.57</v>
      </c>
      <c r="G235" s="14">
        <v>8</v>
      </c>
      <c r="H235" s="13" t="str" cm="1">
        <f t="array" ref="H235">_xlfn.IFS(
  ISBLANK(A235),"Missing Value",
  D235&lt;0,"Review – Out of Range (Total Policies)",
  E235&lt;0,"Review – Out of Range (Lapsed Policies)",
  F235&lt;0,"Review – Out of Range (Avg Premium)",
  G235&lt;0,"Review – Out of Range (Fraud Assoc)",
  TRUE,"OK"
)</f>
        <v>OK</v>
      </c>
    </row>
    <row r="236" spans="1:8" ht="16.8" x14ac:dyDescent="0.3">
      <c r="A236" s="11" t="s">
        <v>3387</v>
      </c>
      <c r="B236" s="11" t="s">
        <v>109</v>
      </c>
      <c r="C236" s="12">
        <v>44419</v>
      </c>
      <c r="D236" s="11">
        <v>245</v>
      </c>
      <c r="E236" s="11">
        <v>1</v>
      </c>
      <c r="F236" s="11">
        <v>47711.78</v>
      </c>
      <c r="G236" s="11">
        <v>4</v>
      </c>
      <c r="H236" s="13" t="str" cm="1">
        <f t="array" ref="H236">_xlfn.IFS(
  ISBLANK(A236),"Missing Value",
  D236&lt;0,"Review – Out of Range (Total Policies)",
  E236&lt;0,"Review – Out of Range (Lapsed Policies)",
  F236&lt;0,"Review – Out of Range (Avg Premium)",
  G236&lt;0,"Review – Out of Range (Fraud Assoc)",
  TRUE,"OK"
)</f>
        <v>OK</v>
      </c>
    </row>
    <row r="237" spans="1:8" ht="16.8" x14ac:dyDescent="0.3">
      <c r="A237" s="14" t="s">
        <v>4102</v>
      </c>
      <c r="B237" s="14" t="s">
        <v>44</v>
      </c>
      <c r="C237" s="15">
        <v>42668</v>
      </c>
      <c r="D237" s="14">
        <v>287</v>
      </c>
      <c r="E237" s="14">
        <v>77</v>
      </c>
      <c r="F237" s="14">
        <v>39142.85</v>
      </c>
      <c r="G237" s="14">
        <v>1</v>
      </c>
      <c r="H237" s="13" t="str" cm="1">
        <f t="array" ref="H237">_xlfn.IFS(
  ISBLANK(A237),"Missing Value",
  D237&lt;0,"Review – Out of Range (Total Policies)",
  E237&lt;0,"Review – Out of Range (Lapsed Policies)",
  F237&lt;0,"Review – Out of Range (Avg Premium)",
  G237&lt;0,"Review – Out of Range (Fraud Assoc)",
  TRUE,"OK"
)</f>
        <v>OK</v>
      </c>
    </row>
    <row r="238" spans="1:8" ht="16.8" x14ac:dyDescent="0.3">
      <c r="A238" s="11" t="s">
        <v>3607</v>
      </c>
      <c r="B238" s="11" t="s">
        <v>94</v>
      </c>
      <c r="C238" s="12">
        <v>43255</v>
      </c>
      <c r="D238" s="11">
        <v>88</v>
      </c>
      <c r="E238" s="11">
        <v>2</v>
      </c>
      <c r="F238" s="11">
        <v>15053.45</v>
      </c>
      <c r="G238" s="11">
        <v>5</v>
      </c>
      <c r="H238" s="13" t="str" cm="1">
        <f t="array" ref="H238">_xlfn.IFS(
  ISBLANK(A238),"Missing Value",
  D238&lt;0,"Review – Out of Range (Total Policies)",
  E238&lt;0,"Review – Out of Range (Lapsed Policies)",
  F238&lt;0,"Review – Out of Range (Avg Premium)",
  G238&lt;0,"Review – Out of Range (Fraud Assoc)",
  TRUE,"OK"
)</f>
        <v>OK</v>
      </c>
    </row>
    <row r="239" spans="1:8" ht="16.8" x14ac:dyDescent="0.3">
      <c r="A239" s="14" t="s">
        <v>3774</v>
      </c>
      <c r="B239" s="14" t="s">
        <v>52</v>
      </c>
      <c r="C239" s="15">
        <v>44491</v>
      </c>
      <c r="D239" s="14">
        <v>130</v>
      </c>
      <c r="E239" s="14">
        <v>30</v>
      </c>
      <c r="F239" s="14">
        <v>39342.21</v>
      </c>
      <c r="G239" s="14">
        <v>7</v>
      </c>
      <c r="H239" s="13" t="str" cm="1">
        <f t="array" ref="H239">_xlfn.IFS(
  ISBLANK(A239),"Missing Value",
  D239&lt;0,"Review – Out of Range (Total Policies)",
  E239&lt;0,"Review – Out of Range (Lapsed Policies)",
  F239&lt;0,"Review – Out of Range (Avg Premium)",
  G239&lt;0,"Review – Out of Range (Fraud Assoc)",
  TRUE,"OK"
)</f>
        <v>OK</v>
      </c>
    </row>
    <row r="240" spans="1:8" ht="16.8" x14ac:dyDescent="0.3">
      <c r="A240" s="11" t="s">
        <v>3360</v>
      </c>
      <c r="B240" s="11" t="s">
        <v>44</v>
      </c>
      <c r="C240" s="12">
        <v>44314</v>
      </c>
      <c r="D240" s="11">
        <v>191</v>
      </c>
      <c r="E240" s="11">
        <v>7</v>
      </c>
      <c r="F240" s="11">
        <v>49367.97</v>
      </c>
      <c r="G240" s="11">
        <v>9</v>
      </c>
      <c r="H240" s="13" t="str" cm="1">
        <f t="array" ref="H240">_xlfn.IFS(
  ISBLANK(A240),"Missing Value",
  D240&lt;0,"Review – Out of Range (Total Policies)",
  E240&lt;0,"Review – Out of Range (Lapsed Policies)",
  F240&lt;0,"Review – Out of Range (Avg Premium)",
  G240&lt;0,"Review – Out of Range (Fraud Assoc)",
  TRUE,"OK"
)</f>
        <v>OK</v>
      </c>
    </row>
    <row r="241" spans="1:8" ht="16.8" x14ac:dyDescent="0.3">
      <c r="A241" s="14" t="s">
        <v>3767</v>
      </c>
      <c r="B241" s="14" t="s">
        <v>109</v>
      </c>
      <c r="C241" s="15">
        <v>44420</v>
      </c>
      <c r="D241" s="14">
        <v>259</v>
      </c>
      <c r="E241" s="14">
        <v>12</v>
      </c>
      <c r="F241" s="14">
        <v>32918.65</v>
      </c>
      <c r="G241" s="14">
        <v>2</v>
      </c>
      <c r="H241" s="13" t="str" cm="1">
        <f t="array" ref="H241">_xlfn.IFS(
  ISBLANK(A241),"Missing Value",
  D241&lt;0,"Review – Out of Range (Total Policies)",
  E241&lt;0,"Review – Out of Range (Lapsed Policies)",
  F241&lt;0,"Review – Out of Range (Avg Premium)",
  G241&lt;0,"Review – Out of Range (Fraud Assoc)",
  TRUE,"OK"
)</f>
        <v>OK</v>
      </c>
    </row>
    <row r="242" spans="1:8" ht="16.8" x14ac:dyDescent="0.3">
      <c r="A242" s="11" t="s">
        <v>3497</v>
      </c>
      <c r="B242" s="11" t="s">
        <v>109</v>
      </c>
      <c r="C242" s="12">
        <v>42736</v>
      </c>
      <c r="D242" s="11">
        <v>197</v>
      </c>
      <c r="E242" s="11">
        <v>33</v>
      </c>
      <c r="F242" s="11">
        <v>31909.41</v>
      </c>
      <c r="G242" s="11">
        <v>4</v>
      </c>
      <c r="H242" s="13" t="str" cm="1">
        <f t="array" ref="H242">_xlfn.IFS(
  ISBLANK(A242),"Missing Value",
  D242&lt;0,"Review – Out of Range (Total Policies)",
  E242&lt;0,"Review – Out of Range (Lapsed Policies)",
  F242&lt;0,"Review – Out of Range (Avg Premium)",
  G242&lt;0,"Review – Out of Range (Fraud Assoc)",
  TRUE,"OK"
)</f>
        <v>OK</v>
      </c>
    </row>
    <row r="243" spans="1:8" ht="16.8" x14ac:dyDescent="0.3">
      <c r="A243" s="14" t="s">
        <v>3567</v>
      </c>
      <c r="B243" s="14" t="s">
        <v>60</v>
      </c>
      <c r="C243" s="15">
        <v>43183</v>
      </c>
      <c r="D243" s="14">
        <v>297</v>
      </c>
      <c r="E243" s="14">
        <v>85</v>
      </c>
      <c r="F243" s="14">
        <v>10580.67</v>
      </c>
      <c r="G243" s="14">
        <v>4</v>
      </c>
      <c r="H243" s="13" t="str" cm="1">
        <f t="array" ref="H243">_xlfn.IFS(
  ISBLANK(A243),"Missing Value",
  D243&lt;0,"Review – Out of Range (Total Policies)",
  E243&lt;0,"Review – Out of Range (Lapsed Policies)",
  F243&lt;0,"Review – Out of Range (Avg Premium)",
  G243&lt;0,"Review – Out of Range (Fraud Assoc)",
  TRUE,"OK"
)</f>
        <v>OK</v>
      </c>
    </row>
    <row r="244" spans="1:8" ht="16.8" x14ac:dyDescent="0.3">
      <c r="A244" s="11" t="s">
        <v>3543</v>
      </c>
      <c r="B244" s="11" t="s">
        <v>52</v>
      </c>
      <c r="C244" s="12">
        <v>43417</v>
      </c>
      <c r="D244" s="11">
        <v>208</v>
      </c>
      <c r="E244" s="11">
        <v>32</v>
      </c>
      <c r="F244" s="11">
        <v>48400.99</v>
      </c>
      <c r="G244" s="11">
        <v>9</v>
      </c>
      <c r="H244" s="13" t="str" cm="1">
        <f t="array" ref="H244">_xlfn.IFS(
  ISBLANK(A244),"Missing Value",
  D244&lt;0,"Review – Out of Range (Total Policies)",
  E244&lt;0,"Review – Out of Range (Lapsed Policies)",
  F244&lt;0,"Review – Out of Range (Avg Premium)",
  G244&lt;0,"Review – Out of Range (Fraud Assoc)",
  TRUE,"OK"
)</f>
        <v>OK</v>
      </c>
    </row>
    <row r="245" spans="1:8" ht="16.8" x14ac:dyDescent="0.3">
      <c r="A245" s="14" t="s">
        <v>3503</v>
      </c>
      <c r="B245" s="14" t="s">
        <v>94</v>
      </c>
      <c r="C245" s="15">
        <v>43213</v>
      </c>
      <c r="D245" s="14">
        <v>141</v>
      </c>
      <c r="E245" s="14">
        <v>18</v>
      </c>
      <c r="F245" s="14">
        <v>30437.53</v>
      </c>
      <c r="G245" s="14">
        <v>0</v>
      </c>
      <c r="H245" s="13" t="str" cm="1">
        <f t="array" ref="H245">_xlfn.IFS(
  ISBLANK(A245),"Missing Value",
  D245&lt;0,"Review – Out of Range (Total Policies)",
  E245&lt;0,"Review – Out of Range (Lapsed Policies)",
  F245&lt;0,"Review – Out of Range (Avg Premium)",
  G245&lt;0,"Review – Out of Range (Fraud Assoc)",
  TRUE,"OK"
)</f>
        <v>OK</v>
      </c>
    </row>
    <row r="246" spans="1:8" ht="16.8" x14ac:dyDescent="0.3">
      <c r="A246" s="11" t="s">
        <v>3715</v>
      </c>
      <c r="B246" s="11" t="s">
        <v>55</v>
      </c>
      <c r="C246" s="12">
        <v>44672</v>
      </c>
      <c r="D246" s="11">
        <v>173</v>
      </c>
      <c r="E246" s="11">
        <v>41</v>
      </c>
      <c r="F246" s="11">
        <v>43809.85</v>
      </c>
      <c r="G246" s="11">
        <v>8</v>
      </c>
      <c r="H246" s="13" t="str" cm="1">
        <f t="array" ref="H246">_xlfn.IFS(
  ISBLANK(A246),"Missing Value",
  D246&lt;0,"Review – Out of Range (Total Policies)",
  E246&lt;0,"Review – Out of Range (Lapsed Policies)",
  F246&lt;0,"Review – Out of Range (Avg Premium)",
  G246&lt;0,"Review – Out of Range (Fraud Assoc)",
  TRUE,"OK"
)</f>
        <v>OK</v>
      </c>
    </row>
    <row r="247" spans="1:8" ht="16.8" x14ac:dyDescent="0.3">
      <c r="A247" s="14" t="s">
        <v>3827</v>
      </c>
      <c r="B247" s="14" t="s">
        <v>52</v>
      </c>
      <c r="C247" s="15">
        <v>42625</v>
      </c>
      <c r="D247" s="14">
        <v>262</v>
      </c>
      <c r="E247" s="14">
        <v>43</v>
      </c>
      <c r="F247" s="14">
        <v>5275.48</v>
      </c>
      <c r="G247" s="14">
        <v>1</v>
      </c>
      <c r="H247" s="13" t="str" cm="1">
        <f t="array" ref="H247">_xlfn.IFS(
  ISBLANK(A247),"Missing Value",
  D247&lt;0,"Review – Out of Range (Total Policies)",
  E247&lt;0,"Review – Out of Range (Lapsed Policies)",
  F247&lt;0,"Review – Out of Range (Avg Premium)",
  G247&lt;0,"Review – Out of Range (Fraud Assoc)",
  TRUE,"OK"
)</f>
        <v>OK</v>
      </c>
    </row>
    <row r="248" spans="1:8" ht="16.8" x14ac:dyDescent="0.3">
      <c r="A248" s="11" t="s">
        <v>6231</v>
      </c>
      <c r="B248" s="11" t="s">
        <v>55</v>
      </c>
      <c r="C248" s="12">
        <v>42092</v>
      </c>
      <c r="D248" s="11">
        <v>154</v>
      </c>
      <c r="E248" s="11">
        <v>8</v>
      </c>
      <c r="F248" s="11">
        <v>29017.3</v>
      </c>
      <c r="G248" s="11">
        <v>3</v>
      </c>
      <c r="H248" s="13" t="str" cm="1">
        <f t="array" ref="H248">_xlfn.IFS(
  ISBLANK(A248),"Missing Value",
  D248&lt;0,"Review – Out of Range (Total Policies)",
  E248&lt;0,"Review – Out of Range (Lapsed Policies)",
  F248&lt;0,"Review – Out of Range (Avg Premium)",
  G248&lt;0,"Review – Out of Range (Fraud Assoc)",
  TRUE,"OK"
)</f>
        <v>OK</v>
      </c>
    </row>
    <row r="249" spans="1:8" ht="16.8" x14ac:dyDescent="0.3">
      <c r="A249" s="14" t="s">
        <v>3499</v>
      </c>
      <c r="B249" s="14" t="s">
        <v>55</v>
      </c>
      <c r="C249" s="15">
        <v>42466</v>
      </c>
      <c r="D249" s="14">
        <v>232</v>
      </c>
      <c r="E249" s="14">
        <v>26</v>
      </c>
      <c r="F249" s="14">
        <v>7680.16</v>
      </c>
      <c r="G249" s="14">
        <v>8</v>
      </c>
      <c r="H249" s="13" t="str" cm="1">
        <f t="array" ref="H249">_xlfn.IFS(
  ISBLANK(A249),"Missing Value",
  D249&lt;0,"Review – Out of Range (Total Policies)",
  E249&lt;0,"Review – Out of Range (Lapsed Policies)",
  F249&lt;0,"Review – Out of Range (Avg Premium)",
  G249&lt;0,"Review – Out of Range (Fraud Assoc)",
  TRUE,"OK"
)</f>
        <v>OK</v>
      </c>
    </row>
    <row r="250" spans="1:8" ht="16.8" x14ac:dyDescent="0.3">
      <c r="A250" s="11" t="s">
        <v>6366</v>
      </c>
      <c r="B250" s="11" t="s">
        <v>52</v>
      </c>
      <c r="C250" s="12">
        <v>44610</v>
      </c>
      <c r="D250" s="11">
        <v>90</v>
      </c>
      <c r="E250" s="11">
        <v>5</v>
      </c>
      <c r="F250" s="11">
        <v>26793.56</v>
      </c>
      <c r="G250" s="11">
        <v>3</v>
      </c>
      <c r="H250" s="13" t="str" cm="1">
        <f t="array" ref="H250">_xlfn.IFS(
  ISBLANK(A250),"Missing Value",
  D250&lt;0,"Review – Out of Range (Total Policies)",
  E250&lt;0,"Review – Out of Range (Lapsed Policies)",
  F250&lt;0,"Review – Out of Range (Avg Premium)",
  G250&lt;0,"Review – Out of Range (Fraud Assoc)",
  TRUE,"OK"
)</f>
        <v>OK</v>
      </c>
    </row>
    <row r="251" spans="1:8" ht="16.8" x14ac:dyDescent="0.3">
      <c r="A251" s="14" t="s">
        <v>3665</v>
      </c>
      <c r="B251" s="14" t="s">
        <v>109</v>
      </c>
      <c r="C251" s="15">
        <v>44508</v>
      </c>
      <c r="D251" s="14">
        <v>53</v>
      </c>
      <c r="E251" s="14">
        <v>9</v>
      </c>
      <c r="F251" s="14">
        <v>18469.240000000002</v>
      </c>
      <c r="G251" s="14">
        <v>5</v>
      </c>
      <c r="H251" s="13" t="str" cm="1">
        <f t="array" ref="H251">_xlfn.IFS(
  ISBLANK(A251),"Missing Value",
  D251&lt;0,"Review – Out of Range (Total Policies)",
  E251&lt;0,"Review – Out of Range (Lapsed Policies)",
  F251&lt;0,"Review – Out of Range (Avg Premium)",
  G251&lt;0,"Review – Out of Range (Fraud Assoc)",
  TRUE,"OK"
)</f>
        <v>OK</v>
      </c>
    </row>
    <row r="252" spans="1:8" ht="16.8" x14ac:dyDescent="0.3">
      <c r="A252" s="11" t="s">
        <v>3492</v>
      </c>
      <c r="B252" s="11" t="s">
        <v>44</v>
      </c>
      <c r="C252" s="12">
        <v>42490</v>
      </c>
      <c r="D252" s="11">
        <v>215</v>
      </c>
      <c r="E252" s="11">
        <v>24</v>
      </c>
      <c r="F252" s="11">
        <v>39146.9</v>
      </c>
      <c r="G252" s="11">
        <v>6</v>
      </c>
      <c r="H252" s="13" t="str" cm="1">
        <f t="array" ref="H252">_xlfn.IFS(
  ISBLANK(A252),"Missing Value",
  D252&lt;0,"Review – Out of Range (Total Policies)",
  E252&lt;0,"Review – Out of Range (Lapsed Policies)",
  F252&lt;0,"Review – Out of Range (Avg Premium)",
  G252&lt;0,"Review – Out of Range (Fraud Assoc)",
  TRUE,"OK"
)</f>
        <v>OK</v>
      </c>
    </row>
    <row r="253" spans="1:8" ht="16.8" x14ac:dyDescent="0.3">
      <c r="A253" s="14" t="s">
        <v>4439</v>
      </c>
      <c r="B253" s="14" t="s">
        <v>55</v>
      </c>
      <c r="C253" s="15">
        <v>43943</v>
      </c>
      <c r="D253" s="14">
        <v>219</v>
      </c>
      <c r="E253" s="14">
        <v>62</v>
      </c>
      <c r="F253" s="14">
        <v>13526.32</v>
      </c>
      <c r="G253" s="14">
        <v>6</v>
      </c>
      <c r="H253" s="13" t="str" cm="1">
        <f t="array" ref="H253">_xlfn.IFS(
  ISBLANK(A253),"Missing Value",
  D253&lt;0,"Review – Out of Range (Total Policies)",
  E253&lt;0,"Review – Out of Range (Lapsed Policies)",
  F253&lt;0,"Review – Out of Range (Avg Premium)",
  G253&lt;0,"Review – Out of Range (Fraud Assoc)",
  TRUE,"OK"
)</f>
        <v>OK</v>
      </c>
    </row>
    <row r="254" spans="1:8" ht="16.8" x14ac:dyDescent="0.3">
      <c r="A254" s="11" t="s">
        <v>3495</v>
      </c>
      <c r="B254" s="11" t="s">
        <v>44</v>
      </c>
      <c r="C254" s="12">
        <v>44162</v>
      </c>
      <c r="D254" s="11">
        <v>201</v>
      </c>
      <c r="E254" s="11">
        <v>52</v>
      </c>
      <c r="F254" s="11">
        <v>9676.89</v>
      </c>
      <c r="G254" s="11">
        <v>0</v>
      </c>
      <c r="H254" s="13" t="str" cm="1">
        <f t="array" ref="H254">_xlfn.IFS(
  ISBLANK(A254),"Missing Value",
  D254&lt;0,"Review – Out of Range (Total Policies)",
  E254&lt;0,"Review – Out of Range (Lapsed Policies)",
  F254&lt;0,"Review – Out of Range (Avg Premium)",
  G254&lt;0,"Review – Out of Range (Fraud Assoc)",
  TRUE,"OK"
)</f>
        <v>OK</v>
      </c>
    </row>
    <row r="255" spans="1:8" ht="16.8" x14ac:dyDescent="0.3">
      <c r="A255" s="14" t="s">
        <v>3792</v>
      </c>
      <c r="B255" s="14" t="s">
        <v>52</v>
      </c>
      <c r="C255" s="15">
        <v>43150</v>
      </c>
      <c r="D255" s="14">
        <v>110</v>
      </c>
      <c r="E255" s="14">
        <v>21</v>
      </c>
      <c r="F255" s="14">
        <v>18072.990000000002</v>
      </c>
      <c r="G255" s="14">
        <v>4</v>
      </c>
      <c r="H255" s="13" t="str" cm="1">
        <f t="array" ref="H255">_xlfn.IFS(
  ISBLANK(A255),"Missing Value",
  D255&lt;0,"Review – Out of Range (Total Policies)",
  E255&lt;0,"Review – Out of Range (Lapsed Policies)",
  F255&lt;0,"Review – Out of Range (Avg Premium)",
  G255&lt;0,"Review – Out of Range (Fraud Assoc)",
  TRUE,"OK"
)</f>
        <v>OK</v>
      </c>
    </row>
    <row r="256" spans="1:8" ht="16.8" x14ac:dyDescent="0.3">
      <c r="A256" s="11" t="s">
        <v>3597</v>
      </c>
      <c r="B256" s="11" t="s">
        <v>52</v>
      </c>
      <c r="C256" s="12">
        <v>42860</v>
      </c>
      <c r="D256" s="11">
        <v>187</v>
      </c>
      <c r="E256" s="11">
        <v>0</v>
      </c>
      <c r="F256" s="11">
        <v>35808.589999999997</v>
      </c>
      <c r="G256" s="11">
        <v>7</v>
      </c>
      <c r="H256" s="13" t="str" cm="1">
        <f t="array" ref="H256">_xlfn.IFS(
  ISBLANK(A256),"Missing Value",
  D256&lt;0,"Review – Out of Range (Total Policies)",
  E256&lt;0,"Review – Out of Range (Lapsed Policies)",
  F256&lt;0,"Review – Out of Range (Avg Premium)",
  G256&lt;0,"Review – Out of Range (Fraud Assoc)",
  TRUE,"OK"
)</f>
        <v>OK</v>
      </c>
    </row>
    <row r="257" spans="1:8" ht="16.8" x14ac:dyDescent="0.3">
      <c r="A257" s="14" t="s">
        <v>3524</v>
      </c>
      <c r="B257" s="14" t="s">
        <v>109</v>
      </c>
      <c r="C257" s="15">
        <v>44662</v>
      </c>
      <c r="D257" s="14">
        <v>103</v>
      </c>
      <c r="E257" s="14">
        <v>1</v>
      </c>
      <c r="F257" s="14">
        <v>21219.24</v>
      </c>
      <c r="G257" s="14">
        <v>6</v>
      </c>
      <c r="H257" s="13" t="str" cm="1">
        <f t="array" ref="H257">_xlfn.IFS(
  ISBLANK(A257),"Missing Value",
  D257&lt;0,"Review – Out of Range (Total Policies)",
  E257&lt;0,"Review – Out of Range (Lapsed Policies)",
  F257&lt;0,"Review – Out of Range (Avg Premium)",
  G257&lt;0,"Review – Out of Range (Fraud Assoc)",
  TRUE,"OK"
)</f>
        <v>OK</v>
      </c>
    </row>
    <row r="258" spans="1:8" ht="16.8" x14ac:dyDescent="0.3">
      <c r="A258" s="11" t="s">
        <v>3712</v>
      </c>
      <c r="B258" s="11" t="s">
        <v>55</v>
      </c>
      <c r="C258" s="12">
        <v>43423</v>
      </c>
      <c r="D258" s="11">
        <v>144</v>
      </c>
      <c r="E258" s="11">
        <v>4</v>
      </c>
      <c r="F258" s="11">
        <v>39019.440000000002</v>
      </c>
      <c r="G258" s="11">
        <v>8</v>
      </c>
      <c r="H258" s="13" t="str" cm="1">
        <f t="array" ref="H258">_xlfn.IFS(
  ISBLANK(A258),"Missing Value",
  D258&lt;0,"Review – Out of Range (Total Policies)",
  E258&lt;0,"Review – Out of Range (Lapsed Policies)",
  F258&lt;0,"Review – Out of Range (Avg Premium)",
  G258&lt;0,"Review – Out of Range (Fraud Assoc)",
  TRUE,"OK"
)</f>
        <v>OK</v>
      </c>
    </row>
    <row r="259" spans="1:8" ht="16.8" x14ac:dyDescent="0.3">
      <c r="A259" s="14" t="s">
        <v>4556</v>
      </c>
      <c r="B259" s="14" t="s">
        <v>44</v>
      </c>
      <c r="C259" s="15">
        <v>44886</v>
      </c>
      <c r="D259" s="14">
        <v>247</v>
      </c>
      <c r="E259" s="14">
        <v>67</v>
      </c>
      <c r="F259" s="14">
        <v>15844.58</v>
      </c>
      <c r="G259" s="14">
        <v>4</v>
      </c>
      <c r="H259" s="13" t="str" cm="1">
        <f t="array" ref="H259">_xlfn.IFS(
  ISBLANK(A259),"Missing Value",
  D259&lt;0,"Review – Out of Range (Total Policies)",
  E259&lt;0,"Review – Out of Range (Lapsed Policies)",
  F259&lt;0,"Review – Out of Range (Avg Premium)",
  G259&lt;0,"Review – Out of Range (Fraud Assoc)",
  TRUE,"OK"
)</f>
        <v>OK</v>
      </c>
    </row>
    <row r="260" spans="1:8" ht="16.8" x14ac:dyDescent="0.3">
      <c r="A260" s="11" t="s">
        <v>4892</v>
      </c>
      <c r="B260" s="11" t="s">
        <v>109</v>
      </c>
      <c r="C260" s="12">
        <v>44243</v>
      </c>
      <c r="D260" s="11">
        <v>226</v>
      </c>
      <c r="E260" s="11">
        <v>19</v>
      </c>
      <c r="F260" s="11">
        <v>45379.74</v>
      </c>
      <c r="G260" s="11">
        <v>8</v>
      </c>
      <c r="H260" s="13" t="str" cm="1">
        <f t="array" ref="H260">_xlfn.IFS(
  ISBLANK(A260),"Missing Value",
  D260&lt;0,"Review – Out of Range (Total Policies)",
  E260&lt;0,"Review – Out of Range (Lapsed Policies)",
  F260&lt;0,"Review – Out of Range (Avg Premium)",
  G260&lt;0,"Review – Out of Range (Fraud Assoc)",
  TRUE,"OK"
)</f>
        <v>OK</v>
      </c>
    </row>
    <row r="261" spans="1:8" ht="16.8" x14ac:dyDescent="0.3">
      <c r="A261" s="14" t="s">
        <v>4045</v>
      </c>
      <c r="B261" s="14" t="s">
        <v>44</v>
      </c>
      <c r="C261" s="15">
        <v>43579</v>
      </c>
      <c r="D261" s="14">
        <v>175</v>
      </c>
      <c r="E261" s="14">
        <v>42</v>
      </c>
      <c r="F261" s="14">
        <v>29606.83</v>
      </c>
      <c r="G261" s="14">
        <v>6</v>
      </c>
      <c r="H261" s="13" t="str" cm="1">
        <f t="array" ref="H261">_xlfn.IFS(
  ISBLANK(A261),"Missing Value",
  D261&lt;0,"Review – Out of Range (Total Policies)",
  E261&lt;0,"Review – Out of Range (Lapsed Policies)",
  F261&lt;0,"Review – Out of Range (Avg Premium)",
  G261&lt;0,"Review – Out of Range (Fraud Assoc)",
  TRUE,"OK"
)</f>
        <v>OK</v>
      </c>
    </row>
    <row r="262" spans="1:8" ht="16.8" x14ac:dyDescent="0.3">
      <c r="A262" s="11" t="s">
        <v>3577</v>
      </c>
      <c r="B262" s="11" t="s">
        <v>60</v>
      </c>
      <c r="C262" s="12">
        <v>43770</v>
      </c>
      <c r="D262" s="11">
        <v>245</v>
      </c>
      <c r="E262" s="11">
        <v>14</v>
      </c>
      <c r="F262" s="11">
        <v>25939.599999999999</v>
      </c>
      <c r="G262" s="11">
        <v>0</v>
      </c>
      <c r="H262" s="13" t="str" cm="1">
        <f t="array" ref="H262">_xlfn.IFS(
  ISBLANK(A262),"Missing Value",
  D262&lt;0,"Review – Out of Range (Total Policies)",
  E262&lt;0,"Review – Out of Range (Lapsed Policies)",
  F262&lt;0,"Review – Out of Range (Avg Premium)",
  G262&lt;0,"Review – Out of Range (Fraud Assoc)",
  TRUE,"OK"
)</f>
        <v>OK</v>
      </c>
    </row>
    <row r="263" spans="1:8" ht="16.8" x14ac:dyDescent="0.3">
      <c r="A263" s="14" t="s">
        <v>3522</v>
      </c>
      <c r="B263" s="14" t="s">
        <v>109</v>
      </c>
      <c r="C263" s="15">
        <v>42728</v>
      </c>
      <c r="D263" s="14">
        <v>258</v>
      </c>
      <c r="E263" s="14">
        <v>56</v>
      </c>
      <c r="F263" s="14">
        <v>18254.88</v>
      </c>
      <c r="G263" s="14">
        <v>2</v>
      </c>
      <c r="H263" s="13" t="str" cm="1">
        <f t="array" ref="H263">_xlfn.IFS(
  ISBLANK(A263),"Missing Value",
  D263&lt;0,"Review – Out of Range (Total Policies)",
  E263&lt;0,"Review – Out of Range (Lapsed Policies)",
  F263&lt;0,"Review – Out of Range (Avg Premium)",
  G263&lt;0,"Review – Out of Range (Fraud Assoc)",
  TRUE,"OK"
)</f>
        <v>OK</v>
      </c>
    </row>
    <row r="264" spans="1:8" ht="16.8" x14ac:dyDescent="0.3">
      <c r="A264" s="11" t="s">
        <v>3660</v>
      </c>
      <c r="B264" s="11" t="s">
        <v>60</v>
      </c>
      <c r="C264" s="12">
        <v>42975</v>
      </c>
      <c r="D264" s="11">
        <v>247</v>
      </c>
      <c r="E264" s="11">
        <v>2</v>
      </c>
      <c r="F264" s="11">
        <v>18068.099999999999</v>
      </c>
      <c r="G264" s="11">
        <v>0</v>
      </c>
      <c r="H264" s="13" t="str" cm="1">
        <f t="array" ref="H264">_xlfn.IFS(
  ISBLANK(A264),"Missing Value",
  D264&lt;0,"Review – Out of Range (Total Policies)",
  E264&lt;0,"Review – Out of Range (Lapsed Policies)",
  F264&lt;0,"Review – Out of Range (Avg Premium)",
  G264&lt;0,"Review – Out of Range (Fraud Assoc)",
  TRUE,"OK"
)</f>
        <v>OK</v>
      </c>
    </row>
    <row r="265" spans="1:8" ht="16.8" x14ac:dyDescent="0.3">
      <c r="A265" s="14" t="s">
        <v>4463</v>
      </c>
      <c r="B265" s="14" t="s">
        <v>109</v>
      </c>
      <c r="C265" s="15">
        <v>43391</v>
      </c>
      <c r="D265" s="14">
        <v>267</v>
      </c>
      <c r="E265" s="14">
        <v>73</v>
      </c>
      <c r="F265" s="14">
        <v>18946.759999999998</v>
      </c>
      <c r="G265" s="14">
        <v>7</v>
      </c>
      <c r="H265" s="13" t="str" cm="1">
        <f t="array" ref="H265">_xlfn.IFS(
  ISBLANK(A265),"Missing Value",
  D265&lt;0,"Review – Out of Range (Total Policies)",
  E265&lt;0,"Review – Out of Range (Lapsed Policies)",
  F265&lt;0,"Review – Out of Range (Avg Premium)",
  G265&lt;0,"Review – Out of Range (Fraud Assoc)",
  TRUE,"OK"
)</f>
        <v>OK</v>
      </c>
    </row>
    <row r="266" spans="1:8" ht="16.8" x14ac:dyDescent="0.3">
      <c r="A266" s="11" t="s">
        <v>3375</v>
      </c>
      <c r="B266" s="11" t="s">
        <v>60</v>
      </c>
      <c r="C266" s="12">
        <v>42039</v>
      </c>
      <c r="D266" s="11">
        <v>229</v>
      </c>
      <c r="E266" s="11">
        <v>67</v>
      </c>
      <c r="F266" s="11">
        <v>35260.6</v>
      </c>
      <c r="G266" s="11">
        <v>5</v>
      </c>
      <c r="H266" s="13" t="str" cm="1">
        <f t="array" ref="H266">_xlfn.IFS(
  ISBLANK(A266),"Missing Value",
  D266&lt;0,"Review – Out of Range (Total Policies)",
  E266&lt;0,"Review – Out of Range (Lapsed Policies)",
  F266&lt;0,"Review – Out of Range (Avg Premium)",
  G266&lt;0,"Review – Out of Range (Fraud Assoc)",
  TRUE,"OK"
)</f>
        <v>OK</v>
      </c>
    </row>
    <row r="267" spans="1:8" ht="16.8" x14ac:dyDescent="0.3">
      <c r="A267" s="14" t="s">
        <v>4716</v>
      </c>
      <c r="B267" s="14" t="s">
        <v>55</v>
      </c>
      <c r="C267" s="15">
        <v>44756</v>
      </c>
      <c r="D267" s="14">
        <v>78</v>
      </c>
      <c r="E267" s="14">
        <v>20</v>
      </c>
      <c r="F267" s="14">
        <v>17365.439999999999</v>
      </c>
      <c r="G267" s="14">
        <v>9</v>
      </c>
      <c r="H267" s="13" t="str" cm="1">
        <f t="array" ref="H267">_xlfn.IFS(
  ISBLANK(A267),"Missing Value",
  D267&lt;0,"Review – Out of Range (Total Policies)",
  E267&lt;0,"Review – Out of Range (Lapsed Policies)",
  F267&lt;0,"Review – Out of Range (Avg Premium)",
  G267&lt;0,"Review – Out of Range (Fraud Assoc)",
  TRUE,"OK"
)</f>
        <v>OK</v>
      </c>
    </row>
    <row r="268" spans="1:8" ht="16.8" x14ac:dyDescent="0.3">
      <c r="A268" s="11" t="s">
        <v>3488</v>
      </c>
      <c r="B268" s="11" t="s">
        <v>94</v>
      </c>
      <c r="C268" s="12">
        <v>42528</v>
      </c>
      <c r="D268" s="11">
        <v>268</v>
      </c>
      <c r="E268" s="11">
        <v>72</v>
      </c>
      <c r="F268" s="11">
        <v>48750.86</v>
      </c>
      <c r="G268" s="11">
        <v>7</v>
      </c>
      <c r="H268" s="13" t="str" cm="1">
        <f t="array" ref="H268">_xlfn.IFS(
  ISBLANK(A268),"Missing Value",
  D268&lt;0,"Review – Out of Range (Total Policies)",
  E268&lt;0,"Review – Out of Range (Lapsed Policies)",
  F268&lt;0,"Review – Out of Range (Avg Premium)",
  G268&lt;0,"Review – Out of Range (Fraud Assoc)",
  TRUE,"OK"
)</f>
        <v>OK</v>
      </c>
    </row>
    <row r="269" spans="1:8" ht="16.8" x14ac:dyDescent="0.3">
      <c r="A269" s="14" t="s">
        <v>3868</v>
      </c>
      <c r="B269" s="14" t="s">
        <v>94</v>
      </c>
      <c r="C269" s="15">
        <v>43423</v>
      </c>
      <c r="D269" s="14">
        <v>227</v>
      </c>
      <c r="E269" s="14">
        <v>51</v>
      </c>
      <c r="F269" s="14">
        <v>22084.47</v>
      </c>
      <c r="G269" s="14">
        <v>4</v>
      </c>
      <c r="H269" s="13" t="str" cm="1">
        <f t="array" ref="H269">_xlfn.IFS(
  ISBLANK(A269),"Missing Value",
  D269&lt;0,"Review – Out of Range (Total Policies)",
  E269&lt;0,"Review – Out of Range (Lapsed Policies)",
  F269&lt;0,"Review – Out of Range (Avg Premium)",
  G269&lt;0,"Review – Out of Range (Fraud Assoc)",
  TRUE,"OK"
)</f>
        <v>OK</v>
      </c>
    </row>
    <row r="270" spans="1:8" ht="16.8" x14ac:dyDescent="0.3">
      <c r="A270" s="11" t="s">
        <v>3696</v>
      </c>
      <c r="B270" s="11" t="s">
        <v>94</v>
      </c>
      <c r="C270" s="12">
        <v>43443</v>
      </c>
      <c r="D270" s="11">
        <v>77</v>
      </c>
      <c r="E270" s="11">
        <v>1</v>
      </c>
      <c r="F270" s="11">
        <v>21422.71</v>
      </c>
      <c r="G270" s="11">
        <v>7</v>
      </c>
      <c r="H270" s="13" t="str" cm="1">
        <f t="array" ref="H270">_xlfn.IFS(
  ISBLANK(A270),"Missing Value",
  D270&lt;0,"Review – Out of Range (Total Policies)",
  E270&lt;0,"Review – Out of Range (Lapsed Policies)",
  F270&lt;0,"Review – Out of Range (Avg Premium)",
  G270&lt;0,"Review – Out of Range (Fraud Assoc)",
  TRUE,"OK"
)</f>
        <v>OK</v>
      </c>
    </row>
    <row r="271" spans="1:8" ht="16.8" x14ac:dyDescent="0.3">
      <c r="A271" s="14" t="s">
        <v>3547</v>
      </c>
      <c r="B271" s="14" t="s">
        <v>60</v>
      </c>
      <c r="C271" s="15">
        <v>44441</v>
      </c>
      <c r="D271" s="14">
        <v>243</v>
      </c>
      <c r="E271" s="14">
        <v>13</v>
      </c>
      <c r="F271" s="14">
        <v>34617.86</v>
      </c>
      <c r="G271" s="14">
        <v>5</v>
      </c>
      <c r="H271" s="13" t="str" cm="1">
        <f t="array" ref="H271">_xlfn.IFS(
  ISBLANK(A271),"Missing Value",
  D271&lt;0,"Review – Out of Range (Total Policies)",
  E271&lt;0,"Review – Out of Range (Lapsed Policies)",
  F271&lt;0,"Review – Out of Range (Avg Premium)",
  G271&lt;0,"Review – Out of Range (Fraud Assoc)",
  TRUE,"OK"
)</f>
        <v>OK</v>
      </c>
    </row>
    <row r="272" spans="1:8" ht="16.8" x14ac:dyDescent="0.3">
      <c r="A272" s="11" t="s">
        <v>3772</v>
      </c>
      <c r="B272" s="11" t="s">
        <v>52</v>
      </c>
      <c r="C272" s="12">
        <v>44703</v>
      </c>
      <c r="D272" s="11">
        <v>295</v>
      </c>
      <c r="E272" s="11">
        <v>2</v>
      </c>
      <c r="F272" s="11">
        <v>15644.42</v>
      </c>
      <c r="G272" s="11">
        <v>7</v>
      </c>
      <c r="H272" s="13" t="str" cm="1">
        <f t="array" ref="H272">_xlfn.IFS(
  ISBLANK(A272),"Missing Value",
  D272&lt;0,"Review – Out of Range (Total Policies)",
  E272&lt;0,"Review – Out of Range (Lapsed Policies)",
  F272&lt;0,"Review – Out of Range (Avg Premium)",
  G272&lt;0,"Review – Out of Range (Fraud Assoc)",
  TRUE,"OK"
)</f>
        <v>OK</v>
      </c>
    </row>
    <row r="273" spans="1:8" ht="16.8" x14ac:dyDescent="0.3">
      <c r="A273" s="14" t="s">
        <v>3467</v>
      </c>
      <c r="B273" s="14" t="s">
        <v>60</v>
      </c>
      <c r="C273" s="15">
        <v>44624</v>
      </c>
      <c r="D273" s="14">
        <v>257</v>
      </c>
      <c r="E273" s="14">
        <v>56</v>
      </c>
      <c r="F273" s="14">
        <v>11801.15</v>
      </c>
      <c r="G273" s="14">
        <v>4</v>
      </c>
      <c r="H273" s="13" t="str" cm="1">
        <f t="array" ref="H273">_xlfn.IFS(
  ISBLANK(A273),"Missing Value",
  D273&lt;0,"Review – Out of Range (Total Policies)",
  E273&lt;0,"Review – Out of Range (Lapsed Policies)",
  F273&lt;0,"Review – Out of Range (Avg Premium)",
  G273&lt;0,"Review – Out of Range (Fraud Assoc)",
  TRUE,"OK"
)</f>
        <v>OK</v>
      </c>
    </row>
    <row r="274" spans="1:8" ht="16.8" x14ac:dyDescent="0.3">
      <c r="A274" s="11" t="s">
        <v>4236</v>
      </c>
      <c r="B274" s="11" t="s">
        <v>52</v>
      </c>
      <c r="C274" s="12">
        <v>43644</v>
      </c>
      <c r="D274" s="11">
        <v>270</v>
      </c>
      <c r="E274" s="11">
        <v>41</v>
      </c>
      <c r="F274" s="11">
        <v>11109.13</v>
      </c>
      <c r="G274" s="11">
        <v>8</v>
      </c>
      <c r="H274" s="13" t="str" cm="1">
        <f t="array" ref="H274">_xlfn.IFS(
  ISBLANK(A274),"Missing Value",
  D274&lt;0,"Review – Out of Range (Total Policies)",
  E274&lt;0,"Review – Out of Range (Lapsed Policies)",
  F274&lt;0,"Review – Out of Range (Avg Premium)",
  G274&lt;0,"Review – Out of Range (Fraud Assoc)",
  TRUE,"OK"
)</f>
        <v>OK</v>
      </c>
    </row>
    <row r="275" spans="1:8" ht="16.8" x14ac:dyDescent="0.3">
      <c r="A275" s="14" t="s">
        <v>3735</v>
      </c>
      <c r="B275" s="14" t="s">
        <v>94</v>
      </c>
      <c r="C275" s="15">
        <v>42849</v>
      </c>
      <c r="D275" s="14">
        <v>211</v>
      </c>
      <c r="E275" s="14">
        <v>24</v>
      </c>
      <c r="F275" s="14">
        <v>43851.91</v>
      </c>
      <c r="G275" s="14">
        <v>1</v>
      </c>
      <c r="H275" s="13" t="str" cm="1">
        <f t="array" ref="H275">_xlfn.IFS(
  ISBLANK(A275),"Missing Value",
  D275&lt;0,"Review – Out of Range (Total Policies)",
  E275&lt;0,"Review – Out of Range (Lapsed Policies)",
  F275&lt;0,"Review – Out of Range (Avg Premium)",
  G275&lt;0,"Review – Out of Range (Fraud Assoc)",
  TRUE,"OK"
)</f>
        <v>OK</v>
      </c>
    </row>
    <row r="276" spans="1:8" ht="16.8" x14ac:dyDescent="0.3">
      <c r="A276" s="11" t="s">
        <v>3425</v>
      </c>
      <c r="B276" s="11" t="s">
        <v>44</v>
      </c>
      <c r="C276" s="12">
        <v>44001</v>
      </c>
      <c r="D276" s="11">
        <v>109</v>
      </c>
      <c r="E276" s="11">
        <v>15</v>
      </c>
      <c r="F276" s="11">
        <v>21529.71</v>
      </c>
      <c r="G276" s="11">
        <v>1</v>
      </c>
      <c r="H276" s="13" t="str" cm="1">
        <f t="array" ref="H276">_xlfn.IFS(
  ISBLANK(A276),"Missing Value",
  D276&lt;0,"Review – Out of Range (Total Policies)",
  E276&lt;0,"Review – Out of Range (Lapsed Policies)",
  F276&lt;0,"Review – Out of Range (Avg Premium)",
  G276&lt;0,"Review – Out of Range (Fraud Assoc)",
  TRUE,"OK"
)</f>
        <v>OK</v>
      </c>
    </row>
    <row r="277" spans="1:8" ht="16.8" x14ac:dyDescent="0.3">
      <c r="A277" s="14" t="s">
        <v>3395</v>
      </c>
      <c r="B277" s="14" t="s">
        <v>94</v>
      </c>
      <c r="C277" s="15">
        <v>42898</v>
      </c>
      <c r="D277" s="14">
        <v>136</v>
      </c>
      <c r="E277" s="14">
        <v>4</v>
      </c>
      <c r="F277" s="14">
        <v>23267.45</v>
      </c>
      <c r="G277" s="14">
        <v>1</v>
      </c>
      <c r="H277" s="13" t="str" cm="1">
        <f t="array" ref="H277">_xlfn.IFS(
  ISBLANK(A277),"Missing Value",
  D277&lt;0,"Review – Out of Range (Total Policies)",
  E277&lt;0,"Review – Out of Range (Lapsed Policies)",
  F277&lt;0,"Review – Out of Range (Avg Premium)",
  G277&lt;0,"Review – Out of Range (Fraud Assoc)",
  TRUE,"OK"
)</f>
        <v>OK</v>
      </c>
    </row>
    <row r="278" spans="1:8" ht="16.8" x14ac:dyDescent="0.3">
      <c r="A278" s="11" t="s">
        <v>4290</v>
      </c>
      <c r="B278" s="11" t="s">
        <v>55</v>
      </c>
      <c r="C278" s="12">
        <v>42724</v>
      </c>
      <c r="D278" s="11">
        <v>133</v>
      </c>
      <c r="E278" s="11">
        <v>37</v>
      </c>
      <c r="F278" s="11">
        <v>45061.63</v>
      </c>
      <c r="G278" s="11">
        <v>6</v>
      </c>
      <c r="H278" s="13" t="str" cm="1">
        <f t="array" ref="H278">_xlfn.IFS(
  ISBLANK(A278),"Missing Value",
  D278&lt;0,"Review – Out of Range (Total Policies)",
  E278&lt;0,"Review – Out of Range (Lapsed Policies)",
  F278&lt;0,"Review – Out of Range (Avg Premium)",
  G278&lt;0,"Review – Out of Range (Fraud Assoc)",
  TRUE,"OK"
)</f>
        <v>OK</v>
      </c>
    </row>
    <row r="279" spans="1:8" ht="16.8" x14ac:dyDescent="0.3">
      <c r="A279" s="14" t="s">
        <v>3815</v>
      </c>
      <c r="B279" s="14" t="s">
        <v>52</v>
      </c>
      <c r="C279" s="15">
        <v>42652</v>
      </c>
      <c r="D279" s="14">
        <v>299</v>
      </c>
      <c r="E279" s="14">
        <v>30</v>
      </c>
      <c r="F279" s="14">
        <v>33119.199999999997</v>
      </c>
      <c r="G279" s="14">
        <v>1</v>
      </c>
      <c r="H279" s="13" t="str" cm="1">
        <f t="array" ref="H279">_xlfn.IFS(
  ISBLANK(A279),"Missing Value",
  D279&lt;0,"Review – Out of Range (Total Policies)",
  E279&lt;0,"Review – Out of Range (Lapsed Policies)",
  F279&lt;0,"Review – Out of Range (Avg Premium)",
  G279&lt;0,"Review – Out of Range (Fraud Assoc)",
  TRUE,"OK"
)</f>
        <v>OK</v>
      </c>
    </row>
    <row r="280" spans="1:8" ht="16.8" x14ac:dyDescent="0.3">
      <c r="A280" s="11" t="s">
        <v>3685</v>
      </c>
      <c r="B280" s="11" t="s">
        <v>52</v>
      </c>
      <c r="C280" s="12">
        <v>43488</v>
      </c>
      <c r="D280" s="11">
        <v>151</v>
      </c>
      <c r="E280" s="11">
        <v>30</v>
      </c>
      <c r="F280" s="11">
        <v>8419.17</v>
      </c>
      <c r="G280" s="11">
        <v>8</v>
      </c>
      <c r="H280" s="13" t="str" cm="1">
        <f t="array" ref="H280">_xlfn.IFS(
  ISBLANK(A280),"Missing Value",
  D280&lt;0,"Review – Out of Range (Total Policies)",
  E280&lt;0,"Review – Out of Range (Lapsed Policies)",
  F280&lt;0,"Review – Out of Range (Avg Premium)",
  G280&lt;0,"Review – Out of Range (Fraud Assoc)",
  TRUE,"OK"
)</f>
        <v>OK</v>
      </c>
    </row>
    <row r="281" spans="1:8" ht="16.8" x14ac:dyDescent="0.3">
      <c r="A281" s="14" t="s">
        <v>3632</v>
      </c>
      <c r="B281" s="14" t="s">
        <v>109</v>
      </c>
      <c r="C281" s="15">
        <v>44009</v>
      </c>
      <c r="D281" s="14">
        <v>287</v>
      </c>
      <c r="E281" s="14">
        <v>69</v>
      </c>
      <c r="F281" s="14">
        <v>16122.65</v>
      </c>
      <c r="G281" s="14">
        <v>4</v>
      </c>
      <c r="H281" s="13" t="str" cm="1">
        <f t="array" ref="H281">_xlfn.IFS(
  ISBLANK(A281),"Missing Value",
  D281&lt;0,"Review – Out of Range (Total Policies)",
  E281&lt;0,"Review – Out of Range (Lapsed Policies)",
  F281&lt;0,"Review – Out of Range (Avg Premium)",
  G281&lt;0,"Review – Out of Range (Fraud Assoc)",
  TRUE,"OK"
)</f>
        <v>OK</v>
      </c>
    </row>
    <row r="282" spans="1:8" ht="16.8" x14ac:dyDescent="0.3">
      <c r="A282" s="11" t="s">
        <v>3733</v>
      </c>
      <c r="B282" s="11" t="s">
        <v>55</v>
      </c>
      <c r="C282" s="12">
        <v>42508</v>
      </c>
      <c r="D282" s="11">
        <v>144</v>
      </c>
      <c r="E282" s="11">
        <v>25</v>
      </c>
      <c r="F282" s="11">
        <v>24430.7</v>
      </c>
      <c r="G282" s="11">
        <v>5</v>
      </c>
      <c r="H282" s="13" t="str" cm="1">
        <f t="array" ref="H282">_xlfn.IFS(
  ISBLANK(A282),"Missing Value",
  D282&lt;0,"Review – Out of Range (Total Policies)",
  E282&lt;0,"Review – Out of Range (Lapsed Policies)",
  F282&lt;0,"Review – Out of Range (Avg Premium)",
  G282&lt;0,"Review – Out of Range (Fraud Assoc)",
  TRUE,"OK"
)</f>
        <v>OK</v>
      </c>
    </row>
    <row r="283" spans="1:8" ht="16.8" x14ac:dyDescent="0.3">
      <c r="A283" s="14" t="s">
        <v>3689</v>
      </c>
      <c r="B283" s="14" t="s">
        <v>60</v>
      </c>
      <c r="C283" s="15">
        <v>42394</v>
      </c>
      <c r="D283" s="14">
        <v>138</v>
      </c>
      <c r="E283" s="14">
        <v>39</v>
      </c>
      <c r="F283" s="14">
        <v>28916.15</v>
      </c>
      <c r="G283" s="14">
        <v>1</v>
      </c>
      <c r="H283" s="13" t="str" cm="1">
        <f t="array" ref="H283">_xlfn.IFS(
  ISBLANK(A283),"Missing Value",
  D283&lt;0,"Review – Out of Range (Total Policies)",
  E283&lt;0,"Review – Out of Range (Lapsed Policies)",
  F283&lt;0,"Review – Out of Range (Avg Premium)",
  G283&lt;0,"Review – Out of Range (Fraud Assoc)",
  TRUE,"OK"
)</f>
        <v>OK</v>
      </c>
    </row>
    <row r="284" spans="1:8" ht="16.8" x14ac:dyDescent="0.3">
      <c r="A284" s="11" t="s">
        <v>3748</v>
      </c>
      <c r="B284" s="11" t="s">
        <v>94</v>
      </c>
      <c r="C284" s="12">
        <v>42484</v>
      </c>
      <c r="D284" s="11">
        <v>210</v>
      </c>
      <c r="E284" s="11">
        <v>33</v>
      </c>
      <c r="F284" s="11">
        <v>40481.4</v>
      </c>
      <c r="G284" s="11">
        <v>3</v>
      </c>
      <c r="H284" s="13" t="str" cm="1">
        <f t="array" ref="H284">_xlfn.IFS(
  ISBLANK(A284),"Missing Value",
  D284&lt;0,"Review – Out of Range (Total Policies)",
  E284&lt;0,"Review – Out of Range (Lapsed Policies)",
  F284&lt;0,"Review – Out of Range (Avg Premium)",
  G284&lt;0,"Review – Out of Range (Fraud Assoc)",
  TRUE,"OK"
)</f>
        <v>OK</v>
      </c>
    </row>
    <row r="285" spans="1:8" ht="16.8" x14ac:dyDescent="0.3">
      <c r="A285" s="14" t="s">
        <v>4732</v>
      </c>
      <c r="B285" s="14" t="s">
        <v>55</v>
      </c>
      <c r="C285" s="15">
        <v>43827</v>
      </c>
      <c r="D285" s="14">
        <v>202</v>
      </c>
      <c r="E285" s="14">
        <v>8</v>
      </c>
      <c r="F285" s="14">
        <v>43305.96</v>
      </c>
      <c r="G285" s="14">
        <v>8</v>
      </c>
      <c r="H285" s="13" t="str" cm="1">
        <f t="array" ref="H285">_xlfn.IFS(
  ISBLANK(A285),"Missing Value",
  D285&lt;0,"Review – Out of Range (Total Policies)",
  E285&lt;0,"Review – Out of Range (Lapsed Policies)",
  F285&lt;0,"Review – Out of Range (Avg Premium)",
  G285&lt;0,"Review – Out of Range (Fraud Assoc)",
  TRUE,"OK"
)</f>
        <v>OK</v>
      </c>
    </row>
    <row r="286" spans="1:8" ht="16.8" x14ac:dyDescent="0.3">
      <c r="A286" s="11" t="s">
        <v>3744</v>
      </c>
      <c r="B286" s="11" t="s">
        <v>52</v>
      </c>
      <c r="C286" s="12">
        <v>42504</v>
      </c>
      <c r="D286" s="11">
        <v>236</v>
      </c>
      <c r="E286" s="11">
        <v>22</v>
      </c>
      <c r="F286" s="11">
        <v>15182.29</v>
      </c>
      <c r="G286" s="11">
        <v>2</v>
      </c>
      <c r="H286" s="13" t="str" cm="1">
        <f t="array" ref="H286">_xlfn.IFS(
  ISBLANK(A286),"Missing Value",
  D286&lt;0,"Review – Out of Range (Total Policies)",
  E286&lt;0,"Review – Out of Range (Lapsed Policies)",
  F286&lt;0,"Review – Out of Range (Avg Premium)",
  G286&lt;0,"Review – Out of Range (Fraud Assoc)",
  TRUE,"OK"
)</f>
        <v>OK</v>
      </c>
    </row>
    <row r="287" spans="1:8" ht="16.8" x14ac:dyDescent="0.3">
      <c r="A287" s="14" t="s">
        <v>4090</v>
      </c>
      <c r="B287" s="14" t="s">
        <v>44</v>
      </c>
      <c r="C287" s="15">
        <v>42978</v>
      </c>
      <c r="D287" s="14">
        <v>84</v>
      </c>
      <c r="E287" s="14">
        <v>6</v>
      </c>
      <c r="F287" s="14">
        <v>41884.519999999997</v>
      </c>
      <c r="G287" s="14">
        <v>4</v>
      </c>
      <c r="H287" s="13" t="str" cm="1">
        <f t="array" ref="H287">_xlfn.IFS(
  ISBLANK(A287),"Missing Value",
  D287&lt;0,"Review – Out of Range (Total Policies)",
  E287&lt;0,"Review – Out of Range (Lapsed Policies)",
  F287&lt;0,"Review – Out of Range (Avg Premium)",
  G287&lt;0,"Review – Out of Range (Fraud Assoc)",
  TRUE,"OK"
)</f>
        <v>OK</v>
      </c>
    </row>
    <row r="288" spans="1:8" ht="16.8" x14ac:dyDescent="0.3">
      <c r="A288" s="11" t="s">
        <v>3507</v>
      </c>
      <c r="B288" s="11" t="s">
        <v>94</v>
      </c>
      <c r="C288" s="12">
        <v>42849</v>
      </c>
      <c r="D288" s="11">
        <v>114</v>
      </c>
      <c r="E288" s="11">
        <v>15</v>
      </c>
      <c r="F288" s="11">
        <v>35123.35</v>
      </c>
      <c r="G288" s="11">
        <v>9</v>
      </c>
      <c r="H288" s="13" t="str" cm="1">
        <f t="array" ref="H288">_xlfn.IFS(
  ISBLANK(A288),"Missing Value",
  D288&lt;0,"Review – Out of Range (Total Policies)",
  E288&lt;0,"Review – Out of Range (Lapsed Policies)",
  F288&lt;0,"Review – Out of Range (Avg Premium)",
  G288&lt;0,"Review – Out of Range (Fraud Assoc)",
  TRUE,"OK"
)</f>
        <v>OK</v>
      </c>
    </row>
    <row r="289" spans="1:8" ht="16.8" x14ac:dyDescent="0.3">
      <c r="A289" s="14" t="s">
        <v>3463</v>
      </c>
      <c r="B289" s="14" t="s">
        <v>52</v>
      </c>
      <c r="C289" s="15">
        <v>44287</v>
      </c>
      <c r="D289" s="14">
        <v>157</v>
      </c>
      <c r="E289" s="14">
        <v>42</v>
      </c>
      <c r="F289" s="14">
        <v>23963.41</v>
      </c>
      <c r="G289" s="14">
        <v>0</v>
      </c>
      <c r="H289" s="13" t="str" cm="1">
        <f t="array" ref="H289">_xlfn.IFS(
  ISBLANK(A289),"Missing Value",
  D289&lt;0,"Review – Out of Range (Total Policies)",
  E289&lt;0,"Review – Out of Range (Lapsed Policies)",
  F289&lt;0,"Review – Out of Range (Avg Premium)",
  G289&lt;0,"Review – Out of Range (Fraud Assoc)",
  TRUE,"OK"
)</f>
        <v>OK</v>
      </c>
    </row>
    <row r="290" spans="1:8" ht="16.8" x14ac:dyDescent="0.3">
      <c r="A290" s="11" t="s">
        <v>3824</v>
      </c>
      <c r="B290" s="11" t="s">
        <v>60</v>
      </c>
      <c r="C290" s="12">
        <v>43689</v>
      </c>
      <c r="D290" s="11">
        <v>220</v>
      </c>
      <c r="E290" s="11">
        <v>43</v>
      </c>
      <c r="F290" s="11">
        <v>27770.28</v>
      </c>
      <c r="G290" s="11">
        <v>9</v>
      </c>
      <c r="H290" s="13" t="str" cm="1">
        <f t="array" ref="H290">_xlfn.IFS(
  ISBLANK(A290),"Missing Value",
  D290&lt;0,"Review – Out of Range (Total Policies)",
  E290&lt;0,"Review – Out of Range (Lapsed Policies)",
  F290&lt;0,"Review – Out of Range (Avg Premium)",
  G290&lt;0,"Review – Out of Range (Fraud Assoc)",
  TRUE,"OK"
)</f>
        <v>OK</v>
      </c>
    </row>
    <row r="291" spans="1:8" ht="16.8" x14ac:dyDescent="0.3">
      <c r="A291" s="14" t="s">
        <v>3490</v>
      </c>
      <c r="B291" s="14" t="s">
        <v>60</v>
      </c>
      <c r="C291" s="15">
        <v>43209</v>
      </c>
      <c r="D291" s="14">
        <v>136</v>
      </c>
      <c r="E291" s="14">
        <v>33</v>
      </c>
      <c r="F291" s="14">
        <v>46062.35</v>
      </c>
      <c r="G291" s="14">
        <v>9</v>
      </c>
      <c r="H291" s="13" t="str" cm="1">
        <f t="array" ref="H291">_xlfn.IFS(
  ISBLANK(A291),"Missing Value",
  D291&lt;0,"Review – Out of Range (Total Policies)",
  E291&lt;0,"Review – Out of Range (Lapsed Policies)",
  F291&lt;0,"Review – Out of Range (Avg Premium)",
  G291&lt;0,"Review – Out of Range (Fraud Assoc)",
  TRUE,"OK"
)</f>
        <v>OK</v>
      </c>
    </row>
    <row r="292" spans="1:8" ht="16.8" x14ac:dyDescent="0.3">
      <c r="A292" s="11" t="s">
        <v>5164</v>
      </c>
      <c r="B292" s="11" t="s">
        <v>109</v>
      </c>
      <c r="C292" s="12">
        <v>44593</v>
      </c>
      <c r="D292" s="11">
        <v>108</v>
      </c>
      <c r="E292" s="11">
        <v>16</v>
      </c>
      <c r="F292" s="11">
        <v>9719</v>
      </c>
      <c r="G292" s="11">
        <v>9</v>
      </c>
      <c r="H292" s="13" t="str" cm="1">
        <f t="array" ref="H292">_xlfn.IFS(
  ISBLANK(A292),"Missing Value",
  D292&lt;0,"Review – Out of Range (Total Policies)",
  E292&lt;0,"Review – Out of Range (Lapsed Policies)",
  F292&lt;0,"Review – Out of Range (Avg Premium)",
  G292&lt;0,"Review – Out of Range (Fraud Assoc)",
  TRUE,"OK"
)</f>
        <v>OK</v>
      </c>
    </row>
    <row r="293" spans="1:8" ht="16.8" x14ac:dyDescent="0.3">
      <c r="A293" s="14" t="s">
        <v>4623</v>
      </c>
      <c r="B293" s="14" t="s">
        <v>60</v>
      </c>
      <c r="C293" s="15">
        <v>42514</v>
      </c>
      <c r="D293" s="14">
        <v>150</v>
      </c>
      <c r="E293" s="14">
        <v>7</v>
      </c>
      <c r="F293" s="14">
        <v>7740.21</v>
      </c>
      <c r="G293" s="14">
        <v>5</v>
      </c>
      <c r="H293" s="13" t="str" cm="1">
        <f t="array" ref="H293">_xlfn.IFS(
  ISBLANK(A293),"Missing Value",
  D293&lt;0,"Review – Out of Range (Total Policies)",
  E293&lt;0,"Review – Out of Range (Lapsed Policies)",
  F293&lt;0,"Review – Out of Range (Avg Premium)",
  G293&lt;0,"Review – Out of Range (Fraud Assoc)",
  TRUE,"OK"
)</f>
        <v>OK</v>
      </c>
    </row>
    <row r="294" spans="1:8" ht="16.8" x14ac:dyDescent="0.3">
      <c r="A294" s="11" t="s">
        <v>3974</v>
      </c>
      <c r="B294" s="11" t="s">
        <v>52</v>
      </c>
      <c r="C294" s="12">
        <v>42359</v>
      </c>
      <c r="D294" s="11">
        <v>295</v>
      </c>
      <c r="E294" s="11">
        <v>55</v>
      </c>
      <c r="F294" s="11">
        <v>22685.84</v>
      </c>
      <c r="G294" s="11">
        <v>1</v>
      </c>
      <c r="H294" s="13" t="str" cm="1">
        <f t="array" ref="H294">_xlfn.IFS(
  ISBLANK(A294),"Missing Value",
  D294&lt;0,"Review – Out of Range (Total Policies)",
  E294&lt;0,"Review – Out of Range (Lapsed Policies)",
  F294&lt;0,"Review – Out of Range (Avg Premium)",
  G294&lt;0,"Review – Out of Range (Fraud Assoc)",
  TRUE,"OK"
)</f>
        <v>OK</v>
      </c>
    </row>
    <row r="295" spans="1:8" ht="16.8" x14ac:dyDescent="0.3">
      <c r="A295" s="14" t="s">
        <v>3477</v>
      </c>
      <c r="B295" s="14" t="s">
        <v>52</v>
      </c>
      <c r="C295" s="15">
        <v>43761</v>
      </c>
      <c r="D295" s="14">
        <v>297</v>
      </c>
      <c r="E295" s="14">
        <v>69</v>
      </c>
      <c r="F295" s="14">
        <v>23005.11</v>
      </c>
      <c r="G295" s="14">
        <v>2</v>
      </c>
      <c r="H295" s="13" t="str" cm="1">
        <f t="array" ref="H295">_xlfn.IFS(
  ISBLANK(A295),"Missing Value",
  D295&lt;0,"Review – Out of Range (Total Policies)",
  E295&lt;0,"Review – Out of Range (Lapsed Policies)",
  F295&lt;0,"Review – Out of Range (Avg Premium)",
  G295&lt;0,"Review – Out of Range (Fraud Assoc)",
  TRUE,"OK"
)</f>
        <v>OK</v>
      </c>
    </row>
    <row r="296" spans="1:8" ht="16.8" x14ac:dyDescent="0.3">
      <c r="A296" s="11" t="s">
        <v>3740</v>
      </c>
      <c r="B296" s="11" t="s">
        <v>109</v>
      </c>
      <c r="C296" s="12">
        <v>43270</v>
      </c>
      <c r="D296" s="11">
        <v>84</v>
      </c>
      <c r="E296" s="11">
        <v>2</v>
      </c>
      <c r="F296" s="11">
        <v>29840.35</v>
      </c>
      <c r="G296" s="11">
        <v>8</v>
      </c>
      <c r="H296" s="13" t="str" cm="1">
        <f t="array" ref="H296">_xlfn.IFS(
  ISBLANK(A296),"Missing Value",
  D296&lt;0,"Review – Out of Range (Total Policies)",
  E296&lt;0,"Review – Out of Range (Lapsed Policies)",
  F296&lt;0,"Review – Out of Range (Avg Premium)",
  G296&lt;0,"Review – Out of Range (Fraud Assoc)",
  TRUE,"OK"
)</f>
        <v>OK</v>
      </c>
    </row>
    <row r="297" spans="1:8" ht="16.8" x14ac:dyDescent="0.3">
      <c r="A297" s="14" t="s">
        <v>3587</v>
      </c>
      <c r="B297" s="14" t="s">
        <v>52</v>
      </c>
      <c r="C297" s="15">
        <v>42907</v>
      </c>
      <c r="D297" s="14">
        <v>140</v>
      </c>
      <c r="E297" s="14">
        <v>3</v>
      </c>
      <c r="F297" s="14">
        <v>16665.09</v>
      </c>
      <c r="G297" s="14">
        <v>7</v>
      </c>
      <c r="H297" s="13" t="str" cm="1">
        <f t="array" ref="H297">_xlfn.IFS(
  ISBLANK(A297),"Missing Value",
  D297&lt;0,"Review – Out of Range (Total Policies)",
  E297&lt;0,"Review – Out of Range (Lapsed Policies)",
  F297&lt;0,"Review – Out of Range (Avg Premium)",
  G297&lt;0,"Review – Out of Range (Fraud Assoc)",
  TRUE,"OK"
)</f>
        <v>OK</v>
      </c>
    </row>
    <row r="298" spans="1:8" ht="16.8" x14ac:dyDescent="0.3">
      <c r="A298" s="11" t="s">
        <v>3874</v>
      </c>
      <c r="B298" s="11" t="s">
        <v>109</v>
      </c>
      <c r="C298" s="12">
        <v>44034</v>
      </c>
      <c r="D298" s="11">
        <v>192</v>
      </c>
      <c r="E298" s="11">
        <v>29</v>
      </c>
      <c r="F298" s="11">
        <v>5932.15</v>
      </c>
      <c r="G298" s="11">
        <v>6</v>
      </c>
      <c r="H298" s="13" t="str" cm="1">
        <f t="array" ref="H298">_xlfn.IFS(
  ISBLANK(A298),"Missing Value",
  D298&lt;0,"Review – Out of Range (Total Policies)",
  E298&lt;0,"Review – Out of Range (Lapsed Policies)",
  F298&lt;0,"Review – Out of Range (Avg Premium)",
  G298&lt;0,"Review – Out of Range (Fraud Assoc)",
  TRUE,"OK"
)</f>
        <v>OK</v>
      </c>
    </row>
    <row r="299" spans="1:8" ht="16.8" x14ac:dyDescent="0.3">
      <c r="A299" s="14" t="s">
        <v>4003</v>
      </c>
      <c r="B299" s="14" t="s">
        <v>109</v>
      </c>
      <c r="C299" s="15">
        <v>43953</v>
      </c>
      <c r="D299" s="14">
        <v>83</v>
      </c>
      <c r="E299" s="14">
        <v>1</v>
      </c>
      <c r="F299" s="14">
        <v>44193.13</v>
      </c>
      <c r="G299" s="14">
        <v>3</v>
      </c>
      <c r="H299" s="13" t="str" cm="1">
        <f t="array" ref="H299">_xlfn.IFS(
  ISBLANK(A299),"Missing Value",
  D299&lt;0,"Review – Out of Range (Total Policies)",
  E299&lt;0,"Review – Out of Range (Lapsed Policies)",
  F299&lt;0,"Review – Out of Range (Avg Premium)",
  G299&lt;0,"Review – Out of Range (Fraud Assoc)",
  TRUE,"OK"
)</f>
        <v>OK</v>
      </c>
    </row>
    <row r="300" spans="1:8" ht="16.8" x14ac:dyDescent="0.3">
      <c r="A300" s="11" t="s">
        <v>3517</v>
      </c>
      <c r="B300" s="11" t="s">
        <v>55</v>
      </c>
      <c r="C300" s="12">
        <v>43879</v>
      </c>
      <c r="D300" s="11">
        <v>232</v>
      </c>
      <c r="E300" s="11">
        <v>61</v>
      </c>
      <c r="F300" s="11">
        <v>30842.05</v>
      </c>
      <c r="G300" s="11">
        <v>6</v>
      </c>
      <c r="H300" s="13" t="str" cm="1">
        <f t="array" ref="H300">_xlfn.IFS(
  ISBLANK(A300),"Missing Value",
  D300&lt;0,"Review – Out of Range (Total Policies)",
  E300&lt;0,"Review – Out of Range (Lapsed Policies)",
  F300&lt;0,"Review – Out of Range (Avg Premium)",
  G300&lt;0,"Review – Out of Range (Fraud Assoc)",
  TRUE,"OK"
)</f>
        <v>OK</v>
      </c>
    </row>
    <row r="301" spans="1:8" ht="16.8" x14ac:dyDescent="0.3">
      <c r="A301" s="14" t="s">
        <v>3762</v>
      </c>
      <c r="B301" s="14" t="s">
        <v>55</v>
      </c>
      <c r="C301" s="15">
        <v>42951</v>
      </c>
      <c r="D301" s="14">
        <v>187</v>
      </c>
      <c r="E301" s="14">
        <v>22</v>
      </c>
      <c r="F301" s="14">
        <v>11319.87</v>
      </c>
      <c r="G301" s="14">
        <v>6</v>
      </c>
      <c r="H301" s="13" t="str" cm="1">
        <f t="array" ref="H301">_xlfn.IFS(
  ISBLANK(A301),"Missing Value",
  D301&lt;0,"Review – Out of Range (Total Policies)",
  E301&lt;0,"Review – Out of Range (Lapsed Policies)",
  F301&lt;0,"Review – Out of Range (Avg Premium)",
  G301&lt;0,"Review – Out of Range (Fraud Assoc)",
  TRUE,"OK"
)</f>
        <v>OK</v>
      </c>
    </row>
  </sheetData>
  <autoFilter ref="A1:H301" xr:uid="{00000000-0009-0000-0000-000005000000}"/>
  <conditionalFormatting sqref="A2:B301">
    <cfRule type="cellIs" dxfId="16" priority="6" operator="equal">
      <formula>""</formula>
    </cfRule>
  </conditionalFormatting>
  <conditionalFormatting sqref="H2:H301">
    <cfRule type="expression" dxfId="15" priority="2">
      <formula>H2="OK"</formula>
    </cfRule>
    <cfRule type="expression" dxfId="14" priority="3">
      <formula>ISNUMBER(SEARCH("Review", H2))</formula>
    </cfRule>
    <cfRule type="expression" dxfId="13" priority="4">
      <formula>ISNUMBER(SEARCH("Missing", H2))</formula>
    </cfRule>
    <cfRule type="expression" dxfId="12" priority="5">
      <formula>ISNUMBER(SEARCH("Retained", H2))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1618C"/>
  </sheetPr>
  <dimension ref="A1:I1001"/>
  <sheetViews>
    <sheetView showGridLines="0" workbookViewId="0">
      <pane ySplit="1" topLeftCell="A8" activePane="bottomLeft" state="frozen"/>
      <selection pane="bottomLeft" activeCell="H1" sqref="H1:H1048576"/>
    </sheetView>
  </sheetViews>
  <sheetFormatPr defaultRowHeight="14.4" x14ac:dyDescent="0.3"/>
  <cols>
    <col min="1" max="2" width="14" bestFit="1" customWidth="1"/>
    <col min="3" max="3" width="22" bestFit="1" customWidth="1"/>
    <col min="4" max="4" width="40" bestFit="1" customWidth="1"/>
    <col min="5" max="5" width="21" bestFit="1" customWidth="1"/>
    <col min="6" max="6" width="18" bestFit="1" customWidth="1"/>
    <col min="7" max="7" width="17" bestFit="1" customWidth="1"/>
    <col min="8" max="8" width="30.5546875" style="32" customWidth="1"/>
    <col min="9" max="9" width="16" customWidth="1"/>
  </cols>
  <sheetData>
    <row r="1" spans="1:9" ht="22.05" customHeight="1" x14ac:dyDescent="0.3">
      <c r="A1" s="10" t="s">
        <v>7920</v>
      </c>
      <c r="B1" s="10" t="s">
        <v>27</v>
      </c>
      <c r="C1" s="10" t="s">
        <v>7921</v>
      </c>
      <c r="D1" s="10" t="s">
        <v>7922</v>
      </c>
      <c r="E1" s="10" t="s">
        <v>7923</v>
      </c>
      <c r="F1" s="10" t="s">
        <v>7924</v>
      </c>
      <c r="G1" s="10" t="s">
        <v>7925</v>
      </c>
      <c r="H1" s="10" t="s">
        <v>38</v>
      </c>
      <c r="I1" s="16" t="s">
        <v>7926</v>
      </c>
    </row>
    <row r="2" spans="1:9" ht="16.8" x14ac:dyDescent="0.3">
      <c r="A2" s="11" t="s">
        <v>7927</v>
      </c>
      <c r="B2" s="11" t="s">
        <v>2473</v>
      </c>
      <c r="C2" s="12">
        <v>44050</v>
      </c>
      <c r="D2" s="11" t="s">
        <v>7928</v>
      </c>
      <c r="E2" s="11">
        <v>3</v>
      </c>
      <c r="F2" s="11" t="s">
        <v>46</v>
      </c>
      <c r="G2" s="11" t="s">
        <v>46</v>
      </c>
      <c r="H2" s="31" t="str" cm="1">
        <f t="array" ref="H2">_xlfn.IFS(
  ISBLANK(A2),"Missing Value",
  OR(E2&lt;1,E2&gt;5),"Review – Out of Range (Satisfaction)",
  ISNA(MATCH(B2,Customer_Master!$A$2:$A$1649,0)),"Retained – Unmatched ID (Anonymous Feedback Rule)",
  TRUE,"OK"
)</f>
        <v>OK</v>
      </c>
      <c r="I2" s="17" t="b">
        <f>IF(COUNTIF(Customer_Master!$A:$A,B2)=0,TRUE,FALSE)</f>
        <v>0</v>
      </c>
    </row>
    <row r="3" spans="1:9" ht="16.8" x14ac:dyDescent="0.3">
      <c r="A3" s="14" t="s">
        <v>7929</v>
      </c>
      <c r="B3" s="14" t="s">
        <v>3040</v>
      </c>
      <c r="C3" s="15">
        <v>44209</v>
      </c>
      <c r="D3" s="14" t="s">
        <v>7928</v>
      </c>
      <c r="E3" s="14">
        <v>1</v>
      </c>
      <c r="F3" s="14" t="s">
        <v>45</v>
      </c>
      <c r="G3" s="14" t="s">
        <v>46</v>
      </c>
      <c r="H3" s="31" t="str" cm="1">
        <f t="array" ref="H3">_xlfn.IFS(
  ISBLANK(A3),"Missing Value",
  OR(E3&lt;1,E3&gt;5),"Review – Out of Range (Satisfaction)",
  ISNA(MATCH(B3,Customer_Master!$A$2:$A$1649,0)),"Retained – Unmatched ID (Anonymous Feedback Rule)",
  TRUE,"OK"
)</f>
        <v>OK</v>
      </c>
      <c r="I3" s="18" t="b">
        <f>IF(COUNTIF(Customer_Master!$A:$A,B3)=0,TRUE,FALSE)</f>
        <v>0</v>
      </c>
    </row>
    <row r="4" spans="1:9" ht="16.8" x14ac:dyDescent="0.3">
      <c r="A4" s="11" t="s">
        <v>7930</v>
      </c>
      <c r="B4" s="11" t="s">
        <v>689</v>
      </c>
      <c r="C4" s="12">
        <v>44608</v>
      </c>
      <c r="D4" s="11" t="s">
        <v>7931</v>
      </c>
      <c r="E4" s="11">
        <v>5</v>
      </c>
      <c r="F4" s="11" t="s">
        <v>45</v>
      </c>
      <c r="G4" s="11" t="s">
        <v>46</v>
      </c>
      <c r="H4" s="31" t="str" cm="1">
        <f t="array" ref="H4">_xlfn.IFS(
  ISBLANK(A4),"Missing Value",
  OR(E4&lt;1,E4&gt;5),"Review – Out of Range (Satisfaction)",
  ISNA(MATCH(B4,Customer_Master!$A$2:$A$1649,0)),"Retained – Unmatched ID (Anonymous Feedback Rule)",
  TRUE,"OK"
)</f>
        <v>OK</v>
      </c>
      <c r="I4" s="17" t="b">
        <f>IF(COUNTIF(Customer_Master!$A:$A,B4)=0,TRUE,FALSE)</f>
        <v>0</v>
      </c>
    </row>
    <row r="5" spans="1:9" ht="16.8" x14ac:dyDescent="0.3">
      <c r="A5" s="14" t="s">
        <v>7932</v>
      </c>
      <c r="B5" s="14" t="s">
        <v>1583</v>
      </c>
      <c r="C5" s="15">
        <v>44243</v>
      </c>
      <c r="D5" s="14" t="s">
        <v>7933</v>
      </c>
      <c r="E5" s="14">
        <v>2</v>
      </c>
      <c r="F5" s="14" t="s">
        <v>45</v>
      </c>
      <c r="G5" s="14" t="s">
        <v>46</v>
      </c>
      <c r="H5" s="31" t="str" cm="1">
        <f t="array" ref="H5">_xlfn.IFS(
  ISBLANK(A5),"Missing Value",
  OR(E5&lt;1,E5&gt;5),"Review – Out of Range (Satisfaction)",
  ISNA(MATCH(B5,Customer_Master!$A$2:$A$1649,0)),"Retained – Unmatched ID (Anonymous Feedback Rule)",
  TRUE,"OK"
)</f>
        <v>OK</v>
      </c>
      <c r="I5" s="18" t="b">
        <f>IF(COUNTIF(Customer_Master!$A:$A,B5)=0,TRUE,FALSE)</f>
        <v>0</v>
      </c>
    </row>
    <row r="6" spans="1:9" ht="16.8" x14ac:dyDescent="0.3">
      <c r="A6" s="11" t="s">
        <v>7934</v>
      </c>
      <c r="B6" s="11" t="s">
        <v>1413</v>
      </c>
      <c r="C6" s="12">
        <v>44295</v>
      </c>
      <c r="D6" s="11" t="s">
        <v>7935</v>
      </c>
      <c r="E6" s="11">
        <v>5</v>
      </c>
      <c r="F6" s="11" t="s">
        <v>45</v>
      </c>
      <c r="G6" s="11" t="s">
        <v>45</v>
      </c>
      <c r="H6" s="31" t="str" cm="1">
        <f t="array" ref="H6">_xlfn.IFS(
  ISBLANK(A6),"Missing Value",
  OR(E6&lt;1,E6&gt;5),"Review – Out of Range (Satisfaction)",
  ISNA(MATCH(B6,Customer_Master!$A$2:$A$1649,0)),"Retained – Unmatched ID (Anonymous Feedback Rule)",
  TRUE,"OK"
)</f>
        <v>OK</v>
      </c>
      <c r="I6" s="17" t="b">
        <f>IF(COUNTIF(Customer_Master!$A:$A,B6)=0,TRUE,FALSE)</f>
        <v>0</v>
      </c>
    </row>
    <row r="7" spans="1:9" ht="16.8" x14ac:dyDescent="0.3">
      <c r="A7" s="14" t="s">
        <v>7936</v>
      </c>
      <c r="B7" s="14" t="s">
        <v>2913</v>
      </c>
      <c r="C7" s="15">
        <v>43835</v>
      </c>
      <c r="D7" s="14" t="s">
        <v>7937</v>
      </c>
      <c r="E7" s="14">
        <v>5</v>
      </c>
      <c r="F7" s="14" t="s">
        <v>46</v>
      </c>
      <c r="G7" s="14" t="s">
        <v>45</v>
      </c>
      <c r="H7" s="31" t="str" cm="1">
        <f t="array" ref="H7">_xlfn.IFS(
  ISBLANK(A7),"Missing Value",
  OR(E7&lt;1,E7&gt;5),"Review – Out of Range (Satisfaction)",
  ISNA(MATCH(B7,Customer_Master!$A$2:$A$1649,0)),"Retained – Unmatched ID (Anonymous Feedback Rule)",
  TRUE,"OK"
)</f>
        <v>OK</v>
      </c>
      <c r="I7" s="18" t="b">
        <f>IF(COUNTIF(Customer_Master!$A:$A,B7)=0,TRUE,FALSE)</f>
        <v>0</v>
      </c>
    </row>
    <row r="8" spans="1:9" ht="33.6" x14ac:dyDescent="0.3">
      <c r="A8" s="11" t="s">
        <v>7938</v>
      </c>
      <c r="B8" s="11" t="s">
        <v>7939</v>
      </c>
      <c r="C8" s="12">
        <v>45255</v>
      </c>
      <c r="D8" s="11" t="s">
        <v>7940</v>
      </c>
      <c r="E8" s="11">
        <v>4</v>
      </c>
      <c r="F8" s="11" t="s">
        <v>46</v>
      </c>
      <c r="G8" s="11" t="s">
        <v>46</v>
      </c>
      <c r="H8" s="31" t="str" cm="1">
        <f t="array" ref="H8">_xlfn.IFS(
  ISBLANK(A8),"Missing Value",
  OR(E8&lt;1,E8&gt;5),"Review – Out of Range (Satisfaction)",
  ISNA(MATCH(B8,Customer_Master!$A$2:$A$1649,0)),"Retained – Unmatched ID (Anonymous Feedback Rule)",
  TRUE,"OK"
)</f>
        <v>Retained – Unmatched ID (Anonymous Feedback Rule)</v>
      </c>
      <c r="I8" s="17" t="b">
        <f>IF(COUNTIF(Customer_Master!$A:$A,B8)=0,TRUE,FALSE)</f>
        <v>1</v>
      </c>
    </row>
    <row r="9" spans="1:9" ht="33.6" x14ac:dyDescent="0.3">
      <c r="A9" s="14" t="s">
        <v>7941</v>
      </c>
      <c r="B9" s="14" t="s">
        <v>7942</v>
      </c>
      <c r="C9" s="15">
        <v>44963</v>
      </c>
      <c r="D9" s="14" t="s">
        <v>7943</v>
      </c>
      <c r="E9" s="14">
        <v>3</v>
      </c>
      <c r="F9" s="14" t="s">
        <v>45</v>
      </c>
      <c r="G9" s="14" t="s">
        <v>45</v>
      </c>
      <c r="H9" s="31" t="str" cm="1">
        <f t="array" ref="H9">_xlfn.IFS(
  ISBLANK(A9),"Missing Value",
  OR(E9&lt;1,E9&gt;5),"Review – Out of Range (Satisfaction)",
  ISNA(MATCH(B9,Customer_Master!$A$2:$A$1649,0)),"Retained – Unmatched ID (Anonymous Feedback Rule)",
  TRUE,"OK"
)</f>
        <v>Retained – Unmatched ID (Anonymous Feedback Rule)</v>
      </c>
      <c r="I9" s="18" t="b">
        <f>IF(COUNTIF(Customer_Master!$A:$A,B9)=0,TRUE,FALSE)</f>
        <v>1</v>
      </c>
    </row>
    <row r="10" spans="1:9" ht="16.8" x14ac:dyDescent="0.3">
      <c r="A10" s="11" t="s">
        <v>7944</v>
      </c>
      <c r="B10" s="11" t="s">
        <v>3142</v>
      </c>
      <c r="C10" s="12">
        <v>44593</v>
      </c>
      <c r="D10" s="11" t="s">
        <v>7931</v>
      </c>
      <c r="E10" s="11">
        <v>5</v>
      </c>
      <c r="F10" s="11" t="s">
        <v>46</v>
      </c>
      <c r="G10" s="11" t="s">
        <v>46</v>
      </c>
      <c r="H10" s="31" t="str" cm="1">
        <f t="array" ref="H10">_xlfn.IFS(
  ISBLANK(A10),"Missing Value",
  OR(E10&lt;1,E10&gt;5),"Review – Out of Range (Satisfaction)",
  ISNA(MATCH(B10,Customer_Master!$A$2:$A$1649,0)),"Retained – Unmatched ID (Anonymous Feedback Rule)",
  TRUE,"OK"
)</f>
        <v>OK</v>
      </c>
      <c r="I10" s="17" t="b">
        <f>IF(COUNTIF(Customer_Master!$A:$A,B10)=0,TRUE,FALSE)</f>
        <v>0</v>
      </c>
    </row>
    <row r="11" spans="1:9" ht="16.8" x14ac:dyDescent="0.3">
      <c r="A11" s="14" t="s">
        <v>7945</v>
      </c>
      <c r="B11" s="14" t="s">
        <v>3040</v>
      </c>
      <c r="C11" s="15">
        <v>43888</v>
      </c>
      <c r="D11" s="14" t="s">
        <v>7940</v>
      </c>
      <c r="E11" s="14">
        <v>4</v>
      </c>
      <c r="F11" s="14" t="s">
        <v>45</v>
      </c>
      <c r="G11" s="14" t="s">
        <v>45</v>
      </c>
      <c r="H11" s="31" t="str" cm="1">
        <f t="array" ref="H11">_xlfn.IFS(
  ISBLANK(A11),"Missing Value",
  OR(E11&lt;1,E11&gt;5),"Review – Out of Range (Satisfaction)",
  ISNA(MATCH(B11,Customer_Master!$A$2:$A$1649,0)),"Retained – Unmatched ID (Anonymous Feedback Rule)",
  TRUE,"OK"
)</f>
        <v>OK</v>
      </c>
      <c r="I11" s="18" t="b">
        <f>IF(COUNTIF(Customer_Master!$A:$A,B11)=0,TRUE,FALSE)</f>
        <v>0</v>
      </c>
    </row>
    <row r="12" spans="1:9" ht="16.8" x14ac:dyDescent="0.3">
      <c r="A12" s="11" t="s">
        <v>7946</v>
      </c>
      <c r="B12" s="11" t="s">
        <v>180</v>
      </c>
      <c r="C12" s="12">
        <v>44244</v>
      </c>
      <c r="D12" s="11" t="s">
        <v>7947</v>
      </c>
      <c r="E12" s="11">
        <v>3</v>
      </c>
      <c r="F12" s="11" t="s">
        <v>46</v>
      </c>
      <c r="G12" s="11" t="s">
        <v>45</v>
      </c>
      <c r="H12" s="31" t="str" cm="1">
        <f t="array" ref="H12">_xlfn.IFS(
  ISBLANK(A12),"Missing Value",
  OR(E12&lt;1,E12&gt;5),"Review – Out of Range (Satisfaction)",
  ISNA(MATCH(B12,Customer_Master!$A$2:$A$1649,0)),"Retained – Unmatched ID (Anonymous Feedback Rule)",
  TRUE,"OK"
)</f>
        <v>OK</v>
      </c>
      <c r="I12" s="17" t="b">
        <f>IF(COUNTIF(Customer_Master!$A:$A,B12)=0,TRUE,FALSE)</f>
        <v>0</v>
      </c>
    </row>
    <row r="13" spans="1:9" ht="16.8" x14ac:dyDescent="0.3">
      <c r="A13" s="14" t="s">
        <v>7948</v>
      </c>
      <c r="B13" s="14" t="s">
        <v>1323</v>
      </c>
      <c r="C13" s="15">
        <v>45252</v>
      </c>
      <c r="D13" s="14" t="s">
        <v>7928</v>
      </c>
      <c r="E13" s="14">
        <v>1</v>
      </c>
      <c r="F13" s="14" t="s">
        <v>46</v>
      </c>
      <c r="G13" s="14" t="s">
        <v>45</v>
      </c>
      <c r="H13" s="31" t="str" cm="1">
        <f t="array" ref="H13">_xlfn.IFS(
  ISBLANK(A13),"Missing Value",
  OR(E13&lt;1,E13&gt;5),"Review – Out of Range (Satisfaction)",
  ISNA(MATCH(B13,Customer_Master!$A$2:$A$1649,0)),"Retained – Unmatched ID (Anonymous Feedback Rule)",
  TRUE,"OK"
)</f>
        <v>OK</v>
      </c>
      <c r="I13" s="18" t="b">
        <f>IF(COUNTIF(Customer_Master!$A:$A,B13)=0,TRUE,FALSE)</f>
        <v>0</v>
      </c>
    </row>
    <row r="14" spans="1:9" ht="16.8" x14ac:dyDescent="0.3">
      <c r="A14" s="11" t="s">
        <v>7949</v>
      </c>
      <c r="B14" s="11" t="s">
        <v>3224</v>
      </c>
      <c r="C14" s="12">
        <v>43960</v>
      </c>
      <c r="D14" s="11" t="s">
        <v>7933</v>
      </c>
      <c r="E14" s="11">
        <v>3</v>
      </c>
      <c r="F14" s="11" t="s">
        <v>45</v>
      </c>
      <c r="G14" s="11" t="s">
        <v>45</v>
      </c>
      <c r="H14" s="31" t="str" cm="1">
        <f t="array" ref="H14">_xlfn.IFS(
  ISBLANK(A14),"Missing Value",
  OR(E14&lt;1,E14&gt;5),"Review – Out of Range (Satisfaction)",
  ISNA(MATCH(B14,Customer_Master!$A$2:$A$1649,0)),"Retained – Unmatched ID (Anonymous Feedback Rule)",
  TRUE,"OK"
)</f>
        <v>OK</v>
      </c>
      <c r="I14" s="17" t="b">
        <f>IF(COUNTIF(Customer_Master!$A:$A,B14)=0,TRUE,FALSE)</f>
        <v>0</v>
      </c>
    </row>
    <row r="15" spans="1:9" ht="16.8" x14ac:dyDescent="0.3">
      <c r="A15" s="14" t="s">
        <v>7950</v>
      </c>
      <c r="B15" s="14" t="s">
        <v>1391</v>
      </c>
      <c r="C15" s="15">
        <v>45210</v>
      </c>
      <c r="D15" s="14" t="s">
        <v>7935</v>
      </c>
      <c r="E15" s="14">
        <v>4</v>
      </c>
      <c r="F15" s="14" t="s">
        <v>46</v>
      </c>
      <c r="G15" s="14" t="s">
        <v>45</v>
      </c>
      <c r="H15" s="31" t="str" cm="1">
        <f t="array" ref="H15">_xlfn.IFS(
  ISBLANK(A15),"Missing Value",
  OR(E15&lt;1,E15&gt;5),"Review – Out of Range (Satisfaction)",
  ISNA(MATCH(B15,Customer_Master!$A$2:$A$1649,0)),"Retained – Unmatched ID (Anonymous Feedback Rule)",
  TRUE,"OK"
)</f>
        <v>OK</v>
      </c>
      <c r="I15" s="18" t="b">
        <f>IF(COUNTIF(Customer_Master!$A:$A,B15)=0,TRUE,FALSE)</f>
        <v>0</v>
      </c>
    </row>
    <row r="16" spans="1:9" ht="16.8" x14ac:dyDescent="0.3">
      <c r="A16" s="11" t="s">
        <v>7951</v>
      </c>
      <c r="B16" s="11" t="s">
        <v>190</v>
      </c>
      <c r="C16" s="12">
        <v>44583</v>
      </c>
      <c r="D16" s="11" t="s">
        <v>7943</v>
      </c>
      <c r="E16" s="11">
        <v>2</v>
      </c>
      <c r="F16" s="11" t="s">
        <v>46</v>
      </c>
      <c r="G16" s="11" t="s">
        <v>45</v>
      </c>
      <c r="H16" s="31" t="str" cm="1">
        <f t="array" ref="H16">_xlfn.IFS(
  ISBLANK(A16),"Missing Value",
  OR(E16&lt;1,E16&gt;5),"Review – Out of Range (Satisfaction)",
  ISNA(MATCH(B16,Customer_Master!$A$2:$A$1649,0)),"Retained – Unmatched ID (Anonymous Feedback Rule)",
  TRUE,"OK"
)</f>
        <v>OK</v>
      </c>
      <c r="I16" s="17" t="b">
        <f>IF(COUNTIF(Customer_Master!$A:$A,B16)=0,TRUE,FALSE)</f>
        <v>0</v>
      </c>
    </row>
    <row r="17" spans="1:9" ht="33.6" x14ac:dyDescent="0.3">
      <c r="A17" s="14" t="s">
        <v>7952</v>
      </c>
      <c r="B17" s="14" t="s">
        <v>7953</v>
      </c>
      <c r="C17" s="15">
        <v>44876</v>
      </c>
      <c r="D17" s="14" t="s">
        <v>7943</v>
      </c>
      <c r="E17" s="14">
        <v>2</v>
      </c>
      <c r="F17" s="14" t="s">
        <v>46</v>
      </c>
      <c r="G17" s="14" t="s">
        <v>45</v>
      </c>
      <c r="H17" s="31" t="str" cm="1">
        <f t="array" ref="H17">_xlfn.IFS(
  ISBLANK(A17),"Missing Value",
  OR(E17&lt;1,E17&gt;5),"Review – Out of Range (Satisfaction)",
  ISNA(MATCH(B17,Customer_Master!$A$2:$A$1649,0)),"Retained – Unmatched ID (Anonymous Feedback Rule)",
  TRUE,"OK"
)</f>
        <v>Retained – Unmatched ID (Anonymous Feedback Rule)</v>
      </c>
      <c r="I17" s="18" t="b">
        <f>IF(COUNTIF(Customer_Master!$A:$A,B17)=0,TRUE,FALSE)</f>
        <v>1</v>
      </c>
    </row>
    <row r="18" spans="1:9" ht="16.8" x14ac:dyDescent="0.3">
      <c r="A18" s="11" t="s">
        <v>7954</v>
      </c>
      <c r="B18" s="11" t="s">
        <v>3146</v>
      </c>
      <c r="C18" s="12">
        <v>44600</v>
      </c>
      <c r="D18" s="11" t="s">
        <v>7947</v>
      </c>
      <c r="E18" s="11">
        <v>5</v>
      </c>
      <c r="F18" s="11" t="s">
        <v>46</v>
      </c>
      <c r="G18" s="11" t="s">
        <v>46</v>
      </c>
      <c r="H18" s="31" t="str" cm="1">
        <f t="array" ref="H18">_xlfn.IFS(
  ISBLANK(A18),"Missing Value",
  OR(E18&lt;1,E18&gt;5),"Review – Out of Range (Satisfaction)",
  ISNA(MATCH(B18,Customer_Master!$A$2:$A$1649,0)),"Retained – Unmatched ID (Anonymous Feedback Rule)",
  TRUE,"OK"
)</f>
        <v>OK</v>
      </c>
      <c r="I18" s="17" t="b">
        <f>IF(COUNTIF(Customer_Master!$A:$A,B18)=0,TRUE,FALSE)</f>
        <v>0</v>
      </c>
    </row>
    <row r="19" spans="1:9" ht="33.6" x14ac:dyDescent="0.3">
      <c r="A19" s="14" t="s">
        <v>7955</v>
      </c>
      <c r="B19" s="14" t="s">
        <v>7956</v>
      </c>
      <c r="C19" s="15">
        <v>44528</v>
      </c>
      <c r="D19" s="14" t="s">
        <v>7928</v>
      </c>
      <c r="E19" s="14">
        <v>3</v>
      </c>
      <c r="F19" s="14" t="s">
        <v>45</v>
      </c>
      <c r="G19" s="14" t="s">
        <v>46</v>
      </c>
      <c r="H19" s="31" t="str" cm="1">
        <f t="array" ref="H19">_xlfn.IFS(
  ISBLANK(A19),"Missing Value",
  OR(E19&lt;1,E19&gt;5),"Review – Out of Range (Satisfaction)",
  ISNA(MATCH(B19,Customer_Master!$A$2:$A$1649,0)),"Retained – Unmatched ID (Anonymous Feedback Rule)",
  TRUE,"OK"
)</f>
        <v>Retained – Unmatched ID (Anonymous Feedback Rule)</v>
      </c>
      <c r="I19" s="18" t="b">
        <f>IF(COUNTIF(Customer_Master!$A:$A,B19)=0,TRUE,FALSE)</f>
        <v>1</v>
      </c>
    </row>
    <row r="20" spans="1:9" ht="33.6" x14ac:dyDescent="0.3">
      <c r="A20" s="11" t="s">
        <v>7957</v>
      </c>
      <c r="B20" s="11" t="s">
        <v>7958</v>
      </c>
      <c r="C20" s="12">
        <v>44812</v>
      </c>
      <c r="D20" s="11" t="s">
        <v>7943</v>
      </c>
      <c r="E20" s="11">
        <v>1</v>
      </c>
      <c r="F20" s="11" t="s">
        <v>46</v>
      </c>
      <c r="G20" s="11" t="s">
        <v>46</v>
      </c>
      <c r="H20" s="31" t="str" cm="1">
        <f t="array" ref="H20">_xlfn.IFS(
  ISBLANK(A20),"Missing Value",
  OR(E20&lt;1,E20&gt;5),"Review – Out of Range (Satisfaction)",
  ISNA(MATCH(B20,Customer_Master!$A$2:$A$1649,0)),"Retained – Unmatched ID (Anonymous Feedback Rule)",
  TRUE,"OK"
)</f>
        <v>Retained – Unmatched ID (Anonymous Feedback Rule)</v>
      </c>
      <c r="I20" s="17" t="b">
        <f>IF(COUNTIF(Customer_Master!$A:$A,B20)=0,TRUE,FALSE)</f>
        <v>1</v>
      </c>
    </row>
    <row r="21" spans="1:9" ht="16.8" x14ac:dyDescent="0.3">
      <c r="A21" s="14" t="s">
        <v>7959</v>
      </c>
      <c r="B21" s="14" t="s">
        <v>1785</v>
      </c>
      <c r="C21" s="15">
        <v>44816</v>
      </c>
      <c r="D21" s="14" t="s">
        <v>7933</v>
      </c>
      <c r="E21" s="14">
        <v>2</v>
      </c>
      <c r="F21" s="14" t="s">
        <v>46</v>
      </c>
      <c r="G21" s="14" t="s">
        <v>45</v>
      </c>
      <c r="H21" s="31" t="str" cm="1">
        <f t="array" ref="H21">_xlfn.IFS(
  ISBLANK(A21),"Missing Value",
  OR(E21&lt;1,E21&gt;5),"Review – Out of Range (Satisfaction)",
  ISNA(MATCH(B21,Customer_Master!$A$2:$A$1649,0)),"Retained – Unmatched ID (Anonymous Feedback Rule)",
  TRUE,"OK"
)</f>
        <v>OK</v>
      </c>
      <c r="I21" s="18" t="b">
        <f>IF(COUNTIF(Customer_Master!$A:$A,B21)=0,TRUE,FALSE)</f>
        <v>0</v>
      </c>
    </row>
    <row r="22" spans="1:9" ht="33.6" x14ac:dyDescent="0.3">
      <c r="A22" s="11" t="s">
        <v>7960</v>
      </c>
      <c r="B22" s="11" t="s">
        <v>7961</v>
      </c>
      <c r="C22" s="12">
        <v>44622</v>
      </c>
      <c r="D22" s="11" t="s">
        <v>7947</v>
      </c>
      <c r="E22" s="11">
        <v>4</v>
      </c>
      <c r="F22" s="11" t="s">
        <v>46</v>
      </c>
      <c r="G22" s="11" t="s">
        <v>45</v>
      </c>
      <c r="H22" s="31" t="str" cm="1">
        <f t="array" ref="H22">_xlfn.IFS(
  ISBLANK(A22),"Missing Value",
  OR(E22&lt;1,E22&gt;5),"Review – Out of Range (Satisfaction)",
  ISNA(MATCH(B22,Customer_Master!$A$2:$A$1649,0)),"Retained – Unmatched ID (Anonymous Feedback Rule)",
  TRUE,"OK"
)</f>
        <v>Retained – Unmatched ID (Anonymous Feedback Rule)</v>
      </c>
      <c r="I22" s="17" t="b">
        <f>IF(COUNTIF(Customer_Master!$A:$A,B22)=0,TRUE,FALSE)</f>
        <v>1</v>
      </c>
    </row>
    <row r="23" spans="1:9" ht="16.8" x14ac:dyDescent="0.3">
      <c r="A23" s="14" t="s">
        <v>7962</v>
      </c>
      <c r="B23" s="14" t="s">
        <v>3180</v>
      </c>
      <c r="C23" s="15">
        <v>44736</v>
      </c>
      <c r="D23" s="14" t="s">
        <v>7940</v>
      </c>
      <c r="E23" s="14">
        <v>5</v>
      </c>
      <c r="F23" s="14" t="s">
        <v>46</v>
      </c>
      <c r="G23" s="14" t="s">
        <v>46</v>
      </c>
      <c r="H23" s="31" t="str" cm="1">
        <f t="array" ref="H23">_xlfn.IFS(
  ISBLANK(A23),"Missing Value",
  OR(E23&lt;1,E23&gt;5),"Review – Out of Range (Satisfaction)",
  ISNA(MATCH(B23,Customer_Master!$A$2:$A$1649,0)),"Retained – Unmatched ID (Anonymous Feedback Rule)",
  TRUE,"OK"
)</f>
        <v>OK</v>
      </c>
      <c r="I23" s="18" t="b">
        <f>IF(COUNTIF(Customer_Master!$A:$A,B23)=0,TRUE,FALSE)</f>
        <v>0</v>
      </c>
    </row>
    <row r="24" spans="1:9" ht="33.6" x14ac:dyDescent="0.3">
      <c r="A24" s="11" t="s">
        <v>7963</v>
      </c>
      <c r="B24" s="11" t="s">
        <v>7964</v>
      </c>
      <c r="C24" s="12">
        <v>44659</v>
      </c>
      <c r="D24" s="11" t="s">
        <v>7928</v>
      </c>
      <c r="E24" s="11">
        <v>3</v>
      </c>
      <c r="F24" s="11" t="s">
        <v>46</v>
      </c>
      <c r="G24" s="11" t="s">
        <v>45</v>
      </c>
      <c r="H24" s="31" t="str" cm="1">
        <f t="array" ref="H24">_xlfn.IFS(
  ISBLANK(A24),"Missing Value",
  OR(E24&lt;1,E24&gt;5),"Review – Out of Range (Satisfaction)",
  ISNA(MATCH(B24,Customer_Master!$A$2:$A$1649,0)),"Retained – Unmatched ID (Anonymous Feedback Rule)",
  TRUE,"OK"
)</f>
        <v>Retained – Unmatched ID (Anonymous Feedback Rule)</v>
      </c>
      <c r="I24" s="17" t="b">
        <f>IF(COUNTIF(Customer_Master!$A:$A,B24)=0,TRUE,FALSE)</f>
        <v>1</v>
      </c>
    </row>
    <row r="25" spans="1:9" ht="33.6" x14ac:dyDescent="0.3">
      <c r="A25" s="14" t="s">
        <v>7965</v>
      </c>
      <c r="B25" s="14" t="s">
        <v>7966</v>
      </c>
      <c r="C25" s="15">
        <v>44946</v>
      </c>
      <c r="D25" s="14" t="s">
        <v>7928</v>
      </c>
      <c r="E25" s="14">
        <v>1</v>
      </c>
      <c r="F25" s="14" t="s">
        <v>45</v>
      </c>
      <c r="G25" s="14" t="s">
        <v>45</v>
      </c>
      <c r="H25" s="31" t="str" cm="1">
        <f t="array" ref="H25">_xlfn.IFS(
  ISBLANK(A25),"Missing Value",
  OR(E25&lt;1,E25&gt;5),"Review – Out of Range (Satisfaction)",
  ISNA(MATCH(B25,Customer_Master!$A$2:$A$1649,0)),"Retained – Unmatched ID (Anonymous Feedback Rule)",
  TRUE,"OK"
)</f>
        <v>Retained – Unmatched ID (Anonymous Feedback Rule)</v>
      </c>
      <c r="I25" s="18" t="b">
        <f>IF(COUNTIF(Customer_Master!$A:$A,B25)=0,TRUE,FALSE)</f>
        <v>1</v>
      </c>
    </row>
    <row r="26" spans="1:9" ht="16.8" x14ac:dyDescent="0.3">
      <c r="A26" s="11" t="s">
        <v>7967</v>
      </c>
      <c r="B26" s="11" t="s">
        <v>1267</v>
      </c>
      <c r="C26" s="12">
        <v>43878</v>
      </c>
      <c r="D26" s="11" t="s">
        <v>7931</v>
      </c>
      <c r="E26" s="11">
        <v>5</v>
      </c>
      <c r="F26" s="11" t="s">
        <v>46</v>
      </c>
      <c r="G26" s="11" t="s">
        <v>46</v>
      </c>
      <c r="H26" s="31" t="str" cm="1">
        <f t="array" ref="H26">_xlfn.IFS(
  ISBLANK(A26),"Missing Value",
  OR(E26&lt;1,E26&gt;5),"Review – Out of Range (Satisfaction)",
  ISNA(MATCH(B26,Customer_Master!$A$2:$A$1649,0)),"Retained – Unmatched ID (Anonymous Feedback Rule)",
  TRUE,"OK"
)</f>
        <v>OK</v>
      </c>
      <c r="I26" s="17" t="b">
        <f>IF(COUNTIF(Customer_Master!$A:$A,B26)=0,TRUE,FALSE)</f>
        <v>0</v>
      </c>
    </row>
    <row r="27" spans="1:9" ht="16.8" x14ac:dyDescent="0.3">
      <c r="A27" s="14" t="s">
        <v>7968</v>
      </c>
      <c r="B27" s="14" t="s">
        <v>2547</v>
      </c>
      <c r="C27" s="15">
        <v>44419</v>
      </c>
      <c r="D27" s="14" t="s">
        <v>7969</v>
      </c>
      <c r="E27" s="14">
        <v>1</v>
      </c>
      <c r="F27" s="14" t="s">
        <v>46</v>
      </c>
      <c r="G27" s="14" t="s">
        <v>45</v>
      </c>
      <c r="H27" s="31" t="str" cm="1">
        <f t="array" ref="H27">_xlfn.IFS(
  ISBLANK(A27),"Missing Value",
  OR(E27&lt;1,E27&gt;5),"Review – Out of Range (Satisfaction)",
  ISNA(MATCH(B27,Customer_Master!$A$2:$A$1649,0)),"Retained – Unmatched ID (Anonymous Feedback Rule)",
  TRUE,"OK"
)</f>
        <v>OK</v>
      </c>
      <c r="I27" s="18" t="b">
        <f>IF(COUNTIF(Customer_Master!$A:$A,B27)=0,TRUE,FALSE)</f>
        <v>0</v>
      </c>
    </row>
    <row r="28" spans="1:9" ht="16.8" x14ac:dyDescent="0.3">
      <c r="A28" s="11" t="s">
        <v>7970</v>
      </c>
      <c r="B28" s="11" t="s">
        <v>1349</v>
      </c>
      <c r="C28" s="12">
        <v>45096</v>
      </c>
      <c r="D28" s="11" t="s">
        <v>7933</v>
      </c>
      <c r="E28" s="11">
        <v>2</v>
      </c>
      <c r="F28" s="11" t="s">
        <v>46</v>
      </c>
      <c r="G28" s="11" t="s">
        <v>45</v>
      </c>
      <c r="H28" s="31" t="str" cm="1">
        <f t="array" ref="H28">_xlfn.IFS(
  ISBLANK(A28),"Missing Value",
  OR(E28&lt;1,E28&gt;5),"Review – Out of Range (Satisfaction)",
  ISNA(MATCH(B28,Customer_Master!$A$2:$A$1649,0)),"Retained – Unmatched ID (Anonymous Feedback Rule)",
  TRUE,"OK"
)</f>
        <v>OK</v>
      </c>
      <c r="I28" s="17" t="b">
        <f>IF(COUNTIF(Customer_Master!$A:$A,B28)=0,TRUE,FALSE)</f>
        <v>0</v>
      </c>
    </row>
    <row r="29" spans="1:9" ht="33.6" x14ac:dyDescent="0.3">
      <c r="A29" s="14" t="s">
        <v>7971</v>
      </c>
      <c r="B29" s="14" t="s">
        <v>7972</v>
      </c>
      <c r="C29" s="15">
        <v>44179</v>
      </c>
      <c r="D29" s="14" t="s">
        <v>7969</v>
      </c>
      <c r="E29" s="14">
        <v>2</v>
      </c>
      <c r="F29" s="14" t="s">
        <v>46</v>
      </c>
      <c r="G29" s="14" t="s">
        <v>46</v>
      </c>
      <c r="H29" s="31" t="str" cm="1">
        <f t="array" ref="H29">_xlfn.IFS(
  ISBLANK(A29),"Missing Value",
  OR(E29&lt;1,E29&gt;5),"Review – Out of Range (Satisfaction)",
  ISNA(MATCH(B29,Customer_Master!$A$2:$A$1649,0)),"Retained – Unmatched ID (Anonymous Feedback Rule)",
  TRUE,"OK"
)</f>
        <v>Retained – Unmatched ID (Anonymous Feedback Rule)</v>
      </c>
      <c r="I29" s="18" t="b">
        <f>IF(COUNTIF(Customer_Master!$A:$A,B29)=0,TRUE,FALSE)</f>
        <v>1</v>
      </c>
    </row>
    <row r="30" spans="1:9" ht="16.8" x14ac:dyDescent="0.3">
      <c r="A30" s="11" t="s">
        <v>7973</v>
      </c>
      <c r="B30" s="11" t="s">
        <v>1937</v>
      </c>
      <c r="C30" s="12">
        <v>44584</v>
      </c>
      <c r="D30" s="11" t="s">
        <v>7943</v>
      </c>
      <c r="E30" s="11">
        <v>2</v>
      </c>
      <c r="F30" s="11" t="s">
        <v>45</v>
      </c>
      <c r="G30" s="11" t="s">
        <v>46</v>
      </c>
      <c r="H30" s="31" t="str" cm="1">
        <f t="array" ref="H30">_xlfn.IFS(
  ISBLANK(A30),"Missing Value",
  OR(E30&lt;1,E30&gt;5),"Review – Out of Range (Satisfaction)",
  ISNA(MATCH(B30,Customer_Master!$A$2:$A$1649,0)),"Retained – Unmatched ID (Anonymous Feedback Rule)",
  TRUE,"OK"
)</f>
        <v>OK</v>
      </c>
      <c r="I30" s="17" t="b">
        <f>IF(COUNTIF(Customer_Master!$A:$A,B30)=0,TRUE,FALSE)</f>
        <v>0</v>
      </c>
    </row>
    <row r="31" spans="1:9" ht="16.8" x14ac:dyDescent="0.3">
      <c r="A31" s="14" t="s">
        <v>7974</v>
      </c>
      <c r="B31" s="14" t="s">
        <v>1493</v>
      </c>
      <c r="C31" s="15">
        <v>44190</v>
      </c>
      <c r="D31" s="14" t="s">
        <v>7931</v>
      </c>
      <c r="E31" s="14">
        <v>4</v>
      </c>
      <c r="F31" s="14" t="s">
        <v>45</v>
      </c>
      <c r="G31" s="14" t="s">
        <v>45</v>
      </c>
      <c r="H31" s="31" t="str" cm="1">
        <f t="array" ref="H31">_xlfn.IFS(
  ISBLANK(A31),"Missing Value",
  OR(E31&lt;1,E31&gt;5),"Review – Out of Range (Satisfaction)",
  ISNA(MATCH(B31,Customer_Master!$A$2:$A$1649,0)),"Retained – Unmatched ID (Anonymous Feedback Rule)",
  TRUE,"OK"
)</f>
        <v>OK</v>
      </c>
      <c r="I31" s="18" t="b">
        <f>IF(COUNTIF(Customer_Master!$A:$A,B31)=0,TRUE,FALSE)</f>
        <v>0</v>
      </c>
    </row>
    <row r="32" spans="1:9" ht="16.8" x14ac:dyDescent="0.3">
      <c r="A32" s="11" t="s">
        <v>7975</v>
      </c>
      <c r="B32" s="11" t="s">
        <v>338</v>
      </c>
      <c r="C32" s="12">
        <v>44782</v>
      </c>
      <c r="D32" s="11" t="s">
        <v>7931</v>
      </c>
      <c r="E32" s="11">
        <v>5</v>
      </c>
      <c r="F32" s="11" t="s">
        <v>46</v>
      </c>
      <c r="G32" s="11" t="s">
        <v>45</v>
      </c>
      <c r="H32" s="31" t="str" cm="1">
        <f t="array" ref="H32">_xlfn.IFS(
  ISBLANK(A32),"Missing Value",
  OR(E32&lt;1,E32&gt;5),"Review – Out of Range (Satisfaction)",
  ISNA(MATCH(B32,Customer_Master!$A$2:$A$1649,0)),"Retained – Unmatched ID (Anonymous Feedback Rule)",
  TRUE,"OK"
)</f>
        <v>OK</v>
      </c>
      <c r="I32" s="17" t="b">
        <f>IF(COUNTIF(Customer_Master!$A:$A,B32)=0,TRUE,FALSE)</f>
        <v>0</v>
      </c>
    </row>
    <row r="33" spans="1:9" ht="16.8" x14ac:dyDescent="0.3">
      <c r="A33" s="14" t="s">
        <v>7976</v>
      </c>
      <c r="B33" s="14" t="s">
        <v>2441</v>
      </c>
      <c r="C33" s="15">
        <v>44252</v>
      </c>
      <c r="D33" s="14" t="s">
        <v>7931</v>
      </c>
      <c r="E33" s="14">
        <v>4</v>
      </c>
      <c r="F33" s="14" t="s">
        <v>46</v>
      </c>
      <c r="G33" s="14" t="s">
        <v>45</v>
      </c>
      <c r="H33" s="31" t="str" cm="1">
        <f t="array" ref="H33">_xlfn.IFS(
  ISBLANK(A33),"Missing Value",
  OR(E33&lt;1,E33&gt;5),"Review – Out of Range (Satisfaction)",
  ISNA(MATCH(B33,Customer_Master!$A$2:$A$1649,0)),"Retained – Unmatched ID (Anonymous Feedback Rule)",
  TRUE,"OK"
)</f>
        <v>OK</v>
      </c>
      <c r="I33" s="18" t="b">
        <f>IF(COUNTIF(Customer_Master!$A:$A,B33)=0,TRUE,FALSE)</f>
        <v>0</v>
      </c>
    </row>
    <row r="34" spans="1:9" ht="16.8" x14ac:dyDescent="0.3">
      <c r="A34" s="11" t="s">
        <v>7977</v>
      </c>
      <c r="B34" s="11" t="s">
        <v>2805</v>
      </c>
      <c r="C34" s="12">
        <v>44155</v>
      </c>
      <c r="D34" s="11" t="s">
        <v>7978</v>
      </c>
      <c r="E34" s="11">
        <v>3</v>
      </c>
      <c r="F34" s="11" t="s">
        <v>46</v>
      </c>
      <c r="G34" s="11" t="s">
        <v>45</v>
      </c>
      <c r="H34" s="31" t="str" cm="1">
        <f t="array" ref="H34">_xlfn.IFS(
  ISBLANK(A34),"Missing Value",
  OR(E34&lt;1,E34&gt;5),"Review – Out of Range (Satisfaction)",
  ISNA(MATCH(B34,Customer_Master!$A$2:$A$1649,0)),"Retained – Unmatched ID (Anonymous Feedback Rule)",
  TRUE,"OK"
)</f>
        <v>OK</v>
      </c>
      <c r="I34" s="17" t="b">
        <f>IF(COUNTIF(Customer_Master!$A:$A,B34)=0,TRUE,FALSE)</f>
        <v>0</v>
      </c>
    </row>
    <row r="35" spans="1:9" ht="16.8" x14ac:dyDescent="0.3">
      <c r="A35" s="14" t="s">
        <v>7979</v>
      </c>
      <c r="B35" s="14" t="s">
        <v>1837</v>
      </c>
      <c r="C35" s="15">
        <v>44305</v>
      </c>
      <c r="D35" s="14" t="s">
        <v>7931</v>
      </c>
      <c r="E35" s="14">
        <v>4</v>
      </c>
      <c r="F35" s="14" t="s">
        <v>45</v>
      </c>
      <c r="G35" s="14" t="s">
        <v>46</v>
      </c>
      <c r="H35" s="31" t="str" cm="1">
        <f t="array" ref="H35">_xlfn.IFS(
  ISBLANK(A35),"Missing Value",
  OR(E35&lt;1,E35&gt;5),"Review – Out of Range (Satisfaction)",
  ISNA(MATCH(B35,Customer_Master!$A$2:$A$1649,0)),"Retained – Unmatched ID (Anonymous Feedback Rule)",
  TRUE,"OK"
)</f>
        <v>OK</v>
      </c>
      <c r="I35" s="18" t="b">
        <f>IF(COUNTIF(Customer_Master!$A:$A,B35)=0,TRUE,FALSE)</f>
        <v>0</v>
      </c>
    </row>
    <row r="36" spans="1:9" ht="16.8" x14ac:dyDescent="0.3">
      <c r="A36" s="11" t="s">
        <v>7980</v>
      </c>
      <c r="B36" s="11" t="s">
        <v>701</v>
      </c>
      <c r="C36" s="12">
        <v>44271</v>
      </c>
      <c r="D36" s="11" t="s">
        <v>7940</v>
      </c>
      <c r="E36" s="11">
        <v>5</v>
      </c>
      <c r="F36" s="11" t="s">
        <v>46</v>
      </c>
      <c r="G36" s="11" t="s">
        <v>46</v>
      </c>
      <c r="H36" s="31" t="str" cm="1">
        <f t="array" ref="H36">_xlfn.IFS(
  ISBLANK(A36),"Missing Value",
  OR(E36&lt;1,E36&gt;5),"Review – Out of Range (Satisfaction)",
  ISNA(MATCH(B36,Customer_Master!$A$2:$A$1649,0)),"Retained – Unmatched ID (Anonymous Feedback Rule)",
  TRUE,"OK"
)</f>
        <v>OK</v>
      </c>
      <c r="I36" s="17" t="b">
        <f>IF(COUNTIF(Customer_Master!$A:$A,B36)=0,TRUE,FALSE)</f>
        <v>0</v>
      </c>
    </row>
    <row r="37" spans="1:9" ht="33.6" x14ac:dyDescent="0.3">
      <c r="A37" s="14" t="s">
        <v>7981</v>
      </c>
      <c r="B37" s="14" t="s">
        <v>7982</v>
      </c>
      <c r="C37" s="15">
        <v>43885</v>
      </c>
      <c r="D37" s="14" t="s">
        <v>7933</v>
      </c>
      <c r="E37" s="14">
        <v>3</v>
      </c>
      <c r="F37" s="14" t="s">
        <v>45</v>
      </c>
      <c r="G37" s="14" t="s">
        <v>46</v>
      </c>
      <c r="H37" s="31" t="str" cm="1">
        <f t="array" ref="H37">_xlfn.IFS(
  ISBLANK(A37),"Missing Value",
  OR(E37&lt;1,E37&gt;5),"Review – Out of Range (Satisfaction)",
  ISNA(MATCH(B37,Customer_Master!$A$2:$A$1649,0)),"Retained – Unmatched ID (Anonymous Feedback Rule)",
  TRUE,"OK"
)</f>
        <v>Retained – Unmatched ID (Anonymous Feedback Rule)</v>
      </c>
      <c r="I37" s="18" t="b">
        <f>IF(COUNTIF(Customer_Master!$A:$A,B37)=0,TRUE,FALSE)</f>
        <v>1</v>
      </c>
    </row>
    <row r="38" spans="1:9" ht="16.8" x14ac:dyDescent="0.3">
      <c r="A38" s="11" t="s">
        <v>7983</v>
      </c>
      <c r="B38" s="11" t="s">
        <v>2171</v>
      </c>
      <c r="C38" s="12">
        <v>44942</v>
      </c>
      <c r="D38" s="11" t="s">
        <v>7940</v>
      </c>
      <c r="E38" s="11">
        <v>4</v>
      </c>
      <c r="F38" s="11" t="s">
        <v>46</v>
      </c>
      <c r="G38" s="11" t="s">
        <v>46</v>
      </c>
      <c r="H38" s="31" t="str" cm="1">
        <f t="array" ref="H38">_xlfn.IFS(
  ISBLANK(A38),"Missing Value",
  OR(E38&lt;1,E38&gt;5),"Review – Out of Range (Satisfaction)",
  ISNA(MATCH(B38,Customer_Master!$A$2:$A$1649,0)),"Retained – Unmatched ID (Anonymous Feedback Rule)",
  TRUE,"OK"
)</f>
        <v>OK</v>
      </c>
      <c r="I38" s="17" t="b">
        <f>IF(COUNTIF(Customer_Master!$A:$A,B38)=0,TRUE,FALSE)</f>
        <v>0</v>
      </c>
    </row>
    <row r="39" spans="1:9" ht="16.8" x14ac:dyDescent="0.3">
      <c r="A39" s="14" t="s">
        <v>7984</v>
      </c>
      <c r="B39" s="14" t="s">
        <v>1115</v>
      </c>
      <c r="C39" s="15">
        <v>45058</v>
      </c>
      <c r="D39" s="14" t="s">
        <v>7933</v>
      </c>
      <c r="E39" s="14">
        <v>2</v>
      </c>
      <c r="F39" s="14" t="s">
        <v>46</v>
      </c>
      <c r="G39" s="14" t="s">
        <v>45</v>
      </c>
      <c r="H39" s="31" t="str" cm="1">
        <f t="array" ref="H39">_xlfn.IFS(
  ISBLANK(A39),"Missing Value",
  OR(E39&lt;1,E39&gt;5),"Review – Out of Range (Satisfaction)",
  ISNA(MATCH(B39,Customer_Master!$A$2:$A$1649,0)),"Retained – Unmatched ID (Anonymous Feedback Rule)",
  TRUE,"OK"
)</f>
        <v>OK</v>
      </c>
      <c r="I39" s="18" t="b">
        <f>IF(COUNTIF(Customer_Master!$A:$A,B39)=0,TRUE,FALSE)</f>
        <v>0</v>
      </c>
    </row>
    <row r="40" spans="1:9" ht="16.8" x14ac:dyDescent="0.3">
      <c r="A40" s="11" t="s">
        <v>7985</v>
      </c>
      <c r="B40" s="11" t="s">
        <v>1223</v>
      </c>
      <c r="C40" s="12">
        <v>44859</v>
      </c>
      <c r="D40" s="11" t="s">
        <v>7978</v>
      </c>
      <c r="E40" s="11">
        <v>3</v>
      </c>
      <c r="F40" s="11" t="s">
        <v>45</v>
      </c>
      <c r="G40" s="11" t="s">
        <v>45</v>
      </c>
      <c r="H40" s="31" t="str" cm="1">
        <f t="array" ref="H40">_xlfn.IFS(
  ISBLANK(A40),"Missing Value",
  OR(E40&lt;1,E40&gt;5),"Review – Out of Range (Satisfaction)",
  ISNA(MATCH(B40,Customer_Master!$A$2:$A$1649,0)),"Retained – Unmatched ID (Anonymous Feedback Rule)",
  TRUE,"OK"
)</f>
        <v>OK</v>
      </c>
      <c r="I40" s="17" t="b">
        <f>IF(COUNTIF(Customer_Master!$A:$A,B40)=0,TRUE,FALSE)</f>
        <v>0</v>
      </c>
    </row>
    <row r="41" spans="1:9" ht="33.6" x14ac:dyDescent="0.3">
      <c r="A41" s="14" t="s">
        <v>7986</v>
      </c>
      <c r="B41" s="14" t="s">
        <v>7987</v>
      </c>
      <c r="C41" s="15">
        <v>44568</v>
      </c>
      <c r="D41" s="14" t="s">
        <v>7943</v>
      </c>
      <c r="E41" s="14">
        <v>2</v>
      </c>
      <c r="F41" s="14" t="s">
        <v>45</v>
      </c>
      <c r="G41" s="14" t="s">
        <v>46</v>
      </c>
      <c r="H41" s="31" t="str" cm="1">
        <f t="array" ref="H41">_xlfn.IFS(
  ISBLANK(A41),"Missing Value",
  OR(E41&lt;1,E41&gt;5),"Review – Out of Range (Satisfaction)",
  ISNA(MATCH(B41,Customer_Master!$A$2:$A$1649,0)),"Retained – Unmatched ID (Anonymous Feedback Rule)",
  TRUE,"OK"
)</f>
        <v>Retained – Unmatched ID (Anonymous Feedback Rule)</v>
      </c>
      <c r="I41" s="18" t="b">
        <f>IF(COUNTIF(Customer_Master!$A:$A,B41)=0,TRUE,FALSE)</f>
        <v>1</v>
      </c>
    </row>
    <row r="42" spans="1:9" ht="33.6" x14ac:dyDescent="0.3">
      <c r="A42" s="11" t="s">
        <v>7988</v>
      </c>
      <c r="B42" s="11" t="s">
        <v>7989</v>
      </c>
      <c r="C42" s="12">
        <v>44080</v>
      </c>
      <c r="D42" s="11" t="s">
        <v>7928</v>
      </c>
      <c r="E42" s="11">
        <v>3</v>
      </c>
      <c r="F42" s="11" t="s">
        <v>45</v>
      </c>
      <c r="G42" s="11" t="s">
        <v>45</v>
      </c>
      <c r="H42" s="31" t="str" cm="1">
        <f t="array" ref="H42">_xlfn.IFS(
  ISBLANK(A42),"Missing Value",
  OR(E42&lt;1,E42&gt;5),"Review – Out of Range (Satisfaction)",
  ISNA(MATCH(B42,Customer_Master!$A$2:$A$1649,0)),"Retained – Unmatched ID (Anonymous Feedback Rule)",
  TRUE,"OK"
)</f>
        <v>Retained – Unmatched ID (Anonymous Feedback Rule)</v>
      </c>
      <c r="I42" s="17" t="b">
        <f>IF(COUNTIF(Customer_Master!$A:$A,B42)=0,TRUE,FALSE)</f>
        <v>1</v>
      </c>
    </row>
    <row r="43" spans="1:9" ht="33.6" x14ac:dyDescent="0.3">
      <c r="A43" s="14" t="s">
        <v>7990</v>
      </c>
      <c r="B43" s="14" t="s">
        <v>7991</v>
      </c>
      <c r="C43" s="15">
        <v>44205</v>
      </c>
      <c r="D43" s="14" t="s">
        <v>7943</v>
      </c>
      <c r="E43" s="14">
        <v>3</v>
      </c>
      <c r="F43" s="14" t="s">
        <v>45</v>
      </c>
      <c r="G43" s="14" t="s">
        <v>45</v>
      </c>
      <c r="H43" s="31" t="str" cm="1">
        <f t="array" ref="H43">_xlfn.IFS(
  ISBLANK(A43),"Missing Value",
  OR(E43&lt;1,E43&gt;5),"Review – Out of Range (Satisfaction)",
  ISNA(MATCH(B43,Customer_Master!$A$2:$A$1649,0)),"Retained – Unmatched ID (Anonymous Feedback Rule)",
  TRUE,"OK"
)</f>
        <v>Retained – Unmatched ID (Anonymous Feedback Rule)</v>
      </c>
      <c r="I43" s="18" t="b">
        <f>IF(COUNTIF(Customer_Master!$A:$A,B43)=0,TRUE,FALSE)</f>
        <v>1</v>
      </c>
    </row>
    <row r="44" spans="1:9" ht="16.8" x14ac:dyDescent="0.3">
      <c r="A44" s="11" t="s">
        <v>7992</v>
      </c>
      <c r="B44" s="11" t="s">
        <v>899</v>
      </c>
      <c r="C44" s="12">
        <v>45123</v>
      </c>
      <c r="D44" s="11" t="s">
        <v>7947</v>
      </c>
      <c r="E44" s="11">
        <v>3</v>
      </c>
      <c r="F44" s="11" t="s">
        <v>46</v>
      </c>
      <c r="G44" s="11" t="s">
        <v>45</v>
      </c>
      <c r="H44" s="31" t="str" cm="1">
        <f t="array" ref="H44">_xlfn.IFS(
  ISBLANK(A44),"Missing Value",
  OR(E44&lt;1,E44&gt;5),"Review – Out of Range (Satisfaction)",
  ISNA(MATCH(B44,Customer_Master!$A$2:$A$1649,0)),"Retained – Unmatched ID (Anonymous Feedback Rule)",
  TRUE,"OK"
)</f>
        <v>OK</v>
      </c>
      <c r="I44" s="17" t="b">
        <f>IF(COUNTIF(Customer_Master!$A:$A,B44)=0,TRUE,FALSE)</f>
        <v>0</v>
      </c>
    </row>
    <row r="45" spans="1:9" ht="33.6" x14ac:dyDescent="0.3">
      <c r="A45" s="14" t="s">
        <v>7993</v>
      </c>
      <c r="B45" s="14" t="s">
        <v>7994</v>
      </c>
      <c r="C45" s="15">
        <v>44413</v>
      </c>
      <c r="D45" s="14" t="s">
        <v>7931</v>
      </c>
      <c r="E45" s="14">
        <v>5</v>
      </c>
      <c r="F45" s="14" t="s">
        <v>46</v>
      </c>
      <c r="G45" s="14" t="s">
        <v>45</v>
      </c>
      <c r="H45" s="31" t="str" cm="1">
        <f t="array" ref="H45">_xlfn.IFS(
  ISBLANK(A45),"Missing Value",
  OR(E45&lt;1,E45&gt;5),"Review – Out of Range (Satisfaction)",
  ISNA(MATCH(B45,Customer_Master!$A$2:$A$1649,0)),"Retained – Unmatched ID (Anonymous Feedback Rule)",
  TRUE,"OK"
)</f>
        <v>Retained – Unmatched ID (Anonymous Feedback Rule)</v>
      </c>
      <c r="I45" s="18" t="b">
        <f>IF(COUNTIF(Customer_Master!$A:$A,B45)=0,TRUE,FALSE)</f>
        <v>1</v>
      </c>
    </row>
    <row r="46" spans="1:9" ht="33.6" x14ac:dyDescent="0.3">
      <c r="A46" s="11" t="s">
        <v>7995</v>
      </c>
      <c r="B46" s="11" t="s">
        <v>7996</v>
      </c>
      <c r="C46" s="12">
        <v>44990</v>
      </c>
      <c r="D46" s="11" t="s">
        <v>7978</v>
      </c>
      <c r="E46" s="11">
        <v>1</v>
      </c>
      <c r="F46" s="11" t="s">
        <v>45</v>
      </c>
      <c r="G46" s="11" t="s">
        <v>46</v>
      </c>
      <c r="H46" s="31" t="str" cm="1">
        <f t="array" ref="H46">_xlfn.IFS(
  ISBLANK(A46),"Missing Value",
  OR(E46&lt;1,E46&gt;5),"Review – Out of Range (Satisfaction)",
  ISNA(MATCH(B46,Customer_Master!$A$2:$A$1649,0)),"Retained – Unmatched ID (Anonymous Feedback Rule)",
  TRUE,"OK"
)</f>
        <v>Retained – Unmatched ID (Anonymous Feedback Rule)</v>
      </c>
      <c r="I46" s="17" t="b">
        <f>IF(COUNTIF(Customer_Master!$A:$A,B46)=0,TRUE,FALSE)</f>
        <v>1</v>
      </c>
    </row>
    <row r="47" spans="1:9" ht="33.6" x14ac:dyDescent="0.3">
      <c r="A47" s="14" t="s">
        <v>7997</v>
      </c>
      <c r="B47" s="14" t="s">
        <v>7998</v>
      </c>
      <c r="C47" s="15">
        <v>44057</v>
      </c>
      <c r="D47" s="14" t="s">
        <v>7935</v>
      </c>
      <c r="E47" s="14">
        <v>5</v>
      </c>
      <c r="F47" s="14" t="s">
        <v>46</v>
      </c>
      <c r="G47" s="14" t="s">
        <v>45</v>
      </c>
      <c r="H47" s="31" t="str" cm="1">
        <f t="array" ref="H47">_xlfn.IFS(
  ISBLANK(A47),"Missing Value",
  OR(E47&lt;1,E47&gt;5),"Review – Out of Range (Satisfaction)",
  ISNA(MATCH(B47,Customer_Master!$A$2:$A$1649,0)),"Retained – Unmatched ID (Anonymous Feedback Rule)",
  TRUE,"OK"
)</f>
        <v>Retained – Unmatched ID (Anonymous Feedback Rule)</v>
      </c>
      <c r="I47" s="18" t="b">
        <f>IF(COUNTIF(Customer_Master!$A:$A,B47)=0,TRUE,FALSE)</f>
        <v>1</v>
      </c>
    </row>
    <row r="48" spans="1:9" ht="33.6" x14ac:dyDescent="0.3">
      <c r="A48" s="11" t="s">
        <v>7999</v>
      </c>
      <c r="B48" s="11" t="s">
        <v>8000</v>
      </c>
      <c r="C48" s="12">
        <v>45222</v>
      </c>
      <c r="D48" s="11" t="s">
        <v>7931</v>
      </c>
      <c r="E48" s="11">
        <v>5</v>
      </c>
      <c r="F48" s="11" t="s">
        <v>45</v>
      </c>
      <c r="G48" s="11" t="s">
        <v>45</v>
      </c>
      <c r="H48" s="31" t="str" cm="1">
        <f t="array" ref="H48">_xlfn.IFS(
  ISBLANK(A48),"Missing Value",
  OR(E48&lt;1,E48&gt;5),"Review – Out of Range (Satisfaction)",
  ISNA(MATCH(B48,Customer_Master!$A$2:$A$1649,0)),"Retained – Unmatched ID (Anonymous Feedback Rule)",
  TRUE,"OK"
)</f>
        <v>Retained – Unmatched ID (Anonymous Feedback Rule)</v>
      </c>
      <c r="I48" s="17" t="b">
        <f>IF(COUNTIF(Customer_Master!$A:$A,B48)=0,TRUE,FALSE)</f>
        <v>1</v>
      </c>
    </row>
    <row r="49" spans="1:9" ht="16.8" x14ac:dyDescent="0.3">
      <c r="A49" s="14" t="s">
        <v>8001</v>
      </c>
      <c r="B49" s="14" t="s">
        <v>1215</v>
      </c>
      <c r="C49" s="15">
        <v>44075</v>
      </c>
      <c r="D49" s="14" t="s">
        <v>7969</v>
      </c>
      <c r="E49" s="14">
        <v>1</v>
      </c>
      <c r="F49" s="14" t="s">
        <v>45</v>
      </c>
      <c r="G49" s="14" t="s">
        <v>45</v>
      </c>
      <c r="H49" s="31" t="str" cm="1">
        <f t="array" ref="H49">_xlfn.IFS(
  ISBLANK(A49),"Missing Value",
  OR(E49&lt;1,E49&gt;5),"Review – Out of Range (Satisfaction)",
  ISNA(MATCH(B49,Customer_Master!$A$2:$A$1649,0)),"Retained – Unmatched ID (Anonymous Feedback Rule)",
  TRUE,"OK"
)</f>
        <v>OK</v>
      </c>
      <c r="I49" s="18" t="b">
        <f>IF(COUNTIF(Customer_Master!$A:$A,B49)=0,TRUE,FALSE)</f>
        <v>0</v>
      </c>
    </row>
    <row r="50" spans="1:9" ht="16.8" x14ac:dyDescent="0.3">
      <c r="A50" s="11" t="s">
        <v>8002</v>
      </c>
      <c r="B50" s="11" t="s">
        <v>2173</v>
      </c>
      <c r="C50" s="12">
        <v>44354</v>
      </c>
      <c r="D50" s="11" t="s">
        <v>7937</v>
      </c>
      <c r="E50" s="11">
        <v>4</v>
      </c>
      <c r="F50" s="11" t="s">
        <v>45</v>
      </c>
      <c r="G50" s="11" t="s">
        <v>46</v>
      </c>
      <c r="H50" s="31" t="str" cm="1">
        <f t="array" ref="H50">_xlfn.IFS(
  ISBLANK(A50),"Missing Value",
  OR(E50&lt;1,E50&gt;5),"Review – Out of Range (Satisfaction)",
  ISNA(MATCH(B50,Customer_Master!$A$2:$A$1649,0)),"Retained – Unmatched ID (Anonymous Feedback Rule)",
  TRUE,"OK"
)</f>
        <v>OK</v>
      </c>
      <c r="I50" s="17" t="b">
        <f>IF(COUNTIF(Customer_Master!$A:$A,B50)=0,TRUE,FALSE)</f>
        <v>0</v>
      </c>
    </row>
    <row r="51" spans="1:9" ht="16.8" x14ac:dyDescent="0.3">
      <c r="A51" s="14" t="s">
        <v>8003</v>
      </c>
      <c r="B51" s="14" t="s">
        <v>667</v>
      </c>
      <c r="C51" s="15">
        <v>44238</v>
      </c>
      <c r="D51" s="14" t="s">
        <v>7947</v>
      </c>
      <c r="E51" s="14">
        <v>3</v>
      </c>
      <c r="F51" s="14" t="s">
        <v>46</v>
      </c>
      <c r="G51" s="14" t="s">
        <v>45</v>
      </c>
      <c r="H51" s="31" t="str" cm="1">
        <f t="array" ref="H51">_xlfn.IFS(
  ISBLANK(A51),"Missing Value",
  OR(E51&lt;1,E51&gt;5),"Review – Out of Range (Satisfaction)",
  ISNA(MATCH(B51,Customer_Master!$A$2:$A$1649,0)),"Retained – Unmatched ID (Anonymous Feedback Rule)",
  TRUE,"OK"
)</f>
        <v>OK</v>
      </c>
      <c r="I51" s="18" t="b">
        <f>IF(COUNTIF(Customer_Master!$A:$A,B51)=0,TRUE,FALSE)</f>
        <v>0</v>
      </c>
    </row>
    <row r="52" spans="1:9" ht="33.6" x14ac:dyDescent="0.3">
      <c r="A52" s="11" t="s">
        <v>8004</v>
      </c>
      <c r="B52" s="11" t="s">
        <v>8005</v>
      </c>
      <c r="C52" s="12">
        <v>45160</v>
      </c>
      <c r="D52" s="11" t="s">
        <v>7935</v>
      </c>
      <c r="E52" s="11">
        <v>5</v>
      </c>
      <c r="F52" s="11" t="s">
        <v>46</v>
      </c>
      <c r="G52" s="11" t="s">
        <v>45</v>
      </c>
      <c r="H52" s="31" t="str" cm="1">
        <f t="array" ref="H52">_xlfn.IFS(
  ISBLANK(A52),"Missing Value",
  OR(E52&lt;1,E52&gt;5),"Review – Out of Range (Satisfaction)",
  ISNA(MATCH(B52,Customer_Master!$A$2:$A$1649,0)),"Retained – Unmatched ID (Anonymous Feedback Rule)",
  TRUE,"OK"
)</f>
        <v>Retained – Unmatched ID (Anonymous Feedback Rule)</v>
      </c>
      <c r="I52" s="17" t="b">
        <f>IF(COUNTIF(Customer_Master!$A:$A,B52)=0,TRUE,FALSE)</f>
        <v>1</v>
      </c>
    </row>
    <row r="53" spans="1:9" ht="33.6" x14ac:dyDescent="0.3">
      <c r="A53" s="14" t="s">
        <v>8006</v>
      </c>
      <c r="B53" s="14" t="s">
        <v>8007</v>
      </c>
      <c r="C53" s="15">
        <v>44104</v>
      </c>
      <c r="D53" s="14" t="s">
        <v>7947</v>
      </c>
      <c r="E53" s="14">
        <v>5</v>
      </c>
      <c r="F53" s="14" t="s">
        <v>45</v>
      </c>
      <c r="G53" s="14" t="s">
        <v>45</v>
      </c>
      <c r="H53" s="31" t="str" cm="1">
        <f t="array" ref="H53">_xlfn.IFS(
  ISBLANK(A53),"Missing Value",
  OR(E53&lt;1,E53&gt;5),"Review – Out of Range (Satisfaction)",
  ISNA(MATCH(B53,Customer_Master!$A$2:$A$1649,0)),"Retained – Unmatched ID (Anonymous Feedback Rule)",
  TRUE,"OK"
)</f>
        <v>Retained – Unmatched ID (Anonymous Feedback Rule)</v>
      </c>
      <c r="I53" s="18" t="b">
        <f>IF(COUNTIF(Customer_Master!$A:$A,B53)=0,TRUE,FALSE)</f>
        <v>1</v>
      </c>
    </row>
    <row r="54" spans="1:9" ht="16.8" x14ac:dyDescent="0.3">
      <c r="A54" s="11" t="s">
        <v>8008</v>
      </c>
      <c r="B54" s="11" t="s">
        <v>3262</v>
      </c>
      <c r="C54" s="12">
        <v>44071</v>
      </c>
      <c r="D54" s="11" t="s">
        <v>7969</v>
      </c>
      <c r="E54" s="11">
        <v>2</v>
      </c>
      <c r="F54" s="11" t="s">
        <v>46</v>
      </c>
      <c r="G54" s="11" t="s">
        <v>45</v>
      </c>
      <c r="H54" s="31" t="str" cm="1">
        <f t="array" ref="H54">_xlfn.IFS(
  ISBLANK(A54),"Missing Value",
  OR(E54&lt;1,E54&gt;5),"Review – Out of Range (Satisfaction)",
  ISNA(MATCH(B54,Customer_Master!$A$2:$A$1649,0)),"Retained – Unmatched ID (Anonymous Feedback Rule)",
  TRUE,"OK"
)</f>
        <v>OK</v>
      </c>
      <c r="I54" s="17" t="b">
        <f>IF(COUNTIF(Customer_Master!$A:$A,B54)=0,TRUE,FALSE)</f>
        <v>0</v>
      </c>
    </row>
    <row r="55" spans="1:9" ht="33.6" x14ac:dyDescent="0.3">
      <c r="A55" s="14" t="s">
        <v>8009</v>
      </c>
      <c r="B55" s="14" t="s">
        <v>7958</v>
      </c>
      <c r="C55" s="15">
        <v>45084</v>
      </c>
      <c r="D55" s="14" t="s">
        <v>7943</v>
      </c>
      <c r="E55" s="14">
        <v>2</v>
      </c>
      <c r="F55" s="14" t="s">
        <v>46</v>
      </c>
      <c r="G55" s="14" t="s">
        <v>46</v>
      </c>
      <c r="H55" s="31" t="str" cm="1">
        <f t="array" ref="H55">_xlfn.IFS(
  ISBLANK(A55),"Missing Value",
  OR(E55&lt;1,E55&gt;5),"Review – Out of Range (Satisfaction)",
  ISNA(MATCH(B55,Customer_Master!$A$2:$A$1649,0)),"Retained – Unmatched ID (Anonymous Feedback Rule)",
  TRUE,"OK"
)</f>
        <v>Retained – Unmatched ID (Anonymous Feedback Rule)</v>
      </c>
      <c r="I55" s="18" t="b">
        <f>IF(COUNTIF(Customer_Master!$A:$A,B55)=0,TRUE,FALSE)</f>
        <v>1</v>
      </c>
    </row>
    <row r="56" spans="1:9" ht="16.8" x14ac:dyDescent="0.3">
      <c r="A56" s="11" t="s">
        <v>8010</v>
      </c>
      <c r="B56" s="11" t="s">
        <v>943</v>
      </c>
      <c r="C56" s="12">
        <v>44988</v>
      </c>
      <c r="D56" s="11" t="s">
        <v>7947</v>
      </c>
      <c r="E56" s="11">
        <v>5</v>
      </c>
      <c r="F56" s="11" t="s">
        <v>45</v>
      </c>
      <c r="G56" s="11" t="s">
        <v>46</v>
      </c>
      <c r="H56" s="31" t="str" cm="1">
        <f t="array" ref="H56">_xlfn.IFS(
  ISBLANK(A56),"Missing Value",
  OR(E56&lt;1,E56&gt;5),"Review – Out of Range (Satisfaction)",
  ISNA(MATCH(B56,Customer_Master!$A$2:$A$1649,0)),"Retained – Unmatched ID (Anonymous Feedback Rule)",
  TRUE,"OK"
)</f>
        <v>OK</v>
      </c>
      <c r="I56" s="17" t="b">
        <f>IF(COUNTIF(Customer_Master!$A:$A,B56)=0,TRUE,FALSE)</f>
        <v>0</v>
      </c>
    </row>
    <row r="57" spans="1:9" ht="16.8" x14ac:dyDescent="0.3">
      <c r="A57" s="14" t="s">
        <v>8011</v>
      </c>
      <c r="B57" s="14" t="s">
        <v>3102</v>
      </c>
      <c r="C57" s="15">
        <v>45133</v>
      </c>
      <c r="D57" s="14" t="s">
        <v>7969</v>
      </c>
      <c r="E57" s="14">
        <v>1</v>
      </c>
      <c r="F57" s="14" t="s">
        <v>45</v>
      </c>
      <c r="G57" s="14" t="s">
        <v>45</v>
      </c>
      <c r="H57" s="31" t="str" cm="1">
        <f t="array" ref="H57">_xlfn.IFS(
  ISBLANK(A57),"Missing Value",
  OR(E57&lt;1,E57&gt;5),"Review – Out of Range (Satisfaction)",
  ISNA(MATCH(B57,Customer_Master!$A$2:$A$1649,0)),"Retained – Unmatched ID (Anonymous Feedback Rule)",
  TRUE,"OK"
)</f>
        <v>OK</v>
      </c>
      <c r="I57" s="18" t="b">
        <f>IF(COUNTIF(Customer_Master!$A:$A,B57)=0,TRUE,FALSE)</f>
        <v>0</v>
      </c>
    </row>
    <row r="58" spans="1:9" ht="16.8" x14ac:dyDescent="0.3">
      <c r="A58" s="11" t="s">
        <v>8012</v>
      </c>
      <c r="B58" s="11" t="s">
        <v>2631</v>
      </c>
      <c r="C58" s="12">
        <v>44597</v>
      </c>
      <c r="D58" s="11" t="s">
        <v>7931</v>
      </c>
      <c r="E58" s="11">
        <v>5</v>
      </c>
      <c r="F58" s="11" t="s">
        <v>45</v>
      </c>
      <c r="G58" s="11" t="s">
        <v>46</v>
      </c>
      <c r="H58" s="31" t="str" cm="1">
        <f t="array" ref="H58">_xlfn.IFS(
  ISBLANK(A58),"Missing Value",
  OR(E58&lt;1,E58&gt;5),"Review – Out of Range (Satisfaction)",
  ISNA(MATCH(B58,Customer_Master!$A$2:$A$1649,0)),"Retained – Unmatched ID (Anonymous Feedback Rule)",
  TRUE,"OK"
)</f>
        <v>OK</v>
      </c>
      <c r="I58" s="17" t="b">
        <f>IF(COUNTIF(Customer_Master!$A:$A,B58)=0,TRUE,FALSE)</f>
        <v>0</v>
      </c>
    </row>
    <row r="59" spans="1:9" ht="33.6" x14ac:dyDescent="0.3">
      <c r="A59" s="14" t="s">
        <v>8013</v>
      </c>
      <c r="B59" s="14" t="s">
        <v>8014</v>
      </c>
      <c r="C59" s="15">
        <v>44085</v>
      </c>
      <c r="D59" s="14" t="s">
        <v>7940</v>
      </c>
      <c r="E59" s="14">
        <v>5</v>
      </c>
      <c r="F59" s="14" t="s">
        <v>46</v>
      </c>
      <c r="G59" s="14" t="s">
        <v>45</v>
      </c>
      <c r="H59" s="31" t="str" cm="1">
        <f t="array" ref="H59">_xlfn.IFS(
  ISBLANK(A59),"Missing Value",
  OR(E59&lt;1,E59&gt;5),"Review – Out of Range (Satisfaction)",
  ISNA(MATCH(B59,Customer_Master!$A$2:$A$1649,0)),"Retained – Unmatched ID (Anonymous Feedback Rule)",
  TRUE,"OK"
)</f>
        <v>Retained – Unmatched ID (Anonymous Feedback Rule)</v>
      </c>
      <c r="I59" s="18" t="b">
        <f>IF(COUNTIF(Customer_Master!$A:$A,B59)=0,TRUE,FALSE)</f>
        <v>1</v>
      </c>
    </row>
    <row r="60" spans="1:9" ht="33.6" x14ac:dyDescent="0.3">
      <c r="A60" s="11" t="s">
        <v>8015</v>
      </c>
      <c r="B60" s="11" t="s">
        <v>8016</v>
      </c>
      <c r="C60" s="12">
        <v>44770</v>
      </c>
      <c r="D60" s="11" t="s">
        <v>7937</v>
      </c>
      <c r="E60" s="11">
        <v>5</v>
      </c>
      <c r="F60" s="11" t="s">
        <v>46</v>
      </c>
      <c r="G60" s="11" t="s">
        <v>46</v>
      </c>
      <c r="H60" s="31" t="str" cm="1">
        <f t="array" ref="H60">_xlfn.IFS(
  ISBLANK(A60),"Missing Value",
  OR(E60&lt;1,E60&gt;5),"Review – Out of Range (Satisfaction)",
  ISNA(MATCH(B60,Customer_Master!$A$2:$A$1649,0)),"Retained – Unmatched ID (Anonymous Feedback Rule)",
  TRUE,"OK"
)</f>
        <v>Retained – Unmatched ID (Anonymous Feedback Rule)</v>
      </c>
      <c r="I60" s="17" t="b">
        <f>IF(COUNTIF(Customer_Master!$A:$A,B60)=0,TRUE,FALSE)</f>
        <v>1</v>
      </c>
    </row>
    <row r="61" spans="1:9" ht="16.8" x14ac:dyDescent="0.3">
      <c r="A61" s="14" t="s">
        <v>8017</v>
      </c>
      <c r="B61" s="14" t="s">
        <v>767</v>
      </c>
      <c r="C61" s="15">
        <v>44083</v>
      </c>
      <c r="D61" s="14" t="s">
        <v>7928</v>
      </c>
      <c r="E61" s="14">
        <v>2</v>
      </c>
      <c r="F61" s="14" t="s">
        <v>46</v>
      </c>
      <c r="G61" s="14" t="s">
        <v>45</v>
      </c>
      <c r="H61" s="31" t="str" cm="1">
        <f t="array" ref="H61">_xlfn.IFS(
  ISBLANK(A61),"Missing Value",
  OR(E61&lt;1,E61&gt;5),"Review – Out of Range (Satisfaction)",
  ISNA(MATCH(B61,Customer_Master!$A$2:$A$1649,0)),"Retained – Unmatched ID (Anonymous Feedback Rule)",
  TRUE,"OK"
)</f>
        <v>OK</v>
      </c>
      <c r="I61" s="18" t="b">
        <f>IF(COUNTIF(Customer_Master!$A:$A,B61)=0,TRUE,FALSE)</f>
        <v>0</v>
      </c>
    </row>
    <row r="62" spans="1:9" ht="16.8" x14ac:dyDescent="0.3">
      <c r="A62" s="11" t="s">
        <v>8018</v>
      </c>
      <c r="B62" s="11" t="s">
        <v>2671</v>
      </c>
      <c r="C62" s="12">
        <v>44874</v>
      </c>
      <c r="D62" s="11" t="s">
        <v>7937</v>
      </c>
      <c r="E62" s="11">
        <v>5</v>
      </c>
      <c r="F62" s="11" t="s">
        <v>46</v>
      </c>
      <c r="G62" s="11" t="s">
        <v>46</v>
      </c>
      <c r="H62" s="31" t="str" cm="1">
        <f t="array" ref="H62">_xlfn.IFS(
  ISBLANK(A62),"Missing Value",
  OR(E62&lt;1,E62&gt;5),"Review – Out of Range (Satisfaction)",
  ISNA(MATCH(B62,Customer_Master!$A$2:$A$1649,0)),"Retained – Unmatched ID (Anonymous Feedback Rule)",
  TRUE,"OK"
)</f>
        <v>OK</v>
      </c>
      <c r="I62" s="17" t="b">
        <f>IF(COUNTIF(Customer_Master!$A:$A,B62)=0,TRUE,FALSE)</f>
        <v>0</v>
      </c>
    </row>
    <row r="63" spans="1:9" ht="16.8" x14ac:dyDescent="0.3">
      <c r="A63" s="14" t="s">
        <v>8019</v>
      </c>
      <c r="B63" s="14" t="s">
        <v>2887</v>
      </c>
      <c r="C63" s="15">
        <v>44279</v>
      </c>
      <c r="D63" s="14" t="s">
        <v>7969</v>
      </c>
      <c r="E63" s="14">
        <v>1</v>
      </c>
      <c r="F63" s="14" t="s">
        <v>45</v>
      </c>
      <c r="G63" s="14" t="s">
        <v>46</v>
      </c>
      <c r="H63" s="31" t="str" cm="1">
        <f t="array" ref="H63">_xlfn.IFS(
  ISBLANK(A63),"Missing Value",
  OR(E63&lt;1,E63&gt;5),"Review – Out of Range (Satisfaction)",
  ISNA(MATCH(B63,Customer_Master!$A$2:$A$1649,0)),"Retained – Unmatched ID (Anonymous Feedback Rule)",
  TRUE,"OK"
)</f>
        <v>OK</v>
      </c>
      <c r="I63" s="18" t="b">
        <f>IF(COUNTIF(Customer_Master!$A:$A,B63)=0,TRUE,FALSE)</f>
        <v>0</v>
      </c>
    </row>
    <row r="64" spans="1:9" ht="16.8" x14ac:dyDescent="0.3">
      <c r="A64" s="11" t="s">
        <v>8020</v>
      </c>
      <c r="B64" s="11" t="s">
        <v>2115</v>
      </c>
      <c r="C64" s="12">
        <v>45120</v>
      </c>
      <c r="D64" s="11" t="s">
        <v>7928</v>
      </c>
      <c r="E64" s="11">
        <v>3</v>
      </c>
      <c r="F64" s="11" t="s">
        <v>45</v>
      </c>
      <c r="G64" s="11" t="s">
        <v>45</v>
      </c>
      <c r="H64" s="31" t="str" cm="1">
        <f t="array" ref="H64">_xlfn.IFS(
  ISBLANK(A64),"Missing Value",
  OR(E64&lt;1,E64&gt;5),"Review – Out of Range (Satisfaction)",
  ISNA(MATCH(B64,Customer_Master!$A$2:$A$1649,0)),"Retained – Unmatched ID (Anonymous Feedback Rule)",
  TRUE,"OK"
)</f>
        <v>OK</v>
      </c>
      <c r="I64" s="17" t="b">
        <f>IF(COUNTIF(Customer_Master!$A:$A,B64)=0,TRUE,FALSE)</f>
        <v>0</v>
      </c>
    </row>
    <row r="65" spans="1:9" ht="16.8" x14ac:dyDescent="0.3">
      <c r="A65" s="14" t="s">
        <v>8021</v>
      </c>
      <c r="B65" s="14" t="s">
        <v>2337</v>
      </c>
      <c r="C65" s="15">
        <v>45129</v>
      </c>
      <c r="D65" s="14" t="s">
        <v>7935</v>
      </c>
      <c r="E65" s="14">
        <v>5</v>
      </c>
      <c r="F65" s="14" t="s">
        <v>46</v>
      </c>
      <c r="G65" s="14" t="s">
        <v>45</v>
      </c>
      <c r="H65" s="31" t="str" cm="1">
        <f t="array" ref="H65">_xlfn.IFS(
  ISBLANK(A65),"Missing Value",
  OR(E65&lt;1,E65&gt;5),"Review – Out of Range (Satisfaction)",
  ISNA(MATCH(B65,Customer_Master!$A$2:$A$1649,0)),"Retained – Unmatched ID (Anonymous Feedback Rule)",
  TRUE,"OK"
)</f>
        <v>OK</v>
      </c>
      <c r="I65" s="18" t="b">
        <f>IF(COUNTIF(Customer_Master!$A:$A,B65)=0,TRUE,FALSE)</f>
        <v>0</v>
      </c>
    </row>
    <row r="66" spans="1:9" ht="16.8" x14ac:dyDescent="0.3">
      <c r="A66" s="11" t="s">
        <v>8022</v>
      </c>
      <c r="B66" s="11" t="s">
        <v>1791</v>
      </c>
      <c r="C66" s="12">
        <v>44372</v>
      </c>
      <c r="D66" s="11" t="s">
        <v>7943</v>
      </c>
      <c r="E66" s="11">
        <v>1</v>
      </c>
      <c r="F66" s="11" t="s">
        <v>46</v>
      </c>
      <c r="G66" s="11" t="s">
        <v>45</v>
      </c>
      <c r="H66" s="31" t="str" cm="1">
        <f t="array" ref="H66">_xlfn.IFS(
  ISBLANK(A66),"Missing Value",
  OR(E66&lt;1,E66&gt;5),"Review – Out of Range (Satisfaction)",
  ISNA(MATCH(B66,Customer_Master!$A$2:$A$1649,0)),"Retained – Unmatched ID (Anonymous Feedback Rule)",
  TRUE,"OK"
)</f>
        <v>OK</v>
      </c>
      <c r="I66" s="17" t="b">
        <f>IF(COUNTIF(Customer_Master!$A:$A,B66)=0,TRUE,FALSE)</f>
        <v>0</v>
      </c>
    </row>
    <row r="67" spans="1:9" ht="33.6" x14ac:dyDescent="0.3">
      <c r="A67" s="14" t="s">
        <v>8023</v>
      </c>
      <c r="B67" s="14" t="s">
        <v>8024</v>
      </c>
      <c r="C67" s="15">
        <v>44990</v>
      </c>
      <c r="D67" s="14" t="s">
        <v>7943</v>
      </c>
      <c r="E67" s="14">
        <v>3</v>
      </c>
      <c r="F67" s="14" t="s">
        <v>45</v>
      </c>
      <c r="G67" s="14" t="s">
        <v>46</v>
      </c>
      <c r="H67" s="31" t="str" cm="1">
        <f t="array" ref="H67">_xlfn.IFS(
  ISBLANK(A67),"Missing Value",
  OR(E67&lt;1,E67&gt;5),"Review – Out of Range (Satisfaction)",
  ISNA(MATCH(B67,Customer_Master!$A$2:$A$1649,0)),"Retained – Unmatched ID (Anonymous Feedback Rule)",
  TRUE,"OK"
)</f>
        <v>Retained – Unmatched ID (Anonymous Feedback Rule)</v>
      </c>
      <c r="I67" s="18" t="b">
        <f>IF(COUNTIF(Customer_Master!$A:$A,B67)=0,TRUE,FALSE)</f>
        <v>1</v>
      </c>
    </row>
    <row r="68" spans="1:9" ht="16.8" x14ac:dyDescent="0.3">
      <c r="A68" s="11" t="s">
        <v>8025</v>
      </c>
      <c r="B68" s="11" t="s">
        <v>2769</v>
      </c>
      <c r="C68" s="12">
        <v>45050</v>
      </c>
      <c r="D68" s="11" t="s">
        <v>7928</v>
      </c>
      <c r="E68" s="11">
        <v>2</v>
      </c>
      <c r="F68" s="11" t="s">
        <v>46</v>
      </c>
      <c r="G68" s="11" t="s">
        <v>45</v>
      </c>
      <c r="H68" s="31" t="str" cm="1">
        <f t="array" ref="H68">_xlfn.IFS(
  ISBLANK(A68),"Missing Value",
  OR(E68&lt;1,E68&gt;5),"Review – Out of Range (Satisfaction)",
  ISNA(MATCH(B68,Customer_Master!$A$2:$A$1649,0)),"Retained – Unmatched ID (Anonymous Feedback Rule)",
  TRUE,"OK"
)</f>
        <v>OK</v>
      </c>
      <c r="I68" s="17" t="b">
        <f>IF(COUNTIF(Customer_Master!$A:$A,B68)=0,TRUE,FALSE)</f>
        <v>0</v>
      </c>
    </row>
    <row r="69" spans="1:9" ht="16.8" x14ac:dyDescent="0.3">
      <c r="A69" s="14" t="s">
        <v>8026</v>
      </c>
      <c r="B69" s="14" t="s">
        <v>2075</v>
      </c>
      <c r="C69" s="15">
        <v>44178</v>
      </c>
      <c r="D69" s="14" t="s">
        <v>7943</v>
      </c>
      <c r="E69" s="14">
        <v>1</v>
      </c>
      <c r="F69" s="14" t="s">
        <v>46</v>
      </c>
      <c r="G69" s="14" t="s">
        <v>45</v>
      </c>
      <c r="H69" s="31" t="str" cm="1">
        <f t="array" ref="H69">_xlfn.IFS(
  ISBLANK(A69),"Missing Value",
  OR(E69&lt;1,E69&gt;5),"Review – Out of Range (Satisfaction)",
  ISNA(MATCH(B69,Customer_Master!$A$2:$A$1649,0)),"Retained – Unmatched ID (Anonymous Feedback Rule)",
  TRUE,"OK"
)</f>
        <v>OK</v>
      </c>
      <c r="I69" s="18" t="b">
        <f>IF(COUNTIF(Customer_Master!$A:$A,B69)=0,TRUE,FALSE)</f>
        <v>0</v>
      </c>
    </row>
    <row r="70" spans="1:9" ht="16.8" x14ac:dyDescent="0.3">
      <c r="A70" s="11" t="s">
        <v>8027</v>
      </c>
      <c r="B70" s="11" t="s">
        <v>216</v>
      </c>
      <c r="C70" s="12">
        <v>44203</v>
      </c>
      <c r="D70" s="11" t="s">
        <v>7978</v>
      </c>
      <c r="E70" s="11">
        <v>1</v>
      </c>
      <c r="F70" s="11" t="s">
        <v>45</v>
      </c>
      <c r="G70" s="11" t="s">
        <v>45</v>
      </c>
      <c r="H70" s="31" t="str" cm="1">
        <f t="array" ref="H70">_xlfn.IFS(
  ISBLANK(A70),"Missing Value",
  OR(E70&lt;1,E70&gt;5),"Review – Out of Range (Satisfaction)",
  ISNA(MATCH(B70,Customer_Master!$A$2:$A$1649,0)),"Retained – Unmatched ID (Anonymous Feedback Rule)",
  TRUE,"OK"
)</f>
        <v>OK</v>
      </c>
      <c r="I70" s="17" t="b">
        <f>IF(COUNTIF(Customer_Master!$A:$A,B70)=0,TRUE,FALSE)</f>
        <v>0</v>
      </c>
    </row>
    <row r="71" spans="1:9" ht="16.8" x14ac:dyDescent="0.3">
      <c r="A71" s="14" t="s">
        <v>8028</v>
      </c>
      <c r="B71" s="14" t="s">
        <v>2709</v>
      </c>
      <c r="C71" s="15">
        <v>44485</v>
      </c>
      <c r="D71" s="14" t="s">
        <v>7943</v>
      </c>
      <c r="E71" s="14">
        <v>3</v>
      </c>
      <c r="F71" s="14" t="s">
        <v>45</v>
      </c>
      <c r="G71" s="14" t="s">
        <v>45</v>
      </c>
      <c r="H71" s="31" t="str" cm="1">
        <f t="array" ref="H71">_xlfn.IFS(
  ISBLANK(A71),"Missing Value",
  OR(E71&lt;1,E71&gt;5),"Review – Out of Range (Satisfaction)",
  ISNA(MATCH(B71,Customer_Master!$A$2:$A$1649,0)),"Retained – Unmatched ID (Anonymous Feedback Rule)",
  TRUE,"OK"
)</f>
        <v>OK</v>
      </c>
      <c r="I71" s="18" t="b">
        <f>IF(COUNTIF(Customer_Master!$A:$A,B71)=0,TRUE,FALSE)</f>
        <v>0</v>
      </c>
    </row>
    <row r="72" spans="1:9" ht="16.8" x14ac:dyDescent="0.3">
      <c r="A72" s="11" t="s">
        <v>8029</v>
      </c>
      <c r="B72" s="11" t="s">
        <v>206</v>
      </c>
      <c r="C72" s="12">
        <v>43908</v>
      </c>
      <c r="D72" s="11" t="s">
        <v>7969</v>
      </c>
      <c r="E72" s="11">
        <v>1</v>
      </c>
      <c r="F72" s="11" t="s">
        <v>45</v>
      </c>
      <c r="G72" s="11" t="s">
        <v>45</v>
      </c>
      <c r="H72" s="31" t="str" cm="1">
        <f t="array" ref="H72">_xlfn.IFS(
  ISBLANK(A72),"Missing Value",
  OR(E72&lt;1,E72&gt;5),"Review – Out of Range (Satisfaction)",
  ISNA(MATCH(B72,Customer_Master!$A$2:$A$1649,0)),"Retained – Unmatched ID (Anonymous Feedback Rule)",
  TRUE,"OK"
)</f>
        <v>OK</v>
      </c>
      <c r="I72" s="17" t="b">
        <f>IF(COUNTIF(Customer_Master!$A:$A,B72)=0,TRUE,FALSE)</f>
        <v>0</v>
      </c>
    </row>
    <row r="73" spans="1:9" ht="16.8" x14ac:dyDescent="0.3">
      <c r="A73" s="14" t="s">
        <v>8030</v>
      </c>
      <c r="B73" s="14" t="s">
        <v>438</v>
      </c>
      <c r="C73" s="15">
        <v>44757</v>
      </c>
      <c r="D73" s="14" t="s">
        <v>7947</v>
      </c>
      <c r="E73" s="14">
        <v>5</v>
      </c>
      <c r="F73" s="14" t="s">
        <v>46</v>
      </c>
      <c r="G73" s="14" t="s">
        <v>46</v>
      </c>
      <c r="H73" s="31" t="str" cm="1">
        <f t="array" ref="H73">_xlfn.IFS(
  ISBLANK(A73),"Missing Value",
  OR(E73&lt;1,E73&gt;5),"Review – Out of Range (Satisfaction)",
  ISNA(MATCH(B73,Customer_Master!$A$2:$A$1649,0)),"Retained – Unmatched ID (Anonymous Feedback Rule)",
  TRUE,"OK"
)</f>
        <v>OK</v>
      </c>
      <c r="I73" s="18" t="b">
        <f>IF(COUNTIF(Customer_Master!$A:$A,B73)=0,TRUE,FALSE)</f>
        <v>0</v>
      </c>
    </row>
    <row r="74" spans="1:9" ht="16.8" x14ac:dyDescent="0.3">
      <c r="A74" s="11" t="s">
        <v>8031</v>
      </c>
      <c r="B74" s="11" t="s">
        <v>314</v>
      </c>
      <c r="C74" s="12">
        <v>44748</v>
      </c>
      <c r="D74" s="11" t="s">
        <v>7969</v>
      </c>
      <c r="E74" s="11">
        <v>2</v>
      </c>
      <c r="F74" s="11" t="s">
        <v>46</v>
      </c>
      <c r="G74" s="11" t="s">
        <v>46</v>
      </c>
      <c r="H74" s="31" t="str" cm="1">
        <f t="array" ref="H74">_xlfn.IFS(
  ISBLANK(A74),"Missing Value",
  OR(E74&lt;1,E74&gt;5),"Review – Out of Range (Satisfaction)",
  ISNA(MATCH(B74,Customer_Master!$A$2:$A$1649,0)),"Retained – Unmatched ID (Anonymous Feedback Rule)",
  TRUE,"OK"
)</f>
        <v>OK</v>
      </c>
      <c r="I74" s="17" t="b">
        <f>IF(COUNTIF(Customer_Master!$A:$A,B74)=0,TRUE,FALSE)</f>
        <v>0</v>
      </c>
    </row>
    <row r="75" spans="1:9" ht="16.8" x14ac:dyDescent="0.3">
      <c r="A75" s="14" t="s">
        <v>8032</v>
      </c>
      <c r="B75" s="14" t="s">
        <v>1425</v>
      </c>
      <c r="C75" s="15">
        <v>45237</v>
      </c>
      <c r="D75" s="14" t="s">
        <v>7943</v>
      </c>
      <c r="E75" s="14">
        <v>3</v>
      </c>
      <c r="F75" s="14" t="s">
        <v>46</v>
      </c>
      <c r="G75" s="14" t="s">
        <v>45</v>
      </c>
      <c r="H75" s="31" t="str" cm="1">
        <f t="array" ref="H75">_xlfn.IFS(
  ISBLANK(A75),"Missing Value",
  OR(E75&lt;1,E75&gt;5),"Review – Out of Range (Satisfaction)",
  ISNA(MATCH(B75,Customer_Master!$A$2:$A$1649,0)),"Retained – Unmatched ID (Anonymous Feedback Rule)",
  TRUE,"OK"
)</f>
        <v>OK</v>
      </c>
      <c r="I75" s="18" t="b">
        <f>IF(COUNTIF(Customer_Master!$A:$A,B75)=0,TRUE,FALSE)</f>
        <v>0</v>
      </c>
    </row>
    <row r="76" spans="1:9" ht="33.6" x14ac:dyDescent="0.3">
      <c r="A76" s="11" t="s">
        <v>8033</v>
      </c>
      <c r="B76" s="11" t="s">
        <v>8034</v>
      </c>
      <c r="C76" s="12">
        <v>44272</v>
      </c>
      <c r="D76" s="11" t="s">
        <v>7937</v>
      </c>
      <c r="E76" s="11">
        <v>5</v>
      </c>
      <c r="F76" s="11" t="s">
        <v>46</v>
      </c>
      <c r="G76" s="11" t="s">
        <v>46</v>
      </c>
      <c r="H76" s="31" t="str" cm="1">
        <f t="array" ref="H76">_xlfn.IFS(
  ISBLANK(A76),"Missing Value",
  OR(E76&lt;1,E76&gt;5),"Review – Out of Range (Satisfaction)",
  ISNA(MATCH(B76,Customer_Master!$A$2:$A$1649,0)),"Retained – Unmatched ID (Anonymous Feedback Rule)",
  TRUE,"OK"
)</f>
        <v>Retained – Unmatched ID (Anonymous Feedback Rule)</v>
      </c>
      <c r="I76" s="17" t="b">
        <f>IF(COUNTIF(Customer_Master!$A:$A,B76)=0,TRUE,FALSE)</f>
        <v>1</v>
      </c>
    </row>
    <row r="77" spans="1:9" ht="16.8" x14ac:dyDescent="0.3">
      <c r="A77" s="14" t="s">
        <v>8035</v>
      </c>
      <c r="B77" s="14" t="s">
        <v>3160</v>
      </c>
      <c r="C77" s="15">
        <v>45113</v>
      </c>
      <c r="D77" s="14" t="s">
        <v>7937</v>
      </c>
      <c r="E77" s="14">
        <v>4</v>
      </c>
      <c r="F77" s="14" t="s">
        <v>46</v>
      </c>
      <c r="G77" s="14" t="s">
        <v>45</v>
      </c>
      <c r="H77" s="31" t="str" cm="1">
        <f t="array" ref="H77">_xlfn.IFS(
  ISBLANK(A77),"Missing Value",
  OR(E77&lt;1,E77&gt;5),"Review – Out of Range (Satisfaction)",
  ISNA(MATCH(B77,Customer_Master!$A$2:$A$1649,0)),"Retained – Unmatched ID (Anonymous Feedback Rule)",
  TRUE,"OK"
)</f>
        <v>OK</v>
      </c>
      <c r="I77" s="18" t="b">
        <f>IF(COUNTIF(Customer_Master!$A:$A,B77)=0,TRUE,FALSE)</f>
        <v>0</v>
      </c>
    </row>
    <row r="78" spans="1:9" ht="33.6" x14ac:dyDescent="0.3">
      <c r="A78" s="11" t="s">
        <v>8036</v>
      </c>
      <c r="B78" s="11" t="s">
        <v>8037</v>
      </c>
      <c r="C78" s="12">
        <v>44560</v>
      </c>
      <c r="D78" s="11" t="s">
        <v>7935</v>
      </c>
      <c r="E78" s="11">
        <v>5</v>
      </c>
      <c r="F78" s="11" t="s">
        <v>45</v>
      </c>
      <c r="G78" s="11" t="s">
        <v>45</v>
      </c>
      <c r="H78" s="31" t="str" cm="1">
        <f t="array" ref="H78">_xlfn.IFS(
  ISBLANK(A78),"Missing Value",
  OR(E78&lt;1,E78&gt;5),"Review – Out of Range (Satisfaction)",
  ISNA(MATCH(B78,Customer_Master!$A$2:$A$1649,0)),"Retained – Unmatched ID (Anonymous Feedback Rule)",
  TRUE,"OK"
)</f>
        <v>Retained – Unmatched ID (Anonymous Feedback Rule)</v>
      </c>
      <c r="I78" s="17" t="b">
        <f>IF(COUNTIF(Customer_Master!$A:$A,B78)=0,TRUE,FALSE)</f>
        <v>1</v>
      </c>
    </row>
    <row r="79" spans="1:9" ht="33.6" x14ac:dyDescent="0.3">
      <c r="A79" s="14" t="s">
        <v>8038</v>
      </c>
      <c r="B79" s="14" t="s">
        <v>8039</v>
      </c>
      <c r="C79" s="15">
        <v>45050</v>
      </c>
      <c r="D79" s="14" t="s">
        <v>7928</v>
      </c>
      <c r="E79" s="14">
        <v>1</v>
      </c>
      <c r="F79" s="14" t="s">
        <v>45</v>
      </c>
      <c r="G79" s="14" t="s">
        <v>46</v>
      </c>
      <c r="H79" s="31" t="str" cm="1">
        <f t="array" ref="H79">_xlfn.IFS(
  ISBLANK(A79),"Missing Value",
  OR(E79&lt;1,E79&gt;5),"Review – Out of Range (Satisfaction)",
  ISNA(MATCH(B79,Customer_Master!$A$2:$A$1649,0)),"Retained – Unmatched ID (Anonymous Feedback Rule)",
  TRUE,"OK"
)</f>
        <v>Retained – Unmatched ID (Anonymous Feedback Rule)</v>
      </c>
      <c r="I79" s="18" t="b">
        <f>IF(COUNTIF(Customer_Master!$A:$A,B79)=0,TRUE,FALSE)</f>
        <v>1</v>
      </c>
    </row>
    <row r="80" spans="1:9" ht="16.8" x14ac:dyDescent="0.3">
      <c r="A80" s="11" t="s">
        <v>8040</v>
      </c>
      <c r="B80" s="11" t="s">
        <v>575</v>
      </c>
      <c r="C80" s="12">
        <v>44089</v>
      </c>
      <c r="D80" s="11" t="s">
        <v>7940</v>
      </c>
      <c r="E80" s="11">
        <v>5</v>
      </c>
      <c r="F80" s="11" t="s">
        <v>46</v>
      </c>
      <c r="G80" s="11" t="s">
        <v>45</v>
      </c>
      <c r="H80" s="31" t="str" cm="1">
        <f t="array" ref="H80">_xlfn.IFS(
  ISBLANK(A80),"Missing Value",
  OR(E80&lt;1,E80&gt;5),"Review – Out of Range (Satisfaction)",
  ISNA(MATCH(B80,Customer_Master!$A$2:$A$1649,0)),"Retained – Unmatched ID (Anonymous Feedback Rule)",
  TRUE,"OK"
)</f>
        <v>OK</v>
      </c>
      <c r="I80" s="17" t="b">
        <f>IF(COUNTIF(Customer_Master!$A:$A,B80)=0,TRUE,FALSE)</f>
        <v>0</v>
      </c>
    </row>
    <row r="81" spans="1:9" ht="16.8" x14ac:dyDescent="0.3">
      <c r="A81" s="14" t="s">
        <v>8041</v>
      </c>
      <c r="B81" s="14" t="s">
        <v>1255</v>
      </c>
      <c r="C81" s="15">
        <v>44383</v>
      </c>
      <c r="D81" s="14" t="s">
        <v>7940</v>
      </c>
      <c r="E81" s="14">
        <v>5</v>
      </c>
      <c r="F81" s="14" t="s">
        <v>45</v>
      </c>
      <c r="G81" s="14" t="s">
        <v>46</v>
      </c>
      <c r="H81" s="31" t="str" cm="1">
        <f t="array" ref="H81">_xlfn.IFS(
  ISBLANK(A81),"Missing Value",
  OR(E81&lt;1,E81&gt;5),"Review – Out of Range (Satisfaction)",
  ISNA(MATCH(B81,Customer_Master!$A$2:$A$1649,0)),"Retained – Unmatched ID (Anonymous Feedback Rule)",
  TRUE,"OK"
)</f>
        <v>OK</v>
      </c>
      <c r="I81" s="18" t="b">
        <f>IF(COUNTIF(Customer_Master!$A:$A,B81)=0,TRUE,FALSE)</f>
        <v>0</v>
      </c>
    </row>
    <row r="82" spans="1:9" ht="16.8" x14ac:dyDescent="0.3">
      <c r="A82" s="11" t="s">
        <v>8042</v>
      </c>
      <c r="B82" s="11" t="s">
        <v>2747</v>
      </c>
      <c r="C82" s="12">
        <v>44837</v>
      </c>
      <c r="D82" s="11" t="s">
        <v>7978</v>
      </c>
      <c r="E82" s="11">
        <v>2</v>
      </c>
      <c r="F82" s="11" t="s">
        <v>46</v>
      </c>
      <c r="G82" s="11" t="s">
        <v>46</v>
      </c>
      <c r="H82" s="31" t="str" cm="1">
        <f t="array" ref="H82">_xlfn.IFS(
  ISBLANK(A82),"Missing Value",
  OR(E82&lt;1,E82&gt;5),"Review – Out of Range (Satisfaction)",
  ISNA(MATCH(B82,Customer_Master!$A$2:$A$1649,0)),"Retained – Unmatched ID (Anonymous Feedback Rule)",
  TRUE,"OK"
)</f>
        <v>OK</v>
      </c>
      <c r="I82" s="17" t="b">
        <f>IF(COUNTIF(Customer_Master!$A:$A,B82)=0,TRUE,FALSE)</f>
        <v>0</v>
      </c>
    </row>
    <row r="83" spans="1:9" ht="16.8" x14ac:dyDescent="0.3">
      <c r="A83" s="14" t="s">
        <v>8043</v>
      </c>
      <c r="B83" s="14" t="s">
        <v>2869</v>
      </c>
      <c r="C83" s="15">
        <v>44678</v>
      </c>
      <c r="D83" s="14" t="s">
        <v>7937</v>
      </c>
      <c r="E83" s="14">
        <v>4</v>
      </c>
      <c r="F83" s="14" t="s">
        <v>45</v>
      </c>
      <c r="G83" s="14" t="s">
        <v>46</v>
      </c>
      <c r="H83" s="31" t="str" cm="1">
        <f t="array" ref="H83">_xlfn.IFS(
  ISBLANK(A83),"Missing Value",
  OR(E83&lt;1,E83&gt;5),"Review – Out of Range (Satisfaction)",
  ISNA(MATCH(B83,Customer_Master!$A$2:$A$1649,0)),"Retained – Unmatched ID (Anonymous Feedback Rule)",
  TRUE,"OK"
)</f>
        <v>OK</v>
      </c>
      <c r="I83" s="18" t="b">
        <f>IF(COUNTIF(Customer_Master!$A:$A,B83)=0,TRUE,FALSE)</f>
        <v>0</v>
      </c>
    </row>
    <row r="84" spans="1:9" ht="16.8" x14ac:dyDescent="0.3">
      <c r="A84" s="11" t="s">
        <v>8044</v>
      </c>
      <c r="B84" s="11" t="s">
        <v>1869</v>
      </c>
      <c r="C84" s="12">
        <v>45198</v>
      </c>
      <c r="D84" s="11" t="s">
        <v>7947</v>
      </c>
      <c r="E84" s="11">
        <v>4</v>
      </c>
      <c r="F84" s="11" t="s">
        <v>46</v>
      </c>
      <c r="G84" s="11" t="s">
        <v>46</v>
      </c>
      <c r="H84" s="31" t="str" cm="1">
        <f t="array" ref="H84">_xlfn.IFS(
  ISBLANK(A84),"Missing Value",
  OR(E84&lt;1,E84&gt;5),"Review – Out of Range (Satisfaction)",
  ISNA(MATCH(B84,Customer_Master!$A$2:$A$1649,0)),"Retained – Unmatched ID (Anonymous Feedback Rule)",
  TRUE,"OK"
)</f>
        <v>OK</v>
      </c>
      <c r="I84" s="17" t="b">
        <f>IF(COUNTIF(Customer_Master!$A:$A,B84)=0,TRUE,FALSE)</f>
        <v>0</v>
      </c>
    </row>
    <row r="85" spans="1:9" ht="16.8" x14ac:dyDescent="0.3">
      <c r="A85" s="14" t="s">
        <v>8045</v>
      </c>
      <c r="B85" s="14" t="s">
        <v>2349</v>
      </c>
      <c r="C85" s="15">
        <v>44069</v>
      </c>
      <c r="D85" s="14" t="s">
        <v>7940</v>
      </c>
      <c r="E85" s="14">
        <v>5</v>
      </c>
      <c r="F85" s="14" t="s">
        <v>45</v>
      </c>
      <c r="G85" s="14" t="s">
        <v>45</v>
      </c>
      <c r="H85" s="31" t="str" cm="1">
        <f t="array" ref="H85">_xlfn.IFS(
  ISBLANK(A85),"Missing Value",
  OR(E85&lt;1,E85&gt;5),"Review – Out of Range (Satisfaction)",
  ISNA(MATCH(B85,Customer_Master!$A$2:$A$1649,0)),"Retained – Unmatched ID (Anonymous Feedback Rule)",
  TRUE,"OK"
)</f>
        <v>OK</v>
      </c>
      <c r="I85" s="18" t="b">
        <f>IF(COUNTIF(Customer_Master!$A:$A,B85)=0,TRUE,FALSE)</f>
        <v>0</v>
      </c>
    </row>
    <row r="86" spans="1:9" ht="33.6" x14ac:dyDescent="0.3">
      <c r="A86" s="11" t="s">
        <v>8046</v>
      </c>
      <c r="B86" s="11" t="s">
        <v>8047</v>
      </c>
      <c r="C86" s="12">
        <v>43871</v>
      </c>
      <c r="D86" s="11" t="s">
        <v>7947</v>
      </c>
      <c r="E86" s="11">
        <v>4</v>
      </c>
      <c r="F86" s="11" t="s">
        <v>45</v>
      </c>
      <c r="G86" s="11" t="s">
        <v>46</v>
      </c>
      <c r="H86" s="31" t="str" cm="1">
        <f t="array" ref="H86">_xlfn.IFS(
  ISBLANK(A86),"Missing Value",
  OR(E86&lt;1,E86&gt;5),"Review – Out of Range (Satisfaction)",
  ISNA(MATCH(B86,Customer_Master!$A$2:$A$1649,0)),"Retained – Unmatched ID (Anonymous Feedback Rule)",
  TRUE,"OK"
)</f>
        <v>Retained – Unmatched ID (Anonymous Feedback Rule)</v>
      </c>
      <c r="I86" s="17" t="b">
        <f>IF(COUNTIF(Customer_Master!$A:$A,B86)=0,TRUE,FALSE)</f>
        <v>1</v>
      </c>
    </row>
    <row r="87" spans="1:9" ht="16.8" x14ac:dyDescent="0.3">
      <c r="A87" s="14" t="s">
        <v>8048</v>
      </c>
      <c r="B87" s="14" t="s">
        <v>2783</v>
      </c>
      <c r="C87" s="15">
        <v>44510</v>
      </c>
      <c r="D87" s="14" t="s">
        <v>7935</v>
      </c>
      <c r="E87" s="14">
        <v>5</v>
      </c>
      <c r="F87" s="14" t="s">
        <v>45</v>
      </c>
      <c r="G87" s="14" t="s">
        <v>46</v>
      </c>
      <c r="H87" s="31" t="str" cm="1">
        <f t="array" ref="H87">_xlfn.IFS(
  ISBLANK(A87),"Missing Value",
  OR(E87&lt;1,E87&gt;5),"Review – Out of Range (Satisfaction)",
  ISNA(MATCH(B87,Customer_Master!$A$2:$A$1649,0)),"Retained – Unmatched ID (Anonymous Feedback Rule)",
  TRUE,"OK"
)</f>
        <v>OK</v>
      </c>
      <c r="I87" s="18" t="b">
        <f>IF(COUNTIF(Customer_Master!$A:$A,B87)=0,TRUE,FALSE)</f>
        <v>0</v>
      </c>
    </row>
    <row r="88" spans="1:9" ht="16.8" x14ac:dyDescent="0.3">
      <c r="A88" s="11" t="s">
        <v>8049</v>
      </c>
      <c r="B88" s="11" t="s">
        <v>362</v>
      </c>
      <c r="C88" s="12">
        <v>44630</v>
      </c>
      <c r="D88" s="11" t="s">
        <v>7969</v>
      </c>
      <c r="E88" s="11">
        <v>2</v>
      </c>
      <c r="F88" s="11" t="s">
        <v>46</v>
      </c>
      <c r="G88" s="11" t="s">
        <v>45</v>
      </c>
      <c r="H88" s="31" t="str" cm="1">
        <f t="array" ref="H88">_xlfn.IFS(
  ISBLANK(A88),"Missing Value",
  OR(E88&lt;1,E88&gt;5),"Review – Out of Range (Satisfaction)",
  ISNA(MATCH(B88,Customer_Master!$A$2:$A$1649,0)),"Retained – Unmatched ID (Anonymous Feedback Rule)",
  TRUE,"OK"
)</f>
        <v>OK</v>
      </c>
      <c r="I88" s="17" t="b">
        <f>IF(COUNTIF(Customer_Master!$A:$A,B88)=0,TRUE,FALSE)</f>
        <v>0</v>
      </c>
    </row>
    <row r="89" spans="1:9" ht="33.6" x14ac:dyDescent="0.3">
      <c r="A89" s="14" t="s">
        <v>8050</v>
      </c>
      <c r="B89" s="14" t="s">
        <v>8051</v>
      </c>
      <c r="C89" s="15">
        <v>44389</v>
      </c>
      <c r="D89" s="14" t="s">
        <v>7969</v>
      </c>
      <c r="E89" s="14">
        <v>2</v>
      </c>
      <c r="F89" s="14" t="s">
        <v>45</v>
      </c>
      <c r="G89" s="14" t="s">
        <v>46</v>
      </c>
      <c r="H89" s="31" t="str" cm="1">
        <f t="array" ref="H89">_xlfn.IFS(
  ISBLANK(A89),"Missing Value",
  OR(E89&lt;1,E89&gt;5),"Review – Out of Range (Satisfaction)",
  ISNA(MATCH(B89,Customer_Master!$A$2:$A$1649,0)),"Retained – Unmatched ID (Anonymous Feedback Rule)",
  TRUE,"OK"
)</f>
        <v>Retained – Unmatched ID (Anonymous Feedback Rule)</v>
      </c>
      <c r="I89" s="18" t="b">
        <f>IF(COUNTIF(Customer_Master!$A:$A,B89)=0,TRUE,FALSE)</f>
        <v>1</v>
      </c>
    </row>
    <row r="90" spans="1:9" ht="16.8" x14ac:dyDescent="0.3">
      <c r="A90" s="11" t="s">
        <v>8052</v>
      </c>
      <c r="B90" s="11" t="s">
        <v>1777</v>
      </c>
      <c r="C90" s="12">
        <v>44433</v>
      </c>
      <c r="D90" s="11" t="s">
        <v>7937</v>
      </c>
      <c r="E90" s="11">
        <v>4</v>
      </c>
      <c r="F90" s="11" t="s">
        <v>46</v>
      </c>
      <c r="G90" s="11" t="s">
        <v>46</v>
      </c>
      <c r="H90" s="31" t="str" cm="1">
        <f t="array" ref="H90">_xlfn.IFS(
  ISBLANK(A90),"Missing Value",
  OR(E90&lt;1,E90&gt;5),"Review – Out of Range (Satisfaction)",
  ISNA(MATCH(B90,Customer_Master!$A$2:$A$1649,0)),"Retained – Unmatched ID (Anonymous Feedback Rule)",
  TRUE,"OK"
)</f>
        <v>OK</v>
      </c>
      <c r="I90" s="17" t="b">
        <f>IF(COUNTIF(Customer_Master!$A:$A,B90)=0,TRUE,FALSE)</f>
        <v>0</v>
      </c>
    </row>
    <row r="91" spans="1:9" ht="16.8" x14ac:dyDescent="0.3">
      <c r="A91" s="14" t="s">
        <v>8053</v>
      </c>
      <c r="B91" s="14" t="s">
        <v>1941</v>
      </c>
      <c r="C91" s="15">
        <v>44971</v>
      </c>
      <c r="D91" s="14" t="s">
        <v>7943</v>
      </c>
      <c r="E91" s="14">
        <v>3</v>
      </c>
      <c r="F91" s="14" t="s">
        <v>46</v>
      </c>
      <c r="G91" s="14" t="s">
        <v>45</v>
      </c>
      <c r="H91" s="31" t="str" cm="1">
        <f t="array" ref="H91">_xlfn.IFS(
  ISBLANK(A91),"Missing Value",
  OR(E91&lt;1,E91&gt;5),"Review – Out of Range (Satisfaction)",
  ISNA(MATCH(B91,Customer_Master!$A$2:$A$1649,0)),"Retained – Unmatched ID (Anonymous Feedback Rule)",
  TRUE,"OK"
)</f>
        <v>OK</v>
      </c>
      <c r="I91" s="18" t="b">
        <f>IF(COUNTIF(Customer_Master!$A:$A,B91)=0,TRUE,FALSE)</f>
        <v>0</v>
      </c>
    </row>
    <row r="92" spans="1:9" ht="33.6" x14ac:dyDescent="0.3">
      <c r="A92" s="11" t="s">
        <v>8054</v>
      </c>
      <c r="B92" s="11" t="s">
        <v>8055</v>
      </c>
      <c r="C92" s="12">
        <v>44594</v>
      </c>
      <c r="D92" s="11" t="s">
        <v>7937</v>
      </c>
      <c r="E92" s="11">
        <v>4</v>
      </c>
      <c r="F92" s="11" t="s">
        <v>46</v>
      </c>
      <c r="G92" s="11" t="s">
        <v>45</v>
      </c>
      <c r="H92" s="31" t="str" cm="1">
        <f t="array" ref="H92">_xlfn.IFS(
  ISBLANK(A92),"Missing Value",
  OR(E92&lt;1,E92&gt;5),"Review – Out of Range (Satisfaction)",
  ISNA(MATCH(B92,Customer_Master!$A$2:$A$1649,0)),"Retained – Unmatched ID (Anonymous Feedback Rule)",
  TRUE,"OK"
)</f>
        <v>Retained – Unmatched ID (Anonymous Feedback Rule)</v>
      </c>
      <c r="I92" s="17" t="b">
        <f>IF(COUNTIF(Customer_Master!$A:$A,B92)=0,TRUE,FALSE)</f>
        <v>1</v>
      </c>
    </row>
    <row r="93" spans="1:9" ht="33.6" x14ac:dyDescent="0.3">
      <c r="A93" s="14" t="s">
        <v>8056</v>
      </c>
      <c r="B93" s="14" t="s">
        <v>8057</v>
      </c>
      <c r="C93" s="15">
        <v>45206</v>
      </c>
      <c r="D93" s="14" t="s">
        <v>7935</v>
      </c>
      <c r="E93" s="14">
        <v>5</v>
      </c>
      <c r="F93" s="14" t="s">
        <v>45</v>
      </c>
      <c r="G93" s="14" t="s">
        <v>45</v>
      </c>
      <c r="H93" s="31" t="str" cm="1">
        <f t="array" ref="H93">_xlfn.IFS(
  ISBLANK(A93),"Missing Value",
  OR(E93&lt;1,E93&gt;5),"Review – Out of Range (Satisfaction)",
  ISNA(MATCH(B93,Customer_Master!$A$2:$A$1649,0)),"Retained – Unmatched ID (Anonymous Feedback Rule)",
  TRUE,"OK"
)</f>
        <v>Retained – Unmatched ID (Anonymous Feedback Rule)</v>
      </c>
      <c r="I93" s="18" t="b">
        <f>IF(COUNTIF(Customer_Master!$A:$A,B93)=0,TRUE,FALSE)</f>
        <v>1</v>
      </c>
    </row>
    <row r="94" spans="1:9" ht="33.6" x14ac:dyDescent="0.3">
      <c r="A94" s="11" t="s">
        <v>8058</v>
      </c>
      <c r="B94" s="11" t="s">
        <v>8059</v>
      </c>
      <c r="C94" s="12">
        <v>43872</v>
      </c>
      <c r="D94" s="11" t="s">
        <v>7943</v>
      </c>
      <c r="E94" s="11">
        <v>1</v>
      </c>
      <c r="F94" s="11" t="s">
        <v>45</v>
      </c>
      <c r="G94" s="11" t="s">
        <v>46</v>
      </c>
      <c r="H94" s="31" t="str" cm="1">
        <f t="array" ref="H94">_xlfn.IFS(
  ISBLANK(A94),"Missing Value",
  OR(E94&lt;1,E94&gt;5),"Review – Out of Range (Satisfaction)",
  ISNA(MATCH(B94,Customer_Master!$A$2:$A$1649,0)),"Retained – Unmatched ID (Anonymous Feedback Rule)",
  TRUE,"OK"
)</f>
        <v>Retained – Unmatched ID (Anonymous Feedback Rule)</v>
      </c>
      <c r="I94" s="17" t="b">
        <f>IF(COUNTIF(Customer_Master!$A:$A,B94)=0,TRUE,FALSE)</f>
        <v>1</v>
      </c>
    </row>
    <row r="95" spans="1:9" ht="16.8" x14ac:dyDescent="0.3">
      <c r="A95" s="14" t="s">
        <v>8060</v>
      </c>
      <c r="B95" s="14" t="s">
        <v>280</v>
      </c>
      <c r="C95" s="15">
        <v>45184</v>
      </c>
      <c r="D95" s="14" t="s">
        <v>7940</v>
      </c>
      <c r="E95" s="14">
        <v>5</v>
      </c>
      <c r="F95" s="14" t="s">
        <v>45</v>
      </c>
      <c r="G95" s="14" t="s">
        <v>46</v>
      </c>
      <c r="H95" s="31" t="str" cm="1">
        <f t="array" ref="H95">_xlfn.IFS(
  ISBLANK(A95),"Missing Value",
  OR(E95&lt;1,E95&gt;5),"Review – Out of Range (Satisfaction)",
  ISNA(MATCH(B95,Customer_Master!$A$2:$A$1649,0)),"Retained – Unmatched ID (Anonymous Feedback Rule)",
  TRUE,"OK"
)</f>
        <v>OK</v>
      </c>
      <c r="I95" s="18" t="b">
        <f>IF(COUNTIF(Customer_Master!$A:$A,B95)=0,TRUE,FALSE)</f>
        <v>0</v>
      </c>
    </row>
    <row r="96" spans="1:9" ht="33.6" x14ac:dyDescent="0.3">
      <c r="A96" s="11" t="s">
        <v>8061</v>
      </c>
      <c r="B96" s="11" t="s">
        <v>8062</v>
      </c>
      <c r="C96" s="12">
        <v>43978</v>
      </c>
      <c r="D96" s="11" t="s">
        <v>7978</v>
      </c>
      <c r="E96" s="11">
        <v>3</v>
      </c>
      <c r="F96" s="11" t="s">
        <v>46</v>
      </c>
      <c r="G96" s="11" t="s">
        <v>45</v>
      </c>
      <c r="H96" s="31" t="str" cm="1">
        <f t="array" ref="H96">_xlfn.IFS(
  ISBLANK(A96),"Missing Value",
  OR(E96&lt;1,E96&gt;5),"Review – Out of Range (Satisfaction)",
  ISNA(MATCH(B96,Customer_Master!$A$2:$A$1649,0)),"Retained – Unmatched ID (Anonymous Feedback Rule)",
  TRUE,"OK"
)</f>
        <v>Retained – Unmatched ID (Anonymous Feedback Rule)</v>
      </c>
      <c r="I96" s="17" t="b">
        <f>IF(COUNTIF(Customer_Master!$A:$A,B96)=0,TRUE,FALSE)</f>
        <v>1</v>
      </c>
    </row>
    <row r="97" spans="1:9" ht="16.8" x14ac:dyDescent="0.3">
      <c r="A97" s="14" t="s">
        <v>8063</v>
      </c>
      <c r="B97" s="14" t="s">
        <v>1435</v>
      </c>
      <c r="C97" s="15">
        <v>44687</v>
      </c>
      <c r="D97" s="14" t="s">
        <v>7928</v>
      </c>
      <c r="E97" s="14">
        <v>2</v>
      </c>
      <c r="F97" s="14" t="s">
        <v>46</v>
      </c>
      <c r="G97" s="14" t="s">
        <v>46</v>
      </c>
      <c r="H97" s="31" t="str" cm="1">
        <f t="array" ref="H97">_xlfn.IFS(
  ISBLANK(A97),"Missing Value",
  OR(E97&lt;1,E97&gt;5),"Review – Out of Range (Satisfaction)",
  ISNA(MATCH(B97,Customer_Master!$A$2:$A$1649,0)),"Retained – Unmatched ID (Anonymous Feedback Rule)",
  TRUE,"OK"
)</f>
        <v>OK</v>
      </c>
      <c r="I97" s="18" t="b">
        <f>IF(COUNTIF(Customer_Master!$A:$A,B97)=0,TRUE,FALSE)</f>
        <v>0</v>
      </c>
    </row>
    <row r="98" spans="1:9" ht="33.6" x14ac:dyDescent="0.3">
      <c r="A98" s="11" t="s">
        <v>8064</v>
      </c>
      <c r="B98" s="11" t="s">
        <v>8065</v>
      </c>
      <c r="C98" s="12">
        <v>45112</v>
      </c>
      <c r="D98" s="11" t="s">
        <v>7943</v>
      </c>
      <c r="E98" s="11">
        <v>2</v>
      </c>
      <c r="F98" s="11" t="s">
        <v>45</v>
      </c>
      <c r="G98" s="11" t="s">
        <v>46</v>
      </c>
      <c r="H98" s="31" t="str" cm="1">
        <f t="array" ref="H98">_xlfn.IFS(
  ISBLANK(A98),"Missing Value",
  OR(E98&lt;1,E98&gt;5),"Review – Out of Range (Satisfaction)",
  ISNA(MATCH(B98,Customer_Master!$A$2:$A$1649,0)),"Retained – Unmatched ID (Anonymous Feedback Rule)",
  TRUE,"OK"
)</f>
        <v>Retained – Unmatched ID (Anonymous Feedback Rule)</v>
      </c>
      <c r="I98" s="17" t="b">
        <f>IF(COUNTIF(Customer_Master!$A:$A,B98)=0,TRUE,FALSE)</f>
        <v>1</v>
      </c>
    </row>
    <row r="99" spans="1:9" ht="16.8" x14ac:dyDescent="0.3">
      <c r="A99" s="14" t="s">
        <v>8066</v>
      </c>
      <c r="B99" s="14" t="s">
        <v>2433</v>
      </c>
      <c r="C99" s="15">
        <v>44112</v>
      </c>
      <c r="D99" s="14" t="s">
        <v>7931</v>
      </c>
      <c r="E99" s="14">
        <v>4</v>
      </c>
      <c r="F99" s="14" t="s">
        <v>45</v>
      </c>
      <c r="G99" s="14" t="s">
        <v>46</v>
      </c>
      <c r="H99" s="31" t="str" cm="1">
        <f t="array" ref="H99">_xlfn.IFS(
  ISBLANK(A99),"Missing Value",
  OR(E99&lt;1,E99&gt;5),"Review – Out of Range (Satisfaction)",
  ISNA(MATCH(B99,Customer_Master!$A$2:$A$1649,0)),"Retained – Unmatched ID (Anonymous Feedback Rule)",
  TRUE,"OK"
)</f>
        <v>OK</v>
      </c>
      <c r="I99" s="18" t="b">
        <f>IF(COUNTIF(Customer_Master!$A:$A,B99)=0,TRUE,FALSE)</f>
        <v>0</v>
      </c>
    </row>
    <row r="100" spans="1:9" ht="16.8" x14ac:dyDescent="0.3">
      <c r="A100" s="11" t="s">
        <v>8067</v>
      </c>
      <c r="B100" s="11" t="s">
        <v>623</v>
      </c>
      <c r="C100" s="12">
        <v>44572</v>
      </c>
      <c r="D100" s="11" t="s">
        <v>7937</v>
      </c>
      <c r="E100" s="11">
        <v>4</v>
      </c>
      <c r="F100" s="11" t="s">
        <v>46</v>
      </c>
      <c r="G100" s="11" t="s">
        <v>46</v>
      </c>
      <c r="H100" s="31" t="str" cm="1">
        <f t="array" ref="H100">_xlfn.IFS(
  ISBLANK(A100),"Missing Value",
  OR(E100&lt;1,E100&gt;5),"Review – Out of Range (Satisfaction)",
  ISNA(MATCH(B100,Customer_Master!$A$2:$A$1649,0)),"Retained – Unmatched ID (Anonymous Feedback Rule)",
  TRUE,"OK"
)</f>
        <v>OK</v>
      </c>
      <c r="I100" s="17" t="b">
        <f>IF(COUNTIF(Customer_Master!$A:$A,B100)=0,TRUE,FALSE)</f>
        <v>0</v>
      </c>
    </row>
    <row r="101" spans="1:9" ht="33.6" x14ac:dyDescent="0.3">
      <c r="A101" s="14" t="s">
        <v>8068</v>
      </c>
      <c r="B101" s="14" t="s">
        <v>8069</v>
      </c>
      <c r="C101" s="15">
        <v>44883</v>
      </c>
      <c r="D101" s="14" t="s">
        <v>7928</v>
      </c>
      <c r="E101" s="14">
        <v>1</v>
      </c>
      <c r="F101" s="14" t="s">
        <v>46</v>
      </c>
      <c r="G101" s="14" t="s">
        <v>45</v>
      </c>
      <c r="H101" s="31" t="str" cm="1">
        <f t="array" ref="H101">_xlfn.IFS(
  ISBLANK(A101),"Missing Value",
  OR(E101&lt;1,E101&gt;5),"Review – Out of Range (Satisfaction)",
  ISNA(MATCH(B101,Customer_Master!$A$2:$A$1649,0)),"Retained – Unmatched ID (Anonymous Feedback Rule)",
  TRUE,"OK"
)</f>
        <v>Retained – Unmatched ID (Anonymous Feedback Rule)</v>
      </c>
      <c r="I101" s="18" t="b">
        <f>IF(COUNTIF(Customer_Master!$A:$A,B101)=0,TRUE,FALSE)</f>
        <v>1</v>
      </c>
    </row>
    <row r="102" spans="1:9" ht="16.8" x14ac:dyDescent="0.3">
      <c r="A102" s="11" t="s">
        <v>8070</v>
      </c>
      <c r="B102" s="11" t="s">
        <v>553</v>
      </c>
      <c r="C102" s="12">
        <v>43983</v>
      </c>
      <c r="D102" s="11" t="s">
        <v>7928</v>
      </c>
      <c r="E102" s="11">
        <v>1</v>
      </c>
      <c r="F102" s="11" t="s">
        <v>45</v>
      </c>
      <c r="G102" s="11" t="s">
        <v>45</v>
      </c>
      <c r="H102" s="31" t="str" cm="1">
        <f t="array" ref="H102">_xlfn.IFS(
  ISBLANK(A102),"Missing Value",
  OR(E102&lt;1,E102&gt;5),"Review – Out of Range (Satisfaction)",
  ISNA(MATCH(B102,Customer_Master!$A$2:$A$1649,0)),"Retained – Unmatched ID (Anonymous Feedback Rule)",
  TRUE,"OK"
)</f>
        <v>OK</v>
      </c>
      <c r="I102" s="17" t="b">
        <f>IF(COUNTIF(Customer_Master!$A:$A,B102)=0,TRUE,FALSE)</f>
        <v>0</v>
      </c>
    </row>
    <row r="103" spans="1:9" ht="16.8" x14ac:dyDescent="0.3">
      <c r="A103" s="14" t="s">
        <v>8071</v>
      </c>
      <c r="B103" s="14" t="s">
        <v>502</v>
      </c>
      <c r="C103" s="15">
        <v>44091</v>
      </c>
      <c r="D103" s="14" t="s">
        <v>7935</v>
      </c>
      <c r="E103" s="14">
        <v>5</v>
      </c>
      <c r="F103" s="14" t="s">
        <v>46</v>
      </c>
      <c r="G103" s="14" t="s">
        <v>46</v>
      </c>
      <c r="H103" s="31" t="str" cm="1">
        <f t="array" ref="H103">_xlfn.IFS(
  ISBLANK(A103),"Missing Value",
  OR(E103&lt;1,E103&gt;5),"Review – Out of Range (Satisfaction)",
  ISNA(MATCH(B103,Customer_Master!$A$2:$A$1649,0)),"Retained – Unmatched ID (Anonymous Feedback Rule)",
  TRUE,"OK"
)</f>
        <v>OK</v>
      </c>
      <c r="I103" s="18" t="b">
        <f>IF(COUNTIF(Customer_Master!$A:$A,B103)=0,TRUE,FALSE)</f>
        <v>0</v>
      </c>
    </row>
    <row r="104" spans="1:9" ht="16.8" x14ac:dyDescent="0.3">
      <c r="A104" s="11" t="s">
        <v>8072</v>
      </c>
      <c r="B104" s="11" t="s">
        <v>3150</v>
      </c>
      <c r="C104" s="12">
        <v>43943</v>
      </c>
      <c r="D104" s="11" t="s">
        <v>7931</v>
      </c>
      <c r="E104" s="11">
        <v>5</v>
      </c>
      <c r="F104" s="11" t="s">
        <v>45</v>
      </c>
      <c r="G104" s="11" t="s">
        <v>46</v>
      </c>
      <c r="H104" s="31" t="str" cm="1">
        <f t="array" ref="H104">_xlfn.IFS(
  ISBLANK(A104),"Missing Value",
  OR(E104&lt;1,E104&gt;5),"Review – Out of Range (Satisfaction)",
  ISNA(MATCH(B104,Customer_Master!$A$2:$A$1649,0)),"Retained – Unmatched ID (Anonymous Feedback Rule)",
  TRUE,"OK"
)</f>
        <v>OK</v>
      </c>
      <c r="I104" s="17" t="b">
        <f>IF(COUNTIF(Customer_Master!$A:$A,B104)=0,TRUE,FALSE)</f>
        <v>0</v>
      </c>
    </row>
    <row r="105" spans="1:9" ht="33.6" x14ac:dyDescent="0.3">
      <c r="A105" s="14" t="s">
        <v>8073</v>
      </c>
      <c r="B105" s="14" t="s">
        <v>8074</v>
      </c>
      <c r="C105" s="15">
        <v>44275</v>
      </c>
      <c r="D105" s="14" t="s">
        <v>7978</v>
      </c>
      <c r="E105" s="14">
        <v>1</v>
      </c>
      <c r="F105" s="14" t="s">
        <v>45</v>
      </c>
      <c r="G105" s="14" t="s">
        <v>45</v>
      </c>
      <c r="H105" s="31" t="str" cm="1">
        <f t="array" ref="H105">_xlfn.IFS(
  ISBLANK(A105),"Missing Value",
  OR(E105&lt;1,E105&gt;5),"Review – Out of Range (Satisfaction)",
  ISNA(MATCH(B105,Customer_Master!$A$2:$A$1649,0)),"Retained – Unmatched ID (Anonymous Feedback Rule)",
  TRUE,"OK"
)</f>
        <v>Retained – Unmatched ID (Anonymous Feedback Rule)</v>
      </c>
      <c r="I105" s="18" t="b">
        <f>IF(COUNTIF(Customer_Master!$A:$A,B105)=0,TRUE,FALSE)</f>
        <v>1</v>
      </c>
    </row>
    <row r="106" spans="1:9" ht="16.8" x14ac:dyDescent="0.3">
      <c r="A106" s="11" t="s">
        <v>8075</v>
      </c>
      <c r="B106" s="11" t="s">
        <v>2429</v>
      </c>
      <c r="C106" s="12">
        <v>43855</v>
      </c>
      <c r="D106" s="11" t="s">
        <v>7940</v>
      </c>
      <c r="E106" s="11">
        <v>5</v>
      </c>
      <c r="F106" s="11" t="s">
        <v>46</v>
      </c>
      <c r="G106" s="11" t="s">
        <v>45</v>
      </c>
      <c r="H106" s="31" t="str" cm="1">
        <f t="array" ref="H106">_xlfn.IFS(
  ISBLANK(A106),"Missing Value",
  OR(E106&lt;1,E106&gt;5),"Review – Out of Range (Satisfaction)",
  ISNA(MATCH(B106,Customer_Master!$A$2:$A$1649,0)),"Retained – Unmatched ID (Anonymous Feedback Rule)",
  TRUE,"OK"
)</f>
        <v>OK</v>
      </c>
      <c r="I106" s="17" t="b">
        <f>IF(COUNTIF(Customer_Master!$A:$A,B106)=0,TRUE,FALSE)</f>
        <v>0</v>
      </c>
    </row>
    <row r="107" spans="1:9" ht="33.6" x14ac:dyDescent="0.3">
      <c r="A107" s="14" t="s">
        <v>8076</v>
      </c>
      <c r="B107" s="14" t="s">
        <v>8077</v>
      </c>
      <c r="C107" s="15">
        <v>43939</v>
      </c>
      <c r="D107" s="14" t="s">
        <v>7937</v>
      </c>
      <c r="E107" s="14">
        <v>5</v>
      </c>
      <c r="F107" s="14" t="s">
        <v>45</v>
      </c>
      <c r="G107" s="14" t="s">
        <v>46</v>
      </c>
      <c r="H107" s="31" t="str" cm="1">
        <f t="array" ref="H107">_xlfn.IFS(
  ISBLANK(A107),"Missing Value",
  OR(E107&lt;1,E107&gt;5),"Review – Out of Range (Satisfaction)",
  ISNA(MATCH(B107,Customer_Master!$A$2:$A$1649,0)),"Retained – Unmatched ID (Anonymous Feedback Rule)",
  TRUE,"OK"
)</f>
        <v>Retained – Unmatched ID (Anonymous Feedback Rule)</v>
      </c>
      <c r="I107" s="18" t="b">
        <f>IF(COUNTIF(Customer_Master!$A:$A,B107)=0,TRUE,FALSE)</f>
        <v>1</v>
      </c>
    </row>
    <row r="108" spans="1:9" ht="16.8" x14ac:dyDescent="0.3">
      <c r="A108" s="11" t="s">
        <v>8078</v>
      </c>
      <c r="B108" s="11" t="s">
        <v>597</v>
      </c>
      <c r="C108" s="12">
        <v>43888</v>
      </c>
      <c r="D108" s="11" t="s">
        <v>7940</v>
      </c>
      <c r="E108" s="11">
        <v>5</v>
      </c>
      <c r="F108" s="11" t="s">
        <v>45</v>
      </c>
      <c r="G108" s="11" t="s">
        <v>46</v>
      </c>
      <c r="H108" s="31" t="str" cm="1">
        <f t="array" ref="H108">_xlfn.IFS(
  ISBLANK(A108),"Missing Value",
  OR(E108&lt;1,E108&gt;5),"Review – Out of Range (Satisfaction)",
  ISNA(MATCH(B108,Customer_Master!$A$2:$A$1649,0)),"Retained – Unmatched ID (Anonymous Feedback Rule)",
  TRUE,"OK"
)</f>
        <v>OK</v>
      </c>
      <c r="I108" s="17" t="b">
        <f>IF(COUNTIF(Customer_Master!$A:$A,B108)=0,TRUE,FALSE)</f>
        <v>0</v>
      </c>
    </row>
    <row r="109" spans="1:9" ht="16.8" x14ac:dyDescent="0.3">
      <c r="A109" s="14" t="s">
        <v>8079</v>
      </c>
      <c r="B109" s="14" t="s">
        <v>1729</v>
      </c>
      <c r="C109" s="15">
        <v>44195</v>
      </c>
      <c r="D109" s="14" t="s">
        <v>7935</v>
      </c>
      <c r="E109" s="14">
        <v>4</v>
      </c>
      <c r="F109" s="14" t="s">
        <v>45</v>
      </c>
      <c r="G109" s="14" t="s">
        <v>46</v>
      </c>
      <c r="H109" s="31" t="str" cm="1">
        <f t="array" ref="H109">_xlfn.IFS(
  ISBLANK(A109),"Missing Value",
  OR(E109&lt;1,E109&gt;5),"Review – Out of Range (Satisfaction)",
  ISNA(MATCH(B109,Customer_Master!$A$2:$A$1649,0)),"Retained – Unmatched ID (Anonymous Feedback Rule)",
  TRUE,"OK"
)</f>
        <v>OK</v>
      </c>
      <c r="I109" s="18" t="b">
        <f>IF(COUNTIF(Customer_Master!$A:$A,B109)=0,TRUE,FALSE)</f>
        <v>0</v>
      </c>
    </row>
    <row r="110" spans="1:9" ht="16.8" x14ac:dyDescent="0.3">
      <c r="A110" s="11" t="s">
        <v>8080</v>
      </c>
      <c r="B110" s="11" t="s">
        <v>911</v>
      </c>
      <c r="C110" s="12">
        <v>44405</v>
      </c>
      <c r="D110" s="11" t="s">
        <v>7935</v>
      </c>
      <c r="E110" s="11">
        <v>5</v>
      </c>
      <c r="F110" s="11" t="s">
        <v>46</v>
      </c>
      <c r="G110" s="11" t="s">
        <v>45</v>
      </c>
      <c r="H110" s="31" t="str" cm="1">
        <f t="array" ref="H110">_xlfn.IFS(
  ISBLANK(A110),"Missing Value",
  OR(E110&lt;1,E110&gt;5),"Review – Out of Range (Satisfaction)",
  ISNA(MATCH(B110,Customer_Master!$A$2:$A$1649,0)),"Retained – Unmatched ID (Anonymous Feedback Rule)",
  TRUE,"OK"
)</f>
        <v>OK</v>
      </c>
      <c r="I110" s="17" t="b">
        <f>IF(COUNTIF(Customer_Master!$A:$A,B110)=0,TRUE,FALSE)</f>
        <v>0</v>
      </c>
    </row>
    <row r="111" spans="1:9" ht="33.6" x14ac:dyDescent="0.3">
      <c r="A111" s="14" t="s">
        <v>8081</v>
      </c>
      <c r="B111" s="14" t="s">
        <v>8082</v>
      </c>
      <c r="C111" s="15">
        <v>44390</v>
      </c>
      <c r="D111" s="14" t="s">
        <v>7933</v>
      </c>
      <c r="E111" s="14">
        <v>2</v>
      </c>
      <c r="F111" s="14" t="s">
        <v>46</v>
      </c>
      <c r="G111" s="14" t="s">
        <v>46</v>
      </c>
      <c r="H111" s="31" t="str" cm="1">
        <f t="array" ref="H111">_xlfn.IFS(
  ISBLANK(A111),"Missing Value",
  OR(E111&lt;1,E111&gt;5),"Review – Out of Range (Satisfaction)",
  ISNA(MATCH(B111,Customer_Master!$A$2:$A$1649,0)),"Retained – Unmatched ID (Anonymous Feedback Rule)",
  TRUE,"OK"
)</f>
        <v>Retained – Unmatched ID (Anonymous Feedback Rule)</v>
      </c>
      <c r="I111" s="18" t="b">
        <f>IF(COUNTIF(Customer_Master!$A:$A,B111)=0,TRUE,FALSE)</f>
        <v>1</v>
      </c>
    </row>
    <row r="112" spans="1:9" ht="33.6" x14ac:dyDescent="0.3">
      <c r="A112" s="11" t="s">
        <v>8083</v>
      </c>
      <c r="B112" s="11" t="s">
        <v>8084</v>
      </c>
      <c r="C112" s="12">
        <v>44038</v>
      </c>
      <c r="D112" s="11" t="s">
        <v>7943</v>
      </c>
      <c r="E112" s="11">
        <v>1</v>
      </c>
      <c r="F112" s="11" t="s">
        <v>45</v>
      </c>
      <c r="G112" s="11" t="s">
        <v>46</v>
      </c>
      <c r="H112" s="31" t="str" cm="1">
        <f t="array" ref="H112">_xlfn.IFS(
  ISBLANK(A112),"Missing Value",
  OR(E112&lt;1,E112&gt;5),"Review – Out of Range (Satisfaction)",
  ISNA(MATCH(B112,Customer_Master!$A$2:$A$1649,0)),"Retained – Unmatched ID (Anonymous Feedback Rule)",
  TRUE,"OK"
)</f>
        <v>Retained – Unmatched ID (Anonymous Feedback Rule)</v>
      </c>
      <c r="I112" s="17" t="b">
        <f>IF(COUNTIF(Customer_Master!$A:$A,B112)=0,TRUE,FALSE)</f>
        <v>1</v>
      </c>
    </row>
    <row r="113" spans="1:9" ht="16.8" x14ac:dyDescent="0.3">
      <c r="A113" s="14" t="s">
        <v>8085</v>
      </c>
      <c r="B113" s="14" t="s">
        <v>172</v>
      </c>
      <c r="C113" s="15">
        <v>44718</v>
      </c>
      <c r="D113" s="14" t="s">
        <v>7969</v>
      </c>
      <c r="E113" s="14">
        <v>2</v>
      </c>
      <c r="F113" s="14" t="s">
        <v>46</v>
      </c>
      <c r="G113" s="14" t="s">
        <v>45</v>
      </c>
      <c r="H113" s="31" t="str" cm="1">
        <f t="array" ref="H113">_xlfn.IFS(
  ISBLANK(A113),"Missing Value",
  OR(E113&lt;1,E113&gt;5),"Review – Out of Range (Satisfaction)",
  ISNA(MATCH(B113,Customer_Master!$A$2:$A$1649,0)),"Retained – Unmatched ID (Anonymous Feedback Rule)",
  TRUE,"OK"
)</f>
        <v>OK</v>
      </c>
      <c r="I113" s="18" t="b">
        <f>IF(COUNTIF(Customer_Master!$A:$A,B113)=0,TRUE,FALSE)</f>
        <v>0</v>
      </c>
    </row>
    <row r="114" spans="1:9" ht="33.6" x14ac:dyDescent="0.3">
      <c r="A114" s="11" t="s">
        <v>8086</v>
      </c>
      <c r="B114" s="11" t="s">
        <v>8087</v>
      </c>
      <c r="C114" s="12">
        <v>44148</v>
      </c>
      <c r="D114" s="11" t="s">
        <v>7943</v>
      </c>
      <c r="E114" s="11">
        <v>1</v>
      </c>
      <c r="F114" s="11" t="s">
        <v>45</v>
      </c>
      <c r="G114" s="11" t="s">
        <v>46</v>
      </c>
      <c r="H114" s="31" t="str" cm="1">
        <f t="array" ref="H114">_xlfn.IFS(
  ISBLANK(A114),"Missing Value",
  OR(E114&lt;1,E114&gt;5),"Review – Out of Range (Satisfaction)",
  ISNA(MATCH(B114,Customer_Master!$A$2:$A$1649,0)),"Retained – Unmatched ID (Anonymous Feedback Rule)",
  TRUE,"OK"
)</f>
        <v>Retained – Unmatched ID (Anonymous Feedback Rule)</v>
      </c>
      <c r="I114" s="17" t="b">
        <f>IF(COUNTIF(Customer_Master!$A:$A,B114)=0,TRUE,FALSE)</f>
        <v>1</v>
      </c>
    </row>
    <row r="115" spans="1:9" ht="16.8" x14ac:dyDescent="0.3">
      <c r="A115" s="14" t="s">
        <v>8088</v>
      </c>
      <c r="B115" s="14" t="s">
        <v>1079</v>
      </c>
      <c r="C115" s="15">
        <v>44364</v>
      </c>
      <c r="D115" s="14" t="s">
        <v>7935</v>
      </c>
      <c r="E115" s="14">
        <v>4</v>
      </c>
      <c r="F115" s="14" t="s">
        <v>46</v>
      </c>
      <c r="G115" s="14" t="s">
        <v>45</v>
      </c>
      <c r="H115" s="31" t="str" cm="1">
        <f t="array" ref="H115">_xlfn.IFS(
  ISBLANK(A115),"Missing Value",
  OR(E115&lt;1,E115&gt;5),"Review – Out of Range (Satisfaction)",
  ISNA(MATCH(B115,Customer_Master!$A$2:$A$1649,0)),"Retained – Unmatched ID (Anonymous Feedback Rule)",
  TRUE,"OK"
)</f>
        <v>OK</v>
      </c>
      <c r="I115" s="18" t="b">
        <f>IF(COUNTIF(Customer_Master!$A:$A,B115)=0,TRUE,FALSE)</f>
        <v>0</v>
      </c>
    </row>
    <row r="116" spans="1:9" ht="33.6" x14ac:dyDescent="0.3">
      <c r="A116" s="11" t="s">
        <v>8089</v>
      </c>
      <c r="B116" s="11" t="s">
        <v>8090</v>
      </c>
      <c r="C116" s="12">
        <v>44114</v>
      </c>
      <c r="D116" s="11" t="s">
        <v>7947</v>
      </c>
      <c r="E116" s="11">
        <v>3</v>
      </c>
      <c r="F116" s="11" t="s">
        <v>45</v>
      </c>
      <c r="G116" s="11" t="s">
        <v>46</v>
      </c>
      <c r="H116" s="31" t="str" cm="1">
        <f t="array" ref="H116">_xlfn.IFS(
  ISBLANK(A116),"Missing Value",
  OR(E116&lt;1,E116&gt;5),"Review – Out of Range (Satisfaction)",
  ISNA(MATCH(B116,Customer_Master!$A$2:$A$1649,0)),"Retained – Unmatched ID (Anonymous Feedback Rule)",
  TRUE,"OK"
)</f>
        <v>Retained – Unmatched ID (Anonymous Feedback Rule)</v>
      </c>
      <c r="I116" s="17" t="b">
        <f>IF(COUNTIF(Customer_Master!$A:$A,B116)=0,TRUE,FALSE)</f>
        <v>1</v>
      </c>
    </row>
    <row r="117" spans="1:9" ht="33.6" x14ac:dyDescent="0.3">
      <c r="A117" s="14" t="s">
        <v>8091</v>
      </c>
      <c r="B117" s="14" t="s">
        <v>8092</v>
      </c>
      <c r="C117" s="15">
        <v>44935</v>
      </c>
      <c r="D117" s="14" t="s">
        <v>7940</v>
      </c>
      <c r="E117" s="14">
        <v>5</v>
      </c>
      <c r="F117" s="14" t="s">
        <v>46</v>
      </c>
      <c r="G117" s="14" t="s">
        <v>45</v>
      </c>
      <c r="H117" s="31" t="str" cm="1">
        <f t="array" ref="H117">_xlfn.IFS(
  ISBLANK(A117),"Missing Value",
  OR(E117&lt;1,E117&gt;5),"Review – Out of Range (Satisfaction)",
  ISNA(MATCH(B117,Customer_Master!$A$2:$A$1649,0)),"Retained – Unmatched ID (Anonymous Feedback Rule)",
  TRUE,"OK"
)</f>
        <v>Retained – Unmatched ID (Anonymous Feedback Rule)</v>
      </c>
      <c r="I117" s="18" t="b">
        <f>IF(COUNTIF(Customer_Master!$A:$A,B117)=0,TRUE,FALSE)</f>
        <v>1</v>
      </c>
    </row>
    <row r="118" spans="1:9" ht="16.8" x14ac:dyDescent="0.3">
      <c r="A118" s="11" t="s">
        <v>8093</v>
      </c>
      <c r="B118" s="11" t="s">
        <v>585</v>
      </c>
      <c r="C118" s="12">
        <v>44322</v>
      </c>
      <c r="D118" s="11" t="s">
        <v>7969</v>
      </c>
      <c r="E118" s="11">
        <v>2</v>
      </c>
      <c r="F118" s="11" t="s">
        <v>46</v>
      </c>
      <c r="G118" s="11" t="s">
        <v>45</v>
      </c>
      <c r="H118" s="31" t="str" cm="1">
        <f t="array" ref="H118">_xlfn.IFS(
  ISBLANK(A118),"Missing Value",
  OR(E118&lt;1,E118&gt;5),"Review – Out of Range (Satisfaction)",
  ISNA(MATCH(B118,Customer_Master!$A$2:$A$1649,0)),"Retained – Unmatched ID (Anonymous Feedback Rule)",
  TRUE,"OK"
)</f>
        <v>OK</v>
      </c>
      <c r="I118" s="17" t="b">
        <f>IF(COUNTIF(Customer_Master!$A:$A,B118)=0,TRUE,FALSE)</f>
        <v>0</v>
      </c>
    </row>
    <row r="119" spans="1:9" ht="33.6" x14ac:dyDescent="0.3">
      <c r="A119" s="14" t="s">
        <v>8094</v>
      </c>
      <c r="B119" s="14" t="s">
        <v>8095</v>
      </c>
      <c r="C119" s="15">
        <v>44494</v>
      </c>
      <c r="D119" s="14" t="s">
        <v>7947</v>
      </c>
      <c r="E119" s="14">
        <v>5</v>
      </c>
      <c r="F119" s="14" t="s">
        <v>45</v>
      </c>
      <c r="G119" s="14" t="s">
        <v>46</v>
      </c>
      <c r="H119" s="31" t="str" cm="1">
        <f t="array" ref="H119">_xlfn.IFS(
  ISBLANK(A119),"Missing Value",
  OR(E119&lt;1,E119&gt;5),"Review – Out of Range (Satisfaction)",
  ISNA(MATCH(B119,Customer_Master!$A$2:$A$1649,0)),"Retained – Unmatched ID (Anonymous Feedback Rule)",
  TRUE,"OK"
)</f>
        <v>Retained – Unmatched ID (Anonymous Feedback Rule)</v>
      </c>
      <c r="I119" s="18" t="b">
        <f>IF(COUNTIF(Customer_Master!$A:$A,B119)=0,TRUE,FALSE)</f>
        <v>1</v>
      </c>
    </row>
    <row r="120" spans="1:9" ht="16.8" x14ac:dyDescent="0.3">
      <c r="A120" s="11" t="s">
        <v>8096</v>
      </c>
      <c r="B120" s="11" t="s">
        <v>490</v>
      </c>
      <c r="C120" s="12">
        <v>44496</v>
      </c>
      <c r="D120" s="11" t="s">
        <v>7940</v>
      </c>
      <c r="E120" s="11">
        <v>5</v>
      </c>
      <c r="F120" s="11" t="s">
        <v>45</v>
      </c>
      <c r="G120" s="11" t="s">
        <v>45</v>
      </c>
      <c r="H120" s="31" t="str" cm="1">
        <f t="array" ref="H120">_xlfn.IFS(
  ISBLANK(A120),"Missing Value",
  OR(E120&lt;1,E120&gt;5),"Review – Out of Range (Satisfaction)",
  ISNA(MATCH(B120,Customer_Master!$A$2:$A$1649,0)),"Retained – Unmatched ID (Anonymous Feedback Rule)",
  TRUE,"OK"
)</f>
        <v>OK</v>
      </c>
      <c r="I120" s="17" t="b">
        <f>IF(COUNTIF(Customer_Master!$A:$A,B120)=0,TRUE,FALSE)</f>
        <v>0</v>
      </c>
    </row>
    <row r="121" spans="1:9" ht="33.6" x14ac:dyDescent="0.3">
      <c r="A121" s="14" t="s">
        <v>8097</v>
      </c>
      <c r="B121" s="14" t="s">
        <v>8098</v>
      </c>
      <c r="C121" s="15">
        <v>45074</v>
      </c>
      <c r="D121" s="14" t="s">
        <v>7978</v>
      </c>
      <c r="E121" s="14">
        <v>1</v>
      </c>
      <c r="F121" s="14" t="s">
        <v>46</v>
      </c>
      <c r="G121" s="14" t="s">
        <v>46</v>
      </c>
      <c r="H121" s="31" t="str" cm="1">
        <f t="array" ref="H121">_xlfn.IFS(
  ISBLANK(A121),"Missing Value",
  OR(E121&lt;1,E121&gt;5),"Review – Out of Range (Satisfaction)",
  ISNA(MATCH(B121,Customer_Master!$A$2:$A$1649,0)),"Retained – Unmatched ID (Anonymous Feedback Rule)",
  TRUE,"OK"
)</f>
        <v>Retained – Unmatched ID (Anonymous Feedback Rule)</v>
      </c>
      <c r="I121" s="18" t="b">
        <f>IF(COUNTIF(Customer_Master!$A:$A,B121)=0,TRUE,FALSE)</f>
        <v>1</v>
      </c>
    </row>
    <row r="122" spans="1:9" ht="33.6" x14ac:dyDescent="0.3">
      <c r="A122" s="11" t="s">
        <v>8099</v>
      </c>
      <c r="B122" s="11" t="s">
        <v>8100</v>
      </c>
      <c r="C122" s="12">
        <v>44837</v>
      </c>
      <c r="D122" s="11" t="s">
        <v>7933</v>
      </c>
      <c r="E122" s="11">
        <v>3</v>
      </c>
      <c r="F122" s="11" t="s">
        <v>45</v>
      </c>
      <c r="G122" s="11" t="s">
        <v>45</v>
      </c>
      <c r="H122" s="31" t="str" cm="1">
        <f t="array" ref="H122">_xlfn.IFS(
  ISBLANK(A122),"Missing Value",
  OR(E122&lt;1,E122&gt;5),"Review – Out of Range (Satisfaction)",
  ISNA(MATCH(B122,Customer_Master!$A$2:$A$1649,0)),"Retained – Unmatched ID (Anonymous Feedback Rule)",
  TRUE,"OK"
)</f>
        <v>Retained – Unmatched ID (Anonymous Feedback Rule)</v>
      </c>
      <c r="I122" s="17" t="b">
        <f>IF(COUNTIF(Customer_Master!$A:$A,B122)=0,TRUE,FALSE)</f>
        <v>1</v>
      </c>
    </row>
    <row r="123" spans="1:9" ht="33.6" x14ac:dyDescent="0.3">
      <c r="A123" s="14" t="s">
        <v>8101</v>
      </c>
      <c r="B123" s="14" t="s">
        <v>8102</v>
      </c>
      <c r="C123" s="15">
        <v>44200</v>
      </c>
      <c r="D123" s="14" t="s">
        <v>7933</v>
      </c>
      <c r="E123" s="14">
        <v>2</v>
      </c>
      <c r="F123" s="14" t="s">
        <v>46</v>
      </c>
      <c r="G123" s="14" t="s">
        <v>45</v>
      </c>
      <c r="H123" s="31" t="str" cm="1">
        <f t="array" ref="H123">_xlfn.IFS(
  ISBLANK(A123),"Missing Value",
  OR(E123&lt;1,E123&gt;5),"Review – Out of Range (Satisfaction)",
  ISNA(MATCH(B123,Customer_Master!$A$2:$A$1649,0)),"Retained – Unmatched ID (Anonymous Feedback Rule)",
  TRUE,"OK"
)</f>
        <v>Retained – Unmatched ID (Anonymous Feedback Rule)</v>
      </c>
      <c r="I123" s="18" t="b">
        <f>IF(COUNTIF(Customer_Master!$A:$A,B123)=0,TRUE,FALSE)</f>
        <v>1</v>
      </c>
    </row>
    <row r="124" spans="1:9" ht="16.8" x14ac:dyDescent="0.3">
      <c r="A124" s="11" t="s">
        <v>8103</v>
      </c>
      <c r="B124" s="11" t="s">
        <v>2309</v>
      </c>
      <c r="C124" s="12">
        <v>45094</v>
      </c>
      <c r="D124" s="11" t="s">
        <v>7931</v>
      </c>
      <c r="E124" s="11">
        <v>5</v>
      </c>
      <c r="F124" s="11" t="s">
        <v>46</v>
      </c>
      <c r="G124" s="11" t="s">
        <v>46</v>
      </c>
      <c r="H124" s="31" t="str" cm="1">
        <f t="array" ref="H124">_xlfn.IFS(
  ISBLANK(A124),"Missing Value",
  OR(E124&lt;1,E124&gt;5),"Review – Out of Range (Satisfaction)",
  ISNA(MATCH(B124,Customer_Master!$A$2:$A$1649,0)),"Retained – Unmatched ID (Anonymous Feedback Rule)",
  TRUE,"OK"
)</f>
        <v>OK</v>
      </c>
      <c r="I124" s="17" t="b">
        <f>IF(COUNTIF(Customer_Master!$A:$A,B124)=0,TRUE,FALSE)</f>
        <v>0</v>
      </c>
    </row>
    <row r="125" spans="1:9" ht="33.6" x14ac:dyDescent="0.3">
      <c r="A125" s="14" t="s">
        <v>8104</v>
      </c>
      <c r="B125" s="14" t="s">
        <v>8105</v>
      </c>
      <c r="C125" s="15">
        <v>45254</v>
      </c>
      <c r="D125" s="14" t="s">
        <v>7978</v>
      </c>
      <c r="E125" s="14">
        <v>3</v>
      </c>
      <c r="F125" s="14" t="s">
        <v>45</v>
      </c>
      <c r="G125" s="14" t="s">
        <v>45</v>
      </c>
      <c r="H125" s="31" t="str" cm="1">
        <f t="array" ref="H125">_xlfn.IFS(
  ISBLANK(A125),"Missing Value",
  OR(E125&lt;1,E125&gt;5),"Review – Out of Range (Satisfaction)",
  ISNA(MATCH(B125,Customer_Master!$A$2:$A$1649,0)),"Retained – Unmatched ID (Anonymous Feedback Rule)",
  TRUE,"OK"
)</f>
        <v>Retained – Unmatched ID (Anonymous Feedback Rule)</v>
      </c>
      <c r="I125" s="18" t="b">
        <f>IF(COUNTIF(Customer_Master!$A:$A,B125)=0,TRUE,FALSE)</f>
        <v>1</v>
      </c>
    </row>
    <row r="126" spans="1:9" ht="16.8" x14ac:dyDescent="0.3">
      <c r="A126" s="11" t="s">
        <v>8106</v>
      </c>
      <c r="B126" s="11" t="s">
        <v>3094</v>
      </c>
      <c r="C126" s="12">
        <v>44368</v>
      </c>
      <c r="D126" s="11" t="s">
        <v>7978</v>
      </c>
      <c r="E126" s="11">
        <v>3</v>
      </c>
      <c r="F126" s="11" t="s">
        <v>45</v>
      </c>
      <c r="G126" s="11" t="s">
        <v>46</v>
      </c>
      <c r="H126" s="31" t="str" cm="1">
        <f t="array" ref="H126">_xlfn.IFS(
  ISBLANK(A126),"Missing Value",
  OR(E126&lt;1,E126&gt;5),"Review – Out of Range (Satisfaction)",
  ISNA(MATCH(B126,Customer_Master!$A$2:$A$1649,0)),"Retained – Unmatched ID (Anonymous Feedback Rule)",
  TRUE,"OK"
)</f>
        <v>OK</v>
      </c>
      <c r="I126" s="17" t="b">
        <f>IF(COUNTIF(Customer_Master!$A:$A,B126)=0,TRUE,FALSE)</f>
        <v>0</v>
      </c>
    </row>
    <row r="127" spans="1:9" ht="16.8" x14ac:dyDescent="0.3">
      <c r="A127" s="14" t="s">
        <v>8107</v>
      </c>
      <c r="B127" s="14" t="s">
        <v>2723</v>
      </c>
      <c r="C127" s="15">
        <v>43950</v>
      </c>
      <c r="D127" s="14" t="s">
        <v>7969</v>
      </c>
      <c r="E127" s="14">
        <v>1</v>
      </c>
      <c r="F127" s="14" t="s">
        <v>45</v>
      </c>
      <c r="G127" s="14" t="s">
        <v>45</v>
      </c>
      <c r="H127" s="31" t="str" cm="1">
        <f t="array" ref="H127">_xlfn.IFS(
  ISBLANK(A127),"Missing Value",
  OR(E127&lt;1,E127&gt;5),"Review – Out of Range (Satisfaction)",
  ISNA(MATCH(B127,Customer_Master!$A$2:$A$1649,0)),"Retained – Unmatched ID (Anonymous Feedback Rule)",
  TRUE,"OK"
)</f>
        <v>OK</v>
      </c>
      <c r="I127" s="18" t="b">
        <f>IF(COUNTIF(Customer_Master!$A:$A,B127)=0,TRUE,FALSE)</f>
        <v>0</v>
      </c>
    </row>
    <row r="128" spans="1:9" ht="16.8" x14ac:dyDescent="0.3">
      <c r="A128" s="11" t="s">
        <v>8108</v>
      </c>
      <c r="B128" s="11" t="s">
        <v>1349</v>
      </c>
      <c r="C128" s="12">
        <v>45173</v>
      </c>
      <c r="D128" s="11" t="s">
        <v>7935</v>
      </c>
      <c r="E128" s="11">
        <v>5</v>
      </c>
      <c r="F128" s="11" t="s">
        <v>45</v>
      </c>
      <c r="G128" s="11" t="s">
        <v>45</v>
      </c>
      <c r="H128" s="31" t="str" cm="1">
        <f t="array" ref="H128">_xlfn.IFS(
  ISBLANK(A128),"Missing Value",
  OR(E128&lt;1,E128&gt;5),"Review – Out of Range (Satisfaction)",
  ISNA(MATCH(B128,Customer_Master!$A$2:$A$1649,0)),"Retained – Unmatched ID (Anonymous Feedback Rule)",
  TRUE,"OK"
)</f>
        <v>OK</v>
      </c>
      <c r="I128" s="17" t="b">
        <f>IF(COUNTIF(Customer_Master!$A:$A,B128)=0,TRUE,FALSE)</f>
        <v>0</v>
      </c>
    </row>
    <row r="129" spans="1:9" ht="33.6" x14ac:dyDescent="0.3">
      <c r="A129" s="14" t="s">
        <v>8109</v>
      </c>
      <c r="B129" s="14" t="s">
        <v>8110</v>
      </c>
      <c r="C129" s="15">
        <v>44970</v>
      </c>
      <c r="D129" s="14" t="s">
        <v>7937</v>
      </c>
      <c r="E129" s="14">
        <v>4</v>
      </c>
      <c r="F129" s="14" t="s">
        <v>45</v>
      </c>
      <c r="G129" s="14" t="s">
        <v>46</v>
      </c>
      <c r="H129" s="31" t="str" cm="1">
        <f t="array" ref="H129">_xlfn.IFS(
  ISBLANK(A129),"Missing Value",
  OR(E129&lt;1,E129&gt;5),"Review – Out of Range (Satisfaction)",
  ISNA(MATCH(B129,Customer_Master!$A$2:$A$1649,0)),"Retained – Unmatched ID (Anonymous Feedback Rule)",
  TRUE,"OK"
)</f>
        <v>Retained – Unmatched ID (Anonymous Feedback Rule)</v>
      </c>
      <c r="I129" s="18" t="b">
        <f>IF(COUNTIF(Customer_Master!$A:$A,B129)=0,TRUE,FALSE)</f>
        <v>1</v>
      </c>
    </row>
    <row r="130" spans="1:9" ht="16.8" x14ac:dyDescent="0.3">
      <c r="A130" s="11" t="s">
        <v>8111</v>
      </c>
      <c r="B130" s="11" t="s">
        <v>1003</v>
      </c>
      <c r="C130" s="12">
        <v>44870</v>
      </c>
      <c r="D130" s="11" t="s">
        <v>7935</v>
      </c>
      <c r="E130" s="11">
        <v>4</v>
      </c>
      <c r="F130" s="11" t="s">
        <v>46</v>
      </c>
      <c r="G130" s="11" t="s">
        <v>45</v>
      </c>
      <c r="H130" s="31" t="str" cm="1">
        <f t="array" ref="H130">_xlfn.IFS(
  ISBLANK(A130),"Missing Value",
  OR(E130&lt;1,E130&gt;5),"Review – Out of Range (Satisfaction)",
  ISNA(MATCH(B130,Customer_Master!$A$2:$A$1649,0)),"Retained – Unmatched ID (Anonymous Feedback Rule)",
  TRUE,"OK"
)</f>
        <v>OK</v>
      </c>
      <c r="I130" s="17" t="b">
        <f>IF(COUNTIF(Customer_Master!$A:$A,B130)=0,TRUE,FALSE)</f>
        <v>0</v>
      </c>
    </row>
    <row r="131" spans="1:9" ht="33.6" x14ac:dyDescent="0.3">
      <c r="A131" s="14" t="s">
        <v>8112</v>
      </c>
      <c r="B131" s="14" t="s">
        <v>8113</v>
      </c>
      <c r="C131" s="15">
        <v>43895</v>
      </c>
      <c r="D131" s="14" t="s">
        <v>7940</v>
      </c>
      <c r="E131" s="14">
        <v>4</v>
      </c>
      <c r="F131" s="14" t="s">
        <v>46</v>
      </c>
      <c r="G131" s="14" t="s">
        <v>46</v>
      </c>
      <c r="H131" s="31" t="str" cm="1">
        <f t="array" ref="H131">_xlfn.IFS(
  ISBLANK(A131),"Missing Value",
  OR(E131&lt;1,E131&gt;5),"Review – Out of Range (Satisfaction)",
  ISNA(MATCH(B131,Customer_Master!$A$2:$A$1649,0)),"Retained – Unmatched ID (Anonymous Feedback Rule)",
  TRUE,"OK"
)</f>
        <v>Retained – Unmatched ID (Anonymous Feedback Rule)</v>
      </c>
      <c r="I131" s="18" t="b">
        <f>IF(COUNTIF(Customer_Master!$A:$A,B131)=0,TRUE,FALSE)</f>
        <v>1</v>
      </c>
    </row>
    <row r="132" spans="1:9" ht="16.8" x14ac:dyDescent="0.3">
      <c r="A132" s="11" t="s">
        <v>8114</v>
      </c>
      <c r="B132" s="11" t="s">
        <v>803</v>
      </c>
      <c r="C132" s="12">
        <v>44912</v>
      </c>
      <c r="D132" s="11" t="s">
        <v>7928</v>
      </c>
      <c r="E132" s="11">
        <v>2</v>
      </c>
      <c r="F132" s="11" t="s">
        <v>46</v>
      </c>
      <c r="G132" s="11" t="s">
        <v>46</v>
      </c>
      <c r="H132" s="31" t="str" cm="1">
        <f t="array" ref="H132">_xlfn.IFS(
  ISBLANK(A132),"Missing Value",
  OR(E132&lt;1,E132&gt;5),"Review – Out of Range (Satisfaction)",
  ISNA(MATCH(B132,Customer_Master!$A$2:$A$1649,0)),"Retained – Unmatched ID (Anonymous Feedback Rule)",
  TRUE,"OK"
)</f>
        <v>OK</v>
      </c>
      <c r="I132" s="17" t="b">
        <f>IF(COUNTIF(Customer_Master!$A:$A,B132)=0,TRUE,FALSE)</f>
        <v>0</v>
      </c>
    </row>
    <row r="133" spans="1:9" ht="16.8" x14ac:dyDescent="0.3">
      <c r="A133" s="14" t="s">
        <v>8115</v>
      </c>
      <c r="B133" s="14" t="s">
        <v>70</v>
      </c>
      <c r="C133" s="15">
        <v>44414</v>
      </c>
      <c r="D133" s="14" t="s">
        <v>7935</v>
      </c>
      <c r="E133" s="14">
        <v>4</v>
      </c>
      <c r="F133" s="14" t="s">
        <v>45</v>
      </c>
      <c r="G133" s="14" t="s">
        <v>46</v>
      </c>
      <c r="H133" s="31" t="str" cm="1">
        <f t="array" ref="H133">_xlfn.IFS(
  ISBLANK(A133),"Missing Value",
  OR(E133&lt;1,E133&gt;5),"Review – Out of Range (Satisfaction)",
  ISNA(MATCH(B133,Customer_Master!$A$2:$A$1649,0)),"Retained – Unmatched ID (Anonymous Feedback Rule)",
  TRUE,"OK"
)</f>
        <v>OK</v>
      </c>
      <c r="I133" s="18" t="b">
        <f>IF(COUNTIF(Customer_Master!$A:$A,B133)=0,TRUE,FALSE)</f>
        <v>0</v>
      </c>
    </row>
    <row r="134" spans="1:9" ht="33.6" x14ac:dyDescent="0.3">
      <c r="A134" s="11" t="s">
        <v>8116</v>
      </c>
      <c r="B134" s="11" t="s">
        <v>8117</v>
      </c>
      <c r="C134" s="12">
        <v>45148</v>
      </c>
      <c r="D134" s="11" t="s">
        <v>7947</v>
      </c>
      <c r="E134" s="11">
        <v>5</v>
      </c>
      <c r="F134" s="11" t="s">
        <v>45</v>
      </c>
      <c r="G134" s="11" t="s">
        <v>45</v>
      </c>
      <c r="H134" s="31" t="str" cm="1">
        <f t="array" ref="H134">_xlfn.IFS(
  ISBLANK(A134),"Missing Value",
  OR(E134&lt;1,E134&gt;5),"Review – Out of Range (Satisfaction)",
  ISNA(MATCH(B134,Customer_Master!$A$2:$A$1649,0)),"Retained – Unmatched ID (Anonymous Feedback Rule)",
  TRUE,"OK"
)</f>
        <v>Retained – Unmatched ID (Anonymous Feedback Rule)</v>
      </c>
      <c r="I134" s="17" t="b">
        <f>IF(COUNTIF(Customer_Master!$A:$A,B134)=0,TRUE,FALSE)</f>
        <v>1</v>
      </c>
    </row>
    <row r="135" spans="1:9" ht="16.8" x14ac:dyDescent="0.3">
      <c r="A135" s="14" t="s">
        <v>8118</v>
      </c>
      <c r="B135" s="14" t="s">
        <v>625</v>
      </c>
      <c r="C135" s="15">
        <v>44478</v>
      </c>
      <c r="D135" s="14" t="s">
        <v>7931</v>
      </c>
      <c r="E135" s="14">
        <v>5</v>
      </c>
      <c r="F135" s="14" t="s">
        <v>46</v>
      </c>
      <c r="G135" s="14" t="s">
        <v>46</v>
      </c>
      <c r="H135" s="31" t="str" cm="1">
        <f t="array" ref="H135">_xlfn.IFS(
  ISBLANK(A135),"Missing Value",
  OR(E135&lt;1,E135&gt;5),"Review – Out of Range (Satisfaction)",
  ISNA(MATCH(B135,Customer_Master!$A$2:$A$1649,0)),"Retained – Unmatched ID (Anonymous Feedback Rule)",
  TRUE,"OK"
)</f>
        <v>OK</v>
      </c>
      <c r="I135" s="18" t="b">
        <f>IF(COUNTIF(Customer_Master!$A:$A,B135)=0,TRUE,FALSE)</f>
        <v>0</v>
      </c>
    </row>
    <row r="136" spans="1:9" ht="33.6" x14ac:dyDescent="0.3">
      <c r="A136" s="11" t="s">
        <v>8119</v>
      </c>
      <c r="B136" s="11" t="s">
        <v>8120</v>
      </c>
      <c r="C136" s="12">
        <v>44793</v>
      </c>
      <c r="D136" s="11" t="s">
        <v>7943</v>
      </c>
      <c r="E136" s="11">
        <v>2</v>
      </c>
      <c r="F136" s="11" t="s">
        <v>46</v>
      </c>
      <c r="G136" s="11" t="s">
        <v>46</v>
      </c>
      <c r="H136" s="31" t="str" cm="1">
        <f t="array" ref="H136">_xlfn.IFS(
  ISBLANK(A136),"Missing Value",
  OR(E136&lt;1,E136&gt;5),"Review – Out of Range (Satisfaction)",
  ISNA(MATCH(B136,Customer_Master!$A$2:$A$1649,0)),"Retained – Unmatched ID (Anonymous Feedback Rule)",
  TRUE,"OK"
)</f>
        <v>Retained – Unmatched ID (Anonymous Feedback Rule)</v>
      </c>
      <c r="I136" s="17" t="b">
        <f>IF(COUNTIF(Customer_Master!$A:$A,B136)=0,TRUE,FALSE)</f>
        <v>1</v>
      </c>
    </row>
    <row r="137" spans="1:9" ht="16.8" x14ac:dyDescent="0.3">
      <c r="A137" s="14" t="s">
        <v>8121</v>
      </c>
      <c r="B137" s="14" t="s">
        <v>539</v>
      </c>
      <c r="C137" s="15">
        <v>43986</v>
      </c>
      <c r="D137" s="14" t="s">
        <v>7935</v>
      </c>
      <c r="E137" s="14">
        <v>5</v>
      </c>
      <c r="F137" s="14" t="s">
        <v>46</v>
      </c>
      <c r="G137" s="14" t="s">
        <v>46</v>
      </c>
      <c r="H137" s="31" t="str" cm="1">
        <f t="array" ref="H137">_xlfn.IFS(
  ISBLANK(A137),"Missing Value",
  OR(E137&lt;1,E137&gt;5),"Review – Out of Range (Satisfaction)",
  ISNA(MATCH(B137,Customer_Master!$A$2:$A$1649,0)),"Retained – Unmatched ID (Anonymous Feedback Rule)",
  TRUE,"OK"
)</f>
        <v>OK</v>
      </c>
      <c r="I137" s="18" t="b">
        <f>IF(COUNTIF(Customer_Master!$A:$A,B137)=0,TRUE,FALSE)</f>
        <v>0</v>
      </c>
    </row>
    <row r="138" spans="1:9" ht="16.8" x14ac:dyDescent="0.3">
      <c r="A138" s="11" t="s">
        <v>8122</v>
      </c>
      <c r="B138" s="11" t="s">
        <v>2151</v>
      </c>
      <c r="C138" s="12">
        <v>44572</v>
      </c>
      <c r="D138" s="11" t="s">
        <v>7933</v>
      </c>
      <c r="E138" s="11">
        <v>3</v>
      </c>
      <c r="F138" s="11" t="s">
        <v>46</v>
      </c>
      <c r="G138" s="11" t="s">
        <v>45</v>
      </c>
      <c r="H138" s="31" t="str" cm="1">
        <f t="array" ref="H138">_xlfn.IFS(
  ISBLANK(A138),"Missing Value",
  OR(E138&lt;1,E138&gt;5),"Review – Out of Range (Satisfaction)",
  ISNA(MATCH(B138,Customer_Master!$A$2:$A$1649,0)),"Retained – Unmatched ID (Anonymous Feedback Rule)",
  TRUE,"OK"
)</f>
        <v>OK</v>
      </c>
      <c r="I138" s="17" t="b">
        <f>IF(COUNTIF(Customer_Master!$A:$A,B138)=0,TRUE,FALSE)</f>
        <v>0</v>
      </c>
    </row>
    <row r="139" spans="1:9" ht="33.6" x14ac:dyDescent="0.3">
      <c r="A139" s="14" t="s">
        <v>8123</v>
      </c>
      <c r="B139" s="14" t="s">
        <v>8124</v>
      </c>
      <c r="C139" s="15">
        <v>45141</v>
      </c>
      <c r="D139" s="14" t="s">
        <v>7943</v>
      </c>
      <c r="E139" s="14">
        <v>3</v>
      </c>
      <c r="F139" s="14" t="s">
        <v>46</v>
      </c>
      <c r="G139" s="14" t="s">
        <v>46</v>
      </c>
      <c r="H139" s="31" t="str" cm="1">
        <f t="array" ref="H139">_xlfn.IFS(
  ISBLANK(A139),"Missing Value",
  OR(E139&lt;1,E139&gt;5),"Review – Out of Range (Satisfaction)",
  ISNA(MATCH(B139,Customer_Master!$A$2:$A$1649,0)),"Retained – Unmatched ID (Anonymous Feedback Rule)",
  TRUE,"OK"
)</f>
        <v>Retained – Unmatched ID (Anonymous Feedback Rule)</v>
      </c>
      <c r="I139" s="18" t="b">
        <f>IF(COUNTIF(Customer_Master!$A:$A,B139)=0,TRUE,FALSE)</f>
        <v>1</v>
      </c>
    </row>
    <row r="140" spans="1:9" ht="16.8" x14ac:dyDescent="0.3">
      <c r="A140" s="11" t="s">
        <v>8125</v>
      </c>
      <c r="B140" s="11" t="s">
        <v>1735</v>
      </c>
      <c r="C140" s="12">
        <v>44561</v>
      </c>
      <c r="D140" s="11" t="s">
        <v>7940</v>
      </c>
      <c r="E140" s="11">
        <v>5</v>
      </c>
      <c r="F140" s="11" t="s">
        <v>46</v>
      </c>
      <c r="G140" s="11" t="s">
        <v>45</v>
      </c>
      <c r="H140" s="31" t="str" cm="1">
        <f t="array" ref="H140">_xlfn.IFS(
  ISBLANK(A140),"Missing Value",
  OR(E140&lt;1,E140&gt;5),"Review – Out of Range (Satisfaction)",
  ISNA(MATCH(B140,Customer_Master!$A$2:$A$1649,0)),"Retained – Unmatched ID (Anonymous Feedback Rule)",
  TRUE,"OK"
)</f>
        <v>OK</v>
      </c>
      <c r="I140" s="17" t="b">
        <f>IF(COUNTIF(Customer_Master!$A:$A,B140)=0,TRUE,FALSE)</f>
        <v>0</v>
      </c>
    </row>
    <row r="141" spans="1:9" ht="16.8" x14ac:dyDescent="0.3">
      <c r="A141" s="14" t="s">
        <v>8126</v>
      </c>
      <c r="B141" s="14" t="s">
        <v>3094</v>
      </c>
      <c r="C141" s="15">
        <v>45224</v>
      </c>
      <c r="D141" s="14" t="s">
        <v>7940</v>
      </c>
      <c r="E141" s="14">
        <v>4</v>
      </c>
      <c r="F141" s="14" t="s">
        <v>46</v>
      </c>
      <c r="G141" s="14" t="s">
        <v>46</v>
      </c>
      <c r="H141" s="31" t="str" cm="1">
        <f t="array" ref="H141">_xlfn.IFS(
  ISBLANK(A141),"Missing Value",
  OR(E141&lt;1,E141&gt;5),"Review – Out of Range (Satisfaction)",
  ISNA(MATCH(B141,Customer_Master!$A$2:$A$1649,0)),"Retained – Unmatched ID (Anonymous Feedback Rule)",
  TRUE,"OK"
)</f>
        <v>OK</v>
      </c>
      <c r="I141" s="18" t="b">
        <f>IF(COUNTIF(Customer_Master!$A:$A,B141)=0,TRUE,FALSE)</f>
        <v>0</v>
      </c>
    </row>
    <row r="142" spans="1:9" ht="33.6" x14ac:dyDescent="0.3">
      <c r="A142" s="11" t="s">
        <v>8127</v>
      </c>
      <c r="B142" s="11" t="s">
        <v>8128</v>
      </c>
      <c r="C142" s="12">
        <v>45146</v>
      </c>
      <c r="D142" s="11" t="s">
        <v>7937</v>
      </c>
      <c r="E142" s="11">
        <v>5</v>
      </c>
      <c r="F142" s="11" t="s">
        <v>45</v>
      </c>
      <c r="G142" s="11" t="s">
        <v>45</v>
      </c>
      <c r="H142" s="31" t="str" cm="1">
        <f t="array" ref="H142">_xlfn.IFS(
  ISBLANK(A142),"Missing Value",
  OR(E142&lt;1,E142&gt;5),"Review – Out of Range (Satisfaction)",
  ISNA(MATCH(B142,Customer_Master!$A$2:$A$1649,0)),"Retained – Unmatched ID (Anonymous Feedback Rule)",
  TRUE,"OK"
)</f>
        <v>Retained – Unmatched ID (Anonymous Feedback Rule)</v>
      </c>
      <c r="I142" s="17" t="b">
        <f>IF(COUNTIF(Customer_Master!$A:$A,B142)=0,TRUE,FALSE)</f>
        <v>1</v>
      </c>
    </row>
    <row r="143" spans="1:9" ht="16.8" x14ac:dyDescent="0.3">
      <c r="A143" s="14" t="s">
        <v>8129</v>
      </c>
      <c r="B143" s="14" t="s">
        <v>2925</v>
      </c>
      <c r="C143" s="15">
        <v>44322</v>
      </c>
      <c r="D143" s="14" t="s">
        <v>7935</v>
      </c>
      <c r="E143" s="14">
        <v>5</v>
      </c>
      <c r="F143" s="14" t="s">
        <v>45</v>
      </c>
      <c r="G143" s="14" t="s">
        <v>45</v>
      </c>
      <c r="H143" s="31" t="str" cm="1">
        <f t="array" ref="H143">_xlfn.IFS(
  ISBLANK(A143),"Missing Value",
  OR(E143&lt;1,E143&gt;5),"Review – Out of Range (Satisfaction)",
  ISNA(MATCH(B143,Customer_Master!$A$2:$A$1649,0)),"Retained – Unmatched ID (Anonymous Feedback Rule)",
  TRUE,"OK"
)</f>
        <v>OK</v>
      </c>
      <c r="I143" s="18" t="b">
        <f>IF(COUNTIF(Customer_Master!$A:$A,B143)=0,TRUE,FALSE)</f>
        <v>0</v>
      </c>
    </row>
    <row r="144" spans="1:9" ht="16.8" x14ac:dyDescent="0.3">
      <c r="A144" s="11" t="s">
        <v>8130</v>
      </c>
      <c r="B144" s="11" t="s">
        <v>2895</v>
      </c>
      <c r="C144" s="12">
        <v>44197</v>
      </c>
      <c r="D144" s="11" t="s">
        <v>7969</v>
      </c>
      <c r="E144" s="11">
        <v>1</v>
      </c>
      <c r="F144" s="11" t="s">
        <v>45</v>
      </c>
      <c r="G144" s="11" t="s">
        <v>45</v>
      </c>
      <c r="H144" s="31" t="str" cm="1">
        <f t="array" ref="H144">_xlfn.IFS(
  ISBLANK(A144),"Missing Value",
  OR(E144&lt;1,E144&gt;5),"Review – Out of Range (Satisfaction)",
  ISNA(MATCH(B144,Customer_Master!$A$2:$A$1649,0)),"Retained – Unmatched ID (Anonymous Feedback Rule)",
  TRUE,"OK"
)</f>
        <v>OK</v>
      </c>
      <c r="I144" s="17" t="b">
        <f>IF(COUNTIF(Customer_Master!$A:$A,B144)=0,TRUE,FALSE)</f>
        <v>0</v>
      </c>
    </row>
    <row r="145" spans="1:9" ht="33.6" x14ac:dyDescent="0.3">
      <c r="A145" s="14" t="s">
        <v>8131</v>
      </c>
      <c r="B145" s="14" t="s">
        <v>8132</v>
      </c>
      <c r="C145" s="15">
        <v>43991</v>
      </c>
      <c r="D145" s="14" t="s">
        <v>7940</v>
      </c>
      <c r="E145" s="14">
        <v>4</v>
      </c>
      <c r="F145" s="14" t="s">
        <v>45</v>
      </c>
      <c r="G145" s="14" t="s">
        <v>46</v>
      </c>
      <c r="H145" s="31" t="str" cm="1">
        <f t="array" ref="H145">_xlfn.IFS(
  ISBLANK(A145),"Missing Value",
  OR(E145&lt;1,E145&gt;5),"Review – Out of Range (Satisfaction)",
  ISNA(MATCH(B145,Customer_Master!$A$2:$A$1649,0)),"Retained – Unmatched ID (Anonymous Feedback Rule)",
  TRUE,"OK"
)</f>
        <v>Retained – Unmatched ID (Anonymous Feedback Rule)</v>
      </c>
      <c r="I145" s="18" t="b">
        <f>IF(COUNTIF(Customer_Master!$A:$A,B145)=0,TRUE,FALSE)</f>
        <v>1</v>
      </c>
    </row>
    <row r="146" spans="1:9" ht="16.8" x14ac:dyDescent="0.3">
      <c r="A146" s="11" t="s">
        <v>8133</v>
      </c>
      <c r="B146" s="11" t="s">
        <v>3318</v>
      </c>
      <c r="C146" s="12">
        <v>44929</v>
      </c>
      <c r="D146" s="11" t="s">
        <v>7943</v>
      </c>
      <c r="E146" s="11">
        <v>2</v>
      </c>
      <c r="F146" s="11" t="s">
        <v>46</v>
      </c>
      <c r="G146" s="11" t="s">
        <v>46</v>
      </c>
      <c r="H146" s="31" t="str" cm="1">
        <f t="array" ref="H146">_xlfn.IFS(
  ISBLANK(A146),"Missing Value",
  OR(E146&lt;1,E146&gt;5),"Review – Out of Range (Satisfaction)",
  ISNA(MATCH(B146,Customer_Master!$A$2:$A$1649,0)),"Retained – Unmatched ID (Anonymous Feedback Rule)",
  TRUE,"OK"
)</f>
        <v>OK</v>
      </c>
      <c r="I146" s="17" t="b">
        <f>IF(COUNTIF(Customer_Master!$A:$A,B146)=0,TRUE,FALSE)</f>
        <v>0</v>
      </c>
    </row>
    <row r="147" spans="1:9" ht="33.6" x14ac:dyDescent="0.3">
      <c r="A147" s="14" t="s">
        <v>8134</v>
      </c>
      <c r="B147" s="14" t="s">
        <v>8135</v>
      </c>
      <c r="C147" s="15">
        <v>44124</v>
      </c>
      <c r="D147" s="14" t="s">
        <v>7978</v>
      </c>
      <c r="E147" s="14">
        <v>1</v>
      </c>
      <c r="F147" s="14" t="s">
        <v>45</v>
      </c>
      <c r="G147" s="14" t="s">
        <v>45</v>
      </c>
      <c r="H147" s="31" t="str" cm="1">
        <f t="array" ref="H147">_xlfn.IFS(
  ISBLANK(A147),"Missing Value",
  OR(E147&lt;1,E147&gt;5),"Review – Out of Range (Satisfaction)",
  ISNA(MATCH(B147,Customer_Master!$A$2:$A$1649,0)),"Retained – Unmatched ID (Anonymous Feedback Rule)",
  TRUE,"OK"
)</f>
        <v>Retained – Unmatched ID (Anonymous Feedback Rule)</v>
      </c>
      <c r="I147" s="18" t="b">
        <f>IF(COUNTIF(Customer_Master!$A:$A,B147)=0,TRUE,FALSE)</f>
        <v>1</v>
      </c>
    </row>
    <row r="148" spans="1:9" ht="16.8" x14ac:dyDescent="0.3">
      <c r="A148" s="11" t="s">
        <v>8136</v>
      </c>
      <c r="B148" s="11" t="s">
        <v>1995</v>
      </c>
      <c r="C148" s="12">
        <v>44316</v>
      </c>
      <c r="D148" s="11" t="s">
        <v>7935</v>
      </c>
      <c r="E148" s="11">
        <v>4</v>
      </c>
      <c r="F148" s="11" t="s">
        <v>45</v>
      </c>
      <c r="G148" s="11" t="s">
        <v>45</v>
      </c>
      <c r="H148" s="31" t="str" cm="1">
        <f t="array" ref="H148">_xlfn.IFS(
  ISBLANK(A148),"Missing Value",
  OR(E148&lt;1,E148&gt;5),"Review – Out of Range (Satisfaction)",
  ISNA(MATCH(B148,Customer_Master!$A$2:$A$1649,0)),"Retained – Unmatched ID (Anonymous Feedback Rule)",
  TRUE,"OK"
)</f>
        <v>OK</v>
      </c>
      <c r="I148" s="17" t="b">
        <f>IF(COUNTIF(Customer_Master!$A:$A,B148)=0,TRUE,FALSE)</f>
        <v>0</v>
      </c>
    </row>
    <row r="149" spans="1:9" ht="33.6" x14ac:dyDescent="0.3">
      <c r="A149" s="14" t="s">
        <v>8137</v>
      </c>
      <c r="B149" s="14" t="s">
        <v>7991</v>
      </c>
      <c r="C149" s="15">
        <v>44012</v>
      </c>
      <c r="D149" s="14" t="s">
        <v>7978</v>
      </c>
      <c r="E149" s="14">
        <v>1</v>
      </c>
      <c r="F149" s="14" t="s">
        <v>46</v>
      </c>
      <c r="G149" s="14" t="s">
        <v>46</v>
      </c>
      <c r="H149" s="31" t="str" cm="1">
        <f t="array" ref="H149">_xlfn.IFS(
  ISBLANK(A149),"Missing Value",
  OR(E149&lt;1,E149&gt;5),"Review – Out of Range (Satisfaction)",
  ISNA(MATCH(B149,Customer_Master!$A$2:$A$1649,0)),"Retained – Unmatched ID (Anonymous Feedback Rule)",
  TRUE,"OK"
)</f>
        <v>Retained – Unmatched ID (Anonymous Feedback Rule)</v>
      </c>
      <c r="I149" s="18" t="b">
        <f>IF(COUNTIF(Customer_Master!$A:$A,B149)=0,TRUE,FALSE)</f>
        <v>1</v>
      </c>
    </row>
    <row r="150" spans="1:9" ht="33.6" x14ac:dyDescent="0.3">
      <c r="A150" s="11" t="s">
        <v>8138</v>
      </c>
      <c r="B150" s="11" t="s">
        <v>8139</v>
      </c>
      <c r="C150" s="12">
        <v>45244</v>
      </c>
      <c r="D150" s="11" t="s">
        <v>7969</v>
      </c>
      <c r="E150" s="11">
        <v>2</v>
      </c>
      <c r="F150" s="11" t="s">
        <v>46</v>
      </c>
      <c r="G150" s="11" t="s">
        <v>45</v>
      </c>
      <c r="H150" s="31" t="str" cm="1">
        <f t="array" ref="H150">_xlfn.IFS(
  ISBLANK(A150),"Missing Value",
  OR(E150&lt;1,E150&gt;5),"Review – Out of Range (Satisfaction)",
  ISNA(MATCH(B150,Customer_Master!$A$2:$A$1649,0)),"Retained – Unmatched ID (Anonymous Feedback Rule)",
  TRUE,"OK"
)</f>
        <v>Retained – Unmatched ID (Anonymous Feedback Rule)</v>
      </c>
      <c r="I150" s="17" t="b">
        <f>IF(COUNTIF(Customer_Master!$A:$A,B150)=0,TRUE,FALSE)</f>
        <v>1</v>
      </c>
    </row>
    <row r="151" spans="1:9" ht="33.6" x14ac:dyDescent="0.3">
      <c r="A151" s="14" t="s">
        <v>8140</v>
      </c>
      <c r="B151" s="14" t="s">
        <v>8141</v>
      </c>
      <c r="C151" s="15">
        <v>44280</v>
      </c>
      <c r="D151" s="14" t="s">
        <v>7943</v>
      </c>
      <c r="E151" s="14">
        <v>3</v>
      </c>
      <c r="F151" s="14" t="s">
        <v>46</v>
      </c>
      <c r="G151" s="14" t="s">
        <v>45</v>
      </c>
      <c r="H151" s="31" t="str" cm="1">
        <f t="array" ref="H151">_xlfn.IFS(
  ISBLANK(A151),"Missing Value",
  OR(E151&lt;1,E151&gt;5),"Review – Out of Range (Satisfaction)",
  ISNA(MATCH(B151,Customer_Master!$A$2:$A$1649,0)),"Retained – Unmatched ID (Anonymous Feedback Rule)",
  TRUE,"OK"
)</f>
        <v>Retained – Unmatched ID (Anonymous Feedback Rule)</v>
      </c>
      <c r="I151" s="18" t="b">
        <f>IF(COUNTIF(Customer_Master!$A:$A,B151)=0,TRUE,FALSE)</f>
        <v>1</v>
      </c>
    </row>
    <row r="152" spans="1:9" ht="16.8" x14ac:dyDescent="0.3">
      <c r="A152" s="11" t="s">
        <v>8142</v>
      </c>
      <c r="B152" s="11" t="s">
        <v>3001</v>
      </c>
      <c r="C152" s="12">
        <v>44065</v>
      </c>
      <c r="D152" s="11" t="s">
        <v>7947</v>
      </c>
      <c r="E152" s="11">
        <v>4</v>
      </c>
      <c r="F152" s="11" t="s">
        <v>45</v>
      </c>
      <c r="G152" s="11" t="s">
        <v>46</v>
      </c>
      <c r="H152" s="31" t="str" cm="1">
        <f t="array" ref="H152">_xlfn.IFS(
  ISBLANK(A152),"Missing Value",
  OR(E152&lt;1,E152&gt;5),"Review – Out of Range (Satisfaction)",
  ISNA(MATCH(B152,Customer_Master!$A$2:$A$1649,0)),"Retained – Unmatched ID (Anonymous Feedback Rule)",
  TRUE,"OK"
)</f>
        <v>OK</v>
      </c>
      <c r="I152" s="17" t="b">
        <f>IF(COUNTIF(Customer_Master!$A:$A,B152)=0,TRUE,FALSE)</f>
        <v>0</v>
      </c>
    </row>
    <row r="153" spans="1:9" ht="16.8" x14ac:dyDescent="0.3">
      <c r="A153" s="14" t="s">
        <v>8143</v>
      </c>
      <c r="B153" s="14" t="s">
        <v>891</v>
      </c>
      <c r="C153" s="15">
        <v>43911</v>
      </c>
      <c r="D153" s="14" t="s">
        <v>7931</v>
      </c>
      <c r="E153" s="14">
        <v>5</v>
      </c>
      <c r="F153" s="14" t="s">
        <v>46</v>
      </c>
      <c r="G153" s="14" t="s">
        <v>45</v>
      </c>
      <c r="H153" s="31" t="str" cm="1">
        <f t="array" ref="H153">_xlfn.IFS(
  ISBLANK(A153),"Missing Value",
  OR(E153&lt;1,E153&gt;5),"Review – Out of Range (Satisfaction)",
  ISNA(MATCH(B153,Customer_Master!$A$2:$A$1649,0)),"Retained – Unmatched ID (Anonymous Feedback Rule)",
  TRUE,"OK"
)</f>
        <v>OK</v>
      </c>
      <c r="I153" s="18" t="b">
        <f>IF(COUNTIF(Customer_Master!$A:$A,B153)=0,TRUE,FALSE)</f>
        <v>0</v>
      </c>
    </row>
    <row r="154" spans="1:9" ht="16.8" x14ac:dyDescent="0.3">
      <c r="A154" s="11" t="s">
        <v>8144</v>
      </c>
      <c r="B154" s="11" t="s">
        <v>2747</v>
      </c>
      <c r="C154" s="12">
        <v>44799</v>
      </c>
      <c r="D154" s="11" t="s">
        <v>7931</v>
      </c>
      <c r="E154" s="11">
        <v>5</v>
      </c>
      <c r="F154" s="11" t="s">
        <v>46</v>
      </c>
      <c r="G154" s="11" t="s">
        <v>46</v>
      </c>
      <c r="H154" s="31" t="str" cm="1">
        <f t="array" ref="H154">_xlfn.IFS(
  ISBLANK(A154),"Missing Value",
  OR(E154&lt;1,E154&gt;5),"Review – Out of Range (Satisfaction)",
  ISNA(MATCH(B154,Customer_Master!$A$2:$A$1649,0)),"Retained – Unmatched ID (Anonymous Feedback Rule)",
  TRUE,"OK"
)</f>
        <v>OK</v>
      </c>
      <c r="I154" s="17" t="b">
        <f>IF(COUNTIF(Customer_Master!$A:$A,B154)=0,TRUE,FALSE)</f>
        <v>0</v>
      </c>
    </row>
    <row r="155" spans="1:9" ht="33.6" x14ac:dyDescent="0.3">
      <c r="A155" s="14" t="s">
        <v>8145</v>
      </c>
      <c r="B155" s="14" t="s">
        <v>8146</v>
      </c>
      <c r="C155" s="15">
        <v>45106</v>
      </c>
      <c r="D155" s="14" t="s">
        <v>7933</v>
      </c>
      <c r="E155" s="14">
        <v>3</v>
      </c>
      <c r="F155" s="14" t="s">
        <v>46</v>
      </c>
      <c r="G155" s="14" t="s">
        <v>46</v>
      </c>
      <c r="H155" s="31" t="str" cm="1">
        <f t="array" ref="H155">_xlfn.IFS(
  ISBLANK(A155),"Missing Value",
  OR(E155&lt;1,E155&gt;5),"Review – Out of Range (Satisfaction)",
  ISNA(MATCH(B155,Customer_Master!$A$2:$A$1649,0)),"Retained – Unmatched ID (Anonymous Feedback Rule)",
  TRUE,"OK"
)</f>
        <v>Retained – Unmatched ID (Anonymous Feedback Rule)</v>
      </c>
      <c r="I155" s="18" t="b">
        <f>IF(COUNTIF(Customer_Master!$A:$A,B155)=0,TRUE,FALSE)</f>
        <v>1</v>
      </c>
    </row>
    <row r="156" spans="1:9" ht="33.6" x14ac:dyDescent="0.3">
      <c r="A156" s="11" t="s">
        <v>8147</v>
      </c>
      <c r="B156" s="11" t="s">
        <v>8148</v>
      </c>
      <c r="C156" s="12">
        <v>44126</v>
      </c>
      <c r="D156" s="11" t="s">
        <v>7947</v>
      </c>
      <c r="E156" s="11">
        <v>5</v>
      </c>
      <c r="F156" s="11" t="s">
        <v>46</v>
      </c>
      <c r="G156" s="11" t="s">
        <v>46</v>
      </c>
      <c r="H156" s="31" t="str" cm="1">
        <f t="array" ref="H156">_xlfn.IFS(
  ISBLANK(A156),"Missing Value",
  OR(E156&lt;1,E156&gt;5),"Review – Out of Range (Satisfaction)",
  ISNA(MATCH(B156,Customer_Master!$A$2:$A$1649,0)),"Retained – Unmatched ID (Anonymous Feedback Rule)",
  TRUE,"OK"
)</f>
        <v>Retained – Unmatched ID (Anonymous Feedback Rule)</v>
      </c>
      <c r="I156" s="17" t="b">
        <f>IF(COUNTIF(Customer_Master!$A:$A,B156)=0,TRUE,FALSE)</f>
        <v>1</v>
      </c>
    </row>
    <row r="157" spans="1:9" ht="16.8" x14ac:dyDescent="0.3">
      <c r="A157" s="14" t="s">
        <v>8149</v>
      </c>
      <c r="B157" s="14" t="s">
        <v>1231</v>
      </c>
      <c r="C157" s="15">
        <v>45227</v>
      </c>
      <c r="D157" s="14" t="s">
        <v>7978</v>
      </c>
      <c r="E157" s="14">
        <v>2</v>
      </c>
      <c r="F157" s="14" t="s">
        <v>46</v>
      </c>
      <c r="G157" s="14" t="s">
        <v>45</v>
      </c>
      <c r="H157" s="31" t="str" cm="1">
        <f t="array" ref="H157">_xlfn.IFS(
  ISBLANK(A157),"Missing Value",
  OR(E157&lt;1,E157&gt;5),"Review – Out of Range (Satisfaction)",
  ISNA(MATCH(B157,Customer_Master!$A$2:$A$1649,0)),"Retained – Unmatched ID (Anonymous Feedback Rule)",
  TRUE,"OK"
)</f>
        <v>OK</v>
      </c>
      <c r="I157" s="18" t="b">
        <f>IF(COUNTIF(Customer_Master!$A:$A,B157)=0,TRUE,FALSE)</f>
        <v>0</v>
      </c>
    </row>
    <row r="158" spans="1:9" ht="33.6" x14ac:dyDescent="0.3">
      <c r="A158" s="11" t="s">
        <v>8150</v>
      </c>
      <c r="B158" s="11" t="s">
        <v>8151</v>
      </c>
      <c r="C158" s="12">
        <v>44482</v>
      </c>
      <c r="D158" s="11" t="s">
        <v>7933</v>
      </c>
      <c r="E158" s="11">
        <v>3</v>
      </c>
      <c r="F158" s="11" t="s">
        <v>45</v>
      </c>
      <c r="G158" s="11" t="s">
        <v>46</v>
      </c>
      <c r="H158" s="31" t="str" cm="1">
        <f t="array" ref="H158">_xlfn.IFS(
  ISBLANK(A158),"Missing Value",
  OR(E158&lt;1,E158&gt;5),"Review – Out of Range (Satisfaction)",
  ISNA(MATCH(B158,Customer_Master!$A$2:$A$1649,0)),"Retained – Unmatched ID (Anonymous Feedback Rule)",
  TRUE,"OK"
)</f>
        <v>Retained – Unmatched ID (Anonymous Feedback Rule)</v>
      </c>
      <c r="I158" s="17" t="b">
        <f>IF(COUNTIF(Customer_Master!$A:$A,B158)=0,TRUE,FALSE)</f>
        <v>1</v>
      </c>
    </row>
    <row r="159" spans="1:9" ht="33.6" x14ac:dyDescent="0.3">
      <c r="A159" s="14" t="s">
        <v>8152</v>
      </c>
      <c r="B159" s="14" t="s">
        <v>8153</v>
      </c>
      <c r="C159" s="15">
        <v>44585</v>
      </c>
      <c r="D159" s="14" t="s">
        <v>7931</v>
      </c>
      <c r="E159" s="14">
        <v>4</v>
      </c>
      <c r="F159" s="14" t="s">
        <v>46</v>
      </c>
      <c r="G159" s="14" t="s">
        <v>45</v>
      </c>
      <c r="H159" s="31" t="str" cm="1">
        <f t="array" ref="H159">_xlfn.IFS(
  ISBLANK(A159),"Missing Value",
  OR(E159&lt;1,E159&gt;5),"Review – Out of Range (Satisfaction)",
  ISNA(MATCH(B159,Customer_Master!$A$2:$A$1649,0)),"Retained – Unmatched ID (Anonymous Feedback Rule)",
  TRUE,"OK"
)</f>
        <v>Retained – Unmatched ID (Anonymous Feedback Rule)</v>
      </c>
      <c r="I159" s="18" t="b">
        <f>IF(COUNTIF(Customer_Master!$A:$A,B159)=0,TRUE,FALSE)</f>
        <v>1</v>
      </c>
    </row>
    <row r="160" spans="1:9" ht="33.6" x14ac:dyDescent="0.3">
      <c r="A160" s="11" t="s">
        <v>8154</v>
      </c>
      <c r="B160" s="11" t="s">
        <v>8155</v>
      </c>
      <c r="C160" s="12">
        <v>45045</v>
      </c>
      <c r="D160" s="11" t="s">
        <v>7978</v>
      </c>
      <c r="E160" s="11">
        <v>2</v>
      </c>
      <c r="F160" s="11" t="s">
        <v>45</v>
      </c>
      <c r="G160" s="11" t="s">
        <v>45</v>
      </c>
      <c r="H160" s="31" t="str" cm="1">
        <f t="array" ref="H160">_xlfn.IFS(
  ISBLANK(A160),"Missing Value",
  OR(E160&lt;1,E160&gt;5),"Review – Out of Range (Satisfaction)",
  ISNA(MATCH(B160,Customer_Master!$A$2:$A$1649,0)),"Retained – Unmatched ID (Anonymous Feedback Rule)",
  TRUE,"OK"
)</f>
        <v>Retained – Unmatched ID (Anonymous Feedback Rule)</v>
      </c>
      <c r="I160" s="17" t="b">
        <f>IF(COUNTIF(Customer_Master!$A:$A,B160)=0,TRUE,FALSE)</f>
        <v>1</v>
      </c>
    </row>
    <row r="161" spans="1:9" ht="16.8" x14ac:dyDescent="0.3">
      <c r="A161" s="14" t="s">
        <v>8156</v>
      </c>
      <c r="B161" s="14" t="s">
        <v>3152</v>
      </c>
      <c r="C161" s="15">
        <v>44595</v>
      </c>
      <c r="D161" s="14" t="s">
        <v>7928</v>
      </c>
      <c r="E161" s="14">
        <v>1</v>
      </c>
      <c r="F161" s="14" t="s">
        <v>45</v>
      </c>
      <c r="G161" s="14" t="s">
        <v>45</v>
      </c>
      <c r="H161" s="31" t="str" cm="1">
        <f t="array" ref="H161">_xlfn.IFS(
  ISBLANK(A161),"Missing Value",
  OR(E161&lt;1,E161&gt;5),"Review – Out of Range (Satisfaction)",
  ISNA(MATCH(B161,Customer_Master!$A$2:$A$1649,0)),"Retained – Unmatched ID (Anonymous Feedback Rule)",
  TRUE,"OK"
)</f>
        <v>OK</v>
      </c>
      <c r="I161" s="18" t="b">
        <f>IF(COUNTIF(Customer_Master!$A:$A,B161)=0,TRUE,FALSE)</f>
        <v>0</v>
      </c>
    </row>
    <row r="162" spans="1:9" ht="16.8" x14ac:dyDescent="0.3">
      <c r="A162" s="11" t="s">
        <v>8157</v>
      </c>
      <c r="B162" s="11" t="s">
        <v>1649</v>
      </c>
      <c r="C162" s="12">
        <v>44826</v>
      </c>
      <c r="D162" s="11" t="s">
        <v>7940</v>
      </c>
      <c r="E162" s="11">
        <v>4</v>
      </c>
      <c r="F162" s="11" t="s">
        <v>46</v>
      </c>
      <c r="G162" s="11" t="s">
        <v>46</v>
      </c>
      <c r="H162" s="31" t="str" cm="1">
        <f t="array" ref="H162">_xlfn.IFS(
  ISBLANK(A162),"Missing Value",
  OR(E162&lt;1,E162&gt;5),"Review – Out of Range (Satisfaction)",
  ISNA(MATCH(B162,Customer_Master!$A$2:$A$1649,0)),"Retained – Unmatched ID (Anonymous Feedback Rule)",
  TRUE,"OK"
)</f>
        <v>OK</v>
      </c>
      <c r="I162" s="17" t="b">
        <f>IF(COUNTIF(Customer_Master!$A:$A,B162)=0,TRUE,FALSE)</f>
        <v>0</v>
      </c>
    </row>
    <row r="163" spans="1:9" ht="16.8" x14ac:dyDescent="0.3">
      <c r="A163" s="14" t="s">
        <v>8158</v>
      </c>
      <c r="B163" s="14" t="s">
        <v>3090</v>
      </c>
      <c r="C163" s="15">
        <v>44792</v>
      </c>
      <c r="D163" s="14" t="s">
        <v>7947</v>
      </c>
      <c r="E163" s="14">
        <v>5</v>
      </c>
      <c r="F163" s="14" t="s">
        <v>46</v>
      </c>
      <c r="G163" s="14" t="s">
        <v>45</v>
      </c>
      <c r="H163" s="31" t="str" cm="1">
        <f t="array" ref="H163">_xlfn.IFS(
  ISBLANK(A163),"Missing Value",
  OR(E163&lt;1,E163&gt;5),"Review – Out of Range (Satisfaction)",
  ISNA(MATCH(B163,Customer_Master!$A$2:$A$1649,0)),"Retained – Unmatched ID (Anonymous Feedback Rule)",
  TRUE,"OK"
)</f>
        <v>OK</v>
      </c>
      <c r="I163" s="18" t="b">
        <f>IF(COUNTIF(Customer_Master!$A:$A,B163)=0,TRUE,FALSE)</f>
        <v>0</v>
      </c>
    </row>
    <row r="164" spans="1:9" ht="16.8" x14ac:dyDescent="0.3">
      <c r="A164" s="11" t="s">
        <v>8159</v>
      </c>
      <c r="B164" s="11" t="s">
        <v>943</v>
      </c>
      <c r="C164" s="12">
        <v>44957</v>
      </c>
      <c r="D164" s="11" t="s">
        <v>7969</v>
      </c>
      <c r="E164" s="11">
        <v>1</v>
      </c>
      <c r="F164" s="11" t="s">
        <v>46</v>
      </c>
      <c r="G164" s="11" t="s">
        <v>45</v>
      </c>
      <c r="H164" s="31" t="str" cm="1">
        <f t="array" ref="H164">_xlfn.IFS(
  ISBLANK(A164),"Missing Value",
  OR(E164&lt;1,E164&gt;5),"Review – Out of Range (Satisfaction)",
  ISNA(MATCH(B164,Customer_Master!$A$2:$A$1649,0)),"Retained – Unmatched ID (Anonymous Feedback Rule)",
  TRUE,"OK"
)</f>
        <v>OK</v>
      </c>
      <c r="I164" s="17" t="b">
        <f>IF(COUNTIF(Customer_Master!$A:$A,B164)=0,TRUE,FALSE)</f>
        <v>0</v>
      </c>
    </row>
    <row r="165" spans="1:9" ht="33.6" x14ac:dyDescent="0.3">
      <c r="A165" s="14" t="s">
        <v>8160</v>
      </c>
      <c r="B165" s="14" t="s">
        <v>8161</v>
      </c>
      <c r="C165" s="15">
        <v>44150</v>
      </c>
      <c r="D165" s="14" t="s">
        <v>7978</v>
      </c>
      <c r="E165" s="14">
        <v>1</v>
      </c>
      <c r="F165" s="14" t="s">
        <v>46</v>
      </c>
      <c r="G165" s="14" t="s">
        <v>45</v>
      </c>
      <c r="H165" s="31" t="str" cm="1">
        <f t="array" ref="H165">_xlfn.IFS(
  ISBLANK(A165),"Missing Value",
  OR(E165&lt;1,E165&gt;5),"Review – Out of Range (Satisfaction)",
  ISNA(MATCH(B165,Customer_Master!$A$2:$A$1649,0)),"Retained – Unmatched ID (Anonymous Feedback Rule)",
  TRUE,"OK"
)</f>
        <v>Retained – Unmatched ID (Anonymous Feedback Rule)</v>
      </c>
      <c r="I165" s="18" t="b">
        <f>IF(COUNTIF(Customer_Master!$A:$A,B165)=0,TRUE,FALSE)</f>
        <v>1</v>
      </c>
    </row>
    <row r="166" spans="1:9" ht="33.6" x14ac:dyDescent="0.3">
      <c r="A166" s="11" t="s">
        <v>8162</v>
      </c>
      <c r="B166" s="11" t="s">
        <v>8163</v>
      </c>
      <c r="C166" s="12">
        <v>45065</v>
      </c>
      <c r="D166" s="11" t="s">
        <v>7940</v>
      </c>
      <c r="E166" s="11">
        <v>4</v>
      </c>
      <c r="F166" s="11" t="s">
        <v>45</v>
      </c>
      <c r="G166" s="11" t="s">
        <v>45</v>
      </c>
      <c r="H166" s="31" t="str" cm="1">
        <f t="array" ref="H166">_xlfn.IFS(
  ISBLANK(A166),"Missing Value",
  OR(E166&lt;1,E166&gt;5),"Review – Out of Range (Satisfaction)",
  ISNA(MATCH(B166,Customer_Master!$A$2:$A$1649,0)),"Retained – Unmatched ID (Anonymous Feedback Rule)",
  TRUE,"OK"
)</f>
        <v>Retained – Unmatched ID (Anonymous Feedback Rule)</v>
      </c>
      <c r="I166" s="17" t="b">
        <f>IF(COUNTIF(Customer_Master!$A:$A,B166)=0,TRUE,FALSE)</f>
        <v>1</v>
      </c>
    </row>
    <row r="167" spans="1:9" ht="16.8" x14ac:dyDescent="0.3">
      <c r="A167" s="14" t="s">
        <v>8164</v>
      </c>
      <c r="B167" s="14" t="s">
        <v>1519</v>
      </c>
      <c r="C167" s="15">
        <v>45240</v>
      </c>
      <c r="D167" s="14" t="s">
        <v>7947</v>
      </c>
      <c r="E167" s="14">
        <v>5</v>
      </c>
      <c r="F167" s="14" t="s">
        <v>46</v>
      </c>
      <c r="G167" s="14" t="s">
        <v>45</v>
      </c>
      <c r="H167" s="31" t="str" cm="1">
        <f t="array" ref="H167">_xlfn.IFS(
  ISBLANK(A167),"Missing Value",
  OR(E167&lt;1,E167&gt;5),"Review – Out of Range (Satisfaction)",
  ISNA(MATCH(B167,Customer_Master!$A$2:$A$1649,0)),"Retained – Unmatched ID (Anonymous Feedback Rule)",
  TRUE,"OK"
)</f>
        <v>OK</v>
      </c>
      <c r="I167" s="18" t="b">
        <f>IF(COUNTIF(Customer_Master!$A:$A,B167)=0,TRUE,FALSE)</f>
        <v>0</v>
      </c>
    </row>
    <row r="168" spans="1:9" ht="33.6" x14ac:dyDescent="0.3">
      <c r="A168" s="11" t="s">
        <v>8165</v>
      </c>
      <c r="B168" s="11" t="s">
        <v>8166</v>
      </c>
      <c r="C168" s="12">
        <v>44177</v>
      </c>
      <c r="D168" s="11" t="s">
        <v>7928</v>
      </c>
      <c r="E168" s="11">
        <v>2</v>
      </c>
      <c r="F168" s="11" t="s">
        <v>46</v>
      </c>
      <c r="G168" s="11" t="s">
        <v>45</v>
      </c>
      <c r="H168" s="31" t="str" cm="1">
        <f t="array" ref="H168">_xlfn.IFS(
  ISBLANK(A168),"Missing Value",
  OR(E168&lt;1,E168&gt;5),"Review – Out of Range (Satisfaction)",
  ISNA(MATCH(B168,Customer_Master!$A$2:$A$1649,0)),"Retained – Unmatched ID (Anonymous Feedback Rule)",
  TRUE,"OK"
)</f>
        <v>Retained – Unmatched ID (Anonymous Feedback Rule)</v>
      </c>
      <c r="I168" s="17" t="b">
        <f>IF(COUNTIF(Customer_Master!$A:$A,B168)=0,TRUE,FALSE)</f>
        <v>1</v>
      </c>
    </row>
    <row r="169" spans="1:9" ht="16.8" x14ac:dyDescent="0.3">
      <c r="A169" s="14" t="s">
        <v>8167</v>
      </c>
      <c r="B169" s="14" t="s">
        <v>1799</v>
      </c>
      <c r="C169" s="15">
        <v>44941</v>
      </c>
      <c r="D169" s="14" t="s">
        <v>7969</v>
      </c>
      <c r="E169" s="14">
        <v>2</v>
      </c>
      <c r="F169" s="14" t="s">
        <v>45</v>
      </c>
      <c r="G169" s="14" t="s">
        <v>45</v>
      </c>
      <c r="H169" s="31" t="str" cm="1">
        <f t="array" ref="H169">_xlfn.IFS(
  ISBLANK(A169),"Missing Value",
  OR(E169&lt;1,E169&gt;5),"Review – Out of Range (Satisfaction)",
  ISNA(MATCH(B169,Customer_Master!$A$2:$A$1649,0)),"Retained – Unmatched ID (Anonymous Feedback Rule)",
  TRUE,"OK"
)</f>
        <v>OK</v>
      </c>
      <c r="I169" s="18" t="b">
        <f>IF(COUNTIF(Customer_Master!$A:$A,B169)=0,TRUE,FALSE)</f>
        <v>0</v>
      </c>
    </row>
    <row r="170" spans="1:9" ht="16.8" x14ac:dyDescent="0.3">
      <c r="A170" s="11" t="s">
        <v>8168</v>
      </c>
      <c r="B170" s="11" t="s">
        <v>1799</v>
      </c>
      <c r="C170" s="12">
        <v>43837</v>
      </c>
      <c r="D170" s="11" t="s">
        <v>7931</v>
      </c>
      <c r="E170" s="11">
        <v>5</v>
      </c>
      <c r="F170" s="11" t="s">
        <v>45</v>
      </c>
      <c r="G170" s="11" t="s">
        <v>45</v>
      </c>
      <c r="H170" s="31" t="str" cm="1">
        <f t="array" ref="H170">_xlfn.IFS(
  ISBLANK(A170),"Missing Value",
  OR(E170&lt;1,E170&gt;5),"Review – Out of Range (Satisfaction)",
  ISNA(MATCH(B170,Customer_Master!$A$2:$A$1649,0)),"Retained – Unmatched ID (Anonymous Feedback Rule)",
  TRUE,"OK"
)</f>
        <v>OK</v>
      </c>
      <c r="I170" s="17" t="b">
        <f>IF(COUNTIF(Customer_Master!$A:$A,B170)=0,TRUE,FALSE)</f>
        <v>0</v>
      </c>
    </row>
    <row r="171" spans="1:9" ht="16.8" x14ac:dyDescent="0.3">
      <c r="A171" s="14" t="s">
        <v>8169</v>
      </c>
      <c r="B171" s="14" t="s">
        <v>470</v>
      </c>
      <c r="C171" s="15">
        <v>45077</v>
      </c>
      <c r="D171" s="14" t="s">
        <v>7947</v>
      </c>
      <c r="E171" s="14">
        <v>5</v>
      </c>
      <c r="F171" s="14" t="s">
        <v>46</v>
      </c>
      <c r="G171" s="14" t="s">
        <v>46</v>
      </c>
      <c r="H171" s="31" t="str" cm="1">
        <f t="array" ref="H171">_xlfn.IFS(
  ISBLANK(A171),"Missing Value",
  OR(E171&lt;1,E171&gt;5),"Review – Out of Range (Satisfaction)",
  ISNA(MATCH(B171,Customer_Master!$A$2:$A$1649,0)),"Retained – Unmatched ID (Anonymous Feedback Rule)",
  TRUE,"OK"
)</f>
        <v>OK</v>
      </c>
      <c r="I171" s="18" t="b">
        <f>IF(COUNTIF(Customer_Master!$A:$A,B171)=0,TRUE,FALSE)</f>
        <v>0</v>
      </c>
    </row>
    <row r="172" spans="1:9" ht="16.8" x14ac:dyDescent="0.3">
      <c r="A172" s="11" t="s">
        <v>8170</v>
      </c>
      <c r="B172" s="11" t="s">
        <v>973</v>
      </c>
      <c r="C172" s="12">
        <v>45205</v>
      </c>
      <c r="D172" s="11" t="s">
        <v>7935</v>
      </c>
      <c r="E172" s="11">
        <v>4</v>
      </c>
      <c r="F172" s="11" t="s">
        <v>46</v>
      </c>
      <c r="G172" s="11" t="s">
        <v>46</v>
      </c>
      <c r="H172" s="31" t="str" cm="1">
        <f t="array" ref="H172">_xlfn.IFS(
  ISBLANK(A172),"Missing Value",
  OR(E172&lt;1,E172&gt;5),"Review – Out of Range (Satisfaction)",
  ISNA(MATCH(B172,Customer_Master!$A$2:$A$1649,0)),"Retained – Unmatched ID (Anonymous Feedback Rule)",
  TRUE,"OK"
)</f>
        <v>OK</v>
      </c>
      <c r="I172" s="17" t="b">
        <f>IF(COUNTIF(Customer_Master!$A:$A,B172)=0,TRUE,FALSE)</f>
        <v>0</v>
      </c>
    </row>
    <row r="173" spans="1:9" ht="33.6" x14ac:dyDescent="0.3">
      <c r="A173" s="14" t="s">
        <v>8171</v>
      </c>
      <c r="B173" s="14" t="s">
        <v>8172</v>
      </c>
      <c r="C173" s="15">
        <v>44439</v>
      </c>
      <c r="D173" s="14" t="s">
        <v>7937</v>
      </c>
      <c r="E173" s="14">
        <v>5</v>
      </c>
      <c r="F173" s="14" t="s">
        <v>46</v>
      </c>
      <c r="G173" s="14" t="s">
        <v>46</v>
      </c>
      <c r="H173" s="31" t="str" cm="1">
        <f t="array" ref="H173">_xlfn.IFS(
  ISBLANK(A173),"Missing Value",
  OR(E173&lt;1,E173&gt;5),"Review – Out of Range (Satisfaction)",
  ISNA(MATCH(B173,Customer_Master!$A$2:$A$1649,0)),"Retained – Unmatched ID (Anonymous Feedback Rule)",
  TRUE,"OK"
)</f>
        <v>Retained – Unmatched ID (Anonymous Feedback Rule)</v>
      </c>
      <c r="I173" s="18" t="b">
        <f>IF(COUNTIF(Customer_Master!$A:$A,B173)=0,TRUE,FALSE)</f>
        <v>1</v>
      </c>
    </row>
    <row r="174" spans="1:9" ht="16.8" x14ac:dyDescent="0.3">
      <c r="A174" s="11" t="s">
        <v>8173</v>
      </c>
      <c r="B174" s="11" t="s">
        <v>2521</v>
      </c>
      <c r="C174" s="12">
        <v>44497</v>
      </c>
      <c r="D174" s="11" t="s">
        <v>7978</v>
      </c>
      <c r="E174" s="11">
        <v>3</v>
      </c>
      <c r="F174" s="11" t="s">
        <v>46</v>
      </c>
      <c r="G174" s="11" t="s">
        <v>45</v>
      </c>
      <c r="H174" s="31" t="str" cm="1">
        <f t="array" ref="H174">_xlfn.IFS(
  ISBLANK(A174),"Missing Value",
  OR(E174&lt;1,E174&gt;5),"Review – Out of Range (Satisfaction)",
  ISNA(MATCH(B174,Customer_Master!$A$2:$A$1649,0)),"Retained – Unmatched ID (Anonymous Feedback Rule)",
  TRUE,"OK"
)</f>
        <v>OK</v>
      </c>
      <c r="I174" s="17" t="b">
        <f>IF(COUNTIF(Customer_Master!$A:$A,B174)=0,TRUE,FALSE)</f>
        <v>0</v>
      </c>
    </row>
    <row r="175" spans="1:9" ht="16.8" x14ac:dyDescent="0.3">
      <c r="A175" s="14" t="s">
        <v>8174</v>
      </c>
      <c r="B175" s="14" t="s">
        <v>1281</v>
      </c>
      <c r="C175" s="15">
        <v>44683</v>
      </c>
      <c r="D175" s="14" t="s">
        <v>7947</v>
      </c>
      <c r="E175" s="14">
        <v>4</v>
      </c>
      <c r="F175" s="14" t="s">
        <v>45</v>
      </c>
      <c r="G175" s="14" t="s">
        <v>45</v>
      </c>
      <c r="H175" s="31" t="str" cm="1">
        <f t="array" ref="H175">_xlfn.IFS(
  ISBLANK(A175),"Missing Value",
  OR(E175&lt;1,E175&gt;5),"Review – Out of Range (Satisfaction)",
  ISNA(MATCH(B175,Customer_Master!$A$2:$A$1649,0)),"Retained – Unmatched ID (Anonymous Feedback Rule)",
  TRUE,"OK"
)</f>
        <v>OK</v>
      </c>
      <c r="I175" s="18" t="b">
        <f>IF(COUNTIF(Customer_Master!$A:$A,B175)=0,TRUE,FALSE)</f>
        <v>0</v>
      </c>
    </row>
    <row r="176" spans="1:9" ht="33.6" x14ac:dyDescent="0.3">
      <c r="A176" s="11" t="s">
        <v>8175</v>
      </c>
      <c r="B176" s="11" t="s">
        <v>8176</v>
      </c>
      <c r="C176" s="12">
        <v>44470</v>
      </c>
      <c r="D176" s="11" t="s">
        <v>7937</v>
      </c>
      <c r="E176" s="11">
        <v>5</v>
      </c>
      <c r="F176" s="11" t="s">
        <v>45</v>
      </c>
      <c r="G176" s="11" t="s">
        <v>46</v>
      </c>
      <c r="H176" s="31" t="str" cm="1">
        <f t="array" ref="H176">_xlfn.IFS(
  ISBLANK(A176),"Missing Value",
  OR(E176&lt;1,E176&gt;5),"Review – Out of Range (Satisfaction)",
  ISNA(MATCH(B176,Customer_Master!$A$2:$A$1649,0)),"Retained – Unmatched ID (Anonymous Feedback Rule)",
  TRUE,"OK"
)</f>
        <v>Retained – Unmatched ID (Anonymous Feedback Rule)</v>
      </c>
      <c r="I176" s="17" t="b">
        <f>IF(COUNTIF(Customer_Master!$A:$A,B176)=0,TRUE,FALSE)</f>
        <v>1</v>
      </c>
    </row>
    <row r="177" spans="1:9" ht="16.8" x14ac:dyDescent="0.3">
      <c r="A177" s="14" t="s">
        <v>8177</v>
      </c>
      <c r="B177" s="14" t="s">
        <v>1409</v>
      </c>
      <c r="C177" s="15">
        <v>44464</v>
      </c>
      <c r="D177" s="14" t="s">
        <v>7931</v>
      </c>
      <c r="E177" s="14">
        <v>4</v>
      </c>
      <c r="F177" s="14" t="s">
        <v>45</v>
      </c>
      <c r="G177" s="14" t="s">
        <v>46</v>
      </c>
      <c r="H177" s="31" t="str" cm="1">
        <f t="array" ref="H177">_xlfn.IFS(
  ISBLANK(A177),"Missing Value",
  OR(E177&lt;1,E177&gt;5),"Review – Out of Range (Satisfaction)",
  ISNA(MATCH(B177,Customer_Master!$A$2:$A$1649,0)),"Retained – Unmatched ID (Anonymous Feedback Rule)",
  TRUE,"OK"
)</f>
        <v>OK</v>
      </c>
      <c r="I177" s="18" t="b">
        <f>IF(COUNTIF(Customer_Master!$A:$A,B177)=0,TRUE,FALSE)</f>
        <v>0</v>
      </c>
    </row>
    <row r="178" spans="1:9" ht="33.6" x14ac:dyDescent="0.3">
      <c r="A178" s="11" t="s">
        <v>8178</v>
      </c>
      <c r="B178" s="11" t="s">
        <v>8179</v>
      </c>
      <c r="C178" s="12">
        <v>44018</v>
      </c>
      <c r="D178" s="11" t="s">
        <v>7940</v>
      </c>
      <c r="E178" s="11">
        <v>4</v>
      </c>
      <c r="F178" s="11" t="s">
        <v>45</v>
      </c>
      <c r="G178" s="11" t="s">
        <v>45</v>
      </c>
      <c r="H178" s="31" t="str" cm="1">
        <f t="array" ref="H178">_xlfn.IFS(
  ISBLANK(A178),"Missing Value",
  OR(E178&lt;1,E178&gt;5),"Review – Out of Range (Satisfaction)",
  ISNA(MATCH(B178,Customer_Master!$A$2:$A$1649,0)),"Retained – Unmatched ID (Anonymous Feedback Rule)",
  TRUE,"OK"
)</f>
        <v>Retained – Unmatched ID (Anonymous Feedback Rule)</v>
      </c>
      <c r="I178" s="17" t="b">
        <f>IF(COUNTIF(Customer_Master!$A:$A,B178)=0,TRUE,FALSE)</f>
        <v>1</v>
      </c>
    </row>
    <row r="179" spans="1:9" ht="16.8" x14ac:dyDescent="0.3">
      <c r="A179" s="14" t="s">
        <v>8180</v>
      </c>
      <c r="B179" s="14" t="s">
        <v>244</v>
      </c>
      <c r="C179" s="15">
        <v>44828</v>
      </c>
      <c r="D179" s="14" t="s">
        <v>7931</v>
      </c>
      <c r="E179" s="14">
        <v>4</v>
      </c>
      <c r="F179" s="14" t="s">
        <v>46</v>
      </c>
      <c r="G179" s="14" t="s">
        <v>46</v>
      </c>
      <c r="H179" s="31" t="str" cm="1">
        <f t="array" ref="H179">_xlfn.IFS(
  ISBLANK(A179),"Missing Value",
  OR(E179&lt;1,E179&gt;5),"Review – Out of Range (Satisfaction)",
  ISNA(MATCH(B179,Customer_Master!$A$2:$A$1649,0)),"Retained – Unmatched ID (Anonymous Feedback Rule)",
  TRUE,"OK"
)</f>
        <v>OK</v>
      </c>
      <c r="I179" s="18" t="b">
        <f>IF(COUNTIF(Customer_Master!$A:$A,B179)=0,TRUE,FALSE)</f>
        <v>0</v>
      </c>
    </row>
    <row r="180" spans="1:9" ht="33.6" x14ac:dyDescent="0.3">
      <c r="A180" s="11" t="s">
        <v>8181</v>
      </c>
      <c r="B180" s="11" t="s">
        <v>8182</v>
      </c>
      <c r="C180" s="12">
        <v>44279</v>
      </c>
      <c r="D180" s="11" t="s">
        <v>7937</v>
      </c>
      <c r="E180" s="11">
        <v>4</v>
      </c>
      <c r="F180" s="11" t="s">
        <v>45</v>
      </c>
      <c r="G180" s="11" t="s">
        <v>46</v>
      </c>
      <c r="H180" s="31" t="str" cm="1">
        <f t="array" ref="H180">_xlfn.IFS(
  ISBLANK(A180),"Missing Value",
  OR(E180&lt;1,E180&gt;5),"Review – Out of Range (Satisfaction)",
  ISNA(MATCH(B180,Customer_Master!$A$2:$A$1649,0)),"Retained – Unmatched ID (Anonymous Feedback Rule)",
  TRUE,"OK"
)</f>
        <v>Retained – Unmatched ID (Anonymous Feedback Rule)</v>
      </c>
      <c r="I180" s="17" t="b">
        <f>IF(COUNTIF(Customer_Master!$A:$A,B180)=0,TRUE,FALSE)</f>
        <v>1</v>
      </c>
    </row>
    <row r="181" spans="1:9" ht="16.8" x14ac:dyDescent="0.3">
      <c r="A181" s="14" t="s">
        <v>8183</v>
      </c>
      <c r="B181" s="14" t="s">
        <v>2993</v>
      </c>
      <c r="C181" s="15">
        <v>44375</v>
      </c>
      <c r="D181" s="14" t="s">
        <v>7931</v>
      </c>
      <c r="E181" s="14">
        <v>5</v>
      </c>
      <c r="F181" s="14" t="s">
        <v>46</v>
      </c>
      <c r="G181" s="14" t="s">
        <v>46</v>
      </c>
      <c r="H181" s="31" t="str" cm="1">
        <f t="array" ref="H181">_xlfn.IFS(
  ISBLANK(A181),"Missing Value",
  OR(E181&lt;1,E181&gt;5),"Review – Out of Range (Satisfaction)",
  ISNA(MATCH(B181,Customer_Master!$A$2:$A$1649,0)),"Retained – Unmatched ID (Anonymous Feedback Rule)",
  TRUE,"OK"
)</f>
        <v>OK</v>
      </c>
      <c r="I181" s="18" t="b">
        <f>IF(COUNTIF(Customer_Master!$A:$A,B181)=0,TRUE,FALSE)</f>
        <v>0</v>
      </c>
    </row>
    <row r="182" spans="1:9" ht="16.8" x14ac:dyDescent="0.3">
      <c r="A182" s="11" t="s">
        <v>8184</v>
      </c>
      <c r="B182" s="11" t="s">
        <v>512</v>
      </c>
      <c r="C182" s="12">
        <v>44702</v>
      </c>
      <c r="D182" s="11" t="s">
        <v>7969</v>
      </c>
      <c r="E182" s="11">
        <v>1</v>
      </c>
      <c r="F182" s="11" t="s">
        <v>45</v>
      </c>
      <c r="G182" s="11" t="s">
        <v>46</v>
      </c>
      <c r="H182" s="31" t="str" cm="1">
        <f t="array" ref="H182">_xlfn.IFS(
  ISBLANK(A182),"Missing Value",
  OR(E182&lt;1,E182&gt;5),"Review – Out of Range (Satisfaction)",
  ISNA(MATCH(B182,Customer_Master!$A$2:$A$1649,0)),"Retained – Unmatched ID (Anonymous Feedback Rule)",
  TRUE,"OK"
)</f>
        <v>OK</v>
      </c>
      <c r="I182" s="17" t="b">
        <f>IF(COUNTIF(Customer_Master!$A:$A,B182)=0,TRUE,FALSE)</f>
        <v>0</v>
      </c>
    </row>
    <row r="183" spans="1:9" ht="16.8" x14ac:dyDescent="0.3">
      <c r="A183" s="14" t="s">
        <v>8185</v>
      </c>
      <c r="B183" s="14" t="s">
        <v>1959</v>
      </c>
      <c r="C183" s="15">
        <v>44856</v>
      </c>
      <c r="D183" s="14" t="s">
        <v>7943</v>
      </c>
      <c r="E183" s="14">
        <v>3</v>
      </c>
      <c r="F183" s="14" t="s">
        <v>46</v>
      </c>
      <c r="G183" s="14" t="s">
        <v>45</v>
      </c>
      <c r="H183" s="31" t="str" cm="1">
        <f t="array" ref="H183">_xlfn.IFS(
  ISBLANK(A183),"Missing Value",
  OR(E183&lt;1,E183&gt;5),"Review – Out of Range (Satisfaction)",
  ISNA(MATCH(B183,Customer_Master!$A$2:$A$1649,0)),"Retained – Unmatched ID (Anonymous Feedback Rule)",
  TRUE,"OK"
)</f>
        <v>OK</v>
      </c>
      <c r="I183" s="18" t="b">
        <f>IF(COUNTIF(Customer_Master!$A:$A,B183)=0,TRUE,FALSE)</f>
        <v>0</v>
      </c>
    </row>
    <row r="184" spans="1:9" ht="16.8" x14ac:dyDescent="0.3">
      <c r="A184" s="11" t="s">
        <v>8186</v>
      </c>
      <c r="B184" s="11" t="s">
        <v>2027</v>
      </c>
      <c r="C184" s="12">
        <v>44100</v>
      </c>
      <c r="D184" s="11" t="s">
        <v>7940</v>
      </c>
      <c r="E184" s="11">
        <v>4</v>
      </c>
      <c r="F184" s="11" t="s">
        <v>46</v>
      </c>
      <c r="G184" s="11" t="s">
        <v>45</v>
      </c>
      <c r="H184" s="31" t="str" cm="1">
        <f t="array" ref="H184">_xlfn.IFS(
  ISBLANK(A184),"Missing Value",
  OR(E184&lt;1,E184&gt;5),"Review – Out of Range (Satisfaction)",
  ISNA(MATCH(B184,Customer_Master!$A$2:$A$1649,0)),"Retained – Unmatched ID (Anonymous Feedback Rule)",
  TRUE,"OK"
)</f>
        <v>OK</v>
      </c>
      <c r="I184" s="17" t="b">
        <f>IF(COUNTIF(Customer_Master!$A:$A,B184)=0,TRUE,FALSE)</f>
        <v>0</v>
      </c>
    </row>
    <row r="185" spans="1:9" ht="16.8" x14ac:dyDescent="0.3">
      <c r="A185" s="14" t="s">
        <v>8187</v>
      </c>
      <c r="B185" s="14" t="s">
        <v>90</v>
      </c>
      <c r="C185" s="15">
        <v>44729</v>
      </c>
      <c r="D185" s="14" t="s">
        <v>7937</v>
      </c>
      <c r="E185" s="14">
        <v>4</v>
      </c>
      <c r="F185" s="14" t="s">
        <v>46</v>
      </c>
      <c r="G185" s="14" t="s">
        <v>45</v>
      </c>
      <c r="H185" s="31" t="str" cm="1">
        <f t="array" ref="H185">_xlfn.IFS(
  ISBLANK(A185),"Missing Value",
  OR(E185&lt;1,E185&gt;5),"Review – Out of Range (Satisfaction)",
  ISNA(MATCH(B185,Customer_Master!$A$2:$A$1649,0)),"Retained – Unmatched ID (Anonymous Feedback Rule)",
  TRUE,"OK"
)</f>
        <v>OK</v>
      </c>
      <c r="I185" s="18" t="b">
        <f>IF(COUNTIF(Customer_Master!$A:$A,B185)=0,TRUE,FALSE)</f>
        <v>0</v>
      </c>
    </row>
    <row r="186" spans="1:9" ht="16.8" x14ac:dyDescent="0.3">
      <c r="A186" s="11" t="s">
        <v>8188</v>
      </c>
      <c r="B186" s="11" t="s">
        <v>2903</v>
      </c>
      <c r="C186" s="12">
        <v>44808</v>
      </c>
      <c r="D186" s="11" t="s">
        <v>7969</v>
      </c>
      <c r="E186" s="11">
        <v>1</v>
      </c>
      <c r="F186" s="11" t="s">
        <v>45</v>
      </c>
      <c r="G186" s="11" t="s">
        <v>46</v>
      </c>
      <c r="H186" s="31" t="str" cm="1">
        <f t="array" ref="H186">_xlfn.IFS(
  ISBLANK(A186),"Missing Value",
  OR(E186&lt;1,E186&gt;5),"Review – Out of Range (Satisfaction)",
  ISNA(MATCH(B186,Customer_Master!$A$2:$A$1649,0)),"Retained – Unmatched ID (Anonymous Feedback Rule)",
  TRUE,"OK"
)</f>
        <v>OK</v>
      </c>
      <c r="I186" s="17" t="b">
        <f>IF(COUNTIF(Customer_Master!$A:$A,B186)=0,TRUE,FALSE)</f>
        <v>0</v>
      </c>
    </row>
    <row r="187" spans="1:9" ht="16.8" x14ac:dyDescent="0.3">
      <c r="A187" s="14" t="s">
        <v>8189</v>
      </c>
      <c r="B187" s="14" t="s">
        <v>1837</v>
      </c>
      <c r="C187" s="15">
        <v>44777</v>
      </c>
      <c r="D187" s="14" t="s">
        <v>7937</v>
      </c>
      <c r="E187" s="14">
        <v>5</v>
      </c>
      <c r="F187" s="14" t="s">
        <v>46</v>
      </c>
      <c r="G187" s="14" t="s">
        <v>46</v>
      </c>
      <c r="H187" s="31" t="str" cm="1">
        <f t="array" ref="H187">_xlfn.IFS(
  ISBLANK(A187),"Missing Value",
  OR(E187&lt;1,E187&gt;5),"Review – Out of Range (Satisfaction)",
  ISNA(MATCH(B187,Customer_Master!$A$2:$A$1649,0)),"Retained – Unmatched ID (Anonymous Feedback Rule)",
  TRUE,"OK"
)</f>
        <v>OK</v>
      </c>
      <c r="I187" s="18" t="b">
        <f>IF(COUNTIF(Customer_Master!$A:$A,B187)=0,TRUE,FALSE)</f>
        <v>0</v>
      </c>
    </row>
    <row r="188" spans="1:9" ht="16.8" x14ac:dyDescent="0.3">
      <c r="A188" s="11" t="s">
        <v>8190</v>
      </c>
      <c r="B188" s="11" t="s">
        <v>2381</v>
      </c>
      <c r="C188" s="12">
        <v>44632</v>
      </c>
      <c r="D188" s="11" t="s">
        <v>7940</v>
      </c>
      <c r="E188" s="11">
        <v>5</v>
      </c>
      <c r="F188" s="11" t="s">
        <v>45</v>
      </c>
      <c r="G188" s="11" t="s">
        <v>46</v>
      </c>
      <c r="H188" s="31" t="str" cm="1">
        <f t="array" ref="H188">_xlfn.IFS(
  ISBLANK(A188),"Missing Value",
  OR(E188&lt;1,E188&gt;5),"Review – Out of Range (Satisfaction)",
  ISNA(MATCH(B188,Customer_Master!$A$2:$A$1649,0)),"Retained – Unmatched ID (Anonymous Feedback Rule)",
  TRUE,"OK"
)</f>
        <v>OK</v>
      </c>
      <c r="I188" s="17" t="b">
        <f>IF(COUNTIF(Customer_Master!$A:$A,B188)=0,TRUE,FALSE)</f>
        <v>0</v>
      </c>
    </row>
    <row r="189" spans="1:9" ht="16.8" x14ac:dyDescent="0.3">
      <c r="A189" s="14" t="s">
        <v>8191</v>
      </c>
      <c r="B189" s="14" t="s">
        <v>2877</v>
      </c>
      <c r="C189" s="15">
        <v>44900</v>
      </c>
      <c r="D189" s="14" t="s">
        <v>7931</v>
      </c>
      <c r="E189" s="14">
        <v>5</v>
      </c>
      <c r="F189" s="14" t="s">
        <v>45</v>
      </c>
      <c r="G189" s="14" t="s">
        <v>46</v>
      </c>
      <c r="H189" s="31" t="str" cm="1">
        <f t="array" ref="H189">_xlfn.IFS(
  ISBLANK(A189),"Missing Value",
  OR(E189&lt;1,E189&gt;5),"Review – Out of Range (Satisfaction)",
  ISNA(MATCH(B189,Customer_Master!$A$2:$A$1649,0)),"Retained – Unmatched ID (Anonymous Feedback Rule)",
  TRUE,"OK"
)</f>
        <v>OK</v>
      </c>
      <c r="I189" s="18" t="b">
        <f>IF(COUNTIF(Customer_Master!$A:$A,B189)=0,TRUE,FALSE)</f>
        <v>0</v>
      </c>
    </row>
    <row r="190" spans="1:9" ht="16.8" x14ac:dyDescent="0.3">
      <c r="A190" s="11" t="s">
        <v>8192</v>
      </c>
      <c r="B190" s="11" t="s">
        <v>3062</v>
      </c>
      <c r="C190" s="12">
        <v>43904</v>
      </c>
      <c r="D190" s="11" t="s">
        <v>7935</v>
      </c>
      <c r="E190" s="11">
        <v>5</v>
      </c>
      <c r="F190" s="11" t="s">
        <v>46</v>
      </c>
      <c r="G190" s="11" t="s">
        <v>45</v>
      </c>
      <c r="H190" s="31" t="str" cm="1">
        <f t="array" ref="H190">_xlfn.IFS(
  ISBLANK(A190),"Missing Value",
  OR(E190&lt;1,E190&gt;5),"Review – Out of Range (Satisfaction)",
  ISNA(MATCH(B190,Customer_Master!$A$2:$A$1649,0)),"Retained – Unmatched ID (Anonymous Feedback Rule)",
  TRUE,"OK"
)</f>
        <v>OK</v>
      </c>
      <c r="I190" s="17" t="b">
        <f>IF(COUNTIF(Customer_Master!$A:$A,B190)=0,TRUE,FALSE)</f>
        <v>0</v>
      </c>
    </row>
    <row r="191" spans="1:9" ht="16.8" x14ac:dyDescent="0.3">
      <c r="A191" s="14" t="s">
        <v>8193</v>
      </c>
      <c r="B191" s="14" t="s">
        <v>2891</v>
      </c>
      <c r="C191" s="15">
        <v>44386</v>
      </c>
      <c r="D191" s="14" t="s">
        <v>7947</v>
      </c>
      <c r="E191" s="14">
        <v>4</v>
      </c>
      <c r="F191" s="14" t="s">
        <v>46</v>
      </c>
      <c r="G191" s="14" t="s">
        <v>45</v>
      </c>
      <c r="H191" s="31" t="str" cm="1">
        <f t="array" ref="H191">_xlfn.IFS(
  ISBLANK(A191),"Missing Value",
  OR(E191&lt;1,E191&gt;5),"Review – Out of Range (Satisfaction)",
  ISNA(MATCH(B191,Customer_Master!$A$2:$A$1649,0)),"Retained – Unmatched ID (Anonymous Feedback Rule)",
  TRUE,"OK"
)</f>
        <v>OK</v>
      </c>
      <c r="I191" s="18" t="b">
        <f>IF(COUNTIF(Customer_Master!$A:$A,B191)=0,TRUE,FALSE)</f>
        <v>0</v>
      </c>
    </row>
    <row r="192" spans="1:9" ht="33.6" x14ac:dyDescent="0.3">
      <c r="A192" s="11" t="s">
        <v>8194</v>
      </c>
      <c r="B192" s="11" t="s">
        <v>8195</v>
      </c>
      <c r="C192" s="12">
        <v>43969</v>
      </c>
      <c r="D192" s="11" t="s">
        <v>7940</v>
      </c>
      <c r="E192" s="11">
        <v>5</v>
      </c>
      <c r="F192" s="11" t="s">
        <v>45</v>
      </c>
      <c r="G192" s="11" t="s">
        <v>45</v>
      </c>
      <c r="H192" s="31" t="str" cm="1">
        <f t="array" ref="H192">_xlfn.IFS(
  ISBLANK(A192),"Missing Value",
  OR(E192&lt;1,E192&gt;5),"Review – Out of Range (Satisfaction)",
  ISNA(MATCH(B192,Customer_Master!$A$2:$A$1649,0)),"Retained – Unmatched ID (Anonymous Feedback Rule)",
  TRUE,"OK"
)</f>
        <v>Retained – Unmatched ID (Anonymous Feedback Rule)</v>
      </c>
      <c r="I192" s="17" t="b">
        <f>IF(COUNTIF(Customer_Master!$A:$A,B192)=0,TRUE,FALSE)</f>
        <v>1</v>
      </c>
    </row>
    <row r="193" spans="1:9" ht="33.6" x14ac:dyDescent="0.3">
      <c r="A193" s="14" t="s">
        <v>8196</v>
      </c>
      <c r="B193" s="14" t="s">
        <v>8197</v>
      </c>
      <c r="C193" s="15">
        <v>44057</v>
      </c>
      <c r="D193" s="14" t="s">
        <v>7933</v>
      </c>
      <c r="E193" s="14">
        <v>2</v>
      </c>
      <c r="F193" s="14" t="s">
        <v>46</v>
      </c>
      <c r="G193" s="14" t="s">
        <v>45</v>
      </c>
      <c r="H193" s="31" t="str" cm="1">
        <f t="array" ref="H193">_xlfn.IFS(
  ISBLANK(A193),"Missing Value",
  OR(E193&lt;1,E193&gt;5),"Review – Out of Range (Satisfaction)",
  ISNA(MATCH(B193,Customer_Master!$A$2:$A$1649,0)),"Retained – Unmatched ID (Anonymous Feedback Rule)",
  TRUE,"OK"
)</f>
        <v>Retained – Unmatched ID (Anonymous Feedback Rule)</v>
      </c>
      <c r="I193" s="18" t="b">
        <f>IF(COUNTIF(Customer_Master!$A:$A,B193)=0,TRUE,FALSE)</f>
        <v>1</v>
      </c>
    </row>
    <row r="194" spans="1:9" ht="16.8" x14ac:dyDescent="0.3">
      <c r="A194" s="11" t="s">
        <v>8198</v>
      </c>
      <c r="B194" s="11" t="s">
        <v>2765</v>
      </c>
      <c r="C194" s="12">
        <v>44121</v>
      </c>
      <c r="D194" s="11" t="s">
        <v>7935</v>
      </c>
      <c r="E194" s="11">
        <v>5</v>
      </c>
      <c r="F194" s="11" t="s">
        <v>45</v>
      </c>
      <c r="G194" s="11" t="s">
        <v>46</v>
      </c>
      <c r="H194" s="31" t="str" cm="1">
        <f t="array" ref="H194">_xlfn.IFS(
  ISBLANK(A194),"Missing Value",
  OR(E194&lt;1,E194&gt;5),"Review – Out of Range (Satisfaction)",
  ISNA(MATCH(B194,Customer_Master!$A$2:$A$1649,0)),"Retained – Unmatched ID (Anonymous Feedback Rule)",
  TRUE,"OK"
)</f>
        <v>OK</v>
      </c>
      <c r="I194" s="17" t="b">
        <f>IF(COUNTIF(Customer_Master!$A:$A,B194)=0,TRUE,FALSE)</f>
        <v>0</v>
      </c>
    </row>
    <row r="195" spans="1:9" ht="16.8" x14ac:dyDescent="0.3">
      <c r="A195" s="14" t="s">
        <v>8199</v>
      </c>
      <c r="B195" s="14" t="s">
        <v>2531</v>
      </c>
      <c r="C195" s="15">
        <v>44882</v>
      </c>
      <c r="D195" s="14" t="s">
        <v>7978</v>
      </c>
      <c r="E195" s="14">
        <v>1</v>
      </c>
      <c r="F195" s="14" t="s">
        <v>45</v>
      </c>
      <c r="G195" s="14" t="s">
        <v>45</v>
      </c>
      <c r="H195" s="31" t="str" cm="1">
        <f t="array" ref="H195">_xlfn.IFS(
  ISBLANK(A195),"Missing Value",
  OR(E195&lt;1,E195&gt;5),"Review – Out of Range (Satisfaction)",
  ISNA(MATCH(B195,Customer_Master!$A$2:$A$1649,0)),"Retained – Unmatched ID (Anonymous Feedback Rule)",
  TRUE,"OK"
)</f>
        <v>OK</v>
      </c>
      <c r="I195" s="18" t="b">
        <f>IF(COUNTIF(Customer_Master!$A:$A,B195)=0,TRUE,FALSE)</f>
        <v>0</v>
      </c>
    </row>
    <row r="196" spans="1:9" ht="33.6" x14ac:dyDescent="0.3">
      <c r="A196" s="11" t="s">
        <v>8200</v>
      </c>
      <c r="B196" s="11" t="s">
        <v>8201</v>
      </c>
      <c r="C196" s="12">
        <v>44865</v>
      </c>
      <c r="D196" s="11" t="s">
        <v>7937</v>
      </c>
      <c r="E196" s="11">
        <v>5</v>
      </c>
      <c r="F196" s="11" t="s">
        <v>46</v>
      </c>
      <c r="G196" s="11" t="s">
        <v>45</v>
      </c>
      <c r="H196" s="31" t="str" cm="1">
        <f t="array" ref="H196">_xlfn.IFS(
  ISBLANK(A196),"Missing Value",
  OR(E196&lt;1,E196&gt;5),"Review – Out of Range (Satisfaction)",
  ISNA(MATCH(B196,Customer_Master!$A$2:$A$1649,0)),"Retained – Unmatched ID (Anonymous Feedback Rule)",
  TRUE,"OK"
)</f>
        <v>Retained – Unmatched ID (Anonymous Feedback Rule)</v>
      </c>
      <c r="I196" s="17" t="b">
        <f>IF(COUNTIF(Customer_Master!$A:$A,B196)=0,TRUE,FALSE)</f>
        <v>1</v>
      </c>
    </row>
    <row r="197" spans="1:9" ht="33.6" x14ac:dyDescent="0.3">
      <c r="A197" s="14" t="s">
        <v>8202</v>
      </c>
      <c r="B197" s="14" t="s">
        <v>8203</v>
      </c>
      <c r="C197" s="15">
        <v>43969</v>
      </c>
      <c r="D197" s="14" t="s">
        <v>7969</v>
      </c>
      <c r="E197" s="14">
        <v>1</v>
      </c>
      <c r="F197" s="14" t="s">
        <v>45</v>
      </c>
      <c r="G197" s="14" t="s">
        <v>45</v>
      </c>
      <c r="H197" s="31" t="str" cm="1">
        <f t="array" ref="H197">_xlfn.IFS(
  ISBLANK(A197),"Missing Value",
  OR(E197&lt;1,E197&gt;5),"Review – Out of Range (Satisfaction)",
  ISNA(MATCH(B197,Customer_Master!$A$2:$A$1649,0)),"Retained – Unmatched ID (Anonymous Feedback Rule)",
  TRUE,"OK"
)</f>
        <v>Retained – Unmatched ID (Anonymous Feedback Rule)</v>
      </c>
      <c r="I197" s="18" t="b">
        <f>IF(COUNTIF(Customer_Master!$A:$A,B197)=0,TRUE,FALSE)</f>
        <v>1</v>
      </c>
    </row>
    <row r="198" spans="1:9" ht="16.8" x14ac:dyDescent="0.3">
      <c r="A198" s="11" t="s">
        <v>8204</v>
      </c>
      <c r="B198" s="11" t="s">
        <v>414</v>
      </c>
      <c r="C198" s="12">
        <v>44476</v>
      </c>
      <c r="D198" s="11" t="s">
        <v>7947</v>
      </c>
      <c r="E198" s="11">
        <v>5</v>
      </c>
      <c r="F198" s="11" t="s">
        <v>45</v>
      </c>
      <c r="G198" s="11" t="s">
        <v>45</v>
      </c>
      <c r="H198" s="31" t="str" cm="1">
        <f t="array" ref="H198">_xlfn.IFS(
  ISBLANK(A198),"Missing Value",
  OR(E198&lt;1,E198&gt;5),"Review – Out of Range (Satisfaction)",
  ISNA(MATCH(B198,Customer_Master!$A$2:$A$1649,0)),"Retained – Unmatched ID (Anonymous Feedback Rule)",
  TRUE,"OK"
)</f>
        <v>OK</v>
      </c>
      <c r="I198" s="17" t="b">
        <f>IF(COUNTIF(Customer_Master!$A:$A,B198)=0,TRUE,FALSE)</f>
        <v>0</v>
      </c>
    </row>
    <row r="199" spans="1:9" ht="16.8" x14ac:dyDescent="0.3">
      <c r="A199" s="14" t="s">
        <v>8205</v>
      </c>
      <c r="B199" s="14" t="s">
        <v>1159</v>
      </c>
      <c r="C199" s="15">
        <v>44279</v>
      </c>
      <c r="D199" s="14" t="s">
        <v>7935</v>
      </c>
      <c r="E199" s="14">
        <v>4</v>
      </c>
      <c r="F199" s="14" t="s">
        <v>46</v>
      </c>
      <c r="G199" s="14" t="s">
        <v>45</v>
      </c>
      <c r="H199" s="31" t="str" cm="1">
        <f t="array" ref="H199">_xlfn.IFS(
  ISBLANK(A199),"Missing Value",
  OR(E199&lt;1,E199&gt;5),"Review – Out of Range (Satisfaction)",
  ISNA(MATCH(B199,Customer_Master!$A$2:$A$1649,0)),"Retained – Unmatched ID (Anonymous Feedback Rule)",
  TRUE,"OK"
)</f>
        <v>OK</v>
      </c>
      <c r="I199" s="18" t="b">
        <f>IF(COUNTIF(Customer_Master!$A:$A,B199)=0,TRUE,FALSE)</f>
        <v>0</v>
      </c>
    </row>
    <row r="200" spans="1:9" ht="33.6" x14ac:dyDescent="0.3">
      <c r="A200" s="11" t="s">
        <v>8206</v>
      </c>
      <c r="B200" s="11" t="s">
        <v>8207</v>
      </c>
      <c r="C200" s="12">
        <v>45266</v>
      </c>
      <c r="D200" s="11" t="s">
        <v>7947</v>
      </c>
      <c r="E200" s="11">
        <v>3</v>
      </c>
      <c r="F200" s="11" t="s">
        <v>45</v>
      </c>
      <c r="G200" s="11" t="s">
        <v>46</v>
      </c>
      <c r="H200" s="31" t="str" cm="1">
        <f t="array" ref="H200">_xlfn.IFS(
  ISBLANK(A200),"Missing Value",
  OR(E200&lt;1,E200&gt;5),"Review – Out of Range (Satisfaction)",
  ISNA(MATCH(B200,Customer_Master!$A$2:$A$1649,0)),"Retained – Unmatched ID (Anonymous Feedback Rule)",
  TRUE,"OK"
)</f>
        <v>Retained – Unmatched ID (Anonymous Feedback Rule)</v>
      </c>
      <c r="I200" s="17" t="b">
        <f>IF(COUNTIF(Customer_Master!$A:$A,B200)=0,TRUE,FALSE)</f>
        <v>1</v>
      </c>
    </row>
    <row r="201" spans="1:9" ht="33.6" x14ac:dyDescent="0.3">
      <c r="A201" s="14" t="s">
        <v>8208</v>
      </c>
      <c r="B201" s="14" t="s">
        <v>8209</v>
      </c>
      <c r="C201" s="15">
        <v>44298</v>
      </c>
      <c r="D201" s="14" t="s">
        <v>7931</v>
      </c>
      <c r="E201" s="14">
        <v>4</v>
      </c>
      <c r="F201" s="14" t="s">
        <v>46</v>
      </c>
      <c r="G201" s="14" t="s">
        <v>46</v>
      </c>
      <c r="H201" s="31" t="str" cm="1">
        <f t="array" ref="H201">_xlfn.IFS(
  ISBLANK(A201),"Missing Value",
  OR(E201&lt;1,E201&gt;5),"Review – Out of Range (Satisfaction)",
  ISNA(MATCH(B201,Customer_Master!$A$2:$A$1649,0)),"Retained – Unmatched ID (Anonymous Feedback Rule)",
  TRUE,"OK"
)</f>
        <v>Retained – Unmatched ID (Anonymous Feedback Rule)</v>
      </c>
      <c r="I201" s="18" t="b">
        <f>IF(COUNTIF(Customer_Master!$A:$A,B201)=0,TRUE,FALSE)</f>
        <v>1</v>
      </c>
    </row>
    <row r="202" spans="1:9" ht="16.8" x14ac:dyDescent="0.3">
      <c r="A202" s="11" t="s">
        <v>8210</v>
      </c>
      <c r="B202" s="11" t="s">
        <v>1771</v>
      </c>
      <c r="C202" s="12">
        <v>44617</v>
      </c>
      <c r="D202" s="11" t="s">
        <v>7931</v>
      </c>
      <c r="E202" s="11">
        <v>4</v>
      </c>
      <c r="F202" s="11" t="s">
        <v>46</v>
      </c>
      <c r="G202" s="11" t="s">
        <v>45</v>
      </c>
      <c r="H202" s="31" t="str" cm="1">
        <f t="array" ref="H202">_xlfn.IFS(
  ISBLANK(A202),"Missing Value",
  OR(E202&lt;1,E202&gt;5),"Review – Out of Range (Satisfaction)",
  ISNA(MATCH(B202,Customer_Master!$A$2:$A$1649,0)),"Retained – Unmatched ID (Anonymous Feedback Rule)",
  TRUE,"OK"
)</f>
        <v>OK</v>
      </c>
      <c r="I202" s="17" t="b">
        <f>IF(COUNTIF(Customer_Master!$A:$A,B202)=0,TRUE,FALSE)</f>
        <v>0</v>
      </c>
    </row>
    <row r="203" spans="1:9" ht="16.8" x14ac:dyDescent="0.3">
      <c r="A203" s="14" t="s">
        <v>8211</v>
      </c>
      <c r="B203" s="14" t="s">
        <v>2491</v>
      </c>
      <c r="C203" s="15">
        <v>45199</v>
      </c>
      <c r="D203" s="14" t="s">
        <v>7940</v>
      </c>
      <c r="E203" s="14">
        <v>4</v>
      </c>
      <c r="F203" s="14" t="s">
        <v>45</v>
      </c>
      <c r="G203" s="14" t="s">
        <v>46</v>
      </c>
      <c r="H203" s="31" t="str" cm="1">
        <f t="array" ref="H203">_xlfn.IFS(
  ISBLANK(A203),"Missing Value",
  OR(E203&lt;1,E203&gt;5),"Review – Out of Range (Satisfaction)",
  ISNA(MATCH(B203,Customer_Master!$A$2:$A$1649,0)),"Retained – Unmatched ID (Anonymous Feedback Rule)",
  TRUE,"OK"
)</f>
        <v>OK</v>
      </c>
      <c r="I203" s="18" t="b">
        <f>IF(COUNTIF(Customer_Master!$A:$A,B203)=0,TRUE,FALSE)</f>
        <v>0</v>
      </c>
    </row>
    <row r="204" spans="1:9" ht="16.8" x14ac:dyDescent="0.3">
      <c r="A204" s="11" t="s">
        <v>8212</v>
      </c>
      <c r="B204" s="11" t="s">
        <v>3118</v>
      </c>
      <c r="C204" s="12">
        <v>43846</v>
      </c>
      <c r="D204" s="11" t="s">
        <v>7933</v>
      </c>
      <c r="E204" s="11">
        <v>2</v>
      </c>
      <c r="F204" s="11" t="s">
        <v>45</v>
      </c>
      <c r="G204" s="11" t="s">
        <v>46</v>
      </c>
      <c r="H204" s="31" t="str" cm="1">
        <f t="array" ref="H204">_xlfn.IFS(
  ISBLANK(A204),"Missing Value",
  OR(E204&lt;1,E204&gt;5),"Review – Out of Range (Satisfaction)",
  ISNA(MATCH(B204,Customer_Master!$A$2:$A$1649,0)),"Retained – Unmatched ID (Anonymous Feedback Rule)",
  TRUE,"OK"
)</f>
        <v>OK</v>
      </c>
      <c r="I204" s="17" t="b">
        <f>IF(COUNTIF(Customer_Master!$A:$A,B204)=0,TRUE,FALSE)</f>
        <v>0</v>
      </c>
    </row>
    <row r="205" spans="1:9" ht="33.6" x14ac:dyDescent="0.3">
      <c r="A205" s="14" t="s">
        <v>8213</v>
      </c>
      <c r="B205" s="14" t="s">
        <v>8214</v>
      </c>
      <c r="C205" s="15">
        <v>45250</v>
      </c>
      <c r="D205" s="14" t="s">
        <v>7947</v>
      </c>
      <c r="E205" s="14">
        <v>4</v>
      </c>
      <c r="F205" s="14" t="s">
        <v>45</v>
      </c>
      <c r="G205" s="14" t="s">
        <v>46</v>
      </c>
      <c r="H205" s="31" t="str" cm="1">
        <f t="array" ref="H205">_xlfn.IFS(
  ISBLANK(A205),"Missing Value",
  OR(E205&lt;1,E205&gt;5),"Review – Out of Range (Satisfaction)",
  ISNA(MATCH(B205,Customer_Master!$A$2:$A$1649,0)),"Retained – Unmatched ID (Anonymous Feedback Rule)",
  TRUE,"OK"
)</f>
        <v>Retained – Unmatched ID (Anonymous Feedback Rule)</v>
      </c>
      <c r="I205" s="18" t="b">
        <f>IF(COUNTIF(Customer_Master!$A:$A,B205)=0,TRUE,FALSE)</f>
        <v>1</v>
      </c>
    </row>
    <row r="206" spans="1:9" ht="33.6" x14ac:dyDescent="0.3">
      <c r="A206" s="11" t="s">
        <v>8215</v>
      </c>
      <c r="B206" s="11" t="s">
        <v>8216</v>
      </c>
      <c r="C206" s="12">
        <v>44405</v>
      </c>
      <c r="D206" s="11" t="s">
        <v>7931</v>
      </c>
      <c r="E206" s="11">
        <v>4</v>
      </c>
      <c r="F206" s="11" t="s">
        <v>45</v>
      </c>
      <c r="G206" s="11" t="s">
        <v>45</v>
      </c>
      <c r="H206" s="31" t="str" cm="1">
        <f t="array" ref="H206">_xlfn.IFS(
  ISBLANK(A206),"Missing Value",
  OR(E206&lt;1,E206&gt;5),"Review – Out of Range (Satisfaction)",
  ISNA(MATCH(B206,Customer_Master!$A$2:$A$1649,0)),"Retained – Unmatched ID (Anonymous Feedback Rule)",
  TRUE,"OK"
)</f>
        <v>Retained – Unmatched ID (Anonymous Feedback Rule)</v>
      </c>
      <c r="I206" s="17" t="b">
        <f>IF(COUNTIF(Customer_Master!$A:$A,B206)=0,TRUE,FALSE)</f>
        <v>1</v>
      </c>
    </row>
    <row r="207" spans="1:9" ht="16.8" x14ac:dyDescent="0.3">
      <c r="A207" s="14" t="s">
        <v>8217</v>
      </c>
      <c r="B207" s="14" t="s">
        <v>1201</v>
      </c>
      <c r="C207" s="15">
        <v>43961</v>
      </c>
      <c r="D207" s="14" t="s">
        <v>7935</v>
      </c>
      <c r="E207" s="14">
        <v>4</v>
      </c>
      <c r="F207" s="14" t="s">
        <v>46</v>
      </c>
      <c r="G207" s="14" t="s">
        <v>45</v>
      </c>
      <c r="H207" s="31" t="str" cm="1">
        <f t="array" ref="H207">_xlfn.IFS(
  ISBLANK(A207),"Missing Value",
  OR(E207&lt;1,E207&gt;5),"Review – Out of Range (Satisfaction)",
  ISNA(MATCH(B207,Customer_Master!$A$2:$A$1649,0)),"Retained – Unmatched ID (Anonymous Feedback Rule)",
  TRUE,"OK"
)</f>
        <v>OK</v>
      </c>
      <c r="I207" s="18" t="b">
        <f>IF(COUNTIF(Customer_Master!$A:$A,B207)=0,TRUE,FALSE)</f>
        <v>0</v>
      </c>
    </row>
    <row r="208" spans="1:9" ht="16.8" x14ac:dyDescent="0.3">
      <c r="A208" s="11" t="s">
        <v>8218</v>
      </c>
      <c r="B208" s="11" t="s">
        <v>1431</v>
      </c>
      <c r="C208" s="12">
        <v>44870</v>
      </c>
      <c r="D208" s="11" t="s">
        <v>7935</v>
      </c>
      <c r="E208" s="11">
        <v>5</v>
      </c>
      <c r="F208" s="11" t="s">
        <v>46</v>
      </c>
      <c r="G208" s="11" t="s">
        <v>45</v>
      </c>
      <c r="H208" s="31" t="str" cm="1">
        <f t="array" ref="H208">_xlfn.IFS(
  ISBLANK(A208),"Missing Value",
  OR(E208&lt;1,E208&gt;5),"Review – Out of Range (Satisfaction)",
  ISNA(MATCH(B208,Customer_Master!$A$2:$A$1649,0)),"Retained – Unmatched ID (Anonymous Feedback Rule)",
  TRUE,"OK"
)</f>
        <v>OK</v>
      </c>
      <c r="I208" s="17" t="b">
        <f>IF(COUNTIF(Customer_Master!$A:$A,B208)=0,TRUE,FALSE)</f>
        <v>0</v>
      </c>
    </row>
    <row r="209" spans="1:9" ht="16.8" x14ac:dyDescent="0.3">
      <c r="A209" s="14" t="s">
        <v>8219</v>
      </c>
      <c r="B209" s="14" t="s">
        <v>2921</v>
      </c>
      <c r="C209" s="15">
        <v>44135</v>
      </c>
      <c r="D209" s="14" t="s">
        <v>7935</v>
      </c>
      <c r="E209" s="14">
        <v>4</v>
      </c>
      <c r="F209" s="14" t="s">
        <v>45</v>
      </c>
      <c r="G209" s="14" t="s">
        <v>45</v>
      </c>
      <c r="H209" s="31" t="str" cm="1">
        <f t="array" ref="H209">_xlfn.IFS(
  ISBLANK(A209),"Missing Value",
  OR(E209&lt;1,E209&gt;5),"Review – Out of Range (Satisfaction)",
  ISNA(MATCH(B209,Customer_Master!$A$2:$A$1649,0)),"Retained – Unmatched ID (Anonymous Feedback Rule)",
  TRUE,"OK"
)</f>
        <v>OK</v>
      </c>
      <c r="I209" s="18" t="b">
        <f>IF(COUNTIF(Customer_Master!$A:$A,B209)=0,TRUE,FALSE)</f>
        <v>0</v>
      </c>
    </row>
    <row r="210" spans="1:9" ht="16.8" x14ac:dyDescent="0.3">
      <c r="A210" s="11" t="s">
        <v>8220</v>
      </c>
      <c r="B210" s="11" t="s">
        <v>2495</v>
      </c>
      <c r="C210" s="12">
        <v>44619</v>
      </c>
      <c r="D210" s="11" t="s">
        <v>7928</v>
      </c>
      <c r="E210" s="11">
        <v>2</v>
      </c>
      <c r="F210" s="11" t="s">
        <v>46</v>
      </c>
      <c r="G210" s="11" t="s">
        <v>45</v>
      </c>
      <c r="H210" s="31" t="str" cm="1">
        <f t="array" ref="H210">_xlfn.IFS(
  ISBLANK(A210),"Missing Value",
  OR(E210&lt;1,E210&gt;5),"Review – Out of Range (Satisfaction)",
  ISNA(MATCH(B210,Customer_Master!$A$2:$A$1649,0)),"Retained – Unmatched ID (Anonymous Feedback Rule)",
  TRUE,"OK"
)</f>
        <v>OK</v>
      </c>
      <c r="I210" s="17" t="b">
        <f>IF(COUNTIF(Customer_Master!$A:$A,B210)=0,TRUE,FALSE)</f>
        <v>0</v>
      </c>
    </row>
    <row r="211" spans="1:9" ht="16.8" x14ac:dyDescent="0.3">
      <c r="A211" s="14" t="s">
        <v>8221</v>
      </c>
      <c r="B211" s="14" t="s">
        <v>1551</v>
      </c>
      <c r="C211" s="15">
        <v>45203</v>
      </c>
      <c r="D211" s="14" t="s">
        <v>7943</v>
      </c>
      <c r="E211" s="14">
        <v>1</v>
      </c>
      <c r="F211" s="14" t="s">
        <v>46</v>
      </c>
      <c r="G211" s="14" t="s">
        <v>46</v>
      </c>
      <c r="H211" s="31" t="str" cm="1">
        <f t="array" ref="H211">_xlfn.IFS(
  ISBLANK(A211),"Missing Value",
  OR(E211&lt;1,E211&gt;5),"Review – Out of Range (Satisfaction)",
  ISNA(MATCH(B211,Customer_Master!$A$2:$A$1649,0)),"Retained – Unmatched ID (Anonymous Feedback Rule)",
  TRUE,"OK"
)</f>
        <v>OK</v>
      </c>
      <c r="I211" s="18" t="b">
        <f>IF(COUNTIF(Customer_Master!$A:$A,B211)=0,TRUE,FALSE)</f>
        <v>0</v>
      </c>
    </row>
    <row r="212" spans="1:9" ht="16.8" x14ac:dyDescent="0.3">
      <c r="A212" s="11" t="s">
        <v>8222</v>
      </c>
      <c r="B212" s="11" t="s">
        <v>1311</v>
      </c>
      <c r="C212" s="12">
        <v>44976</v>
      </c>
      <c r="D212" s="11" t="s">
        <v>7947</v>
      </c>
      <c r="E212" s="11">
        <v>4</v>
      </c>
      <c r="F212" s="11" t="s">
        <v>45</v>
      </c>
      <c r="G212" s="11" t="s">
        <v>46</v>
      </c>
      <c r="H212" s="31" t="str" cm="1">
        <f t="array" ref="H212">_xlfn.IFS(
  ISBLANK(A212),"Missing Value",
  OR(E212&lt;1,E212&gt;5),"Review – Out of Range (Satisfaction)",
  ISNA(MATCH(B212,Customer_Master!$A$2:$A$1649,0)),"Retained – Unmatched ID (Anonymous Feedback Rule)",
  TRUE,"OK"
)</f>
        <v>OK</v>
      </c>
      <c r="I212" s="17" t="b">
        <f>IF(COUNTIF(Customer_Master!$A:$A,B212)=0,TRUE,FALSE)</f>
        <v>0</v>
      </c>
    </row>
    <row r="213" spans="1:9" ht="16.8" x14ac:dyDescent="0.3">
      <c r="A213" s="14" t="s">
        <v>8223</v>
      </c>
      <c r="B213" s="14" t="s">
        <v>1663</v>
      </c>
      <c r="C213" s="15">
        <v>44447</v>
      </c>
      <c r="D213" s="14" t="s">
        <v>7928</v>
      </c>
      <c r="E213" s="14">
        <v>2</v>
      </c>
      <c r="F213" s="14" t="s">
        <v>46</v>
      </c>
      <c r="G213" s="14" t="s">
        <v>45</v>
      </c>
      <c r="H213" s="31" t="str" cm="1">
        <f t="array" ref="H213">_xlfn.IFS(
  ISBLANK(A213),"Missing Value",
  OR(E213&lt;1,E213&gt;5),"Review – Out of Range (Satisfaction)",
  ISNA(MATCH(B213,Customer_Master!$A$2:$A$1649,0)),"Retained – Unmatched ID (Anonymous Feedback Rule)",
  TRUE,"OK"
)</f>
        <v>OK</v>
      </c>
      <c r="I213" s="18" t="b">
        <f>IF(COUNTIF(Customer_Master!$A:$A,B213)=0,TRUE,FALSE)</f>
        <v>0</v>
      </c>
    </row>
    <row r="214" spans="1:9" ht="16.8" x14ac:dyDescent="0.3">
      <c r="A214" s="11" t="s">
        <v>8224</v>
      </c>
      <c r="B214" s="11" t="s">
        <v>454</v>
      </c>
      <c r="C214" s="12">
        <v>44526</v>
      </c>
      <c r="D214" s="11" t="s">
        <v>7935</v>
      </c>
      <c r="E214" s="11">
        <v>4</v>
      </c>
      <c r="F214" s="11" t="s">
        <v>46</v>
      </c>
      <c r="G214" s="11" t="s">
        <v>45</v>
      </c>
      <c r="H214" s="31" t="str" cm="1">
        <f t="array" ref="H214">_xlfn.IFS(
  ISBLANK(A214),"Missing Value",
  OR(E214&lt;1,E214&gt;5),"Review – Out of Range (Satisfaction)",
  ISNA(MATCH(B214,Customer_Master!$A$2:$A$1649,0)),"Retained – Unmatched ID (Anonymous Feedback Rule)",
  TRUE,"OK"
)</f>
        <v>OK</v>
      </c>
      <c r="I214" s="17" t="b">
        <f>IF(COUNTIF(Customer_Master!$A:$A,B214)=0,TRUE,FALSE)</f>
        <v>0</v>
      </c>
    </row>
    <row r="215" spans="1:9" ht="33.6" x14ac:dyDescent="0.3">
      <c r="A215" s="14" t="s">
        <v>8225</v>
      </c>
      <c r="B215" s="14" t="s">
        <v>8226</v>
      </c>
      <c r="C215" s="15">
        <v>44030</v>
      </c>
      <c r="D215" s="14" t="s">
        <v>7969</v>
      </c>
      <c r="E215" s="14">
        <v>2</v>
      </c>
      <c r="F215" s="14" t="s">
        <v>46</v>
      </c>
      <c r="G215" s="14" t="s">
        <v>46</v>
      </c>
      <c r="H215" s="31" t="str" cm="1">
        <f t="array" ref="H215">_xlfn.IFS(
  ISBLANK(A215),"Missing Value",
  OR(E215&lt;1,E215&gt;5),"Review – Out of Range (Satisfaction)",
  ISNA(MATCH(B215,Customer_Master!$A$2:$A$1649,0)),"Retained – Unmatched ID (Anonymous Feedback Rule)",
  TRUE,"OK"
)</f>
        <v>Retained – Unmatched ID (Anonymous Feedback Rule)</v>
      </c>
      <c r="I215" s="18" t="b">
        <f>IF(COUNTIF(Customer_Master!$A:$A,B215)=0,TRUE,FALSE)</f>
        <v>1</v>
      </c>
    </row>
    <row r="216" spans="1:9" ht="16.8" x14ac:dyDescent="0.3">
      <c r="A216" s="11" t="s">
        <v>8227</v>
      </c>
      <c r="B216" s="11" t="s">
        <v>1449</v>
      </c>
      <c r="C216" s="12">
        <v>44502</v>
      </c>
      <c r="D216" s="11" t="s">
        <v>7931</v>
      </c>
      <c r="E216" s="11">
        <v>4</v>
      </c>
      <c r="F216" s="11" t="s">
        <v>46</v>
      </c>
      <c r="G216" s="11" t="s">
        <v>46</v>
      </c>
      <c r="H216" s="31" t="str" cm="1">
        <f t="array" ref="H216">_xlfn.IFS(
  ISBLANK(A216),"Missing Value",
  OR(E216&lt;1,E216&gt;5),"Review – Out of Range (Satisfaction)",
  ISNA(MATCH(B216,Customer_Master!$A$2:$A$1649,0)),"Retained – Unmatched ID (Anonymous Feedback Rule)",
  TRUE,"OK"
)</f>
        <v>OK</v>
      </c>
      <c r="I216" s="17" t="b">
        <f>IF(COUNTIF(Customer_Master!$A:$A,B216)=0,TRUE,FALSE)</f>
        <v>0</v>
      </c>
    </row>
    <row r="217" spans="1:9" ht="16.8" x14ac:dyDescent="0.3">
      <c r="A217" s="14" t="s">
        <v>8228</v>
      </c>
      <c r="B217" s="14" t="s">
        <v>3064</v>
      </c>
      <c r="C217" s="15">
        <v>45167</v>
      </c>
      <c r="D217" s="14" t="s">
        <v>7969</v>
      </c>
      <c r="E217" s="14">
        <v>1</v>
      </c>
      <c r="F217" s="14" t="s">
        <v>46</v>
      </c>
      <c r="G217" s="14" t="s">
        <v>46</v>
      </c>
      <c r="H217" s="31" t="str" cm="1">
        <f t="array" ref="H217">_xlfn.IFS(
  ISBLANK(A217),"Missing Value",
  OR(E217&lt;1,E217&gt;5),"Review – Out of Range (Satisfaction)",
  ISNA(MATCH(B217,Customer_Master!$A$2:$A$1649,0)),"Retained – Unmatched ID (Anonymous Feedback Rule)",
  TRUE,"OK"
)</f>
        <v>OK</v>
      </c>
      <c r="I217" s="18" t="b">
        <f>IF(COUNTIF(Customer_Master!$A:$A,B217)=0,TRUE,FALSE)</f>
        <v>0</v>
      </c>
    </row>
    <row r="218" spans="1:9" ht="16.8" x14ac:dyDescent="0.3">
      <c r="A218" s="11" t="s">
        <v>8229</v>
      </c>
      <c r="B218" s="11" t="s">
        <v>2675</v>
      </c>
      <c r="C218" s="12">
        <v>44254</v>
      </c>
      <c r="D218" s="11" t="s">
        <v>7947</v>
      </c>
      <c r="E218" s="11">
        <v>4</v>
      </c>
      <c r="F218" s="11" t="s">
        <v>46</v>
      </c>
      <c r="G218" s="11" t="s">
        <v>46</v>
      </c>
      <c r="H218" s="31" t="str" cm="1">
        <f t="array" ref="H218">_xlfn.IFS(
  ISBLANK(A218),"Missing Value",
  OR(E218&lt;1,E218&gt;5),"Review – Out of Range (Satisfaction)",
  ISNA(MATCH(B218,Customer_Master!$A$2:$A$1649,0)),"Retained – Unmatched ID (Anonymous Feedback Rule)",
  TRUE,"OK"
)</f>
        <v>OK</v>
      </c>
      <c r="I218" s="17" t="b">
        <f>IF(COUNTIF(Customer_Master!$A:$A,B218)=0,TRUE,FALSE)</f>
        <v>0</v>
      </c>
    </row>
    <row r="219" spans="1:9" ht="16.8" x14ac:dyDescent="0.3">
      <c r="A219" s="14" t="s">
        <v>8230</v>
      </c>
      <c r="B219" s="14" t="s">
        <v>1145</v>
      </c>
      <c r="C219" s="15">
        <v>44312</v>
      </c>
      <c r="D219" s="14" t="s">
        <v>7940</v>
      </c>
      <c r="E219" s="14">
        <v>4</v>
      </c>
      <c r="F219" s="14" t="s">
        <v>46</v>
      </c>
      <c r="G219" s="14" t="s">
        <v>45</v>
      </c>
      <c r="H219" s="31" t="str" cm="1">
        <f t="array" ref="H219">_xlfn.IFS(
  ISBLANK(A219),"Missing Value",
  OR(E219&lt;1,E219&gt;5),"Review – Out of Range (Satisfaction)",
  ISNA(MATCH(B219,Customer_Master!$A$2:$A$1649,0)),"Retained – Unmatched ID (Anonymous Feedback Rule)",
  TRUE,"OK"
)</f>
        <v>OK</v>
      </c>
      <c r="I219" s="18" t="b">
        <f>IF(COUNTIF(Customer_Master!$A:$A,B219)=0,TRUE,FALSE)</f>
        <v>0</v>
      </c>
    </row>
    <row r="220" spans="1:9" ht="33.6" x14ac:dyDescent="0.3">
      <c r="A220" s="11" t="s">
        <v>8231</v>
      </c>
      <c r="B220" s="11" t="s">
        <v>8232</v>
      </c>
      <c r="C220" s="12">
        <v>44775</v>
      </c>
      <c r="D220" s="11" t="s">
        <v>7933</v>
      </c>
      <c r="E220" s="11">
        <v>3</v>
      </c>
      <c r="F220" s="11" t="s">
        <v>46</v>
      </c>
      <c r="G220" s="11" t="s">
        <v>45</v>
      </c>
      <c r="H220" s="31" t="str" cm="1">
        <f t="array" ref="H220">_xlfn.IFS(
  ISBLANK(A220),"Missing Value",
  OR(E220&lt;1,E220&gt;5),"Review – Out of Range (Satisfaction)",
  ISNA(MATCH(B220,Customer_Master!$A$2:$A$1649,0)),"Retained – Unmatched ID (Anonymous Feedback Rule)",
  TRUE,"OK"
)</f>
        <v>Retained – Unmatched ID (Anonymous Feedback Rule)</v>
      </c>
      <c r="I220" s="17" t="b">
        <f>IF(COUNTIF(Customer_Master!$A:$A,B220)=0,TRUE,FALSE)</f>
        <v>1</v>
      </c>
    </row>
    <row r="221" spans="1:9" ht="16.8" x14ac:dyDescent="0.3">
      <c r="A221" s="14" t="s">
        <v>8233</v>
      </c>
      <c r="B221" s="14" t="s">
        <v>2757</v>
      </c>
      <c r="C221" s="15">
        <v>44723</v>
      </c>
      <c r="D221" s="14" t="s">
        <v>7978</v>
      </c>
      <c r="E221" s="14">
        <v>2</v>
      </c>
      <c r="F221" s="14" t="s">
        <v>45</v>
      </c>
      <c r="G221" s="14" t="s">
        <v>46</v>
      </c>
      <c r="H221" s="31" t="str" cm="1">
        <f t="array" ref="H221">_xlfn.IFS(
  ISBLANK(A221),"Missing Value",
  OR(E221&lt;1,E221&gt;5),"Review – Out of Range (Satisfaction)",
  ISNA(MATCH(B221,Customer_Master!$A$2:$A$1649,0)),"Retained – Unmatched ID (Anonymous Feedback Rule)",
  TRUE,"OK"
)</f>
        <v>OK</v>
      </c>
      <c r="I221" s="18" t="b">
        <f>IF(COUNTIF(Customer_Master!$A:$A,B221)=0,TRUE,FALSE)</f>
        <v>0</v>
      </c>
    </row>
    <row r="222" spans="1:9" ht="16.8" x14ac:dyDescent="0.3">
      <c r="A222" s="11" t="s">
        <v>8234</v>
      </c>
      <c r="B222" s="11" t="s">
        <v>3144</v>
      </c>
      <c r="C222" s="12">
        <v>44588</v>
      </c>
      <c r="D222" s="11" t="s">
        <v>7937</v>
      </c>
      <c r="E222" s="11">
        <v>5</v>
      </c>
      <c r="F222" s="11" t="s">
        <v>46</v>
      </c>
      <c r="G222" s="11" t="s">
        <v>46</v>
      </c>
      <c r="H222" s="31" t="str" cm="1">
        <f t="array" ref="H222">_xlfn.IFS(
  ISBLANK(A222),"Missing Value",
  OR(E222&lt;1,E222&gt;5),"Review – Out of Range (Satisfaction)",
  ISNA(MATCH(B222,Customer_Master!$A$2:$A$1649,0)),"Retained – Unmatched ID (Anonymous Feedback Rule)",
  TRUE,"OK"
)</f>
        <v>OK</v>
      </c>
      <c r="I222" s="17" t="b">
        <f>IF(COUNTIF(Customer_Master!$A:$A,B222)=0,TRUE,FALSE)</f>
        <v>0</v>
      </c>
    </row>
    <row r="223" spans="1:9" ht="16.8" x14ac:dyDescent="0.3">
      <c r="A223" s="14" t="s">
        <v>8235</v>
      </c>
      <c r="B223" s="14" t="s">
        <v>1247</v>
      </c>
      <c r="C223" s="15">
        <v>44522</v>
      </c>
      <c r="D223" s="14" t="s">
        <v>7978</v>
      </c>
      <c r="E223" s="14">
        <v>1</v>
      </c>
      <c r="F223" s="14" t="s">
        <v>45</v>
      </c>
      <c r="G223" s="14" t="s">
        <v>46</v>
      </c>
      <c r="H223" s="31" t="str" cm="1">
        <f t="array" ref="H223">_xlfn.IFS(
  ISBLANK(A223),"Missing Value",
  OR(E223&lt;1,E223&gt;5),"Review – Out of Range (Satisfaction)",
  ISNA(MATCH(B223,Customer_Master!$A$2:$A$1649,0)),"Retained – Unmatched ID (Anonymous Feedback Rule)",
  TRUE,"OK"
)</f>
        <v>OK</v>
      </c>
      <c r="I223" s="18" t="b">
        <f>IF(COUNTIF(Customer_Master!$A:$A,B223)=0,TRUE,FALSE)</f>
        <v>0</v>
      </c>
    </row>
    <row r="224" spans="1:9" ht="16.8" x14ac:dyDescent="0.3">
      <c r="A224" s="11" t="s">
        <v>8236</v>
      </c>
      <c r="B224" s="11" t="s">
        <v>819</v>
      </c>
      <c r="C224" s="12">
        <v>44620</v>
      </c>
      <c r="D224" s="11" t="s">
        <v>7928</v>
      </c>
      <c r="E224" s="11">
        <v>2</v>
      </c>
      <c r="F224" s="11" t="s">
        <v>45</v>
      </c>
      <c r="G224" s="11" t="s">
        <v>45</v>
      </c>
      <c r="H224" s="31" t="str" cm="1">
        <f t="array" ref="H224">_xlfn.IFS(
  ISBLANK(A224),"Missing Value",
  OR(E224&lt;1,E224&gt;5),"Review – Out of Range (Satisfaction)",
  ISNA(MATCH(B224,Customer_Master!$A$2:$A$1649,0)),"Retained – Unmatched ID (Anonymous Feedback Rule)",
  TRUE,"OK"
)</f>
        <v>OK</v>
      </c>
      <c r="I224" s="17" t="b">
        <f>IF(COUNTIF(Customer_Master!$A:$A,B224)=0,TRUE,FALSE)</f>
        <v>0</v>
      </c>
    </row>
    <row r="225" spans="1:9" ht="33.6" x14ac:dyDescent="0.3">
      <c r="A225" s="14" t="s">
        <v>8237</v>
      </c>
      <c r="B225" s="14" t="s">
        <v>8238</v>
      </c>
      <c r="C225" s="15">
        <v>44315</v>
      </c>
      <c r="D225" s="14" t="s">
        <v>7935</v>
      </c>
      <c r="E225" s="14">
        <v>4</v>
      </c>
      <c r="F225" s="14" t="s">
        <v>46</v>
      </c>
      <c r="G225" s="14" t="s">
        <v>45</v>
      </c>
      <c r="H225" s="31" t="str" cm="1">
        <f t="array" ref="H225">_xlfn.IFS(
  ISBLANK(A225),"Missing Value",
  OR(E225&lt;1,E225&gt;5),"Review – Out of Range (Satisfaction)",
  ISNA(MATCH(B225,Customer_Master!$A$2:$A$1649,0)),"Retained – Unmatched ID (Anonymous Feedback Rule)",
  TRUE,"OK"
)</f>
        <v>Retained – Unmatched ID (Anonymous Feedback Rule)</v>
      </c>
      <c r="I225" s="18" t="b">
        <f>IF(COUNTIF(Customer_Master!$A:$A,B225)=0,TRUE,FALSE)</f>
        <v>1</v>
      </c>
    </row>
    <row r="226" spans="1:9" ht="16.8" x14ac:dyDescent="0.3">
      <c r="A226" s="11" t="s">
        <v>8239</v>
      </c>
      <c r="B226" s="11" t="s">
        <v>3060</v>
      </c>
      <c r="C226" s="12">
        <v>44150</v>
      </c>
      <c r="D226" s="11" t="s">
        <v>7943</v>
      </c>
      <c r="E226" s="11">
        <v>2</v>
      </c>
      <c r="F226" s="11" t="s">
        <v>46</v>
      </c>
      <c r="G226" s="11" t="s">
        <v>45</v>
      </c>
      <c r="H226" s="31" t="str" cm="1">
        <f t="array" ref="H226">_xlfn.IFS(
  ISBLANK(A226),"Missing Value",
  OR(E226&lt;1,E226&gt;5),"Review – Out of Range (Satisfaction)",
  ISNA(MATCH(B226,Customer_Master!$A$2:$A$1649,0)),"Retained – Unmatched ID (Anonymous Feedback Rule)",
  TRUE,"OK"
)</f>
        <v>OK</v>
      </c>
      <c r="I226" s="17" t="b">
        <f>IF(COUNTIF(Customer_Master!$A:$A,B226)=0,TRUE,FALSE)</f>
        <v>0</v>
      </c>
    </row>
    <row r="227" spans="1:9" ht="33.6" x14ac:dyDescent="0.3">
      <c r="A227" s="14" t="s">
        <v>8240</v>
      </c>
      <c r="B227" s="14" t="s">
        <v>8241</v>
      </c>
      <c r="C227" s="15">
        <v>45104</v>
      </c>
      <c r="D227" s="14" t="s">
        <v>7943</v>
      </c>
      <c r="E227" s="14">
        <v>2</v>
      </c>
      <c r="F227" s="14" t="s">
        <v>45</v>
      </c>
      <c r="G227" s="14" t="s">
        <v>46</v>
      </c>
      <c r="H227" s="31" t="str" cm="1">
        <f t="array" ref="H227">_xlfn.IFS(
  ISBLANK(A227),"Missing Value",
  OR(E227&lt;1,E227&gt;5),"Review – Out of Range (Satisfaction)",
  ISNA(MATCH(B227,Customer_Master!$A$2:$A$1649,0)),"Retained – Unmatched ID (Anonymous Feedback Rule)",
  TRUE,"OK"
)</f>
        <v>Retained – Unmatched ID (Anonymous Feedback Rule)</v>
      </c>
      <c r="I227" s="18" t="b">
        <f>IF(COUNTIF(Customer_Master!$A:$A,B227)=0,TRUE,FALSE)</f>
        <v>1</v>
      </c>
    </row>
    <row r="228" spans="1:9" ht="16.8" x14ac:dyDescent="0.3">
      <c r="A228" s="11" t="s">
        <v>8242</v>
      </c>
      <c r="B228" s="11" t="s">
        <v>126</v>
      </c>
      <c r="C228" s="12">
        <v>43976</v>
      </c>
      <c r="D228" s="11" t="s">
        <v>7969</v>
      </c>
      <c r="E228" s="11">
        <v>2</v>
      </c>
      <c r="F228" s="11" t="s">
        <v>45</v>
      </c>
      <c r="G228" s="11" t="s">
        <v>46</v>
      </c>
      <c r="H228" s="31" t="str" cm="1">
        <f t="array" ref="H228">_xlfn.IFS(
  ISBLANK(A228),"Missing Value",
  OR(E228&lt;1,E228&gt;5),"Review – Out of Range (Satisfaction)",
  ISNA(MATCH(B228,Customer_Master!$A$2:$A$1649,0)),"Retained – Unmatched ID (Anonymous Feedback Rule)",
  TRUE,"OK"
)</f>
        <v>OK</v>
      </c>
      <c r="I228" s="17" t="b">
        <f>IF(COUNTIF(Customer_Master!$A:$A,B228)=0,TRUE,FALSE)</f>
        <v>0</v>
      </c>
    </row>
    <row r="229" spans="1:9" ht="33.6" x14ac:dyDescent="0.3">
      <c r="A229" s="14" t="s">
        <v>8243</v>
      </c>
      <c r="B229" s="14" t="s">
        <v>8244</v>
      </c>
      <c r="C229" s="15">
        <v>44246</v>
      </c>
      <c r="D229" s="14" t="s">
        <v>7928</v>
      </c>
      <c r="E229" s="14">
        <v>2</v>
      </c>
      <c r="F229" s="14" t="s">
        <v>46</v>
      </c>
      <c r="G229" s="14" t="s">
        <v>45</v>
      </c>
      <c r="H229" s="31" t="str" cm="1">
        <f t="array" ref="H229">_xlfn.IFS(
  ISBLANK(A229),"Missing Value",
  OR(E229&lt;1,E229&gt;5),"Review – Out of Range (Satisfaction)",
  ISNA(MATCH(B229,Customer_Master!$A$2:$A$1649,0)),"Retained – Unmatched ID (Anonymous Feedback Rule)",
  TRUE,"OK"
)</f>
        <v>Retained – Unmatched ID (Anonymous Feedback Rule)</v>
      </c>
      <c r="I229" s="18" t="b">
        <f>IF(COUNTIF(Customer_Master!$A:$A,B229)=0,TRUE,FALSE)</f>
        <v>1</v>
      </c>
    </row>
    <row r="230" spans="1:9" ht="16.8" x14ac:dyDescent="0.3">
      <c r="A230" s="11" t="s">
        <v>8245</v>
      </c>
      <c r="B230" s="11" t="s">
        <v>1401</v>
      </c>
      <c r="C230" s="12">
        <v>44714</v>
      </c>
      <c r="D230" s="11" t="s">
        <v>7943</v>
      </c>
      <c r="E230" s="11">
        <v>3</v>
      </c>
      <c r="F230" s="11" t="s">
        <v>46</v>
      </c>
      <c r="G230" s="11" t="s">
        <v>46</v>
      </c>
      <c r="H230" s="31" t="str" cm="1">
        <f t="array" ref="H230">_xlfn.IFS(
  ISBLANK(A230),"Missing Value",
  OR(E230&lt;1,E230&gt;5),"Review – Out of Range (Satisfaction)",
  ISNA(MATCH(B230,Customer_Master!$A$2:$A$1649,0)),"Retained – Unmatched ID (Anonymous Feedback Rule)",
  TRUE,"OK"
)</f>
        <v>OK</v>
      </c>
      <c r="I230" s="17" t="b">
        <f>IF(COUNTIF(Customer_Master!$A:$A,B230)=0,TRUE,FALSE)</f>
        <v>0</v>
      </c>
    </row>
    <row r="231" spans="1:9" ht="16.8" x14ac:dyDescent="0.3">
      <c r="A231" s="14" t="s">
        <v>8246</v>
      </c>
      <c r="B231" s="14" t="s">
        <v>1919</v>
      </c>
      <c r="C231" s="15">
        <v>44219</v>
      </c>
      <c r="D231" s="14" t="s">
        <v>7928</v>
      </c>
      <c r="E231" s="14">
        <v>3</v>
      </c>
      <c r="F231" s="14" t="s">
        <v>46</v>
      </c>
      <c r="G231" s="14" t="s">
        <v>46</v>
      </c>
      <c r="H231" s="31" t="str" cm="1">
        <f t="array" ref="H231">_xlfn.IFS(
  ISBLANK(A231),"Missing Value",
  OR(E231&lt;1,E231&gt;5),"Review – Out of Range (Satisfaction)",
  ISNA(MATCH(B231,Customer_Master!$A$2:$A$1649,0)),"Retained – Unmatched ID (Anonymous Feedback Rule)",
  TRUE,"OK"
)</f>
        <v>OK</v>
      </c>
      <c r="I231" s="18" t="b">
        <f>IF(COUNTIF(Customer_Master!$A:$A,B231)=0,TRUE,FALSE)</f>
        <v>0</v>
      </c>
    </row>
    <row r="232" spans="1:9" ht="16.8" x14ac:dyDescent="0.3">
      <c r="A232" s="11" t="s">
        <v>8247</v>
      </c>
      <c r="B232" s="11" t="s">
        <v>1637</v>
      </c>
      <c r="C232" s="12">
        <v>44034</v>
      </c>
      <c r="D232" s="11" t="s">
        <v>7943</v>
      </c>
      <c r="E232" s="11">
        <v>2</v>
      </c>
      <c r="F232" s="11" t="s">
        <v>46</v>
      </c>
      <c r="G232" s="11" t="s">
        <v>46</v>
      </c>
      <c r="H232" s="31" t="str" cm="1">
        <f t="array" ref="H232">_xlfn.IFS(
  ISBLANK(A232),"Missing Value",
  OR(E232&lt;1,E232&gt;5),"Review – Out of Range (Satisfaction)",
  ISNA(MATCH(B232,Customer_Master!$A$2:$A$1649,0)),"Retained – Unmatched ID (Anonymous Feedback Rule)",
  TRUE,"OK"
)</f>
        <v>OK</v>
      </c>
      <c r="I232" s="17" t="b">
        <f>IF(COUNTIF(Customer_Master!$A:$A,B232)=0,TRUE,FALSE)</f>
        <v>0</v>
      </c>
    </row>
    <row r="233" spans="1:9" ht="16.8" x14ac:dyDescent="0.3">
      <c r="A233" s="14" t="s">
        <v>8248</v>
      </c>
      <c r="B233" s="14" t="s">
        <v>1245</v>
      </c>
      <c r="C233" s="15">
        <v>45205</v>
      </c>
      <c r="D233" s="14" t="s">
        <v>7935</v>
      </c>
      <c r="E233" s="14">
        <v>4</v>
      </c>
      <c r="F233" s="14" t="s">
        <v>46</v>
      </c>
      <c r="G233" s="14" t="s">
        <v>45</v>
      </c>
      <c r="H233" s="31" t="str" cm="1">
        <f t="array" ref="H233">_xlfn.IFS(
  ISBLANK(A233),"Missing Value",
  OR(E233&lt;1,E233&gt;5),"Review – Out of Range (Satisfaction)",
  ISNA(MATCH(B233,Customer_Master!$A$2:$A$1649,0)),"Retained – Unmatched ID (Anonymous Feedback Rule)",
  TRUE,"OK"
)</f>
        <v>OK</v>
      </c>
      <c r="I233" s="18" t="b">
        <f>IF(COUNTIF(Customer_Master!$A:$A,B233)=0,TRUE,FALSE)</f>
        <v>0</v>
      </c>
    </row>
    <row r="234" spans="1:9" ht="16.8" x14ac:dyDescent="0.3">
      <c r="A234" s="11" t="s">
        <v>8249</v>
      </c>
      <c r="B234" s="11" t="s">
        <v>589</v>
      </c>
      <c r="C234" s="12">
        <v>45257</v>
      </c>
      <c r="D234" s="11" t="s">
        <v>7969</v>
      </c>
      <c r="E234" s="11">
        <v>1</v>
      </c>
      <c r="F234" s="11" t="s">
        <v>45</v>
      </c>
      <c r="G234" s="11" t="s">
        <v>45</v>
      </c>
      <c r="H234" s="31" t="str" cm="1">
        <f t="array" ref="H234">_xlfn.IFS(
  ISBLANK(A234),"Missing Value",
  OR(E234&lt;1,E234&gt;5),"Review – Out of Range (Satisfaction)",
  ISNA(MATCH(B234,Customer_Master!$A$2:$A$1649,0)),"Retained – Unmatched ID (Anonymous Feedback Rule)",
  TRUE,"OK"
)</f>
        <v>OK</v>
      </c>
      <c r="I234" s="17" t="b">
        <f>IF(COUNTIF(Customer_Master!$A:$A,B234)=0,TRUE,FALSE)</f>
        <v>0</v>
      </c>
    </row>
    <row r="235" spans="1:9" ht="33.6" x14ac:dyDescent="0.3">
      <c r="A235" s="14" t="s">
        <v>8250</v>
      </c>
      <c r="B235" s="14" t="s">
        <v>8251</v>
      </c>
      <c r="C235" s="15">
        <v>44878</v>
      </c>
      <c r="D235" s="14" t="s">
        <v>7933</v>
      </c>
      <c r="E235" s="14">
        <v>2</v>
      </c>
      <c r="F235" s="14" t="s">
        <v>46</v>
      </c>
      <c r="G235" s="14" t="s">
        <v>46</v>
      </c>
      <c r="H235" s="31" t="str" cm="1">
        <f t="array" ref="H235">_xlfn.IFS(
  ISBLANK(A235),"Missing Value",
  OR(E235&lt;1,E235&gt;5),"Review – Out of Range (Satisfaction)",
  ISNA(MATCH(B235,Customer_Master!$A$2:$A$1649,0)),"Retained – Unmatched ID (Anonymous Feedback Rule)",
  TRUE,"OK"
)</f>
        <v>Retained – Unmatched ID (Anonymous Feedback Rule)</v>
      </c>
      <c r="I235" s="18" t="b">
        <f>IF(COUNTIF(Customer_Master!$A:$A,B235)=0,TRUE,FALSE)</f>
        <v>1</v>
      </c>
    </row>
    <row r="236" spans="1:9" ht="16.8" x14ac:dyDescent="0.3">
      <c r="A236" s="11" t="s">
        <v>8252</v>
      </c>
      <c r="B236" s="11" t="s">
        <v>1491</v>
      </c>
      <c r="C236" s="12">
        <v>44589</v>
      </c>
      <c r="D236" s="11" t="s">
        <v>7928</v>
      </c>
      <c r="E236" s="11">
        <v>3</v>
      </c>
      <c r="F236" s="11" t="s">
        <v>46</v>
      </c>
      <c r="G236" s="11" t="s">
        <v>46</v>
      </c>
      <c r="H236" s="31" t="str" cm="1">
        <f t="array" ref="H236">_xlfn.IFS(
  ISBLANK(A236),"Missing Value",
  OR(E236&lt;1,E236&gt;5),"Review – Out of Range (Satisfaction)",
  ISNA(MATCH(B236,Customer_Master!$A$2:$A$1649,0)),"Retained – Unmatched ID (Anonymous Feedback Rule)",
  TRUE,"OK"
)</f>
        <v>OK</v>
      </c>
      <c r="I236" s="17" t="b">
        <f>IF(COUNTIF(Customer_Master!$A:$A,B236)=0,TRUE,FALSE)</f>
        <v>0</v>
      </c>
    </row>
    <row r="237" spans="1:9" ht="16.8" x14ac:dyDescent="0.3">
      <c r="A237" s="14" t="s">
        <v>8253</v>
      </c>
      <c r="B237" s="14" t="s">
        <v>761</v>
      </c>
      <c r="C237" s="15">
        <v>43987</v>
      </c>
      <c r="D237" s="14" t="s">
        <v>7935</v>
      </c>
      <c r="E237" s="14">
        <v>4</v>
      </c>
      <c r="F237" s="14" t="s">
        <v>46</v>
      </c>
      <c r="G237" s="14" t="s">
        <v>46</v>
      </c>
      <c r="H237" s="31" t="str" cm="1">
        <f t="array" ref="H237">_xlfn.IFS(
  ISBLANK(A237),"Missing Value",
  OR(E237&lt;1,E237&gt;5),"Review – Out of Range (Satisfaction)",
  ISNA(MATCH(B237,Customer_Master!$A$2:$A$1649,0)),"Retained – Unmatched ID (Anonymous Feedback Rule)",
  TRUE,"OK"
)</f>
        <v>OK</v>
      </c>
      <c r="I237" s="18" t="b">
        <f>IF(COUNTIF(Customer_Master!$A:$A,B237)=0,TRUE,FALSE)</f>
        <v>0</v>
      </c>
    </row>
    <row r="238" spans="1:9" ht="33.6" x14ac:dyDescent="0.3">
      <c r="A238" s="11" t="s">
        <v>8254</v>
      </c>
      <c r="B238" s="11" t="s">
        <v>7989</v>
      </c>
      <c r="C238" s="12">
        <v>45188</v>
      </c>
      <c r="D238" s="11" t="s">
        <v>7933</v>
      </c>
      <c r="E238" s="11">
        <v>2</v>
      </c>
      <c r="F238" s="11" t="s">
        <v>46</v>
      </c>
      <c r="G238" s="11" t="s">
        <v>45</v>
      </c>
      <c r="H238" s="31" t="str" cm="1">
        <f t="array" ref="H238">_xlfn.IFS(
  ISBLANK(A238),"Missing Value",
  OR(E238&lt;1,E238&gt;5),"Review – Out of Range (Satisfaction)",
  ISNA(MATCH(B238,Customer_Master!$A$2:$A$1649,0)),"Retained – Unmatched ID (Anonymous Feedback Rule)",
  TRUE,"OK"
)</f>
        <v>Retained – Unmatched ID (Anonymous Feedback Rule)</v>
      </c>
      <c r="I238" s="17" t="b">
        <f>IF(COUNTIF(Customer_Master!$A:$A,B238)=0,TRUE,FALSE)</f>
        <v>1</v>
      </c>
    </row>
    <row r="239" spans="1:9" ht="33.6" x14ac:dyDescent="0.3">
      <c r="A239" s="14" t="s">
        <v>8255</v>
      </c>
      <c r="B239" s="14" t="s">
        <v>8256</v>
      </c>
      <c r="C239" s="15">
        <v>44279</v>
      </c>
      <c r="D239" s="14" t="s">
        <v>7933</v>
      </c>
      <c r="E239" s="14">
        <v>2</v>
      </c>
      <c r="F239" s="14" t="s">
        <v>46</v>
      </c>
      <c r="G239" s="14" t="s">
        <v>46</v>
      </c>
      <c r="H239" s="31" t="str" cm="1">
        <f t="array" ref="H239">_xlfn.IFS(
  ISBLANK(A239),"Missing Value",
  OR(E239&lt;1,E239&gt;5),"Review – Out of Range (Satisfaction)",
  ISNA(MATCH(B239,Customer_Master!$A$2:$A$1649,0)),"Retained – Unmatched ID (Anonymous Feedback Rule)",
  TRUE,"OK"
)</f>
        <v>Retained – Unmatched ID (Anonymous Feedback Rule)</v>
      </c>
      <c r="I239" s="18" t="b">
        <f>IF(COUNTIF(Customer_Master!$A:$A,B239)=0,TRUE,FALSE)</f>
        <v>1</v>
      </c>
    </row>
    <row r="240" spans="1:9" ht="16.8" x14ac:dyDescent="0.3">
      <c r="A240" s="11" t="s">
        <v>8257</v>
      </c>
      <c r="B240" s="11" t="s">
        <v>1961</v>
      </c>
      <c r="C240" s="12">
        <v>44216</v>
      </c>
      <c r="D240" s="11" t="s">
        <v>7933</v>
      </c>
      <c r="E240" s="11">
        <v>2</v>
      </c>
      <c r="F240" s="11" t="s">
        <v>46</v>
      </c>
      <c r="G240" s="11" t="s">
        <v>45</v>
      </c>
      <c r="H240" s="31" t="str" cm="1">
        <f t="array" ref="H240">_xlfn.IFS(
  ISBLANK(A240),"Missing Value",
  OR(E240&lt;1,E240&gt;5),"Review – Out of Range (Satisfaction)",
  ISNA(MATCH(B240,Customer_Master!$A$2:$A$1649,0)),"Retained – Unmatched ID (Anonymous Feedback Rule)",
  TRUE,"OK"
)</f>
        <v>OK</v>
      </c>
      <c r="I240" s="17" t="b">
        <f>IF(COUNTIF(Customer_Master!$A:$A,B240)=0,TRUE,FALSE)</f>
        <v>0</v>
      </c>
    </row>
    <row r="241" spans="1:9" ht="16.8" x14ac:dyDescent="0.3">
      <c r="A241" s="14" t="s">
        <v>8258</v>
      </c>
      <c r="B241" s="14" t="s">
        <v>2127</v>
      </c>
      <c r="C241" s="15">
        <v>43867</v>
      </c>
      <c r="D241" s="14" t="s">
        <v>7937</v>
      </c>
      <c r="E241" s="14">
        <v>4</v>
      </c>
      <c r="F241" s="14" t="s">
        <v>46</v>
      </c>
      <c r="G241" s="14" t="s">
        <v>45</v>
      </c>
      <c r="H241" s="31" t="str" cm="1">
        <f t="array" ref="H241">_xlfn.IFS(
  ISBLANK(A241),"Missing Value",
  OR(E241&lt;1,E241&gt;5),"Review – Out of Range (Satisfaction)",
  ISNA(MATCH(B241,Customer_Master!$A$2:$A$1649,0)),"Retained – Unmatched ID (Anonymous Feedback Rule)",
  TRUE,"OK"
)</f>
        <v>OK</v>
      </c>
      <c r="I241" s="18" t="b">
        <f>IF(COUNTIF(Customer_Master!$A:$A,B241)=0,TRUE,FALSE)</f>
        <v>0</v>
      </c>
    </row>
    <row r="242" spans="1:9" ht="33.6" x14ac:dyDescent="0.3">
      <c r="A242" s="11" t="s">
        <v>8259</v>
      </c>
      <c r="B242" s="11" t="s">
        <v>8260</v>
      </c>
      <c r="C242" s="12">
        <v>44073</v>
      </c>
      <c r="D242" s="11" t="s">
        <v>7947</v>
      </c>
      <c r="E242" s="11">
        <v>5</v>
      </c>
      <c r="F242" s="11" t="s">
        <v>46</v>
      </c>
      <c r="G242" s="11" t="s">
        <v>45</v>
      </c>
      <c r="H242" s="31" t="str" cm="1">
        <f t="array" ref="H242">_xlfn.IFS(
  ISBLANK(A242),"Missing Value",
  OR(E242&lt;1,E242&gt;5),"Review – Out of Range (Satisfaction)",
  ISNA(MATCH(B242,Customer_Master!$A$2:$A$1649,0)),"Retained – Unmatched ID (Anonymous Feedback Rule)",
  TRUE,"OK"
)</f>
        <v>Retained – Unmatched ID (Anonymous Feedback Rule)</v>
      </c>
      <c r="I242" s="17" t="b">
        <f>IF(COUNTIF(Customer_Master!$A:$A,B242)=0,TRUE,FALSE)</f>
        <v>1</v>
      </c>
    </row>
    <row r="243" spans="1:9" ht="16.8" x14ac:dyDescent="0.3">
      <c r="A243" s="14" t="s">
        <v>8261</v>
      </c>
      <c r="B243" s="14" t="s">
        <v>1659</v>
      </c>
      <c r="C243" s="15">
        <v>44481</v>
      </c>
      <c r="D243" s="14" t="s">
        <v>7928</v>
      </c>
      <c r="E243" s="14">
        <v>1</v>
      </c>
      <c r="F243" s="14" t="s">
        <v>45</v>
      </c>
      <c r="G243" s="14" t="s">
        <v>46</v>
      </c>
      <c r="H243" s="31" t="str" cm="1">
        <f t="array" ref="H243">_xlfn.IFS(
  ISBLANK(A243),"Missing Value",
  OR(E243&lt;1,E243&gt;5),"Review – Out of Range (Satisfaction)",
  ISNA(MATCH(B243,Customer_Master!$A$2:$A$1649,0)),"Retained – Unmatched ID (Anonymous Feedback Rule)",
  TRUE,"OK"
)</f>
        <v>OK</v>
      </c>
      <c r="I243" s="18" t="b">
        <f>IF(COUNTIF(Customer_Master!$A:$A,B243)=0,TRUE,FALSE)</f>
        <v>0</v>
      </c>
    </row>
    <row r="244" spans="1:9" ht="33.6" x14ac:dyDescent="0.3">
      <c r="A244" s="11" t="s">
        <v>8262</v>
      </c>
      <c r="B244" s="11" t="s">
        <v>8214</v>
      </c>
      <c r="C244" s="12">
        <v>44587</v>
      </c>
      <c r="D244" s="11" t="s">
        <v>7947</v>
      </c>
      <c r="E244" s="11">
        <v>3</v>
      </c>
      <c r="F244" s="11" t="s">
        <v>46</v>
      </c>
      <c r="G244" s="11" t="s">
        <v>45</v>
      </c>
      <c r="H244" s="31" t="str" cm="1">
        <f t="array" ref="H244">_xlfn.IFS(
  ISBLANK(A244),"Missing Value",
  OR(E244&lt;1,E244&gt;5),"Review – Out of Range (Satisfaction)",
  ISNA(MATCH(B244,Customer_Master!$A$2:$A$1649,0)),"Retained – Unmatched ID (Anonymous Feedback Rule)",
  TRUE,"OK"
)</f>
        <v>Retained – Unmatched ID (Anonymous Feedback Rule)</v>
      </c>
      <c r="I244" s="17" t="b">
        <f>IF(COUNTIF(Customer_Master!$A:$A,B244)=0,TRUE,FALSE)</f>
        <v>1</v>
      </c>
    </row>
    <row r="245" spans="1:9" ht="16.8" x14ac:dyDescent="0.3">
      <c r="A245" s="14" t="s">
        <v>8263</v>
      </c>
      <c r="B245" s="14" t="s">
        <v>895</v>
      </c>
      <c r="C245" s="15">
        <v>44756</v>
      </c>
      <c r="D245" s="14" t="s">
        <v>7947</v>
      </c>
      <c r="E245" s="14">
        <v>5</v>
      </c>
      <c r="F245" s="14" t="s">
        <v>45</v>
      </c>
      <c r="G245" s="14" t="s">
        <v>45</v>
      </c>
      <c r="H245" s="31" t="str" cm="1">
        <f t="array" ref="H245">_xlfn.IFS(
  ISBLANK(A245),"Missing Value",
  OR(E245&lt;1,E245&gt;5),"Review – Out of Range (Satisfaction)",
  ISNA(MATCH(B245,Customer_Master!$A$2:$A$1649,0)),"Retained – Unmatched ID (Anonymous Feedback Rule)",
  TRUE,"OK"
)</f>
        <v>OK</v>
      </c>
      <c r="I245" s="18" t="b">
        <f>IF(COUNTIF(Customer_Master!$A:$A,B245)=0,TRUE,FALSE)</f>
        <v>0</v>
      </c>
    </row>
    <row r="246" spans="1:9" ht="16.8" x14ac:dyDescent="0.3">
      <c r="A246" s="11" t="s">
        <v>8264</v>
      </c>
      <c r="B246" s="11" t="s">
        <v>541</v>
      </c>
      <c r="C246" s="12">
        <v>44767</v>
      </c>
      <c r="D246" s="11" t="s">
        <v>7947</v>
      </c>
      <c r="E246" s="11">
        <v>3</v>
      </c>
      <c r="F246" s="11" t="s">
        <v>45</v>
      </c>
      <c r="G246" s="11" t="s">
        <v>45</v>
      </c>
      <c r="H246" s="31" t="str" cm="1">
        <f t="array" ref="H246">_xlfn.IFS(
  ISBLANK(A246),"Missing Value",
  OR(E246&lt;1,E246&gt;5),"Review – Out of Range (Satisfaction)",
  ISNA(MATCH(B246,Customer_Master!$A$2:$A$1649,0)),"Retained – Unmatched ID (Anonymous Feedback Rule)",
  TRUE,"OK"
)</f>
        <v>OK</v>
      </c>
      <c r="I246" s="17" t="b">
        <f>IF(COUNTIF(Customer_Master!$A:$A,B246)=0,TRUE,FALSE)</f>
        <v>0</v>
      </c>
    </row>
    <row r="247" spans="1:9" ht="16.8" x14ac:dyDescent="0.3">
      <c r="A247" s="14" t="s">
        <v>8265</v>
      </c>
      <c r="B247" s="14" t="s">
        <v>3316</v>
      </c>
      <c r="C247" s="15">
        <v>44196</v>
      </c>
      <c r="D247" s="14" t="s">
        <v>7933</v>
      </c>
      <c r="E247" s="14">
        <v>2</v>
      </c>
      <c r="F247" s="14" t="s">
        <v>45</v>
      </c>
      <c r="G247" s="14" t="s">
        <v>45</v>
      </c>
      <c r="H247" s="31" t="str" cm="1">
        <f t="array" ref="H247">_xlfn.IFS(
  ISBLANK(A247),"Missing Value",
  OR(E247&lt;1,E247&gt;5),"Review – Out of Range (Satisfaction)",
  ISNA(MATCH(B247,Customer_Master!$A$2:$A$1649,0)),"Retained – Unmatched ID (Anonymous Feedback Rule)",
  TRUE,"OK"
)</f>
        <v>OK</v>
      </c>
      <c r="I247" s="18" t="b">
        <f>IF(COUNTIF(Customer_Master!$A:$A,B247)=0,TRUE,FALSE)</f>
        <v>0</v>
      </c>
    </row>
    <row r="248" spans="1:9" ht="16.8" x14ac:dyDescent="0.3">
      <c r="A248" s="11" t="s">
        <v>8266</v>
      </c>
      <c r="B248" s="11" t="s">
        <v>1665</v>
      </c>
      <c r="C248" s="12">
        <v>44390</v>
      </c>
      <c r="D248" s="11" t="s">
        <v>7940</v>
      </c>
      <c r="E248" s="11">
        <v>5</v>
      </c>
      <c r="F248" s="11" t="s">
        <v>46</v>
      </c>
      <c r="G248" s="11" t="s">
        <v>46</v>
      </c>
      <c r="H248" s="31" t="str" cm="1">
        <f t="array" ref="H248">_xlfn.IFS(
  ISBLANK(A248),"Missing Value",
  OR(E248&lt;1,E248&gt;5),"Review – Out of Range (Satisfaction)",
  ISNA(MATCH(B248,Customer_Master!$A$2:$A$1649,0)),"Retained – Unmatched ID (Anonymous Feedback Rule)",
  TRUE,"OK"
)</f>
        <v>OK</v>
      </c>
      <c r="I248" s="17" t="b">
        <f>IF(COUNTIF(Customer_Master!$A:$A,B248)=0,TRUE,FALSE)</f>
        <v>0</v>
      </c>
    </row>
    <row r="249" spans="1:9" ht="33.6" x14ac:dyDescent="0.3">
      <c r="A249" s="14" t="s">
        <v>8267</v>
      </c>
      <c r="B249" s="14" t="s">
        <v>8268</v>
      </c>
      <c r="C249" s="15">
        <v>44915</v>
      </c>
      <c r="D249" s="14" t="s">
        <v>7943</v>
      </c>
      <c r="E249" s="14">
        <v>3</v>
      </c>
      <c r="F249" s="14" t="s">
        <v>45</v>
      </c>
      <c r="G249" s="14" t="s">
        <v>45</v>
      </c>
      <c r="H249" s="31" t="str" cm="1">
        <f t="array" ref="H249">_xlfn.IFS(
  ISBLANK(A249),"Missing Value",
  OR(E249&lt;1,E249&gt;5),"Review – Out of Range (Satisfaction)",
  ISNA(MATCH(B249,Customer_Master!$A$2:$A$1649,0)),"Retained – Unmatched ID (Anonymous Feedback Rule)",
  TRUE,"OK"
)</f>
        <v>Retained – Unmatched ID (Anonymous Feedback Rule)</v>
      </c>
      <c r="I249" s="18" t="b">
        <f>IF(COUNTIF(Customer_Master!$A:$A,B249)=0,TRUE,FALSE)</f>
        <v>1</v>
      </c>
    </row>
    <row r="250" spans="1:9" ht="33.6" x14ac:dyDescent="0.3">
      <c r="A250" s="11" t="s">
        <v>8269</v>
      </c>
      <c r="B250" s="11" t="s">
        <v>8270</v>
      </c>
      <c r="C250" s="12">
        <v>43888</v>
      </c>
      <c r="D250" s="11" t="s">
        <v>7947</v>
      </c>
      <c r="E250" s="11">
        <v>4</v>
      </c>
      <c r="F250" s="11" t="s">
        <v>46</v>
      </c>
      <c r="G250" s="11" t="s">
        <v>45</v>
      </c>
      <c r="H250" s="31" t="str" cm="1">
        <f t="array" ref="H250">_xlfn.IFS(
  ISBLANK(A250),"Missing Value",
  OR(E250&lt;1,E250&gt;5),"Review – Out of Range (Satisfaction)",
  ISNA(MATCH(B250,Customer_Master!$A$2:$A$1649,0)),"Retained – Unmatched ID (Anonymous Feedback Rule)",
  TRUE,"OK"
)</f>
        <v>Retained – Unmatched ID (Anonymous Feedback Rule)</v>
      </c>
      <c r="I250" s="17" t="b">
        <f>IF(COUNTIF(Customer_Master!$A:$A,B250)=0,TRUE,FALSE)</f>
        <v>1</v>
      </c>
    </row>
    <row r="251" spans="1:9" ht="33.6" x14ac:dyDescent="0.3">
      <c r="A251" s="14" t="s">
        <v>8271</v>
      </c>
      <c r="B251" s="14" t="s">
        <v>8272</v>
      </c>
      <c r="C251" s="15">
        <v>45012</v>
      </c>
      <c r="D251" s="14" t="s">
        <v>7937</v>
      </c>
      <c r="E251" s="14">
        <v>4</v>
      </c>
      <c r="F251" s="14" t="s">
        <v>46</v>
      </c>
      <c r="G251" s="14" t="s">
        <v>45</v>
      </c>
      <c r="H251" s="31" t="str" cm="1">
        <f t="array" ref="H251">_xlfn.IFS(
  ISBLANK(A251),"Missing Value",
  OR(E251&lt;1,E251&gt;5),"Review – Out of Range (Satisfaction)",
  ISNA(MATCH(B251,Customer_Master!$A$2:$A$1649,0)),"Retained – Unmatched ID (Anonymous Feedback Rule)",
  TRUE,"OK"
)</f>
        <v>Retained – Unmatched ID (Anonymous Feedback Rule)</v>
      </c>
      <c r="I251" s="18" t="b">
        <f>IF(COUNTIF(Customer_Master!$A:$A,B251)=0,TRUE,FALSE)</f>
        <v>1</v>
      </c>
    </row>
    <row r="252" spans="1:9" ht="16.8" x14ac:dyDescent="0.3">
      <c r="A252" s="11" t="s">
        <v>8273</v>
      </c>
      <c r="B252" s="11" t="s">
        <v>695</v>
      </c>
      <c r="C252" s="12">
        <v>44127</v>
      </c>
      <c r="D252" s="11" t="s">
        <v>7943</v>
      </c>
      <c r="E252" s="11">
        <v>2</v>
      </c>
      <c r="F252" s="11" t="s">
        <v>46</v>
      </c>
      <c r="G252" s="11" t="s">
        <v>45</v>
      </c>
      <c r="H252" s="31" t="str" cm="1">
        <f t="array" ref="H252">_xlfn.IFS(
  ISBLANK(A252),"Missing Value",
  OR(E252&lt;1,E252&gt;5),"Review – Out of Range (Satisfaction)",
  ISNA(MATCH(B252,Customer_Master!$A$2:$A$1649,0)),"Retained – Unmatched ID (Anonymous Feedback Rule)",
  TRUE,"OK"
)</f>
        <v>OK</v>
      </c>
      <c r="I252" s="17" t="b">
        <f>IF(COUNTIF(Customer_Master!$A:$A,B252)=0,TRUE,FALSE)</f>
        <v>0</v>
      </c>
    </row>
    <row r="253" spans="1:9" ht="16.8" x14ac:dyDescent="0.3">
      <c r="A253" s="14" t="s">
        <v>8274</v>
      </c>
      <c r="B253" s="14" t="s">
        <v>2787</v>
      </c>
      <c r="C253" s="15">
        <v>44962</v>
      </c>
      <c r="D253" s="14" t="s">
        <v>7947</v>
      </c>
      <c r="E253" s="14">
        <v>5</v>
      </c>
      <c r="F253" s="14" t="s">
        <v>46</v>
      </c>
      <c r="G253" s="14" t="s">
        <v>46</v>
      </c>
      <c r="H253" s="31" t="str" cm="1">
        <f t="array" ref="H253">_xlfn.IFS(
  ISBLANK(A253),"Missing Value",
  OR(E253&lt;1,E253&gt;5),"Review – Out of Range (Satisfaction)",
  ISNA(MATCH(B253,Customer_Master!$A$2:$A$1649,0)),"Retained – Unmatched ID (Anonymous Feedback Rule)",
  TRUE,"OK"
)</f>
        <v>OK</v>
      </c>
      <c r="I253" s="18" t="b">
        <f>IF(COUNTIF(Customer_Master!$A:$A,B253)=0,TRUE,FALSE)</f>
        <v>0</v>
      </c>
    </row>
    <row r="254" spans="1:9" ht="16.8" x14ac:dyDescent="0.3">
      <c r="A254" s="11" t="s">
        <v>8275</v>
      </c>
      <c r="B254" s="11" t="s">
        <v>3108</v>
      </c>
      <c r="C254" s="12">
        <v>44623</v>
      </c>
      <c r="D254" s="11" t="s">
        <v>7931</v>
      </c>
      <c r="E254" s="11">
        <v>5</v>
      </c>
      <c r="F254" s="11" t="s">
        <v>46</v>
      </c>
      <c r="G254" s="11" t="s">
        <v>45</v>
      </c>
      <c r="H254" s="31" t="str" cm="1">
        <f t="array" ref="H254">_xlfn.IFS(
  ISBLANK(A254),"Missing Value",
  OR(E254&lt;1,E254&gt;5),"Review – Out of Range (Satisfaction)",
  ISNA(MATCH(B254,Customer_Master!$A$2:$A$1649,0)),"Retained – Unmatched ID (Anonymous Feedback Rule)",
  TRUE,"OK"
)</f>
        <v>OK</v>
      </c>
      <c r="I254" s="17" t="b">
        <f>IF(COUNTIF(Customer_Master!$A:$A,B254)=0,TRUE,FALSE)</f>
        <v>0</v>
      </c>
    </row>
    <row r="255" spans="1:9" ht="33.6" x14ac:dyDescent="0.3">
      <c r="A255" s="14" t="s">
        <v>8276</v>
      </c>
      <c r="B255" s="14" t="s">
        <v>8277</v>
      </c>
      <c r="C255" s="15">
        <v>45209</v>
      </c>
      <c r="D255" s="14" t="s">
        <v>7928</v>
      </c>
      <c r="E255" s="14">
        <v>3</v>
      </c>
      <c r="F255" s="14" t="s">
        <v>46</v>
      </c>
      <c r="G255" s="14" t="s">
        <v>45</v>
      </c>
      <c r="H255" s="31" t="str" cm="1">
        <f t="array" ref="H255">_xlfn.IFS(
  ISBLANK(A255),"Missing Value",
  OR(E255&lt;1,E255&gt;5),"Review – Out of Range (Satisfaction)",
  ISNA(MATCH(B255,Customer_Master!$A$2:$A$1649,0)),"Retained – Unmatched ID (Anonymous Feedback Rule)",
  TRUE,"OK"
)</f>
        <v>Retained – Unmatched ID (Anonymous Feedback Rule)</v>
      </c>
      <c r="I255" s="18" t="b">
        <f>IF(COUNTIF(Customer_Master!$A:$A,B255)=0,TRUE,FALSE)</f>
        <v>1</v>
      </c>
    </row>
    <row r="256" spans="1:9" ht="16.8" x14ac:dyDescent="0.3">
      <c r="A256" s="11" t="s">
        <v>8278</v>
      </c>
      <c r="B256" s="11" t="s">
        <v>202</v>
      </c>
      <c r="C256" s="12">
        <v>44562</v>
      </c>
      <c r="D256" s="11" t="s">
        <v>7933</v>
      </c>
      <c r="E256" s="11">
        <v>3</v>
      </c>
      <c r="F256" s="11" t="s">
        <v>45</v>
      </c>
      <c r="G256" s="11" t="s">
        <v>45</v>
      </c>
      <c r="H256" s="31" t="str" cm="1">
        <f t="array" ref="H256">_xlfn.IFS(
  ISBLANK(A256),"Missing Value",
  OR(E256&lt;1,E256&gt;5),"Review – Out of Range (Satisfaction)",
  ISNA(MATCH(B256,Customer_Master!$A$2:$A$1649,0)),"Retained – Unmatched ID (Anonymous Feedback Rule)",
  TRUE,"OK"
)</f>
        <v>OK</v>
      </c>
      <c r="I256" s="17" t="b">
        <f>IF(COUNTIF(Customer_Master!$A:$A,B256)=0,TRUE,FALSE)</f>
        <v>0</v>
      </c>
    </row>
    <row r="257" spans="1:9" ht="16.8" x14ac:dyDescent="0.3">
      <c r="A257" s="14" t="s">
        <v>8279</v>
      </c>
      <c r="B257" s="14" t="s">
        <v>2275</v>
      </c>
      <c r="C257" s="15">
        <v>44049</v>
      </c>
      <c r="D257" s="14" t="s">
        <v>7947</v>
      </c>
      <c r="E257" s="14">
        <v>5</v>
      </c>
      <c r="F257" s="14" t="s">
        <v>45</v>
      </c>
      <c r="G257" s="14" t="s">
        <v>46</v>
      </c>
      <c r="H257" s="31" t="str" cm="1">
        <f t="array" ref="H257">_xlfn.IFS(
  ISBLANK(A257),"Missing Value",
  OR(E257&lt;1,E257&gt;5),"Review – Out of Range (Satisfaction)",
  ISNA(MATCH(B257,Customer_Master!$A$2:$A$1649,0)),"Retained – Unmatched ID (Anonymous Feedback Rule)",
  TRUE,"OK"
)</f>
        <v>OK</v>
      </c>
      <c r="I257" s="18" t="b">
        <f>IF(COUNTIF(Customer_Master!$A:$A,B257)=0,TRUE,FALSE)</f>
        <v>0</v>
      </c>
    </row>
    <row r="258" spans="1:9" ht="16.8" x14ac:dyDescent="0.3">
      <c r="A258" s="11" t="s">
        <v>8280</v>
      </c>
      <c r="B258" s="11" t="s">
        <v>2855</v>
      </c>
      <c r="C258" s="12">
        <v>44934</v>
      </c>
      <c r="D258" s="11" t="s">
        <v>7928</v>
      </c>
      <c r="E258" s="11">
        <v>2</v>
      </c>
      <c r="F258" s="11" t="s">
        <v>45</v>
      </c>
      <c r="G258" s="11" t="s">
        <v>45</v>
      </c>
      <c r="H258" s="31" t="str" cm="1">
        <f t="array" ref="H258">_xlfn.IFS(
  ISBLANK(A258),"Missing Value",
  OR(E258&lt;1,E258&gt;5),"Review – Out of Range (Satisfaction)",
  ISNA(MATCH(B258,Customer_Master!$A$2:$A$1649,0)),"Retained – Unmatched ID (Anonymous Feedback Rule)",
  TRUE,"OK"
)</f>
        <v>OK</v>
      </c>
      <c r="I258" s="17" t="b">
        <f>IF(COUNTIF(Customer_Master!$A:$A,B258)=0,TRUE,FALSE)</f>
        <v>0</v>
      </c>
    </row>
    <row r="259" spans="1:9" ht="33.6" x14ac:dyDescent="0.3">
      <c r="A259" s="14" t="s">
        <v>8281</v>
      </c>
      <c r="B259" s="14" t="s">
        <v>8282</v>
      </c>
      <c r="C259" s="15">
        <v>44325</v>
      </c>
      <c r="D259" s="14" t="s">
        <v>7931</v>
      </c>
      <c r="E259" s="14">
        <v>5</v>
      </c>
      <c r="F259" s="14" t="s">
        <v>45</v>
      </c>
      <c r="G259" s="14" t="s">
        <v>45</v>
      </c>
      <c r="H259" s="31" t="str" cm="1">
        <f t="array" ref="H259">_xlfn.IFS(
  ISBLANK(A259),"Missing Value",
  OR(E259&lt;1,E259&gt;5),"Review – Out of Range (Satisfaction)",
  ISNA(MATCH(B259,Customer_Master!$A$2:$A$1649,0)),"Retained – Unmatched ID (Anonymous Feedback Rule)",
  TRUE,"OK"
)</f>
        <v>Retained – Unmatched ID (Anonymous Feedback Rule)</v>
      </c>
      <c r="I259" s="18" t="b">
        <f>IF(COUNTIF(Customer_Master!$A:$A,B259)=0,TRUE,FALSE)</f>
        <v>1</v>
      </c>
    </row>
    <row r="260" spans="1:9" ht="33.6" x14ac:dyDescent="0.3">
      <c r="A260" s="11" t="s">
        <v>8283</v>
      </c>
      <c r="B260" s="11" t="s">
        <v>8284</v>
      </c>
      <c r="C260" s="12">
        <v>45166</v>
      </c>
      <c r="D260" s="11" t="s">
        <v>7933</v>
      </c>
      <c r="E260" s="11">
        <v>2</v>
      </c>
      <c r="F260" s="11" t="s">
        <v>46</v>
      </c>
      <c r="G260" s="11" t="s">
        <v>45</v>
      </c>
      <c r="H260" s="31" t="str" cm="1">
        <f t="array" ref="H260">_xlfn.IFS(
  ISBLANK(A260),"Missing Value",
  OR(E260&lt;1,E260&gt;5),"Review – Out of Range (Satisfaction)",
  ISNA(MATCH(B260,Customer_Master!$A$2:$A$1649,0)),"Retained – Unmatched ID (Anonymous Feedback Rule)",
  TRUE,"OK"
)</f>
        <v>Retained – Unmatched ID (Anonymous Feedback Rule)</v>
      </c>
      <c r="I260" s="17" t="b">
        <f>IF(COUNTIF(Customer_Master!$A:$A,B260)=0,TRUE,FALSE)</f>
        <v>1</v>
      </c>
    </row>
    <row r="261" spans="1:9" ht="16.8" x14ac:dyDescent="0.3">
      <c r="A261" s="14" t="s">
        <v>8285</v>
      </c>
      <c r="B261" s="14" t="s">
        <v>589</v>
      </c>
      <c r="C261" s="15">
        <v>44364</v>
      </c>
      <c r="D261" s="14" t="s">
        <v>7928</v>
      </c>
      <c r="E261" s="14">
        <v>1</v>
      </c>
      <c r="F261" s="14" t="s">
        <v>45</v>
      </c>
      <c r="G261" s="14" t="s">
        <v>45</v>
      </c>
      <c r="H261" s="31" t="str" cm="1">
        <f t="array" ref="H261">_xlfn.IFS(
  ISBLANK(A261),"Missing Value",
  OR(E261&lt;1,E261&gt;5),"Review – Out of Range (Satisfaction)",
  ISNA(MATCH(B261,Customer_Master!$A$2:$A$1649,0)),"Retained – Unmatched ID (Anonymous Feedback Rule)",
  TRUE,"OK"
)</f>
        <v>OK</v>
      </c>
      <c r="I261" s="18" t="b">
        <f>IF(COUNTIF(Customer_Master!$A:$A,B261)=0,TRUE,FALSE)</f>
        <v>0</v>
      </c>
    </row>
    <row r="262" spans="1:9" ht="16.8" x14ac:dyDescent="0.3">
      <c r="A262" s="11" t="s">
        <v>8286</v>
      </c>
      <c r="B262" s="11" t="s">
        <v>1835</v>
      </c>
      <c r="C262" s="12">
        <v>43977</v>
      </c>
      <c r="D262" s="11" t="s">
        <v>7937</v>
      </c>
      <c r="E262" s="11">
        <v>4</v>
      </c>
      <c r="F262" s="11" t="s">
        <v>45</v>
      </c>
      <c r="G262" s="11" t="s">
        <v>45</v>
      </c>
      <c r="H262" s="31" t="str" cm="1">
        <f t="array" ref="H262">_xlfn.IFS(
  ISBLANK(A262),"Missing Value",
  OR(E262&lt;1,E262&gt;5),"Review – Out of Range (Satisfaction)",
  ISNA(MATCH(B262,Customer_Master!$A$2:$A$1649,0)),"Retained – Unmatched ID (Anonymous Feedback Rule)",
  TRUE,"OK"
)</f>
        <v>OK</v>
      </c>
      <c r="I262" s="17" t="b">
        <f>IF(COUNTIF(Customer_Master!$A:$A,B262)=0,TRUE,FALSE)</f>
        <v>0</v>
      </c>
    </row>
    <row r="263" spans="1:9" ht="16.8" x14ac:dyDescent="0.3">
      <c r="A263" s="14" t="s">
        <v>8287</v>
      </c>
      <c r="B263" s="14" t="s">
        <v>837</v>
      </c>
      <c r="C263" s="15">
        <v>44666</v>
      </c>
      <c r="D263" s="14" t="s">
        <v>7933</v>
      </c>
      <c r="E263" s="14">
        <v>3</v>
      </c>
      <c r="F263" s="14" t="s">
        <v>46</v>
      </c>
      <c r="G263" s="14" t="s">
        <v>45</v>
      </c>
      <c r="H263" s="31" t="str" cm="1">
        <f t="array" ref="H263">_xlfn.IFS(
  ISBLANK(A263),"Missing Value",
  OR(E263&lt;1,E263&gt;5),"Review – Out of Range (Satisfaction)",
  ISNA(MATCH(B263,Customer_Master!$A$2:$A$1649,0)),"Retained – Unmatched ID (Anonymous Feedback Rule)",
  TRUE,"OK"
)</f>
        <v>OK</v>
      </c>
      <c r="I263" s="18" t="b">
        <f>IF(COUNTIF(Customer_Master!$A:$A,B263)=0,TRUE,FALSE)</f>
        <v>0</v>
      </c>
    </row>
    <row r="264" spans="1:9" ht="16.8" x14ac:dyDescent="0.3">
      <c r="A264" s="11" t="s">
        <v>8288</v>
      </c>
      <c r="B264" s="11" t="s">
        <v>120</v>
      </c>
      <c r="C264" s="12">
        <v>44627</v>
      </c>
      <c r="D264" s="11" t="s">
        <v>7931</v>
      </c>
      <c r="E264" s="11">
        <v>5</v>
      </c>
      <c r="F264" s="11" t="s">
        <v>45</v>
      </c>
      <c r="G264" s="11" t="s">
        <v>45</v>
      </c>
      <c r="H264" s="31" t="str" cm="1">
        <f t="array" ref="H264">_xlfn.IFS(
  ISBLANK(A264),"Missing Value",
  OR(E264&lt;1,E264&gt;5),"Review – Out of Range (Satisfaction)",
  ISNA(MATCH(B264,Customer_Master!$A$2:$A$1649,0)),"Retained – Unmatched ID (Anonymous Feedback Rule)",
  TRUE,"OK"
)</f>
        <v>OK</v>
      </c>
      <c r="I264" s="17" t="b">
        <f>IF(COUNTIF(Customer_Master!$A:$A,B264)=0,TRUE,FALSE)</f>
        <v>0</v>
      </c>
    </row>
    <row r="265" spans="1:9" ht="16.8" x14ac:dyDescent="0.3">
      <c r="A265" s="14" t="s">
        <v>8289</v>
      </c>
      <c r="B265" s="14" t="s">
        <v>2989</v>
      </c>
      <c r="C265" s="15">
        <v>44905</v>
      </c>
      <c r="D265" s="14" t="s">
        <v>7933</v>
      </c>
      <c r="E265" s="14">
        <v>2</v>
      </c>
      <c r="F265" s="14" t="s">
        <v>45</v>
      </c>
      <c r="G265" s="14" t="s">
        <v>45</v>
      </c>
      <c r="H265" s="31" t="str" cm="1">
        <f t="array" ref="H265">_xlfn.IFS(
  ISBLANK(A265),"Missing Value",
  OR(E265&lt;1,E265&gt;5),"Review – Out of Range (Satisfaction)",
  ISNA(MATCH(B265,Customer_Master!$A$2:$A$1649,0)),"Retained – Unmatched ID (Anonymous Feedback Rule)",
  TRUE,"OK"
)</f>
        <v>OK</v>
      </c>
      <c r="I265" s="18" t="b">
        <f>IF(COUNTIF(Customer_Master!$A:$A,B265)=0,TRUE,FALSE)</f>
        <v>0</v>
      </c>
    </row>
    <row r="266" spans="1:9" ht="16.8" x14ac:dyDescent="0.3">
      <c r="A266" s="11" t="s">
        <v>8290</v>
      </c>
      <c r="B266" s="11" t="s">
        <v>1835</v>
      </c>
      <c r="C266" s="12">
        <v>44820</v>
      </c>
      <c r="D266" s="11" t="s">
        <v>7935</v>
      </c>
      <c r="E266" s="11">
        <v>4</v>
      </c>
      <c r="F266" s="11" t="s">
        <v>46</v>
      </c>
      <c r="G266" s="11" t="s">
        <v>45</v>
      </c>
      <c r="H266" s="31" t="str" cm="1">
        <f t="array" ref="H266">_xlfn.IFS(
  ISBLANK(A266),"Missing Value",
  OR(E266&lt;1,E266&gt;5),"Review – Out of Range (Satisfaction)",
  ISNA(MATCH(B266,Customer_Master!$A$2:$A$1649,0)),"Retained – Unmatched ID (Anonymous Feedback Rule)",
  TRUE,"OK"
)</f>
        <v>OK</v>
      </c>
      <c r="I266" s="17" t="b">
        <f>IF(COUNTIF(Customer_Master!$A:$A,B266)=0,TRUE,FALSE)</f>
        <v>0</v>
      </c>
    </row>
    <row r="267" spans="1:9" ht="16.8" x14ac:dyDescent="0.3">
      <c r="A267" s="14" t="s">
        <v>8291</v>
      </c>
      <c r="B267" s="14" t="s">
        <v>2729</v>
      </c>
      <c r="C267" s="15">
        <v>44356</v>
      </c>
      <c r="D267" s="14" t="s">
        <v>7935</v>
      </c>
      <c r="E267" s="14">
        <v>4</v>
      </c>
      <c r="F267" s="14" t="s">
        <v>46</v>
      </c>
      <c r="G267" s="14" t="s">
        <v>46</v>
      </c>
      <c r="H267" s="31" t="str" cm="1">
        <f t="array" ref="H267">_xlfn.IFS(
  ISBLANK(A267),"Missing Value",
  OR(E267&lt;1,E267&gt;5),"Review – Out of Range (Satisfaction)",
  ISNA(MATCH(B267,Customer_Master!$A$2:$A$1649,0)),"Retained – Unmatched ID (Anonymous Feedback Rule)",
  TRUE,"OK"
)</f>
        <v>OK</v>
      </c>
      <c r="I267" s="18" t="b">
        <f>IF(COUNTIF(Customer_Master!$A:$A,B267)=0,TRUE,FALSE)</f>
        <v>0</v>
      </c>
    </row>
    <row r="268" spans="1:9" ht="33.6" x14ac:dyDescent="0.3">
      <c r="A268" s="11" t="s">
        <v>8292</v>
      </c>
      <c r="B268" s="11" t="s">
        <v>8197</v>
      </c>
      <c r="C268" s="12">
        <v>45142</v>
      </c>
      <c r="D268" s="11" t="s">
        <v>7969</v>
      </c>
      <c r="E268" s="11">
        <v>1</v>
      </c>
      <c r="F268" s="11" t="s">
        <v>45</v>
      </c>
      <c r="G268" s="11" t="s">
        <v>45</v>
      </c>
      <c r="H268" s="31" t="str" cm="1">
        <f t="array" ref="H268">_xlfn.IFS(
  ISBLANK(A268),"Missing Value",
  OR(E268&lt;1,E268&gt;5),"Review – Out of Range (Satisfaction)",
  ISNA(MATCH(B268,Customer_Master!$A$2:$A$1649,0)),"Retained – Unmatched ID (Anonymous Feedback Rule)",
  TRUE,"OK"
)</f>
        <v>Retained – Unmatched ID (Anonymous Feedback Rule)</v>
      </c>
      <c r="I268" s="17" t="b">
        <f>IF(COUNTIF(Customer_Master!$A:$A,B268)=0,TRUE,FALSE)</f>
        <v>1</v>
      </c>
    </row>
    <row r="269" spans="1:9" ht="16.8" x14ac:dyDescent="0.3">
      <c r="A269" s="14" t="s">
        <v>8293</v>
      </c>
      <c r="B269" s="14" t="s">
        <v>1759</v>
      </c>
      <c r="C269" s="15">
        <v>44549</v>
      </c>
      <c r="D269" s="14" t="s">
        <v>7937</v>
      </c>
      <c r="E269" s="14">
        <v>5</v>
      </c>
      <c r="F269" s="14" t="s">
        <v>45</v>
      </c>
      <c r="G269" s="14" t="s">
        <v>45</v>
      </c>
      <c r="H269" s="31" t="str" cm="1">
        <f t="array" ref="H269">_xlfn.IFS(
  ISBLANK(A269),"Missing Value",
  OR(E269&lt;1,E269&gt;5),"Review – Out of Range (Satisfaction)",
  ISNA(MATCH(B269,Customer_Master!$A$2:$A$1649,0)),"Retained – Unmatched ID (Anonymous Feedback Rule)",
  TRUE,"OK"
)</f>
        <v>OK</v>
      </c>
      <c r="I269" s="18" t="b">
        <f>IF(COUNTIF(Customer_Master!$A:$A,B269)=0,TRUE,FALSE)</f>
        <v>0</v>
      </c>
    </row>
    <row r="270" spans="1:9" ht="16.8" x14ac:dyDescent="0.3">
      <c r="A270" s="11" t="s">
        <v>8294</v>
      </c>
      <c r="B270" s="11" t="s">
        <v>939</v>
      </c>
      <c r="C270" s="12">
        <v>45033</v>
      </c>
      <c r="D270" s="11" t="s">
        <v>7969</v>
      </c>
      <c r="E270" s="11">
        <v>1</v>
      </c>
      <c r="F270" s="11" t="s">
        <v>45</v>
      </c>
      <c r="G270" s="11" t="s">
        <v>46</v>
      </c>
      <c r="H270" s="31" t="str" cm="1">
        <f t="array" ref="H270">_xlfn.IFS(
  ISBLANK(A270),"Missing Value",
  OR(E270&lt;1,E270&gt;5),"Review – Out of Range (Satisfaction)",
  ISNA(MATCH(B270,Customer_Master!$A$2:$A$1649,0)),"Retained – Unmatched ID (Anonymous Feedback Rule)",
  TRUE,"OK"
)</f>
        <v>OK</v>
      </c>
      <c r="I270" s="17" t="b">
        <f>IF(COUNTIF(Customer_Master!$A:$A,B270)=0,TRUE,FALSE)</f>
        <v>0</v>
      </c>
    </row>
    <row r="271" spans="1:9" ht="16.8" x14ac:dyDescent="0.3">
      <c r="A271" s="14" t="s">
        <v>8295</v>
      </c>
      <c r="B271" s="14" t="s">
        <v>911</v>
      </c>
      <c r="C271" s="15">
        <v>44422</v>
      </c>
      <c r="D271" s="14" t="s">
        <v>7933</v>
      </c>
      <c r="E271" s="14">
        <v>3</v>
      </c>
      <c r="F271" s="14" t="s">
        <v>46</v>
      </c>
      <c r="G271" s="14" t="s">
        <v>45</v>
      </c>
      <c r="H271" s="31" t="str" cm="1">
        <f t="array" ref="H271">_xlfn.IFS(
  ISBLANK(A271),"Missing Value",
  OR(E271&lt;1,E271&gt;5),"Review – Out of Range (Satisfaction)",
  ISNA(MATCH(B271,Customer_Master!$A$2:$A$1649,0)),"Retained – Unmatched ID (Anonymous Feedback Rule)",
  TRUE,"OK"
)</f>
        <v>OK</v>
      </c>
      <c r="I271" s="18" t="b">
        <f>IF(COUNTIF(Customer_Master!$A:$A,B271)=0,TRUE,FALSE)</f>
        <v>0</v>
      </c>
    </row>
    <row r="272" spans="1:9" ht="33.6" x14ac:dyDescent="0.3">
      <c r="A272" s="11" t="s">
        <v>8296</v>
      </c>
      <c r="B272" s="11" t="s">
        <v>8297</v>
      </c>
      <c r="C272" s="12">
        <v>44924</v>
      </c>
      <c r="D272" s="11" t="s">
        <v>7937</v>
      </c>
      <c r="E272" s="11">
        <v>5</v>
      </c>
      <c r="F272" s="11" t="s">
        <v>45</v>
      </c>
      <c r="G272" s="11" t="s">
        <v>45</v>
      </c>
      <c r="H272" s="31" t="str" cm="1">
        <f t="array" ref="H272">_xlfn.IFS(
  ISBLANK(A272),"Missing Value",
  OR(E272&lt;1,E272&gt;5),"Review – Out of Range (Satisfaction)",
  ISNA(MATCH(B272,Customer_Master!$A$2:$A$1649,0)),"Retained – Unmatched ID (Anonymous Feedback Rule)",
  TRUE,"OK"
)</f>
        <v>Retained – Unmatched ID (Anonymous Feedback Rule)</v>
      </c>
      <c r="I272" s="17" t="b">
        <f>IF(COUNTIF(Customer_Master!$A:$A,B272)=0,TRUE,FALSE)</f>
        <v>1</v>
      </c>
    </row>
    <row r="273" spans="1:9" ht="33.6" x14ac:dyDescent="0.3">
      <c r="A273" s="14" t="s">
        <v>8298</v>
      </c>
      <c r="B273" s="14" t="s">
        <v>8299</v>
      </c>
      <c r="C273" s="15">
        <v>44846</v>
      </c>
      <c r="D273" s="14" t="s">
        <v>7935</v>
      </c>
      <c r="E273" s="14">
        <v>4</v>
      </c>
      <c r="F273" s="14" t="s">
        <v>45</v>
      </c>
      <c r="G273" s="14" t="s">
        <v>45</v>
      </c>
      <c r="H273" s="31" t="str" cm="1">
        <f t="array" ref="H273">_xlfn.IFS(
  ISBLANK(A273),"Missing Value",
  OR(E273&lt;1,E273&gt;5),"Review – Out of Range (Satisfaction)",
  ISNA(MATCH(B273,Customer_Master!$A$2:$A$1649,0)),"Retained – Unmatched ID (Anonymous Feedback Rule)",
  TRUE,"OK"
)</f>
        <v>Retained – Unmatched ID (Anonymous Feedback Rule)</v>
      </c>
      <c r="I273" s="18" t="b">
        <f>IF(COUNTIF(Customer_Master!$A:$A,B273)=0,TRUE,FALSE)</f>
        <v>1</v>
      </c>
    </row>
    <row r="274" spans="1:9" ht="16.8" x14ac:dyDescent="0.3">
      <c r="A274" s="11" t="s">
        <v>8300</v>
      </c>
      <c r="B274" s="11" t="s">
        <v>2867</v>
      </c>
      <c r="C274" s="12">
        <v>44478</v>
      </c>
      <c r="D274" s="11" t="s">
        <v>7978</v>
      </c>
      <c r="E274" s="11">
        <v>3</v>
      </c>
      <c r="F274" s="11" t="s">
        <v>45</v>
      </c>
      <c r="G274" s="11" t="s">
        <v>45</v>
      </c>
      <c r="H274" s="31" t="str" cm="1">
        <f t="array" ref="H274">_xlfn.IFS(
  ISBLANK(A274),"Missing Value",
  OR(E274&lt;1,E274&gt;5),"Review – Out of Range (Satisfaction)",
  ISNA(MATCH(B274,Customer_Master!$A$2:$A$1649,0)),"Retained – Unmatched ID (Anonymous Feedback Rule)",
  TRUE,"OK"
)</f>
        <v>OK</v>
      </c>
      <c r="I274" s="17" t="b">
        <f>IF(COUNTIF(Customer_Master!$A:$A,B274)=0,TRUE,FALSE)</f>
        <v>0</v>
      </c>
    </row>
    <row r="275" spans="1:9" ht="33.6" x14ac:dyDescent="0.3">
      <c r="A275" s="14" t="s">
        <v>8301</v>
      </c>
      <c r="B275" s="14" t="s">
        <v>8302</v>
      </c>
      <c r="C275" s="15">
        <v>44716</v>
      </c>
      <c r="D275" s="14" t="s">
        <v>7947</v>
      </c>
      <c r="E275" s="14">
        <v>3</v>
      </c>
      <c r="F275" s="14" t="s">
        <v>46</v>
      </c>
      <c r="G275" s="14" t="s">
        <v>45</v>
      </c>
      <c r="H275" s="31" t="str" cm="1">
        <f t="array" ref="H275">_xlfn.IFS(
  ISBLANK(A275),"Missing Value",
  OR(E275&lt;1,E275&gt;5),"Review – Out of Range (Satisfaction)",
  ISNA(MATCH(B275,Customer_Master!$A$2:$A$1649,0)),"Retained – Unmatched ID (Anonymous Feedback Rule)",
  TRUE,"OK"
)</f>
        <v>Retained – Unmatched ID (Anonymous Feedback Rule)</v>
      </c>
      <c r="I275" s="18" t="b">
        <f>IF(COUNTIF(Customer_Master!$A:$A,B275)=0,TRUE,FALSE)</f>
        <v>1</v>
      </c>
    </row>
    <row r="276" spans="1:9" ht="16.8" x14ac:dyDescent="0.3">
      <c r="A276" s="11" t="s">
        <v>8303</v>
      </c>
      <c r="B276" s="11" t="s">
        <v>2467</v>
      </c>
      <c r="C276" s="12">
        <v>45132</v>
      </c>
      <c r="D276" s="11" t="s">
        <v>7933</v>
      </c>
      <c r="E276" s="11">
        <v>2</v>
      </c>
      <c r="F276" s="11" t="s">
        <v>46</v>
      </c>
      <c r="G276" s="11" t="s">
        <v>45</v>
      </c>
      <c r="H276" s="31" t="str" cm="1">
        <f t="array" ref="H276">_xlfn.IFS(
  ISBLANK(A276),"Missing Value",
  OR(E276&lt;1,E276&gt;5),"Review – Out of Range (Satisfaction)",
  ISNA(MATCH(B276,Customer_Master!$A$2:$A$1649,0)),"Retained – Unmatched ID (Anonymous Feedback Rule)",
  TRUE,"OK"
)</f>
        <v>OK</v>
      </c>
      <c r="I276" s="17" t="b">
        <f>IF(COUNTIF(Customer_Master!$A:$A,B276)=0,TRUE,FALSE)</f>
        <v>0</v>
      </c>
    </row>
    <row r="277" spans="1:9" ht="16.8" x14ac:dyDescent="0.3">
      <c r="A277" s="14" t="s">
        <v>8304</v>
      </c>
      <c r="B277" s="14" t="s">
        <v>2423</v>
      </c>
      <c r="C277" s="15">
        <v>43927</v>
      </c>
      <c r="D277" s="14" t="s">
        <v>7928</v>
      </c>
      <c r="E277" s="14">
        <v>3</v>
      </c>
      <c r="F277" s="14" t="s">
        <v>46</v>
      </c>
      <c r="G277" s="14" t="s">
        <v>45</v>
      </c>
      <c r="H277" s="31" t="str" cm="1">
        <f t="array" ref="H277">_xlfn.IFS(
  ISBLANK(A277),"Missing Value",
  OR(E277&lt;1,E277&gt;5),"Review – Out of Range (Satisfaction)",
  ISNA(MATCH(B277,Customer_Master!$A$2:$A$1649,0)),"Retained – Unmatched ID (Anonymous Feedback Rule)",
  TRUE,"OK"
)</f>
        <v>OK</v>
      </c>
      <c r="I277" s="18" t="b">
        <f>IF(COUNTIF(Customer_Master!$A:$A,B277)=0,TRUE,FALSE)</f>
        <v>0</v>
      </c>
    </row>
    <row r="278" spans="1:9" ht="16.8" x14ac:dyDescent="0.3">
      <c r="A278" s="11" t="s">
        <v>8305</v>
      </c>
      <c r="B278" s="11" t="s">
        <v>1065</v>
      </c>
      <c r="C278" s="12">
        <v>45264</v>
      </c>
      <c r="D278" s="11" t="s">
        <v>7943</v>
      </c>
      <c r="E278" s="11">
        <v>3</v>
      </c>
      <c r="F278" s="11" t="s">
        <v>46</v>
      </c>
      <c r="G278" s="11" t="s">
        <v>45</v>
      </c>
      <c r="H278" s="31" t="str" cm="1">
        <f t="array" ref="H278">_xlfn.IFS(
  ISBLANK(A278),"Missing Value",
  OR(E278&lt;1,E278&gt;5),"Review – Out of Range (Satisfaction)",
  ISNA(MATCH(B278,Customer_Master!$A$2:$A$1649,0)),"Retained – Unmatched ID (Anonymous Feedback Rule)",
  TRUE,"OK"
)</f>
        <v>OK</v>
      </c>
      <c r="I278" s="17" t="b">
        <f>IF(COUNTIF(Customer_Master!$A:$A,B278)=0,TRUE,FALSE)</f>
        <v>0</v>
      </c>
    </row>
    <row r="279" spans="1:9" ht="16.8" x14ac:dyDescent="0.3">
      <c r="A279" s="14" t="s">
        <v>8306</v>
      </c>
      <c r="B279" s="14" t="s">
        <v>1445</v>
      </c>
      <c r="C279" s="15">
        <v>44698</v>
      </c>
      <c r="D279" s="14" t="s">
        <v>7978</v>
      </c>
      <c r="E279" s="14">
        <v>2</v>
      </c>
      <c r="F279" s="14" t="s">
        <v>45</v>
      </c>
      <c r="G279" s="14" t="s">
        <v>45</v>
      </c>
      <c r="H279" s="31" t="str" cm="1">
        <f t="array" ref="H279">_xlfn.IFS(
  ISBLANK(A279),"Missing Value",
  OR(E279&lt;1,E279&gt;5),"Review – Out of Range (Satisfaction)",
  ISNA(MATCH(B279,Customer_Master!$A$2:$A$1649,0)),"Retained – Unmatched ID (Anonymous Feedback Rule)",
  TRUE,"OK"
)</f>
        <v>OK</v>
      </c>
      <c r="I279" s="18" t="b">
        <f>IF(COUNTIF(Customer_Master!$A:$A,B279)=0,TRUE,FALSE)</f>
        <v>0</v>
      </c>
    </row>
    <row r="280" spans="1:9" ht="33.6" x14ac:dyDescent="0.3">
      <c r="A280" s="11" t="s">
        <v>8307</v>
      </c>
      <c r="B280" s="11" t="s">
        <v>8179</v>
      </c>
      <c r="C280" s="12">
        <v>44440</v>
      </c>
      <c r="D280" s="11" t="s">
        <v>7928</v>
      </c>
      <c r="E280" s="11">
        <v>1</v>
      </c>
      <c r="F280" s="11" t="s">
        <v>46</v>
      </c>
      <c r="G280" s="11" t="s">
        <v>45</v>
      </c>
      <c r="H280" s="31" t="str" cm="1">
        <f t="array" ref="H280">_xlfn.IFS(
  ISBLANK(A280),"Missing Value",
  OR(E280&lt;1,E280&gt;5),"Review – Out of Range (Satisfaction)",
  ISNA(MATCH(B280,Customer_Master!$A$2:$A$1649,0)),"Retained – Unmatched ID (Anonymous Feedback Rule)",
  TRUE,"OK"
)</f>
        <v>Retained – Unmatched ID (Anonymous Feedback Rule)</v>
      </c>
      <c r="I280" s="17" t="b">
        <f>IF(COUNTIF(Customer_Master!$A:$A,B280)=0,TRUE,FALSE)</f>
        <v>1</v>
      </c>
    </row>
    <row r="281" spans="1:9" ht="33.6" x14ac:dyDescent="0.3">
      <c r="A281" s="14" t="s">
        <v>8308</v>
      </c>
      <c r="B281" s="14" t="s">
        <v>8309</v>
      </c>
      <c r="C281" s="15">
        <v>44523</v>
      </c>
      <c r="D281" s="14" t="s">
        <v>7937</v>
      </c>
      <c r="E281" s="14">
        <v>5</v>
      </c>
      <c r="F281" s="14" t="s">
        <v>45</v>
      </c>
      <c r="G281" s="14" t="s">
        <v>46</v>
      </c>
      <c r="H281" s="31" t="str" cm="1">
        <f t="array" ref="H281">_xlfn.IFS(
  ISBLANK(A281),"Missing Value",
  OR(E281&lt;1,E281&gt;5),"Review – Out of Range (Satisfaction)",
  ISNA(MATCH(B281,Customer_Master!$A$2:$A$1649,0)),"Retained – Unmatched ID (Anonymous Feedback Rule)",
  TRUE,"OK"
)</f>
        <v>Retained – Unmatched ID (Anonymous Feedback Rule)</v>
      </c>
      <c r="I281" s="18" t="b">
        <f>IF(COUNTIF(Customer_Master!$A:$A,B281)=0,TRUE,FALSE)</f>
        <v>1</v>
      </c>
    </row>
    <row r="282" spans="1:9" ht="16.8" x14ac:dyDescent="0.3">
      <c r="A282" s="11" t="s">
        <v>8310</v>
      </c>
      <c r="B282" s="11" t="s">
        <v>178</v>
      </c>
      <c r="C282" s="12">
        <v>44254</v>
      </c>
      <c r="D282" s="11" t="s">
        <v>7935</v>
      </c>
      <c r="E282" s="11">
        <v>4</v>
      </c>
      <c r="F282" s="11" t="s">
        <v>46</v>
      </c>
      <c r="G282" s="11" t="s">
        <v>45</v>
      </c>
      <c r="H282" s="31" t="str" cm="1">
        <f t="array" ref="H282">_xlfn.IFS(
  ISBLANK(A282),"Missing Value",
  OR(E282&lt;1,E282&gt;5),"Review – Out of Range (Satisfaction)",
  ISNA(MATCH(B282,Customer_Master!$A$2:$A$1649,0)),"Retained – Unmatched ID (Anonymous Feedback Rule)",
  TRUE,"OK"
)</f>
        <v>OK</v>
      </c>
      <c r="I282" s="17" t="b">
        <f>IF(COUNTIF(Customer_Master!$A:$A,B282)=0,TRUE,FALSE)</f>
        <v>0</v>
      </c>
    </row>
    <row r="283" spans="1:9" ht="16.8" x14ac:dyDescent="0.3">
      <c r="A283" s="14" t="s">
        <v>8311</v>
      </c>
      <c r="B283" s="14" t="s">
        <v>202</v>
      </c>
      <c r="C283" s="15">
        <v>44013</v>
      </c>
      <c r="D283" s="14" t="s">
        <v>7928</v>
      </c>
      <c r="E283" s="14">
        <v>3</v>
      </c>
      <c r="F283" s="14" t="s">
        <v>45</v>
      </c>
      <c r="G283" s="14" t="s">
        <v>46</v>
      </c>
      <c r="H283" s="31" t="str" cm="1">
        <f t="array" ref="H283">_xlfn.IFS(
  ISBLANK(A283),"Missing Value",
  OR(E283&lt;1,E283&gt;5),"Review – Out of Range (Satisfaction)",
  ISNA(MATCH(B283,Customer_Master!$A$2:$A$1649,0)),"Retained – Unmatched ID (Anonymous Feedback Rule)",
  TRUE,"OK"
)</f>
        <v>OK</v>
      </c>
      <c r="I283" s="18" t="b">
        <f>IF(COUNTIF(Customer_Master!$A:$A,B283)=0,TRUE,FALSE)</f>
        <v>0</v>
      </c>
    </row>
    <row r="284" spans="1:9" ht="16.8" x14ac:dyDescent="0.3">
      <c r="A284" s="11" t="s">
        <v>8312</v>
      </c>
      <c r="B284" s="11" t="s">
        <v>416</v>
      </c>
      <c r="C284" s="12">
        <v>44422</v>
      </c>
      <c r="D284" s="11" t="s">
        <v>7978</v>
      </c>
      <c r="E284" s="11">
        <v>3</v>
      </c>
      <c r="F284" s="11" t="s">
        <v>45</v>
      </c>
      <c r="G284" s="11" t="s">
        <v>46</v>
      </c>
      <c r="H284" s="31" t="str" cm="1">
        <f t="array" ref="H284">_xlfn.IFS(
  ISBLANK(A284),"Missing Value",
  OR(E284&lt;1,E284&gt;5),"Review – Out of Range (Satisfaction)",
  ISNA(MATCH(B284,Customer_Master!$A$2:$A$1649,0)),"Retained – Unmatched ID (Anonymous Feedback Rule)",
  TRUE,"OK"
)</f>
        <v>OK</v>
      </c>
      <c r="I284" s="17" t="b">
        <f>IF(COUNTIF(Customer_Master!$A:$A,B284)=0,TRUE,FALSE)</f>
        <v>0</v>
      </c>
    </row>
    <row r="285" spans="1:9" ht="16.8" x14ac:dyDescent="0.3">
      <c r="A285" s="14" t="s">
        <v>8313</v>
      </c>
      <c r="B285" s="14" t="s">
        <v>1467</v>
      </c>
      <c r="C285" s="15">
        <v>44311</v>
      </c>
      <c r="D285" s="14" t="s">
        <v>7935</v>
      </c>
      <c r="E285" s="14">
        <v>5</v>
      </c>
      <c r="F285" s="14" t="s">
        <v>45</v>
      </c>
      <c r="G285" s="14" t="s">
        <v>46</v>
      </c>
      <c r="H285" s="31" t="str" cm="1">
        <f t="array" ref="H285">_xlfn.IFS(
  ISBLANK(A285),"Missing Value",
  OR(E285&lt;1,E285&gt;5),"Review – Out of Range (Satisfaction)",
  ISNA(MATCH(B285,Customer_Master!$A$2:$A$1649,0)),"Retained – Unmatched ID (Anonymous Feedback Rule)",
  TRUE,"OK"
)</f>
        <v>OK</v>
      </c>
      <c r="I285" s="18" t="b">
        <f>IF(COUNTIF(Customer_Master!$A:$A,B285)=0,TRUE,FALSE)</f>
        <v>0</v>
      </c>
    </row>
    <row r="286" spans="1:9" ht="16.8" x14ac:dyDescent="0.3">
      <c r="A286" s="11" t="s">
        <v>8314</v>
      </c>
      <c r="B286" s="11" t="s">
        <v>2721</v>
      </c>
      <c r="C286" s="12">
        <v>44085</v>
      </c>
      <c r="D286" s="11" t="s">
        <v>7969</v>
      </c>
      <c r="E286" s="11">
        <v>2</v>
      </c>
      <c r="F286" s="11" t="s">
        <v>46</v>
      </c>
      <c r="G286" s="11" t="s">
        <v>46</v>
      </c>
      <c r="H286" s="31" t="str" cm="1">
        <f t="array" ref="H286">_xlfn.IFS(
  ISBLANK(A286),"Missing Value",
  OR(E286&lt;1,E286&gt;5),"Review – Out of Range (Satisfaction)",
  ISNA(MATCH(B286,Customer_Master!$A$2:$A$1649,0)),"Retained – Unmatched ID (Anonymous Feedback Rule)",
  TRUE,"OK"
)</f>
        <v>OK</v>
      </c>
      <c r="I286" s="17" t="b">
        <f>IF(COUNTIF(Customer_Master!$A:$A,B286)=0,TRUE,FALSE)</f>
        <v>0</v>
      </c>
    </row>
    <row r="287" spans="1:9" ht="33.6" x14ac:dyDescent="0.3">
      <c r="A287" s="14" t="s">
        <v>8315</v>
      </c>
      <c r="B287" s="14" t="s">
        <v>8302</v>
      </c>
      <c r="C287" s="15">
        <v>44897</v>
      </c>
      <c r="D287" s="14" t="s">
        <v>7943</v>
      </c>
      <c r="E287" s="14">
        <v>3</v>
      </c>
      <c r="F287" s="14" t="s">
        <v>45</v>
      </c>
      <c r="G287" s="14" t="s">
        <v>46</v>
      </c>
      <c r="H287" s="31" t="str" cm="1">
        <f t="array" ref="H287">_xlfn.IFS(
  ISBLANK(A287),"Missing Value",
  OR(E287&lt;1,E287&gt;5),"Review – Out of Range (Satisfaction)",
  ISNA(MATCH(B287,Customer_Master!$A$2:$A$1649,0)),"Retained – Unmatched ID (Anonymous Feedback Rule)",
  TRUE,"OK"
)</f>
        <v>Retained – Unmatched ID (Anonymous Feedback Rule)</v>
      </c>
      <c r="I287" s="18" t="b">
        <f>IF(COUNTIF(Customer_Master!$A:$A,B287)=0,TRUE,FALSE)</f>
        <v>1</v>
      </c>
    </row>
    <row r="288" spans="1:9" ht="33.6" x14ac:dyDescent="0.3">
      <c r="A288" s="11" t="s">
        <v>8316</v>
      </c>
      <c r="B288" s="11" t="s">
        <v>8317</v>
      </c>
      <c r="C288" s="12">
        <v>44177</v>
      </c>
      <c r="D288" s="11" t="s">
        <v>7940</v>
      </c>
      <c r="E288" s="11">
        <v>4</v>
      </c>
      <c r="F288" s="11" t="s">
        <v>46</v>
      </c>
      <c r="G288" s="11" t="s">
        <v>46</v>
      </c>
      <c r="H288" s="31" t="str" cm="1">
        <f t="array" ref="H288">_xlfn.IFS(
  ISBLANK(A288),"Missing Value",
  OR(E288&lt;1,E288&gt;5),"Review – Out of Range (Satisfaction)",
  ISNA(MATCH(B288,Customer_Master!$A$2:$A$1649,0)),"Retained – Unmatched ID (Anonymous Feedback Rule)",
  TRUE,"OK"
)</f>
        <v>Retained – Unmatched ID (Anonymous Feedback Rule)</v>
      </c>
      <c r="I288" s="17" t="b">
        <f>IF(COUNTIF(Customer_Master!$A:$A,B288)=0,TRUE,FALSE)</f>
        <v>1</v>
      </c>
    </row>
    <row r="289" spans="1:9" ht="16.8" x14ac:dyDescent="0.3">
      <c r="A289" s="14" t="s">
        <v>8318</v>
      </c>
      <c r="B289" s="14" t="s">
        <v>2299</v>
      </c>
      <c r="C289" s="15">
        <v>45270</v>
      </c>
      <c r="D289" s="14" t="s">
        <v>7937</v>
      </c>
      <c r="E289" s="14">
        <v>5</v>
      </c>
      <c r="F289" s="14" t="s">
        <v>45</v>
      </c>
      <c r="G289" s="14" t="s">
        <v>45</v>
      </c>
      <c r="H289" s="31" t="str" cm="1">
        <f t="array" ref="H289">_xlfn.IFS(
  ISBLANK(A289),"Missing Value",
  OR(E289&lt;1,E289&gt;5),"Review – Out of Range (Satisfaction)",
  ISNA(MATCH(B289,Customer_Master!$A$2:$A$1649,0)),"Retained – Unmatched ID (Anonymous Feedback Rule)",
  TRUE,"OK"
)</f>
        <v>OK</v>
      </c>
      <c r="I289" s="18" t="b">
        <f>IF(COUNTIF(Customer_Master!$A:$A,B289)=0,TRUE,FALSE)</f>
        <v>0</v>
      </c>
    </row>
    <row r="290" spans="1:9" ht="33.6" x14ac:dyDescent="0.3">
      <c r="A290" s="11" t="s">
        <v>8319</v>
      </c>
      <c r="B290" s="11" t="s">
        <v>8320</v>
      </c>
      <c r="C290" s="12">
        <v>45239</v>
      </c>
      <c r="D290" s="11" t="s">
        <v>7978</v>
      </c>
      <c r="E290" s="11">
        <v>3</v>
      </c>
      <c r="F290" s="11" t="s">
        <v>45</v>
      </c>
      <c r="G290" s="11" t="s">
        <v>45</v>
      </c>
      <c r="H290" s="31" t="str" cm="1">
        <f t="array" ref="H290">_xlfn.IFS(
  ISBLANK(A290),"Missing Value",
  OR(E290&lt;1,E290&gt;5),"Review – Out of Range (Satisfaction)",
  ISNA(MATCH(B290,Customer_Master!$A$2:$A$1649,0)),"Retained – Unmatched ID (Anonymous Feedback Rule)",
  TRUE,"OK"
)</f>
        <v>Retained – Unmatched ID (Anonymous Feedback Rule)</v>
      </c>
      <c r="I290" s="17" t="b">
        <f>IF(COUNTIF(Customer_Master!$A:$A,B290)=0,TRUE,FALSE)</f>
        <v>1</v>
      </c>
    </row>
    <row r="291" spans="1:9" ht="33.6" x14ac:dyDescent="0.3">
      <c r="A291" s="14" t="s">
        <v>8321</v>
      </c>
      <c r="B291" s="14" t="s">
        <v>8322</v>
      </c>
      <c r="C291" s="15">
        <v>44592</v>
      </c>
      <c r="D291" s="14" t="s">
        <v>7969</v>
      </c>
      <c r="E291" s="14">
        <v>1</v>
      </c>
      <c r="F291" s="14" t="s">
        <v>45</v>
      </c>
      <c r="G291" s="14" t="s">
        <v>46</v>
      </c>
      <c r="H291" s="31" t="str" cm="1">
        <f t="array" ref="H291">_xlfn.IFS(
  ISBLANK(A291),"Missing Value",
  OR(E291&lt;1,E291&gt;5),"Review – Out of Range (Satisfaction)",
  ISNA(MATCH(B291,Customer_Master!$A$2:$A$1649,0)),"Retained – Unmatched ID (Anonymous Feedback Rule)",
  TRUE,"OK"
)</f>
        <v>Retained – Unmatched ID (Anonymous Feedback Rule)</v>
      </c>
      <c r="I291" s="18" t="b">
        <f>IF(COUNTIF(Customer_Master!$A:$A,B291)=0,TRUE,FALSE)</f>
        <v>1</v>
      </c>
    </row>
    <row r="292" spans="1:9" ht="33.6" x14ac:dyDescent="0.3">
      <c r="A292" s="11" t="s">
        <v>8323</v>
      </c>
      <c r="B292" s="11" t="s">
        <v>8324</v>
      </c>
      <c r="C292" s="12">
        <v>44015</v>
      </c>
      <c r="D292" s="11" t="s">
        <v>7937</v>
      </c>
      <c r="E292" s="11">
        <v>4</v>
      </c>
      <c r="F292" s="11" t="s">
        <v>45</v>
      </c>
      <c r="G292" s="11" t="s">
        <v>45</v>
      </c>
      <c r="H292" s="31" t="str" cm="1">
        <f t="array" ref="H292">_xlfn.IFS(
  ISBLANK(A292),"Missing Value",
  OR(E292&lt;1,E292&gt;5),"Review – Out of Range (Satisfaction)",
  ISNA(MATCH(B292,Customer_Master!$A$2:$A$1649,0)),"Retained – Unmatched ID (Anonymous Feedback Rule)",
  TRUE,"OK"
)</f>
        <v>Retained – Unmatched ID (Anonymous Feedback Rule)</v>
      </c>
      <c r="I292" s="17" t="b">
        <f>IF(COUNTIF(Customer_Master!$A:$A,B292)=0,TRUE,FALSE)</f>
        <v>1</v>
      </c>
    </row>
    <row r="293" spans="1:9" ht="16.8" x14ac:dyDescent="0.3">
      <c r="A293" s="14" t="s">
        <v>8325</v>
      </c>
      <c r="B293" s="14" t="s">
        <v>3082</v>
      </c>
      <c r="C293" s="15">
        <v>44793</v>
      </c>
      <c r="D293" s="14" t="s">
        <v>7947</v>
      </c>
      <c r="E293" s="14">
        <v>3</v>
      </c>
      <c r="F293" s="14" t="s">
        <v>46</v>
      </c>
      <c r="G293" s="14" t="s">
        <v>45</v>
      </c>
      <c r="H293" s="31" t="str" cm="1">
        <f t="array" ref="H293">_xlfn.IFS(
  ISBLANK(A293),"Missing Value",
  OR(E293&lt;1,E293&gt;5),"Review – Out of Range (Satisfaction)",
  ISNA(MATCH(B293,Customer_Master!$A$2:$A$1649,0)),"Retained – Unmatched ID (Anonymous Feedback Rule)",
  TRUE,"OK"
)</f>
        <v>OK</v>
      </c>
      <c r="I293" s="18" t="b">
        <f>IF(COUNTIF(Customer_Master!$A:$A,B293)=0,TRUE,FALSE)</f>
        <v>0</v>
      </c>
    </row>
    <row r="294" spans="1:9" ht="16.8" x14ac:dyDescent="0.3">
      <c r="A294" s="11" t="s">
        <v>8326</v>
      </c>
      <c r="B294" s="11" t="s">
        <v>2643</v>
      </c>
      <c r="C294" s="12">
        <v>44452</v>
      </c>
      <c r="D294" s="11" t="s">
        <v>7928</v>
      </c>
      <c r="E294" s="11">
        <v>3</v>
      </c>
      <c r="F294" s="11" t="s">
        <v>46</v>
      </c>
      <c r="G294" s="11" t="s">
        <v>46</v>
      </c>
      <c r="H294" s="31" t="str" cm="1">
        <f t="array" ref="H294">_xlfn.IFS(
  ISBLANK(A294),"Missing Value",
  OR(E294&lt;1,E294&gt;5),"Review – Out of Range (Satisfaction)",
  ISNA(MATCH(B294,Customer_Master!$A$2:$A$1649,0)),"Retained – Unmatched ID (Anonymous Feedback Rule)",
  TRUE,"OK"
)</f>
        <v>OK</v>
      </c>
      <c r="I294" s="17" t="b">
        <f>IF(COUNTIF(Customer_Master!$A:$A,B294)=0,TRUE,FALSE)</f>
        <v>0</v>
      </c>
    </row>
    <row r="295" spans="1:9" ht="16.8" x14ac:dyDescent="0.3">
      <c r="A295" s="14" t="s">
        <v>8327</v>
      </c>
      <c r="B295" s="14" t="s">
        <v>1185</v>
      </c>
      <c r="C295" s="15">
        <v>44019</v>
      </c>
      <c r="D295" s="14" t="s">
        <v>7947</v>
      </c>
      <c r="E295" s="14">
        <v>5</v>
      </c>
      <c r="F295" s="14" t="s">
        <v>45</v>
      </c>
      <c r="G295" s="14" t="s">
        <v>45</v>
      </c>
      <c r="H295" s="31" t="str" cm="1">
        <f t="array" ref="H295">_xlfn.IFS(
  ISBLANK(A295),"Missing Value",
  OR(E295&lt;1,E295&gt;5),"Review – Out of Range (Satisfaction)",
  ISNA(MATCH(B295,Customer_Master!$A$2:$A$1649,0)),"Retained – Unmatched ID (Anonymous Feedback Rule)",
  TRUE,"OK"
)</f>
        <v>OK</v>
      </c>
      <c r="I295" s="18" t="b">
        <f>IF(COUNTIF(Customer_Master!$A:$A,B295)=0,TRUE,FALSE)</f>
        <v>0</v>
      </c>
    </row>
    <row r="296" spans="1:9" ht="16.8" x14ac:dyDescent="0.3">
      <c r="A296" s="11" t="s">
        <v>8328</v>
      </c>
      <c r="B296" s="11" t="s">
        <v>529</v>
      </c>
      <c r="C296" s="12">
        <v>44355</v>
      </c>
      <c r="D296" s="11" t="s">
        <v>7978</v>
      </c>
      <c r="E296" s="11">
        <v>3</v>
      </c>
      <c r="F296" s="11" t="s">
        <v>46</v>
      </c>
      <c r="G296" s="11" t="s">
        <v>46</v>
      </c>
      <c r="H296" s="31" t="str" cm="1">
        <f t="array" ref="H296">_xlfn.IFS(
  ISBLANK(A296),"Missing Value",
  OR(E296&lt;1,E296&gt;5),"Review – Out of Range (Satisfaction)",
  ISNA(MATCH(B296,Customer_Master!$A$2:$A$1649,0)),"Retained – Unmatched ID (Anonymous Feedback Rule)",
  TRUE,"OK"
)</f>
        <v>OK</v>
      </c>
      <c r="I296" s="17" t="b">
        <f>IF(COUNTIF(Customer_Master!$A:$A,B296)=0,TRUE,FALSE)</f>
        <v>0</v>
      </c>
    </row>
    <row r="297" spans="1:9" ht="33.6" x14ac:dyDescent="0.3">
      <c r="A297" s="14" t="s">
        <v>8329</v>
      </c>
      <c r="B297" s="14" t="s">
        <v>8330</v>
      </c>
      <c r="C297" s="15">
        <v>44089</v>
      </c>
      <c r="D297" s="14" t="s">
        <v>7947</v>
      </c>
      <c r="E297" s="14">
        <v>5</v>
      </c>
      <c r="F297" s="14" t="s">
        <v>45</v>
      </c>
      <c r="G297" s="14" t="s">
        <v>46</v>
      </c>
      <c r="H297" s="31" t="str" cm="1">
        <f t="array" ref="H297">_xlfn.IFS(
  ISBLANK(A297),"Missing Value",
  OR(E297&lt;1,E297&gt;5),"Review – Out of Range (Satisfaction)",
  ISNA(MATCH(B297,Customer_Master!$A$2:$A$1649,0)),"Retained – Unmatched ID (Anonymous Feedback Rule)",
  TRUE,"OK"
)</f>
        <v>Retained – Unmatched ID (Anonymous Feedback Rule)</v>
      </c>
      <c r="I297" s="18" t="b">
        <f>IF(COUNTIF(Customer_Master!$A:$A,B297)=0,TRUE,FALSE)</f>
        <v>1</v>
      </c>
    </row>
    <row r="298" spans="1:9" ht="16.8" x14ac:dyDescent="0.3">
      <c r="A298" s="11" t="s">
        <v>8331</v>
      </c>
      <c r="B298" s="11" t="s">
        <v>3078</v>
      </c>
      <c r="C298" s="12">
        <v>44042</v>
      </c>
      <c r="D298" s="11" t="s">
        <v>7943</v>
      </c>
      <c r="E298" s="11">
        <v>3</v>
      </c>
      <c r="F298" s="11" t="s">
        <v>46</v>
      </c>
      <c r="G298" s="11" t="s">
        <v>46</v>
      </c>
      <c r="H298" s="31" t="str" cm="1">
        <f t="array" ref="H298">_xlfn.IFS(
  ISBLANK(A298),"Missing Value",
  OR(E298&lt;1,E298&gt;5),"Review – Out of Range (Satisfaction)",
  ISNA(MATCH(B298,Customer_Master!$A$2:$A$1649,0)),"Retained – Unmatched ID (Anonymous Feedback Rule)",
  TRUE,"OK"
)</f>
        <v>OK</v>
      </c>
      <c r="I298" s="17" t="b">
        <f>IF(COUNTIF(Customer_Master!$A:$A,B298)=0,TRUE,FALSE)</f>
        <v>0</v>
      </c>
    </row>
    <row r="299" spans="1:9" ht="16.8" x14ac:dyDescent="0.3">
      <c r="A299" s="14" t="s">
        <v>8332</v>
      </c>
      <c r="B299" s="14" t="s">
        <v>1461</v>
      </c>
      <c r="C299" s="15">
        <v>44907</v>
      </c>
      <c r="D299" s="14" t="s">
        <v>7933</v>
      </c>
      <c r="E299" s="14">
        <v>3</v>
      </c>
      <c r="F299" s="14" t="s">
        <v>46</v>
      </c>
      <c r="G299" s="14" t="s">
        <v>46</v>
      </c>
      <c r="H299" s="31" t="str" cm="1">
        <f t="array" ref="H299">_xlfn.IFS(
  ISBLANK(A299),"Missing Value",
  OR(E299&lt;1,E299&gt;5),"Review – Out of Range (Satisfaction)",
  ISNA(MATCH(B299,Customer_Master!$A$2:$A$1649,0)),"Retained – Unmatched ID (Anonymous Feedback Rule)",
  TRUE,"OK"
)</f>
        <v>OK</v>
      </c>
      <c r="I299" s="18" t="b">
        <f>IF(COUNTIF(Customer_Master!$A:$A,B299)=0,TRUE,FALSE)</f>
        <v>0</v>
      </c>
    </row>
    <row r="300" spans="1:9" ht="16.8" x14ac:dyDescent="0.3">
      <c r="A300" s="11" t="s">
        <v>8333</v>
      </c>
      <c r="B300" s="11" t="s">
        <v>1807</v>
      </c>
      <c r="C300" s="12">
        <v>45261</v>
      </c>
      <c r="D300" s="11" t="s">
        <v>7978</v>
      </c>
      <c r="E300" s="11">
        <v>2</v>
      </c>
      <c r="F300" s="11" t="s">
        <v>46</v>
      </c>
      <c r="G300" s="11" t="s">
        <v>45</v>
      </c>
      <c r="H300" s="31" t="str" cm="1">
        <f t="array" ref="H300">_xlfn.IFS(
  ISBLANK(A300),"Missing Value",
  OR(E300&lt;1,E300&gt;5),"Review – Out of Range (Satisfaction)",
  ISNA(MATCH(B300,Customer_Master!$A$2:$A$1649,0)),"Retained – Unmatched ID (Anonymous Feedback Rule)",
  TRUE,"OK"
)</f>
        <v>OK</v>
      </c>
      <c r="I300" s="17" t="b">
        <f>IF(COUNTIF(Customer_Master!$A:$A,B300)=0,TRUE,FALSE)</f>
        <v>0</v>
      </c>
    </row>
    <row r="301" spans="1:9" ht="16.8" x14ac:dyDescent="0.3">
      <c r="A301" s="14" t="s">
        <v>8334</v>
      </c>
      <c r="B301" s="14" t="s">
        <v>2305</v>
      </c>
      <c r="C301" s="15">
        <v>44369</v>
      </c>
      <c r="D301" s="14" t="s">
        <v>7928</v>
      </c>
      <c r="E301" s="14">
        <v>3</v>
      </c>
      <c r="F301" s="14" t="s">
        <v>45</v>
      </c>
      <c r="G301" s="14" t="s">
        <v>46</v>
      </c>
      <c r="H301" s="31" t="str" cm="1">
        <f t="array" ref="H301">_xlfn.IFS(
  ISBLANK(A301),"Missing Value",
  OR(E301&lt;1,E301&gt;5),"Review – Out of Range (Satisfaction)",
  ISNA(MATCH(B301,Customer_Master!$A$2:$A$1649,0)),"Retained – Unmatched ID (Anonymous Feedback Rule)",
  TRUE,"OK"
)</f>
        <v>OK</v>
      </c>
      <c r="I301" s="18" t="b">
        <f>IF(COUNTIF(Customer_Master!$A:$A,B301)=0,TRUE,FALSE)</f>
        <v>0</v>
      </c>
    </row>
    <row r="302" spans="1:9" ht="16.8" x14ac:dyDescent="0.3">
      <c r="A302" s="11" t="s">
        <v>8335</v>
      </c>
      <c r="B302" s="11" t="s">
        <v>1735</v>
      </c>
      <c r="C302" s="12">
        <v>44044</v>
      </c>
      <c r="D302" s="11" t="s">
        <v>7943</v>
      </c>
      <c r="E302" s="11">
        <v>2</v>
      </c>
      <c r="F302" s="11" t="s">
        <v>45</v>
      </c>
      <c r="G302" s="11" t="s">
        <v>46</v>
      </c>
      <c r="H302" s="31" t="str" cm="1">
        <f t="array" ref="H302">_xlfn.IFS(
  ISBLANK(A302),"Missing Value",
  OR(E302&lt;1,E302&gt;5),"Review – Out of Range (Satisfaction)",
  ISNA(MATCH(B302,Customer_Master!$A$2:$A$1649,0)),"Retained – Unmatched ID (Anonymous Feedback Rule)",
  TRUE,"OK"
)</f>
        <v>OK</v>
      </c>
      <c r="I302" s="17" t="b">
        <f>IF(COUNTIF(Customer_Master!$A:$A,B302)=0,TRUE,FALSE)</f>
        <v>0</v>
      </c>
    </row>
    <row r="303" spans="1:9" ht="16.8" x14ac:dyDescent="0.3">
      <c r="A303" s="14" t="s">
        <v>8336</v>
      </c>
      <c r="B303" s="14" t="s">
        <v>847</v>
      </c>
      <c r="C303" s="15">
        <v>44798</v>
      </c>
      <c r="D303" s="14" t="s">
        <v>7943</v>
      </c>
      <c r="E303" s="14">
        <v>2</v>
      </c>
      <c r="F303" s="14" t="s">
        <v>46</v>
      </c>
      <c r="G303" s="14" t="s">
        <v>45</v>
      </c>
      <c r="H303" s="31" t="str" cm="1">
        <f t="array" ref="H303">_xlfn.IFS(
  ISBLANK(A303),"Missing Value",
  OR(E303&lt;1,E303&gt;5),"Review – Out of Range (Satisfaction)",
  ISNA(MATCH(B303,Customer_Master!$A$2:$A$1649,0)),"Retained – Unmatched ID (Anonymous Feedback Rule)",
  TRUE,"OK"
)</f>
        <v>OK</v>
      </c>
      <c r="I303" s="18" t="b">
        <f>IF(COUNTIF(Customer_Master!$A:$A,B303)=0,TRUE,FALSE)</f>
        <v>0</v>
      </c>
    </row>
    <row r="304" spans="1:9" ht="16.8" x14ac:dyDescent="0.3">
      <c r="A304" s="11" t="s">
        <v>8337</v>
      </c>
      <c r="B304" s="11" t="s">
        <v>2355</v>
      </c>
      <c r="C304" s="12">
        <v>44774</v>
      </c>
      <c r="D304" s="11" t="s">
        <v>7931</v>
      </c>
      <c r="E304" s="11">
        <v>5</v>
      </c>
      <c r="F304" s="11" t="s">
        <v>46</v>
      </c>
      <c r="G304" s="11" t="s">
        <v>45</v>
      </c>
      <c r="H304" s="31" t="str" cm="1">
        <f t="array" ref="H304">_xlfn.IFS(
  ISBLANK(A304),"Missing Value",
  OR(E304&lt;1,E304&gt;5),"Review – Out of Range (Satisfaction)",
  ISNA(MATCH(B304,Customer_Master!$A$2:$A$1649,0)),"Retained – Unmatched ID (Anonymous Feedback Rule)",
  TRUE,"OK"
)</f>
        <v>OK</v>
      </c>
      <c r="I304" s="17" t="b">
        <f>IF(COUNTIF(Customer_Master!$A:$A,B304)=0,TRUE,FALSE)</f>
        <v>0</v>
      </c>
    </row>
    <row r="305" spans="1:9" ht="33.6" x14ac:dyDescent="0.3">
      <c r="A305" s="14" t="s">
        <v>8338</v>
      </c>
      <c r="B305" s="14" t="s">
        <v>8339</v>
      </c>
      <c r="C305" s="15">
        <v>44749</v>
      </c>
      <c r="D305" s="14" t="s">
        <v>7978</v>
      </c>
      <c r="E305" s="14">
        <v>1</v>
      </c>
      <c r="F305" s="14" t="s">
        <v>45</v>
      </c>
      <c r="G305" s="14" t="s">
        <v>45</v>
      </c>
      <c r="H305" s="31" t="str" cm="1">
        <f t="array" ref="H305">_xlfn.IFS(
  ISBLANK(A305),"Missing Value",
  OR(E305&lt;1,E305&gt;5),"Review – Out of Range (Satisfaction)",
  ISNA(MATCH(B305,Customer_Master!$A$2:$A$1649,0)),"Retained – Unmatched ID (Anonymous Feedback Rule)",
  TRUE,"OK"
)</f>
        <v>Retained – Unmatched ID (Anonymous Feedback Rule)</v>
      </c>
      <c r="I305" s="18" t="b">
        <f>IF(COUNTIF(Customer_Master!$A:$A,B305)=0,TRUE,FALSE)</f>
        <v>1</v>
      </c>
    </row>
    <row r="306" spans="1:9" ht="33.6" x14ac:dyDescent="0.3">
      <c r="A306" s="11" t="s">
        <v>8340</v>
      </c>
      <c r="B306" s="11" t="s">
        <v>8341</v>
      </c>
      <c r="C306" s="12">
        <v>44084</v>
      </c>
      <c r="D306" s="11" t="s">
        <v>7933</v>
      </c>
      <c r="E306" s="11">
        <v>2</v>
      </c>
      <c r="F306" s="11" t="s">
        <v>46</v>
      </c>
      <c r="G306" s="11" t="s">
        <v>45</v>
      </c>
      <c r="H306" s="31" t="str" cm="1">
        <f t="array" ref="H306">_xlfn.IFS(
  ISBLANK(A306),"Missing Value",
  OR(E306&lt;1,E306&gt;5),"Review – Out of Range (Satisfaction)",
  ISNA(MATCH(B306,Customer_Master!$A$2:$A$1649,0)),"Retained – Unmatched ID (Anonymous Feedback Rule)",
  TRUE,"OK"
)</f>
        <v>Retained – Unmatched ID (Anonymous Feedback Rule)</v>
      </c>
      <c r="I306" s="17" t="b">
        <f>IF(COUNTIF(Customer_Master!$A:$A,B306)=0,TRUE,FALSE)</f>
        <v>1</v>
      </c>
    </row>
    <row r="307" spans="1:9" ht="16.8" x14ac:dyDescent="0.3">
      <c r="A307" s="14" t="s">
        <v>8342</v>
      </c>
      <c r="B307" s="14" t="s">
        <v>979</v>
      </c>
      <c r="C307" s="15">
        <v>44338</v>
      </c>
      <c r="D307" s="14" t="s">
        <v>7935</v>
      </c>
      <c r="E307" s="14">
        <v>4</v>
      </c>
      <c r="F307" s="14" t="s">
        <v>46</v>
      </c>
      <c r="G307" s="14" t="s">
        <v>45</v>
      </c>
      <c r="H307" s="31" t="str" cm="1">
        <f t="array" ref="H307">_xlfn.IFS(
  ISBLANK(A307),"Missing Value",
  OR(E307&lt;1,E307&gt;5),"Review – Out of Range (Satisfaction)",
  ISNA(MATCH(B307,Customer_Master!$A$2:$A$1649,0)),"Retained – Unmatched ID (Anonymous Feedback Rule)",
  TRUE,"OK"
)</f>
        <v>OK</v>
      </c>
      <c r="I307" s="18" t="b">
        <f>IF(COUNTIF(Customer_Master!$A:$A,B307)=0,TRUE,FALSE)</f>
        <v>0</v>
      </c>
    </row>
    <row r="308" spans="1:9" ht="16.8" x14ac:dyDescent="0.3">
      <c r="A308" s="11" t="s">
        <v>8343</v>
      </c>
      <c r="B308" s="11" t="s">
        <v>1623</v>
      </c>
      <c r="C308" s="12">
        <v>44042</v>
      </c>
      <c r="D308" s="11" t="s">
        <v>7978</v>
      </c>
      <c r="E308" s="11">
        <v>3</v>
      </c>
      <c r="F308" s="11" t="s">
        <v>46</v>
      </c>
      <c r="G308" s="11" t="s">
        <v>46</v>
      </c>
      <c r="H308" s="31" t="str" cm="1">
        <f t="array" ref="H308">_xlfn.IFS(
  ISBLANK(A308),"Missing Value",
  OR(E308&lt;1,E308&gt;5),"Review – Out of Range (Satisfaction)",
  ISNA(MATCH(B308,Customer_Master!$A$2:$A$1649,0)),"Retained – Unmatched ID (Anonymous Feedback Rule)",
  TRUE,"OK"
)</f>
        <v>OK</v>
      </c>
      <c r="I308" s="17" t="b">
        <f>IF(COUNTIF(Customer_Master!$A:$A,B308)=0,TRUE,FALSE)</f>
        <v>0</v>
      </c>
    </row>
    <row r="309" spans="1:9" ht="33.6" x14ac:dyDescent="0.3">
      <c r="A309" s="14" t="s">
        <v>8344</v>
      </c>
      <c r="B309" s="14" t="s">
        <v>8345</v>
      </c>
      <c r="C309" s="15">
        <v>44384</v>
      </c>
      <c r="D309" s="14" t="s">
        <v>7943</v>
      </c>
      <c r="E309" s="14">
        <v>2</v>
      </c>
      <c r="F309" s="14" t="s">
        <v>46</v>
      </c>
      <c r="G309" s="14" t="s">
        <v>46</v>
      </c>
      <c r="H309" s="31" t="str" cm="1">
        <f t="array" ref="H309">_xlfn.IFS(
  ISBLANK(A309),"Missing Value",
  OR(E309&lt;1,E309&gt;5),"Review – Out of Range (Satisfaction)",
  ISNA(MATCH(B309,Customer_Master!$A$2:$A$1649,0)),"Retained – Unmatched ID (Anonymous Feedback Rule)",
  TRUE,"OK"
)</f>
        <v>Retained – Unmatched ID (Anonymous Feedback Rule)</v>
      </c>
      <c r="I309" s="18" t="b">
        <f>IF(COUNTIF(Customer_Master!$A:$A,B309)=0,TRUE,FALSE)</f>
        <v>1</v>
      </c>
    </row>
    <row r="310" spans="1:9" ht="16.8" x14ac:dyDescent="0.3">
      <c r="A310" s="11" t="s">
        <v>8346</v>
      </c>
      <c r="B310" s="11" t="s">
        <v>1685</v>
      </c>
      <c r="C310" s="12">
        <v>45037</v>
      </c>
      <c r="D310" s="11" t="s">
        <v>7978</v>
      </c>
      <c r="E310" s="11">
        <v>1</v>
      </c>
      <c r="F310" s="11" t="s">
        <v>45</v>
      </c>
      <c r="G310" s="11" t="s">
        <v>45</v>
      </c>
      <c r="H310" s="31" t="str" cm="1">
        <f t="array" ref="H310">_xlfn.IFS(
  ISBLANK(A310),"Missing Value",
  OR(E310&lt;1,E310&gt;5),"Review – Out of Range (Satisfaction)",
  ISNA(MATCH(B310,Customer_Master!$A$2:$A$1649,0)),"Retained – Unmatched ID (Anonymous Feedback Rule)",
  TRUE,"OK"
)</f>
        <v>OK</v>
      </c>
      <c r="I310" s="17" t="b">
        <f>IF(COUNTIF(Customer_Master!$A:$A,B310)=0,TRUE,FALSE)</f>
        <v>0</v>
      </c>
    </row>
    <row r="311" spans="1:9" ht="16.8" x14ac:dyDescent="0.3">
      <c r="A311" s="14" t="s">
        <v>8347</v>
      </c>
      <c r="B311" s="14" t="s">
        <v>1095</v>
      </c>
      <c r="C311" s="15">
        <v>45219</v>
      </c>
      <c r="D311" s="14" t="s">
        <v>7937</v>
      </c>
      <c r="E311" s="14">
        <v>5</v>
      </c>
      <c r="F311" s="14" t="s">
        <v>46</v>
      </c>
      <c r="G311" s="14" t="s">
        <v>45</v>
      </c>
      <c r="H311" s="31" t="str" cm="1">
        <f t="array" ref="H311">_xlfn.IFS(
  ISBLANK(A311),"Missing Value",
  OR(E311&lt;1,E311&gt;5),"Review – Out of Range (Satisfaction)",
  ISNA(MATCH(B311,Customer_Master!$A$2:$A$1649,0)),"Retained – Unmatched ID (Anonymous Feedback Rule)",
  TRUE,"OK"
)</f>
        <v>OK</v>
      </c>
      <c r="I311" s="18" t="b">
        <f>IF(COUNTIF(Customer_Master!$A:$A,B311)=0,TRUE,FALSE)</f>
        <v>0</v>
      </c>
    </row>
    <row r="312" spans="1:9" ht="16.8" x14ac:dyDescent="0.3">
      <c r="A312" s="11" t="s">
        <v>8348</v>
      </c>
      <c r="B312" s="11" t="s">
        <v>1897</v>
      </c>
      <c r="C312" s="12">
        <v>44923</v>
      </c>
      <c r="D312" s="11" t="s">
        <v>7943</v>
      </c>
      <c r="E312" s="11">
        <v>3</v>
      </c>
      <c r="F312" s="11" t="s">
        <v>45</v>
      </c>
      <c r="G312" s="11" t="s">
        <v>46</v>
      </c>
      <c r="H312" s="31" t="str" cm="1">
        <f t="array" ref="H312">_xlfn.IFS(
  ISBLANK(A312),"Missing Value",
  OR(E312&lt;1,E312&gt;5),"Review – Out of Range (Satisfaction)",
  ISNA(MATCH(B312,Customer_Master!$A$2:$A$1649,0)),"Retained – Unmatched ID (Anonymous Feedback Rule)",
  TRUE,"OK"
)</f>
        <v>OK</v>
      </c>
      <c r="I312" s="17" t="b">
        <f>IF(COUNTIF(Customer_Master!$A:$A,B312)=0,TRUE,FALSE)</f>
        <v>0</v>
      </c>
    </row>
    <row r="313" spans="1:9" ht="33.6" x14ac:dyDescent="0.3">
      <c r="A313" s="14" t="s">
        <v>8349</v>
      </c>
      <c r="B313" s="14" t="s">
        <v>8350</v>
      </c>
      <c r="C313" s="15">
        <v>44383</v>
      </c>
      <c r="D313" s="14" t="s">
        <v>7928</v>
      </c>
      <c r="E313" s="14">
        <v>2</v>
      </c>
      <c r="F313" s="14" t="s">
        <v>46</v>
      </c>
      <c r="G313" s="14" t="s">
        <v>46</v>
      </c>
      <c r="H313" s="31" t="str" cm="1">
        <f t="array" ref="H313">_xlfn.IFS(
  ISBLANK(A313),"Missing Value",
  OR(E313&lt;1,E313&gt;5),"Review – Out of Range (Satisfaction)",
  ISNA(MATCH(B313,Customer_Master!$A$2:$A$1649,0)),"Retained – Unmatched ID (Anonymous Feedback Rule)",
  TRUE,"OK"
)</f>
        <v>Retained – Unmatched ID (Anonymous Feedback Rule)</v>
      </c>
      <c r="I313" s="18" t="b">
        <f>IF(COUNTIF(Customer_Master!$A:$A,B313)=0,TRUE,FALSE)</f>
        <v>1</v>
      </c>
    </row>
    <row r="314" spans="1:9" ht="33.6" x14ac:dyDescent="0.3">
      <c r="A314" s="11" t="s">
        <v>8351</v>
      </c>
      <c r="B314" s="11" t="s">
        <v>8161</v>
      </c>
      <c r="C314" s="12">
        <v>44985</v>
      </c>
      <c r="D314" s="11" t="s">
        <v>7928</v>
      </c>
      <c r="E314" s="11">
        <v>2</v>
      </c>
      <c r="F314" s="11" t="s">
        <v>46</v>
      </c>
      <c r="G314" s="11" t="s">
        <v>45</v>
      </c>
      <c r="H314" s="31" t="str" cm="1">
        <f t="array" ref="H314">_xlfn.IFS(
  ISBLANK(A314),"Missing Value",
  OR(E314&lt;1,E314&gt;5),"Review – Out of Range (Satisfaction)",
  ISNA(MATCH(B314,Customer_Master!$A$2:$A$1649,0)),"Retained – Unmatched ID (Anonymous Feedback Rule)",
  TRUE,"OK"
)</f>
        <v>Retained – Unmatched ID (Anonymous Feedback Rule)</v>
      </c>
      <c r="I314" s="17" t="b">
        <f>IF(COUNTIF(Customer_Master!$A:$A,B314)=0,TRUE,FALSE)</f>
        <v>1</v>
      </c>
    </row>
    <row r="315" spans="1:9" ht="16.8" x14ac:dyDescent="0.3">
      <c r="A315" s="14" t="s">
        <v>8352</v>
      </c>
      <c r="B315" s="14" t="s">
        <v>1305</v>
      </c>
      <c r="C315" s="15">
        <v>44866</v>
      </c>
      <c r="D315" s="14" t="s">
        <v>7928</v>
      </c>
      <c r="E315" s="14">
        <v>1</v>
      </c>
      <c r="F315" s="14" t="s">
        <v>45</v>
      </c>
      <c r="G315" s="14" t="s">
        <v>45</v>
      </c>
      <c r="H315" s="31" t="str" cm="1">
        <f t="array" ref="H315">_xlfn.IFS(
  ISBLANK(A315),"Missing Value",
  OR(E315&lt;1,E315&gt;5),"Review – Out of Range (Satisfaction)",
  ISNA(MATCH(B315,Customer_Master!$A$2:$A$1649,0)),"Retained – Unmatched ID (Anonymous Feedback Rule)",
  TRUE,"OK"
)</f>
        <v>OK</v>
      </c>
      <c r="I315" s="18" t="b">
        <f>IF(COUNTIF(Customer_Master!$A:$A,B315)=0,TRUE,FALSE)</f>
        <v>0</v>
      </c>
    </row>
    <row r="316" spans="1:9" ht="33.6" x14ac:dyDescent="0.3">
      <c r="A316" s="11" t="s">
        <v>8353</v>
      </c>
      <c r="B316" s="11" t="s">
        <v>8354</v>
      </c>
      <c r="C316" s="12">
        <v>44363</v>
      </c>
      <c r="D316" s="11" t="s">
        <v>7943</v>
      </c>
      <c r="E316" s="11">
        <v>2</v>
      </c>
      <c r="F316" s="11" t="s">
        <v>45</v>
      </c>
      <c r="G316" s="11" t="s">
        <v>46</v>
      </c>
      <c r="H316" s="31" t="str" cm="1">
        <f t="array" ref="H316">_xlfn.IFS(
  ISBLANK(A316),"Missing Value",
  OR(E316&lt;1,E316&gt;5),"Review – Out of Range (Satisfaction)",
  ISNA(MATCH(B316,Customer_Master!$A$2:$A$1649,0)),"Retained – Unmatched ID (Anonymous Feedback Rule)",
  TRUE,"OK"
)</f>
        <v>Retained – Unmatched ID (Anonymous Feedback Rule)</v>
      </c>
      <c r="I316" s="17" t="b">
        <f>IF(COUNTIF(Customer_Master!$A:$A,B316)=0,TRUE,FALSE)</f>
        <v>1</v>
      </c>
    </row>
    <row r="317" spans="1:9" ht="16.8" x14ac:dyDescent="0.3">
      <c r="A317" s="14" t="s">
        <v>8355</v>
      </c>
      <c r="B317" s="14" t="s">
        <v>3200</v>
      </c>
      <c r="C317" s="15">
        <v>44138</v>
      </c>
      <c r="D317" s="14" t="s">
        <v>7937</v>
      </c>
      <c r="E317" s="14">
        <v>5</v>
      </c>
      <c r="F317" s="14" t="s">
        <v>46</v>
      </c>
      <c r="G317" s="14" t="s">
        <v>46</v>
      </c>
      <c r="H317" s="31" t="str" cm="1">
        <f t="array" ref="H317">_xlfn.IFS(
  ISBLANK(A317),"Missing Value",
  OR(E317&lt;1,E317&gt;5),"Review – Out of Range (Satisfaction)",
  ISNA(MATCH(B317,Customer_Master!$A$2:$A$1649,0)),"Retained – Unmatched ID (Anonymous Feedback Rule)",
  TRUE,"OK"
)</f>
        <v>OK</v>
      </c>
      <c r="I317" s="18" t="b">
        <f>IF(COUNTIF(Customer_Master!$A:$A,B317)=0,TRUE,FALSE)</f>
        <v>0</v>
      </c>
    </row>
    <row r="318" spans="1:9" ht="16.8" x14ac:dyDescent="0.3">
      <c r="A318" s="11" t="s">
        <v>8356</v>
      </c>
      <c r="B318" s="11" t="s">
        <v>2769</v>
      </c>
      <c r="C318" s="12">
        <v>45040</v>
      </c>
      <c r="D318" s="11" t="s">
        <v>7933</v>
      </c>
      <c r="E318" s="11">
        <v>3</v>
      </c>
      <c r="F318" s="11" t="s">
        <v>45</v>
      </c>
      <c r="G318" s="11" t="s">
        <v>45</v>
      </c>
      <c r="H318" s="31" t="str" cm="1">
        <f t="array" ref="H318">_xlfn.IFS(
  ISBLANK(A318),"Missing Value",
  OR(E318&lt;1,E318&gt;5),"Review – Out of Range (Satisfaction)",
  ISNA(MATCH(B318,Customer_Master!$A$2:$A$1649,0)),"Retained – Unmatched ID (Anonymous Feedback Rule)",
  TRUE,"OK"
)</f>
        <v>OK</v>
      </c>
      <c r="I318" s="17" t="b">
        <f>IF(COUNTIF(Customer_Master!$A:$A,B318)=0,TRUE,FALSE)</f>
        <v>0</v>
      </c>
    </row>
    <row r="319" spans="1:9" ht="16.8" x14ac:dyDescent="0.3">
      <c r="A319" s="14" t="s">
        <v>8357</v>
      </c>
      <c r="B319" s="14" t="s">
        <v>2529</v>
      </c>
      <c r="C319" s="15">
        <v>43972</v>
      </c>
      <c r="D319" s="14" t="s">
        <v>7940</v>
      </c>
      <c r="E319" s="14">
        <v>4</v>
      </c>
      <c r="F319" s="14" t="s">
        <v>45</v>
      </c>
      <c r="G319" s="14" t="s">
        <v>45</v>
      </c>
      <c r="H319" s="31" t="str" cm="1">
        <f t="array" ref="H319">_xlfn.IFS(
  ISBLANK(A319),"Missing Value",
  OR(E319&lt;1,E319&gt;5),"Review – Out of Range (Satisfaction)",
  ISNA(MATCH(B319,Customer_Master!$A$2:$A$1649,0)),"Retained – Unmatched ID (Anonymous Feedback Rule)",
  TRUE,"OK"
)</f>
        <v>OK</v>
      </c>
      <c r="I319" s="18" t="b">
        <f>IF(COUNTIF(Customer_Master!$A:$A,B319)=0,TRUE,FALSE)</f>
        <v>0</v>
      </c>
    </row>
    <row r="320" spans="1:9" ht="33.6" x14ac:dyDescent="0.3">
      <c r="A320" s="11" t="s">
        <v>8358</v>
      </c>
      <c r="B320" s="11" t="s">
        <v>8359</v>
      </c>
      <c r="C320" s="12">
        <v>45003</v>
      </c>
      <c r="D320" s="11" t="s">
        <v>7940</v>
      </c>
      <c r="E320" s="11">
        <v>5</v>
      </c>
      <c r="F320" s="11" t="s">
        <v>46</v>
      </c>
      <c r="G320" s="11" t="s">
        <v>46</v>
      </c>
      <c r="H320" s="31" t="str" cm="1">
        <f t="array" ref="H320">_xlfn.IFS(
  ISBLANK(A320),"Missing Value",
  OR(E320&lt;1,E320&gt;5),"Review – Out of Range (Satisfaction)",
  ISNA(MATCH(B320,Customer_Master!$A$2:$A$1649,0)),"Retained – Unmatched ID (Anonymous Feedback Rule)",
  TRUE,"OK"
)</f>
        <v>Retained – Unmatched ID (Anonymous Feedback Rule)</v>
      </c>
      <c r="I320" s="17" t="b">
        <f>IF(COUNTIF(Customer_Master!$A:$A,B320)=0,TRUE,FALSE)</f>
        <v>1</v>
      </c>
    </row>
    <row r="321" spans="1:9" ht="16.8" x14ac:dyDescent="0.3">
      <c r="A321" s="14" t="s">
        <v>8360</v>
      </c>
      <c r="B321" s="14" t="s">
        <v>1127</v>
      </c>
      <c r="C321" s="15">
        <v>45209</v>
      </c>
      <c r="D321" s="14" t="s">
        <v>7978</v>
      </c>
      <c r="E321" s="14">
        <v>3</v>
      </c>
      <c r="F321" s="14" t="s">
        <v>46</v>
      </c>
      <c r="G321" s="14" t="s">
        <v>45</v>
      </c>
      <c r="H321" s="31" t="str" cm="1">
        <f t="array" ref="H321">_xlfn.IFS(
  ISBLANK(A321),"Missing Value",
  OR(E321&lt;1,E321&gt;5),"Review – Out of Range (Satisfaction)",
  ISNA(MATCH(B321,Customer_Master!$A$2:$A$1649,0)),"Retained – Unmatched ID (Anonymous Feedback Rule)",
  TRUE,"OK"
)</f>
        <v>OK</v>
      </c>
      <c r="I321" s="18" t="b">
        <f>IF(COUNTIF(Customer_Master!$A:$A,B321)=0,TRUE,FALSE)</f>
        <v>0</v>
      </c>
    </row>
    <row r="322" spans="1:9" ht="16.8" x14ac:dyDescent="0.3">
      <c r="A322" s="11" t="s">
        <v>8361</v>
      </c>
      <c r="B322" s="11" t="s">
        <v>979</v>
      </c>
      <c r="C322" s="12">
        <v>45022</v>
      </c>
      <c r="D322" s="11" t="s">
        <v>7937</v>
      </c>
      <c r="E322" s="11">
        <v>5</v>
      </c>
      <c r="F322" s="11" t="s">
        <v>46</v>
      </c>
      <c r="G322" s="11" t="s">
        <v>45</v>
      </c>
      <c r="H322" s="31" t="str" cm="1">
        <f t="array" ref="H322">_xlfn.IFS(
  ISBLANK(A322),"Missing Value",
  OR(E322&lt;1,E322&gt;5),"Review – Out of Range (Satisfaction)",
  ISNA(MATCH(B322,Customer_Master!$A$2:$A$1649,0)),"Retained – Unmatched ID (Anonymous Feedback Rule)",
  TRUE,"OK"
)</f>
        <v>OK</v>
      </c>
      <c r="I322" s="17" t="b">
        <f>IF(COUNTIF(Customer_Master!$A:$A,B322)=0,TRUE,FALSE)</f>
        <v>0</v>
      </c>
    </row>
    <row r="323" spans="1:9" ht="33.6" x14ac:dyDescent="0.3">
      <c r="A323" s="14" t="s">
        <v>8362</v>
      </c>
      <c r="B323" s="14" t="s">
        <v>8363</v>
      </c>
      <c r="C323" s="15">
        <v>45119</v>
      </c>
      <c r="D323" s="14" t="s">
        <v>7947</v>
      </c>
      <c r="E323" s="14">
        <v>5</v>
      </c>
      <c r="F323" s="14" t="s">
        <v>46</v>
      </c>
      <c r="G323" s="14" t="s">
        <v>46</v>
      </c>
      <c r="H323" s="31" t="str" cm="1">
        <f t="array" ref="H323">_xlfn.IFS(
  ISBLANK(A323),"Missing Value",
  OR(E323&lt;1,E323&gt;5),"Review – Out of Range (Satisfaction)",
  ISNA(MATCH(B323,Customer_Master!$A$2:$A$1649,0)),"Retained – Unmatched ID (Anonymous Feedback Rule)",
  TRUE,"OK"
)</f>
        <v>Retained – Unmatched ID (Anonymous Feedback Rule)</v>
      </c>
      <c r="I323" s="18" t="b">
        <f>IF(COUNTIF(Customer_Master!$A:$A,B323)=0,TRUE,FALSE)</f>
        <v>1</v>
      </c>
    </row>
    <row r="324" spans="1:9" ht="33.6" x14ac:dyDescent="0.3">
      <c r="A324" s="11" t="s">
        <v>8364</v>
      </c>
      <c r="B324" s="11" t="s">
        <v>8365</v>
      </c>
      <c r="C324" s="12">
        <v>45011</v>
      </c>
      <c r="D324" s="11" t="s">
        <v>7978</v>
      </c>
      <c r="E324" s="11">
        <v>3</v>
      </c>
      <c r="F324" s="11" t="s">
        <v>46</v>
      </c>
      <c r="G324" s="11" t="s">
        <v>46</v>
      </c>
      <c r="H324" s="31" t="str" cm="1">
        <f t="array" ref="H324">_xlfn.IFS(
  ISBLANK(A324),"Missing Value",
  OR(E324&lt;1,E324&gt;5),"Review – Out of Range (Satisfaction)",
  ISNA(MATCH(B324,Customer_Master!$A$2:$A$1649,0)),"Retained – Unmatched ID (Anonymous Feedback Rule)",
  TRUE,"OK"
)</f>
        <v>Retained – Unmatched ID (Anonymous Feedback Rule)</v>
      </c>
      <c r="I324" s="17" t="b">
        <f>IF(COUNTIF(Customer_Master!$A:$A,B324)=0,TRUE,FALSE)</f>
        <v>1</v>
      </c>
    </row>
    <row r="325" spans="1:9" ht="33.6" x14ac:dyDescent="0.3">
      <c r="A325" s="14" t="s">
        <v>8366</v>
      </c>
      <c r="B325" s="14" t="s">
        <v>8367</v>
      </c>
      <c r="C325" s="15">
        <v>43857</v>
      </c>
      <c r="D325" s="14" t="s">
        <v>7947</v>
      </c>
      <c r="E325" s="14">
        <v>3</v>
      </c>
      <c r="F325" s="14" t="s">
        <v>46</v>
      </c>
      <c r="G325" s="14" t="s">
        <v>46</v>
      </c>
      <c r="H325" s="31" t="str" cm="1">
        <f t="array" ref="H325">_xlfn.IFS(
  ISBLANK(A325),"Missing Value",
  OR(E325&lt;1,E325&gt;5),"Review – Out of Range (Satisfaction)",
  ISNA(MATCH(B325,Customer_Master!$A$2:$A$1649,0)),"Retained – Unmatched ID (Anonymous Feedback Rule)",
  TRUE,"OK"
)</f>
        <v>Retained – Unmatched ID (Anonymous Feedback Rule)</v>
      </c>
      <c r="I325" s="18" t="b">
        <f>IF(COUNTIF(Customer_Master!$A:$A,B325)=0,TRUE,FALSE)</f>
        <v>1</v>
      </c>
    </row>
    <row r="326" spans="1:9" ht="33.6" x14ac:dyDescent="0.3">
      <c r="A326" s="11" t="s">
        <v>8368</v>
      </c>
      <c r="B326" s="11" t="s">
        <v>8369</v>
      </c>
      <c r="C326" s="12">
        <v>44405</v>
      </c>
      <c r="D326" s="11" t="s">
        <v>7940</v>
      </c>
      <c r="E326" s="11">
        <v>4</v>
      </c>
      <c r="F326" s="11" t="s">
        <v>46</v>
      </c>
      <c r="G326" s="11" t="s">
        <v>46</v>
      </c>
      <c r="H326" s="31" t="str" cm="1">
        <f t="array" ref="H326">_xlfn.IFS(
  ISBLANK(A326),"Missing Value",
  OR(E326&lt;1,E326&gt;5),"Review – Out of Range (Satisfaction)",
  ISNA(MATCH(B326,Customer_Master!$A$2:$A$1649,0)),"Retained – Unmatched ID (Anonymous Feedback Rule)",
  TRUE,"OK"
)</f>
        <v>Retained – Unmatched ID (Anonymous Feedback Rule)</v>
      </c>
      <c r="I326" s="17" t="b">
        <f>IF(COUNTIF(Customer_Master!$A:$A,B326)=0,TRUE,FALSE)</f>
        <v>1</v>
      </c>
    </row>
    <row r="327" spans="1:9" ht="33.6" x14ac:dyDescent="0.3">
      <c r="A327" s="14" t="s">
        <v>8370</v>
      </c>
      <c r="B327" s="14" t="s">
        <v>8371</v>
      </c>
      <c r="C327" s="15">
        <v>45223</v>
      </c>
      <c r="D327" s="14" t="s">
        <v>7935</v>
      </c>
      <c r="E327" s="14">
        <v>5</v>
      </c>
      <c r="F327" s="14" t="s">
        <v>46</v>
      </c>
      <c r="G327" s="14" t="s">
        <v>45</v>
      </c>
      <c r="H327" s="31" t="str" cm="1">
        <f t="array" ref="H327">_xlfn.IFS(
  ISBLANK(A327),"Missing Value",
  OR(E327&lt;1,E327&gt;5),"Review – Out of Range (Satisfaction)",
  ISNA(MATCH(B327,Customer_Master!$A$2:$A$1649,0)),"Retained – Unmatched ID (Anonymous Feedback Rule)",
  TRUE,"OK"
)</f>
        <v>Retained – Unmatched ID (Anonymous Feedback Rule)</v>
      </c>
      <c r="I327" s="18" t="b">
        <f>IF(COUNTIF(Customer_Master!$A:$A,B327)=0,TRUE,FALSE)</f>
        <v>1</v>
      </c>
    </row>
    <row r="328" spans="1:9" ht="33.6" x14ac:dyDescent="0.3">
      <c r="A328" s="11" t="s">
        <v>8372</v>
      </c>
      <c r="B328" s="11" t="s">
        <v>8373</v>
      </c>
      <c r="C328" s="12">
        <v>44817</v>
      </c>
      <c r="D328" s="11" t="s">
        <v>7931</v>
      </c>
      <c r="E328" s="11">
        <v>5</v>
      </c>
      <c r="F328" s="11" t="s">
        <v>45</v>
      </c>
      <c r="G328" s="11" t="s">
        <v>45</v>
      </c>
      <c r="H328" s="31" t="str" cm="1">
        <f t="array" ref="H328">_xlfn.IFS(
  ISBLANK(A328),"Missing Value",
  OR(E328&lt;1,E328&gt;5),"Review – Out of Range (Satisfaction)",
  ISNA(MATCH(B328,Customer_Master!$A$2:$A$1649,0)),"Retained – Unmatched ID (Anonymous Feedback Rule)",
  TRUE,"OK"
)</f>
        <v>Retained – Unmatched ID (Anonymous Feedback Rule)</v>
      </c>
      <c r="I328" s="17" t="b">
        <f>IF(COUNTIF(Customer_Master!$A:$A,B328)=0,TRUE,FALSE)</f>
        <v>1</v>
      </c>
    </row>
    <row r="329" spans="1:9" ht="16.8" x14ac:dyDescent="0.3">
      <c r="A329" s="14" t="s">
        <v>8374</v>
      </c>
      <c r="B329" s="14" t="s">
        <v>3168</v>
      </c>
      <c r="C329" s="15">
        <v>45246</v>
      </c>
      <c r="D329" s="14" t="s">
        <v>7943</v>
      </c>
      <c r="E329" s="14">
        <v>2</v>
      </c>
      <c r="F329" s="14" t="s">
        <v>46</v>
      </c>
      <c r="G329" s="14" t="s">
        <v>46</v>
      </c>
      <c r="H329" s="31" t="str" cm="1">
        <f t="array" ref="H329">_xlfn.IFS(
  ISBLANK(A329),"Missing Value",
  OR(E329&lt;1,E329&gt;5),"Review – Out of Range (Satisfaction)",
  ISNA(MATCH(B329,Customer_Master!$A$2:$A$1649,0)),"Retained – Unmatched ID (Anonymous Feedback Rule)",
  TRUE,"OK"
)</f>
        <v>OK</v>
      </c>
      <c r="I329" s="18" t="b">
        <f>IF(COUNTIF(Customer_Master!$A:$A,B329)=0,TRUE,FALSE)</f>
        <v>0</v>
      </c>
    </row>
    <row r="330" spans="1:9" ht="33.6" x14ac:dyDescent="0.3">
      <c r="A330" s="11" t="s">
        <v>8375</v>
      </c>
      <c r="B330" s="11" t="s">
        <v>8376</v>
      </c>
      <c r="C330" s="12">
        <v>43877</v>
      </c>
      <c r="D330" s="11" t="s">
        <v>7969</v>
      </c>
      <c r="E330" s="11">
        <v>2</v>
      </c>
      <c r="F330" s="11" t="s">
        <v>45</v>
      </c>
      <c r="G330" s="11" t="s">
        <v>45</v>
      </c>
      <c r="H330" s="31" t="str" cm="1">
        <f t="array" ref="H330">_xlfn.IFS(
  ISBLANK(A330),"Missing Value",
  OR(E330&lt;1,E330&gt;5),"Review – Out of Range (Satisfaction)",
  ISNA(MATCH(B330,Customer_Master!$A$2:$A$1649,0)),"Retained – Unmatched ID (Anonymous Feedback Rule)",
  TRUE,"OK"
)</f>
        <v>Retained – Unmatched ID (Anonymous Feedback Rule)</v>
      </c>
      <c r="I330" s="17" t="b">
        <f>IF(COUNTIF(Customer_Master!$A:$A,B330)=0,TRUE,FALSE)</f>
        <v>1</v>
      </c>
    </row>
    <row r="331" spans="1:9" ht="33.6" x14ac:dyDescent="0.3">
      <c r="A331" s="14" t="s">
        <v>8377</v>
      </c>
      <c r="B331" s="14" t="s">
        <v>8378</v>
      </c>
      <c r="C331" s="15">
        <v>44900</v>
      </c>
      <c r="D331" s="14" t="s">
        <v>7940</v>
      </c>
      <c r="E331" s="14">
        <v>5</v>
      </c>
      <c r="F331" s="14" t="s">
        <v>45</v>
      </c>
      <c r="G331" s="14" t="s">
        <v>46</v>
      </c>
      <c r="H331" s="31" t="str" cm="1">
        <f t="array" ref="H331">_xlfn.IFS(
  ISBLANK(A331),"Missing Value",
  OR(E331&lt;1,E331&gt;5),"Review – Out of Range (Satisfaction)",
  ISNA(MATCH(B331,Customer_Master!$A$2:$A$1649,0)),"Retained – Unmatched ID (Anonymous Feedback Rule)",
  TRUE,"OK"
)</f>
        <v>Retained – Unmatched ID (Anonymous Feedback Rule)</v>
      </c>
      <c r="I331" s="18" t="b">
        <f>IF(COUNTIF(Customer_Master!$A:$A,B331)=0,TRUE,FALSE)</f>
        <v>1</v>
      </c>
    </row>
    <row r="332" spans="1:9" ht="33.6" x14ac:dyDescent="0.3">
      <c r="A332" s="11" t="s">
        <v>8379</v>
      </c>
      <c r="B332" s="11" t="s">
        <v>8380</v>
      </c>
      <c r="C332" s="12">
        <v>44509</v>
      </c>
      <c r="D332" s="11" t="s">
        <v>7943</v>
      </c>
      <c r="E332" s="11">
        <v>3</v>
      </c>
      <c r="F332" s="11" t="s">
        <v>45</v>
      </c>
      <c r="G332" s="11" t="s">
        <v>45</v>
      </c>
      <c r="H332" s="31" t="str" cm="1">
        <f t="array" ref="H332">_xlfn.IFS(
  ISBLANK(A332),"Missing Value",
  OR(E332&lt;1,E332&gt;5),"Review – Out of Range (Satisfaction)",
  ISNA(MATCH(B332,Customer_Master!$A$2:$A$1649,0)),"Retained – Unmatched ID (Anonymous Feedback Rule)",
  TRUE,"OK"
)</f>
        <v>Retained – Unmatched ID (Anonymous Feedback Rule)</v>
      </c>
      <c r="I332" s="17" t="b">
        <f>IF(COUNTIF(Customer_Master!$A:$A,B332)=0,TRUE,FALSE)</f>
        <v>1</v>
      </c>
    </row>
    <row r="333" spans="1:9" ht="33.6" x14ac:dyDescent="0.3">
      <c r="A333" s="14" t="s">
        <v>8381</v>
      </c>
      <c r="B333" s="14" t="s">
        <v>8382</v>
      </c>
      <c r="C333" s="15">
        <v>43846</v>
      </c>
      <c r="D333" s="14" t="s">
        <v>7931</v>
      </c>
      <c r="E333" s="14">
        <v>4</v>
      </c>
      <c r="F333" s="14" t="s">
        <v>46</v>
      </c>
      <c r="G333" s="14" t="s">
        <v>46</v>
      </c>
      <c r="H333" s="31" t="str" cm="1">
        <f t="array" ref="H333">_xlfn.IFS(
  ISBLANK(A333),"Missing Value",
  OR(E333&lt;1,E333&gt;5),"Review – Out of Range (Satisfaction)",
  ISNA(MATCH(B333,Customer_Master!$A$2:$A$1649,0)),"Retained – Unmatched ID (Anonymous Feedback Rule)",
  TRUE,"OK"
)</f>
        <v>Retained – Unmatched ID (Anonymous Feedback Rule)</v>
      </c>
      <c r="I333" s="18" t="b">
        <f>IF(COUNTIF(Customer_Master!$A:$A,B333)=0,TRUE,FALSE)</f>
        <v>1</v>
      </c>
    </row>
    <row r="334" spans="1:9" ht="16.8" x14ac:dyDescent="0.3">
      <c r="A334" s="11" t="s">
        <v>8383</v>
      </c>
      <c r="B334" s="11" t="s">
        <v>162</v>
      </c>
      <c r="C334" s="12">
        <v>44136</v>
      </c>
      <c r="D334" s="11" t="s">
        <v>7947</v>
      </c>
      <c r="E334" s="11">
        <v>5</v>
      </c>
      <c r="F334" s="11" t="s">
        <v>46</v>
      </c>
      <c r="G334" s="11" t="s">
        <v>45</v>
      </c>
      <c r="H334" s="31" t="str" cm="1">
        <f t="array" ref="H334">_xlfn.IFS(
  ISBLANK(A334),"Missing Value",
  OR(E334&lt;1,E334&gt;5),"Review – Out of Range (Satisfaction)",
  ISNA(MATCH(B334,Customer_Master!$A$2:$A$1649,0)),"Retained – Unmatched ID (Anonymous Feedback Rule)",
  TRUE,"OK"
)</f>
        <v>OK</v>
      </c>
      <c r="I334" s="17" t="b">
        <f>IF(COUNTIF(Customer_Master!$A:$A,B334)=0,TRUE,FALSE)</f>
        <v>0</v>
      </c>
    </row>
    <row r="335" spans="1:9" ht="16.8" x14ac:dyDescent="0.3">
      <c r="A335" s="14" t="s">
        <v>8384</v>
      </c>
      <c r="B335" s="14" t="s">
        <v>2379</v>
      </c>
      <c r="C335" s="15">
        <v>44758</v>
      </c>
      <c r="D335" s="14" t="s">
        <v>7928</v>
      </c>
      <c r="E335" s="14">
        <v>3</v>
      </c>
      <c r="F335" s="14" t="s">
        <v>46</v>
      </c>
      <c r="G335" s="14" t="s">
        <v>45</v>
      </c>
      <c r="H335" s="31" t="str" cm="1">
        <f t="array" ref="H335">_xlfn.IFS(
  ISBLANK(A335),"Missing Value",
  OR(E335&lt;1,E335&gt;5),"Review – Out of Range (Satisfaction)",
  ISNA(MATCH(B335,Customer_Master!$A$2:$A$1649,0)),"Retained – Unmatched ID (Anonymous Feedback Rule)",
  TRUE,"OK"
)</f>
        <v>OK</v>
      </c>
      <c r="I335" s="18" t="b">
        <f>IF(COUNTIF(Customer_Master!$A:$A,B335)=0,TRUE,FALSE)</f>
        <v>0</v>
      </c>
    </row>
    <row r="336" spans="1:9" ht="16.8" x14ac:dyDescent="0.3">
      <c r="A336" s="11" t="s">
        <v>8385</v>
      </c>
      <c r="B336" s="11" t="s">
        <v>745</v>
      </c>
      <c r="C336" s="12">
        <v>44225</v>
      </c>
      <c r="D336" s="11" t="s">
        <v>7969</v>
      </c>
      <c r="E336" s="11">
        <v>2</v>
      </c>
      <c r="F336" s="11" t="s">
        <v>46</v>
      </c>
      <c r="G336" s="11" t="s">
        <v>46</v>
      </c>
      <c r="H336" s="31" t="str" cm="1">
        <f t="array" ref="H336">_xlfn.IFS(
  ISBLANK(A336),"Missing Value",
  OR(E336&lt;1,E336&gt;5),"Review – Out of Range (Satisfaction)",
  ISNA(MATCH(B336,Customer_Master!$A$2:$A$1649,0)),"Retained – Unmatched ID (Anonymous Feedback Rule)",
  TRUE,"OK"
)</f>
        <v>OK</v>
      </c>
      <c r="I336" s="17" t="b">
        <f>IF(COUNTIF(Customer_Master!$A:$A,B336)=0,TRUE,FALSE)</f>
        <v>0</v>
      </c>
    </row>
    <row r="337" spans="1:9" ht="33.6" x14ac:dyDescent="0.3">
      <c r="A337" s="14" t="s">
        <v>8386</v>
      </c>
      <c r="B337" s="14" t="s">
        <v>8387</v>
      </c>
      <c r="C337" s="15">
        <v>44775</v>
      </c>
      <c r="D337" s="14" t="s">
        <v>7928</v>
      </c>
      <c r="E337" s="14">
        <v>3</v>
      </c>
      <c r="F337" s="14" t="s">
        <v>46</v>
      </c>
      <c r="G337" s="14" t="s">
        <v>45</v>
      </c>
      <c r="H337" s="31" t="str" cm="1">
        <f t="array" ref="H337">_xlfn.IFS(
  ISBLANK(A337),"Missing Value",
  OR(E337&lt;1,E337&gt;5),"Review – Out of Range (Satisfaction)",
  ISNA(MATCH(B337,Customer_Master!$A$2:$A$1649,0)),"Retained – Unmatched ID (Anonymous Feedback Rule)",
  TRUE,"OK"
)</f>
        <v>Retained – Unmatched ID (Anonymous Feedback Rule)</v>
      </c>
      <c r="I337" s="18" t="b">
        <f>IF(COUNTIF(Customer_Master!$A:$A,B337)=0,TRUE,FALSE)</f>
        <v>1</v>
      </c>
    </row>
    <row r="338" spans="1:9" ht="16.8" x14ac:dyDescent="0.3">
      <c r="A338" s="11" t="s">
        <v>8388</v>
      </c>
      <c r="B338" s="11" t="s">
        <v>635</v>
      </c>
      <c r="C338" s="12">
        <v>44927</v>
      </c>
      <c r="D338" s="11" t="s">
        <v>7933</v>
      </c>
      <c r="E338" s="11">
        <v>2</v>
      </c>
      <c r="F338" s="11" t="s">
        <v>45</v>
      </c>
      <c r="G338" s="11" t="s">
        <v>46</v>
      </c>
      <c r="H338" s="31" t="str" cm="1">
        <f t="array" ref="H338">_xlfn.IFS(
  ISBLANK(A338),"Missing Value",
  OR(E338&lt;1,E338&gt;5),"Review – Out of Range (Satisfaction)",
  ISNA(MATCH(B338,Customer_Master!$A$2:$A$1649,0)),"Retained – Unmatched ID (Anonymous Feedback Rule)",
  TRUE,"OK"
)</f>
        <v>OK</v>
      </c>
      <c r="I338" s="17" t="b">
        <f>IF(COUNTIF(Customer_Master!$A:$A,B338)=0,TRUE,FALSE)</f>
        <v>0</v>
      </c>
    </row>
    <row r="339" spans="1:9" ht="33.6" x14ac:dyDescent="0.3">
      <c r="A339" s="14" t="s">
        <v>8389</v>
      </c>
      <c r="B339" s="14" t="s">
        <v>8390</v>
      </c>
      <c r="C339" s="15">
        <v>45073</v>
      </c>
      <c r="D339" s="14" t="s">
        <v>7933</v>
      </c>
      <c r="E339" s="14">
        <v>3</v>
      </c>
      <c r="F339" s="14" t="s">
        <v>45</v>
      </c>
      <c r="G339" s="14" t="s">
        <v>45</v>
      </c>
      <c r="H339" s="31" t="str" cm="1">
        <f t="array" ref="H339">_xlfn.IFS(
  ISBLANK(A339),"Missing Value",
  OR(E339&lt;1,E339&gt;5),"Review – Out of Range (Satisfaction)",
  ISNA(MATCH(B339,Customer_Master!$A$2:$A$1649,0)),"Retained – Unmatched ID (Anonymous Feedback Rule)",
  TRUE,"OK"
)</f>
        <v>Retained – Unmatched ID (Anonymous Feedback Rule)</v>
      </c>
      <c r="I339" s="18" t="b">
        <f>IF(COUNTIF(Customer_Master!$A:$A,B339)=0,TRUE,FALSE)</f>
        <v>1</v>
      </c>
    </row>
    <row r="340" spans="1:9" ht="33.6" x14ac:dyDescent="0.3">
      <c r="A340" s="11" t="s">
        <v>8391</v>
      </c>
      <c r="B340" s="11" t="s">
        <v>8392</v>
      </c>
      <c r="C340" s="12">
        <v>44914</v>
      </c>
      <c r="D340" s="11" t="s">
        <v>7978</v>
      </c>
      <c r="E340" s="11">
        <v>1</v>
      </c>
      <c r="F340" s="11" t="s">
        <v>45</v>
      </c>
      <c r="G340" s="11" t="s">
        <v>46</v>
      </c>
      <c r="H340" s="31" t="str" cm="1">
        <f t="array" ref="H340">_xlfn.IFS(
  ISBLANK(A340),"Missing Value",
  OR(E340&lt;1,E340&gt;5),"Review – Out of Range (Satisfaction)",
  ISNA(MATCH(B340,Customer_Master!$A$2:$A$1649,0)),"Retained – Unmatched ID (Anonymous Feedback Rule)",
  TRUE,"OK"
)</f>
        <v>Retained – Unmatched ID (Anonymous Feedback Rule)</v>
      </c>
      <c r="I340" s="17" t="b">
        <f>IF(COUNTIF(Customer_Master!$A:$A,B340)=0,TRUE,FALSE)</f>
        <v>1</v>
      </c>
    </row>
    <row r="341" spans="1:9" ht="16.8" x14ac:dyDescent="0.3">
      <c r="A341" s="14" t="s">
        <v>8393</v>
      </c>
      <c r="B341" s="14" t="s">
        <v>238</v>
      </c>
      <c r="C341" s="15">
        <v>44054</v>
      </c>
      <c r="D341" s="14" t="s">
        <v>7978</v>
      </c>
      <c r="E341" s="14">
        <v>2</v>
      </c>
      <c r="F341" s="14" t="s">
        <v>46</v>
      </c>
      <c r="G341" s="14" t="s">
        <v>46</v>
      </c>
      <c r="H341" s="31" t="str" cm="1">
        <f t="array" ref="H341">_xlfn.IFS(
  ISBLANK(A341),"Missing Value",
  OR(E341&lt;1,E341&gt;5),"Review – Out of Range (Satisfaction)",
  ISNA(MATCH(B341,Customer_Master!$A$2:$A$1649,0)),"Retained – Unmatched ID (Anonymous Feedback Rule)",
  TRUE,"OK"
)</f>
        <v>OK</v>
      </c>
      <c r="I341" s="18" t="b">
        <f>IF(COUNTIF(Customer_Master!$A:$A,B341)=0,TRUE,FALSE)</f>
        <v>0</v>
      </c>
    </row>
    <row r="342" spans="1:9" ht="16.8" x14ac:dyDescent="0.3">
      <c r="A342" s="11" t="s">
        <v>8394</v>
      </c>
      <c r="B342" s="11" t="s">
        <v>3158</v>
      </c>
      <c r="C342" s="12">
        <v>44111</v>
      </c>
      <c r="D342" s="11" t="s">
        <v>7937</v>
      </c>
      <c r="E342" s="11">
        <v>5</v>
      </c>
      <c r="F342" s="11" t="s">
        <v>46</v>
      </c>
      <c r="G342" s="11" t="s">
        <v>45</v>
      </c>
      <c r="H342" s="31" t="str" cm="1">
        <f t="array" ref="H342">_xlfn.IFS(
  ISBLANK(A342),"Missing Value",
  OR(E342&lt;1,E342&gt;5),"Review – Out of Range (Satisfaction)",
  ISNA(MATCH(B342,Customer_Master!$A$2:$A$1649,0)),"Retained – Unmatched ID (Anonymous Feedback Rule)",
  TRUE,"OK"
)</f>
        <v>OK</v>
      </c>
      <c r="I342" s="17" t="b">
        <f>IF(COUNTIF(Customer_Master!$A:$A,B342)=0,TRUE,FALSE)</f>
        <v>0</v>
      </c>
    </row>
    <row r="343" spans="1:9" ht="33.6" x14ac:dyDescent="0.3">
      <c r="A343" s="14" t="s">
        <v>8395</v>
      </c>
      <c r="B343" s="14" t="s">
        <v>8396</v>
      </c>
      <c r="C343" s="15">
        <v>44506</v>
      </c>
      <c r="D343" s="14" t="s">
        <v>7933</v>
      </c>
      <c r="E343" s="14">
        <v>2</v>
      </c>
      <c r="F343" s="14" t="s">
        <v>45</v>
      </c>
      <c r="G343" s="14" t="s">
        <v>46</v>
      </c>
      <c r="H343" s="31" t="str" cm="1">
        <f t="array" ref="H343">_xlfn.IFS(
  ISBLANK(A343),"Missing Value",
  OR(E343&lt;1,E343&gt;5),"Review – Out of Range (Satisfaction)",
  ISNA(MATCH(B343,Customer_Master!$A$2:$A$1649,0)),"Retained – Unmatched ID (Anonymous Feedback Rule)",
  TRUE,"OK"
)</f>
        <v>Retained – Unmatched ID (Anonymous Feedback Rule)</v>
      </c>
      <c r="I343" s="18" t="b">
        <f>IF(COUNTIF(Customer_Master!$A:$A,B343)=0,TRUE,FALSE)</f>
        <v>1</v>
      </c>
    </row>
    <row r="344" spans="1:9" ht="16.8" x14ac:dyDescent="0.3">
      <c r="A344" s="11" t="s">
        <v>8397</v>
      </c>
      <c r="B344" s="11" t="s">
        <v>490</v>
      </c>
      <c r="C344" s="12">
        <v>44138</v>
      </c>
      <c r="D344" s="11" t="s">
        <v>7969</v>
      </c>
      <c r="E344" s="11">
        <v>1</v>
      </c>
      <c r="F344" s="11" t="s">
        <v>45</v>
      </c>
      <c r="G344" s="11" t="s">
        <v>45</v>
      </c>
      <c r="H344" s="31" t="str" cm="1">
        <f t="array" ref="H344">_xlfn.IFS(
  ISBLANK(A344),"Missing Value",
  OR(E344&lt;1,E344&gt;5),"Review – Out of Range (Satisfaction)",
  ISNA(MATCH(B344,Customer_Master!$A$2:$A$1649,0)),"Retained – Unmatched ID (Anonymous Feedback Rule)",
  TRUE,"OK"
)</f>
        <v>OK</v>
      </c>
      <c r="I344" s="17" t="b">
        <f>IF(COUNTIF(Customer_Master!$A:$A,B344)=0,TRUE,FALSE)</f>
        <v>0</v>
      </c>
    </row>
    <row r="345" spans="1:9" ht="33.6" x14ac:dyDescent="0.3">
      <c r="A345" s="14" t="s">
        <v>8398</v>
      </c>
      <c r="B345" s="14" t="s">
        <v>8399</v>
      </c>
      <c r="C345" s="15">
        <v>44176</v>
      </c>
      <c r="D345" s="14" t="s">
        <v>7937</v>
      </c>
      <c r="E345" s="14">
        <v>4</v>
      </c>
      <c r="F345" s="14" t="s">
        <v>46</v>
      </c>
      <c r="G345" s="14" t="s">
        <v>46</v>
      </c>
      <c r="H345" s="31" t="str" cm="1">
        <f t="array" ref="H345">_xlfn.IFS(
  ISBLANK(A345),"Missing Value",
  OR(E345&lt;1,E345&gt;5),"Review – Out of Range (Satisfaction)",
  ISNA(MATCH(B345,Customer_Master!$A$2:$A$1649,0)),"Retained – Unmatched ID (Anonymous Feedback Rule)",
  TRUE,"OK"
)</f>
        <v>Retained – Unmatched ID (Anonymous Feedback Rule)</v>
      </c>
      <c r="I345" s="18" t="b">
        <f>IF(COUNTIF(Customer_Master!$A:$A,B345)=0,TRUE,FALSE)</f>
        <v>1</v>
      </c>
    </row>
    <row r="346" spans="1:9" ht="16.8" x14ac:dyDescent="0.3">
      <c r="A346" s="11" t="s">
        <v>8400</v>
      </c>
      <c r="B346" s="11" t="s">
        <v>3260</v>
      </c>
      <c r="C346" s="12">
        <v>44925</v>
      </c>
      <c r="D346" s="11" t="s">
        <v>7928</v>
      </c>
      <c r="E346" s="11">
        <v>2</v>
      </c>
      <c r="F346" s="11" t="s">
        <v>46</v>
      </c>
      <c r="G346" s="11" t="s">
        <v>46</v>
      </c>
      <c r="H346" s="31" t="str" cm="1">
        <f t="array" ref="H346">_xlfn.IFS(
  ISBLANK(A346),"Missing Value",
  OR(E346&lt;1,E346&gt;5),"Review – Out of Range (Satisfaction)",
  ISNA(MATCH(B346,Customer_Master!$A$2:$A$1649,0)),"Retained – Unmatched ID (Anonymous Feedback Rule)",
  TRUE,"OK"
)</f>
        <v>OK</v>
      </c>
      <c r="I346" s="17" t="b">
        <f>IF(COUNTIF(Customer_Master!$A:$A,B346)=0,TRUE,FALSE)</f>
        <v>0</v>
      </c>
    </row>
    <row r="347" spans="1:9" ht="33.6" x14ac:dyDescent="0.3">
      <c r="A347" s="14" t="s">
        <v>8401</v>
      </c>
      <c r="B347" s="14" t="s">
        <v>8402</v>
      </c>
      <c r="C347" s="15">
        <v>43852</v>
      </c>
      <c r="D347" s="14" t="s">
        <v>7940</v>
      </c>
      <c r="E347" s="14">
        <v>5</v>
      </c>
      <c r="F347" s="14" t="s">
        <v>45</v>
      </c>
      <c r="G347" s="14" t="s">
        <v>45</v>
      </c>
      <c r="H347" s="31" t="str" cm="1">
        <f t="array" ref="H347">_xlfn.IFS(
  ISBLANK(A347),"Missing Value",
  OR(E347&lt;1,E347&gt;5),"Review – Out of Range (Satisfaction)",
  ISNA(MATCH(B347,Customer_Master!$A$2:$A$1649,0)),"Retained – Unmatched ID (Anonymous Feedback Rule)",
  TRUE,"OK"
)</f>
        <v>Retained – Unmatched ID (Anonymous Feedback Rule)</v>
      </c>
      <c r="I347" s="18" t="b">
        <f>IF(COUNTIF(Customer_Master!$A:$A,B347)=0,TRUE,FALSE)</f>
        <v>1</v>
      </c>
    </row>
    <row r="348" spans="1:9" ht="33.6" x14ac:dyDescent="0.3">
      <c r="A348" s="11" t="s">
        <v>8403</v>
      </c>
      <c r="B348" s="11" t="s">
        <v>8404</v>
      </c>
      <c r="C348" s="12">
        <v>44978</v>
      </c>
      <c r="D348" s="11" t="s">
        <v>7969</v>
      </c>
      <c r="E348" s="11">
        <v>1</v>
      </c>
      <c r="F348" s="11" t="s">
        <v>45</v>
      </c>
      <c r="G348" s="11" t="s">
        <v>45</v>
      </c>
      <c r="H348" s="31" t="str" cm="1">
        <f t="array" ref="H348">_xlfn.IFS(
  ISBLANK(A348),"Missing Value",
  OR(E348&lt;1,E348&gt;5),"Review – Out of Range (Satisfaction)",
  ISNA(MATCH(B348,Customer_Master!$A$2:$A$1649,0)),"Retained – Unmatched ID (Anonymous Feedback Rule)",
  TRUE,"OK"
)</f>
        <v>Retained – Unmatched ID (Anonymous Feedback Rule)</v>
      </c>
      <c r="I348" s="17" t="b">
        <f>IF(COUNTIF(Customer_Master!$A:$A,B348)=0,TRUE,FALSE)</f>
        <v>1</v>
      </c>
    </row>
    <row r="349" spans="1:9" ht="33.6" x14ac:dyDescent="0.3">
      <c r="A349" s="14" t="s">
        <v>8405</v>
      </c>
      <c r="B349" s="14" t="s">
        <v>8406</v>
      </c>
      <c r="C349" s="15">
        <v>44729</v>
      </c>
      <c r="D349" s="14" t="s">
        <v>7943</v>
      </c>
      <c r="E349" s="14">
        <v>1</v>
      </c>
      <c r="F349" s="14" t="s">
        <v>46</v>
      </c>
      <c r="G349" s="14" t="s">
        <v>46</v>
      </c>
      <c r="H349" s="31" t="str" cm="1">
        <f t="array" ref="H349">_xlfn.IFS(
  ISBLANK(A349),"Missing Value",
  OR(E349&lt;1,E349&gt;5),"Review – Out of Range (Satisfaction)",
  ISNA(MATCH(B349,Customer_Master!$A$2:$A$1649,0)),"Retained – Unmatched ID (Anonymous Feedback Rule)",
  TRUE,"OK"
)</f>
        <v>Retained – Unmatched ID (Anonymous Feedback Rule)</v>
      </c>
      <c r="I349" s="18" t="b">
        <f>IF(COUNTIF(Customer_Master!$A:$A,B349)=0,TRUE,FALSE)</f>
        <v>1</v>
      </c>
    </row>
    <row r="350" spans="1:9" ht="33.6" x14ac:dyDescent="0.3">
      <c r="A350" s="11" t="s">
        <v>8407</v>
      </c>
      <c r="B350" s="11" t="s">
        <v>8408</v>
      </c>
      <c r="C350" s="12">
        <v>45241</v>
      </c>
      <c r="D350" s="11" t="s">
        <v>7937</v>
      </c>
      <c r="E350" s="11">
        <v>4</v>
      </c>
      <c r="F350" s="11" t="s">
        <v>46</v>
      </c>
      <c r="G350" s="11" t="s">
        <v>46</v>
      </c>
      <c r="H350" s="31" t="str" cm="1">
        <f t="array" ref="H350">_xlfn.IFS(
  ISBLANK(A350),"Missing Value",
  OR(E350&lt;1,E350&gt;5),"Review – Out of Range (Satisfaction)",
  ISNA(MATCH(B350,Customer_Master!$A$2:$A$1649,0)),"Retained – Unmatched ID (Anonymous Feedback Rule)",
  TRUE,"OK"
)</f>
        <v>Retained – Unmatched ID (Anonymous Feedback Rule)</v>
      </c>
      <c r="I350" s="17" t="b">
        <f>IF(COUNTIF(Customer_Master!$A:$A,B350)=0,TRUE,FALSE)</f>
        <v>1</v>
      </c>
    </row>
    <row r="351" spans="1:9" ht="16.8" x14ac:dyDescent="0.3">
      <c r="A351" s="14" t="s">
        <v>8409</v>
      </c>
      <c r="B351" s="14" t="s">
        <v>969</v>
      </c>
      <c r="C351" s="15">
        <v>45226</v>
      </c>
      <c r="D351" s="14" t="s">
        <v>7931</v>
      </c>
      <c r="E351" s="14">
        <v>5</v>
      </c>
      <c r="F351" s="14" t="s">
        <v>46</v>
      </c>
      <c r="G351" s="14" t="s">
        <v>46</v>
      </c>
      <c r="H351" s="31" t="str" cm="1">
        <f t="array" ref="H351">_xlfn.IFS(
  ISBLANK(A351),"Missing Value",
  OR(E351&lt;1,E351&gt;5),"Review – Out of Range (Satisfaction)",
  ISNA(MATCH(B351,Customer_Master!$A$2:$A$1649,0)),"Retained – Unmatched ID (Anonymous Feedback Rule)",
  TRUE,"OK"
)</f>
        <v>OK</v>
      </c>
      <c r="I351" s="18" t="b">
        <f>IF(COUNTIF(Customer_Master!$A:$A,B351)=0,TRUE,FALSE)</f>
        <v>0</v>
      </c>
    </row>
    <row r="352" spans="1:9" ht="16.8" x14ac:dyDescent="0.3">
      <c r="A352" s="11" t="s">
        <v>8410</v>
      </c>
      <c r="B352" s="11" t="s">
        <v>266</v>
      </c>
      <c r="C352" s="12">
        <v>44037</v>
      </c>
      <c r="D352" s="11" t="s">
        <v>7937</v>
      </c>
      <c r="E352" s="11">
        <v>5</v>
      </c>
      <c r="F352" s="11" t="s">
        <v>46</v>
      </c>
      <c r="G352" s="11" t="s">
        <v>45</v>
      </c>
      <c r="H352" s="31" t="str" cm="1">
        <f t="array" ref="H352">_xlfn.IFS(
  ISBLANK(A352),"Missing Value",
  OR(E352&lt;1,E352&gt;5),"Review – Out of Range (Satisfaction)",
  ISNA(MATCH(B352,Customer_Master!$A$2:$A$1649,0)),"Retained – Unmatched ID (Anonymous Feedback Rule)",
  TRUE,"OK"
)</f>
        <v>OK</v>
      </c>
      <c r="I352" s="17" t="b">
        <f>IF(COUNTIF(Customer_Master!$A:$A,B352)=0,TRUE,FALSE)</f>
        <v>0</v>
      </c>
    </row>
    <row r="353" spans="1:9" ht="16.8" x14ac:dyDescent="0.3">
      <c r="A353" s="14" t="s">
        <v>8411</v>
      </c>
      <c r="B353" s="14" t="s">
        <v>3260</v>
      </c>
      <c r="C353" s="15">
        <v>44826</v>
      </c>
      <c r="D353" s="14" t="s">
        <v>7943</v>
      </c>
      <c r="E353" s="14">
        <v>3</v>
      </c>
      <c r="F353" s="14" t="s">
        <v>46</v>
      </c>
      <c r="G353" s="14" t="s">
        <v>45</v>
      </c>
      <c r="H353" s="31" t="str" cm="1">
        <f t="array" ref="H353">_xlfn.IFS(
  ISBLANK(A353),"Missing Value",
  OR(E353&lt;1,E353&gt;5),"Review – Out of Range (Satisfaction)",
  ISNA(MATCH(B353,Customer_Master!$A$2:$A$1649,0)),"Retained – Unmatched ID (Anonymous Feedback Rule)",
  TRUE,"OK"
)</f>
        <v>OK</v>
      </c>
      <c r="I353" s="18" t="b">
        <f>IF(COUNTIF(Customer_Master!$A:$A,B353)=0,TRUE,FALSE)</f>
        <v>0</v>
      </c>
    </row>
    <row r="354" spans="1:9" ht="16.8" x14ac:dyDescent="0.3">
      <c r="A354" s="11" t="s">
        <v>8412</v>
      </c>
      <c r="B354" s="11" t="s">
        <v>101</v>
      </c>
      <c r="C354" s="12">
        <v>44665</v>
      </c>
      <c r="D354" s="11" t="s">
        <v>7935</v>
      </c>
      <c r="E354" s="11">
        <v>4</v>
      </c>
      <c r="F354" s="11" t="s">
        <v>45</v>
      </c>
      <c r="G354" s="11" t="s">
        <v>46</v>
      </c>
      <c r="H354" s="31" t="str" cm="1">
        <f t="array" ref="H354">_xlfn.IFS(
  ISBLANK(A354),"Missing Value",
  OR(E354&lt;1,E354&gt;5),"Review – Out of Range (Satisfaction)",
  ISNA(MATCH(B354,Customer_Master!$A$2:$A$1649,0)),"Retained – Unmatched ID (Anonymous Feedback Rule)",
  TRUE,"OK"
)</f>
        <v>OK</v>
      </c>
      <c r="I354" s="17" t="b">
        <f>IF(COUNTIF(Customer_Master!$A:$A,B354)=0,TRUE,FALSE)</f>
        <v>0</v>
      </c>
    </row>
    <row r="355" spans="1:9" ht="33.6" x14ac:dyDescent="0.3">
      <c r="A355" s="14" t="s">
        <v>8413</v>
      </c>
      <c r="B355" s="14" t="s">
        <v>8414</v>
      </c>
      <c r="C355" s="15">
        <v>44032</v>
      </c>
      <c r="D355" s="14" t="s">
        <v>7940</v>
      </c>
      <c r="E355" s="14">
        <v>5</v>
      </c>
      <c r="F355" s="14" t="s">
        <v>45</v>
      </c>
      <c r="G355" s="14" t="s">
        <v>46</v>
      </c>
      <c r="H355" s="31" t="str" cm="1">
        <f t="array" ref="H355">_xlfn.IFS(
  ISBLANK(A355),"Missing Value",
  OR(E355&lt;1,E355&gt;5),"Review – Out of Range (Satisfaction)",
  ISNA(MATCH(B355,Customer_Master!$A$2:$A$1649,0)),"Retained – Unmatched ID (Anonymous Feedback Rule)",
  TRUE,"OK"
)</f>
        <v>Retained – Unmatched ID (Anonymous Feedback Rule)</v>
      </c>
      <c r="I355" s="18" t="b">
        <f>IF(COUNTIF(Customer_Master!$A:$A,B355)=0,TRUE,FALSE)</f>
        <v>1</v>
      </c>
    </row>
    <row r="356" spans="1:9" ht="16.8" x14ac:dyDescent="0.3">
      <c r="A356" s="11" t="s">
        <v>8415</v>
      </c>
      <c r="B356" s="11" t="s">
        <v>2999</v>
      </c>
      <c r="C356" s="12">
        <v>44203</v>
      </c>
      <c r="D356" s="11" t="s">
        <v>7935</v>
      </c>
      <c r="E356" s="11">
        <v>4</v>
      </c>
      <c r="F356" s="11" t="s">
        <v>46</v>
      </c>
      <c r="G356" s="11" t="s">
        <v>45</v>
      </c>
      <c r="H356" s="31" t="str" cm="1">
        <f t="array" ref="H356">_xlfn.IFS(
  ISBLANK(A356),"Missing Value",
  OR(E356&lt;1,E356&gt;5),"Review – Out of Range (Satisfaction)",
  ISNA(MATCH(B356,Customer_Master!$A$2:$A$1649,0)),"Retained – Unmatched ID (Anonymous Feedback Rule)",
  TRUE,"OK"
)</f>
        <v>OK</v>
      </c>
      <c r="I356" s="17" t="b">
        <f>IF(COUNTIF(Customer_Master!$A:$A,B356)=0,TRUE,FALSE)</f>
        <v>0</v>
      </c>
    </row>
    <row r="357" spans="1:9" ht="16.8" x14ac:dyDescent="0.3">
      <c r="A357" s="14" t="s">
        <v>8416</v>
      </c>
      <c r="B357" s="14" t="s">
        <v>252</v>
      </c>
      <c r="C357" s="15">
        <v>45204</v>
      </c>
      <c r="D357" s="14" t="s">
        <v>7935</v>
      </c>
      <c r="E357" s="14">
        <v>4</v>
      </c>
      <c r="F357" s="14" t="s">
        <v>46</v>
      </c>
      <c r="G357" s="14" t="s">
        <v>45</v>
      </c>
      <c r="H357" s="31" t="str" cm="1">
        <f t="array" ref="H357">_xlfn.IFS(
  ISBLANK(A357),"Missing Value",
  OR(E357&lt;1,E357&gt;5),"Review – Out of Range (Satisfaction)",
  ISNA(MATCH(B357,Customer_Master!$A$2:$A$1649,0)),"Retained – Unmatched ID (Anonymous Feedback Rule)",
  TRUE,"OK"
)</f>
        <v>OK</v>
      </c>
      <c r="I357" s="18" t="b">
        <f>IF(COUNTIF(Customer_Master!$A:$A,B357)=0,TRUE,FALSE)</f>
        <v>0</v>
      </c>
    </row>
    <row r="358" spans="1:9" ht="33.6" x14ac:dyDescent="0.3">
      <c r="A358" s="11" t="s">
        <v>8417</v>
      </c>
      <c r="B358" s="11" t="s">
        <v>8418</v>
      </c>
      <c r="C358" s="12">
        <v>43883</v>
      </c>
      <c r="D358" s="11" t="s">
        <v>7937</v>
      </c>
      <c r="E358" s="11">
        <v>4</v>
      </c>
      <c r="F358" s="11" t="s">
        <v>46</v>
      </c>
      <c r="G358" s="11" t="s">
        <v>46</v>
      </c>
      <c r="H358" s="31" t="str" cm="1">
        <f t="array" ref="H358">_xlfn.IFS(
  ISBLANK(A358),"Missing Value",
  OR(E358&lt;1,E358&gt;5),"Review – Out of Range (Satisfaction)",
  ISNA(MATCH(B358,Customer_Master!$A$2:$A$1649,0)),"Retained – Unmatched ID (Anonymous Feedback Rule)",
  TRUE,"OK"
)</f>
        <v>Retained – Unmatched ID (Anonymous Feedback Rule)</v>
      </c>
      <c r="I358" s="17" t="b">
        <f>IF(COUNTIF(Customer_Master!$A:$A,B358)=0,TRUE,FALSE)</f>
        <v>1</v>
      </c>
    </row>
    <row r="359" spans="1:9" ht="33.6" x14ac:dyDescent="0.3">
      <c r="A359" s="14" t="s">
        <v>8419</v>
      </c>
      <c r="B359" s="14" t="s">
        <v>8420</v>
      </c>
      <c r="C359" s="15">
        <v>44154</v>
      </c>
      <c r="D359" s="14" t="s">
        <v>7969</v>
      </c>
      <c r="E359" s="14">
        <v>1</v>
      </c>
      <c r="F359" s="14" t="s">
        <v>46</v>
      </c>
      <c r="G359" s="14" t="s">
        <v>46</v>
      </c>
      <c r="H359" s="31" t="str" cm="1">
        <f t="array" ref="H359">_xlfn.IFS(
  ISBLANK(A359),"Missing Value",
  OR(E359&lt;1,E359&gt;5),"Review – Out of Range (Satisfaction)",
  ISNA(MATCH(B359,Customer_Master!$A$2:$A$1649,0)),"Retained – Unmatched ID (Anonymous Feedback Rule)",
  TRUE,"OK"
)</f>
        <v>Retained – Unmatched ID (Anonymous Feedback Rule)</v>
      </c>
      <c r="I359" s="18" t="b">
        <f>IF(COUNTIF(Customer_Master!$A:$A,B359)=0,TRUE,FALSE)</f>
        <v>1</v>
      </c>
    </row>
    <row r="360" spans="1:9" ht="16.8" x14ac:dyDescent="0.3">
      <c r="A360" s="11" t="s">
        <v>8421</v>
      </c>
      <c r="B360" s="11" t="s">
        <v>2501</v>
      </c>
      <c r="C360" s="12">
        <v>44937</v>
      </c>
      <c r="D360" s="11" t="s">
        <v>7933</v>
      </c>
      <c r="E360" s="11">
        <v>2</v>
      </c>
      <c r="F360" s="11" t="s">
        <v>45</v>
      </c>
      <c r="G360" s="11" t="s">
        <v>46</v>
      </c>
      <c r="H360" s="31" t="str" cm="1">
        <f t="array" ref="H360">_xlfn.IFS(
  ISBLANK(A360),"Missing Value",
  OR(E360&lt;1,E360&gt;5),"Review – Out of Range (Satisfaction)",
  ISNA(MATCH(B360,Customer_Master!$A$2:$A$1649,0)),"Retained – Unmatched ID (Anonymous Feedback Rule)",
  TRUE,"OK"
)</f>
        <v>OK</v>
      </c>
      <c r="I360" s="17" t="b">
        <f>IF(COUNTIF(Customer_Master!$A:$A,B360)=0,TRUE,FALSE)</f>
        <v>0</v>
      </c>
    </row>
    <row r="361" spans="1:9" ht="16.8" x14ac:dyDescent="0.3">
      <c r="A361" s="14" t="s">
        <v>8422</v>
      </c>
      <c r="B361" s="14" t="s">
        <v>2679</v>
      </c>
      <c r="C361" s="15">
        <v>44844</v>
      </c>
      <c r="D361" s="14" t="s">
        <v>7931</v>
      </c>
      <c r="E361" s="14">
        <v>4</v>
      </c>
      <c r="F361" s="14" t="s">
        <v>46</v>
      </c>
      <c r="G361" s="14" t="s">
        <v>45</v>
      </c>
      <c r="H361" s="31" t="str" cm="1">
        <f t="array" ref="H361">_xlfn.IFS(
  ISBLANK(A361),"Missing Value",
  OR(E361&lt;1,E361&gt;5),"Review – Out of Range (Satisfaction)",
  ISNA(MATCH(B361,Customer_Master!$A$2:$A$1649,0)),"Retained – Unmatched ID (Anonymous Feedback Rule)",
  TRUE,"OK"
)</f>
        <v>OK</v>
      </c>
      <c r="I361" s="18" t="b">
        <f>IF(COUNTIF(Customer_Master!$A:$A,B361)=0,TRUE,FALSE)</f>
        <v>0</v>
      </c>
    </row>
    <row r="362" spans="1:9" ht="16.8" x14ac:dyDescent="0.3">
      <c r="A362" s="11" t="s">
        <v>8423</v>
      </c>
      <c r="B362" s="11" t="s">
        <v>130</v>
      </c>
      <c r="C362" s="12">
        <v>44112</v>
      </c>
      <c r="D362" s="11" t="s">
        <v>7937</v>
      </c>
      <c r="E362" s="11">
        <v>4</v>
      </c>
      <c r="F362" s="11" t="s">
        <v>46</v>
      </c>
      <c r="G362" s="11" t="s">
        <v>45</v>
      </c>
      <c r="H362" s="31" t="str" cm="1">
        <f t="array" ref="H362">_xlfn.IFS(
  ISBLANK(A362),"Missing Value",
  OR(E362&lt;1,E362&gt;5),"Review – Out of Range (Satisfaction)",
  ISNA(MATCH(B362,Customer_Master!$A$2:$A$1649,0)),"Retained – Unmatched ID (Anonymous Feedback Rule)",
  TRUE,"OK"
)</f>
        <v>OK</v>
      </c>
      <c r="I362" s="17" t="b">
        <f>IF(COUNTIF(Customer_Master!$A:$A,B362)=0,TRUE,FALSE)</f>
        <v>0</v>
      </c>
    </row>
    <row r="363" spans="1:9" ht="33.6" x14ac:dyDescent="0.3">
      <c r="A363" s="14" t="s">
        <v>8424</v>
      </c>
      <c r="B363" s="14" t="s">
        <v>8425</v>
      </c>
      <c r="C363" s="15">
        <v>44634</v>
      </c>
      <c r="D363" s="14" t="s">
        <v>7933</v>
      </c>
      <c r="E363" s="14">
        <v>2</v>
      </c>
      <c r="F363" s="14" t="s">
        <v>46</v>
      </c>
      <c r="G363" s="14" t="s">
        <v>46</v>
      </c>
      <c r="H363" s="31" t="str" cm="1">
        <f t="array" ref="H363">_xlfn.IFS(
  ISBLANK(A363),"Missing Value",
  OR(E363&lt;1,E363&gt;5),"Review – Out of Range (Satisfaction)",
  ISNA(MATCH(B363,Customer_Master!$A$2:$A$1649,0)),"Retained – Unmatched ID (Anonymous Feedback Rule)",
  TRUE,"OK"
)</f>
        <v>Retained – Unmatched ID (Anonymous Feedback Rule)</v>
      </c>
      <c r="I363" s="18" t="b">
        <f>IF(COUNTIF(Customer_Master!$A:$A,B363)=0,TRUE,FALSE)</f>
        <v>1</v>
      </c>
    </row>
    <row r="364" spans="1:9" ht="33.6" x14ac:dyDescent="0.3">
      <c r="A364" s="11" t="s">
        <v>8426</v>
      </c>
      <c r="B364" s="11" t="s">
        <v>8427</v>
      </c>
      <c r="C364" s="12">
        <v>44289</v>
      </c>
      <c r="D364" s="11" t="s">
        <v>7935</v>
      </c>
      <c r="E364" s="11">
        <v>5</v>
      </c>
      <c r="F364" s="11" t="s">
        <v>46</v>
      </c>
      <c r="G364" s="11" t="s">
        <v>46</v>
      </c>
      <c r="H364" s="31" t="str" cm="1">
        <f t="array" ref="H364">_xlfn.IFS(
  ISBLANK(A364),"Missing Value",
  OR(E364&lt;1,E364&gt;5),"Review – Out of Range (Satisfaction)",
  ISNA(MATCH(B364,Customer_Master!$A$2:$A$1649,0)),"Retained – Unmatched ID (Anonymous Feedback Rule)",
  TRUE,"OK"
)</f>
        <v>Retained – Unmatched ID (Anonymous Feedback Rule)</v>
      </c>
      <c r="I364" s="17" t="b">
        <f>IF(COUNTIF(Customer_Master!$A:$A,B364)=0,TRUE,FALSE)</f>
        <v>1</v>
      </c>
    </row>
    <row r="365" spans="1:9" ht="16.8" x14ac:dyDescent="0.3">
      <c r="A365" s="14" t="s">
        <v>8428</v>
      </c>
      <c r="B365" s="14" t="s">
        <v>627</v>
      </c>
      <c r="C365" s="15">
        <v>45081</v>
      </c>
      <c r="D365" s="14" t="s">
        <v>7937</v>
      </c>
      <c r="E365" s="14">
        <v>5</v>
      </c>
      <c r="F365" s="14" t="s">
        <v>45</v>
      </c>
      <c r="G365" s="14" t="s">
        <v>45</v>
      </c>
      <c r="H365" s="31" t="str" cm="1">
        <f t="array" ref="H365">_xlfn.IFS(
  ISBLANK(A365),"Missing Value",
  OR(E365&lt;1,E365&gt;5),"Review – Out of Range (Satisfaction)",
  ISNA(MATCH(B365,Customer_Master!$A$2:$A$1649,0)),"Retained – Unmatched ID (Anonymous Feedback Rule)",
  TRUE,"OK"
)</f>
        <v>OK</v>
      </c>
      <c r="I365" s="18" t="b">
        <f>IF(COUNTIF(Customer_Master!$A:$A,B365)=0,TRUE,FALSE)</f>
        <v>0</v>
      </c>
    </row>
    <row r="366" spans="1:9" ht="33.6" x14ac:dyDescent="0.3">
      <c r="A366" s="11" t="s">
        <v>8429</v>
      </c>
      <c r="B366" s="11" t="s">
        <v>8430</v>
      </c>
      <c r="C366" s="12">
        <v>44431</v>
      </c>
      <c r="D366" s="11" t="s">
        <v>7969</v>
      </c>
      <c r="E366" s="11">
        <v>1</v>
      </c>
      <c r="F366" s="11" t="s">
        <v>46</v>
      </c>
      <c r="G366" s="11" t="s">
        <v>45</v>
      </c>
      <c r="H366" s="31" t="str" cm="1">
        <f t="array" ref="H366">_xlfn.IFS(
  ISBLANK(A366),"Missing Value",
  OR(E366&lt;1,E366&gt;5),"Review – Out of Range (Satisfaction)",
  ISNA(MATCH(B366,Customer_Master!$A$2:$A$1649,0)),"Retained – Unmatched ID (Anonymous Feedback Rule)",
  TRUE,"OK"
)</f>
        <v>Retained – Unmatched ID (Anonymous Feedback Rule)</v>
      </c>
      <c r="I366" s="17" t="b">
        <f>IF(COUNTIF(Customer_Master!$A:$A,B366)=0,TRUE,FALSE)</f>
        <v>1</v>
      </c>
    </row>
    <row r="367" spans="1:9" ht="16.8" x14ac:dyDescent="0.3">
      <c r="A367" s="14" t="s">
        <v>8431</v>
      </c>
      <c r="B367" s="14" t="s">
        <v>1305</v>
      </c>
      <c r="C367" s="15">
        <v>45239</v>
      </c>
      <c r="D367" s="14" t="s">
        <v>7935</v>
      </c>
      <c r="E367" s="14">
        <v>5</v>
      </c>
      <c r="F367" s="14" t="s">
        <v>46</v>
      </c>
      <c r="G367" s="14" t="s">
        <v>45</v>
      </c>
      <c r="H367" s="31" t="str" cm="1">
        <f t="array" ref="H367">_xlfn.IFS(
  ISBLANK(A367),"Missing Value",
  OR(E367&lt;1,E367&gt;5),"Review – Out of Range (Satisfaction)",
  ISNA(MATCH(B367,Customer_Master!$A$2:$A$1649,0)),"Retained – Unmatched ID (Anonymous Feedback Rule)",
  TRUE,"OK"
)</f>
        <v>OK</v>
      </c>
      <c r="I367" s="18" t="b">
        <f>IF(COUNTIF(Customer_Master!$A:$A,B367)=0,TRUE,FALSE)</f>
        <v>0</v>
      </c>
    </row>
    <row r="368" spans="1:9" ht="16.8" x14ac:dyDescent="0.3">
      <c r="A368" s="11" t="s">
        <v>8432</v>
      </c>
      <c r="B368" s="11" t="s">
        <v>1387</v>
      </c>
      <c r="C368" s="12">
        <v>44825</v>
      </c>
      <c r="D368" s="11" t="s">
        <v>7933</v>
      </c>
      <c r="E368" s="11">
        <v>2</v>
      </c>
      <c r="F368" s="11" t="s">
        <v>45</v>
      </c>
      <c r="G368" s="11" t="s">
        <v>46</v>
      </c>
      <c r="H368" s="31" t="str" cm="1">
        <f t="array" ref="H368">_xlfn.IFS(
  ISBLANK(A368),"Missing Value",
  OR(E368&lt;1,E368&gt;5),"Review – Out of Range (Satisfaction)",
  ISNA(MATCH(B368,Customer_Master!$A$2:$A$1649,0)),"Retained – Unmatched ID (Anonymous Feedback Rule)",
  TRUE,"OK"
)</f>
        <v>OK</v>
      </c>
      <c r="I368" s="17" t="b">
        <f>IF(COUNTIF(Customer_Master!$A:$A,B368)=0,TRUE,FALSE)</f>
        <v>0</v>
      </c>
    </row>
    <row r="369" spans="1:9" ht="16.8" x14ac:dyDescent="0.3">
      <c r="A369" s="14" t="s">
        <v>8433</v>
      </c>
      <c r="B369" s="14" t="s">
        <v>484</v>
      </c>
      <c r="C369" s="15">
        <v>45048</v>
      </c>
      <c r="D369" s="14" t="s">
        <v>7937</v>
      </c>
      <c r="E369" s="14">
        <v>4</v>
      </c>
      <c r="F369" s="14" t="s">
        <v>46</v>
      </c>
      <c r="G369" s="14" t="s">
        <v>46</v>
      </c>
      <c r="H369" s="31" t="str" cm="1">
        <f t="array" ref="H369">_xlfn.IFS(
  ISBLANK(A369),"Missing Value",
  OR(E369&lt;1,E369&gt;5),"Review – Out of Range (Satisfaction)",
  ISNA(MATCH(B369,Customer_Master!$A$2:$A$1649,0)),"Retained – Unmatched ID (Anonymous Feedback Rule)",
  TRUE,"OK"
)</f>
        <v>OK</v>
      </c>
      <c r="I369" s="18" t="b">
        <f>IF(COUNTIF(Customer_Master!$A:$A,B369)=0,TRUE,FALSE)</f>
        <v>0</v>
      </c>
    </row>
    <row r="370" spans="1:9" ht="33.6" x14ac:dyDescent="0.3">
      <c r="A370" s="11" t="s">
        <v>8434</v>
      </c>
      <c r="B370" s="11" t="s">
        <v>8435</v>
      </c>
      <c r="C370" s="12">
        <v>44259</v>
      </c>
      <c r="D370" s="11" t="s">
        <v>7943</v>
      </c>
      <c r="E370" s="11">
        <v>2</v>
      </c>
      <c r="F370" s="11" t="s">
        <v>46</v>
      </c>
      <c r="G370" s="11" t="s">
        <v>45</v>
      </c>
      <c r="H370" s="31" t="str" cm="1">
        <f t="array" ref="H370">_xlfn.IFS(
  ISBLANK(A370),"Missing Value",
  OR(E370&lt;1,E370&gt;5),"Review – Out of Range (Satisfaction)",
  ISNA(MATCH(B370,Customer_Master!$A$2:$A$1649,0)),"Retained – Unmatched ID (Anonymous Feedback Rule)",
  TRUE,"OK"
)</f>
        <v>Retained – Unmatched ID (Anonymous Feedback Rule)</v>
      </c>
      <c r="I370" s="17" t="b">
        <f>IF(COUNTIF(Customer_Master!$A:$A,B370)=0,TRUE,FALSE)</f>
        <v>1</v>
      </c>
    </row>
    <row r="371" spans="1:9" ht="16.8" x14ac:dyDescent="0.3">
      <c r="A371" s="14" t="s">
        <v>8436</v>
      </c>
      <c r="B371" s="14" t="s">
        <v>797</v>
      </c>
      <c r="C371" s="15">
        <v>43991</v>
      </c>
      <c r="D371" s="14" t="s">
        <v>7978</v>
      </c>
      <c r="E371" s="14">
        <v>1</v>
      </c>
      <c r="F371" s="14" t="s">
        <v>45</v>
      </c>
      <c r="G371" s="14" t="s">
        <v>46</v>
      </c>
      <c r="H371" s="31" t="str" cm="1">
        <f t="array" ref="H371">_xlfn.IFS(
  ISBLANK(A371),"Missing Value",
  OR(E371&lt;1,E371&gt;5),"Review – Out of Range (Satisfaction)",
  ISNA(MATCH(B371,Customer_Master!$A$2:$A$1649,0)),"Retained – Unmatched ID (Anonymous Feedback Rule)",
  TRUE,"OK"
)</f>
        <v>OK</v>
      </c>
      <c r="I371" s="18" t="b">
        <f>IF(COUNTIF(Customer_Master!$A:$A,B371)=0,TRUE,FALSE)</f>
        <v>0</v>
      </c>
    </row>
    <row r="372" spans="1:9" ht="16.8" x14ac:dyDescent="0.3">
      <c r="A372" s="11" t="s">
        <v>8437</v>
      </c>
      <c r="B372" s="11" t="s">
        <v>144</v>
      </c>
      <c r="C372" s="12">
        <v>45211</v>
      </c>
      <c r="D372" s="11" t="s">
        <v>7937</v>
      </c>
      <c r="E372" s="11">
        <v>5</v>
      </c>
      <c r="F372" s="11" t="s">
        <v>46</v>
      </c>
      <c r="G372" s="11" t="s">
        <v>46</v>
      </c>
      <c r="H372" s="31" t="str" cm="1">
        <f t="array" ref="H372">_xlfn.IFS(
  ISBLANK(A372),"Missing Value",
  OR(E372&lt;1,E372&gt;5),"Review – Out of Range (Satisfaction)",
  ISNA(MATCH(B372,Customer_Master!$A$2:$A$1649,0)),"Retained – Unmatched ID (Anonymous Feedback Rule)",
  TRUE,"OK"
)</f>
        <v>OK</v>
      </c>
      <c r="I372" s="17" t="b">
        <f>IF(COUNTIF(Customer_Master!$A:$A,B372)=0,TRUE,FALSE)</f>
        <v>0</v>
      </c>
    </row>
    <row r="373" spans="1:9" ht="16.8" x14ac:dyDescent="0.3">
      <c r="A373" s="14" t="s">
        <v>8438</v>
      </c>
      <c r="B373" s="14" t="s">
        <v>617</v>
      </c>
      <c r="C373" s="15">
        <v>45191</v>
      </c>
      <c r="D373" s="14" t="s">
        <v>7940</v>
      </c>
      <c r="E373" s="14">
        <v>5</v>
      </c>
      <c r="F373" s="14" t="s">
        <v>45</v>
      </c>
      <c r="G373" s="14" t="s">
        <v>45</v>
      </c>
      <c r="H373" s="31" t="str" cm="1">
        <f t="array" ref="H373">_xlfn.IFS(
  ISBLANK(A373),"Missing Value",
  OR(E373&lt;1,E373&gt;5),"Review – Out of Range (Satisfaction)",
  ISNA(MATCH(B373,Customer_Master!$A$2:$A$1649,0)),"Retained – Unmatched ID (Anonymous Feedback Rule)",
  TRUE,"OK"
)</f>
        <v>OK</v>
      </c>
      <c r="I373" s="18" t="b">
        <f>IF(COUNTIF(Customer_Master!$A:$A,B373)=0,TRUE,FALSE)</f>
        <v>0</v>
      </c>
    </row>
    <row r="374" spans="1:9" ht="16.8" x14ac:dyDescent="0.3">
      <c r="A374" s="11" t="s">
        <v>8439</v>
      </c>
      <c r="B374" s="11" t="s">
        <v>3148</v>
      </c>
      <c r="C374" s="12">
        <v>45120</v>
      </c>
      <c r="D374" s="11" t="s">
        <v>7969</v>
      </c>
      <c r="E374" s="11">
        <v>1</v>
      </c>
      <c r="F374" s="11" t="s">
        <v>46</v>
      </c>
      <c r="G374" s="11" t="s">
        <v>46</v>
      </c>
      <c r="H374" s="31" t="str" cm="1">
        <f t="array" ref="H374">_xlfn.IFS(
  ISBLANK(A374),"Missing Value",
  OR(E374&lt;1,E374&gt;5),"Review – Out of Range (Satisfaction)",
  ISNA(MATCH(B374,Customer_Master!$A$2:$A$1649,0)),"Retained – Unmatched ID (Anonymous Feedback Rule)",
  TRUE,"OK"
)</f>
        <v>OK</v>
      </c>
      <c r="I374" s="17" t="b">
        <f>IF(COUNTIF(Customer_Master!$A:$A,B374)=0,TRUE,FALSE)</f>
        <v>0</v>
      </c>
    </row>
    <row r="375" spans="1:9" ht="16.8" x14ac:dyDescent="0.3">
      <c r="A375" s="14" t="s">
        <v>8440</v>
      </c>
      <c r="B375" s="14" t="s">
        <v>2721</v>
      </c>
      <c r="C375" s="15">
        <v>44221</v>
      </c>
      <c r="D375" s="14" t="s">
        <v>7969</v>
      </c>
      <c r="E375" s="14">
        <v>2</v>
      </c>
      <c r="F375" s="14" t="s">
        <v>45</v>
      </c>
      <c r="G375" s="14" t="s">
        <v>45</v>
      </c>
      <c r="H375" s="31" t="str" cm="1">
        <f t="array" ref="H375">_xlfn.IFS(
  ISBLANK(A375),"Missing Value",
  OR(E375&lt;1,E375&gt;5),"Review – Out of Range (Satisfaction)",
  ISNA(MATCH(B375,Customer_Master!$A$2:$A$1649,0)),"Retained – Unmatched ID (Anonymous Feedback Rule)",
  TRUE,"OK"
)</f>
        <v>OK</v>
      </c>
      <c r="I375" s="18" t="b">
        <f>IF(COUNTIF(Customer_Master!$A:$A,B375)=0,TRUE,FALSE)</f>
        <v>0</v>
      </c>
    </row>
    <row r="376" spans="1:9" ht="33.6" x14ac:dyDescent="0.3">
      <c r="A376" s="11" t="s">
        <v>8441</v>
      </c>
      <c r="B376" s="11" t="s">
        <v>7989</v>
      </c>
      <c r="C376" s="12">
        <v>45080</v>
      </c>
      <c r="D376" s="11" t="s">
        <v>7969</v>
      </c>
      <c r="E376" s="11">
        <v>1</v>
      </c>
      <c r="F376" s="11" t="s">
        <v>45</v>
      </c>
      <c r="G376" s="11" t="s">
        <v>46</v>
      </c>
      <c r="H376" s="31" t="str" cm="1">
        <f t="array" ref="H376">_xlfn.IFS(
  ISBLANK(A376),"Missing Value",
  OR(E376&lt;1,E376&gt;5),"Review – Out of Range (Satisfaction)",
  ISNA(MATCH(B376,Customer_Master!$A$2:$A$1649,0)),"Retained – Unmatched ID (Anonymous Feedback Rule)",
  TRUE,"OK"
)</f>
        <v>Retained – Unmatched ID (Anonymous Feedback Rule)</v>
      </c>
      <c r="I376" s="17" t="b">
        <f>IF(COUNTIF(Customer_Master!$A:$A,B376)=0,TRUE,FALSE)</f>
        <v>1</v>
      </c>
    </row>
    <row r="377" spans="1:9" ht="16.8" x14ac:dyDescent="0.3">
      <c r="A377" s="14" t="s">
        <v>8442</v>
      </c>
      <c r="B377" s="14" t="s">
        <v>3044</v>
      </c>
      <c r="C377" s="15">
        <v>45270</v>
      </c>
      <c r="D377" s="14" t="s">
        <v>7943</v>
      </c>
      <c r="E377" s="14">
        <v>3</v>
      </c>
      <c r="F377" s="14" t="s">
        <v>46</v>
      </c>
      <c r="G377" s="14" t="s">
        <v>46</v>
      </c>
      <c r="H377" s="31" t="str" cm="1">
        <f t="array" ref="H377">_xlfn.IFS(
  ISBLANK(A377),"Missing Value",
  OR(E377&lt;1,E377&gt;5),"Review – Out of Range (Satisfaction)",
  ISNA(MATCH(B377,Customer_Master!$A$2:$A$1649,0)),"Retained – Unmatched ID (Anonymous Feedback Rule)",
  TRUE,"OK"
)</f>
        <v>OK</v>
      </c>
      <c r="I377" s="18" t="b">
        <f>IF(COUNTIF(Customer_Master!$A:$A,B377)=0,TRUE,FALSE)</f>
        <v>0</v>
      </c>
    </row>
    <row r="378" spans="1:9" ht="16.8" x14ac:dyDescent="0.3">
      <c r="A378" s="11" t="s">
        <v>8443</v>
      </c>
      <c r="B378" s="11" t="s">
        <v>322</v>
      </c>
      <c r="C378" s="12">
        <v>44549</v>
      </c>
      <c r="D378" s="11" t="s">
        <v>7943</v>
      </c>
      <c r="E378" s="11">
        <v>2</v>
      </c>
      <c r="F378" s="11" t="s">
        <v>45</v>
      </c>
      <c r="G378" s="11" t="s">
        <v>45</v>
      </c>
      <c r="H378" s="31" t="str" cm="1">
        <f t="array" ref="H378">_xlfn.IFS(
  ISBLANK(A378),"Missing Value",
  OR(E378&lt;1,E378&gt;5),"Review – Out of Range (Satisfaction)",
  ISNA(MATCH(B378,Customer_Master!$A$2:$A$1649,0)),"Retained – Unmatched ID (Anonymous Feedback Rule)",
  TRUE,"OK"
)</f>
        <v>OK</v>
      </c>
      <c r="I378" s="17" t="b">
        <f>IF(COUNTIF(Customer_Master!$A:$A,B378)=0,TRUE,FALSE)</f>
        <v>0</v>
      </c>
    </row>
    <row r="379" spans="1:9" ht="33.6" x14ac:dyDescent="0.3">
      <c r="A379" s="14" t="s">
        <v>8444</v>
      </c>
      <c r="B379" s="14" t="s">
        <v>8445</v>
      </c>
      <c r="C379" s="15">
        <v>44702</v>
      </c>
      <c r="D379" s="14" t="s">
        <v>7933</v>
      </c>
      <c r="E379" s="14">
        <v>2</v>
      </c>
      <c r="F379" s="14" t="s">
        <v>45</v>
      </c>
      <c r="G379" s="14" t="s">
        <v>46</v>
      </c>
      <c r="H379" s="31" t="str" cm="1">
        <f t="array" ref="H379">_xlfn.IFS(
  ISBLANK(A379),"Missing Value",
  OR(E379&lt;1,E379&gt;5),"Review – Out of Range (Satisfaction)",
  ISNA(MATCH(B379,Customer_Master!$A$2:$A$1649,0)),"Retained – Unmatched ID (Anonymous Feedback Rule)",
  TRUE,"OK"
)</f>
        <v>Retained – Unmatched ID (Anonymous Feedback Rule)</v>
      </c>
      <c r="I379" s="18" t="b">
        <f>IF(COUNTIF(Customer_Master!$A:$A,B379)=0,TRUE,FALSE)</f>
        <v>1</v>
      </c>
    </row>
    <row r="380" spans="1:9" ht="16.8" x14ac:dyDescent="0.3">
      <c r="A380" s="11" t="s">
        <v>8446</v>
      </c>
      <c r="B380" s="11" t="s">
        <v>1031</v>
      </c>
      <c r="C380" s="12">
        <v>45093</v>
      </c>
      <c r="D380" s="11" t="s">
        <v>7969</v>
      </c>
      <c r="E380" s="11">
        <v>2</v>
      </c>
      <c r="F380" s="11" t="s">
        <v>45</v>
      </c>
      <c r="G380" s="11" t="s">
        <v>45</v>
      </c>
      <c r="H380" s="31" t="str" cm="1">
        <f t="array" ref="H380">_xlfn.IFS(
  ISBLANK(A380),"Missing Value",
  OR(E380&lt;1,E380&gt;5),"Review – Out of Range (Satisfaction)",
  ISNA(MATCH(B380,Customer_Master!$A$2:$A$1649,0)),"Retained – Unmatched ID (Anonymous Feedback Rule)",
  TRUE,"OK"
)</f>
        <v>OK</v>
      </c>
      <c r="I380" s="17" t="b">
        <f>IF(COUNTIF(Customer_Master!$A:$A,B380)=0,TRUE,FALSE)</f>
        <v>0</v>
      </c>
    </row>
    <row r="381" spans="1:9" ht="16.8" x14ac:dyDescent="0.3">
      <c r="A381" s="14" t="s">
        <v>8447</v>
      </c>
      <c r="B381" s="14" t="s">
        <v>3030</v>
      </c>
      <c r="C381" s="15">
        <v>44298</v>
      </c>
      <c r="D381" s="14" t="s">
        <v>7937</v>
      </c>
      <c r="E381" s="14">
        <v>4</v>
      </c>
      <c r="F381" s="14" t="s">
        <v>46</v>
      </c>
      <c r="G381" s="14" t="s">
        <v>45</v>
      </c>
      <c r="H381" s="31" t="str" cm="1">
        <f t="array" ref="H381">_xlfn.IFS(
  ISBLANK(A381),"Missing Value",
  OR(E381&lt;1,E381&gt;5),"Review – Out of Range (Satisfaction)",
  ISNA(MATCH(B381,Customer_Master!$A$2:$A$1649,0)),"Retained – Unmatched ID (Anonymous Feedback Rule)",
  TRUE,"OK"
)</f>
        <v>OK</v>
      </c>
      <c r="I381" s="18" t="b">
        <f>IF(COUNTIF(Customer_Master!$A:$A,B381)=0,TRUE,FALSE)</f>
        <v>0</v>
      </c>
    </row>
    <row r="382" spans="1:9" ht="16.8" x14ac:dyDescent="0.3">
      <c r="A382" s="11" t="s">
        <v>8448</v>
      </c>
      <c r="B382" s="11" t="s">
        <v>1637</v>
      </c>
      <c r="C382" s="12">
        <v>44098</v>
      </c>
      <c r="D382" s="11" t="s">
        <v>7933</v>
      </c>
      <c r="E382" s="11">
        <v>3</v>
      </c>
      <c r="F382" s="11" t="s">
        <v>45</v>
      </c>
      <c r="G382" s="11" t="s">
        <v>46</v>
      </c>
      <c r="H382" s="31" t="str" cm="1">
        <f t="array" ref="H382">_xlfn.IFS(
  ISBLANK(A382),"Missing Value",
  OR(E382&lt;1,E382&gt;5),"Review – Out of Range (Satisfaction)",
  ISNA(MATCH(B382,Customer_Master!$A$2:$A$1649,0)),"Retained – Unmatched ID (Anonymous Feedback Rule)",
  TRUE,"OK"
)</f>
        <v>OK</v>
      </c>
      <c r="I382" s="17" t="b">
        <f>IF(COUNTIF(Customer_Master!$A:$A,B382)=0,TRUE,FALSE)</f>
        <v>0</v>
      </c>
    </row>
    <row r="383" spans="1:9" ht="16.8" x14ac:dyDescent="0.3">
      <c r="A383" s="14" t="s">
        <v>8449</v>
      </c>
      <c r="B383" s="14" t="s">
        <v>306</v>
      </c>
      <c r="C383" s="15">
        <v>44169</v>
      </c>
      <c r="D383" s="14" t="s">
        <v>7928</v>
      </c>
      <c r="E383" s="14">
        <v>3</v>
      </c>
      <c r="F383" s="14" t="s">
        <v>45</v>
      </c>
      <c r="G383" s="14" t="s">
        <v>45</v>
      </c>
      <c r="H383" s="31" t="str" cm="1">
        <f t="array" ref="H383">_xlfn.IFS(
  ISBLANK(A383),"Missing Value",
  OR(E383&lt;1,E383&gt;5),"Review – Out of Range (Satisfaction)",
  ISNA(MATCH(B383,Customer_Master!$A$2:$A$1649,0)),"Retained – Unmatched ID (Anonymous Feedback Rule)",
  TRUE,"OK"
)</f>
        <v>OK</v>
      </c>
      <c r="I383" s="18" t="b">
        <f>IF(COUNTIF(Customer_Master!$A:$A,B383)=0,TRUE,FALSE)</f>
        <v>0</v>
      </c>
    </row>
    <row r="384" spans="1:9" ht="16.8" x14ac:dyDescent="0.3">
      <c r="A384" s="11" t="s">
        <v>8450</v>
      </c>
      <c r="B384" s="11" t="s">
        <v>386</v>
      </c>
      <c r="C384" s="12">
        <v>45198</v>
      </c>
      <c r="D384" s="11" t="s">
        <v>7937</v>
      </c>
      <c r="E384" s="11">
        <v>5</v>
      </c>
      <c r="F384" s="11" t="s">
        <v>46</v>
      </c>
      <c r="G384" s="11" t="s">
        <v>46</v>
      </c>
      <c r="H384" s="31" t="str" cm="1">
        <f t="array" ref="H384">_xlfn.IFS(
  ISBLANK(A384),"Missing Value",
  OR(E384&lt;1,E384&gt;5),"Review – Out of Range (Satisfaction)",
  ISNA(MATCH(B384,Customer_Master!$A$2:$A$1649,0)),"Retained – Unmatched ID (Anonymous Feedback Rule)",
  TRUE,"OK"
)</f>
        <v>OK</v>
      </c>
      <c r="I384" s="17" t="b">
        <f>IF(COUNTIF(Customer_Master!$A:$A,B384)=0,TRUE,FALSE)</f>
        <v>0</v>
      </c>
    </row>
    <row r="385" spans="1:9" ht="16.8" x14ac:dyDescent="0.3">
      <c r="A385" s="14" t="s">
        <v>8451</v>
      </c>
      <c r="B385" s="14" t="s">
        <v>1605</v>
      </c>
      <c r="C385" s="15">
        <v>44953</v>
      </c>
      <c r="D385" s="14" t="s">
        <v>7940</v>
      </c>
      <c r="E385" s="14">
        <v>5</v>
      </c>
      <c r="F385" s="14" t="s">
        <v>45</v>
      </c>
      <c r="G385" s="14" t="s">
        <v>45</v>
      </c>
      <c r="H385" s="31" t="str" cm="1">
        <f t="array" ref="H385">_xlfn.IFS(
  ISBLANK(A385),"Missing Value",
  OR(E385&lt;1,E385&gt;5),"Review – Out of Range (Satisfaction)",
  ISNA(MATCH(B385,Customer_Master!$A$2:$A$1649,0)),"Retained – Unmatched ID (Anonymous Feedback Rule)",
  TRUE,"OK"
)</f>
        <v>OK</v>
      </c>
      <c r="I385" s="18" t="b">
        <f>IF(COUNTIF(Customer_Master!$A:$A,B385)=0,TRUE,FALSE)</f>
        <v>0</v>
      </c>
    </row>
    <row r="386" spans="1:9" ht="33.6" x14ac:dyDescent="0.3">
      <c r="A386" s="11" t="s">
        <v>8452</v>
      </c>
      <c r="B386" s="11" t="s">
        <v>8453</v>
      </c>
      <c r="C386" s="12">
        <v>43955</v>
      </c>
      <c r="D386" s="11" t="s">
        <v>7935</v>
      </c>
      <c r="E386" s="11">
        <v>4</v>
      </c>
      <c r="F386" s="11" t="s">
        <v>46</v>
      </c>
      <c r="G386" s="11" t="s">
        <v>46</v>
      </c>
      <c r="H386" s="31" t="str" cm="1">
        <f t="array" ref="H386">_xlfn.IFS(
  ISBLANK(A386),"Missing Value",
  OR(E386&lt;1,E386&gt;5),"Review – Out of Range (Satisfaction)",
  ISNA(MATCH(B386,Customer_Master!$A$2:$A$1649,0)),"Retained – Unmatched ID (Anonymous Feedback Rule)",
  TRUE,"OK"
)</f>
        <v>Retained – Unmatched ID (Anonymous Feedback Rule)</v>
      </c>
      <c r="I386" s="17" t="b">
        <f>IF(COUNTIF(Customer_Master!$A:$A,B386)=0,TRUE,FALSE)</f>
        <v>1</v>
      </c>
    </row>
    <row r="387" spans="1:9" ht="16.8" x14ac:dyDescent="0.3">
      <c r="A387" s="14" t="s">
        <v>8454</v>
      </c>
      <c r="B387" s="14" t="s">
        <v>2315</v>
      </c>
      <c r="C387" s="15">
        <v>44536</v>
      </c>
      <c r="D387" s="14" t="s">
        <v>7947</v>
      </c>
      <c r="E387" s="14">
        <v>5</v>
      </c>
      <c r="F387" s="14" t="s">
        <v>45</v>
      </c>
      <c r="G387" s="14" t="s">
        <v>46</v>
      </c>
      <c r="H387" s="31" t="str" cm="1">
        <f t="array" ref="H387">_xlfn.IFS(
  ISBLANK(A387),"Missing Value",
  OR(E387&lt;1,E387&gt;5),"Review – Out of Range (Satisfaction)",
  ISNA(MATCH(B387,Customer_Master!$A$2:$A$1649,0)),"Retained – Unmatched ID (Anonymous Feedback Rule)",
  TRUE,"OK"
)</f>
        <v>OK</v>
      </c>
      <c r="I387" s="18" t="b">
        <f>IF(COUNTIF(Customer_Master!$A:$A,B387)=0,TRUE,FALSE)</f>
        <v>0</v>
      </c>
    </row>
    <row r="388" spans="1:9" ht="16.8" x14ac:dyDescent="0.3">
      <c r="A388" s="11" t="s">
        <v>8455</v>
      </c>
      <c r="B388" s="11" t="s">
        <v>346</v>
      </c>
      <c r="C388" s="12">
        <v>44120</v>
      </c>
      <c r="D388" s="11" t="s">
        <v>7931</v>
      </c>
      <c r="E388" s="11">
        <v>4</v>
      </c>
      <c r="F388" s="11" t="s">
        <v>45</v>
      </c>
      <c r="G388" s="11" t="s">
        <v>46</v>
      </c>
      <c r="H388" s="31" t="str" cm="1">
        <f t="array" ref="H388">_xlfn.IFS(
  ISBLANK(A388),"Missing Value",
  OR(E388&lt;1,E388&gt;5),"Review – Out of Range (Satisfaction)",
  ISNA(MATCH(B388,Customer_Master!$A$2:$A$1649,0)),"Retained – Unmatched ID (Anonymous Feedback Rule)",
  TRUE,"OK"
)</f>
        <v>OK</v>
      </c>
      <c r="I388" s="17" t="b">
        <f>IF(COUNTIF(Customer_Master!$A:$A,B388)=0,TRUE,FALSE)</f>
        <v>0</v>
      </c>
    </row>
    <row r="389" spans="1:9" ht="16.8" x14ac:dyDescent="0.3">
      <c r="A389" s="14" t="s">
        <v>8456</v>
      </c>
      <c r="B389" s="14" t="s">
        <v>61</v>
      </c>
      <c r="C389" s="15">
        <v>44895</v>
      </c>
      <c r="D389" s="14" t="s">
        <v>7940</v>
      </c>
      <c r="E389" s="14">
        <v>5</v>
      </c>
      <c r="F389" s="14" t="s">
        <v>45</v>
      </c>
      <c r="G389" s="14" t="s">
        <v>45</v>
      </c>
      <c r="H389" s="31" t="str" cm="1">
        <f t="array" ref="H389">_xlfn.IFS(
  ISBLANK(A389),"Missing Value",
  OR(E389&lt;1,E389&gt;5),"Review – Out of Range (Satisfaction)",
  ISNA(MATCH(B389,Customer_Master!$A$2:$A$1649,0)),"Retained – Unmatched ID (Anonymous Feedback Rule)",
  TRUE,"OK"
)</f>
        <v>OK</v>
      </c>
      <c r="I389" s="18" t="b">
        <f>IF(COUNTIF(Customer_Master!$A:$A,B389)=0,TRUE,FALSE)</f>
        <v>0</v>
      </c>
    </row>
    <row r="390" spans="1:9" ht="16.8" x14ac:dyDescent="0.3">
      <c r="A390" s="11" t="s">
        <v>8457</v>
      </c>
      <c r="B390" s="11" t="s">
        <v>230</v>
      </c>
      <c r="C390" s="12">
        <v>44484</v>
      </c>
      <c r="D390" s="11" t="s">
        <v>7937</v>
      </c>
      <c r="E390" s="11">
        <v>4</v>
      </c>
      <c r="F390" s="11" t="s">
        <v>45</v>
      </c>
      <c r="G390" s="11" t="s">
        <v>46</v>
      </c>
      <c r="H390" s="31" t="str" cm="1">
        <f t="array" ref="H390">_xlfn.IFS(
  ISBLANK(A390),"Missing Value",
  OR(E390&lt;1,E390&gt;5),"Review – Out of Range (Satisfaction)",
  ISNA(MATCH(B390,Customer_Master!$A$2:$A$1649,0)),"Retained – Unmatched ID (Anonymous Feedback Rule)",
  TRUE,"OK"
)</f>
        <v>OK</v>
      </c>
      <c r="I390" s="17" t="b">
        <f>IF(COUNTIF(Customer_Master!$A:$A,B390)=0,TRUE,FALSE)</f>
        <v>0</v>
      </c>
    </row>
    <row r="391" spans="1:9" ht="33.6" x14ac:dyDescent="0.3">
      <c r="A391" s="14" t="s">
        <v>8458</v>
      </c>
      <c r="B391" s="14" t="s">
        <v>8459</v>
      </c>
      <c r="C391" s="15">
        <v>44938</v>
      </c>
      <c r="D391" s="14" t="s">
        <v>7969</v>
      </c>
      <c r="E391" s="14">
        <v>2</v>
      </c>
      <c r="F391" s="14" t="s">
        <v>45</v>
      </c>
      <c r="G391" s="14" t="s">
        <v>46</v>
      </c>
      <c r="H391" s="31" t="str" cm="1">
        <f t="array" ref="H391">_xlfn.IFS(
  ISBLANK(A391),"Missing Value",
  OR(E391&lt;1,E391&gt;5),"Review – Out of Range (Satisfaction)",
  ISNA(MATCH(B391,Customer_Master!$A$2:$A$1649,0)),"Retained – Unmatched ID (Anonymous Feedback Rule)",
  TRUE,"OK"
)</f>
        <v>Retained – Unmatched ID (Anonymous Feedback Rule)</v>
      </c>
      <c r="I391" s="18" t="b">
        <f>IF(COUNTIF(Customer_Master!$A:$A,B391)=0,TRUE,FALSE)</f>
        <v>1</v>
      </c>
    </row>
    <row r="392" spans="1:9" ht="33.6" x14ac:dyDescent="0.3">
      <c r="A392" s="11" t="s">
        <v>8460</v>
      </c>
      <c r="B392" s="11" t="s">
        <v>8461</v>
      </c>
      <c r="C392" s="12">
        <v>44665</v>
      </c>
      <c r="D392" s="11" t="s">
        <v>7933</v>
      </c>
      <c r="E392" s="11">
        <v>2</v>
      </c>
      <c r="F392" s="11" t="s">
        <v>46</v>
      </c>
      <c r="G392" s="11" t="s">
        <v>45</v>
      </c>
      <c r="H392" s="31" t="str" cm="1">
        <f t="array" ref="H392">_xlfn.IFS(
  ISBLANK(A392),"Missing Value",
  OR(E392&lt;1,E392&gt;5),"Review – Out of Range (Satisfaction)",
  ISNA(MATCH(B392,Customer_Master!$A$2:$A$1649,0)),"Retained – Unmatched ID (Anonymous Feedback Rule)",
  TRUE,"OK"
)</f>
        <v>Retained – Unmatched ID (Anonymous Feedback Rule)</v>
      </c>
      <c r="I392" s="17" t="b">
        <f>IF(COUNTIF(Customer_Master!$A:$A,B392)=0,TRUE,FALSE)</f>
        <v>1</v>
      </c>
    </row>
    <row r="393" spans="1:9" ht="33.6" x14ac:dyDescent="0.3">
      <c r="A393" s="14" t="s">
        <v>8462</v>
      </c>
      <c r="B393" s="14" t="s">
        <v>8463</v>
      </c>
      <c r="C393" s="15">
        <v>45079</v>
      </c>
      <c r="D393" s="14" t="s">
        <v>7943</v>
      </c>
      <c r="E393" s="14">
        <v>3</v>
      </c>
      <c r="F393" s="14" t="s">
        <v>46</v>
      </c>
      <c r="G393" s="14" t="s">
        <v>45</v>
      </c>
      <c r="H393" s="31" t="str" cm="1">
        <f t="array" ref="H393">_xlfn.IFS(
  ISBLANK(A393),"Missing Value",
  OR(E393&lt;1,E393&gt;5),"Review – Out of Range (Satisfaction)",
  ISNA(MATCH(B393,Customer_Master!$A$2:$A$1649,0)),"Retained – Unmatched ID (Anonymous Feedback Rule)",
  TRUE,"OK"
)</f>
        <v>Retained – Unmatched ID (Anonymous Feedback Rule)</v>
      </c>
      <c r="I393" s="18" t="b">
        <f>IF(COUNTIF(Customer_Master!$A:$A,B393)=0,TRUE,FALSE)</f>
        <v>1</v>
      </c>
    </row>
    <row r="394" spans="1:9" ht="16.8" x14ac:dyDescent="0.3">
      <c r="A394" s="11" t="s">
        <v>8464</v>
      </c>
      <c r="B394" s="11" t="s">
        <v>1375</v>
      </c>
      <c r="C394" s="12">
        <v>44410</v>
      </c>
      <c r="D394" s="11" t="s">
        <v>7947</v>
      </c>
      <c r="E394" s="11">
        <v>3</v>
      </c>
      <c r="F394" s="11" t="s">
        <v>45</v>
      </c>
      <c r="G394" s="11" t="s">
        <v>46</v>
      </c>
      <c r="H394" s="31" t="str" cm="1">
        <f t="array" ref="H394">_xlfn.IFS(
  ISBLANK(A394),"Missing Value",
  OR(E394&lt;1,E394&gt;5),"Review – Out of Range (Satisfaction)",
  ISNA(MATCH(B394,Customer_Master!$A$2:$A$1649,0)),"Retained – Unmatched ID (Anonymous Feedback Rule)",
  TRUE,"OK"
)</f>
        <v>OK</v>
      </c>
      <c r="I394" s="17" t="b">
        <f>IF(COUNTIF(Customer_Master!$A:$A,B394)=0,TRUE,FALSE)</f>
        <v>0</v>
      </c>
    </row>
    <row r="395" spans="1:9" ht="16.8" x14ac:dyDescent="0.3">
      <c r="A395" s="14" t="s">
        <v>8465</v>
      </c>
      <c r="B395" s="14" t="s">
        <v>2553</v>
      </c>
      <c r="C395" s="15">
        <v>44720</v>
      </c>
      <c r="D395" s="14" t="s">
        <v>7943</v>
      </c>
      <c r="E395" s="14">
        <v>3</v>
      </c>
      <c r="F395" s="14" t="s">
        <v>45</v>
      </c>
      <c r="G395" s="14" t="s">
        <v>45</v>
      </c>
      <c r="H395" s="31" t="str" cm="1">
        <f t="array" ref="H395">_xlfn.IFS(
  ISBLANK(A395),"Missing Value",
  OR(E395&lt;1,E395&gt;5),"Review – Out of Range (Satisfaction)",
  ISNA(MATCH(B395,Customer_Master!$A$2:$A$1649,0)),"Retained – Unmatched ID (Anonymous Feedback Rule)",
  TRUE,"OK"
)</f>
        <v>OK</v>
      </c>
      <c r="I395" s="18" t="b">
        <f>IF(COUNTIF(Customer_Master!$A:$A,B395)=0,TRUE,FALSE)</f>
        <v>0</v>
      </c>
    </row>
    <row r="396" spans="1:9" ht="16.8" x14ac:dyDescent="0.3">
      <c r="A396" s="11" t="s">
        <v>8466</v>
      </c>
      <c r="B396" s="11" t="s">
        <v>3092</v>
      </c>
      <c r="C396" s="12">
        <v>44129</v>
      </c>
      <c r="D396" s="11" t="s">
        <v>7935</v>
      </c>
      <c r="E396" s="11">
        <v>5</v>
      </c>
      <c r="F396" s="11" t="s">
        <v>46</v>
      </c>
      <c r="G396" s="11" t="s">
        <v>46</v>
      </c>
      <c r="H396" s="31" t="str" cm="1">
        <f t="array" ref="H396">_xlfn.IFS(
  ISBLANK(A396),"Missing Value",
  OR(E396&lt;1,E396&gt;5),"Review – Out of Range (Satisfaction)",
  ISNA(MATCH(B396,Customer_Master!$A$2:$A$1649,0)),"Retained – Unmatched ID (Anonymous Feedback Rule)",
  TRUE,"OK"
)</f>
        <v>OK</v>
      </c>
      <c r="I396" s="17" t="b">
        <f>IF(COUNTIF(Customer_Master!$A:$A,B396)=0,TRUE,FALSE)</f>
        <v>0</v>
      </c>
    </row>
    <row r="397" spans="1:9" ht="16.8" x14ac:dyDescent="0.3">
      <c r="A397" s="14" t="s">
        <v>8467</v>
      </c>
      <c r="B397" s="14" t="s">
        <v>1617</v>
      </c>
      <c r="C397" s="15">
        <v>44473</v>
      </c>
      <c r="D397" s="14" t="s">
        <v>7940</v>
      </c>
      <c r="E397" s="14">
        <v>4</v>
      </c>
      <c r="F397" s="14" t="s">
        <v>46</v>
      </c>
      <c r="G397" s="14" t="s">
        <v>46</v>
      </c>
      <c r="H397" s="31" t="str" cm="1">
        <f t="array" ref="H397">_xlfn.IFS(
  ISBLANK(A397),"Missing Value",
  OR(E397&lt;1,E397&gt;5),"Review – Out of Range (Satisfaction)",
  ISNA(MATCH(B397,Customer_Master!$A$2:$A$1649,0)),"Retained – Unmatched ID (Anonymous Feedback Rule)",
  TRUE,"OK"
)</f>
        <v>OK</v>
      </c>
      <c r="I397" s="18" t="b">
        <f>IF(COUNTIF(Customer_Master!$A:$A,B397)=0,TRUE,FALSE)</f>
        <v>0</v>
      </c>
    </row>
    <row r="398" spans="1:9" ht="16.8" x14ac:dyDescent="0.3">
      <c r="A398" s="11" t="s">
        <v>8468</v>
      </c>
      <c r="B398" s="11" t="s">
        <v>2815</v>
      </c>
      <c r="C398" s="12">
        <v>44292</v>
      </c>
      <c r="D398" s="11" t="s">
        <v>7931</v>
      </c>
      <c r="E398" s="11">
        <v>5</v>
      </c>
      <c r="F398" s="11" t="s">
        <v>46</v>
      </c>
      <c r="G398" s="11" t="s">
        <v>45</v>
      </c>
      <c r="H398" s="31" t="str" cm="1">
        <f t="array" ref="H398">_xlfn.IFS(
  ISBLANK(A398),"Missing Value",
  OR(E398&lt;1,E398&gt;5),"Review – Out of Range (Satisfaction)",
  ISNA(MATCH(B398,Customer_Master!$A$2:$A$1649,0)),"Retained – Unmatched ID (Anonymous Feedback Rule)",
  TRUE,"OK"
)</f>
        <v>OK</v>
      </c>
      <c r="I398" s="17" t="b">
        <f>IF(COUNTIF(Customer_Master!$A:$A,B398)=0,TRUE,FALSE)</f>
        <v>0</v>
      </c>
    </row>
    <row r="399" spans="1:9" ht="16.8" x14ac:dyDescent="0.3">
      <c r="A399" s="14" t="s">
        <v>8469</v>
      </c>
      <c r="B399" s="14" t="s">
        <v>2985</v>
      </c>
      <c r="C399" s="15">
        <v>45083</v>
      </c>
      <c r="D399" s="14" t="s">
        <v>7928</v>
      </c>
      <c r="E399" s="14">
        <v>1</v>
      </c>
      <c r="F399" s="14" t="s">
        <v>46</v>
      </c>
      <c r="G399" s="14" t="s">
        <v>45</v>
      </c>
      <c r="H399" s="31" t="str" cm="1">
        <f t="array" ref="H399">_xlfn.IFS(
  ISBLANK(A399),"Missing Value",
  OR(E399&lt;1,E399&gt;5),"Review – Out of Range (Satisfaction)",
  ISNA(MATCH(B399,Customer_Master!$A$2:$A$1649,0)),"Retained – Unmatched ID (Anonymous Feedback Rule)",
  TRUE,"OK"
)</f>
        <v>OK</v>
      </c>
      <c r="I399" s="18" t="b">
        <f>IF(COUNTIF(Customer_Master!$A:$A,B399)=0,TRUE,FALSE)</f>
        <v>0</v>
      </c>
    </row>
    <row r="400" spans="1:9" ht="16.8" x14ac:dyDescent="0.3">
      <c r="A400" s="11" t="s">
        <v>8470</v>
      </c>
      <c r="B400" s="11" t="s">
        <v>1721</v>
      </c>
      <c r="C400" s="12">
        <v>44865</v>
      </c>
      <c r="D400" s="11" t="s">
        <v>7933</v>
      </c>
      <c r="E400" s="11">
        <v>3</v>
      </c>
      <c r="F400" s="11" t="s">
        <v>46</v>
      </c>
      <c r="G400" s="11" t="s">
        <v>46</v>
      </c>
      <c r="H400" s="31" t="str" cm="1">
        <f t="array" ref="H400">_xlfn.IFS(
  ISBLANK(A400),"Missing Value",
  OR(E400&lt;1,E400&gt;5),"Review – Out of Range (Satisfaction)",
  ISNA(MATCH(B400,Customer_Master!$A$2:$A$1649,0)),"Retained – Unmatched ID (Anonymous Feedback Rule)",
  TRUE,"OK"
)</f>
        <v>OK</v>
      </c>
      <c r="I400" s="17" t="b">
        <f>IF(COUNTIF(Customer_Master!$A:$A,B400)=0,TRUE,FALSE)</f>
        <v>0</v>
      </c>
    </row>
    <row r="401" spans="1:9" ht="16.8" x14ac:dyDescent="0.3">
      <c r="A401" s="14" t="s">
        <v>8471</v>
      </c>
      <c r="B401" s="14" t="s">
        <v>2507</v>
      </c>
      <c r="C401" s="15">
        <v>45289</v>
      </c>
      <c r="D401" s="14" t="s">
        <v>7935</v>
      </c>
      <c r="E401" s="14">
        <v>4</v>
      </c>
      <c r="F401" s="14" t="s">
        <v>46</v>
      </c>
      <c r="G401" s="14" t="s">
        <v>46</v>
      </c>
      <c r="H401" s="31" t="str" cm="1">
        <f t="array" ref="H401">_xlfn.IFS(
  ISBLANK(A401),"Missing Value",
  OR(E401&lt;1,E401&gt;5),"Review – Out of Range (Satisfaction)",
  ISNA(MATCH(B401,Customer_Master!$A$2:$A$1649,0)),"Retained – Unmatched ID (Anonymous Feedback Rule)",
  TRUE,"OK"
)</f>
        <v>OK</v>
      </c>
      <c r="I401" s="18" t="b">
        <f>IF(COUNTIF(Customer_Master!$A:$A,B401)=0,TRUE,FALSE)</f>
        <v>0</v>
      </c>
    </row>
    <row r="402" spans="1:9" ht="16.8" x14ac:dyDescent="0.3">
      <c r="A402" s="11" t="s">
        <v>8472</v>
      </c>
      <c r="B402" s="11" t="s">
        <v>2615</v>
      </c>
      <c r="C402" s="12">
        <v>45239</v>
      </c>
      <c r="D402" s="11" t="s">
        <v>7947</v>
      </c>
      <c r="E402" s="11">
        <v>4</v>
      </c>
      <c r="F402" s="11" t="s">
        <v>46</v>
      </c>
      <c r="G402" s="11" t="s">
        <v>46</v>
      </c>
      <c r="H402" s="31" t="str" cm="1">
        <f t="array" ref="H402">_xlfn.IFS(
  ISBLANK(A402),"Missing Value",
  OR(E402&lt;1,E402&gt;5),"Review – Out of Range (Satisfaction)",
  ISNA(MATCH(B402,Customer_Master!$A$2:$A$1649,0)),"Retained – Unmatched ID (Anonymous Feedback Rule)",
  TRUE,"OK"
)</f>
        <v>OK</v>
      </c>
      <c r="I402" s="17" t="b">
        <f>IF(COUNTIF(Customer_Master!$A:$A,B402)=0,TRUE,FALSE)</f>
        <v>0</v>
      </c>
    </row>
    <row r="403" spans="1:9" ht="16.8" x14ac:dyDescent="0.3">
      <c r="A403" s="14" t="s">
        <v>8473</v>
      </c>
      <c r="B403" s="14" t="s">
        <v>3238</v>
      </c>
      <c r="C403" s="15">
        <v>44360</v>
      </c>
      <c r="D403" s="14" t="s">
        <v>7943</v>
      </c>
      <c r="E403" s="14">
        <v>2</v>
      </c>
      <c r="F403" s="14" t="s">
        <v>45</v>
      </c>
      <c r="G403" s="14" t="s">
        <v>46</v>
      </c>
      <c r="H403" s="31" t="str" cm="1">
        <f t="array" ref="H403">_xlfn.IFS(
  ISBLANK(A403),"Missing Value",
  OR(E403&lt;1,E403&gt;5),"Review – Out of Range (Satisfaction)",
  ISNA(MATCH(B403,Customer_Master!$A$2:$A$1649,0)),"Retained – Unmatched ID (Anonymous Feedback Rule)",
  TRUE,"OK"
)</f>
        <v>OK</v>
      </c>
      <c r="I403" s="18" t="b">
        <f>IF(COUNTIF(Customer_Master!$A:$A,B403)=0,TRUE,FALSE)</f>
        <v>0</v>
      </c>
    </row>
    <row r="404" spans="1:9" ht="33.6" x14ac:dyDescent="0.3">
      <c r="A404" s="11" t="s">
        <v>8474</v>
      </c>
      <c r="B404" s="11" t="s">
        <v>8475</v>
      </c>
      <c r="C404" s="12">
        <v>44354</v>
      </c>
      <c r="D404" s="11" t="s">
        <v>7928</v>
      </c>
      <c r="E404" s="11">
        <v>2</v>
      </c>
      <c r="F404" s="11" t="s">
        <v>46</v>
      </c>
      <c r="G404" s="11" t="s">
        <v>45</v>
      </c>
      <c r="H404" s="31" t="str" cm="1">
        <f t="array" ref="H404">_xlfn.IFS(
  ISBLANK(A404),"Missing Value",
  OR(E404&lt;1,E404&gt;5),"Review – Out of Range (Satisfaction)",
  ISNA(MATCH(B404,Customer_Master!$A$2:$A$1649,0)),"Retained – Unmatched ID (Anonymous Feedback Rule)",
  TRUE,"OK"
)</f>
        <v>Retained – Unmatched ID (Anonymous Feedback Rule)</v>
      </c>
      <c r="I404" s="17" t="b">
        <f>IF(COUNTIF(Customer_Master!$A:$A,B404)=0,TRUE,FALSE)</f>
        <v>1</v>
      </c>
    </row>
    <row r="405" spans="1:9" ht="33.6" x14ac:dyDescent="0.3">
      <c r="A405" s="14" t="s">
        <v>8476</v>
      </c>
      <c r="B405" s="14" t="s">
        <v>7982</v>
      </c>
      <c r="C405" s="15">
        <v>44726</v>
      </c>
      <c r="D405" s="14" t="s">
        <v>7947</v>
      </c>
      <c r="E405" s="14">
        <v>4</v>
      </c>
      <c r="F405" s="14" t="s">
        <v>45</v>
      </c>
      <c r="G405" s="14" t="s">
        <v>45</v>
      </c>
      <c r="H405" s="31" t="str" cm="1">
        <f t="array" ref="H405">_xlfn.IFS(
  ISBLANK(A405),"Missing Value",
  OR(E405&lt;1,E405&gt;5),"Review – Out of Range (Satisfaction)",
  ISNA(MATCH(B405,Customer_Master!$A$2:$A$1649,0)),"Retained – Unmatched ID (Anonymous Feedback Rule)",
  TRUE,"OK"
)</f>
        <v>Retained – Unmatched ID (Anonymous Feedback Rule)</v>
      </c>
      <c r="I405" s="18" t="b">
        <f>IF(COUNTIF(Customer_Master!$A:$A,B405)=0,TRUE,FALSE)</f>
        <v>1</v>
      </c>
    </row>
    <row r="406" spans="1:9" ht="16.8" x14ac:dyDescent="0.3">
      <c r="A406" s="11" t="s">
        <v>8477</v>
      </c>
      <c r="B406" s="11" t="s">
        <v>2347</v>
      </c>
      <c r="C406" s="12">
        <v>44357</v>
      </c>
      <c r="D406" s="11" t="s">
        <v>7935</v>
      </c>
      <c r="E406" s="11">
        <v>5</v>
      </c>
      <c r="F406" s="11" t="s">
        <v>46</v>
      </c>
      <c r="G406" s="11" t="s">
        <v>45</v>
      </c>
      <c r="H406" s="31" t="str" cm="1">
        <f t="array" ref="H406">_xlfn.IFS(
  ISBLANK(A406),"Missing Value",
  OR(E406&lt;1,E406&gt;5),"Review – Out of Range (Satisfaction)",
  ISNA(MATCH(B406,Customer_Master!$A$2:$A$1649,0)),"Retained – Unmatched ID (Anonymous Feedback Rule)",
  TRUE,"OK"
)</f>
        <v>OK</v>
      </c>
      <c r="I406" s="17" t="b">
        <f>IF(COUNTIF(Customer_Master!$A:$A,B406)=0,TRUE,FALSE)</f>
        <v>0</v>
      </c>
    </row>
    <row r="407" spans="1:9" ht="33.6" x14ac:dyDescent="0.3">
      <c r="A407" s="14" t="s">
        <v>8478</v>
      </c>
      <c r="B407" s="14" t="s">
        <v>8479</v>
      </c>
      <c r="C407" s="15">
        <v>44438</v>
      </c>
      <c r="D407" s="14" t="s">
        <v>7937</v>
      </c>
      <c r="E407" s="14">
        <v>5</v>
      </c>
      <c r="F407" s="14" t="s">
        <v>45</v>
      </c>
      <c r="G407" s="14" t="s">
        <v>46</v>
      </c>
      <c r="H407" s="31" t="str" cm="1">
        <f t="array" ref="H407">_xlfn.IFS(
  ISBLANK(A407),"Missing Value",
  OR(E407&lt;1,E407&gt;5),"Review – Out of Range (Satisfaction)",
  ISNA(MATCH(B407,Customer_Master!$A$2:$A$1649,0)),"Retained – Unmatched ID (Anonymous Feedback Rule)",
  TRUE,"OK"
)</f>
        <v>Retained – Unmatched ID (Anonymous Feedback Rule)</v>
      </c>
      <c r="I407" s="18" t="b">
        <f>IF(COUNTIF(Customer_Master!$A:$A,B407)=0,TRUE,FALSE)</f>
        <v>1</v>
      </c>
    </row>
    <row r="408" spans="1:9" ht="16.8" x14ac:dyDescent="0.3">
      <c r="A408" s="11" t="s">
        <v>8480</v>
      </c>
      <c r="B408" s="11" t="s">
        <v>917</v>
      </c>
      <c r="C408" s="12">
        <v>44404</v>
      </c>
      <c r="D408" s="11" t="s">
        <v>7937</v>
      </c>
      <c r="E408" s="11">
        <v>5</v>
      </c>
      <c r="F408" s="11" t="s">
        <v>45</v>
      </c>
      <c r="G408" s="11" t="s">
        <v>45</v>
      </c>
      <c r="H408" s="31" t="str" cm="1">
        <f t="array" ref="H408">_xlfn.IFS(
  ISBLANK(A408),"Missing Value",
  OR(E408&lt;1,E408&gt;5),"Review – Out of Range (Satisfaction)",
  ISNA(MATCH(B408,Customer_Master!$A$2:$A$1649,0)),"Retained – Unmatched ID (Anonymous Feedback Rule)",
  TRUE,"OK"
)</f>
        <v>OK</v>
      </c>
      <c r="I408" s="17" t="b">
        <f>IF(COUNTIF(Customer_Master!$A:$A,B408)=0,TRUE,FALSE)</f>
        <v>0</v>
      </c>
    </row>
    <row r="409" spans="1:9" ht="16.8" x14ac:dyDescent="0.3">
      <c r="A409" s="14" t="s">
        <v>8481</v>
      </c>
      <c r="B409" s="14" t="s">
        <v>1271</v>
      </c>
      <c r="C409" s="15">
        <v>44204</v>
      </c>
      <c r="D409" s="14" t="s">
        <v>7931</v>
      </c>
      <c r="E409" s="14">
        <v>4</v>
      </c>
      <c r="F409" s="14" t="s">
        <v>46</v>
      </c>
      <c r="G409" s="14" t="s">
        <v>46</v>
      </c>
      <c r="H409" s="31" t="str" cm="1">
        <f t="array" ref="H409">_xlfn.IFS(
  ISBLANK(A409),"Missing Value",
  OR(E409&lt;1,E409&gt;5),"Review – Out of Range (Satisfaction)",
  ISNA(MATCH(B409,Customer_Master!$A$2:$A$1649,0)),"Retained – Unmatched ID (Anonymous Feedback Rule)",
  TRUE,"OK"
)</f>
        <v>OK</v>
      </c>
      <c r="I409" s="18" t="b">
        <f>IF(COUNTIF(Customer_Master!$A:$A,B409)=0,TRUE,FALSE)</f>
        <v>0</v>
      </c>
    </row>
    <row r="410" spans="1:9" ht="16.8" x14ac:dyDescent="0.3">
      <c r="A410" s="11" t="s">
        <v>8482</v>
      </c>
      <c r="B410" s="11" t="s">
        <v>1215</v>
      </c>
      <c r="C410" s="12">
        <v>45258</v>
      </c>
      <c r="D410" s="11" t="s">
        <v>7935</v>
      </c>
      <c r="E410" s="11">
        <v>5</v>
      </c>
      <c r="F410" s="11" t="s">
        <v>45</v>
      </c>
      <c r="G410" s="11" t="s">
        <v>45</v>
      </c>
      <c r="H410" s="31" t="str" cm="1">
        <f t="array" ref="H410">_xlfn.IFS(
  ISBLANK(A410),"Missing Value",
  OR(E410&lt;1,E410&gt;5),"Review – Out of Range (Satisfaction)",
  ISNA(MATCH(B410,Customer_Master!$A$2:$A$1649,0)),"Retained – Unmatched ID (Anonymous Feedback Rule)",
  TRUE,"OK"
)</f>
        <v>OK</v>
      </c>
      <c r="I410" s="17" t="b">
        <f>IF(COUNTIF(Customer_Master!$A:$A,B410)=0,TRUE,FALSE)</f>
        <v>0</v>
      </c>
    </row>
    <row r="411" spans="1:9" ht="33.6" x14ac:dyDescent="0.3">
      <c r="A411" s="14" t="s">
        <v>8483</v>
      </c>
      <c r="B411" s="14" t="s">
        <v>8484</v>
      </c>
      <c r="C411" s="15">
        <v>44207</v>
      </c>
      <c r="D411" s="14" t="s">
        <v>7931</v>
      </c>
      <c r="E411" s="14">
        <v>4</v>
      </c>
      <c r="F411" s="14" t="s">
        <v>46</v>
      </c>
      <c r="G411" s="14" t="s">
        <v>46</v>
      </c>
      <c r="H411" s="31" t="str" cm="1">
        <f t="array" ref="H411">_xlfn.IFS(
  ISBLANK(A411),"Missing Value",
  OR(E411&lt;1,E411&gt;5),"Review – Out of Range (Satisfaction)",
  ISNA(MATCH(B411,Customer_Master!$A$2:$A$1649,0)),"Retained – Unmatched ID (Anonymous Feedback Rule)",
  TRUE,"OK"
)</f>
        <v>Retained – Unmatched ID (Anonymous Feedback Rule)</v>
      </c>
      <c r="I411" s="18" t="b">
        <f>IF(COUNTIF(Customer_Master!$A:$A,B411)=0,TRUE,FALSE)</f>
        <v>1</v>
      </c>
    </row>
    <row r="412" spans="1:9" ht="16.8" x14ac:dyDescent="0.3">
      <c r="A412" s="11" t="s">
        <v>8485</v>
      </c>
      <c r="B412" s="11" t="s">
        <v>1733</v>
      </c>
      <c r="C412" s="12">
        <v>45197</v>
      </c>
      <c r="D412" s="11" t="s">
        <v>7933</v>
      </c>
      <c r="E412" s="11">
        <v>3</v>
      </c>
      <c r="F412" s="11" t="s">
        <v>45</v>
      </c>
      <c r="G412" s="11" t="s">
        <v>45</v>
      </c>
      <c r="H412" s="31" t="str" cm="1">
        <f t="array" ref="H412">_xlfn.IFS(
  ISBLANK(A412),"Missing Value",
  OR(E412&lt;1,E412&gt;5),"Review – Out of Range (Satisfaction)",
  ISNA(MATCH(B412,Customer_Master!$A$2:$A$1649,0)),"Retained – Unmatched ID (Anonymous Feedback Rule)",
  TRUE,"OK"
)</f>
        <v>OK</v>
      </c>
      <c r="I412" s="17" t="b">
        <f>IF(COUNTIF(Customer_Master!$A:$A,B412)=0,TRUE,FALSE)</f>
        <v>0</v>
      </c>
    </row>
    <row r="413" spans="1:9" ht="33.6" x14ac:dyDescent="0.3">
      <c r="A413" s="14" t="s">
        <v>8486</v>
      </c>
      <c r="B413" s="14" t="s">
        <v>8487</v>
      </c>
      <c r="C413" s="15">
        <v>45059</v>
      </c>
      <c r="D413" s="14" t="s">
        <v>7969</v>
      </c>
      <c r="E413" s="14">
        <v>2</v>
      </c>
      <c r="F413" s="14" t="s">
        <v>45</v>
      </c>
      <c r="G413" s="14" t="s">
        <v>46</v>
      </c>
      <c r="H413" s="31" t="str" cm="1">
        <f t="array" ref="H413">_xlfn.IFS(
  ISBLANK(A413),"Missing Value",
  OR(E413&lt;1,E413&gt;5),"Review – Out of Range (Satisfaction)",
  ISNA(MATCH(B413,Customer_Master!$A$2:$A$1649,0)),"Retained – Unmatched ID (Anonymous Feedback Rule)",
  TRUE,"OK"
)</f>
        <v>Retained – Unmatched ID (Anonymous Feedback Rule)</v>
      </c>
      <c r="I413" s="18" t="b">
        <f>IF(COUNTIF(Customer_Master!$A:$A,B413)=0,TRUE,FALSE)</f>
        <v>1</v>
      </c>
    </row>
    <row r="414" spans="1:9" ht="16.8" x14ac:dyDescent="0.3">
      <c r="A414" s="11" t="s">
        <v>8488</v>
      </c>
      <c r="B414" s="11" t="s">
        <v>1361</v>
      </c>
      <c r="C414" s="12">
        <v>45090</v>
      </c>
      <c r="D414" s="11" t="s">
        <v>7937</v>
      </c>
      <c r="E414" s="11">
        <v>5</v>
      </c>
      <c r="F414" s="11" t="s">
        <v>45</v>
      </c>
      <c r="G414" s="11" t="s">
        <v>45</v>
      </c>
      <c r="H414" s="31" t="str" cm="1">
        <f t="array" ref="H414">_xlfn.IFS(
  ISBLANK(A414),"Missing Value",
  OR(E414&lt;1,E414&gt;5),"Review – Out of Range (Satisfaction)",
  ISNA(MATCH(B414,Customer_Master!$A$2:$A$1649,0)),"Retained – Unmatched ID (Anonymous Feedback Rule)",
  TRUE,"OK"
)</f>
        <v>OK</v>
      </c>
      <c r="I414" s="17" t="b">
        <f>IF(COUNTIF(Customer_Master!$A:$A,B414)=0,TRUE,FALSE)</f>
        <v>0</v>
      </c>
    </row>
    <row r="415" spans="1:9" ht="16.8" x14ac:dyDescent="0.3">
      <c r="A415" s="14" t="s">
        <v>8489</v>
      </c>
      <c r="B415" s="14" t="s">
        <v>426</v>
      </c>
      <c r="C415" s="15">
        <v>44735</v>
      </c>
      <c r="D415" s="14" t="s">
        <v>7937</v>
      </c>
      <c r="E415" s="14">
        <v>5</v>
      </c>
      <c r="F415" s="14" t="s">
        <v>45</v>
      </c>
      <c r="G415" s="14" t="s">
        <v>45</v>
      </c>
      <c r="H415" s="31" t="str" cm="1">
        <f t="array" ref="H415">_xlfn.IFS(
  ISBLANK(A415),"Missing Value",
  OR(E415&lt;1,E415&gt;5),"Review – Out of Range (Satisfaction)",
  ISNA(MATCH(B415,Customer_Master!$A$2:$A$1649,0)),"Retained – Unmatched ID (Anonymous Feedback Rule)",
  TRUE,"OK"
)</f>
        <v>OK</v>
      </c>
      <c r="I415" s="18" t="b">
        <f>IF(COUNTIF(Customer_Master!$A:$A,B415)=0,TRUE,FALSE)</f>
        <v>0</v>
      </c>
    </row>
    <row r="416" spans="1:9" ht="16.8" x14ac:dyDescent="0.3">
      <c r="A416" s="11" t="s">
        <v>8490</v>
      </c>
      <c r="B416" s="11" t="s">
        <v>1997</v>
      </c>
      <c r="C416" s="12">
        <v>44234</v>
      </c>
      <c r="D416" s="11" t="s">
        <v>7935</v>
      </c>
      <c r="E416" s="11">
        <v>5</v>
      </c>
      <c r="F416" s="11" t="s">
        <v>46</v>
      </c>
      <c r="G416" s="11" t="s">
        <v>46</v>
      </c>
      <c r="H416" s="31" t="str" cm="1">
        <f t="array" ref="H416">_xlfn.IFS(
  ISBLANK(A416),"Missing Value",
  OR(E416&lt;1,E416&gt;5),"Review – Out of Range (Satisfaction)",
  ISNA(MATCH(B416,Customer_Master!$A$2:$A$1649,0)),"Retained – Unmatched ID (Anonymous Feedback Rule)",
  TRUE,"OK"
)</f>
        <v>OK</v>
      </c>
      <c r="I416" s="17" t="b">
        <f>IF(COUNTIF(Customer_Master!$A:$A,B416)=0,TRUE,FALSE)</f>
        <v>0</v>
      </c>
    </row>
    <row r="417" spans="1:9" ht="16.8" x14ac:dyDescent="0.3">
      <c r="A417" s="14" t="s">
        <v>8491</v>
      </c>
      <c r="B417" s="14" t="s">
        <v>3015</v>
      </c>
      <c r="C417" s="15">
        <v>44985</v>
      </c>
      <c r="D417" s="14" t="s">
        <v>7937</v>
      </c>
      <c r="E417" s="14">
        <v>5</v>
      </c>
      <c r="F417" s="14" t="s">
        <v>46</v>
      </c>
      <c r="G417" s="14" t="s">
        <v>45</v>
      </c>
      <c r="H417" s="31" t="str" cm="1">
        <f t="array" ref="H417">_xlfn.IFS(
  ISBLANK(A417),"Missing Value",
  OR(E417&lt;1,E417&gt;5),"Review – Out of Range (Satisfaction)",
  ISNA(MATCH(B417,Customer_Master!$A$2:$A$1649,0)),"Retained – Unmatched ID (Anonymous Feedback Rule)",
  TRUE,"OK"
)</f>
        <v>OK</v>
      </c>
      <c r="I417" s="18" t="b">
        <f>IF(COUNTIF(Customer_Master!$A:$A,B417)=0,TRUE,FALSE)</f>
        <v>0</v>
      </c>
    </row>
    <row r="418" spans="1:9" ht="33.6" x14ac:dyDescent="0.3">
      <c r="A418" s="11" t="s">
        <v>8492</v>
      </c>
      <c r="B418" s="11" t="s">
        <v>8493</v>
      </c>
      <c r="C418" s="12">
        <v>44045</v>
      </c>
      <c r="D418" s="11" t="s">
        <v>7935</v>
      </c>
      <c r="E418" s="11">
        <v>4</v>
      </c>
      <c r="F418" s="11" t="s">
        <v>46</v>
      </c>
      <c r="G418" s="11" t="s">
        <v>45</v>
      </c>
      <c r="H418" s="31" t="str" cm="1">
        <f t="array" ref="H418">_xlfn.IFS(
  ISBLANK(A418),"Missing Value",
  OR(E418&lt;1,E418&gt;5),"Review – Out of Range (Satisfaction)",
  ISNA(MATCH(B418,Customer_Master!$A$2:$A$1649,0)),"Retained – Unmatched ID (Anonymous Feedback Rule)",
  TRUE,"OK"
)</f>
        <v>Retained – Unmatched ID (Anonymous Feedback Rule)</v>
      </c>
      <c r="I418" s="17" t="b">
        <f>IF(COUNTIF(Customer_Master!$A:$A,B418)=0,TRUE,FALSE)</f>
        <v>1</v>
      </c>
    </row>
    <row r="419" spans="1:9" ht="16.8" x14ac:dyDescent="0.3">
      <c r="A419" s="14" t="s">
        <v>8494</v>
      </c>
      <c r="B419" s="14" t="s">
        <v>2181</v>
      </c>
      <c r="C419" s="15">
        <v>44332</v>
      </c>
      <c r="D419" s="14" t="s">
        <v>7940</v>
      </c>
      <c r="E419" s="14">
        <v>4</v>
      </c>
      <c r="F419" s="14" t="s">
        <v>46</v>
      </c>
      <c r="G419" s="14" t="s">
        <v>46</v>
      </c>
      <c r="H419" s="31" t="str" cm="1">
        <f t="array" ref="H419">_xlfn.IFS(
  ISBLANK(A419),"Missing Value",
  OR(E419&lt;1,E419&gt;5),"Review – Out of Range (Satisfaction)",
  ISNA(MATCH(B419,Customer_Master!$A$2:$A$1649,0)),"Retained – Unmatched ID (Anonymous Feedback Rule)",
  TRUE,"OK"
)</f>
        <v>OK</v>
      </c>
      <c r="I419" s="18" t="b">
        <f>IF(COUNTIF(Customer_Master!$A:$A,B419)=0,TRUE,FALSE)</f>
        <v>0</v>
      </c>
    </row>
    <row r="420" spans="1:9" ht="16.8" x14ac:dyDescent="0.3">
      <c r="A420" s="11" t="s">
        <v>8495</v>
      </c>
      <c r="B420" s="11" t="s">
        <v>2415</v>
      </c>
      <c r="C420" s="12">
        <v>44587</v>
      </c>
      <c r="D420" s="11" t="s">
        <v>7940</v>
      </c>
      <c r="E420" s="11">
        <v>5</v>
      </c>
      <c r="F420" s="11" t="s">
        <v>45</v>
      </c>
      <c r="G420" s="11" t="s">
        <v>45</v>
      </c>
      <c r="H420" s="31" t="str" cm="1">
        <f t="array" ref="H420">_xlfn.IFS(
  ISBLANK(A420),"Missing Value",
  OR(E420&lt;1,E420&gt;5),"Review – Out of Range (Satisfaction)",
  ISNA(MATCH(B420,Customer_Master!$A$2:$A$1649,0)),"Retained – Unmatched ID (Anonymous Feedback Rule)",
  TRUE,"OK"
)</f>
        <v>OK</v>
      </c>
      <c r="I420" s="17" t="b">
        <f>IF(COUNTIF(Customer_Master!$A:$A,B420)=0,TRUE,FALSE)</f>
        <v>0</v>
      </c>
    </row>
    <row r="421" spans="1:9" ht="16.8" x14ac:dyDescent="0.3">
      <c r="A421" s="14" t="s">
        <v>8496</v>
      </c>
      <c r="B421" s="14" t="s">
        <v>88</v>
      </c>
      <c r="C421" s="15">
        <v>44703</v>
      </c>
      <c r="D421" s="14" t="s">
        <v>7928</v>
      </c>
      <c r="E421" s="14">
        <v>3</v>
      </c>
      <c r="F421" s="14" t="s">
        <v>46</v>
      </c>
      <c r="G421" s="14" t="s">
        <v>46</v>
      </c>
      <c r="H421" s="31" t="str" cm="1">
        <f t="array" ref="H421">_xlfn.IFS(
  ISBLANK(A421),"Missing Value",
  OR(E421&lt;1,E421&gt;5),"Review – Out of Range (Satisfaction)",
  ISNA(MATCH(B421,Customer_Master!$A$2:$A$1649,0)),"Retained – Unmatched ID (Anonymous Feedback Rule)",
  TRUE,"OK"
)</f>
        <v>OK</v>
      </c>
      <c r="I421" s="18" t="b">
        <f>IF(COUNTIF(Customer_Master!$A:$A,B421)=0,TRUE,FALSE)</f>
        <v>0</v>
      </c>
    </row>
    <row r="422" spans="1:9" ht="33.6" x14ac:dyDescent="0.3">
      <c r="A422" s="11" t="s">
        <v>8497</v>
      </c>
      <c r="B422" s="11" t="s">
        <v>8498</v>
      </c>
      <c r="C422" s="12">
        <v>45221</v>
      </c>
      <c r="D422" s="11" t="s">
        <v>7937</v>
      </c>
      <c r="E422" s="11">
        <v>5</v>
      </c>
      <c r="F422" s="11" t="s">
        <v>46</v>
      </c>
      <c r="G422" s="11" t="s">
        <v>46</v>
      </c>
      <c r="H422" s="31" t="str" cm="1">
        <f t="array" ref="H422">_xlfn.IFS(
  ISBLANK(A422),"Missing Value",
  OR(E422&lt;1,E422&gt;5),"Review – Out of Range (Satisfaction)",
  ISNA(MATCH(B422,Customer_Master!$A$2:$A$1649,0)),"Retained – Unmatched ID (Anonymous Feedback Rule)",
  TRUE,"OK"
)</f>
        <v>Retained – Unmatched ID (Anonymous Feedback Rule)</v>
      </c>
      <c r="I422" s="17" t="b">
        <f>IF(COUNTIF(Customer_Master!$A:$A,B422)=0,TRUE,FALSE)</f>
        <v>1</v>
      </c>
    </row>
    <row r="423" spans="1:9" ht="33.6" x14ac:dyDescent="0.3">
      <c r="A423" s="14" t="s">
        <v>8499</v>
      </c>
      <c r="B423" s="14" t="s">
        <v>8500</v>
      </c>
      <c r="C423" s="15">
        <v>43914</v>
      </c>
      <c r="D423" s="14" t="s">
        <v>7943</v>
      </c>
      <c r="E423" s="14">
        <v>3</v>
      </c>
      <c r="F423" s="14" t="s">
        <v>46</v>
      </c>
      <c r="G423" s="14" t="s">
        <v>45</v>
      </c>
      <c r="H423" s="31" t="str" cm="1">
        <f t="array" ref="H423">_xlfn.IFS(
  ISBLANK(A423),"Missing Value",
  OR(E423&lt;1,E423&gt;5),"Review – Out of Range (Satisfaction)",
  ISNA(MATCH(B423,Customer_Master!$A$2:$A$1649,0)),"Retained – Unmatched ID (Anonymous Feedback Rule)",
  TRUE,"OK"
)</f>
        <v>Retained – Unmatched ID (Anonymous Feedback Rule)</v>
      </c>
      <c r="I423" s="18" t="b">
        <f>IF(COUNTIF(Customer_Master!$A:$A,B423)=0,TRUE,FALSE)</f>
        <v>1</v>
      </c>
    </row>
    <row r="424" spans="1:9" ht="33.6" x14ac:dyDescent="0.3">
      <c r="A424" s="11" t="s">
        <v>8501</v>
      </c>
      <c r="B424" s="11" t="s">
        <v>8502</v>
      </c>
      <c r="C424" s="12">
        <v>43857</v>
      </c>
      <c r="D424" s="11" t="s">
        <v>7940</v>
      </c>
      <c r="E424" s="11">
        <v>5</v>
      </c>
      <c r="F424" s="11" t="s">
        <v>45</v>
      </c>
      <c r="G424" s="11" t="s">
        <v>45</v>
      </c>
      <c r="H424" s="31" t="str" cm="1">
        <f t="array" ref="H424">_xlfn.IFS(
  ISBLANK(A424),"Missing Value",
  OR(E424&lt;1,E424&gt;5),"Review – Out of Range (Satisfaction)",
  ISNA(MATCH(B424,Customer_Master!$A$2:$A$1649,0)),"Retained – Unmatched ID (Anonymous Feedback Rule)",
  TRUE,"OK"
)</f>
        <v>Retained – Unmatched ID (Anonymous Feedback Rule)</v>
      </c>
      <c r="I424" s="17" t="b">
        <f>IF(COUNTIF(Customer_Master!$A:$A,B424)=0,TRUE,FALSE)</f>
        <v>1</v>
      </c>
    </row>
    <row r="425" spans="1:9" ht="16.8" x14ac:dyDescent="0.3">
      <c r="A425" s="14" t="s">
        <v>8503</v>
      </c>
      <c r="B425" s="14" t="s">
        <v>1709</v>
      </c>
      <c r="C425" s="15">
        <v>44657</v>
      </c>
      <c r="D425" s="14" t="s">
        <v>7943</v>
      </c>
      <c r="E425" s="14">
        <v>3</v>
      </c>
      <c r="F425" s="14" t="s">
        <v>45</v>
      </c>
      <c r="G425" s="14" t="s">
        <v>46</v>
      </c>
      <c r="H425" s="31" t="str" cm="1">
        <f t="array" ref="H425">_xlfn.IFS(
  ISBLANK(A425),"Missing Value",
  OR(E425&lt;1,E425&gt;5),"Review – Out of Range (Satisfaction)",
  ISNA(MATCH(B425,Customer_Master!$A$2:$A$1649,0)),"Retained – Unmatched ID (Anonymous Feedback Rule)",
  TRUE,"OK"
)</f>
        <v>OK</v>
      </c>
      <c r="I425" s="18" t="b">
        <f>IF(COUNTIF(Customer_Master!$A:$A,B425)=0,TRUE,FALSE)</f>
        <v>0</v>
      </c>
    </row>
    <row r="426" spans="1:9" ht="33.6" x14ac:dyDescent="0.3">
      <c r="A426" s="11" t="s">
        <v>8504</v>
      </c>
      <c r="B426" s="11" t="s">
        <v>8505</v>
      </c>
      <c r="C426" s="12">
        <v>44738</v>
      </c>
      <c r="D426" s="11" t="s">
        <v>7931</v>
      </c>
      <c r="E426" s="11">
        <v>5</v>
      </c>
      <c r="F426" s="11" t="s">
        <v>46</v>
      </c>
      <c r="G426" s="11" t="s">
        <v>45</v>
      </c>
      <c r="H426" s="31" t="str" cm="1">
        <f t="array" ref="H426">_xlfn.IFS(
  ISBLANK(A426),"Missing Value",
  OR(E426&lt;1,E426&gt;5),"Review – Out of Range (Satisfaction)",
  ISNA(MATCH(B426,Customer_Master!$A$2:$A$1649,0)),"Retained – Unmatched ID (Anonymous Feedback Rule)",
  TRUE,"OK"
)</f>
        <v>Retained – Unmatched ID (Anonymous Feedback Rule)</v>
      </c>
      <c r="I426" s="17" t="b">
        <f>IF(COUNTIF(Customer_Master!$A:$A,B426)=0,TRUE,FALSE)</f>
        <v>1</v>
      </c>
    </row>
    <row r="427" spans="1:9" ht="33.6" x14ac:dyDescent="0.3">
      <c r="A427" s="14" t="s">
        <v>8506</v>
      </c>
      <c r="B427" s="14" t="s">
        <v>8507</v>
      </c>
      <c r="C427" s="15">
        <v>45244</v>
      </c>
      <c r="D427" s="14" t="s">
        <v>7933</v>
      </c>
      <c r="E427" s="14">
        <v>2</v>
      </c>
      <c r="F427" s="14" t="s">
        <v>46</v>
      </c>
      <c r="G427" s="14" t="s">
        <v>45</v>
      </c>
      <c r="H427" s="31" t="str" cm="1">
        <f t="array" ref="H427">_xlfn.IFS(
  ISBLANK(A427),"Missing Value",
  OR(E427&lt;1,E427&gt;5),"Review – Out of Range (Satisfaction)",
  ISNA(MATCH(B427,Customer_Master!$A$2:$A$1649,0)),"Retained – Unmatched ID (Anonymous Feedback Rule)",
  TRUE,"OK"
)</f>
        <v>Retained – Unmatched ID (Anonymous Feedback Rule)</v>
      </c>
      <c r="I427" s="18" t="b">
        <f>IF(COUNTIF(Customer_Master!$A:$A,B427)=0,TRUE,FALSE)</f>
        <v>1</v>
      </c>
    </row>
    <row r="428" spans="1:9" ht="16.8" x14ac:dyDescent="0.3">
      <c r="A428" s="11" t="s">
        <v>8508</v>
      </c>
      <c r="B428" s="11" t="s">
        <v>941</v>
      </c>
      <c r="C428" s="12">
        <v>44802</v>
      </c>
      <c r="D428" s="11" t="s">
        <v>7969</v>
      </c>
      <c r="E428" s="11">
        <v>2</v>
      </c>
      <c r="F428" s="11" t="s">
        <v>45</v>
      </c>
      <c r="G428" s="11" t="s">
        <v>45</v>
      </c>
      <c r="H428" s="31" t="str" cm="1">
        <f t="array" ref="H428">_xlfn.IFS(
  ISBLANK(A428),"Missing Value",
  OR(E428&lt;1,E428&gt;5),"Review – Out of Range (Satisfaction)",
  ISNA(MATCH(B428,Customer_Master!$A$2:$A$1649,0)),"Retained – Unmatched ID (Anonymous Feedback Rule)",
  TRUE,"OK"
)</f>
        <v>OK</v>
      </c>
      <c r="I428" s="17" t="b">
        <f>IF(COUNTIF(Customer_Master!$A:$A,B428)=0,TRUE,FALSE)</f>
        <v>0</v>
      </c>
    </row>
    <row r="429" spans="1:9" ht="16.8" x14ac:dyDescent="0.3">
      <c r="A429" s="14" t="s">
        <v>8509</v>
      </c>
      <c r="B429" s="14" t="s">
        <v>286</v>
      </c>
      <c r="C429" s="15">
        <v>44081</v>
      </c>
      <c r="D429" s="14" t="s">
        <v>7935</v>
      </c>
      <c r="E429" s="14">
        <v>5</v>
      </c>
      <c r="F429" s="14" t="s">
        <v>45</v>
      </c>
      <c r="G429" s="14" t="s">
        <v>45</v>
      </c>
      <c r="H429" s="31" t="str" cm="1">
        <f t="array" ref="H429">_xlfn.IFS(
  ISBLANK(A429),"Missing Value",
  OR(E429&lt;1,E429&gt;5),"Review – Out of Range (Satisfaction)",
  ISNA(MATCH(B429,Customer_Master!$A$2:$A$1649,0)),"Retained – Unmatched ID (Anonymous Feedback Rule)",
  TRUE,"OK"
)</f>
        <v>OK</v>
      </c>
      <c r="I429" s="18" t="b">
        <f>IF(COUNTIF(Customer_Master!$A:$A,B429)=0,TRUE,FALSE)</f>
        <v>0</v>
      </c>
    </row>
    <row r="430" spans="1:9" ht="16.8" x14ac:dyDescent="0.3">
      <c r="A430" s="11" t="s">
        <v>8510</v>
      </c>
      <c r="B430" s="11" t="s">
        <v>2161</v>
      </c>
      <c r="C430" s="12">
        <v>44477</v>
      </c>
      <c r="D430" s="11" t="s">
        <v>7940</v>
      </c>
      <c r="E430" s="11">
        <v>5</v>
      </c>
      <c r="F430" s="11" t="s">
        <v>45</v>
      </c>
      <c r="G430" s="11" t="s">
        <v>45</v>
      </c>
      <c r="H430" s="31" t="str" cm="1">
        <f t="array" ref="H430">_xlfn.IFS(
  ISBLANK(A430),"Missing Value",
  OR(E430&lt;1,E430&gt;5),"Review – Out of Range (Satisfaction)",
  ISNA(MATCH(B430,Customer_Master!$A$2:$A$1649,0)),"Retained – Unmatched ID (Anonymous Feedback Rule)",
  TRUE,"OK"
)</f>
        <v>OK</v>
      </c>
      <c r="I430" s="17" t="b">
        <f>IF(COUNTIF(Customer_Master!$A:$A,B430)=0,TRUE,FALSE)</f>
        <v>0</v>
      </c>
    </row>
    <row r="431" spans="1:9" ht="16.8" x14ac:dyDescent="0.3">
      <c r="A431" s="14" t="s">
        <v>8511</v>
      </c>
      <c r="B431" s="14" t="s">
        <v>639</v>
      </c>
      <c r="C431" s="15">
        <v>44644</v>
      </c>
      <c r="D431" s="14" t="s">
        <v>7931</v>
      </c>
      <c r="E431" s="14">
        <v>4</v>
      </c>
      <c r="F431" s="14" t="s">
        <v>46</v>
      </c>
      <c r="G431" s="14" t="s">
        <v>46</v>
      </c>
      <c r="H431" s="31" t="str" cm="1">
        <f t="array" ref="H431">_xlfn.IFS(
  ISBLANK(A431),"Missing Value",
  OR(E431&lt;1,E431&gt;5),"Review – Out of Range (Satisfaction)",
  ISNA(MATCH(B431,Customer_Master!$A$2:$A$1649,0)),"Retained – Unmatched ID (Anonymous Feedback Rule)",
  TRUE,"OK"
)</f>
        <v>OK</v>
      </c>
      <c r="I431" s="18" t="b">
        <f>IF(COUNTIF(Customer_Master!$A:$A,B431)=0,TRUE,FALSE)</f>
        <v>0</v>
      </c>
    </row>
    <row r="432" spans="1:9" ht="16.8" x14ac:dyDescent="0.3">
      <c r="A432" s="11" t="s">
        <v>8512</v>
      </c>
      <c r="B432" s="11" t="s">
        <v>2461</v>
      </c>
      <c r="C432" s="12">
        <v>44527</v>
      </c>
      <c r="D432" s="11" t="s">
        <v>7940</v>
      </c>
      <c r="E432" s="11">
        <v>5</v>
      </c>
      <c r="F432" s="11" t="s">
        <v>45</v>
      </c>
      <c r="G432" s="11" t="s">
        <v>46</v>
      </c>
      <c r="H432" s="31" t="str" cm="1">
        <f t="array" ref="H432">_xlfn.IFS(
  ISBLANK(A432),"Missing Value",
  OR(E432&lt;1,E432&gt;5),"Review – Out of Range (Satisfaction)",
  ISNA(MATCH(B432,Customer_Master!$A$2:$A$1649,0)),"Retained – Unmatched ID (Anonymous Feedback Rule)",
  TRUE,"OK"
)</f>
        <v>OK</v>
      </c>
      <c r="I432" s="17" t="b">
        <f>IF(COUNTIF(Customer_Master!$A:$A,B432)=0,TRUE,FALSE)</f>
        <v>0</v>
      </c>
    </row>
    <row r="433" spans="1:9" ht="16.8" x14ac:dyDescent="0.3">
      <c r="A433" s="14" t="s">
        <v>8513</v>
      </c>
      <c r="B433" s="14" t="s">
        <v>194</v>
      </c>
      <c r="C433" s="15">
        <v>44003</v>
      </c>
      <c r="D433" s="14" t="s">
        <v>7978</v>
      </c>
      <c r="E433" s="14">
        <v>1</v>
      </c>
      <c r="F433" s="14" t="s">
        <v>46</v>
      </c>
      <c r="G433" s="14" t="s">
        <v>45</v>
      </c>
      <c r="H433" s="31" t="str" cm="1">
        <f t="array" ref="H433">_xlfn.IFS(
  ISBLANK(A433),"Missing Value",
  OR(E433&lt;1,E433&gt;5),"Review – Out of Range (Satisfaction)",
  ISNA(MATCH(B433,Customer_Master!$A$2:$A$1649,0)),"Retained – Unmatched ID (Anonymous Feedback Rule)",
  TRUE,"OK"
)</f>
        <v>OK</v>
      </c>
      <c r="I433" s="18" t="b">
        <f>IF(COUNTIF(Customer_Master!$A:$A,B433)=0,TRUE,FALSE)</f>
        <v>0</v>
      </c>
    </row>
    <row r="434" spans="1:9" ht="16.8" x14ac:dyDescent="0.3">
      <c r="A434" s="11" t="s">
        <v>8514</v>
      </c>
      <c r="B434" s="11" t="s">
        <v>3232</v>
      </c>
      <c r="C434" s="12">
        <v>44772</v>
      </c>
      <c r="D434" s="11" t="s">
        <v>7933</v>
      </c>
      <c r="E434" s="11">
        <v>3</v>
      </c>
      <c r="F434" s="11" t="s">
        <v>45</v>
      </c>
      <c r="G434" s="11" t="s">
        <v>46</v>
      </c>
      <c r="H434" s="31" t="str" cm="1">
        <f t="array" ref="H434">_xlfn.IFS(
  ISBLANK(A434),"Missing Value",
  OR(E434&lt;1,E434&gt;5),"Review – Out of Range (Satisfaction)",
  ISNA(MATCH(B434,Customer_Master!$A$2:$A$1649,0)),"Retained – Unmatched ID (Anonymous Feedback Rule)",
  TRUE,"OK"
)</f>
        <v>OK</v>
      </c>
      <c r="I434" s="17" t="b">
        <f>IF(COUNTIF(Customer_Master!$A:$A,B434)=0,TRUE,FALSE)</f>
        <v>0</v>
      </c>
    </row>
    <row r="435" spans="1:9" ht="16.8" x14ac:dyDescent="0.3">
      <c r="A435" s="14" t="s">
        <v>8515</v>
      </c>
      <c r="B435" s="14" t="s">
        <v>1421</v>
      </c>
      <c r="C435" s="15">
        <v>44405</v>
      </c>
      <c r="D435" s="14" t="s">
        <v>7933</v>
      </c>
      <c r="E435" s="14">
        <v>2</v>
      </c>
      <c r="F435" s="14" t="s">
        <v>45</v>
      </c>
      <c r="G435" s="14" t="s">
        <v>46</v>
      </c>
      <c r="H435" s="31" t="str" cm="1">
        <f t="array" ref="H435">_xlfn.IFS(
  ISBLANK(A435),"Missing Value",
  OR(E435&lt;1,E435&gt;5),"Review – Out of Range (Satisfaction)",
  ISNA(MATCH(B435,Customer_Master!$A$2:$A$1649,0)),"Retained – Unmatched ID (Anonymous Feedback Rule)",
  TRUE,"OK"
)</f>
        <v>OK</v>
      </c>
      <c r="I435" s="18" t="b">
        <f>IF(COUNTIF(Customer_Master!$A:$A,B435)=0,TRUE,FALSE)</f>
        <v>0</v>
      </c>
    </row>
    <row r="436" spans="1:9" ht="16.8" x14ac:dyDescent="0.3">
      <c r="A436" s="11" t="s">
        <v>8516</v>
      </c>
      <c r="B436" s="11" t="s">
        <v>3316</v>
      </c>
      <c r="C436" s="12">
        <v>44411</v>
      </c>
      <c r="D436" s="11" t="s">
        <v>7928</v>
      </c>
      <c r="E436" s="11">
        <v>2</v>
      </c>
      <c r="F436" s="11" t="s">
        <v>46</v>
      </c>
      <c r="G436" s="11" t="s">
        <v>45</v>
      </c>
      <c r="H436" s="31" t="str" cm="1">
        <f t="array" ref="H436">_xlfn.IFS(
  ISBLANK(A436),"Missing Value",
  OR(E436&lt;1,E436&gt;5),"Review – Out of Range (Satisfaction)",
  ISNA(MATCH(B436,Customer_Master!$A$2:$A$1649,0)),"Retained – Unmatched ID (Anonymous Feedback Rule)",
  TRUE,"OK"
)</f>
        <v>OK</v>
      </c>
      <c r="I436" s="17" t="b">
        <f>IF(COUNTIF(Customer_Master!$A:$A,B436)=0,TRUE,FALSE)</f>
        <v>0</v>
      </c>
    </row>
    <row r="437" spans="1:9" ht="33.6" x14ac:dyDescent="0.3">
      <c r="A437" s="14" t="s">
        <v>8517</v>
      </c>
      <c r="B437" s="14" t="s">
        <v>8518</v>
      </c>
      <c r="C437" s="15">
        <v>44861</v>
      </c>
      <c r="D437" s="14" t="s">
        <v>7933</v>
      </c>
      <c r="E437" s="14">
        <v>2</v>
      </c>
      <c r="F437" s="14" t="s">
        <v>45</v>
      </c>
      <c r="G437" s="14" t="s">
        <v>46</v>
      </c>
      <c r="H437" s="31" t="str" cm="1">
        <f t="array" ref="H437">_xlfn.IFS(
  ISBLANK(A437),"Missing Value",
  OR(E437&lt;1,E437&gt;5),"Review – Out of Range (Satisfaction)",
  ISNA(MATCH(B437,Customer_Master!$A$2:$A$1649,0)),"Retained – Unmatched ID (Anonymous Feedback Rule)",
  TRUE,"OK"
)</f>
        <v>Retained – Unmatched ID (Anonymous Feedback Rule)</v>
      </c>
      <c r="I437" s="18" t="b">
        <f>IF(COUNTIF(Customer_Master!$A:$A,B437)=0,TRUE,FALSE)</f>
        <v>1</v>
      </c>
    </row>
    <row r="438" spans="1:9" ht="16.8" x14ac:dyDescent="0.3">
      <c r="A438" s="11" t="s">
        <v>8519</v>
      </c>
      <c r="B438" s="11" t="s">
        <v>3298</v>
      </c>
      <c r="C438" s="12">
        <v>44211</v>
      </c>
      <c r="D438" s="11" t="s">
        <v>7943</v>
      </c>
      <c r="E438" s="11">
        <v>2</v>
      </c>
      <c r="F438" s="11" t="s">
        <v>46</v>
      </c>
      <c r="G438" s="11" t="s">
        <v>45</v>
      </c>
      <c r="H438" s="31" t="str" cm="1">
        <f t="array" ref="H438">_xlfn.IFS(
  ISBLANK(A438),"Missing Value",
  OR(E438&lt;1,E438&gt;5),"Review – Out of Range (Satisfaction)",
  ISNA(MATCH(B438,Customer_Master!$A$2:$A$1649,0)),"Retained – Unmatched ID (Anonymous Feedback Rule)",
  TRUE,"OK"
)</f>
        <v>OK</v>
      </c>
      <c r="I438" s="17" t="b">
        <f>IF(COUNTIF(Customer_Master!$A:$A,B438)=0,TRUE,FALSE)</f>
        <v>0</v>
      </c>
    </row>
    <row r="439" spans="1:9" ht="16.8" x14ac:dyDescent="0.3">
      <c r="A439" s="14" t="s">
        <v>8520</v>
      </c>
      <c r="B439" s="14" t="s">
        <v>641</v>
      </c>
      <c r="C439" s="15">
        <v>44740</v>
      </c>
      <c r="D439" s="14" t="s">
        <v>7933</v>
      </c>
      <c r="E439" s="14">
        <v>3</v>
      </c>
      <c r="F439" s="14" t="s">
        <v>45</v>
      </c>
      <c r="G439" s="14" t="s">
        <v>45</v>
      </c>
      <c r="H439" s="31" t="str" cm="1">
        <f t="array" ref="H439">_xlfn.IFS(
  ISBLANK(A439),"Missing Value",
  OR(E439&lt;1,E439&gt;5),"Review – Out of Range (Satisfaction)",
  ISNA(MATCH(B439,Customer_Master!$A$2:$A$1649,0)),"Retained – Unmatched ID (Anonymous Feedback Rule)",
  TRUE,"OK"
)</f>
        <v>OK</v>
      </c>
      <c r="I439" s="18" t="b">
        <f>IF(COUNTIF(Customer_Master!$A:$A,B439)=0,TRUE,FALSE)</f>
        <v>0</v>
      </c>
    </row>
    <row r="440" spans="1:9" ht="33.6" x14ac:dyDescent="0.3">
      <c r="A440" s="11" t="s">
        <v>8521</v>
      </c>
      <c r="B440" s="11" t="s">
        <v>8522</v>
      </c>
      <c r="C440" s="12">
        <v>44272</v>
      </c>
      <c r="D440" s="11" t="s">
        <v>7935</v>
      </c>
      <c r="E440" s="11">
        <v>5</v>
      </c>
      <c r="F440" s="11" t="s">
        <v>46</v>
      </c>
      <c r="G440" s="11" t="s">
        <v>46</v>
      </c>
      <c r="H440" s="31" t="str" cm="1">
        <f t="array" ref="H440">_xlfn.IFS(
  ISBLANK(A440),"Missing Value",
  OR(E440&lt;1,E440&gt;5),"Review – Out of Range (Satisfaction)",
  ISNA(MATCH(B440,Customer_Master!$A$2:$A$1649,0)),"Retained – Unmatched ID (Anonymous Feedback Rule)",
  TRUE,"OK"
)</f>
        <v>Retained – Unmatched ID (Anonymous Feedback Rule)</v>
      </c>
      <c r="I440" s="17" t="b">
        <f>IF(COUNTIF(Customer_Master!$A:$A,B440)=0,TRUE,FALSE)</f>
        <v>1</v>
      </c>
    </row>
    <row r="441" spans="1:9" ht="16.8" x14ac:dyDescent="0.3">
      <c r="A441" s="14" t="s">
        <v>8523</v>
      </c>
      <c r="B441" s="14" t="s">
        <v>2051</v>
      </c>
      <c r="C441" s="15">
        <v>44068</v>
      </c>
      <c r="D441" s="14" t="s">
        <v>7940</v>
      </c>
      <c r="E441" s="14">
        <v>4</v>
      </c>
      <c r="F441" s="14" t="s">
        <v>46</v>
      </c>
      <c r="G441" s="14" t="s">
        <v>45</v>
      </c>
      <c r="H441" s="31" t="str" cm="1">
        <f t="array" ref="H441">_xlfn.IFS(
  ISBLANK(A441),"Missing Value",
  OR(E441&lt;1,E441&gt;5),"Review – Out of Range (Satisfaction)",
  ISNA(MATCH(B441,Customer_Master!$A$2:$A$1649,0)),"Retained – Unmatched ID (Anonymous Feedback Rule)",
  TRUE,"OK"
)</f>
        <v>OK</v>
      </c>
      <c r="I441" s="18" t="b">
        <f>IF(COUNTIF(Customer_Master!$A:$A,B441)=0,TRUE,FALSE)</f>
        <v>0</v>
      </c>
    </row>
    <row r="442" spans="1:9" ht="16.8" x14ac:dyDescent="0.3">
      <c r="A442" s="11" t="s">
        <v>8524</v>
      </c>
      <c r="B442" s="11" t="s">
        <v>1083</v>
      </c>
      <c r="C442" s="12">
        <v>44809</v>
      </c>
      <c r="D442" s="11" t="s">
        <v>7947</v>
      </c>
      <c r="E442" s="11">
        <v>4</v>
      </c>
      <c r="F442" s="11" t="s">
        <v>45</v>
      </c>
      <c r="G442" s="11" t="s">
        <v>46</v>
      </c>
      <c r="H442" s="31" t="str" cm="1">
        <f t="array" ref="H442">_xlfn.IFS(
  ISBLANK(A442),"Missing Value",
  OR(E442&lt;1,E442&gt;5),"Review – Out of Range (Satisfaction)",
  ISNA(MATCH(B442,Customer_Master!$A$2:$A$1649,0)),"Retained – Unmatched ID (Anonymous Feedback Rule)",
  TRUE,"OK"
)</f>
        <v>OK</v>
      </c>
      <c r="I442" s="17" t="b">
        <f>IF(COUNTIF(Customer_Master!$A:$A,B442)=0,TRUE,FALSE)</f>
        <v>0</v>
      </c>
    </row>
    <row r="443" spans="1:9" ht="33.6" x14ac:dyDescent="0.3">
      <c r="A443" s="14" t="s">
        <v>8525</v>
      </c>
      <c r="B443" s="14" t="s">
        <v>8387</v>
      </c>
      <c r="C443" s="15">
        <v>44410</v>
      </c>
      <c r="D443" s="14" t="s">
        <v>7943</v>
      </c>
      <c r="E443" s="14">
        <v>1</v>
      </c>
      <c r="F443" s="14" t="s">
        <v>45</v>
      </c>
      <c r="G443" s="14" t="s">
        <v>46</v>
      </c>
      <c r="H443" s="31" t="str" cm="1">
        <f t="array" ref="H443">_xlfn.IFS(
  ISBLANK(A443),"Missing Value",
  OR(E443&lt;1,E443&gt;5),"Review – Out of Range (Satisfaction)",
  ISNA(MATCH(B443,Customer_Master!$A$2:$A$1649,0)),"Retained – Unmatched ID (Anonymous Feedback Rule)",
  TRUE,"OK"
)</f>
        <v>Retained – Unmatched ID (Anonymous Feedback Rule)</v>
      </c>
      <c r="I443" s="18" t="b">
        <f>IF(COUNTIF(Customer_Master!$A:$A,B443)=0,TRUE,FALSE)</f>
        <v>1</v>
      </c>
    </row>
    <row r="444" spans="1:9" ht="16.8" x14ac:dyDescent="0.3">
      <c r="A444" s="11" t="s">
        <v>8526</v>
      </c>
      <c r="B444" s="11" t="s">
        <v>2313</v>
      </c>
      <c r="C444" s="12">
        <v>44952</v>
      </c>
      <c r="D444" s="11" t="s">
        <v>7928</v>
      </c>
      <c r="E444" s="11">
        <v>2</v>
      </c>
      <c r="F444" s="11" t="s">
        <v>46</v>
      </c>
      <c r="G444" s="11" t="s">
        <v>45</v>
      </c>
      <c r="H444" s="31" t="str" cm="1">
        <f t="array" ref="H444">_xlfn.IFS(
  ISBLANK(A444),"Missing Value",
  OR(E444&lt;1,E444&gt;5),"Review – Out of Range (Satisfaction)",
  ISNA(MATCH(B444,Customer_Master!$A$2:$A$1649,0)),"Retained – Unmatched ID (Anonymous Feedback Rule)",
  TRUE,"OK"
)</f>
        <v>OK</v>
      </c>
      <c r="I444" s="17" t="b">
        <f>IF(COUNTIF(Customer_Master!$A:$A,B444)=0,TRUE,FALSE)</f>
        <v>0</v>
      </c>
    </row>
    <row r="445" spans="1:9" ht="16.8" x14ac:dyDescent="0.3">
      <c r="A445" s="14" t="s">
        <v>8527</v>
      </c>
      <c r="B445" s="14" t="s">
        <v>1091</v>
      </c>
      <c r="C445" s="15">
        <v>45082</v>
      </c>
      <c r="D445" s="14" t="s">
        <v>7943</v>
      </c>
      <c r="E445" s="14">
        <v>2</v>
      </c>
      <c r="F445" s="14" t="s">
        <v>46</v>
      </c>
      <c r="G445" s="14" t="s">
        <v>45</v>
      </c>
      <c r="H445" s="31" t="str" cm="1">
        <f t="array" ref="H445">_xlfn.IFS(
  ISBLANK(A445),"Missing Value",
  OR(E445&lt;1,E445&gt;5),"Review – Out of Range (Satisfaction)",
  ISNA(MATCH(B445,Customer_Master!$A$2:$A$1649,0)),"Retained – Unmatched ID (Anonymous Feedback Rule)",
  TRUE,"OK"
)</f>
        <v>OK</v>
      </c>
      <c r="I445" s="18" t="b">
        <f>IF(COUNTIF(Customer_Master!$A:$A,B445)=0,TRUE,FALSE)</f>
        <v>0</v>
      </c>
    </row>
    <row r="446" spans="1:9" ht="16.8" x14ac:dyDescent="0.3">
      <c r="A446" s="11" t="s">
        <v>8528</v>
      </c>
      <c r="B446" s="11" t="s">
        <v>1259</v>
      </c>
      <c r="C446" s="12">
        <v>44613</v>
      </c>
      <c r="D446" s="11" t="s">
        <v>7935</v>
      </c>
      <c r="E446" s="11">
        <v>5</v>
      </c>
      <c r="F446" s="11" t="s">
        <v>45</v>
      </c>
      <c r="G446" s="11" t="s">
        <v>45</v>
      </c>
      <c r="H446" s="31" t="str" cm="1">
        <f t="array" ref="H446">_xlfn.IFS(
  ISBLANK(A446),"Missing Value",
  OR(E446&lt;1,E446&gt;5),"Review – Out of Range (Satisfaction)",
  ISNA(MATCH(B446,Customer_Master!$A$2:$A$1649,0)),"Retained – Unmatched ID (Anonymous Feedback Rule)",
  TRUE,"OK"
)</f>
        <v>OK</v>
      </c>
      <c r="I446" s="17" t="b">
        <f>IF(COUNTIF(Customer_Master!$A:$A,B446)=0,TRUE,FALSE)</f>
        <v>0</v>
      </c>
    </row>
    <row r="447" spans="1:9" ht="16.8" x14ac:dyDescent="0.3">
      <c r="A447" s="14" t="s">
        <v>8529</v>
      </c>
      <c r="B447" s="14" t="s">
        <v>252</v>
      </c>
      <c r="C447" s="15">
        <v>44902</v>
      </c>
      <c r="D447" s="14" t="s">
        <v>7940</v>
      </c>
      <c r="E447" s="14">
        <v>4</v>
      </c>
      <c r="F447" s="14" t="s">
        <v>45</v>
      </c>
      <c r="G447" s="14" t="s">
        <v>45</v>
      </c>
      <c r="H447" s="31" t="str" cm="1">
        <f t="array" ref="H447">_xlfn.IFS(
  ISBLANK(A447),"Missing Value",
  OR(E447&lt;1,E447&gt;5),"Review – Out of Range (Satisfaction)",
  ISNA(MATCH(B447,Customer_Master!$A$2:$A$1649,0)),"Retained – Unmatched ID (Anonymous Feedback Rule)",
  TRUE,"OK"
)</f>
        <v>OK</v>
      </c>
      <c r="I447" s="18" t="b">
        <f>IF(COUNTIF(Customer_Master!$A:$A,B447)=0,TRUE,FALSE)</f>
        <v>0</v>
      </c>
    </row>
    <row r="448" spans="1:9" ht="16.8" x14ac:dyDescent="0.3">
      <c r="A448" s="11" t="s">
        <v>8530</v>
      </c>
      <c r="B448" s="11" t="s">
        <v>3072</v>
      </c>
      <c r="C448" s="12">
        <v>44709</v>
      </c>
      <c r="D448" s="11" t="s">
        <v>7940</v>
      </c>
      <c r="E448" s="11">
        <v>5</v>
      </c>
      <c r="F448" s="11" t="s">
        <v>46</v>
      </c>
      <c r="G448" s="11" t="s">
        <v>46</v>
      </c>
      <c r="H448" s="31" t="str" cm="1">
        <f t="array" ref="H448">_xlfn.IFS(
  ISBLANK(A448),"Missing Value",
  OR(E448&lt;1,E448&gt;5),"Review – Out of Range (Satisfaction)",
  ISNA(MATCH(B448,Customer_Master!$A$2:$A$1649,0)),"Retained – Unmatched ID (Anonymous Feedback Rule)",
  TRUE,"OK"
)</f>
        <v>OK</v>
      </c>
      <c r="I448" s="17" t="b">
        <f>IF(COUNTIF(Customer_Master!$A:$A,B448)=0,TRUE,FALSE)</f>
        <v>0</v>
      </c>
    </row>
    <row r="449" spans="1:9" ht="16.8" x14ac:dyDescent="0.3">
      <c r="A449" s="14" t="s">
        <v>8531</v>
      </c>
      <c r="B449" s="14" t="s">
        <v>1893</v>
      </c>
      <c r="C449" s="15">
        <v>45185</v>
      </c>
      <c r="D449" s="14" t="s">
        <v>7940</v>
      </c>
      <c r="E449" s="14">
        <v>4</v>
      </c>
      <c r="F449" s="14" t="s">
        <v>46</v>
      </c>
      <c r="G449" s="14" t="s">
        <v>45</v>
      </c>
      <c r="H449" s="31" t="str" cm="1">
        <f t="array" ref="H449">_xlfn.IFS(
  ISBLANK(A449),"Missing Value",
  OR(E449&lt;1,E449&gt;5),"Review – Out of Range (Satisfaction)",
  ISNA(MATCH(B449,Customer_Master!$A$2:$A$1649,0)),"Retained – Unmatched ID (Anonymous Feedback Rule)",
  TRUE,"OK"
)</f>
        <v>OK</v>
      </c>
      <c r="I449" s="18" t="b">
        <f>IF(COUNTIF(Customer_Master!$A:$A,B449)=0,TRUE,FALSE)</f>
        <v>0</v>
      </c>
    </row>
    <row r="450" spans="1:9" ht="16.8" x14ac:dyDescent="0.3">
      <c r="A450" s="11" t="s">
        <v>8532</v>
      </c>
      <c r="B450" s="11" t="s">
        <v>2865</v>
      </c>
      <c r="C450" s="12">
        <v>44659</v>
      </c>
      <c r="D450" s="11" t="s">
        <v>7969</v>
      </c>
      <c r="E450" s="11">
        <v>2</v>
      </c>
      <c r="F450" s="11" t="s">
        <v>46</v>
      </c>
      <c r="G450" s="11" t="s">
        <v>46</v>
      </c>
      <c r="H450" s="31" t="str" cm="1">
        <f t="array" ref="H450">_xlfn.IFS(
  ISBLANK(A450),"Missing Value",
  OR(E450&lt;1,E450&gt;5),"Review – Out of Range (Satisfaction)",
  ISNA(MATCH(B450,Customer_Master!$A$2:$A$1649,0)),"Retained – Unmatched ID (Anonymous Feedback Rule)",
  TRUE,"OK"
)</f>
        <v>OK</v>
      </c>
      <c r="I450" s="17" t="b">
        <f>IF(COUNTIF(Customer_Master!$A:$A,B450)=0,TRUE,FALSE)</f>
        <v>0</v>
      </c>
    </row>
    <row r="451" spans="1:9" ht="16.8" x14ac:dyDescent="0.3">
      <c r="A451" s="14" t="s">
        <v>8533</v>
      </c>
      <c r="B451" s="14" t="s">
        <v>2221</v>
      </c>
      <c r="C451" s="15">
        <v>45104</v>
      </c>
      <c r="D451" s="14" t="s">
        <v>7978</v>
      </c>
      <c r="E451" s="14">
        <v>1</v>
      </c>
      <c r="F451" s="14" t="s">
        <v>46</v>
      </c>
      <c r="G451" s="14" t="s">
        <v>46</v>
      </c>
      <c r="H451" s="31" t="str" cm="1">
        <f t="array" ref="H451">_xlfn.IFS(
  ISBLANK(A451),"Missing Value",
  OR(E451&lt;1,E451&gt;5),"Review – Out of Range (Satisfaction)",
  ISNA(MATCH(B451,Customer_Master!$A$2:$A$1649,0)),"Retained – Unmatched ID (Anonymous Feedback Rule)",
  TRUE,"OK"
)</f>
        <v>OK</v>
      </c>
      <c r="I451" s="18" t="b">
        <f>IF(COUNTIF(Customer_Master!$A:$A,B451)=0,TRUE,FALSE)</f>
        <v>0</v>
      </c>
    </row>
    <row r="452" spans="1:9" ht="33.6" x14ac:dyDescent="0.3">
      <c r="A452" s="11" t="s">
        <v>8534</v>
      </c>
      <c r="B452" s="11" t="s">
        <v>8535</v>
      </c>
      <c r="C452" s="12">
        <v>44670</v>
      </c>
      <c r="D452" s="11" t="s">
        <v>7978</v>
      </c>
      <c r="E452" s="11">
        <v>1</v>
      </c>
      <c r="F452" s="11" t="s">
        <v>45</v>
      </c>
      <c r="G452" s="11" t="s">
        <v>45</v>
      </c>
      <c r="H452" s="31" t="str" cm="1">
        <f t="array" ref="H452">_xlfn.IFS(
  ISBLANK(A452),"Missing Value",
  OR(E452&lt;1,E452&gt;5),"Review – Out of Range (Satisfaction)",
  ISNA(MATCH(B452,Customer_Master!$A$2:$A$1649,0)),"Retained – Unmatched ID (Anonymous Feedback Rule)",
  TRUE,"OK"
)</f>
        <v>Retained – Unmatched ID (Anonymous Feedback Rule)</v>
      </c>
      <c r="I452" s="17" t="b">
        <f>IF(COUNTIF(Customer_Master!$A:$A,B452)=0,TRUE,FALSE)</f>
        <v>1</v>
      </c>
    </row>
    <row r="453" spans="1:9" ht="16.8" x14ac:dyDescent="0.3">
      <c r="A453" s="14" t="s">
        <v>8536</v>
      </c>
      <c r="B453" s="14" t="s">
        <v>1241</v>
      </c>
      <c r="C453" s="15">
        <v>44767</v>
      </c>
      <c r="D453" s="14" t="s">
        <v>7940</v>
      </c>
      <c r="E453" s="14">
        <v>5</v>
      </c>
      <c r="F453" s="14" t="s">
        <v>46</v>
      </c>
      <c r="G453" s="14" t="s">
        <v>46</v>
      </c>
      <c r="H453" s="31" t="str" cm="1">
        <f t="array" ref="H453">_xlfn.IFS(
  ISBLANK(A453),"Missing Value",
  OR(E453&lt;1,E453&gt;5),"Review – Out of Range (Satisfaction)",
  ISNA(MATCH(B453,Customer_Master!$A$2:$A$1649,0)),"Retained – Unmatched ID (Anonymous Feedback Rule)",
  TRUE,"OK"
)</f>
        <v>OK</v>
      </c>
      <c r="I453" s="18" t="b">
        <f>IF(COUNTIF(Customer_Master!$A:$A,B453)=0,TRUE,FALSE)</f>
        <v>0</v>
      </c>
    </row>
    <row r="454" spans="1:9" ht="16.8" x14ac:dyDescent="0.3">
      <c r="A454" s="11" t="s">
        <v>8537</v>
      </c>
      <c r="B454" s="11" t="s">
        <v>450</v>
      </c>
      <c r="C454" s="12">
        <v>44831</v>
      </c>
      <c r="D454" s="11" t="s">
        <v>7940</v>
      </c>
      <c r="E454" s="11">
        <v>4</v>
      </c>
      <c r="F454" s="11" t="s">
        <v>46</v>
      </c>
      <c r="G454" s="11" t="s">
        <v>45</v>
      </c>
      <c r="H454" s="31" t="str" cm="1">
        <f t="array" ref="H454">_xlfn.IFS(
  ISBLANK(A454),"Missing Value",
  OR(E454&lt;1,E454&gt;5),"Review – Out of Range (Satisfaction)",
  ISNA(MATCH(B454,Customer_Master!$A$2:$A$1649,0)),"Retained – Unmatched ID (Anonymous Feedback Rule)",
  TRUE,"OK"
)</f>
        <v>OK</v>
      </c>
      <c r="I454" s="17" t="b">
        <f>IF(COUNTIF(Customer_Master!$A:$A,B454)=0,TRUE,FALSE)</f>
        <v>0</v>
      </c>
    </row>
    <row r="455" spans="1:9" ht="16.8" x14ac:dyDescent="0.3">
      <c r="A455" s="14" t="s">
        <v>8538</v>
      </c>
      <c r="B455" s="14" t="s">
        <v>3015</v>
      </c>
      <c r="C455" s="15">
        <v>45195</v>
      </c>
      <c r="D455" s="14" t="s">
        <v>7978</v>
      </c>
      <c r="E455" s="14">
        <v>1</v>
      </c>
      <c r="F455" s="14" t="s">
        <v>46</v>
      </c>
      <c r="G455" s="14" t="s">
        <v>45</v>
      </c>
      <c r="H455" s="31" t="str" cm="1">
        <f t="array" ref="H455">_xlfn.IFS(
  ISBLANK(A455),"Missing Value",
  OR(E455&lt;1,E455&gt;5),"Review – Out of Range (Satisfaction)",
  ISNA(MATCH(B455,Customer_Master!$A$2:$A$1649,0)),"Retained – Unmatched ID (Anonymous Feedback Rule)",
  TRUE,"OK"
)</f>
        <v>OK</v>
      </c>
      <c r="I455" s="18" t="b">
        <f>IF(COUNTIF(Customer_Master!$A:$A,B455)=0,TRUE,FALSE)</f>
        <v>0</v>
      </c>
    </row>
    <row r="456" spans="1:9" ht="33.6" x14ac:dyDescent="0.3">
      <c r="A456" s="11" t="s">
        <v>8539</v>
      </c>
      <c r="B456" s="11" t="s">
        <v>8540</v>
      </c>
      <c r="C456" s="12">
        <v>44744</v>
      </c>
      <c r="D456" s="11" t="s">
        <v>7943</v>
      </c>
      <c r="E456" s="11">
        <v>3</v>
      </c>
      <c r="F456" s="11" t="s">
        <v>45</v>
      </c>
      <c r="G456" s="11" t="s">
        <v>46</v>
      </c>
      <c r="H456" s="31" t="str" cm="1">
        <f t="array" ref="H456">_xlfn.IFS(
  ISBLANK(A456),"Missing Value",
  OR(E456&lt;1,E456&gt;5),"Review – Out of Range (Satisfaction)",
  ISNA(MATCH(B456,Customer_Master!$A$2:$A$1649,0)),"Retained – Unmatched ID (Anonymous Feedback Rule)",
  TRUE,"OK"
)</f>
        <v>Retained – Unmatched ID (Anonymous Feedback Rule)</v>
      </c>
      <c r="I456" s="17" t="b">
        <f>IF(COUNTIF(Customer_Master!$A:$A,B456)=0,TRUE,FALSE)</f>
        <v>1</v>
      </c>
    </row>
    <row r="457" spans="1:9" ht="33.6" x14ac:dyDescent="0.3">
      <c r="A457" s="14" t="s">
        <v>8541</v>
      </c>
      <c r="B457" s="14" t="s">
        <v>8542</v>
      </c>
      <c r="C457" s="15">
        <v>45261</v>
      </c>
      <c r="D457" s="14" t="s">
        <v>7931</v>
      </c>
      <c r="E457" s="14">
        <v>5</v>
      </c>
      <c r="F457" s="14" t="s">
        <v>45</v>
      </c>
      <c r="G457" s="14" t="s">
        <v>45</v>
      </c>
      <c r="H457" s="31" t="str" cm="1">
        <f t="array" ref="H457">_xlfn.IFS(
  ISBLANK(A457),"Missing Value",
  OR(E457&lt;1,E457&gt;5),"Review – Out of Range (Satisfaction)",
  ISNA(MATCH(B457,Customer_Master!$A$2:$A$1649,0)),"Retained – Unmatched ID (Anonymous Feedback Rule)",
  TRUE,"OK"
)</f>
        <v>Retained – Unmatched ID (Anonymous Feedback Rule)</v>
      </c>
      <c r="I457" s="18" t="b">
        <f>IF(COUNTIF(Customer_Master!$A:$A,B457)=0,TRUE,FALSE)</f>
        <v>1</v>
      </c>
    </row>
    <row r="458" spans="1:9" ht="16.8" x14ac:dyDescent="0.3">
      <c r="A458" s="11" t="s">
        <v>8543</v>
      </c>
      <c r="B458" s="11" t="s">
        <v>739</v>
      </c>
      <c r="C458" s="12">
        <v>44792</v>
      </c>
      <c r="D458" s="11" t="s">
        <v>7943</v>
      </c>
      <c r="E458" s="11">
        <v>3</v>
      </c>
      <c r="F458" s="11" t="s">
        <v>46</v>
      </c>
      <c r="G458" s="11" t="s">
        <v>45</v>
      </c>
      <c r="H458" s="31" t="str" cm="1">
        <f t="array" ref="H458">_xlfn.IFS(
  ISBLANK(A458),"Missing Value",
  OR(E458&lt;1,E458&gt;5),"Review – Out of Range (Satisfaction)",
  ISNA(MATCH(B458,Customer_Master!$A$2:$A$1649,0)),"Retained – Unmatched ID (Anonymous Feedback Rule)",
  TRUE,"OK"
)</f>
        <v>OK</v>
      </c>
      <c r="I458" s="17" t="b">
        <f>IF(COUNTIF(Customer_Master!$A:$A,B458)=0,TRUE,FALSE)</f>
        <v>0</v>
      </c>
    </row>
    <row r="459" spans="1:9" ht="33.6" x14ac:dyDescent="0.3">
      <c r="A459" s="14" t="s">
        <v>8544</v>
      </c>
      <c r="B459" s="14" t="s">
        <v>8545</v>
      </c>
      <c r="C459" s="15">
        <v>44151</v>
      </c>
      <c r="D459" s="14" t="s">
        <v>7931</v>
      </c>
      <c r="E459" s="14">
        <v>4</v>
      </c>
      <c r="F459" s="14" t="s">
        <v>46</v>
      </c>
      <c r="G459" s="14" t="s">
        <v>45</v>
      </c>
      <c r="H459" s="31" t="str" cm="1">
        <f t="array" ref="H459">_xlfn.IFS(
  ISBLANK(A459),"Missing Value",
  OR(E459&lt;1,E459&gt;5),"Review – Out of Range (Satisfaction)",
  ISNA(MATCH(B459,Customer_Master!$A$2:$A$1649,0)),"Retained – Unmatched ID (Anonymous Feedback Rule)",
  TRUE,"OK"
)</f>
        <v>Retained – Unmatched ID (Anonymous Feedback Rule)</v>
      </c>
      <c r="I459" s="18" t="b">
        <f>IF(COUNTIF(Customer_Master!$A:$A,B459)=0,TRUE,FALSE)</f>
        <v>1</v>
      </c>
    </row>
    <row r="460" spans="1:9" ht="16.8" x14ac:dyDescent="0.3">
      <c r="A460" s="11" t="s">
        <v>8546</v>
      </c>
      <c r="B460" s="11" t="s">
        <v>422</v>
      </c>
      <c r="C460" s="12">
        <v>44231</v>
      </c>
      <c r="D460" s="11" t="s">
        <v>7935</v>
      </c>
      <c r="E460" s="11">
        <v>4</v>
      </c>
      <c r="F460" s="11" t="s">
        <v>45</v>
      </c>
      <c r="G460" s="11" t="s">
        <v>45</v>
      </c>
      <c r="H460" s="31" t="str" cm="1">
        <f t="array" ref="H460">_xlfn.IFS(
  ISBLANK(A460),"Missing Value",
  OR(E460&lt;1,E460&gt;5),"Review – Out of Range (Satisfaction)",
  ISNA(MATCH(B460,Customer_Master!$A$2:$A$1649,0)),"Retained – Unmatched ID (Anonymous Feedback Rule)",
  TRUE,"OK"
)</f>
        <v>OK</v>
      </c>
      <c r="I460" s="17" t="b">
        <f>IF(COUNTIF(Customer_Master!$A:$A,B460)=0,TRUE,FALSE)</f>
        <v>0</v>
      </c>
    </row>
    <row r="461" spans="1:9" ht="33.6" x14ac:dyDescent="0.3">
      <c r="A461" s="14" t="s">
        <v>8547</v>
      </c>
      <c r="B461" s="14" t="s">
        <v>8548</v>
      </c>
      <c r="C461" s="15">
        <v>44749</v>
      </c>
      <c r="D461" s="14" t="s">
        <v>7943</v>
      </c>
      <c r="E461" s="14">
        <v>3</v>
      </c>
      <c r="F461" s="14" t="s">
        <v>46</v>
      </c>
      <c r="G461" s="14" t="s">
        <v>45</v>
      </c>
      <c r="H461" s="31" t="str" cm="1">
        <f t="array" ref="H461">_xlfn.IFS(
  ISBLANK(A461),"Missing Value",
  OR(E461&lt;1,E461&gt;5),"Review – Out of Range (Satisfaction)",
  ISNA(MATCH(B461,Customer_Master!$A$2:$A$1649,0)),"Retained – Unmatched ID (Anonymous Feedback Rule)",
  TRUE,"OK"
)</f>
        <v>Retained – Unmatched ID (Anonymous Feedback Rule)</v>
      </c>
      <c r="I461" s="18" t="b">
        <f>IF(COUNTIF(Customer_Master!$A:$A,B461)=0,TRUE,FALSE)</f>
        <v>1</v>
      </c>
    </row>
    <row r="462" spans="1:9" ht="16.8" x14ac:dyDescent="0.3">
      <c r="A462" s="11" t="s">
        <v>8549</v>
      </c>
      <c r="B462" s="11" t="s">
        <v>1101</v>
      </c>
      <c r="C462" s="12">
        <v>44763</v>
      </c>
      <c r="D462" s="11" t="s">
        <v>7931</v>
      </c>
      <c r="E462" s="11">
        <v>4</v>
      </c>
      <c r="F462" s="11" t="s">
        <v>45</v>
      </c>
      <c r="G462" s="11" t="s">
        <v>45</v>
      </c>
      <c r="H462" s="31" t="str" cm="1">
        <f t="array" ref="H462">_xlfn.IFS(
  ISBLANK(A462),"Missing Value",
  OR(E462&lt;1,E462&gt;5),"Review – Out of Range (Satisfaction)",
  ISNA(MATCH(B462,Customer_Master!$A$2:$A$1649,0)),"Retained – Unmatched ID (Anonymous Feedback Rule)",
  TRUE,"OK"
)</f>
        <v>OK</v>
      </c>
      <c r="I462" s="17" t="b">
        <f>IF(COUNTIF(Customer_Master!$A:$A,B462)=0,TRUE,FALSE)</f>
        <v>0</v>
      </c>
    </row>
    <row r="463" spans="1:9" ht="16.8" x14ac:dyDescent="0.3">
      <c r="A463" s="14" t="s">
        <v>8550</v>
      </c>
      <c r="B463" s="14" t="s">
        <v>1777</v>
      </c>
      <c r="C463" s="15">
        <v>44207</v>
      </c>
      <c r="D463" s="14" t="s">
        <v>7947</v>
      </c>
      <c r="E463" s="14">
        <v>5</v>
      </c>
      <c r="F463" s="14" t="s">
        <v>45</v>
      </c>
      <c r="G463" s="14" t="s">
        <v>46</v>
      </c>
      <c r="H463" s="31" t="str" cm="1">
        <f t="array" ref="H463">_xlfn.IFS(
  ISBLANK(A463),"Missing Value",
  OR(E463&lt;1,E463&gt;5),"Review – Out of Range (Satisfaction)",
  ISNA(MATCH(B463,Customer_Master!$A$2:$A$1649,0)),"Retained – Unmatched ID (Anonymous Feedback Rule)",
  TRUE,"OK"
)</f>
        <v>OK</v>
      </c>
      <c r="I463" s="18" t="b">
        <f>IF(COUNTIF(Customer_Master!$A:$A,B463)=0,TRUE,FALSE)</f>
        <v>0</v>
      </c>
    </row>
    <row r="464" spans="1:9" ht="16.8" x14ac:dyDescent="0.3">
      <c r="A464" s="11" t="s">
        <v>8551</v>
      </c>
      <c r="B464" s="11" t="s">
        <v>1101</v>
      </c>
      <c r="C464" s="12">
        <v>43883</v>
      </c>
      <c r="D464" s="11" t="s">
        <v>7931</v>
      </c>
      <c r="E464" s="11">
        <v>4</v>
      </c>
      <c r="F464" s="11" t="s">
        <v>45</v>
      </c>
      <c r="G464" s="11" t="s">
        <v>45</v>
      </c>
      <c r="H464" s="31" t="str" cm="1">
        <f t="array" ref="H464">_xlfn.IFS(
  ISBLANK(A464),"Missing Value",
  OR(E464&lt;1,E464&gt;5),"Review – Out of Range (Satisfaction)",
  ISNA(MATCH(B464,Customer_Master!$A$2:$A$1649,0)),"Retained – Unmatched ID (Anonymous Feedback Rule)",
  TRUE,"OK"
)</f>
        <v>OK</v>
      </c>
      <c r="I464" s="17" t="b">
        <f>IF(COUNTIF(Customer_Master!$A:$A,B464)=0,TRUE,FALSE)</f>
        <v>0</v>
      </c>
    </row>
    <row r="465" spans="1:9" ht="33.6" x14ac:dyDescent="0.3">
      <c r="A465" s="14" t="s">
        <v>8552</v>
      </c>
      <c r="B465" s="14" t="s">
        <v>8553</v>
      </c>
      <c r="C465" s="15">
        <v>44981</v>
      </c>
      <c r="D465" s="14" t="s">
        <v>7947</v>
      </c>
      <c r="E465" s="14">
        <v>3</v>
      </c>
      <c r="F465" s="14" t="s">
        <v>46</v>
      </c>
      <c r="G465" s="14" t="s">
        <v>46</v>
      </c>
      <c r="H465" s="31" t="str" cm="1">
        <f t="array" ref="H465">_xlfn.IFS(
  ISBLANK(A465),"Missing Value",
  OR(E465&lt;1,E465&gt;5),"Review – Out of Range (Satisfaction)",
  ISNA(MATCH(B465,Customer_Master!$A$2:$A$1649,0)),"Retained – Unmatched ID (Anonymous Feedback Rule)",
  TRUE,"OK"
)</f>
        <v>Retained – Unmatched ID (Anonymous Feedback Rule)</v>
      </c>
      <c r="I465" s="18" t="b">
        <f>IF(COUNTIF(Customer_Master!$A:$A,B465)=0,TRUE,FALSE)</f>
        <v>1</v>
      </c>
    </row>
    <row r="466" spans="1:9" ht="33.6" x14ac:dyDescent="0.3">
      <c r="A466" s="11" t="s">
        <v>8554</v>
      </c>
      <c r="B466" s="11" t="s">
        <v>8555</v>
      </c>
      <c r="C466" s="12">
        <v>43865</v>
      </c>
      <c r="D466" s="11" t="s">
        <v>7947</v>
      </c>
      <c r="E466" s="11">
        <v>5</v>
      </c>
      <c r="F466" s="11" t="s">
        <v>45</v>
      </c>
      <c r="G466" s="11" t="s">
        <v>46</v>
      </c>
      <c r="H466" s="31" t="str" cm="1">
        <f t="array" ref="H466">_xlfn.IFS(
  ISBLANK(A466),"Missing Value",
  OR(E466&lt;1,E466&gt;5),"Review – Out of Range (Satisfaction)",
  ISNA(MATCH(B466,Customer_Master!$A$2:$A$1649,0)),"Retained – Unmatched ID (Anonymous Feedback Rule)",
  TRUE,"OK"
)</f>
        <v>Retained – Unmatched ID (Anonymous Feedback Rule)</v>
      </c>
      <c r="I466" s="17" t="b">
        <f>IF(COUNTIF(Customer_Master!$A:$A,B466)=0,TRUE,FALSE)</f>
        <v>1</v>
      </c>
    </row>
    <row r="467" spans="1:9" ht="16.8" x14ac:dyDescent="0.3">
      <c r="A467" s="14" t="s">
        <v>8556</v>
      </c>
      <c r="B467" s="14" t="s">
        <v>637</v>
      </c>
      <c r="C467" s="15">
        <v>44320</v>
      </c>
      <c r="D467" s="14" t="s">
        <v>7928</v>
      </c>
      <c r="E467" s="14">
        <v>3</v>
      </c>
      <c r="F467" s="14" t="s">
        <v>46</v>
      </c>
      <c r="G467" s="14" t="s">
        <v>45</v>
      </c>
      <c r="H467" s="31" t="str" cm="1">
        <f t="array" ref="H467">_xlfn.IFS(
  ISBLANK(A467),"Missing Value",
  OR(E467&lt;1,E467&gt;5),"Review – Out of Range (Satisfaction)",
  ISNA(MATCH(B467,Customer_Master!$A$2:$A$1649,0)),"Retained – Unmatched ID (Anonymous Feedback Rule)",
  TRUE,"OK"
)</f>
        <v>OK</v>
      </c>
      <c r="I467" s="18" t="b">
        <f>IF(COUNTIF(Customer_Master!$A:$A,B467)=0,TRUE,FALSE)</f>
        <v>0</v>
      </c>
    </row>
    <row r="468" spans="1:9" ht="33.6" x14ac:dyDescent="0.3">
      <c r="A468" s="11" t="s">
        <v>8557</v>
      </c>
      <c r="B468" s="11" t="s">
        <v>8256</v>
      </c>
      <c r="C468" s="12">
        <v>44820</v>
      </c>
      <c r="D468" s="11" t="s">
        <v>7940</v>
      </c>
      <c r="E468" s="11">
        <v>5</v>
      </c>
      <c r="F468" s="11" t="s">
        <v>46</v>
      </c>
      <c r="G468" s="11" t="s">
        <v>45</v>
      </c>
      <c r="H468" s="31" t="str" cm="1">
        <f t="array" ref="H468">_xlfn.IFS(
  ISBLANK(A468),"Missing Value",
  OR(E468&lt;1,E468&gt;5),"Review – Out of Range (Satisfaction)",
  ISNA(MATCH(B468,Customer_Master!$A$2:$A$1649,0)),"Retained – Unmatched ID (Anonymous Feedback Rule)",
  TRUE,"OK"
)</f>
        <v>Retained – Unmatched ID (Anonymous Feedback Rule)</v>
      </c>
      <c r="I468" s="17" t="b">
        <f>IF(COUNTIF(Customer_Master!$A:$A,B468)=0,TRUE,FALSE)</f>
        <v>1</v>
      </c>
    </row>
    <row r="469" spans="1:9" ht="16.8" x14ac:dyDescent="0.3">
      <c r="A469" s="14" t="s">
        <v>8558</v>
      </c>
      <c r="B469" s="14" t="s">
        <v>364</v>
      </c>
      <c r="C469" s="15">
        <v>45156</v>
      </c>
      <c r="D469" s="14" t="s">
        <v>7928</v>
      </c>
      <c r="E469" s="14">
        <v>1</v>
      </c>
      <c r="F469" s="14" t="s">
        <v>46</v>
      </c>
      <c r="G469" s="14" t="s">
        <v>45</v>
      </c>
      <c r="H469" s="31" t="str" cm="1">
        <f t="array" ref="H469">_xlfn.IFS(
  ISBLANK(A469),"Missing Value",
  OR(E469&lt;1,E469&gt;5),"Review – Out of Range (Satisfaction)",
  ISNA(MATCH(B469,Customer_Master!$A$2:$A$1649,0)),"Retained – Unmatched ID (Anonymous Feedback Rule)",
  TRUE,"OK"
)</f>
        <v>OK</v>
      </c>
      <c r="I469" s="18" t="b">
        <f>IF(COUNTIF(Customer_Master!$A:$A,B469)=0,TRUE,FALSE)</f>
        <v>0</v>
      </c>
    </row>
    <row r="470" spans="1:9" ht="16.8" x14ac:dyDescent="0.3">
      <c r="A470" s="11" t="s">
        <v>8559</v>
      </c>
      <c r="B470" s="11" t="s">
        <v>751</v>
      </c>
      <c r="C470" s="12">
        <v>44943</v>
      </c>
      <c r="D470" s="11" t="s">
        <v>7935</v>
      </c>
      <c r="E470" s="11">
        <v>4</v>
      </c>
      <c r="F470" s="11" t="s">
        <v>45</v>
      </c>
      <c r="G470" s="11" t="s">
        <v>46</v>
      </c>
      <c r="H470" s="31" t="str" cm="1">
        <f t="array" ref="H470">_xlfn.IFS(
  ISBLANK(A470),"Missing Value",
  OR(E470&lt;1,E470&gt;5),"Review – Out of Range (Satisfaction)",
  ISNA(MATCH(B470,Customer_Master!$A$2:$A$1649,0)),"Retained – Unmatched ID (Anonymous Feedback Rule)",
  TRUE,"OK"
)</f>
        <v>OK</v>
      </c>
      <c r="I470" s="17" t="b">
        <f>IF(COUNTIF(Customer_Master!$A:$A,B470)=0,TRUE,FALSE)</f>
        <v>0</v>
      </c>
    </row>
    <row r="471" spans="1:9" ht="33.6" x14ac:dyDescent="0.3">
      <c r="A471" s="14" t="s">
        <v>8560</v>
      </c>
      <c r="B471" s="14" t="s">
        <v>8095</v>
      </c>
      <c r="C471" s="15">
        <v>45243</v>
      </c>
      <c r="D471" s="14" t="s">
        <v>7940</v>
      </c>
      <c r="E471" s="14">
        <v>5</v>
      </c>
      <c r="F471" s="14" t="s">
        <v>46</v>
      </c>
      <c r="G471" s="14" t="s">
        <v>45</v>
      </c>
      <c r="H471" s="31" t="str" cm="1">
        <f t="array" ref="H471">_xlfn.IFS(
  ISBLANK(A471),"Missing Value",
  OR(E471&lt;1,E471&gt;5),"Review – Out of Range (Satisfaction)",
  ISNA(MATCH(B471,Customer_Master!$A$2:$A$1649,0)),"Retained – Unmatched ID (Anonymous Feedback Rule)",
  TRUE,"OK"
)</f>
        <v>Retained – Unmatched ID (Anonymous Feedback Rule)</v>
      </c>
      <c r="I471" s="18" t="b">
        <f>IF(COUNTIF(Customer_Master!$A:$A,B471)=0,TRUE,FALSE)</f>
        <v>1</v>
      </c>
    </row>
    <row r="472" spans="1:9" ht="33.6" x14ac:dyDescent="0.3">
      <c r="A472" s="11" t="s">
        <v>8561</v>
      </c>
      <c r="B472" s="11" t="s">
        <v>8562</v>
      </c>
      <c r="C472" s="12">
        <v>44684</v>
      </c>
      <c r="D472" s="11" t="s">
        <v>7933</v>
      </c>
      <c r="E472" s="11">
        <v>3</v>
      </c>
      <c r="F472" s="11" t="s">
        <v>46</v>
      </c>
      <c r="G472" s="11" t="s">
        <v>46</v>
      </c>
      <c r="H472" s="31" t="str" cm="1">
        <f t="array" ref="H472">_xlfn.IFS(
  ISBLANK(A472),"Missing Value",
  OR(E472&lt;1,E472&gt;5),"Review – Out of Range (Satisfaction)",
  ISNA(MATCH(B472,Customer_Master!$A$2:$A$1649,0)),"Retained – Unmatched ID (Anonymous Feedback Rule)",
  TRUE,"OK"
)</f>
        <v>Retained – Unmatched ID (Anonymous Feedback Rule)</v>
      </c>
      <c r="I472" s="17" t="b">
        <f>IF(COUNTIF(Customer_Master!$A:$A,B472)=0,TRUE,FALSE)</f>
        <v>1</v>
      </c>
    </row>
    <row r="473" spans="1:9" ht="16.8" x14ac:dyDescent="0.3">
      <c r="A473" s="14" t="s">
        <v>8563</v>
      </c>
      <c r="B473" s="14" t="s">
        <v>474</v>
      </c>
      <c r="C473" s="15">
        <v>43858</v>
      </c>
      <c r="D473" s="14" t="s">
        <v>7937</v>
      </c>
      <c r="E473" s="14">
        <v>4</v>
      </c>
      <c r="F473" s="14" t="s">
        <v>45</v>
      </c>
      <c r="G473" s="14" t="s">
        <v>45</v>
      </c>
      <c r="H473" s="31" t="str" cm="1">
        <f t="array" ref="H473">_xlfn.IFS(
  ISBLANK(A473),"Missing Value",
  OR(E473&lt;1,E473&gt;5),"Review – Out of Range (Satisfaction)",
  ISNA(MATCH(B473,Customer_Master!$A$2:$A$1649,0)),"Retained – Unmatched ID (Anonymous Feedback Rule)",
  TRUE,"OK"
)</f>
        <v>OK</v>
      </c>
      <c r="I473" s="18" t="b">
        <f>IF(COUNTIF(Customer_Master!$A:$A,B473)=0,TRUE,FALSE)</f>
        <v>0</v>
      </c>
    </row>
    <row r="474" spans="1:9" ht="16.8" x14ac:dyDescent="0.3">
      <c r="A474" s="11" t="s">
        <v>8564</v>
      </c>
      <c r="B474" s="11" t="s">
        <v>3078</v>
      </c>
      <c r="C474" s="12">
        <v>44267</v>
      </c>
      <c r="D474" s="11" t="s">
        <v>7947</v>
      </c>
      <c r="E474" s="11">
        <v>4</v>
      </c>
      <c r="F474" s="11" t="s">
        <v>46</v>
      </c>
      <c r="G474" s="11" t="s">
        <v>45</v>
      </c>
      <c r="H474" s="31" t="str" cm="1">
        <f t="array" ref="H474">_xlfn.IFS(
  ISBLANK(A474),"Missing Value",
  OR(E474&lt;1,E474&gt;5),"Review – Out of Range (Satisfaction)",
  ISNA(MATCH(B474,Customer_Master!$A$2:$A$1649,0)),"Retained – Unmatched ID (Anonymous Feedback Rule)",
  TRUE,"OK"
)</f>
        <v>OK</v>
      </c>
      <c r="I474" s="17" t="b">
        <f>IF(COUNTIF(Customer_Master!$A:$A,B474)=0,TRUE,FALSE)</f>
        <v>0</v>
      </c>
    </row>
    <row r="475" spans="1:9" ht="16.8" x14ac:dyDescent="0.3">
      <c r="A475" s="14" t="s">
        <v>8565</v>
      </c>
      <c r="B475" s="14" t="s">
        <v>1715</v>
      </c>
      <c r="C475" s="15">
        <v>44379</v>
      </c>
      <c r="D475" s="14" t="s">
        <v>7937</v>
      </c>
      <c r="E475" s="14">
        <v>5</v>
      </c>
      <c r="F475" s="14" t="s">
        <v>46</v>
      </c>
      <c r="G475" s="14" t="s">
        <v>45</v>
      </c>
      <c r="H475" s="31" t="str" cm="1">
        <f t="array" ref="H475">_xlfn.IFS(
  ISBLANK(A475),"Missing Value",
  OR(E475&lt;1,E475&gt;5),"Review – Out of Range (Satisfaction)",
  ISNA(MATCH(B475,Customer_Master!$A$2:$A$1649,0)),"Retained – Unmatched ID (Anonymous Feedback Rule)",
  TRUE,"OK"
)</f>
        <v>OK</v>
      </c>
      <c r="I475" s="18" t="b">
        <f>IF(COUNTIF(Customer_Master!$A:$A,B475)=0,TRUE,FALSE)</f>
        <v>0</v>
      </c>
    </row>
    <row r="476" spans="1:9" ht="16.8" x14ac:dyDescent="0.3">
      <c r="A476" s="11" t="s">
        <v>8566</v>
      </c>
      <c r="B476" s="11" t="s">
        <v>1735</v>
      </c>
      <c r="C476" s="12">
        <v>44662</v>
      </c>
      <c r="D476" s="11" t="s">
        <v>7935</v>
      </c>
      <c r="E476" s="11">
        <v>5</v>
      </c>
      <c r="F476" s="11" t="s">
        <v>46</v>
      </c>
      <c r="G476" s="11" t="s">
        <v>46</v>
      </c>
      <c r="H476" s="31" t="str" cm="1">
        <f t="array" ref="H476">_xlfn.IFS(
  ISBLANK(A476),"Missing Value",
  OR(E476&lt;1,E476&gt;5),"Review – Out of Range (Satisfaction)",
  ISNA(MATCH(B476,Customer_Master!$A$2:$A$1649,0)),"Retained – Unmatched ID (Anonymous Feedback Rule)",
  TRUE,"OK"
)</f>
        <v>OK</v>
      </c>
      <c r="I476" s="17" t="b">
        <f>IF(COUNTIF(Customer_Master!$A:$A,B476)=0,TRUE,FALSE)</f>
        <v>0</v>
      </c>
    </row>
    <row r="477" spans="1:9" ht="33.6" x14ac:dyDescent="0.3">
      <c r="A477" s="14" t="s">
        <v>8567</v>
      </c>
      <c r="B477" s="14" t="s">
        <v>8568</v>
      </c>
      <c r="C477" s="15">
        <v>44242</v>
      </c>
      <c r="D477" s="14" t="s">
        <v>7937</v>
      </c>
      <c r="E477" s="14">
        <v>5</v>
      </c>
      <c r="F477" s="14" t="s">
        <v>45</v>
      </c>
      <c r="G477" s="14" t="s">
        <v>45</v>
      </c>
      <c r="H477" s="31" t="str" cm="1">
        <f t="array" ref="H477">_xlfn.IFS(
  ISBLANK(A477),"Missing Value",
  OR(E477&lt;1,E477&gt;5),"Review – Out of Range (Satisfaction)",
  ISNA(MATCH(B477,Customer_Master!$A$2:$A$1649,0)),"Retained – Unmatched ID (Anonymous Feedback Rule)",
  TRUE,"OK"
)</f>
        <v>Retained – Unmatched ID (Anonymous Feedback Rule)</v>
      </c>
      <c r="I477" s="18" t="b">
        <f>IF(COUNTIF(Customer_Master!$A:$A,B477)=0,TRUE,FALSE)</f>
        <v>1</v>
      </c>
    </row>
    <row r="478" spans="1:9" ht="16.8" x14ac:dyDescent="0.3">
      <c r="A478" s="11" t="s">
        <v>8569</v>
      </c>
      <c r="B478" s="11" t="s">
        <v>1507</v>
      </c>
      <c r="C478" s="12">
        <v>44227</v>
      </c>
      <c r="D478" s="11" t="s">
        <v>7947</v>
      </c>
      <c r="E478" s="11">
        <v>4</v>
      </c>
      <c r="F478" s="11" t="s">
        <v>45</v>
      </c>
      <c r="G478" s="11" t="s">
        <v>46</v>
      </c>
      <c r="H478" s="31" t="str" cm="1">
        <f t="array" ref="H478">_xlfn.IFS(
  ISBLANK(A478),"Missing Value",
  OR(E478&lt;1,E478&gt;5),"Review – Out of Range (Satisfaction)",
  ISNA(MATCH(B478,Customer_Master!$A$2:$A$1649,0)),"Retained – Unmatched ID (Anonymous Feedback Rule)",
  TRUE,"OK"
)</f>
        <v>OK</v>
      </c>
      <c r="I478" s="17" t="b">
        <f>IF(COUNTIF(Customer_Master!$A:$A,B478)=0,TRUE,FALSE)</f>
        <v>0</v>
      </c>
    </row>
    <row r="479" spans="1:9" ht="16.8" x14ac:dyDescent="0.3">
      <c r="A479" s="14" t="s">
        <v>8570</v>
      </c>
      <c r="B479" s="14" t="s">
        <v>1071</v>
      </c>
      <c r="C479" s="15">
        <v>44885</v>
      </c>
      <c r="D479" s="14" t="s">
        <v>7937</v>
      </c>
      <c r="E479" s="14">
        <v>5</v>
      </c>
      <c r="F479" s="14" t="s">
        <v>46</v>
      </c>
      <c r="G479" s="14" t="s">
        <v>46</v>
      </c>
      <c r="H479" s="31" t="str" cm="1">
        <f t="array" ref="H479">_xlfn.IFS(
  ISBLANK(A479),"Missing Value",
  OR(E479&lt;1,E479&gt;5),"Review – Out of Range (Satisfaction)",
  ISNA(MATCH(B479,Customer_Master!$A$2:$A$1649,0)),"Retained – Unmatched ID (Anonymous Feedback Rule)",
  TRUE,"OK"
)</f>
        <v>OK</v>
      </c>
      <c r="I479" s="18" t="b">
        <f>IF(COUNTIF(Customer_Master!$A:$A,B479)=0,TRUE,FALSE)</f>
        <v>0</v>
      </c>
    </row>
    <row r="480" spans="1:9" ht="33.6" x14ac:dyDescent="0.3">
      <c r="A480" s="11" t="s">
        <v>8571</v>
      </c>
      <c r="B480" s="11" t="s">
        <v>8572</v>
      </c>
      <c r="C480" s="12">
        <v>44810</v>
      </c>
      <c r="D480" s="11" t="s">
        <v>7943</v>
      </c>
      <c r="E480" s="11">
        <v>3</v>
      </c>
      <c r="F480" s="11" t="s">
        <v>45</v>
      </c>
      <c r="G480" s="11" t="s">
        <v>45</v>
      </c>
      <c r="H480" s="31" t="str" cm="1">
        <f t="array" ref="H480">_xlfn.IFS(
  ISBLANK(A480),"Missing Value",
  OR(E480&lt;1,E480&gt;5),"Review – Out of Range (Satisfaction)",
  ISNA(MATCH(B480,Customer_Master!$A$2:$A$1649,0)),"Retained – Unmatched ID (Anonymous Feedback Rule)",
  TRUE,"OK"
)</f>
        <v>Retained – Unmatched ID (Anonymous Feedback Rule)</v>
      </c>
      <c r="I480" s="17" t="b">
        <f>IF(COUNTIF(Customer_Master!$A:$A,B480)=0,TRUE,FALSE)</f>
        <v>1</v>
      </c>
    </row>
    <row r="481" spans="1:9" ht="16.8" x14ac:dyDescent="0.3">
      <c r="A481" s="14" t="s">
        <v>8573</v>
      </c>
      <c r="B481" s="14" t="s">
        <v>1143</v>
      </c>
      <c r="C481" s="15">
        <v>45281</v>
      </c>
      <c r="D481" s="14" t="s">
        <v>7943</v>
      </c>
      <c r="E481" s="14">
        <v>3</v>
      </c>
      <c r="F481" s="14" t="s">
        <v>45</v>
      </c>
      <c r="G481" s="14" t="s">
        <v>46</v>
      </c>
      <c r="H481" s="31" t="str" cm="1">
        <f t="array" ref="H481">_xlfn.IFS(
  ISBLANK(A481),"Missing Value",
  OR(E481&lt;1,E481&gt;5),"Review – Out of Range (Satisfaction)",
  ISNA(MATCH(B481,Customer_Master!$A$2:$A$1649,0)),"Retained – Unmatched ID (Anonymous Feedback Rule)",
  TRUE,"OK"
)</f>
        <v>OK</v>
      </c>
      <c r="I481" s="18" t="b">
        <f>IF(COUNTIF(Customer_Master!$A:$A,B481)=0,TRUE,FALSE)</f>
        <v>0</v>
      </c>
    </row>
    <row r="482" spans="1:9" ht="33.6" x14ac:dyDescent="0.3">
      <c r="A482" s="11" t="s">
        <v>8574</v>
      </c>
      <c r="B482" s="11" t="s">
        <v>8387</v>
      </c>
      <c r="C482" s="12">
        <v>45039</v>
      </c>
      <c r="D482" s="11" t="s">
        <v>7969</v>
      </c>
      <c r="E482" s="11">
        <v>2</v>
      </c>
      <c r="F482" s="11" t="s">
        <v>46</v>
      </c>
      <c r="G482" s="11" t="s">
        <v>45</v>
      </c>
      <c r="H482" s="31" t="str" cm="1">
        <f t="array" ref="H482">_xlfn.IFS(
  ISBLANK(A482),"Missing Value",
  OR(E482&lt;1,E482&gt;5),"Review – Out of Range (Satisfaction)",
  ISNA(MATCH(B482,Customer_Master!$A$2:$A$1649,0)),"Retained – Unmatched ID (Anonymous Feedback Rule)",
  TRUE,"OK"
)</f>
        <v>Retained – Unmatched ID (Anonymous Feedback Rule)</v>
      </c>
      <c r="I482" s="17" t="b">
        <f>IF(COUNTIF(Customer_Master!$A:$A,B482)=0,TRUE,FALSE)</f>
        <v>1</v>
      </c>
    </row>
    <row r="483" spans="1:9" ht="33.6" x14ac:dyDescent="0.3">
      <c r="A483" s="14" t="s">
        <v>8575</v>
      </c>
      <c r="B483" s="14" t="s">
        <v>8576</v>
      </c>
      <c r="C483" s="15">
        <v>44933</v>
      </c>
      <c r="D483" s="14" t="s">
        <v>7935</v>
      </c>
      <c r="E483" s="14">
        <v>4</v>
      </c>
      <c r="F483" s="14" t="s">
        <v>46</v>
      </c>
      <c r="G483" s="14" t="s">
        <v>45</v>
      </c>
      <c r="H483" s="31" t="str" cm="1">
        <f t="array" ref="H483">_xlfn.IFS(
  ISBLANK(A483),"Missing Value",
  OR(E483&lt;1,E483&gt;5),"Review – Out of Range (Satisfaction)",
  ISNA(MATCH(B483,Customer_Master!$A$2:$A$1649,0)),"Retained – Unmatched ID (Anonymous Feedback Rule)",
  TRUE,"OK"
)</f>
        <v>Retained – Unmatched ID (Anonymous Feedback Rule)</v>
      </c>
      <c r="I483" s="18" t="b">
        <f>IF(COUNTIF(Customer_Master!$A:$A,B483)=0,TRUE,FALSE)</f>
        <v>1</v>
      </c>
    </row>
    <row r="484" spans="1:9" ht="33.6" x14ac:dyDescent="0.3">
      <c r="A484" s="11" t="s">
        <v>8577</v>
      </c>
      <c r="B484" s="11" t="s">
        <v>8578</v>
      </c>
      <c r="C484" s="12">
        <v>44523</v>
      </c>
      <c r="D484" s="11" t="s">
        <v>7933</v>
      </c>
      <c r="E484" s="11">
        <v>2</v>
      </c>
      <c r="F484" s="11" t="s">
        <v>45</v>
      </c>
      <c r="G484" s="11" t="s">
        <v>45</v>
      </c>
      <c r="H484" s="31" t="str" cm="1">
        <f t="array" ref="H484">_xlfn.IFS(
  ISBLANK(A484),"Missing Value",
  OR(E484&lt;1,E484&gt;5),"Review – Out of Range (Satisfaction)",
  ISNA(MATCH(B484,Customer_Master!$A$2:$A$1649,0)),"Retained – Unmatched ID (Anonymous Feedback Rule)",
  TRUE,"OK"
)</f>
        <v>Retained – Unmatched ID (Anonymous Feedback Rule)</v>
      </c>
      <c r="I484" s="17" t="b">
        <f>IF(COUNTIF(Customer_Master!$A:$A,B484)=0,TRUE,FALSE)</f>
        <v>1</v>
      </c>
    </row>
    <row r="485" spans="1:9" ht="33.6" x14ac:dyDescent="0.3">
      <c r="A485" s="14" t="s">
        <v>8579</v>
      </c>
      <c r="B485" s="14" t="s">
        <v>8580</v>
      </c>
      <c r="C485" s="15">
        <v>44939</v>
      </c>
      <c r="D485" s="14" t="s">
        <v>7931</v>
      </c>
      <c r="E485" s="14">
        <v>5</v>
      </c>
      <c r="F485" s="14" t="s">
        <v>46</v>
      </c>
      <c r="G485" s="14" t="s">
        <v>45</v>
      </c>
      <c r="H485" s="31" t="str" cm="1">
        <f t="array" ref="H485">_xlfn.IFS(
  ISBLANK(A485),"Missing Value",
  OR(E485&lt;1,E485&gt;5),"Review – Out of Range (Satisfaction)",
  ISNA(MATCH(B485,Customer_Master!$A$2:$A$1649,0)),"Retained – Unmatched ID (Anonymous Feedback Rule)",
  TRUE,"OK"
)</f>
        <v>Retained – Unmatched ID (Anonymous Feedback Rule)</v>
      </c>
      <c r="I485" s="18" t="b">
        <f>IF(COUNTIF(Customer_Master!$A:$A,B485)=0,TRUE,FALSE)</f>
        <v>1</v>
      </c>
    </row>
    <row r="486" spans="1:9" ht="33.6" x14ac:dyDescent="0.3">
      <c r="A486" s="11" t="s">
        <v>8581</v>
      </c>
      <c r="B486" s="11" t="s">
        <v>8582</v>
      </c>
      <c r="C486" s="12">
        <v>45166</v>
      </c>
      <c r="D486" s="11" t="s">
        <v>7978</v>
      </c>
      <c r="E486" s="11">
        <v>1</v>
      </c>
      <c r="F486" s="11" t="s">
        <v>46</v>
      </c>
      <c r="G486" s="11" t="s">
        <v>46</v>
      </c>
      <c r="H486" s="31" t="str" cm="1">
        <f t="array" ref="H486">_xlfn.IFS(
  ISBLANK(A486),"Missing Value",
  OR(E486&lt;1,E486&gt;5),"Review – Out of Range (Satisfaction)",
  ISNA(MATCH(B486,Customer_Master!$A$2:$A$1649,0)),"Retained – Unmatched ID (Anonymous Feedback Rule)",
  TRUE,"OK"
)</f>
        <v>Retained – Unmatched ID (Anonymous Feedback Rule)</v>
      </c>
      <c r="I486" s="17" t="b">
        <f>IF(COUNTIF(Customer_Master!$A:$A,B486)=0,TRUE,FALSE)</f>
        <v>1</v>
      </c>
    </row>
    <row r="487" spans="1:9" ht="33.6" x14ac:dyDescent="0.3">
      <c r="A487" s="14" t="s">
        <v>8583</v>
      </c>
      <c r="B487" s="14" t="s">
        <v>8584</v>
      </c>
      <c r="C487" s="15">
        <v>44101</v>
      </c>
      <c r="D487" s="14" t="s">
        <v>7933</v>
      </c>
      <c r="E487" s="14">
        <v>3</v>
      </c>
      <c r="F487" s="14" t="s">
        <v>45</v>
      </c>
      <c r="G487" s="14" t="s">
        <v>46</v>
      </c>
      <c r="H487" s="31" t="str" cm="1">
        <f t="array" ref="H487">_xlfn.IFS(
  ISBLANK(A487),"Missing Value",
  OR(E487&lt;1,E487&gt;5),"Review – Out of Range (Satisfaction)",
  ISNA(MATCH(B487,Customer_Master!$A$2:$A$1649,0)),"Retained – Unmatched ID (Anonymous Feedback Rule)",
  TRUE,"OK"
)</f>
        <v>Retained – Unmatched ID (Anonymous Feedback Rule)</v>
      </c>
      <c r="I487" s="18" t="b">
        <f>IF(COUNTIF(Customer_Master!$A:$A,B487)=0,TRUE,FALSE)</f>
        <v>1</v>
      </c>
    </row>
    <row r="488" spans="1:9" ht="16.8" x14ac:dyDescent="0.3">
      <c r="A488" s="11" t="s">
        <v>8585</v>
      </c>
      <c r="B488" s="11" t="s">
        <v>1005</v>
      </c>
      <c r="C488" s="12">
        <v>45222</v>
      </c>
      <c r="D488" s="11" t="s">
        <v>7931</v>
      </c>
      <c r="E488" s="11">
        <v>5</v>
      </c>
      <c r="F488" s="11" t="s">
        <v>45</v>
      </c>
      <c r="G488" s="11" t="s">
        <v>46</v>
      </c>
      <c r="H488" s="31" t="str" cm="1">
        <f t="array" ref="H488">_xlfn.IFS(
  ISBLANK(A488),"Missing Value",
  OR(E488&lt;1,E488&gt;5),"Review – Out of Range (Satisfaction)",
  ISNA(MATCH(B488,Customer_Master!$A$2:$A$1649,0)),"Retained – Unmatched ID (Anonymous Feedback Rule)",
  TRUE,"OK"
)</f>
        <v>OK</v>
      </c>
      <c r="I488" s="17" t="b">
        <f>IF(COUNTIF(Customer_Master!$A:$A,B488)=0,TRUE,FALSE)</f>
        <v>0</v>
      </c>
    </row>
    <row r="489" spans="1:9" ht="33.6" x14ac:dyDescent="0.3">
      <c r="A489" s="14" t="s">
        <v>8586</v>
      </c>
      <c r="B489" s="14" t="s">
        <v>8587</v>
      </c>
      <c r="C489" s="15">
        <v>45141</v>
      </c>
      <c r="D489" s="14" t="s">
        <v>7931</v>
      </c>
      <c r="E489" s="14">
        <v>5</v>
      </c>
      <c r="F489" s="14" t="s">
        <v>45</v>
      </c>
      <c r="G489" s="14" t="s">
        <v>45</v>
      </c>
      <c r="H489" s="31" t="str" cm="1">
        <f t="array" ref="H489">_xlfn.IFS(
  ISBLANK(A489),"Missing Value",
  OR(E489&lt;1,E489&gt;5),"Review – Out of Range (Satisfaction)",
  ISNA(MATCH(B489,Customer_Master!$A$2:$A$1649,0)),"Retained – Unmatched ID (Anonymous Feedback Rule)",
  TRUE,"OK"
)</f>
        <v>Retained – Unmatched ID (Anonymous Feedback Rule)</v>
      </c>
      <c r="I489" s="18" t="b">
        <f>IF(COUNTIF(Customer_Master!$A:$A,B489)=0,TRUE,FALSE)</f>
        <v>1</v>
      </c>
    </row>
    <row r="490" spans="1:9" ht="16.8" x14ac:dyDescent="0.3">
      <c r="A490" s="11" t="s">
        <v>8588</v>
      </c>
      <c r="B490" s="11" t="s">
        <v>2829</v>
      </c>
      <c r="C490" s="12">
        <v>44269</v>
      </c>
      <c r="D490" s="11" t="s">
        <v>7928</v>
      </c>
      <c r="E490" s="11">
        <v>2</v>
      </c>
      <c r="F490" s="11" t="s">
        <v>46</v>
      </c>
      <c r="G490" s="11" t="s">
        <v>45</v>
      </c>
      <c r="H490" s="31" t="str" cm="1">
        <f t="array" ref="H490">_xlfn.IFS(
  ISBLANK(A490),"Missing Value",
  OR(E490&lt;1,E490&gt;5),"Review – Out of Range (Satisfaction)",
  ISNA(MATCH(B490,Customer_Master!$A$2:$A$1649,0)),"Retained – Unmatched ID (Anonymous Feedback Rule)",
  TRUE,"OK"
)</f>
        <v>OK</v>
      </c>
      <c r="I490" s="17" t="b">
        <f>IF(COUNTIF(Customer_Master!$A:$A,B490)=0,TRUE,FALSE)</f>
        <v>0</v>
      </c>
    </row>
    <row r="491" spans="1:9" ht="33.6" x14ac:dyDescent="0.3">
      <c r="A491" s="14" t="s">
        <v>8589</v>
      </c>
      <c r="B491" s="14" t="s">
        <v>8590</v>
      </c>
      <c r="C491" s="15">
        <v>44889</v>
      </c>
      <c r="D491" s="14" t="s">
        <v>7935</v>
      </c>
      <c r="E491" s="14">
        <v>4</v>
      </c>
      <c r="F491" s="14" t="s">
        <v>46</v>
      </c>
      <c r="G491" s="14" t="s">
        <v>45</v>
      </c>
      <c r="H491" s="31" t="str" cm="1">
        <f t="array" ref="H491">_xlfn.IFS(
  ISBLANK(A491),"Missing Value",
  OR(E491&lt;1,E491&gt;5),"Review – Out of Range (Satisfaction)",
  ISNA(MATCH(B491,Customer_Master!$A$2:$A$1649,0)),"Retained – Unmatched ID (Anonymous Feedback Rule)",
  TRUE,"OK"
)</f>
        <v>Retained – Unmatched ID (Anonymous Feedback Rule)</v>
      </c>
      <c r="I491" s="18" t="b">
        <f>IF(COUNTIF(Customer_Master!$A:$A,B491)=0,TRUE,FALSE)</f>
        <v>1</v>
      </c>
    </row>
    <row r="492" spans="1:9" ht="33.6" x14ac:dyDescent="0.3">
      <c r="A492" s="11" t="s">
        <v>8591</v>
      </c>
      <c r="B492" s="11" t="s">
        <v>8592</v>
      </c>
      <c r="C492" s="12">
        <v>45095</v>
      </c>
      <c r="D492" s="11" t="s">
        <v>7928</v>
      </c>
      <c r="E492" s="11">
        <v>2</v>
      </c>
      <c r="F492" s="11" t="s">
        <v>45</v>
      </c>
      <c r="G492" s="11" t="s">
        <v>46</v>
      </c>
      <c r="H492" s="31" t="str" cm="1">
        <f t="array" ref="H492">_xlfn.IFS(
  ISBLANK(A492),"Missing Value",
  OR(E492&lt;1,E492&gt;5),"Review – Out of Range (Satisfaction)",
  ISNA(MATCH(B492,Customer_Master!$A$2:$A$1649,0)),"Retained – Unmatched ID (Anonymous Feedback Rule)",
  TRUE,"OK"
)</f>
        <v>Retained – Unmatched ID (Anonymous Feedback Rule)</v>
      </c>
      <c r="I492" s="17" t="b">
        <f>IF(COUNTIF(Customer_Master!$A:$A,B492)=0,TRUE,FALSE)</f>
        <v>1</v>
      </c>
    </row>
    <row r="493" spans="1:9" ht="16.8" x14ac:dyDescent="0.3">
      <c r="A493" s="14" t="s">
        <v>8593</v>
      </c>
      <c r="B493" s="14" t="s">
        <v>957</v>
      </c>
      <c r="C493" s="15">
        <v>44327</v>
      </c>
      <c r="D493" s="14" t="s">
        <v>7935</v>
      </c>
      <c r="E493" s="14">
        <v>5</v>
      </c>
      <c r="F493" s="14" t="s">
        <v>46</v>
      </c>
      <c r="G493" s="14" t="s">
        <v>46</v>
      </c>
      <c r="H493" s="31" t="str" cm="1">
        <f t="array" ref="H493">_xlfn.IFS(
  ISBLANK(A493),"Missing Value",
  OR(E493&lt;1,E493&gt;5),"Review – Out of Range (Satisfaction)",
  ISNA(MATCH(B493,Customer_Master!$A$2:$A$1649,0)),"Retained – Unmatched ID (Anonymous Feedback Rule)",
  TRUE,"OK"
)</f>
        <v>OK</v>
      </c>
      <c r="I493" s="18" t="b">
        <f>IF(COUNTIF(Customer_Master!$A:$A,B493)=0,TRUE,FALSE)</f>
        <v>0</v>
      </c>
    </row>
    <row r="494" spans="1:9" ht="33.6" x14ac:dyDescent="0.3">
      <c r="A494" s="11" t="s">
        <v>8594</v>
      </c>
      <c r="B494" s="11" t="s">
        <v>8595</v>
      </c>
      <c r="C494" s="12">
        <v>44641</v>
      </c>
      <c r="D494" s="11" t="s">
        <v>7947</v>
      </c>
      <c r="E494" s="11">
        <v>4</v>
      </c>
      <c r="F494" s="11" t="s">
        <v>46</v>
      </c>
      <c r="G494" s="11" t="s">
        <v>45</v>
      </c>
      <c r="H494" s="31" t="str" cm="1">
        <f t="array" ref="H494">_xlfn.IFS(
  ISBLANK(A494),"Missing Value",
  OR(E494&lt;1,E494&gt;5),"Review – Out of Range (Satisfaction)",
  ISNA(MATCH(B494,Customer_Master!$A$2:$A$1649,0)),"Retained – Unmatched ID (Anonymous Feedback Rule)",
  TRUE,"OK"
)</f>
        <v>Retained – Unmatched ID (Anonymous Feedback Rule)</v>
      </c>
      <c r="I494" s="17" t="b">
        <f>IF(COUNTIF(Customer_Master!$A:$A,B494)=0,TRUE,FALSE)</f>
        <v>1</v>
      </c>
    </row>
    <row r="495" spans="1:9" ht="16.8" x14ac:dyDescent="0.3">
      <c r="A495" s="14" t="s">
        <v>8596</v>
      </c>
      <c r="B495" s="14" t="s">
        <v>2009</v>
      </c>
      <c r="C495" s="15">
        <v>44747</v>
      </c>
      <c r="D495" s="14" t="s">
        <v>7933</v>
      </c>
      <c r="E495" s="14">
        <v>3</v>
      </c>
      <c r="F495" s="14" t="s">
        <v>46</v>
      </c>
      <c r="G495" s="14" t="s">
        <v>46</v>
      </c>
      <c r="H495" s="31" t="str" cm="1">
        <f t="array" ref="H495">_xlfn.IFS(
  ISBLANK(A495),"Missing Value",
  OR(E495&lt;1,E495&gt;5),"Review – Out of Range (Satisfaction)",
  ISNA(MATCH(B495,Customer_Master!$A$2:$A$1649,0)),"Retained – Unmatched ID (Anonymous Feedback Rule)",
  TRUE,"OK"
)</f>
        <v>OK</v>
      </c>
      <c r="I495" s="18" t="b">
        <f>IF(COUNTIF(Customer_Master!$A:$A,B495)=0,TRUE,FALSE)</f>
        <v>0</v>
      </c>
    </row>
    <row r="496" spans="1:9" ht="16.8" x14ac:dyDescent="0.3">
      <c r="A496" s="11" t="s">
        <v>8597</v>
      </c>
      <c r="B496" s="11" t="s">
        <v>637</v>
      </c>
      <c r="C496" s="12">
        <v>45216</v>
      </c>
      <c r="D496" s="11" t="s">
        <v>7935</v>
      </c>
      <c r="E496" s="11">
        <v>5</v>
      </c>
      <c r="F496" s="11" t="s">
        <v>46</v>
      </c>
      <c r="G496" s="11" t="s">
        <v>46</v>
      </c>
      <c r="H496" s="31" t="str" cm="1">
        <f t="array" ref="H496">_xlfn.IFS(
  ISBLANK(A496),"Missing Value",
  OR(E496&lt;1,E496&gt;5),"Review – Out of Range (Satisfaction)",
  ISNA(MATCH(B496,Customer_Master!$A$2:$A$1649,0)),"Retained – Unmatched ID (Anonymous Feedback Rule)",
  TRUE,"OK"
)</f>
        <v>OK</v>
      </c>
      <c r="I496" s="17" t="b">
        <f>IF(COUNTIF(Customer_Master!$A:$A,B496)=0,TRUE,FALSE)</f>
        <v>0</v>
      </c>
    </row>
    <row r="497" spans="1:9" ht="16.8" x14ac:dyDescent="0.3">
      <c r="A497" s="14" t="s">
        <v>8598</v>
      </c>
      <c r="B497" s="14" t="s">
        <v>2329</v>
      </c>
      <c r="C497" s="15">
        <v>44075</v>
      </c>
      <c r="D497" s="14" t="s">
        <v>7931</v>
      </c>
      <c r="E497" s="14">
        <v>4</v>
      </c>
      <c r="F497" s="14" t="s">
        <v>45</v>
      </c>
      <c r="G497" s="14" t="s">
        <v>46</v>
      </c>
      <c r="H497" s="31" t="str" cm="1">
        <f t="array" ref="H497">_xlfn.IFS(
  ISBLANK(A497),"Missing Value",
  OR(E497&lt;1,E497&gt;5),"Review – Out of Range (Satisfaction)",
  ISNA(MATCH(B497,Customer_Master!$A$2:$A$1649,0)),"Retained – Unmatched ID (Anonymous Feedback Rule)",
  TRUE,"OK"
)</f>
        <v>OK</v>
      </c>
      <c r="I497" s="18" t="b">
        <f>IF(COUNTIF(Customer_Master!$A:$A,B497)=0,TRUE,FALSE)</f>
        <v>0</v>
      </c>
    </row>
    <row r="498" spans="1:9" ht="16.8" x14ac:dyDescent="0.3">
      <c r="A498" s="11" t="s">
        <v>8599</v>
      </c>
      <c r="B498" s="11" t="s">
        <v>2101</v>
      </c>
      <c r="C498" s="12">
        <v>44242</v>
      </c>
      <c r="D498" s="11" t="s">
        <v>7933</v>
      </c>
      <c r="E498" s="11">
        <v>2</v>
      </c>
      <c r="F498" s="11" t="s">
        <v>45</v>
      </c>
      <c r="G498" s="11" t="s">
        <v>45</v>
      </c>
      <c r="H498" s="31" t="str" cm="1">
        <f t="array" ref="H498">_xlfn.IFS(
  ISBLANK(A498),"Missing Value",
  OR(E498&lt;1,E498&gt;5),"Review – Out of Range (Satisfaction)",
  ISNA(MATCH(B498,Customer_Master!$A$2:$A$1649,0)),"Retained – Unmatched ID (Anonymous Feedback Rule)",
  TRUE,"OK"
)</f>
        <v>OK</v>
      </c>
      <c r="I498" s="17" t="b">
        <f>IF(COUNTIF(Customer_Master!$A:$A,B498)=0,TRUE,FALSE)</f>
        <v>0</v>
      </c>
    </row>
    <row r="499" spans="1:9" ht="16.8" x14ac:dyDescent="0.3">
      <c r="A499" s="14" t="s">
        <v>8600</v>
      </c>
      <c r="B499" s="14" t="s">
        <v>2849</v>
      </c>
      <c r="C499" s="15">
        <v>44319</v>
      </c>
      <c r="D499" s="14" t="s">
        <v>7969</v>
      </c>
      <c r="E499" s="14">
        <v>1</v>
      </c>
      <c r="F499" s="14" t="s">
        <v>45</v>
      </c>
      <c r="G499" s="14" t="s">
        <v>46</v>
      </c>
      <c r="H499" s="31" t="str" cm="1">
        <f t="array" ref="H499">_xlfn.IFS(
  ISBLANK(A499),"Missing Value",
  OR(E499&lt;1,E499&gt;5),"Review – Out of Range (Satisfaction)",
  ISNA(MATCH(B499,Customer_Master!$A$2:$A$1649,0)),"Retained – Unmatched ID (Anonymous Feedback Rule)",
  TRUE,"OK"
)</f>
        <v>OK</v>
      </c>
      <c r="I499" s="18" t="b">
        <f>IF(COUNTIF(Customer_Master!$A:$A,B499)=0,TRUE,FALSE)</f>
        <v>0</v>
      </c>
    </row>
    <row r="500" spans="1:9" ht="33.6" x14ac:dyDescent="0.3">
      <c r="A500" s="11" t="s">
        <v>8601</v>
      </c>
      <c r="B500" s="11" t="s">
        <v>8522</v>
      </c>
      <c r="C500" s="12">
        <v>44746</v>
      </c>
      <c r="D500" s="11" t="s">
        <v>7928</v>
      </c>
      <c r="E500" s="11">
        <v>2</v>
      </c>
      <c r="F500" s="11" t="s">
        <v>46</v>
      </c>
      <c r="G500" s="11" t="s">
        <v>46</v>
      </c>
      <c r="H500" s="31" t="str" cm="1">
        <f t="array" ref="H500">_xlfn.IFS(
  ISBLANK(A500),"Missing Value",
  OR(E500&lt;1,E500&gt;5),"Review – Out of Range (Satisfaction)",
  ISNA(MATCH(B500,Customer_Master!$A$2:$A$1649,0)),"Retained – Unmatched ID (Anonymous Feedback Rule)",
  TRUE,"OK"
)</f>
        <v>Retained – Unmatched ID (Anonymous Feedback Rule)</v>
      </c>
      <c r="I500" s="17" t="b">
        <f>IF(COUNTIF(Customer_Master!$A:$A,B500)=0,TRUE,FALSE)</f>
        <v>1</v>
      </c>
    </row>
    <row r="501" spans="1:9" ht="33.6" x14ac:dyDescent="0.3">
      <c r="A501" s="14" t="s">
        <v>8602</v>
      </c>
      <c r="B501" s="14" t="s">
        <v>8284</v>
      </c>
      <c r="C501" s="15">
        <v>44829</v>
      </c>
      <c r="D501" s="14" t="s">
        <v>7937</v>
      </c>
      <c r="E501" s="14">
        <v>5</v>
      </c>
      <c r="F501" s="14" t="s">
        <v>45</v>
      </c>
      <c r="G501" s="14" t="s">
        <v>46</v>
      </c>
      <c r="H501" s="31" t="str" cm="1">
        <f t="array" ref="H501">_xlfn.IFS(
  ISBLANK(A501),"Missing Value",
  OR(E501&lt;1,E501&gt;5),"Review – Out of Range (Satisfaction)",
  ISNA(MATCH(B501,Customer_Master!$A$2:$A$1649,0)),"Retained – Unmatched ID (Anonymous Feedback Rule)",
  TRUE,"OK"
)</f>
        <v>Retained – Unmatched ID (Anonymous Feedback Rule)</v>
      </c>
      <c r="I501" s="18" t="b">
        <f>IF(COUNTIF(Customer_Master!$A:$A,B501)=0,TRUE,FALSE)</f>
        <v>1</v>
      </c>
    </row>
    <row r="502" spans="1:9" ht="33.6" x14ac:dyDescent="0.3">
      <c r="A502" s="11" t="s">
        <v>8603</v>
      </c>
      <c r="B502" s="11" t="s">
        <v>8163</v>
      </c>
      <c r="C502" s="12">
        <v>45141</v>
      </c>
      <c r="D502" s="11" t="s">
        <v>7935</v>
      </c>
      <c r="E502" s="11">
        <v>4</v>
      </c>
      <c r="F502" s="11" t="s">
        <v>45</v>
      </c>
      <c r="G502" s="11" t="s">
        <v>46</v>
      </c>
      <c r="H502" s="31" t="str" cm="1">
        <f t="array" ref="H502">_xlfn.IFS(
  ISBLANK(A502),"Missing Value",
  OR(E502&lt;1,E502&gt;5),"Review – Out of Range (Satisfaction)",
  ISNA(MATCH(B502,Customer_Master!$A$2:$A$1649,0)),"Retained – Unmatched ID (Anonymous Feedback Rule)",
  TRUE,"OK"
)</f>
        <v>Retained – Unmatched ID (Anonymous Feedback Rule)</v>
      </c>
      <c r="I502" s="17" t="b">
        <f>IF(COUNTIF(Customer_Master!$A:$A,B502)=0,TRUE,FALSE)</f>
        <v>1</v>
      </c>
    </row>
    <row r="503" spans="1:9" ht="16.8" x14ac:dyDescent="0.3">
      <c r="A503" s="14" t="s">
        <v>8604</v>
      </c>
      <c r="B503" s="14" t="s">
        <v>2167</v>
      </c>
      <c r="C503" s="15">
        <v>44917</v>
      </c>
      <c r="D503" s="14" t="s">
        <v>7940</v>
      </c>
      <c r="E503" s="14">
        <v>4</v>
      </c>
      <c r="F503" s="14" t="s">
        <v>45</v>
      </c>
      <c r="G503" s="14" t="s">
        <v>46</v>
      </c>
      <c r="H503" s="31" t="str" cm="1">
        <f t="array" ref="H503">_xlfn.IFS(
  ISBLANK(A503),"Missing Value",
  OR(E503&lt;1,E503&gt;5),"Review – Out of Range (Satisfaction)",
  ISNA(MATCH(B503,Customer_Master!$A$2:$A$1649,0)),"Retained – Unmatched ID (Anonymous Feedback Rule)",
  TRUE,"OK"
)</f>
        <v>OK</v>
      </c>
      <c r="I503" s="18" t="b">
        <f>IF(COUNTIF(Customer_Master!$A:$A,B503)=0,TRUE,FALSE)</f>
        <v>0</v>
      </c>
    </row>
    <row r="504" spans="1:9" ht="16.8" x14ac:dyDescent="0.3">
      <c r="A504" s="11" t="s">
        <v>8605</v>
      </c>
      <c r="B504" s="11" t="s">
        <v>184</v>
      </c>
      <c r="C504" s="12">
        <v>43899</v>
      </c>
      <c r="D504" s="11" t="s">
        <v>7947</v>
      </c>
      <c r="E504" s="11">
        <v>4</v>
      </c>
      <c r="F504" s="11" t="s">
        <v>46</v>
      </c>
      <c r="G504" s="11" t="s">
        <v>45</v>
      </c>
      <c r="H504" s="31" t="str" cm="1">
        <f t="array" ref="H504">_xlfn.IFS(
  ISBLANK(A504),"Missing Value",
  OR(E504&lt;1,E504&gt;5),"Review – Out of Range (Satisfaction)",
  ISNA(MATCH(B504,Customer_Master!$A$2:$A$1649,0)),"Retained – Unmatched ID (Anonymous Feedback Rule)",
  TRUE,"OK"
)</f>
        <v>OK</v>
      </c>
      <c r="I504" s="17" t="b">
        <f>IF(COUNTIF(Customer_Master!$A:$A,B504)=0,TRUE,FALSE)</f>
        <v>0</v>
      </c>
    </row>
    <row r="505" spans="1:9" ht="16.8" x14ac:dyDescent="0.3">
      <c r="A505" s="14" t="s">
        <v>8606</v>
      </c>
      <c r="B505" s="14" t="s">
        <v>398</v>
      </c>
      <c r="C505" s="15">
        <v>44465</v>
      </c>
      <c r="D505" s="14" t="s">
        <v>7943</v>
      </c>
      <c r="E505" s="14">
        <v>2</v>
      </c>
      <c r="F505" s="14" t="s">
        <v>45</v>
      </c>
      <c r="G505" s="14" t="s">
        <v>46</v>
      </c>
      <c r="H505" s="31" t="str" cm="1">
        <f t="array" ref="H505">_xlfn.IFS(
  ISBLANK(A505),"Missing Value",
  OR(E505&lt;1,E505&gt;5),"Review – Out of Range (Satisfaction)",
  ISNA(MATCH(B505,Customer_Master!$A$2:$A$1649,0)),"Retained – Unmatched ID (Anonymous Feedback Rule)",
  TRUE,"OK"
)</f>
        <v>OK</v>
      </c>
      <c r="I505" s="18" t="b">
        <f>IF(COUNTIF(Customer_Master!$A:$A,B505)=0,TRUE,FALSE)</f>
        <v>0</v>
      </c>
    </row>
    <row r="506" spans="1:9" ht="16.8" x14ac:dyDescent="0.3">
      <c r="A506" s="11" t="s">
        <v>8607</v>
      </c>
      <c r="B506" s="11" t="s">
        <v>2741</v>
      </c>
      <c r="C506" s="12">
        <v>44794</v>
      </c>
      <c r="D506" s="11" t="s">
        <v>7935</v>
      </c>
      <c r="E506" s="11">
        <v>4</v>
      </c>
      <c r="F506" s="11" t="s">
        <v>45</v>
      </c>
      <c r="G506" s="11" t="s">
        <v>46</v>
      </c>
      <c r="H506" s="31" t="str" cm="1">
        <f t="array" ref="H506">_xlfn.IFS(
  ISBLANK(A506),"Missing Value",
  OR(E506&lt;1,E506&gt;5),"Review – Out of Range (Satisfaction)",
  ISNA(MATCH(B506,Customer_Master!$A$2:$A$1649,0)),"Retained – Unmatched ID (Anonymous Feedback Rule)",
  TRUE,"OK"
)</f>
        <v>OK</v>
      </c>
      <c r="I506" s="17" t="b">
        <f>IF(COUNTIF(Customer_Master!$A:$A,B506)=0,TRUE,FALSE)</f>
        <v>0</v>
      </c>
    </row>
    <row r="507" spans="1:9" ht="16.8" x14ac:dyDescent="0.3">
      <c r="A507" s="14" t="s">
        <v>8608</v>
      </c>
      <c r="B507" s="14" t="s">
        <v>2575</v>
      </c>
      <c r="C507" s="15">
        <v>43861</v>
      </c>
      <c r="D507" s="14" t="s">
        <v>7978</v>
      </c>
      <c r="E507" s="14">
        <v>1</v>
      </c>
      <c r="F507" s="14" t="s">
        <v>45</v>
      </c>
      <c r="G507" s="14" t="s">
        <v>46</v>
      </c>
      <c r="H507" s="31" t="str" cm="1">
        <f t="array" ref="H507">_xlfn.IFS(
  ISBLANK(A507),"Missing Value",
  OR(E507&lt;1,E507&gt;5),"Review – Out of Range (Satisfaction)",
  ISNA(MATCH(B507,Customer_Master!$A$2:$A$1649,0)),"Retained – Unmatched ID (Anonymous Feedback Rule)",
  TRUE,"OK"
)</f>
        <v>OK</v>
      </c>
      <c r="I507" s="18" t="b">
        <f>IF(COUNTIF(Customer_Master!$A:$A,B507)=0,TRUE,FALSE)</f>
        <v>0</v>
      </c>
    </row>
    <row r="508" spans="1:9" ht="16.8" x14ac:dyDescent="0.3">
      <c r="A508" s="11" t="s">
        <v>8609</v>
      </c>
      <c r="B508" s="11" t="s">
        <v>1761</v>
      </c>
      <c r="C508" s="12">
        <v>44724</v>
      </c>
      <c r="D508" s="11" t="s">
        <v>7947</v>
      </c>
      <c r="E508" s="11">
        <v>5</v>
      </c>
      <c r="F508" s="11" t="s">
        <v>45</v>
      </c>
      <c r="G508" s="11" t="s">
        <v>45</v>
      </c>
      <c r="H508" s="31" t="str" cm="1">
        <f t="array" ref="H508">_xlfn.IFS(
  ISBLANK(A508),"Missing Value",
  OR(E508&lt;1,E508&gt;5),"Review – Out of Range (Satisfaction)",
  ISNA(MATCH(B508,Customer_Master!$A$2:$A$1649,0)),"Retained – Unmatched ID (Anonymous Feedback Rule)",
  TRUE,"OK"
)</f>
        <v>OK</v>
      </c>
      <c r="I508" s="17" t="b">
        <f>IF(COUNTIF(Customer_Master!$A:$A,B508)=0,TRUE,FALSE)</f>
        <v>0</v>
      </c>
    </row>
    <row r="509" spans="1:9" ht="16.8" x14ac:dyDescent="0.3">
      <c r="A509" s="14" t="s">
        <v>8610</v>
      </c>
      <c r="B509" s="14" t="s">
        <v>1437</v>
      </c>
      <c r="C509" s="15">
        <v>45150</v>
      </c>
      <c r="D509" s="14" t="s">
        <v>7931</v>
      </c>
      <c r="E509" s="14">
        <v>4</v>
      </c>
      <c r="F509" s="14" t="s">
        <v>45</v>
      </c>
      <c r="G509" s="14" t="s">
        <v>46</v>
      </c>
      <c r="H509" s="31" t="str" cm="1">
        <f t="array" ref="H509">_xlfn.IFS(
  ISBLANK(A509),"Missing Value",
  OR(E509&lt;1,E509&gt;5),"Review – Out of Range (Satisfaction)",
  ISNA(MATCH(B509,Customer_Master!$A$2:$A$1649,0)),"Retained – Unmatched ID (Anonymous Feedback Rule)",
  TRUE,"OK"
)</f>
        <v>OK</v>
      </c>
      <c r="I509" s="18" t="b">
        <f>IF(COUNTIF(Customer_Master!$A:$A,B509)=0,TRUE,FALSE)</f>
        <v>0</v>
      </c>
    </row>
    <row r="510" spans="1:9" ht="33.6" x14ac:dyDescent="0.3">
      <c r="A510" s="11" t="s">
        <v>8611</v>
      </c>
      <c r="B510" s="11" t="s">
        <v>8612</v>
      </c>
      <c r="C510" s="12">
        <v>45172</v>
      </c>
      <c r="D510" s="11" t="s">
        <v>7931</v>
      </c>
      <c r="E510" s="11">
        <v>5</v>
      </c>
      <c r="F510" s="11" t="s">
        <v>45</v>
      </c>
      <c r="G510" s="11" t="s">
        <v>46</v>
      </c>
      <c r="H510" s="31" t="str" cm="1">
        <f t="array" ref="H510">_xlfn.IFS(
  ISBLANK(A510),"Missing Value",
  OR(E510&lt;1,E510&gt;5),"Review – Out of Range (Satisfaction)",
  ISNA(MATCH(B510,Customer_Master!$A$2:$A$1649,0)),"Retained – Unmatched ID (Anonymous Feedback Rule)",
  TRUE,"OK"
)</f>
        <v>Retained – Unmatched ID (Anonymous Feedback Rule)</v>
      </c>
      <c r="I510" s="17" t="b">
        <f>IF(COUNTIF(Customer_Master!$A:$A,B510)=0,TRUE,FALSE)</f>
        <v>1</v>
      </c>
    </row>
    <row r="511" spans="1:9" ht="16.8" x14ac:dyDescent="0.3">
      <c r="A511" s="14" t="s">
        <v>8613</v>
      </c>
      <c r="B511" s="14" t="s">
        <v>895</v>
      </c>
      <c r="C511" s="15">
        <v>44573</v>
      </c>
      <c r="D511" s="14" t="s">
        <v>7940</v>
      </c>
      <c r="E511" s="14">
        <v>4</v>
      </c>
      <c r="F511" s="14" t="s">
        <v>45</v>
      </c>
      <c r="G511" s="14" t="s">
        <v>46</v>
      </c>
      <c r="H511" s="31" t="str" cm="1">
        <f t="array" ref="H511">_xlfn.IFS(
  ISBLANK(A511),"Missing Value",
  OR(E511&lt;1,E511&gt;5),"Review – Out of Range (Satisfaction)",
  ISNA(MATCH(B511,Customer_Master!$A$2:$A$1649,0)),"Retained – Unmatched ID (Anonymous Feedback Rule)",
  TRUE,"OK"
)</f>
        <v>OK</v>
      </c>
      <c r="I511" s="18" t="b">
        <f>IF(COUNTIF(Customer_Master!$A:$A,B511)=0,TRUE,FALSE)</f>
        <v>0</v>
      </c>
    </row>
    <row r="512" spans="1:9" ht="16.8" x14ac:dyDescent="0.3">
      <c r="A512" s="11" t="s">
        <v>8614</v>
      </c>
      <c r="B512" s="11" t="s">
        <v>3118</v>
      </c>
      <c r="C512" s="12">
        <v>43869</v>
      </c>
      <c r="D512" s="11" t="s">
        <v>7928</v>
      </c>
      <c r="E512" s="11">
        <v>2</v>
      </c>
      <c r="F512" s="11" t="s">
        <v>45</v>
      </c>
      <c r="G512" s="11" t="s">
        <v>46</v>
      </c>
      <c r="H512" s="31" t="str" cm="1">
        <f t="array" ref="H512">_xlfn.IFS(
  ISBLANK(A512),"Missing Value",
  OR(E512&lt;1,E512&gt;5),"Review – Out of Range (Satisfaction)",
  ISNA(MATCH(B512,Customer_Master!$A$2:$A$1649,0)),"Retained – Unmatched ID (Anonymous Feedback Rule)",
  TRUE,"OK"
)</f>
        <v>OK</v>
      </c>
      <c r="I512" s="17" t="b">
        <f>IF(COUNTIF(Customer_Master!$A:$A,B512)=0,TRUE,FALSE)</f>
        <v>0</v>
      </c>
    </row>
    <row r="513" spans="1:9" ht="16.8" x14ac:dyDescent="0.3">
      <c r="A513" s="14" t="s">
        <v>8615</v>
      </c>
      <c r="B513" s="14" t="s">
        <v>1307</v>
      </c>
      <c r="C513" s="15">
        <v>44327</v>
      </c>
      <c r="D513" s="14" t="s">
        <v>7937</v>
      </c>
      <c r="E513" s="14">
        <v>4</v>
      </c>
      <c r="F513" s="14" t="s">
        <v>46</v>
      </c>
      <c r="G513" s="14" t="s">
        <v>46</v>
      </c>
      <c r="H513" s="31" t="str" cm="1">
        <f t="array" ref="H513">_xlfn.IFS(
  ISBLANK(A513),"Missing Value",
  OR(E513&lt;1,E513&gt;5),"Review – Out of Range (Satisfaction)",
  ISNA(MATCH(B513,Customer_Master!$A$2:$A$1649,0)),"Retained – Unmatched ID (Anonymous Feedback Rule)",
  TRUE,"OK"
)</f>
        <v>OK</v>
      </c>
      <c r="I513" s="18" t="b">
        <f>IF(COUNTIF(Customer_Master!$A:$A,B513)=0,TRUE,FALSE)</f>
        <v>0</v>
      </c>
    </row>
    <row r="514" spans="1:9" ht="33.6" x14ac:dyDescent="0.3">
      <c r="A514" s="11" t="s">
        <v>8616</v>
      </c>
      <c r="B514" s="11" t="s">
        <v>8617</v>
      </c>
      <c r="C514" s="12">
        <v>44219</v>
      </c>
      <c r="D514" s="11" t="s">
        <v>7935</v>
      </c>
      <c r="E514" s="11">
        <v>4</v>
      </c>
      <c r="F514" s="11" t="s">
        <v>46</v>
      </c>
      <c r="G514" s="11" t="s">
        <v>46</v>
      </c>
      <c r="H514" s="31" t="str" cm="1">
        <f t="array" ref="H514">_xlfn.IFS(
  ISBLANK(A514),"Missing Value",
  OR(E514&lt;1,E514&gt;5),"Review – Out of Range (Satisfaction)",
  ISNA(MATCH(B514,Customer_Master!$A$2:$A$1649,0)),"Retained – Unmatched ID (Anonymous Feedback Rule)",
  TRUE,"OK"
)</f>
        <v>Retained – Unmatched ID (Anonymous Feedback Rule)</v>
      </c>
      <c r="I514" s="17" t="b">
        <f>IF(COUNTIF(Customer_Master!$A:$A,B514)=0,TRUE,FALSE)</f>
        <v>1</v>
      </c>
    </row>
    <row r="515" spans="1:9" ht="33.6" x14ac:dyDescent="0.3">
      <c r="A515" s="14" t="s">
        <v>8618</v>
      </c>
      <c r="B515" s="14" t="s">
        <v>8619</v>
      </c>
      <c r="C515" s="15">
        <v>44157</v>
      </c>
      <c r="D515" s="14" t="s">
        <v>7940</v>
      </c>
      <c r="E515" s="14">
        <v>5</v>
      </c>
      <c r="F515" s="14" t="s">
        <v>45</v>
      </c>
      <c r="G515" s="14" t="s">
        <v>45</v>
      </c>
      <c r="H515" s="31" t="str" cm="1">
        <f t="array" ref="H515">_xlfn.IFS(
  ISBLANK(A515),"Missing Value",
  OR(E515&lt;1,E515&gt;5),"Review – Out of Range (Satisfaction)",
  ISNA(MATCH(B515,Customer_Master!$A$2:$A$1649,0)),"Retained – Unmatched ID (Anonymous Feedback Rule)",
  TRUE,"OK"
)</f>
        <v>Retained – Unmatched ID (Anonymous Feedback Rule)</v>
      </c>
      <c r="I515" s="18" t="b">
        <f>IF(COUNTIF(Customer_Master!$A:$A,B515)=0,TRUE,FALSE)</f>
        <v>1</v>
      </c>
    </row>
    <row r="516" spans="1:9" ht="16.8" x14ac:dyDescent="0.3">
      <c r="A516" s="11" t="s">
        <v>8620</v>
      </c>
      <c r="B516" s="11" t="s">
        <v>1009</v>
      </c>
      <c r="C516" s="12">
        <v>43911</v>
      </c>
      <c r="D516" s="11" t="s">
        <v>7978</v>
      </c>
      <c r="E516" s="11">
        <v>1</v>
      </c>
      <c r="F516" s="11" t="s">
        <v>46</v>
      </c>
      <c r="G516" s="11" t="s">
        <v>45</v>
      </c>
      <c r="H516" s="31" t="str" cm="1">
        <f t="array" ref="H516">_xlfn.IFS(
  ISBLANK(A516),"Missing Value",
  OR(E516&lt;1,E516&gt;5),"Review – Out of Range (Satisfaction)",
  ISNA(MATCH(B516,Customer_Master!$A$2:$A$1649,0)),"Retained – Unmatched ID (Anonymous Feedback Rule)",
  TRUE,"OK"
)</f>
        <v>OK</v>
      </c>
      <c r="I516" s="17" t="b">
        <f>IF(COUNTIF(Customer_Master!$A:$A,B516)=0,TRUE,FALSE)</f>
        <v>0</v>
      </c>
    </row>
    <row r="517" spans="1:9" ht="16.8" x14ac:dyDescent="0.3">
      <c r="A517" s="14" t="s">
        <v>8621</v>
      </c>
      <c r="B517" s="14" t="s">
        <v>1325</v>
      </c>
      <c r="C517" s="15">
        <v>44235</v>
      </c>
      <c r="D517" s="14" t="s">
        <v>7933</v>
      </c>
      <c r="E517" s="14">
        <v>2</v>
      </c>
      <c r="F517" s="14" t="s">
        <v>45</v>
      </c>
      <c r="G517" s="14" t="s">
        <v>46</v>
      </c>
      <c r="H517" s="31" t="str" cm="1">
        <f t="array" ref="H517">_xlfn.IFS(
  ISBLANK(A517),"Missing Value",
  OR(E517&lt;1,E517&gt;5),"Review – Out of Range (Satisfaction)",
  ISNA(MATCH(B517,Customer_Master!$A$2:$A$1649,0)),"Retained – Unmatched ID (Anonymous Feedback Rule)",
  TRUE,"OK"
)</f>
        <v>OK</v>
      </c>
      <c r="I517" s="18" t="b">
        <f>IF(COUNTIF(Customer_Master!$A:$A,B517)=0,TRUE,FALSE)</f>
        <v>0</v>
      </c>
    </row>
    <row r="518" spans="1:9" ht="16.8" x14ac:dyDescent="0.3">
      <c r="A518" s="11" t="s">
        <v>8622</v>
      </c>
      <c r="B518" s="11" t="s">
        <v>593</v>
      </c>
      <c r="C518" s="12">
        <v>44387</v>
      </c>
      <c r="D518" s="11" t="s">
        <v>7928</v>
      </c>
      <c r="E518" s="11">
        <v>3</v>
      </c>
      <c r="F518" s="11" t="s">
        <v>46</v>
      </c>
      <c r="G518" s="11" t="s">
        <v>46</v>
      </c>
      <c r="H518" s="31" t="str" cm="1">
        <f t="array" ref="H518">_xlfn.IFS(
  ISBLANK(A518),"Missing Value",
  OR(E518&lt;1,E518&gt;5),"Review – Out of Range (Satisfaction)",
  ISNA(MATCH(B518,Customer_Master!$A$2:$A$1649,0)),"Retained – Unmatched ID (Anonymous Feedback Rule)",
  TRUE,"OK"
)</f>
        <v>OK</v>
      </c>
      <c r="I518" s="17" t="b">
        <f>IF(COUNTIF(Customer_Master!$A:$A,B518)=0,TRUE,FALSE)</f>
        <v>0</v>
      </c>
    </row>
    <row r="519" spans="1:9" ht="33.6" x14ac:dyDescent="0.3">
      <c r="A519" s="14" t="s">
        <v>8623</v>
      </c>
      <c r="B519" s="14" t="s">
        <v>8624</v>
      </c>
      <c r="C519" s="15">
        <v>44870</v>
      </c>
      <c r="D519" s="14" t="s">
        <v>7940</v>
      </c>
      <c r="E519" s="14">
        <v>4</v>
      </c>
      <c r="F519" s="14" t="s">
        <v>45</v>
      </c>
      <c r="G519" s="14" t="s">
        <v>46</v>
      </c>
      <c r="H519" s="31" t="str" cm="1">
        <f t="array" ref="H519">_xlfn.IFS(
  ISBLANK(A519),"Missing Value",
  OR(E519&lt;1,E519&gt;5),"Review – Out of Range (Satisfaction)",
  ISNA(MATCH(B519,Customer_Master!$A$2:$A$1649,0)),"Retained – Unmatched ID (Anonymous Feedback Rule)",
  TRUE,"OK"
)</f>
        <v>Retained – Unmatched ID (Anonymous Feedback Rule)</v>
      </c>
      <c r="I519" s="18" t="b">
        <f>IF(COUNTIF(Customer_Master!$A:$A,B519)=0,TRUE,FALSE)</f>
        <v>1</v>
      </c>
    </row>
    <row r="520" spans="1:9" ht="16.8" x14ac:dyDescent="0.3">
      <c r="A520" s="11" t="s">
        <v>8625</v>
      </c>
      <c r="B520" s="11" t="s">
        <v>1225</v>
      </c>
      <c r="C520" s="12">
        <v>44428</v>
      </c>
      <c r="D520" s="11" t="s">
        <v>7931</v>
      </c>
      <c r="E520" s="11">
        <v>4</v>
      </c>
      <c r="F520" s="11" t="s">
        <v>45</v>
      </c>
      <c r="G520" s="11" t="s">
        <v>46</v>
      </c>
      <c r="H520" s="31" t="str" cm="1">
        <f t="array" ref="H520">_xlfn.IFS(
  ISBLANK(A520),"Missing Value",
  OR(E520&lt;1,E520&gt;5),"Review – Out of Range (Satisfaction)",
  ISNA(MATCH(B520,Customer_Master!$A$2:$A$1649,0)),"Retained – Unmatched ID (Anonymous Feedback Rule)",
  TRUE,"OK"
)</f>
        <v>OK</v>
      </c>
      <c r="I520" s="17" t="b">
        <f>IF(COUNTIF(Customer_Master!$A:$A,B520)=0,TRUE,FALSE)</f>
        <v>0</v>
      </c>
    </row>
    <row r="521" spans="1:9" ht="16.8" x14ac:dyDescent="0.3">
      <c r="A521" s="14" t="s">
        <v>8626</v>
      </c>
      <c r="B521" s="14" t="s">
        <v>2513</v>
      </c>
      <c r="C521" s="15">
        <v>44907</v>
      </c>
      <c r="D521" s="14" t="s">
        <v>7935</v>
      </c>
      <c r="E521" s="14">
        <v>5</v>
      </c>
      <c r="F521" s="14" t="s">
        <v>46</v>
      </c>
      <c r="G521" s="14" t="s">
        <v>46</v>
      </c>
      <c r="H521" s="31" t="str" cm="1">
        <f t="array" ref="H521">_xlfn.IFS(
  ISBLANK(A521),"Missing Value",
  OR(E521&lt;1,E521&gt;5),"Review – Out of Range (Satisfaction)",
  ISNA(MATCH(B521,Customer_Master!$A$2:$A$1649,0)),"Retained – Unmatched ID (Anonymous Feedback Rule)",
  TRUE,"OK"
)</f>
        <v>OK</v>
      </c>
      <c r="I521" s="18" t="b">
        <f>IF(COUNTIF(Customer_Master!$A:$A,B521)=0,TRUE,FALSE)</f>
        <v>0</v>
      </c>
    </row>
    <row r="522" spans="1:9" ht="33.6" x14ac:dyDescent="0.3">
      <c r="A522" s="11" t="s">
        <v>8627</v>
      </c>
      <c r="B522" s="11" t="s">
        <v>8628</v>
      </c>
      <c r="C522" s="12">
        <v>44470</v>
      </c>
      <c r="D522" s="11" t="s">
        <v>7935</v>
      </c>
      <c r="E522" s="11">
        <v>4</v>
      </c>
      <c r="F522" s="11" t="s">
        <v>46</v>
      </c>
      <c r="G522" s="11" t="s">
        <v>45</v>
      </c>
      <c r="H522" s="31" t="str" cm="1">
        <f t="array" ref="H522">_xlfn.IFS(
  ISBLANK(A522),"Missing Value",
  OR(E522&lt;1,E522&gt;5),"Review – Out of Range (Satisfaction)",
  ISNA(MATCH(B522,Customer_Master!$A$2:$A$1649,0)),"Retained – Unmatched ID (Anonymous Feedback Rule)",
  TRUE,"OK"
)</f>
        <v>Retained – Unmatched ID (Anonymous Feedback Rule)</v>
      </c>
      <c r="I522" s="17" t="b">
        <f>IF(COUNTIF(Customer_Master!$A:$A,B522)=0,TRUE,FALSE)</f>
        <v>1</v>
      </c>
    </row>
    <row r="523" spans="1:9" ht="33.6" x14ac:dyDescent="0.3">
      <c r="A523" s="14" t="s">
        <v>8629</v>
      </c>
      <c r="B523" s="14" t="s">
        <v>8630</v>
      </c>
      <c r="C523" s="15">
        <v>44539</v>
      </c>
      <c r="D523" s="14" t="s">
        <v>7978</v>
      </c>
      <c r="E523" s="14">
        <v>3</v>
      </c>
      <c r="F523" s="14" t="s">
        <v>45</v>
      </c>
      <c r="G523" s="14" t="s">
        <v>46</v>
      </c>
      <c r="H523" s="31" t="str" cm="1">
        <f t="array" ref="H523">_xlfn.IFS(
  ISBLANK(A523),"Missing Value",
  OR(E523&lt;1,E523&gt;5),"Review – Out of Range (Satisfaction)",
  ISNA(MATCH(B523,Customer_Master!$A$2:$A$1649,0)),"Retained – Unmatched ID (Anonymous Feedback Rule)",
  TRUE,"OK"
)</f>
        <v>Retained – Unmatched ID (Anonymous Feedback Rule)</v>
      </c>
      <c r="I523" s="18" t="b">
        <f>IF(COUNTIF(Customer_Master!$A:$A,B523)=0,TRUE,FALSE)</f>
        <v>1</v>
      </c>
    </row>
    <row r="524" spans="1:9" ht="16.8" x14ac:dyDescent="0.3">
      <c r="A524" s="11" t="s">
        <v>8631</v>
      </c>
      <c r="B524" s="11" t="s">
        <v>2215</v>
      </c>
      <c r="C524" s="12">
        <v>45226</v>
      </c>
      <c r="D524" s="11" t="s">
        <v>7928</v>
      </c>
      <c r="E524" s="11">
        <v>3</v>
      </c>
      <c r="F524" s="11" t="s">
        <v>45</v>
      </c>
      <c r="G524" s="11" t="s">
        <v>45</v>
      </c>
      <c r="H524" s="31" t="str" cm="1">
        <f t="array" ref="H524">_xlfn.IFS(
  ISBLANK(A524),"Missing Value",
  OR(E524&lt;1,E524&gt;5),"Review – Out of Range (Satisfaction)",
  ISNA(MATCH(B524,Customer_Master!$A$2:$A$1649,0)),"Retained – Unmatched ID (Anonymous Feedback Rule)",
  TRUE,"OK"
)</f>
        <v>OK</v>
      </c>
      <c r="I524" s="17" t="b">
        <f>IF(COUNTIF(Customer_Master!$A:$A,B524)=0,TRUE,FALSE)</f>
        <v>0</v>
      </c>
    </row>
    <row r="525" spans="1:9" ht="33.6" x14ac:dyDescent="0.3">
      <c r="A525" s="14" t="s">
        <v>8632</v>
      </c>
      <c r="B525" s="14" t="s">
        <v>7953</v>
      </c>
      <c r="C525" s="15">
        <v>44708</v>
      </c>
      <c r="D525" s="14" t="s">
        <v>7940</v>
      </c>
      <c r="E525" s="14">
        <v>5</v>
      </c>
      <c r="F525" s="14" t="s">
        <v>45</v>
      </c>
      <c r="G525" s="14" t="s">
        <v>46</v>
      </c>
      <c r="H525" s="31" t="str" cm="1">
        <f t="array" ref="H525">_xlfn.IFS(
  ISBLANK(A525),"Missing Value",
  OR(E525&lt;1,E525&gt;5),"Review – Out of Range (Satisfaction)",
  ISNA(MATCH(B525,Customer_Master!$A$2:$A$1649,0)),"Retained – Unmatched ID (Anonymous Feedback Rule)",
  TRUE,"OK"
)</f>
        <v>Retained – Unmatched ID (Anonymous Feedback Rule)</v>
      </c>
      <c r="I525" s="18" t="b">
        <f>IF(COUNTIF(Customer_Master!$A:$A,B525)=0,TRUE,FALSE)</f>
        <v>1</v>
      </c>
    </row>
    <row r="526" spans="1:9" ht="33.6" x14ac:dyDescent="0.3">
      <c r="A526" s="11" t="s">
        <v>8633</v>
      </c>
      <c r="B526" s="11" t="s">
        <v>8634</v>
      </c>
      <c r="C526" s="12">
        <v>43942</v>
      </c>
      <c r="D526" s="11" t="s">
        <v>7933</v>
      </c>
      <c r="E526" s="11">
        <v>2</v>
      </c>
      <c r="F526" s="11" t="s">
        <v>46</v>
      </c>
      <c r="G526" s="11" t="s">
        <v>45</v>
      </c>
      <c r="H526" s="31" t="str" cm="1">
        <f t="array" ref="H526">_xlfn.IFS(
  ISBLANK(A526),"Missing Value",
  OR(E526&lt;1,E526&gt;5),"Review – Out of Range (Satisfaction)",
  ISNA(MATCH(B526,Customer_Master!$A$2:$A$1649,0)),"Retained – Unmatched ID (Anonymous Feedback Rule)",
  TRUE,"OK"
)</f>
        <v>Retained – Unmatched ID (Anonymous Feedback Rule)</v>
      </c>
      <c r="I526" s="17" t="b">
        <f>IF(COUNTIF(Customer_Master!$A:$A,B526)=0,TRUE,FALSE)</f>
        <v>1</v>
      </c>
    </row>
    <row r="527" spans="1:9" ht="16.8" x14ac:dyDescent="0.3">
      <c r="A527" s="14" t="s">
        <v>8635</v>
      </c>
      <c r="B527" s="14" t="s">
        <v>2965</v>
      </c>
      <c r="C527" s="15">
        <v>43860</v>
      </c>
      <c r="D527" s="14" t="s">
        <v>7928</v>
      </c>
      <c r="E527" s="14">
        <v>2</v>
      </c>
      <c r="F527" s="14" t="s">
        <v>46</v>
      </c>
      <c r="G527" s="14" t="s">
        <v>45</v>
      </c>
      <c r="H527" s="31" t="str" cm="1">
        <f t="array" ref="H527">_xlfn.IFS(
  ISBLANK(A527),"Missing Value",
  OR(E527&lt;1,E527&gt;5),"Review – Out of Range (Satisfaction)",
  ISNA(MATCH(B527,Customer_Master!$A$2:$A$1649,0)),"Retained – Unmatched ID (Anonymous Feedback Rule)",
  TRUE,"OK"
)</f>
        <v>OK</v>
      </c>
      <c r="I527" s="18" t="b">
        <f>IF(COUNTIF(Customer_Master!$A:$A,B527)=0,TRUE,FALSE)</f>
        <v>0</v>
      </c>
    </row>
    <row r="528" spans="1:9" ht="33.6" x14ac:dyDescent="0.3">
      <c r="A528" s="11" t="s">
        <v>8636</v>
      </c>
      <c r="B528" s="11" t="s">
        <v>8637</v>
      </c>
      <c r="C528" s="12">
        <v>44716</v>
      </c>
      <c r="D528" s="11" t="s">
        <v>7978</v>
      </c>
      <c r="E528" s="11">
        <v>2</v>
      </c>
      <c r="F528" s="11" t="s">
        <v>45</v>
      </c>
      <c r="G528" s="11" t="s">
        <v>46</v>
      </c>
      <c r="H528" s="31" t="str" cm="1">
        <f t="array" ref="H528">_xlfn.IFS(
  ISBLANK(A528),"Missing Value",
  OR(E528&lt;1,E528&gt;5),"Review – Out of Range (Satisfaction)",
  ISNA(MATCH(B528,Customer_Master!$A$2:$A$1649,0)),"Retained – Unmatched ID (Anonymous Feedback Rule)",
  TRUE,"OK"
)</f>
        <v>Retained – Unmatched ID (Anonymous Feedback Rule)</v>
      </c>
      <c r="I528" s="17" t="b">
        <f>IF(COUNTIF(Customer_Master!$A:$A,B528)=0,TRUE,FALSE)</f>
        <v>1</v>
      </c>
    </row>
    <row r="529" spans="1:9" ht="16.8" x14ac:dyDescent="0.3">
      <c r="A529" s="14" t="s">
        <v>8638</v>
      </c>
      <c r="B529" s="14" t="s">
        <v>3316</v>
      </c>
      <c r="C529" s="15">
        <v>44530</v>
      </c>
      <c r="D529" s="14" t="s">
        <v>7947</v>
      </c>
      <c r="E529" s="14">
        <v>5</v>
      </c>
      <c r="F529" s="14" t="s">
        <v>46</v>
      </c>
      <c r="G529" s="14" t="s">
        <v>46</v>
      </c>
      <c r="H529" s="31" t="str" cm="1">
        <f t="array" ref="H529">_xlfn.IFS(
  ISBLANK(A529),"Missing Value",
  OR(E529&lt;1,E529&gt;5),"Review – Out of Range (Satisfaction)",
  ISNA(MATCH(B529,Customer_Master!$A$2:$A$1649,0)),"Retained – Unmatched ID (Anonymous Feedback Rule)",
  TRUE,"OK"
)</f>
        <v>OK</v>
      </c>
      <c r="I529" s="18" t="b">
        <f>IF(COUNTIF(Customer_Master!$A:$A,B529)=0,TRUE,FALSE)</f>
        <v>0</v>
      </c>
    </row>
    <row r="530" spans="1:9" ht="16.8" x14ac:dyDescent="0.3">
      <c r="A530" s="11" t="s">
        <v>8639</v>
      </c>
      <c r="B530" s="11" t="s">
        <v>1275</v>
      </c>
      <c r="C530" s="12">
        <v>44754</v>
      </c>
      <c r="D530" s="11" t="s">
        <v>7943</v>
      </c>
      <c r="E530" s="11">
        <v>3</v>
      </c>
      <c r="F530" s="11" t="s">
        <v>46</v>
      </c>
      <c r="G530" s="11" t="s">
        <v>45</v>
      </c>
      <c r="H530" s="31" t="str" cm="1">
        <f t="array" ref="H530">_xlfn.IFS(
  ISBLANK(A530),"Missing Value",
  OR(E530&lt;1,E530&gt;5),"Review – Out of Range (Satisfaction)",
  ISNA(MATCH(B530,Customer_Master!$A$2:$A$1649,0)),"Retained – Unmatched ID (Anonymous Feedback Rule)",
  TRUE,"OK"
)</f>
        <v>OK</v>
      </c>
      <c r="I530" s="17" t="b">
        <f>IF(COUNTIF(Customer_Master!$A:$A,B530)=0,TRUE,FALSE)</f>
        <v>0</v>
      </c>
    </row>
    <row r="531" spans="1:9" ht="16.8" x14ac:dyDescent="0.3">
      <c r="A531" s="14" t="s">
        <v>8640</v>
      </c>
      <c r="B531" s="14" t="s">
        <v>2777</v>
      </c>
      <c r="C531" s="15">
        <v>44544</v>
      </c>
      <c r="D531" s="14" t="s">
        <v>7931</v>
      </c>
      <c r="E531" s="14">
        <v>5</v>
      </c>
      <c r="F531" s="14" t="s">
        <v>45</v>
      </c>
      <c r="G531" s="14" t="s">
        <v>46</v>
      </c>
      <c r="H531" s="31" t="str" cm="1">
        <f t="array" ref="H531">_xlfn.IFS(
  ISBLANK(A531),"Missing Value",
  OR(E531&lt;1,E531&gt;5),"Review – Out of Range (Satisfaction)",
  ISNA(MATCH(B531,Customer_Master!$A$2:$A$1649,0)),"Retained – Unmatched ID (Anonymous Feedback Rule)",
  TRUE,"OK"
)</f>
        <v>OK</v>
      </c>
      <c r="I531" s="18" t="b">
        <f>IF(COUNTIF(Customer_Master!$A:$A,B531)=0,TRUE,FALSE)</f>
        <v>0</v>
      </c>
    </row>
    <row r="532" spans="1:9" ht="33.6" x14ac:dyDescent="0.3">
      <c r="A532" s="11" t="s">
        <v>8641</v>
      </c>
      <c r="B532" s="11" t="s">
        <v>8642</v>
      </c>
      <c r="C532" s="12">
        <v>44583</v>
      </c>
      <c r="D532" s="11" t="s">
        <v>7947</v>
      </c>
      <c r="E532" s="11">
        <v>3</v>
      </c>
      <c r="F532" s="11" t="s">
        <v>45</v>
      </c>
      <c r="G532" s="11" t="s">
        <v>45</v>
      </c>
      <c r="H532" s="31" t="str" cm="1">
        <f t="array" ref="H532">_xlfn.IFS(
  ISBLANK(A532),"Missing Value",
  OR(E532&lt;1,E532&gt;5),"Review – Out of Range (Satisfaction)",
  ISNA(MATCH(B532,Customer_Master!$A$2:$A$1649,0)),"Retained – Unmatched ID (Anonymous Feedback Rule)",
  TRUE,"OK"
)</f>
        <v>Retained – Unmatched ID (Anonymous Feedback Rule)</v>
      </c>
      <c r="I532" s="17" t="b">
        <f>IF(COUNTIF(Customer_Master!$A:$A,B532)=0,TRUE,FALSE)</f>
        <v>1</v>
      </c>
    </row>
    <row r="533" spans="1:9" ht="16.8" x14ac:dyDescent="0.3">
      <c r="A533" s="14" t="s">
        <v>8643</v>
      </c>
      <c r="B533" s="14" t="s">
        <v>2677</v>
      </c>
      <c r="C533" s="15">
        <v>43927</v>
      </c>
      <c r="D533" s="14" t="s">
        <v>7969</v>
      </c>
      <c r="E533" s="14">
        <v>1</v>
      </c>
      <c r="F533" s="14" t="s">
        <v>45</v>
      </c>
      <c r="G533" s="14" t="s">
        <v>46</v>
      </c>
      <c r="H533" s="31" t="str" cm="1">
        <f t="array" ref="H533">_xlfn.IFS(
  ISBLANK(A533),"Missing Value",
  OR(E533&lt;1,E533&gt;5),"Review – Out of Range (Satisfaction)",
  ISNA(MATCH(B533,Customer_Master!$A$2:$A$1649,0)),"Retained – Unmatched ID (Anonymous Feedback Rule)",
  TRUE,"OK"
)</f>
        <v>OK</v>
      </c>
      <c r="I533" s="18" t="b">
        <f>IF(COUNTIF(Customer_Master!$A:$A,B533)=0,TRUE,FALSE)</f>
        <v>0</v>
      </c>
    </row>
    <row r="534" spans="1:9" ht="16.8" x14ac:dyDescent="0.3">
      <c r="A534" s="11" t="s">
        <v>8644</v>
      </c>
      <c r="B534" s="11" t="s">
        <v>2399</v>
      </c>
      <c r="C534" s="12">
        <v>44544</v>
      </c>
      <c r="D534" s="11" t="s">
        <v>7947</v>
      </c>
      <c r="E534" s="11">
        <v>3</v>
      </c>
      <c r="F534" s="11" t="s">
        <v>45</v>
      </c>
      <c r="G534" s="11" t="s">
        <v>45</v>
      </c>
      <c r="H534" s="31" t="str" cm="1">
        <f t="array" ref="H534">_xlfn.IFS(
  ISBLANK(A534),"Missing Value",
  OR(E534&lt;1,E534&gt;5),"Review – Out of Range (Satisfaction)",
  ISNA(MATCH(B534,Customer_Master!$A$2:$A$1649,0)),"Retained – Unmatched ID (Anonymous Feedback Rule)",
  TRUE,"OK"
)</f>
        <v>OK</v>
      </c>
      <c r="I534" s="17" t="b">
        <f>IF(COUNTIF(Customer_Master!$A:$A,B534)=0,TRUE,FALSE)</f>
        <v>0</v>
      </c>
    </row>
    <row r="535" spans="1:9" ht="16.8" x14ac:dyDescent="0.3">
      <c r="A535" s="14" t="s">
        <v>8645</v>
      </c>
      <c r="B535" s="14" t="s">
        <v>1041</v>
      </c>
      <c r="C535" s="15">
        <v>44877</v>
      </c>
      <c r="D535" s="14" t="s">
        <v>7933</v>
      </c>
      <c r="E535" s="14">
        <v>3</v>
      </c>
      <c r="F535" s="14" t="s">
        <v>46</v>
      </c>
      <c r="G535" s="14" t="s">
        <v>46</v>
      </c>
      <c r="H535" s="31" t="str" cm="1">
        <f t="array" ref="H535">_xlfn.IFS(
  ISBLANK(A535),"Missing Value",
  OR(E535&lt;1,E535&gt;5),"Review – Out of Range (Satisfaction)",
  ISNA(MATCH(B535,Customer_Master!$A$2:$A$1649,0)),"Retained – Unmatched ID (Anonymous Feedback Rule)",
  TRUE,"OK"
)</f>
        <v>OK</v>
      </c>
      <c r="I535" s="18" t="b">
        <f>IF(COUNTIF(Customer_Master!$A:$A,B535)=0,TRUE,FALSE)</f>
        <v>0</v>
      </c>
    </row>
    <row r="536" spans="1:9" ht="16.8" x14ac:dyDescent="0.3">
      <c r="A536" s="11" t="s">
        <v>8646</v>
      </c>
      <c r="B536" s="11" t="s">
        <v>2553</v>
      </c>
      <c r="C536" s="12">
        <v>43932</v>
      </c>
      <c r="D536" s="11" t="s">
        <v>7935</v>
      </c>
      <c r="E536" s="11">
        <v>5</v>
      </c>
      <c r="F536" s="11" t="s">
        <v>46</v>
      </c>
      <c r="G536" s="11" t="s">
        <v>45</v>
      </c>
      <c r="H536" s="31" t="str" cm="1">
        <f t="array" ref="H536">_xlfn.IFS(
  ISBLANK(A536),"Missing Value",
  OR(E536&lt;1,E536&gt;5),"Review – Out of Range (Satisfaction)",
  ISNA(MATCH(B536,Customer_Master!$A$2:$A$1649,0)),"Retained – Unmatched ID (Anonymous Feedback Rule)",
  TRUE,"OK"
)</f>
        <v>OK</v>
      </c>
      <c r="I536" s="17" t="b">
        <f>IF(COUNTIF(Customer_Master!$A:$A,B536)=0,TRUE,FALSE)</f>
        <v>0</v>
      </c>
    </row>
    <row r="537" spans="1:9" ht="16.8" x14ac:dyDescent="0.3">
      <c r="A537" s="14" t="s">
        <v>8647</v>
      </c>
      <c r="B537" s="14" t="s">
        <v>1545</v>
      </c>
      <c r="C537" s="15">
        <v>44281</v>
      </c>
      <c r="D537" s="14" t="s">
        <v>7943</v>
      </c>
      <c r="E537" s="14">
        <v>3</v>
      </c>
      <c r="F537" s="14" t="s">
        <v>46</v>
      </c>
      <c r="G537" s="14" t="s">
        <v>45</v>
      </c>
      <c r="H537" s="31" t="str" cm="1">
        <f t="array" ref="H537">_xlfn.IFS(
  ISBLANK(A537),"Missing Value",
  OR(E537&lt;1,E537&gt;5),"Review – Out of Range (Satisfaction)",
  ISNA(MATCH(B537,Customer_Master!$A$2:$A$1649,0)),"Retained – Unmatched ID (Anonymous Feedback Rule)",
  TRUE,"OK"
)</f>
        <v>OK</v>
      </c>
      <c r="I537" s="18" t="b">
        <f>IF(COUNTIF(Customer_Master!$A:$A,B537)=0,TRUE,FALSE)</f>
        <v>0</v>
      </c>
    </row>
    <row r="538" spans="1:9" ht="33.6" x14ac:dyDescent="0.3">
      <c r="A538" s="11" t="s">
        <v>8648</v>
      </c>
      <c r="B538" s="11" t="s">
        <v>8649</v>
      </c>
      <c r="C538" s="12">
        <v>44698</v>
      </c>
      <c r="D538" s="11" t="s">
        <v>7940</v>
      </c>
      <c r="E538" s="11">
        <v>5</v>
      </c>
      <c r="F538" s="11" t="s">
        <v>46</v>
      </c>
      <c r="G538" s="11" t="s">
        <v>46</v>
      </c>
      <c r="H538" s="31" t="str" cm="1">
        <f t="array" ref="H538">_xlfn.IFS(
  ISBLANK(A538),"Missing Value",
  OR(E538&lt;1,E538&gt;5),"Review – Out of Range (Satisfaction)",
  ISNA(MATCH(B538,Customer_Master!$A$2:$A$1649,0)),"Retained – Unmatched ID (Anonymous Feedback Rule)",
  TRUE,"OK"
)</f>
        <v>Retained – Unmatched ID (Anonymous Feedback Rule)</v>
      </c>
      <c r="I538" s="17" t="b">
        <f>IF(COUNTIF(Customer_Master!$A:$A,B538)=0,TRUE,FALSE)</f>
        <v>1</v>
      </c>
    </row>
    <row r="539" spans="1:9" ht="16.8" x14ac:dyDescent="0.3">
      <c r="A539" s="14" t="s">
        <v>8650</v>
      </c>
      <c r="B539" s="14" t="s">
        <v>1127</v>
      </c>
      <c r="C539" s="15">
        <v>44812</v>
      </c>
      <c r="D539" s="14" t="s">
        <v>7931</v>
      </c>
      <c r="E539" s="14">
        <v>4</v>
      </c>
      <c r="F539" s="14" t="s">
        <v>46</v>
      </c>
      <c r="G539" s="14" t="s">
        <v>46</v>
      </c>
      <c r="H539" s="31" t="str" cm="1">
        <f t="array" ref="H539">_xlfn.IFS(
  ISBLANK(A539),"Missing Value",
  OR(E539&lt;1,E539&gt;5),"Review – Out of Range (Satisfaction)",
  ISNA(MATCH(B539,Customer_Master!$A$2:$A$1649,0)),"Retained – Unmatched ID (Anonymous Feedback Rule)",
  TRUE,"OK"
)</f>
        <v>OK</v>
      </c>
      <c r="I539" s="18" t="b">
        <f>IF(COUNTIF(Customer_Master!$A:$A,B539)=0,TRUE,FALSE)</f>
        <v>0</v>
      </c>
    </row>
    <row r="540" spans="1:9" ht="16.8" x14ac:dyDescent="0.3">
      <c r="A540" s="11" t="s">
        <v>8651</v>
      </c>
      <c r="B540" s="11" t="s">
        <v>769</v>
      </c>
      <c r="C540" s="12">
        <v>44518</v>
      </c>
      <c r="D540" s="11" t="s">
        <v>7933</v>
      </c>
      <c r="E540" s="11">
        <v>3</v>
      </c>
      <c r="F540" s="11" t="s">
        <v>45</v>
      </c>
      <c r="G540" s="11" t="s">
        <v>45</v>
      </c>
      <c r="H540" s="31" t="str" cm="1">
        <f t="array" ref="H540">_xlfn.IFS(
  ISBLANK(A540),"Missing Value",
  OR(E540&lt;1,E540&gt;5),"Review – Out of Range (Satisfaction)",
  ISNA(MATCH(B540,Customer_Master!$A$2:$A$1649,0)),"Retained – Unmatched ID (Anonymous Feedback Rule)",
  TRUE,"OK"
)</f>
        <v>OK</v>
      </c>
      <c r="I540" s="17" t="b">
        <f>IF(COUNTIF(Customer_Master!$A:$A,B540)=0,TRUE,FALSE)</f>
        <v>0</v>
      </c>
    </row>
    <row r="541" spans="1:9" ht="33.6" x14ac:dyDescent="0.3">
      <c r="A541" s="14" t="s">
        <v>8652</v>
      </c>
      <c r="B541" s="14" t="s">
        <v>8653</v>
      </c>
      <c r="C541" s="15">
        <v>44273</v>
      </c>
      <c r="D541" s="14" t="s">
        <v>7928</v>
      </c>
      <c r="E541" s="14">
        <v>3</v>
      </c>
      <c r="F541" s="14" t="s">
        <v>46</v>
      </c>
      <c r="G541" s="14" t="s">
        <v>45</v>
      </c>
      <c r="H541" s="31" t="str" cm="1">
        <f t="array" ref="H541">_xlfn.IFS(
  ISBLANK(A541),"Missing Value",
  OR(E541&lt;1,E541&gt;5),"Review – Out of Range (Satisfaction)",
  ISNA(MATCH(B541,Customer_Master!$A$2:$A$1649,0)),"Retained – Unmatched ID (Anonymous Feedback Rule)",
  TRUE,"OK"
)</f>
        <v>Retained – Unmatched ID (Anonymous Feedback Rule)</v>
      </c>
      <c r="I541" s="18" t="b">
        <f>IF(COUNTIF(Customer_Master!$A:$A,B541)=0,TRUE,FALSE)</f>
        <v>1</v>
      </c>
    </row>
    <row r="542" spans="1:9" ht="16.8" x14ac:dyDescent="0.3">
      <c r="A542" s="11" t="s">
        <v>8654</v>
      </c>
      <c r="B542" s="11" t="s">
        <v>713</v>
      </c>
      <c r="C542" s="12">
        <v>44304</v>
      </c>
      <c r="D542" s="11" t="s">
        <v>7928</v>
      </c>
      <c r="E542" s="11">
        <v>2</v>
      </c>
      <c r="F542" s="11" t="s">
        <v>45</v>
      </c>
      <c r="G542" s="11" t="s">
        <v>45</v>
      </c>
      <c r="H542" s="31" t="str" cm="1">
        <f t="array" ref="H542">_xlfn.IFS(
  ISBLANK(A542),"Missing Value",
  OR(E542&lt;1,E542&gt;5),"Review – Out of Range (Satisfaction)",
  ISNA(MATCH(B542,Customer_Master!$A$2:$A$1649,0)),"Retained – Unmatched ID (Anonymous Feedback Rule)",
  TRUE,"OK"
)</f>
        <v>OK</v>
      </c>
      <c r="I542" s="17" t="b">
        <f>IF(COUNTIF(Customer_Master!$A:$A,B542)=0,TRUE,FALSE)</f>
        <v>0</v>
      </c>
    </row>
    <row r="543" spans="1:9" ht="16.8" x14ac:dyDescent="0.3">
      <c r="A543" s="14" t="s">
        <v>8655</v>
      </c>
      <c r="B543" s="14" t="s">
        <v>1497</v>
      </c>
      <c r="C543" s="15">
        <v>44845</v>
      </c>
      <c r="D543" s="14" t="s">
        <v>7935</v>
      </c>
      <c r="E543" s="14">
        <v>5</v>
      </c>
      <c r="F543" s="14" t="s">
        <v>46</v>
      </c>
      <c r="G543" s="14" t="s">
        <v>45</v>
      </c>
      <c r="H543" s="31" t="str" cm="1">
        <f t="array" ref="H543">_xlfn.IFS(
  ISBLANK(A543),"Missing Value",
  OR(E543&lt;1,E543&gt;5),"Review – Out of Range (Satisfaction)",
  ISNA(MATCH(B543,Customer_Master!$A$2:$A$1649,0)),"Retained – Unmatched ID (Anonymous Feedback Rule)",
  TRUE,"OK"
)</f>
        <v>OK</v>
      </c>
      <c r="I543" s="18" t="b">
        <f>IF(COUNTIF(Customer_Master!$A:$A,B543)=0,TRUE,FALSE)</f>
        <v>0</v>
      </c>
    </row>
    <row r="544" spans="1:9" ht="16.8" x14ac:dyDescent="0.3">
      <c r="A544" s="11" t="s">
        <v>8656</v>
      </c>
      <c r="B544" s="11" t="s">
        <v>1425</v>
      </c>
      <c r="C544" s="12">
        <v>45193</v>
      </c>
      <c r="D544" s="11" t="s">
        <v>7978</v>
      </c>
      <c r="E544" s="11">
        <v>3</v>
      </c>
      <c r="F544" s="11" t="s">
        <v>46</v>
      </c>
      <c r="G544" s="11" t="s">
        <v>45</v>
      </c>
      <c r="H544" s="31" t="str" cm="1">
        <f t="array" ref="H544">_xlfn.IFS(
  ISBLANK(A544),"Missing Value",
  OR(E544&lt;1,E544&gt;5),"Review – Out of Range (Satisfaction)",
  ISNA(MATCH(B544,Customer_Master!$A$2:$A$1649,0)),"Retained – Unmatched ID (Anonymous Feedback Rule)",
  TRUE,"OK"
)</f>
        <v>OK</v>
      </c>
      <c r="I544" s="17" t="b">
        <f>IF(COUNTIF(Customer_Master!$A:$A,B544)=0,TRUE,FALSE)</f>
        <v>0</v>
      </c>
    </row>
    <row r="545" spans="1:9" ht="16.8" x14ac:dyDescent="0.3">
      <c r="A545" s="14" t="s">
        <v>8657</v>
      </c>
      <c r="B545" s="14" t="s">
        <v>1135</v>
      </c>
      <c r="C545" s="15">
        <v>44543</v>
      </c>
      <c r="D545" s="14" t="s">
        <v>7931</v>
      </c>
      <c r="E545" s="14">
        <v>5</v>
      </c>
      <c r="F545" s="14" t="s">
        <v>46</v>
      </c>
      <c r="G545" s="14" t="s">
        <v>46</v>
      </c>
      <c r="H545" s="31" t="str" cm="1">
        <f t="array" ref="H545">_xlfn.IFS(
  ISBLANK(A545),"Missing Value",
  OR(E545&lt;1,E545&gt;5),"Review – Out of Range (Satisfaction)",
  ISNA(MATCH(B545,Customer_Master!$A$2:$A$1649,0)),"Retained – Unmatched ID (Anonymous Feedback Rule)",
  TRUE,"OK"
)</f>
        <v>OK</v>
      </c>
      <c r="I545" s="18" t="b">
        <f>IF(COUNTIF(Customer_Master!$A:$A,B545)=0,TRUE,FALSE)</f>
        <v>0</v>
      </c>
    </row>
    <row r="546" spans="1:9" ht="16.8" x14ac:dyDescent="0.3">
      <c r="A546" s="11" t="s">
        <v>8658</v>
      </c>
      <c r="B546" s="11" t="s">
        <v>1953</v>
      </c>
      <c r="C546" s="12">
        <v>44212</v>
      </c>
      <c r="D546" s="11" t="s">
        <v>7943</v>
      </c>
      <c r="E546" s="11">
        <v>3</v>
      </c>
      <c r="F546" s="11" t="s">
        <v>45</v>
      </c>
      <c r="G546" s="11" t="s">
        <v>46</v>
      </c>
      <c r="H546" s="31" t="str" cm="1">
        <f t="array" ref="H546">_xlfn.IFS(
  ISBLANK(A546),"Missing Value",
  OR(E546&lt;1,E546&gt;5),"Review – Out of Range (Satisfaction)",
  ISNA(MATCH(B546,Customer_Master!$A$2:$A$1649,0)),"Retained – Unmatched ID (Anonymous Feedback Rule)",
  TRUE,"OK"
)</f>
        <v>OK</v>
      </c>
      <c r="I546" s="17" t="b">
        <f>IF(COUNTIF(Customer_Master!$A:$A,B546)=0,TRUE,FALSE)</f>
        <v>0</v>
      </c>
    </row>
    <row r="547" spans="1:9" ht="33.6" x14ac:dyDescent="0.3">
      <c r="A547" s="14" t="s">
        <v>8659</v>
      </c>
      <c r="B547" s="14" t="s">
        <v>8660</v>
      </c>
      <c r="C547" s="15">
        <v>44974</v>
      </c>
      <c r="D547" s="14" t="s">
        <v>7931</v>
      </c>
      <c r="E547" s="14">
        <v>4</v>
      </c>
      <c r="F547" s="14" t="s">
        <v>45</v>
      </c>
      <c r="G547" s="14" t="s">
        <v>45</v>
      </c>
      <c r="H547" s="31" t="str" cm="1">
        <f t="array" ref="H547">_xlfn.IFS(
  ISBLANK(A547),"Missing Value",
  OR(E547&lt;1,E547&gt;5),"Review – Out of Range (Satisfaction)",
  ISNA(MATCH(B547,Customer_Master!$A$2:$A$1649,0)),"Retained – Unmatched ID (Anonymous Feedback Rule)",
  TRUE,"OK"
)</f>
        <v>Retained – Unmatched ID (Anonymous Feedback Rule)</v>
      </c>
      <c r="I547" s="18" t="b">
        <f>IF(COUNTIF(Customer_Master!$A:$A,B547)=0,TRUE,FALSE)</f>
        <v>1</v>
      </c>
    </row>
    <row r="548" spans="1:9" ht="16.8" x14ac:dyDescent="0.3">
      <c r="A548" s="11" t="s">
        <v>8661</v>
      </c>
      <c r="B548" s="11" t="s">
        <v>1587</v>
      </c>
      <c r="C548" s="12">
        <v>44185</v>
      </c>
      <c r="D548" s="11" t="s">
        <v>7943</v>
      </c>
      <c r="E548" s="11">
        <v>3</v>
      </c>
      <c r="F548" s="11" t="s">
        <v>46</v>
      </c>
      <c r="G548" s="11" t="s">
        <v>46</v>
      </c>
      <c r="H548" s="31" t="str" cm="1">
        <f t="array" ref="H548">_xlfn.IFS(
  ISBLANK(A548),"Missing Value",
  OR(E548&lt;1,E548&gt;5),"Review – Out of Range (Satisfaction)",
  ISNA(MATCH(B548,Customer_Master!$A$2:$A$1649,0)),"Retained – Unmatched ID (Anonymous Feedback Rule)",
  TRUE,"OK"
)</f>
        <v>OK</v>
      </c>
      <c r="I548" s="17" t="b">
        <f>IF(COUNTIF(Customer_Master!$A:$A,B548)=0,TRUE,FALSE)</f>
        <v>0</v>
      </c>
    </row>
    <row r="549" spans="1:9" ht="16.8" x14ac:dyDescent="0.3">
      <c r="A549" s="14" t="s">
        <v>8662</v>
      </c>
      <c r="B549" s="14" t="s">
        <v>955</v>
      </c>
      <c r="C549" s="15">
        <v>44540</v>
      </c>
      <c r="D549" s="14" t="s">
        <v>7935</v>
      </c>
      <c r="E549" s="14">
        <v>4</v>
      </c>
      <c r="F549" s="14" t="s">
        <v>45</v>
      </c>
      <c r="G549" s="14" t="s">
        <v>45</v>
      </c>
      <c r="H549" s="31" t="str" cm="1">
        <f t="array" ref="H549">_xlfn.IFS(
  ISBLANK(A549),"Missing Value",
  OR(E549&lt;1,E549&gt;5),"Review – Out of Range (Satisfaction)",
  ISNA(MATCH(B549,Customer_Master!$A$2:$A$1649,0)),"Retained – Unmatched ID (Anonymous Feedback Rule)",
  TRUE,"OK"
)</f>
        <v>OK</v>
      </c>
      <c r="I549" s="18" t="b">
        <f>IF(COUNTIF(Customer_Master!$A:$A,B549)=0,TRUE,FALSE)</f>
        <v>0</v>
      </c>
    </row>
    <row r="550" spans="1:9" ht="16.8" x14ac:dyDescent="0.3">
      <c r="A550" s="11" t="s">
        <v>8663</v>
      </c>
      <c r="B550" s="11" t="s">
        <v>296</v>
      </c>
      <c r="C550" s="12">
        <v>45062</v>
      </c>
      <c r="D550" s="11" t="s">
        <v>7947</v>
      </c>
      <c r="E550" s="11">
        <v>4</v>
      </c>
      <c r="F550" s="11" t="s">
        <v>45</v>
      </c>
      <c r="G550" s="11" t="s">
        <v>45</v>
      </c>
      <c r="H550" s="31" t="str" cm="1">
        <f t="array" ref="H550">_xlfn.IFS(
  ISBLANK(A550),"Missing Value",
  OR(E550&lt;1,E550&gt;5),"Review – Out of Range (Satisfaction)",
  ISNA(MATCH(B550,Customer_Master!$A$2:$A$1649,0)),"Retained – Unmatched ID (Anonymous Feedback Rule)",
  TRUE,"OK"
)</f>
        <v>OK</v>
      </c>
      <c r="I550" s="17" t="b">
        <f>IF(COUNTIF(Customer_Master!$A:$A,B550)=0,TRUE,FALSE)</f>
        <v>0</v>
      </c>
    </row>
    <row r="551" spans="1:9" ht="16.8" x14ac:dyDescent="0.3">
      <c r="A551" s="14" t="s">
        <v>8664</v>
      </c>
      <c r="B551" s="14" t="s">
        <v>2449</v>
      </c>
      <c r="C551" s="15">
        <v>44000</v>
      </c>
      <c r="D551" s="14" t="s">
        <v>7935</v>
      </c>
      <c r="E551" s="14">
        <v>5</v>
      </c>
      <c r="F551" s="14" t="s">
        <v>45</v>
      </c>
      <c r="G551" s="14" t="s">
        <v>45</v>
      </c>
      <c r="H551" s="31" t="str" cm="1">
        <f t="array" ref="H551">_xlfn.IFS(
  ISBLANK(A551),"Missing Value",
  OR(E551&lt;1,E551&gt;5),"Review – Out of Range (Satisfaction)",
  ISNA(MATCH(B551,Customer_Master!$A$2:$A$1649,0)),"Retained – Unmatched ID (Anonymous Feedback Rule)",
  TRUE,"OK"
)</f>
        <v>OK</v>
      </c>
      <c r="I551" s="18" t="b">
        <f>IF(COUNTIF(Customer_Master!$A:$A,B551)=0,TRUE,FALSE)</f>
        <v>0</v>
      </c>
    </row>
    <row r="552" spans="1:9" ht="16.8" x14ac:dyDescent="0.3">
      <c r="A552" s="11" t="s">
        <v>8665</v>
      </c>
      <c r="B552" s="11" t="s">
        <v>975</v>
      </c>
      <c r="C552" s="12">
        <v>44363</v>
      </c>
      <c r="D552" s="11" t="s">
        <v>7978</v>
      </c>
      <c r="E552" s="11">
        <v>1</v>
      </c>
      <c r="F552" s="11" t="s">
        <v>46</v>
      </c>
      <c r="G552" s="11" t="s">
        <v>45</v>
      </c>
      <c r="H552" s="31" t="str" cm="1">
        <f t="array" ref="H552">_xlfn.IFS(
  ISBLANK(A552),"Missing Value",
  OR(E552&lt;1,E552&gt;5),"Review – Out of Range (Satisfaction)",
  ISNA(MATCH(B552,Customer_Master!$A$2:$A$1649,0)),"Retained – Unmatched ID (Anonymous Feedback Rule)",
  TRUE,"OK"
)</f>
        <v>OK</v>
      </c>
      <c r="I552" s="17" t="b">
        <f>IF(COUNTIF(Customer_Master!$A:$A,B552)=0,TRUE,FALSE)</f>
        <v>0</v>
      </c>
    </row>
    <row r="553" spans="1:9" ht="33.6" x14ac:dyDescent="0.3">
      <c r="A553" s="14" t="s">
        <v>8666</v>
      </c>
      <c r="B553" s="14" t="s">
        <v>8667</v>
      </c>
      <c r="C553" s="15">
        <v>44757</v>
      </c>
      <c r="D553" s="14" t="s">
        <v>7947</v>
      </c>
      <c r="E553" s="14">
        <v>5</v>
      </c>
      <c r="F553" s="14" t="s">
        <v>45</v>
      </c>
      <c r="G553" s="14" t="s">
        <v>46</v>
      </c>
      <c r="H553" s="31" t="str" cm="1">
        <f t="array" ref="H553">_xlfn.IFS(
  ISBLANK(A553),"Missing Value",
  OR(E553&lt;1,E553&gt;5),"Review – Out of Range (Satisfaction)",
  ISNA(MATCH(B553,Customer_Master!$A$2:$A$1649,0)),"Retained – Unmatched ID (Anonymous Feedback Rule)",
  TRUE,"OK"
)</f>
        <v>Retained – Unmatched ID (Anonymous Feedback Rule)</v>
      </c>
      <c r="I553" s="18" t="b">
        <f>IF(COUNTIF(Customer_Master!$A:$A,B553)=0,TRUE,FALSE)</f>
        <v>1</v>
      </c>
    </row>
    <row r="554" spans="1:9" ht="16.8" x14ac:dyDescent="0.3">
      <c r="A554" s="11" t="s">
        <v>8668</v>
      </c>
      <c r="B554" s="11" t="s">
        <v>2377</v>
      </c>
      <c r="C554" s="12">
        <v>44652</v>
      </c>
      <c r="D554" s="11" t="s">
        <v>7937</v>
      </c>
      <c r="E554" s="11">
        <v>5</v>
      </c>
      <c r="F554" s="11" t="s">
        <v>45</v>
      </c>
      <c r="G554" s="11" t="s">
        <v>46</v>
      </c>
      <c r="H554" s="31" t="str" cm="1">
        <f t="array" ref="H554">_xlfn.IFS(
  ISBLANK(A554),"Missing Value",
  OR(E554&lt;1,E554&gt;5),"Review – Out of Range (Satisfaction)",
  ISNA(MATCH(B554,Customer_Master!$A$2:$A$1649,0)),"Retained – Unmatched ID (Anonymous Feedback Rule)",
  TRUE,"OK"
)</f>
        <v>OK</v>
      </c>
      <c r="I554" s="17" t="b">
        <f>IF(COUNTIF(Customer_Master!$A:$A,B554)=0,TRUE,FALSE)</f>
        <v>0</v>
      </c>
    </row>
    <row r="555" spans="1:9" ht="33.6" x14ac:dyDescent="0.3">
      <c r="A555" s="14" t="s">
        <v>8669</v>
      </c>
      <c r="B555" s="14" t="s">
        <v>8670</v>
      </c>
      <c r="C555" s="15">
        <v>44196</v>
      </c>
      <c r="D555" s="14" t="s">
        <v>7969</v>
      </c>
      <c r="E555" s="14">
        <v>2</v>
      </c>
      <c r="F555" s="14" t="s">
        <v>45</v>
      </c>
      <c r="G555" s="14" t="s">
        <v>45</v>
      </c>
      <c r="H555" s="31" t="str" cm="1">
        <f t="array" ref="H555">_xlfn.IFS(
  ISBLANK(A555),"Missing Value",
  OR(E555&lt;1,E555&gt;5),"Review – Out of Range (Satisfaction)",
  ISNA(MATCH(B555,Customer_Master!$A$2:$A$1649,0)),"Retained – Unmatched ID (Anonymous Feedback Rule)",
  TRUE,"OK"
)</f>
        <v>Retained – Unmatched ID (Anonymous Feedback Rule)</v>
      </c>
      <c r="I555" s="18" t="b">
        <f>IF(COUNTIF(Customer_Master!$A:$A,B555)=0,TRUE,FALSE)</f>
        <v>1</v>
      </c>
    </row>
    <row r="556" spans="1:9" ht="16.8" x14ac:dyDescent="0.3">
      <c r="A556" s="11" t="s">
        <v>8671</v>
      </c>
      <c r="B556" s="11" t="s">
        <v>1289</v>
      </c>
      <c r="C556" s="12">
        <v>44200</v>
      </c>
      <c r="D556" s="11" t="s">
        <v>7928</v>
      </c>
      <c r="E556" s="11">
        <v>1</v>
      </c>
      <c r="F556" s="11" t="s">
        <v>45</v>
      </c>
      <c r="G556" s="11" t="s">
        <v>45</v>
      </c>
      <c r="H556" s="31" t="str" cm="1">
        <f t="array" ref="H556">_xlfn.IFS(
  ISBLANK(A556),"Missing Value",
  OR(E556&lt;1,E556&gt;5),"Review – Out of Range (Satisfaction)",
  ISNA(MATCH(B556,Customer_Master!$A$2:$A$1649,0)),"Retained – Unmatched ID (Anonymous Feedback Rule)",
  TRUE,"OK"
)</f>
        <v>OK</v>
      </c>
      <c r="I556" s="17" t="b">
        <f>IF(COUNTIF(Customer_Master!$A:$A,B556)=0,TRUE,FALSE)</f>
        <v>0</v>
      </c>
    </row>
    <row r="557" spans="1:9" ht="33.6" x14ac:dyDescent="0.3">
      <c r="A557" s="14" t="s">
        <v>8672</v>
      </c>
      <c r="B557" s="14" t="s">
        <v>8673</v>
      </c>
      <c r="C557" s="15">
        <v>44679</v>
      </c>
      <c r="D557" s="14" t="s">
        <v>7947</v>
      </c>
      <c r="E557" s="14">
        <v>5</v>
      </c>
      <c r="F557" s="14" t="s">
        <v>45</v>
      </c>
      <c r="G557" s="14" t="s">
        <v>46</v>
      </c>
      <c r="H557" s="31" t="str" cm="1">
        <f t="array" ref="H557">_xlfn.IFS(
  ISBLANK(A557),"Missing Value",
  OR(E557&lt;1,E557&gt;5),"Review – Out of Range (Satisfaction)",
  ISNA(MATCH(B557,Customer_Master!$A$2:$A$1649,0)),"Retained – Unmatched ID (Anonymous Feedback Rule)",
  TRUE,"OK"
)</f>
        <v>Retained – Unmatched ID (Anonymous Feedback Rule)</v>
      </c>
      <c r="I557" s="18" t="b">
        <f>IF(COUNTIF(Customer_Master!$A:$A,B557)=0,TRUE,FALSE)</f>
        <v>1</v>
      </c>
    </row>
    <row r="558" spans="1:9" ht="16.8" x14ac:dyDescent="0.3">
      <c r="A558" s="11" t="s">
        <v>8674</v>
      </c>
      <c r="B558" s="11" t="s">
        <v>1705</v>
      </c>
      <c r="C558" s="12">
        <v>44960</v>
      </c>
      <c r="D558" s="11" t="s">
        <v>7943</v>
      </c>
      <c r="E558" s="11">
        <v>2</v>
      </c>
      <c r="F558" s="11" t="s">
        <v>45</v>
      </c>
      <c r="G558" s="11" t="s">
        <v>45</v>
      </c>
      <c r="H558" s="31" t="str" cm="1">
        <f t="array" ref="H558">_xlfn.IFS(
  ISBLANK(A558),"Missing Value",
  OR(E558&lt;1,E558&gt;5),"Review – Out of Range (Satisfaction)",
  ISNA(MATCH(B558,Customer_Master!$A$2:$A$1649,0)),"Retained – Unmatched ID (Anonymous Feedback Rule)",
  TRUE,"OK"
)</f>
        <v>OK</v>
      </c>
      <c r="I558" s="17" t="b">
        <f>IF(COUNTIF(Customer_Master!$A:$A,B558)=0,TRUE,FALSE)</f>
        <v>0</v>
      </c>
    </row>
    <row r="559" spans="1:9" ht="16.8" x14ac:dyDescent="0.3">
      <c r="A559" s="14" t="s">
        <v>8675</v>
      </c>
      <c r="B559" s="14" t="s">
        <v>1083</v>
      </c>
      <c r="C559" s="15">
        <v>44268</v>
      </c>
      <c r="D559" s="14" t="s">
        <v>7940</v>
      </c>
      <c r="E559" s="14">
        <v>5</v>
      </c>
      <c r="F559" s="14" t="s">
        <v>45</v>
      </c>
      <c r="G559" s="14" t="s">
        <v>46</v>
      </c>
      <c r="H559" s="31" t="str" cm="1">
        <f t="array" ref="H559">_xlfn.IFS(
  ISBLANK(A559),"Missing Value",
  OR(E559&lt;1,E559&gt;5),"Review – Out of Range (Satisfaction)",
  ISNA(MATCH(B559,Customer_Master!$A$2:$A$1649,0)),"Retained – Unmatched ID (Anonymous Feedback Rule)",
  TRUE,"OK"
)</f>
        <v>OK</v>
      </c>
      <c r="I559" s="18" t="b">
        <f>IF(COUNTIF(Customer_Master!$A:$A,B559)=0,TRUE,FALSE)</f>
        <v>0</v>
      </c>
    </row>
    <row r="560" spans="1:9" ht="16.8" x14ac:dyDescent="0.3">
      <c r="A560" s="11" t="s">
        <v>8676</v>
      </c>
      <c r="B560" s="11" t="s">
        <v>2465</v>
      </c>
      <c r="C560" s="12">
        <v>44028</v>
      </c>
      <c r="D560" s="11" t="s">
        <v>7928</v>
      </c>
      <c r="E560" s="11">
        <v>1</v>
      </c>
      <c r="F560" s="11" t="s">
        <v>46</v>
      </c>
      <c r="G560" s="11" t="s">
        <v>46</v>
      </c>
      <c r="H560" s="31" t="str" cm="1">
        <f t="array" ref="H560">_xlfn.IFS(
  ISBLANK(A560),"Missing Value",
  OR(E560&lt;1,E560&gt;5),"Review – Out of Range (Satisfaction)",
  ISNA(MATCH(B560,Customer_Master!$A$2:$A$1649,0)),"Retained – Unmatched ID (Anonymous Feedback Rule)",
  TRUE,"OK"
)</f>
        <v>OK</v>
      </c>
      <c r="I560" s="17" t="b">
        <f>IF(COUNTIF(Customer_Master!$A:$A,B560)=0,TRUE,FALSE)</f>
        <v>0</v>
      </c>
    </row>
    <row r="561" spans="1:9" ht="16.8" x14ac:dyDescent="0.3">
      <c r="A561" s="14" t="s">
        <v>8677</v>
      </c>
      <c r="B561" s="14" t="s">
        <v>440</v>
      </c>
      <c r="C561" s="15">
        <v>44981</v>
      </c>
      <c r="D561" s="14" t="s">
        <v>7931</v>
      </c>
      <c r="E561" s="14">
        <v>5</v>
      </c>
      <c r="F561" s="14" t="s">
        <v>45</v>
      </c>
      <c r="G561" s="14" t="s">
        <v>46</v>
      </c>
      <c r="H561" s="31" t="str" cm="1">
        <f t="array" ref="H561">_xlfn.IFS(
  ISBLANK(A561),"Missing Value",
  OR(E561&lt;1,E561&gt;5),"Review – Out of Range (Satisfaction)",
  ISNA(MATCH(B561,Customer_Master!$A$2:$A$1649,0)),"Retained – Unmatched ID (Anonymous Feedback Rule)",
  TRUE,"OK"
)</f>
        <v>OK</v>
      </c>
      <c r="I561" s="18" t="b">
        <f>IF(COUNTIF(Customer_Master!$A:$A,B561)=0,TRUE,FALSE)</f>
        <v>0</v>
      </c>
    </row>
    <row r="562" spans="1:9" ht="16.8" x14ac:dyDescent="0.3">
      <c r="A562" s="11" t="s">
        <v>8678</v>
      </c>
      <c r="B562" s="11" t="s">
        <v>2821</v>
      </c>
      <c r="C562" s="12">
        <v>44819</v>
      </c>
      <c r="D562" s="11" t="s">
        <v>7943</v>
      </c>
      <c r="E562" s="11">
        <v>2</v>
      </c>
      <c r="F562" s="11" t="s">
        <v>45</v>
      </c>
      <c r="G562" s="11" t="s">
        <v>45</v>
      </c>
      <c r="H562" s="31" t="str" cm="1">
        <f t="array" ref="H562">_xlfn.IFS(
  ISBLANK(A562),"Missing Value",
  OR(E562&lt;1,E562&gt;5),"Review – Out of Range (Satisfaction)",
  ISNA(MATCH(B562,Customer_Master!$A$2:$A$1649,0)),"Retained – Unmatched ID (Anonymous Feedback Rule)",
  TRUE,"OK"
)</f>
        <v>OK</v>
      </c>
      <c r="I562" s="17" t="b">
        <f>IF(COUNTIF(Customer_Master!$A:$A,B562)=0,TRUE,FALSE)</f>
        <v>0</v>
      </c>
    </row>
    <row r="563" spans="1:9" ht="16.8" x14ac:dyDescent="0.3">
      <c r="A563" s="14" t="s">
        <v>8679</v>
      </c>
      <c r="B563" s="14" t="s">
        <v>2827</v>
      </c>
      <c r="C563" s="15">
        <v>43966</v>
      </c>
      <c r="D563" s="14" t="s">
        <v>7935</v>
      </c>
      <c r="E563" s="14">
        <v>5</v>
      </c>
      <c r="F563" s="14" t="s">
        <v>45</v>
      </c>
      <c r="G563" s="14" t="s">
        <v>46</v>
      </c>
      <c r="H563" s="31" t="str" cm="1">
        <f t="array" ref="H563">_xlfn.IFS(
  ISBLANK(A563),"Missing Value",
  OR(E563&lt;1,E563&gt;5),"Review – Out of Range (Satisfaction)",
  ISNA(MATCH(B563,Customer_Master!$A$2:$A$1649,0)),"Retained – Unmatched ID (Anonymous Feedback Rule)",
  TRUE,"OK"
)</f>
        <v>OK</v>
      </c>
      <c r="I563" s="18" t="b">
        <f>IF(COUNTIF(Customer_Master!$A:$A,B563)=0,TRUE,FALSE)</f>
        <v>0</v>
      </c>
    </row>
    <row r="564" spans="1:9" ht="16.8" x14ac:dyDescent="0.3">
      <c r="A564" s="11" t="s">
        <v>8680</v>
      </c>
      <c r="B564" s="11" t="s">
        <v>809</v>
      </c>
      <c r="C564" s="12">
        <v>44689</v>
      </c>
      <c r="D564" s="11" t="s">
        <v>7969</v>
      </c>
      <c r="E564" s="11">
        <v>2</v>
      </c>
      <c r="F564" s="11" t="s">
        <v>46</v>
      </c>
      <c r="G564" s="11" t="s">
        <v>46</v>
      </c>
      <c r="H564" s="31" t="str" cm="1">
        <f t="array" ref="H564">_xlfn.IFS(
  ISBLANK(A564),"Missing Value",
  OR(E564&lt;1,E564&gt;5),"Review – Out of Range (Satisfaction)",
  ISNA(MATCH(B564,Customer_Master!$A$2:$A$1649,0)),"Retained – Unmatched ID (Anonymous Feedback Rule)",
  TRUE,"OK"
)</f>
        <v>OK</v>
      </c>
      <c r="I564" s="17" t="b">
        <f>IF(COUNTIF(Customer_Master!$A:$A,B564)=0,TRUE,FALSE)</f>
        <v>0</v>
      </c>
    </row>
    <row r="565" spans="1:9" ht="16.8" x14ac:dyDescent="0.3">
      <c r="A565" s="14" t="s">
        <v>8681</v>
      </c>
      <c r="B565" s="14" t="s">
        <v>2317</v>
      </c>
      <c r="C565" s="15">
        <v>44280</v>
      </c>
      <c r="D565" s="14" t="s">
        <v>7947</v>
      </c>
      <c r="E565" s="14">
        <v>3</v>
      </c>
      <c r="F565" s="14" t="s">
        <v>45</v>
      </c>
      <c r="G565" s="14" t="s">
        <v>46</v>
      </c>
      <c r="H565" s="31" t="str" cm="1">
        <f t="array" ref="H565">_xlfn.IFS(
  ISBLANK(A565),"Missing Value",
  OR(E565&lt;1,E565&gt;5),"Review – Out of Range (Satisfaction)",
  ISNA(MATCH(B565,Customer_Master!$A$2:$A$1649,0)),"Retained – Unmatched ID (Anonymous Feedback Rule)",
  TRUE,"OK"
)</f>
        <v>OK</v>
      </c>
      <c r="I565" s="18" t="b">
        <f>IF(COUNTIF(Customer_Master!$A:$A,B565)=0,TRUE,FALSE)</f>
        <v>0</v>
      </c>
    </row>
    <row r="566" spans="1:9" ht="16.8" x14ac:dyDescent="0.3">
      <c r="A566" s="11" t="s">
        <v>8682</v>
      </c>
      <c r="B566" s="11" t="s">
        <v>432</v>
      </c>
      <c r="C566" s="12">
        <v>45043</v>
      </c>
      <c r="D566" s="11" t="s">
        <v>7937</v>
      </c>
      <c r="E566" s="11">
        <v>5</v>
      </c>
      <c r="F566" s="11" t="s">
        <v>45</v>
      </c>
      <c r="G566" s="11" t="s">
        <v>46</v>
      </c>
      <c r="H566" s="31" t="str" cm="1">
        <f t="array" ref="H566">_xlfn.IFS(
  ISBLANK(A566),"Missing Value",
  OR(E566&lt;1,E566&gt;5),"Review – Out of Range (Satisfaction)",
  ISNA(MATCH(B566,Customer_Master!$A$2:$A$1649,0)),"Retained – Unmatched ID (Anonymous Feedback Rule)",
  TRUE,"OK"
)</f>
        <v>OK</v>
      </c>
      <c r="I566" s="17" t="b">
        <f>IF(COUNTIF(Customer_Master!$A:$A,B566)=0,TRUE,FALSE)</f>
        <v>0</v>
      </c>
    </row>
    <row r="567" spans="1:9" ht="33.6" x14ac:dyDescent="0.3">
      <c r="A567" s="14" t="s">
        <v>8683</v>
      </c>
      <c r="B567" s="14" t="s">
        <v>8684</v>
      </c>
      <c r="C567" s="15">
        <v>44293</v>
      </c>
      <c r="D567" s="14" t="s">
        <v>7969</v>
      </c>
      <c r="E567" s="14">
        <v>1</v>
      </c>
      <c r="F567" s="14" t="s">
        <v>46</v>
      </c>
      <c r="G567" s="14" t="s">
        <v>45</v>
      </c>
      <c r="H567" s="31" t="str" cm="1">
        <f t="array" ref="H567">_xlfn.IFS(
  ISBLANK(A567),"Missing Value",
  OR(E567&lt;1,E567&gt;5),"Review – Out of Range (Satisfaction)",
  ISNA(MATCH(B567,Customer_Master!$A$2:$A$1649,0)),"Retained – Unmatched ID (Anonymous Feedback Rule)",
  TRUE,"OK"
)</f>
        <v>Retained – Unmatched ID (Anonymous Feedback Rule)</v>
      </c>
      <c r="I567" s="18" t="b">
        <f>IF(COUNTIF(Customer_Master!$A:$A,B567)=0,TRUE,FALSE)</f>
        <v>1</v>
      </c>
    </row>
    <row r="568" spans="1:9" ht="16.8" x14ac:dyDescent="0.3">
      <c r="A568" s="11" t="s">
        <v>8685</v>
      </c>
      <c r="B568" s="11" t="s">
        <v>458</v>
      </c>
      <c r="C568" s="12">
        <v>44333</v>
      </c>
      <c r="D568" s="11" t="s">
        <v>7978</v>
      </c>
      <c r="E568" s="11">
        <v>3</v>
      </c>
      <c r="F568" s="11" t="s">
        <v>46</v>
      </c>
      <c r="G568" s="11" t="s">
        <v>45</v>
      </c>
      <c r="H568" s="31" t="str" cm="1">
        <f t="array" ref="H568">_xlfn.IFS(
  ISBLANK(A568),"Missing Value",
  OR(E568&lt;1,E568&gt;5),"Review – Out of Range (Satisfaction)",
  ISNA(MATCH(B568,Customer_Master!$A$2:$A$1649,0)),"Retained – Unmatched ID (Anonymous Feedback Rule)",
  TRUE,"OK"
)</f>
        <v>OK</v>
      </c>
      <c r="I568" s="17" t="b">
        <f>IF(COUNTIF(Customer_Master!$A:$A,B568)=0,TRUE,FALSE)</f>
        <v>0</v>
      </c>
    </row>
    <row r="569" spans="1:9" ht="33.6" x14ac:dyDescent="0.3">
      <c r="A569" s="14" t="s">
        <v>8686</v>
      </c>
      <c r="B569" s="14" t="s">
        <v>8687</v>
      </c>
      <c r="C569" s="15">
        <v>44389</v>
      </c>
      <c r="D569" s="14" t="s">
        <v>7969</v>
      </c>
      <c r="E569" s="14">
        <v>1</v>
      </c>
      <c r="F569" s="14" t="s">
        <v>46</v>
      </c>
      <c r="G569" s="14" t="s">
        <v>45</v>
      </c>
      <c r="H569" s="31" t="str" cm="1">
        <f t="array" ref="H569">_xlfn.IFS(
  ISBLANK(A569),"Missing Value",
  OR(E569&lt;1,E569&gt;5),"Review – Out of Range (Satisfaction)",
  ISNA(MATCH(B569,Customer_Master!$A$2:$A$1649,0)),"Retained – Unmatched ID (Anonymous Feedback Rule)",
  TRUE,"OK"
)</f>
        <v>Retained – Unmatched ID (Anonymous Feedback Rule)</v>
      </c>
      <c r="I569" s="18" t="b">
        <f>IF(COUNTIF(Customer_Master!$A:$A,B569)=0,TRUE,FALSE)</f>
        <v>1</v>
      </c>
    </row>
    <row r="570" spans="1:9" ht="16.8" x14ac:dyDescent="0.3">
      <c r="A570" s="11" t="s">
        <v>8688</v>
      </c>
      <c r="B570" s="11" t="s">
        <v>1213</v>
      </c>
      <c r="C570" s="12">
        <v>45291</v>
      </c>
      <c r="D570" s="11" t="s">
        <v>7943</v>
      </c>
      <c r="E570" s="11">
        <v>3</v>
      </c>
      <c r="F570" s="11" t="s">
        <v>46</v>
      </c>
      <c r="G570" s="11" t="s">
        <v>46</v>
      </c>
      <c r="H570" s="31" t="str" cm="1">
        <f t="array" ref="H570">_xlfn.IFS(
  ISBLANK(A570),"Missing Value",
  OR(E570&lt;1,E570&gt;5),"Review – Out of Range (Satisfaction)",
  ISNA(MATCH(B570,Customer_Master!$A$2:$A$1649,0)),"Retained – Unmatched ID (Anonymous Feedback Rule)",
  TRUE,"OK"
)</f>
        <v>OK</v>
      </c>
      <c r="I570" s="17" t="b">
        <f>IF(COUNTIF(Customer_Master!$A:$A,B570)=0,TRUE,FALSE)</f>
        <v>0</v>
      </c>
    </row>
    <row r="571" spans="1:9" ht="16.8" x14ac:dyDescent="0.3">
      <c r="A571" s="14" t="s">
        <v>8689</v>
      </c>
      <c r="B571" s="14" t="s">
        <v>2371</v>
      </c>
      <c r="C571" s="15">
        <v>44535</v>
      </c>
      <c r="D571" s="14" t="s">
        <v>7940</v>
      </c>
      <c r="E571" s="14">
        <v>4</v>
      </c>
      <c r="F571" s="14" t="s">
        <v>45</v>
      </c>
      <c r="G571" s="14" t="s">
        <v>45</v>
      </c>
      <c r="H571" s="31" t="str" cm="1">
        <f t="array" ref="H571">_xlfn.IFS(
  ISBLANK(A571),"Missing Value",
  OR(E571&lt;1,E571&gt;5),"Review – Out of Range (Satisfaction)",
  ISNA(MATCH(B571,Customer_Master!$A$2:$A$1649,0)),"Retained – Unmatched ID (Anonymous Feedback Rule)",
  TRUE,"OK"
)</f>
        <v>OK</v>
      </c>
      <c r="I571" s="18" t="b">
        <f>IF(COUNTIF(Customer_Master!$A:$A,B571)=0,TRUE,FALSE)</f>
        <v>0</v>
      </c>
    </row>
    <row r="572" spans="1:9" ht="33.6" x14ac:dyDescent="0.3">
      <c r="A572" s="11" t="s">
        <v>8690</v>
      </c>
      <c r="B572" s="11" t="s">
        <v>8691</v>
      </c>
      <c r="C572" s="12">
        <v>43975</v>
      </c>
      <c r="D572" s="11" t="s">
        <v>7935</v>
      </c>
      <c r="E572" s="11">
        <v>5</v>
      </c>
      <c r="F572" s="11" t="s">
        <v>46</v>
      </c>
      <c r="G572" s="11" t="s">
        <v>45</v>
      </c>
      <c r="H572" s="31" t="str" cm="1">
        <f t="array" ref="H572">_xlfn.IFS(
  ISBLANK(A572),"Missing Value",
  OR(E572&lt;1,E572&gt;5),"Review – Out of Range (Satisfaction)",
  ISNA(MATCH(B572,Customer_Master!$A$2:$A$1649,0)),"Retained – Unmatched ID (Anonymous Feedback Rule)",
  TRUE,"OK"
)</f>
        <v>Retained – Unmatched ID (Anonymous Feedback Rule)</v>
      </c>
      <c r="I572" s="17" t="b">
        <f>IF(COUNTIF(Customer_Master!$A:$A,B572)=0,TRUE,FALSE)</f>
        <v>1</v>
      </c>
    </row>
    <row r="573" spans="1:9" ht="16.8" x14ac:dyDescent="0.3">
      <c r="A573" s="14" t="s">
        <v>8692</v>
      </c>
      <c r="B573" s="14" t="s">
        <v>2635</v>
      </c>
      <c r="C573" s="15">
        <v>44784</v>
      </c>
      <c r="D573" s="14" t="s">
        <v>7978</v>
      </c>
      <c r="E573" s="14">
        <v>2</v>
      </c>
      <c r="F573" s="14" t="s">
        <v>46</v>
      </c>
      <c r="G573" s="14" t="s">
        <v>45</v>
      </c>
      <c r="H573" s="31" t="str" cm="1">
        <f t="array" ref="H573">_xlfn.IFS(
  ISBLANK(A573),"Missing Value",
  OR(E573&lt;1,E573&gt;5),"Review – Out of Range (Satisfaction)",
  ISNA(MATCH(B573,Customer_Master!$A$2:$A$1649,0)),"Retained – Unmatched ID (Anonymous Feedback Rule)",
  TRUE,"OK"
)</f>
        <v>OK</v>
      </c>
      <c r="I573" s="18" t="b">
        <f>IF(COUNTIF(Customer_Master!$A:$A,B573)=0,TRUE,FALSE)</f>
        <v>0</v>
      </c>
    </row>
    <row r="574" spans="1:9" ht="16.8" x14ac:dyDescent="0.3">
      <c r="A574" s="11" t="s">
        <v>8693</v>
      </c>
      <c r="B574" s="11" t="s">
        <v>3162</v>
      </c>
      <c r="C574" s="12">
        <v>45239</v>
      </c>
      <c r="D574" s="11" t="s">
        <v>7928</v>
      </c>
      <c r="E574" s="11">
        <v>1</v>
      </c>
      <c r="F574" s="11" t="s">
        <v>45</v>
      </c>
      <c r="G574" s="11" t="s">
        <v>46</v>
      </c>
      <c r="H574" s="31" t="str" cm="1">
        <f t="array" ref="H574">_xlfn.IFS(
  ISBLANK(A574),"Missing Value",
  OR(E574&lt;1,E574&gt;5),"Review – Out of Range (Satisfaction)",
  ISNA(MATCH(B574,Customer_Master!$A$2:$A$1649,0)),"Retained – Unmatched ID (Anonymous Feedback Rule)",
  TRUE,"OK"
)</f>
        <v>OK</v>
      </c>
      <c r="I574" s="17" t="b">
        <f>IF(COUNTIF(Customer_Master!$A:$A,B574)=0,TRUE,FALSE)</f>
        <v>0</v>
      </c>
    </row>
    <row r="575" spans="1:9" ht="33.6" x14ac:dyDescent="0.3">
      <c r="A575" s="14" t="s">
        <v>8694</v>
      </c>
      <c r="B575" s="14" t="s">
        <v>8214</v>
      </c>
      <c r="C575" s="15">
        <v>45047</v>
      </c>
      <c r="D575" s="14" t="s">
        <v>7947</v>
      </c>
      <c r="E575" s="14">
        <v>3</v>
      </c>
      <c r="F575" s="14" t="s">
        <v>45</v>
      </c>
      <c r="G575" s="14" t="s">
        <v>46</v>
      </c>
      <c r="H575" s="31" t="str" cm="1">
        <f t="array" ref="H575">_xlfn.IFS(
  ISBLANK(A575),"Missing Value",
  OR(E575&lt;1,E575&gt;5),"Review – Out of Range (Satisfaction)",
  ISNA(MATCH(B575,Customer_Master!$A$2:$A$1649,0)),"Retained – Unmatched ID (Anonymous Feedback Rule)",
  TRUE,"OK"
)</f>
        <v>Retained – Unmatched ID (Anonymous Feedback Rule)</v>
      </c>
      <c r="I575" s="18" t="b">
        <f>IF(COUNTIF(Customer_Master!$A:$A,B575)=0,TRUE,FALSE)</f>
        <v>1</v>
      </c>
    </row>
    <row r="576" spans="1:9" ht="16.8" x14ac:dyDescent="0.3">
      <c r="A576" s="11" t="s">
        <v>8695</v>
      </c>
      <c r="B576" s="11" t="s">
        <v>1689</v>
      </c>
      <c r="C576" s="12">
        <v>44638</v>
      </c>
      <c r="D576" s="11" t="s">
        <v>7978</v>
      </c>
      <c r="E576" s="11">
        <v>3</v>
      </c>
      <c r="F576" s="11" t="s">
        <v>46</v>
      </c>
      <c r="G576" s="11" t="s">
        <v>46</v>
      </c>
      <c r="H576" s="31" t="str" cm="1">
        <f t="array" ref="H576">_xlfn.IFS(
  ISBLANK(A576),"Missing Value",
  OR(E576&lt;1,E576&gt;5),"Review – Out of Range (Satisfaction)",
  ISNA(MATCH(B576,Customer_Master!$A$2:$A$1649,0)),"Retained – Unmatched ID (Anonymous Feedback Rule)",
  TRUE,"OK"
)</f>
        <v>OK</v>
      </c>
      <c r="I576" s="17" t="b">
        <f>IF(COUNTIF(Customer_Master!$A:$A,B576)=0,TRUE,FALSE)</f>
        <v>0</v>
      </c>
    </row>
    <row r="577" spans="1:9" ht="16.8" x14ac:dyDescent="0.3">
      <c r="A577" s="14" t="s">
        <v>8696</v>
      </c>
      <c r="B577" s="14" t="s">
        <v>1249</v>
      </c>
      <c r="C577" s="15">
        <v>45006</v>
      </c>
      <c r="D577" s="14" t="s">
        <v>7947</v>
      </c>
      <c r="E577" s="14">
        <v>5</v>
      </c>
      <c r="F577" s="14" t="s">
        <v>46</v>
      </c>
      <c r="G577" s="14" t="s">
        <v>46</v>
      </c>
      <c r="H577" s="31" t="str" cm="1">
        <f t="array" ref="H577">_xlfn.IFS(
  ISBLANK(A577),"Missing Value",
  OR(E577&lt;1,E577&gt;5),"Review – Out of Range (Satisfaction)",
  ISNA(MATCH(B577,Customer_Master!$A$2:$A$1649,0)),"Retained – Unmatched ID (Anonymous Feedback Rule)",
  TRUE,"OK"
)</f>
        <v>OK</v>
      </c>
      <c r="I577" s="18" t="b">
        <f>IF(COUNTIF(Customer_Master!$A:$A,B577)=0,TRUE,FALSE)</f>
        <v>0</v>
      </c>
    </row>
    <row r="578" spans="1:9" ht="16.8" x14ac:dyDescent="0.3">
      <c r="A578" s="11" t="s">
        <v>8697</v>
      </c>
      <c r="B578" s="11" t="s">
        <v>963</v>
      </c>
      <c r="C578" s="12">
        <v>45236</v>
      </c>
      <c r="D578" s="11" t="s">
        <v>7947</v>
      </c>
      <c r="E578" s="11">
        <v>3</v>
      </c>
      <c r="F578" s="11" t="s">
        <v>45</v>
      </c>
      <c r="G578" s="11" t="s">
        <v>45</v>
      </c>
      <c r="H578" s="31" t="str" cm="1">
        <f t="array" ref="H578">_xlfn.IFS(
  ISBLANK(A578),"Missing Value",
  OR(E578&lt;1,E578&gt;5),"Review – Out of Range (Satisfaction)",
  ISNA(MATCH(B578,Customer_Master!$A$2:$A$1649,0)),"Retained – Unmatched ID (Anonymous Feedback Rule)",
  TRUE,"OK"
)</f>
        <v>OK</v>
      </c>
      <c r="I578" s="17" t="b">
        <f>IF(COUNTIF(Customer_Master!$A:$A,B578)=0,TRUE,FALSE)</f>
        <v>0</v>
      </c>
    </row>
    <row r="579" spans="1:9" ht="16.8" x14ac:dyDescent="0.3">
      <c r="A579" s="14" t="s">
        <v>8698</v>
      </c>
      <c r="B579" s="14" t="s">
        <v>2799</v>
      </c>
      <c r="C579" s="15">
        <v>44719</v>
      </c>
      <c r="D579" s="14" t="s">
        <v>7937</v>
      </c>
      <c r="E579" s="14">
        <v>4</v>
      </c>
      <c r="F579" s="14" t="s">
        <v>46</v>
      </c>
      <c r="G579" s="14" t="s">
        <v>46</v>
      </c>
      <c r="H579" s="31" t="str" cm="1">
        <f t="array" ref="H579">_xlfn.IFS(
  ISBLANK(A579),"Missing Value",
  OR(E579&lt;1,E579&gt;5),"Review – Out of Range (Satisfaction)",
  ISNA(MATCH(B579,Customer_Master!$A$2:$A$1649,0)),"Retained – Unmatched ID (Anonymous Feedback Rule)",
  TRUE,"OK"
)</f>
        <v>OK</v>
      </c>
      <c r="I579" s="18" t="b">
        <f>IF(COUNTIF(Customer_Master!$A:$A,B579)=0,TRUE,FALSE)</f>
        <v>0</v>
      </c>
    </row>
    <row r="580" spans="1:9" ht="33.6" x14ac:dyDescent="0.3">
      <c r="A580" s="11" t="s">
        <v>8699</v>
      </c>
      <c r="B580" s="11" t="s">
        <v>8700</v>
      </c>
      <c r="C580" s="12">
        <v>44968</v>
      </c>
      <c r="D580" s="11" t="s">
        <v>7943</v>
      </c>
      <c r="E580" s="11">
        <v>3</v>
      </c>
      <c r="F580" s="11" t="s">
        <v>45</v>
      </c>
      <c r="G580" s="11" t="s">
        <v>45</v>
      </c>
      <c r="H580" s="31" t="str" cm="1">
        <f t="array" ref="H580">_xlfn.IFS(
  ISBLANK(A580),"Missing Value",
  OR(E580&lt;1,E580&gt;5),"Review – Out of Range (Satisfaction)",
  ISNA(MATCH(B580,Customer_Master!$A$2:$A$1649,0)),"Retained – Unmatched ID (Anonymous Feedback Rule)",
  TRUE,"OK"
)</f>
        <v>Retained – Unmatched ID (Anonymous Feedback Rule)</v>
      </c>
      <c r="I580" s="17" t="b">
        <f>IF(COUNTIF(Customer_Master!$A:$A,B580)=0,TRUE,FALSE)</f>
        <v>1</v>
      </c>
    </row>
    <row r="581" spans="1:9" ht="33.6" x14ac:dyDescent="0.3">
      <c r="A581" s="14" t="s">
        <v>8701</v>
      </c>
      <c r="B581" s="14" t="s">
        <v>8702</v>
      </c>
      <c r="C581" s="15">
        <v>45153</v>
      </c>
      <c r="D581" s="14" t="s">
        <v>7928</v>
      </c>
      <c r="E581" s="14">
        <v>2</v>
      </c>
      <c r="F581" s="14" t="s">
        <v>45</v>
      </c>
      <c r="G581" s="14" t="s">
        <v>46</v>
      </c>
      <c r="H581" s="31" t="str" cm="1">
        <f t="array" ref="H581">_xlfn.IFS(
  ISBLANK(A581),"Missing Value",
  OR(E581&lt;1,E581&gt;5),"Review – Out of Range (Satisfaction)",
  ISNA(MATCH(B581,Customer_Master!$A$2:$A$1649,0)),"Retained – Unmatched ID (Anonymous Feedback Rule)",
  TRUE,"OK"
)</f>
        <v>Retained – Unmatched ID (Anonymous Feedback Rule)</v>
      </c>
      <c r="I581" s="18" t="b">
        <f>IF(COUNTIF(Customer_Master!$A:$A,B581)=0,TRUE,FALSE)</f>
        <v>1</v>
      </c>
    </row>
    <row r="582" spans="1:9" ht="16.8" x14ac:dyDescent="0.3">
      <c r="A582" s="11" t="s">
        <v>8703</v>
      </c>
      <c r="B582" s="11" t="s">
        <v>472</v>
      </c>
      <c r="C582" s="12">
        <v>44954</v>
      </c>
      <c r="D582" s="11" t="s">
        <v>7947</v>
      </c>
      <c r="E582" s="11">
        <v>4</v>
      </c>
      <c r="F582" s="11" t="s">
        <v>45</v>
      </c>
      <c r="G582" s="11" t="s">
        <v>46</v>
      </c>
      <c r="H582" s="31" t="str" cm="1">
        <f t="array" ref="H582">_xlfn.IFS(
  ISBLANK(A582),"Missing Value",
  OR(E582&lt;1,E582&gt;5),"Review – Out of Range (Satisfaction)",
  ISNA(MATCH(B582,Customer_Master!$A$2:$A$1649,0)),"Retained – Unmatched ID (Anonymous Feedback Rule)",
  TRUE,"OK"
)</f>
        <v>OK</v>
      </c>
      <c r="I582" s="17" t="b">
        <f>IF(COUNTIF(Customer_Master!$A:$A,B582)=0,TRUE,FALSE)</f>
        <v>0</v>
      </c>
    </row>
    <row r="583" spans="1:9" ht="16.8" x14ac:dyDescent="0.3">
      <c r="A583" s="14" t="s">
        <v>8704</v>
      </c>
      <c r="B583" s="14" t="s">
        <v>2259</v>
      </c>
      <c r="C583" s="15">
        <v>45082</v>
      </c>
      <c r="D583" s="14" t="s">
        <v>7937</v>
      </c>
      <c r="E583" s="14">
        <v>5</v>
      </c>
      <c r="F583" s="14" t="s">
        <v>45</v>
      </c>
      <c r="G583" s="14" t="s">
        <v>45</v>
      </c>
      <c r="H583" s="31" t="str" cm="1">
        <f t="array" ref="H583">_xlfn.IFS(
  ISBLANK(A583),"Missing Value",
  OR(E583&lt;1,E583&gt;5),"Review – Out of Range (Satisfaction)",
  ISNA(MATCH(B583,Customer_Master!$A$2:$A$1649,0)),"Retained – Unmatched ID (Anonymous Feedback Rule)",
  TRUE,"OK"
)</f>
        <v>OK</v>
      </c>
      <c r="I583" s="18" t="b">
        <f>IF(COUNTIF(Customer_Master!$A:$A,B583)=0,TRUE,FALSE)</f>
        <v>0</v>
      </c>
    </row>
    <row r="584" spans="1:9" ht="33.6" x14ac:dyDescent="0.3">
      <c r="A584" s="11" t="s">
        <v>8705</v>
      </c>
      <c r="B584" s="11" t="s">
        <v>8706</v>
      </c>
      <c r="C584" s="12">
        <v>44862</v>
      </c>
      <c r="D584" s="11" t="s">
        <v>7933</v>
      </c>
      <c r="E584" s="11">
        <v>2</v>
      </c>
      <c r="F584" s="11" t="s">
        <v>45</v>
      </c>
      <c r="G584" s="11" t="s">
        <v>45</v>
      </c>
      <c r="H584" s="31" t="str" cm="1">
        <f t="array" ref="H584">_xlfn.IFS(
  ISBLANK(A584),"Missing Value",
  OR(E584&lt;1,E584&gt;5),"Review – Out of Range (Satisfaction)",
  ISNA(MATCH(B584,Customer_Master!$A$2:$A$1649,0)),"Retained – Unmatched ID (Anonymous Feedback Rule)",
  TRUE,"OK"
)</f>
        <v>Retained – Unmatched ID (Anonymous Feedback Rule)</v>
      </c>
      <c r="I584" s="17" t="b">
        <f>IF(COUNTIF(Customer_Master!$A:$A,B584)=0,TRUE,FALSE)</f>
        <v>1</v>
      </c>
    </row>
    <row r="585" spans="1:9" ht="16.8" x14ac:dyDescent="0.3">
      <c r="A585" s="14" t="s">
        <v>8707</v>
      </c>
      <c r="B585" s="14" t="s">
        <v>3166</v>
      </c>
      <c r="C585" s="15">
        <v>44525</v>
      </c>
      <c r="D585" s="14" t="s">
        <v>7978</v>
      </c>
      <c r="E585" s="14">
        <v>3</v>
      </c>
      <c r="F585" s="14" t="s">
        <v>45</v>
      </c>
      <c r="G585" s="14" t="s">
        <v>45</v>
      </c>
      <c r="H585" s="31" t="str" cm="1">
        <f t="array" ref="H585">_xlfn.IFS(
  ISBLANK(A585),"Missing Value",
  OR(E585&lt;1,E585&gt;5),"Review – Out of Range (Satisfaction)",
  ISNA(MATCH(B585,Customer_Master!$A$2:$A$1649,0)),"Retained – Unmatched ID (Anonymous Feedback Rule)",
  TRUE,"OK"
)</f>
        <v>OK</v>
      </c>
      <c r="I585" s="18" t="b">
        <f>IF(COUNTIF(Customer_Master!$A:$A,B585)=0,TRUE,FALSE)</f>
        <v>0</v>
      </c>
    </row>
    <row r="586" spans="1:9" ht="33.6" x14ac:dyDescent="0.3">
      <c r="A586" s="11" t="s">
        <v>8708</v>
      </c>
      <c r="B586" s="11" t="s">
        <v>8709</v>
      </c>
      <c r="C586" s="12">
        <v>44897</v>
      </c>
      <c r="D586" s="11" t="s">
        <v>7943</v>
      </c>
      <c r="E586" s="11">
        <v>1</v>
      </c>
      <c r="F586" s="11" t="s">
        <v>45</v>
      </c>
      <c r="G586" s="11" t="s">
        <v>45</v>
      </c>
      <c r="H586" s="31" t="str" cm="1">
        <f t="array" ref="H586">_xlfn.IFS(
  ISBLANK(A586),"Missing Value",
  OR(E586&lt;1,E586&gt;5),"Review – Out of Range (Satisfaction)",
  ISNA(MATCH(B586,Customer_Master!$A$2:$A$1649,0)),"Retained – Unmatched ID (Anonymous Feedback Rule)",
  TRUE,"OK"
)</f>
        <v>Retained – Unmatched ID (Anonymous Feedback Rule)</v>
      </c>
      <c r="I586" s="17" t="b">
        <f>IF(COUNTIF(Customer_Master!$A:$A,B586)=0,TRUE,FALSE)</f>
        <v>1</v>
      </c>
    </row>
    <row r="587" spans="1:9" ht="16.8" x14ac:dyDescent="0.3">
      <c r="A587" s="14" t="s">
        <v>8710</v>
      </c>
      <c r="B587" s="14" t="s">
        <v>739</v>
      </c>
      <c r="C587" s="15">
        <v>43987</v>
      </c>
      <c r="D587" s="14" t="s">
        <v>7947</v>
      </c>
      <c r="E587" s="14">
        <v>5</v>
      </c>
      <c r="F587" s="14" t="s">
        <v>45</v>
      </c>
      <c r="G587" s="14" t="s">
        <v>45</v>
      </c>
      <c r="H587" s="31" t="str" cm="1">
        <f t="array" ref="H587">_xlfn.IFS(
  ISBLANK(A587),"Missing Value",
  OR(E587&lt;1,E587&gt;5),"Review – Out of Range (Satisfaction)",
  ISNA(MATCH(B587,Customer_Master!$A$2:$A$1649,0)),"Retained – Unmatched ID (Anonymous Feedback Rule)",
  TRUE,"OK"
)</f>
        <v>OK</v>
      </c>
      <c r="I587" s="18" t="b">
        <f>IF(COUNTIF(Customer_Master!$A:$A,B587)=0,TRUE,FALSE)</f>
        <v>0</v>
      </c>
    </row>
    <row r="588" spans="1:9" ht="33.6" x14ac:dyDescent="0.3">
      <c r="A588" s="11" t="s">
        <v>8711</v>
      </c>
      <c r="B588" s="11" t="s">
        <v>8712</v>
      </c>
      <c r="C588" s="12">
        <v>44097</v>
      </c>
      <c r="D588" s="11" t="s">
        <v>7928</v>
      </c>
      <c r="E588" s="11">
        <v>3</v>
      </c>
      <c r="F588" s="11" t="s">
        <v>45</v>
      </c>
      <c r="G588" s="11" t="s">
        <v>46</v>
      </c>
      <c r="H588" s="31" t="str" cm="1">
        <f t="array" ref="H588">_xlfn.IFS(
  ISBLANK(A588),"Missing Value",
  OR(E588&lt;1,E588&gt;5),"Review – Out of Range (Satisfaction)",
  ISNA(MATCH(B588,Customer_Master!$A$2:$A$1649,0)),"Retained – Unmatched ID (Anonymous Feedback Rule)",
  TRUE,"OK"
)</f>
        <v>Retained – Unmatched ID (Anonymous Feedback Rule)</v>
      </c>
      <c r="I588" s="17" t="b">
        <f>IF(COUNTIF(Customer_Master!$A:$A,B588)=0,TRUE,FALSE)</f>
        <v>1</v>
      </c>
    </row>
    <row r="589" spans="1:9" ht="16.8" x14ac:dyDescent="0.3">
      <c r="A589" s="14" t="s">
        <v>8713</v>
      </c>
      <c r="B589" s="14" t="s">
        <v>1761</v>
      </c>
      <c r="C589" s="15">
        <v>44246</v>
      </c>
      <c r="D589" s="14" t="s">
        <v>7928</v>
      </c>
      <c r="E589" s="14">
        <v>3</v>
      </c>
      <c r="F589" s="14" t="s">
        <v>45</v>
      </c>
      <c r="G589" s="14" t="s">
        <v>46</v>
      </c>
      <c r="H589" s="31" t="str" cm="1">
        <f t="array" ref="H589">_xlfn.IFS(
  ISBLANK(A589),"Missing Value",
  OR(E589&lt;1,E589&gt;5),"Review – Out of Range (Satisfaction)",
  ISNA(MATCH(B589,Customer_Master!$A$2:$A$1649,0)),"Retained – Unmatched ID (Anonymous Feedback Rule)",
  TRUE,"OK"
)</f>
        <v>OK</v>
      </c>
      <c r="I589" s="18" t="b">
        <f>IF(COUNTIF(Customer_Master!$A:$A,B589)=0,TRUE,FALSE)</f>
        <v>0</v>
      </c>
    </row>
    <row r="590" spans="1:9" ht="16.8" x14ac:dyDescent="0.3">
      <c r="A590" s="11" t="s">
        <v>8714</v>
      </c>
      <c r="B590" s="11" t="s">
        <v>276</v>
      </c>
      <c r="C590" s="12">
        <v>44640</v>
      </c>
      <c r="D590" s="11" t="s">
        <v>7928</v>
      </c>
      <c r="E590" s="11">
        <v>1</v>
      </c>
      <c r="F590" s="11" t="s">
        <v>45</v>
      </c>
      <c r="G590" s="11" t="s">
        <v>46</v>
      </c>
      <c r="H590" s="31" t="str" cm="1">
        <f t="array" ref="H590">_xlfn.IFS(
  ISBLANK(A590),"Missing Value",
  OR(E590&lt;1,E590&gt;5),"Review – Out of Range (Satisfaction)",
  ISNA(MATCH(B590,Customer_Master!$A$2:$A$1649,0)),"Retained – Unmatched ID (Anonymous Feedback Rule)",
  TRUE,"OK"
)</f>
        <v>OK</v>
      </c>
      <c r="I590" s="17" t="b">
        <f>IF(COUNTIF(Customer_Master!$A:$A,B590)=0,TRUE,FALSE)</f>
        <v>0</v>
      </c>
    </row>
    <row r="591" spans="1:9" ht="16.8" x14ac:dyDescent="0.3">
      <c r="A591" s="14" t="s">
        <v>8715</v>
      </c>
      <c r="B591" s="14" t="s">
        <v>1679</v>
      </c>
      <c r="C591" s="15">
        <v>45061</v>
      </c>
      <c r="D591" s="14" t="s">
        <v>7947</v>
      </c>
      <c r="E591" s="14">
        <v>3</v>
      </c>
      <c r="F591" s="14" t="s">
        <v>45</v>
      </c>
      <c r="G591" s="14" t="s">
        <v>45</v>
      </c>
      <c r="H591" s="31" t="str" cm="1">
        <f t="array" ref="H591">_xlfn.IFS(
  ISBLANK(A591),"Missing Value",
  OR(E591&lt;1,E591&gt;5),"Review – Out of Range (Satisfaction)",
  ISNA(MATCH(B591,Customer_Master!$A$2:$A$1649,0)),"Retained – Unmatched ID (Anonymous Feedback Rule)",
  TRUE,"OK"
)</f>
        <v>OK</v>
      </c>
      <c r="I591" s="18" t="b">
        <f>IF(COUNTIF(Customer_Master!$A:$A,B591)=0,TRUE,FALSE)</f>
        <v>0</v>
      </c>
    </row>
    <row r="592" spans="1:9" ht="16.8" x14ac:dyDescent="0.3">
      <c r="A592" s="11" t="s">
        <v>8716</v>
      </c>
      <c r="B592" s="11" t="s">
        <v>2465</v>
      </c>
      <c r="C592" s="12">
        <v>44129</v>
      </c>
      <c r="D592" s="11" t="s">
        <v>7931</v>
      </c>
      <c r="E592" s="11">
        <v>4</v>
      </c>
      <c r="F592" s="11" t="s">
        <v>46</v>
      </c>
      <c r="G592" s="11" t="s">
        <v>45</v>
      </c>
      <c r="H592" s="31" t="str" cm="1">
        <f t="array" ref="H592">_xlfn.IFS(
  ISBLANK(A592),"Missing Value",
  OR(E592&lt;1,E592&gt;5),"Review – Out of Range (Satisfaction)",
  ISNA(MATCH(B592,Customer_Master!$A$2:$A$1649,0)),"Retained – Unmatched ID (Anonymous Feedback Rule)",
  TRUE,"OK"
)</f>
        <v>OK</v>
      </c>
      <c r="I592" s="17" t="b">
        <f>IF(COUNTIF(Customer_Master!$A:$A,B592)=0,TRUE,FALSE)</f>
        <v>0</v>
      </c>
    </row>
    <row r="593" spans="1:9" ht="16.8" x14ac:dyDescent="0.3">
      <c r="A593" s="14" t="s">
        <v>8717</v>
      </c>
      <c r="B593" s="14" t="s">
        <v>2295</v>
      </c>
      <c r="C593" s="15">
        <v>44309</v>
      </c>
      <c r="D593" s="14" t="s">
        <v>7969</v>
      </c>
      <c r="E593" s="14">
        <v>2</v>
      </c>
      <c r="F593" s="14" t="s">
        <v>45</v>
      </c>
      <c r="G593" s="14" t="s">
        <v>46</v>
      </c>
      <c r="H593" s="31" t="str" cm="1">
        <f t="array" ref="H593">_xlfn.IFS(
  ISBLANK(A593),"Missing Value",
  OR(E593&lt;1,E593&gt;5),"Review – Out of Range (Satisfaction)",
  ISNA(MATCH(B593,Customer_Master!$A$2:$A$1649,0)),"Retained – Unmatched ID (Anonymous Feedback Rule)",
  TRUE,"OK"
)</f>
        <v>OK</v>
      </c>
      <c r="I593" s="18" t="b">
        <f>IF(COUNTIF(Customer_Master!$A:$A,B593)=0,TRUE,FALSE)</f>
        <v>0</v>
      </c>
    </row>
    <row r="594" spans="1:9" ht="33.6" x14ac:dyDescent="0.3">
      <c r="A594" s="11" t="s">
        <v>8718</v>
      </c>
      <c r="B594" s="11" t="s">
        <v>7996</v>
      </c>
      <c r="C594" s="12">
        <v>44021</v>
      </c>
      <c r="D594" s="11" t="s">
        <v>7933</v>
      </c>
      <c r="E594" s="11">
        <v>2</v>
      </c>
      <c r="F594" s="11" t="s">
        <v>45</v>
      </c>
      <c r="G594" s="11" t="s">
        <v>45</v>
      </c>
      <c r="H594" s="31" t="str" cm="1">
        <f t="array" ref="H594">_xlfn.IFS(
  ISBLANK(A594),"Missing Value",
  OR(E594&lt;1,E594&gt;5),"Review – Out of Range (Satisfaction)",
  ISNA(MATCH(B594,Customer_Master!$A$2:$A$1649,0)),"Retained – Unmatched ID (Anonymous Feedback Rule)",
  TRUE,"OK"
)</f>
        <v>Retained – Unmatched ID (Anonymous Feedback Rule)</v>
      </c>
      <c r="I594" s="17" t="b">
        <f>IF(COUNTIF(Customer_Master!$A:$A,B594)=0,TRUE,FALSE)</f>
        <v>1</v>
      </c>
    </row>
    <row r="595" spans="1:9" ht="16.8" x14ac:dyDescent="0.3">
      <c r="A595" s="14" t="s">
        <v>8719</v>
      </c>
      <c r="B595" s="14" t="s">
        <v>2563</v>
      </c>
      <c r="C595" s="15">
        <v>44357</v>
      </c>
      <c r="D595" s="14" t="s">
        <v>7947</v>
      </c>
      <c r="E595" s="14">
        <v>4</v>
      </c>
      <c r="F595" s="14" t="s">
        <v>45</v>
      </c>
      <c r="G595" s="14" t="s">
        <v>46</v>
      </c>
      <c r="H595" s="31" t="str" cm="1">
        <f t="array" ref="H595">_xlfn.IFS(
  ISBLANK(A595),"Missing Value",
  OR(E595&lt;1,E595&gt;5),"Review – Out of Range (Satisfaction)",
  ISNA(MATCH(B595,Customer_Master!$A$2:$A$1649,0)),"Retained – Unmatched ID (Anonymous Feedback Rule)",
  TRUE,"OK"
)</f>
        <v>OK</v>
      </c>
      <c r="I595" s="18" t="b">
        <f>IF(COUNTIF(Customer_Master!$A:$A,B595)=0,TRUE,FALSE)</f>
        <v>0</v>
      </c>
    </row>
    <row r="596" spans="1:9" ht="16.8" x14ac:dyDescent="0.3">
      <c r="A596" s="11" t="s">
        <v>8720</v>
      </c>
      <c r="B596" s="11" t="s">
        <v>2721</v>
      </c>
      <c r="C596" s="12">
        <v>43993</v>
      </c>
      <c r="D596" s="11" t="s">
        <v>7933</v>
      </c>
      <c r="E596" s="11">
        <v>3</v>
      </c>
      <c r="F596" s="11" t="s">
        <v>46</v>
      </c>
      <c r="G596" s="11" t="s">
        <v>46</v>
      </c>
      <c r="H596" s="31" t="str" cm="1">
        <f t="array" ref="H596">_xlfn.IFS(
  ISBLANK(A596),"Missing Value",
  OR(E596&lt;1,E596&gt;5),"Review – Out of Range (Satisfaction)",
  ISNA(MATCH(B596,Customer_Master!$A$2:$A$1649,0)),"Retained – Unmatched ID (Anonymous Feedback Rule)",
  TRUE,"OK"
)</f>
        <v>OK</v>
      </c>
      <c r="I596" s="17" t="b">
        <f>IF(COUNTIF(Customer_Master!$A:$A,B596)=0,TRUE,FALSE)</f>
        <v>0</v>
      </c>
    </row>
    <row r="597" spans="1:9" ht="33.6" x14ac:dyDescent="0.3">
      <c r="A597" s="14" t="s">
        <v>8721</v>
      </c>
      <c r="B597" s="14" t="s">
        <v>8722</v>
      </c>
      <c r="C597" s="15">
        <v>45213</v>
      </c>
      <c r="D597" s="14" t="s">
        <v>7943</v>
      </c>
      <c r="E597" s="14">
        <v>1</v>
      </c>
      <c r="F597" s="14" t="s">
        <v>45</v>
      </c>
      <c r="G597" s="14" t="s">
        <v>46</v>
      </c>
      <c r="H597" s="31" t="str" cm="1">
        <f t="array" ref="H597">_xlfn.IFS(
  ISBLANK(A597),"Missing Value",
  OR(E597&lt;1,E597&gt;5),"Review – Out of Range (Satisfaction)",
  ISNA(MATCH(B597,Customer_Master!$A$2:$A$1649,0)),"Retained – Unmatched ID (Anonymous Feedback Rule)",
  TRUE,"OK"
)</f>
        <v>Retained – Unmatched ID (Anonymous Feedback Rule)</v>
      </c>
      <c r="I597" s="18" t="b">
        <f>IF(COUNTIF(Customer_Master!$A:$A,B597)=0,TRUE,FALSE)</f>
        <v>1</v>
      </c>
    </row>
    <row r="598" spans="1:9" ht="16.8" x14ac:dyDescent="0.3">
      <c r="A598" s="11" t="s">
        <v>8723</v>
      </c>
      <c r="B598" s="11" t="s">
        <v>2975</v>
      </c>
      <c r="C598" s="12">
        <v>45008</v>
      </c>
      <c r="D598" s="11" t="s">
        <v>7937</v>
      </c>
      <c r="E598" s="11">
        <v>4</v>
      </c>
      <c r="F598" s="11" t="s">
        <v>46</v>
      </c>
      <c r="G598" s="11" t="s">
        <v>45</v>
      </c>
      <c r="H598" s="31" t="str" cm="1">
        <f t="array" ref="H598">_xlfn.IFS(
  ISBLANK(A598),"Missing Value",
  OR(E598&lt;1,E598&gt;5),"Review – Out of Range (Satisfaction)",
  ISNA(MATCH(B598,Customer_Master!$A$2:$A$1649,0)),"Retained – Unmatched ID (Anonymous Feedback Rule)",
  TRUE,"OK"
)</f>
        <v>OK</v>
      </c>
      <c r="I598" s="17" t="b">
        <f>IF(COUNTIF(Customer_Master!$A:$A,B598)=0,TRUE,FALSE)</f>
        <v>0</v>
      </c>
    </row>
    <row r="599" spans="1:9" ht="33.6" x14ac:dyDescent="0.3">
      <c r="A599" s="14" t="s">
        <v>8724</v>
      </c>
      <c r="B599" s="14" t="s">
        <v>8376</v>
      </c>
      <c r="C599" s="15">
        <v>44704</v>
      </c>
      <c r="D599" s="14" t="s">
        <v>7969</v>
      </c>
      <c r="E599" s="14">
        <v>2</v>
      </c>
      <c r="F599" s="14" t="s">
        <v>45</v>
      </c>
      <c r="G599" s="14" t="s">
        <v>46</v>
      </c>
      <c r="H599" s="31" t="str" cm="1">
        <f t="array" ref="H599">_xlfn.IFS(
  ISBLANK(A599),"Missing Value",
  OR(E599&lt;1,E599&gt;5),"Review – Out of Range (Satisfaction)",
  ISNA(MATCH(B599,Customer_Master!$A$2:$A$1649,0)),"Retained – Unmatched ID (Anonymous Feedback Rule)",
  TRUE,"OK"
)</f>
        <v>Retained – Unmatched ID (Anonymous Feedback Rule)</v>
      </c>
      <c r="I599" s="18" t="b">
        <f>IF(COUNTIF(Customer_Master!$A:$A,B599)=0,TRUE,FALSE)</f>
        <v>1</v>
      </c>
    </row>
    <row r="600" spans="1:9" ht="33.6" x14ac:dyDescent="0.3">
      <c r="A600" s="11" t="s">
        <v>8725</v>
      </c>
      <c r="B600" s="11" t="s">
        <v>8402</v>
      </c>
      <c r="C600" s="12">
        <v>44141</v>
      </c>
      <c r="D600" s="11" t="s">
        <v>7935</v>
      </c>
      <c r="E600" s="11">
        <v>4</v>
      </c>
      <c r="F600" s="11" t="s">
        <v>45</v>
      </c>
      <c r="G600" s="11" t="s">
        <v>45</v>
      </c>
      <c r="H600" s="31" t="str" cm="1">
        <f t="array" ref="H600">_xlfn.IFS(
  ISBLANK(A600),"Missing Value",
  OR(E600&lt;1,E600&gt;5),"Review – Out of Range (Satisfaction)",
  ISNA(MATCH(B600,Customer_Master!$A$2:$A$1649,0)),"Retained – Unmatched ID (Anonymous Feedback Rule)",
  TRUE,"OK"
)</f>
        <v>Retained – Unmatched ID (Anonymous Feedback Rule)</v>
      </c>
      <c r="I600" s="17" t="b">
        <f>IF(COUNTIF(Customer_Master!$A:$A,B600)=0,TRUE,FALSE)</f>
        <v>1</v>
      </c>
    </row>
    <row r="601" spans="1:9" ht="33.6" x14ac:dyDescent="0.3">
      <c r="A601" s="14" t="s">
        <v>8726</v>
      </c>
      <c r="B601" s="14" t="s">
        <v>8727</v>
      </c>
      <c r="C601" s="15">
        <v>44425</v>
      </c>
      <c r="D601" s="14" t="s">
        <v>7969</v>
      </c>
      <c r="E601" s="14">
        <v>2</v>
      </c>
      <c r="F601" s="14" t="s">
        <v>46</v>
      </c>
      <c r="G601" s="14" t="s">
        <v>45</v>
      </c>
      <c r="H601" s="31" t="str" cm="1">
        <f t="array" ref="H601">_xlfn.IFS(
  ISBLANK(A601),"Missing Value",
  OR(E601&lt;1,E601&gt;5),"Review – Out of Range (Satisfaction)",
  ISNA(MATCH(B601,Customer_Master!$A$2:$A$1649,0)),"Retained – Unmatched ID (Anonymous Feedback Rule)",
  TRUE,"OK"
)</f>
        <v>Retained – Unmatched ID (Anonymous Feedback Rule)</v>
      </c>
      <c r="I601" s="18" t="b">
        <f>IF(COUNTIF(Customer_Master!$A:$A,B601)=0,TRUE,FALSE)</f>
        <v>1</v>
      </c>
    </row>
    <row r="602" spans="1:9" ht="16.8" x14ac:dyDescent="0.3">
      <c r="A602" s="11" t="s">
        <v>8728</v>
      </c>
      <c r="B602" s="11" t="s">
        <v>3278</v>
      </c>
      <c r="C602" s="12">
        <v>45079</v>
      </c>
      <c r="D602" s="11" t="s">
        <v>7940</v>
      </c>
      <c r="E602" s="11">
        <v>4</v>
      </c>
      <c r="F602" s="11" t="s">
        <v>46</v>
      </c>
      <c r="G602" s="11" t="s">
        <v>46</v>
      </c>
      <c r="H602" s="31" t="str" cm="1">
        <f t="array" ref="H602">_xlfn.IFS(
  ISBLANK(A602),"Missing Value",
  OR(E602&lt;1,E602&gt;5),"Review – Out of Range (Satisfaction)",
  ISNA(MATCH(B602,Customer_Master!$A$2:$A$1649,0)),"Retained – Unmatched ID (Anonymous Feedback Rule)",
  TRUE,"OK"
)</f>
        <v>OK</v>
      </c>
      <c r="I602" s="17" t="b">
        <f>IF(COUNTIF(Customer_Master!$A:$A,B602)=0,TRUE,FALSE)</f>
        <v>0</v>
      </c>
    </row>
    <row r="603" spans="1:9" ht="16.8" x14ac:dyDescent="0.3">
      <c r="A603" s="14" t="s">
        <v>8729</v>
      </c>
      <c r="B603" s="14" t="s">
        <v>2797</v>
      </c>
      <c r="C603" s="15">
        <v>44548</v>
      </c>
      <c r="D603" s="14" t="s">
        <v>7940</v>
      </c>
      <c r="E603" s="14">
        <v>5</v>
      </c>
      <c r="F603" s="14" t="s">
        <v>45</v>
      </c>
      <c r="G603" s="14" t="s">
        <v>45</v>
      </c>
      <c r="H603" s="31" t="str" cm="1">
        <f t="array" ref="H603">_xlfn.IFS(
  ISBLANK(A603),"Missing Value",
  OR(E603&lt;1,E603&gt;5),"Review – Out of Range (Satisfaction)",
  ISNA(MATCH(B603,Customer_Master!$A$2:$A$1649,0)),"Retained – Unmatched ID (Anonymous Feedback Rule)",
  TRUE,"OK"
)</f>
        <v>OK</v>
      </c>
      <c r="I603" s="18" t="b">
        <f>IF(COUNTIF(Customer_Master!$A:$A,B603)=0,TRUE,FALSE)</f>
        <v>0</v>
      </c>
    </row>
    <row r="604" spans="1:9" ht="16.8" x14ac:dyDescent="0.3">
      <c r="A604" s="11" t="s">
        <v>8730</v>
      </c>
      <c r="B604" s="11" t="s">
        <v>2551</v>
      </c>
      <c r="C604" s="12">
        <v>44845</v>
      </c>
      <c r="D604" s="11" t="s">
        <v>7940</v>
      </c>
      <c r="E604" s="11">
        <v>5</v>
      </c>
      <c r="F604" s="11" t="s">
        <v>46</v>
      </c>
      <c r="G604" s="11" t="s">
        <v>46</v>
      </c>
      <c r="H604" s="31" t="str" cm="1">
        <f t="array" ref="H604">_xlfn.IFS(
  ISBLANK(A604),"Missing Value",
  OR(E604&lt;1,E604&gt;5),"Review – Out of Range (Satisfaction)",
  ISNA(MATCH(B604,Customer_Master!$A$2:$A$1649,0)),"Retained – Unmatched ID (Anonymous Feedback Rule)",
  TRUE,"OK"
)</f>
        <v>OK</v>
      </c>
      <c r="I604" s="17" t="b">
        <f>IF(COUNTIF(Customer_Master!$A:$A,B604)=0,TRUE,FALSE)</f>
        <v>0</v>
      </c>
    </row>
    <row r="605" spans="1:9" ht="16.8" x14ac:dyDescent="0.3">
      <c r="A605" s="14" t="s">
        <v>8731</v>
      </c>
      <c r="B605" s="14" t="s">
        <v>2831</v>
      </c>
      <c r="C605" s="15">
        <v>44731</v>
      </c>
      <c r="D605" s="14" t="s">
        <v>7978</v>
      </c>
      <c r="E605" s="14">
        <v>1</v>
      </c>
      <c r="F605" s="14" t="s">
        <v>46</v>
      </c>
      <c r="G605" s="14" t="s">
        <v>46</v>
      </c>
      <c r="H605" s="31" t="str" cm="1">
        <f t="array" ref="H605">_xlfn.IFS(
  ISBLANK(A605),"Missing Value",
  OR(E605&lt;1,E605&gt;5),"Review – Out of Range (Satisfaction)",
  ISNA(MATCH(B605,Customer_Master!$A$2:$A$1649,0)),"Retained – Unmatched ID (Anonymous Feedback Rule)",
  TRUE,"OK"
)</f>
        <v>OK</v>
      </c>
      <c r="I605" s="18" t="b">
        <f>IF(COUNTIF(Customer_Master!$A:$A,B605)=0,TRUE,FALSE)</f>
        <v>0</v>
      </c>
    </row>
    <row r="606" spans="1:9" ht="16.8" x14ac:dyDescent="0.3">
      <c r="A606" s="11" t="s">
        <v>8732</v>
      </c>
      <c r="B606" s="11" t="s">
        <v>1403</v>
      </c>
      <c r="C606" s="12">
        <v>44578</v>
      </c>
      <c r="D606" s="11" t="s">
        <v>7937</v>
      </c>
      <c r="E606" s="11">
        <v>5</v>
      </c>
      <c r="F606" s="11" t="s">
        <v>45</v>
      </c>
      <c r="G606" s="11" t="s">
        <v>45</v>
      </c>
      <c r="H606" s="31" t="str" cm="1">
        <f t="array" ref="H606">_xlfn.IFS(
  ISBLANK(A606),"Missing Value",
  OR(E606&lt;1,E606&gt;5),"Review – Out of Range (Satisfaction)",
  ISNA(MATCH(B606,Customer_Master!$A$2:$A$1649,0)),"Retained – Unmatched ID (Anonymous Feedback Rule)",
  TRUE,"OK"
)</f>
        <v>OK</v>
      </c>
      <c r="I606" s="17" t="b">
        <f>IF(COUNTIF(Customer_Master!$A:$A,B606)=0,TRUE,FALSE)</f>
        <v>0</v>
      </c>
    </row>
    <row r="607" spans="1:9" ht="16.8" x14ac:dyDescent="0.3">
      <c r="A607" s="14" t="s">
        <v>8733</v>
      </c>
      <c r="B607" s="14" t="s">
        <v>1099</v>
      </c>
      <c r="C607" s="15">
        <v>44913</v>
      </c>
      <c r="D607" s="14" t="s">
        <v>7928</v>
      </c>
      <c r="E607" s="14">
        <v>3</v>
      </c>
      <c r="F607" s="14" t="s">
        <v>46</v>
      </c>
      <c r="G607" s="14" t="s">
        <v>45</v>
      </c>
      <c r="H607" s="31" t="str" cm="1">
        <f t="array" ref="H607">_xlfn.IFS(
  ISBLANK(A607),"Missing Value",
  OR(E607&lt;1,E607&gt;5),"Review – Out of Range (Satisfaction)",
  ISNA(MATCH(B607,Customer_Master!$A$2:$A$1649,0)),"Retained – Unmatched ID (Anonymous Feedback Rule)",
  TRUE,"OK"
)</f>
        <v>OK</v>
      </c>
      <c r="I607" s="18" t="b">
        <f>IF(COUNTIF(Customer_Master!$A:$A,B607)=0,TRUE,FALSE)</f>
        <v>0</v>
      </c>
    </row>
    <row r="608" spans="1:9" ht="33.6" x14ac:dyDescent="0.3">
      <c r="A608" s="11" t="s">
        <v>8734</v>
      </c>
      <c r="B608" s="11" t="s">
        <v>8735</v>
      </c>
      <c r="C608" s="12">
        <v>44353</v>
      </c>
      <c r="D608" s="11" t="s">
        <v>7978</v>
      </c>
      <c r="E608" s="11">
        <v>3</v>
      </c>
      <c r="F608" s="11" t="s">
        <v>46</v>
      </c>
      <c r="G608" s="11" t="s">
        <v>45</v>
      </c>
      <c r="H608" s="31" t="str" cm="1">
        <f t="array" ref="H608">_xlfn.IFS(
  ISBLANK(A608),"Missing Value",
  OR(E608&lt;1,E608&gt;5),"Review – Out of Range (Satisfaction)",
  ISNA(MATCH(B608,Customer_Master!$A$2:$A$1649,0)),"Retained – Unmatched ID (Anonymous Feedback Rule)",
  TRUE,"OK"
)</f>
        <v>Retained – Unmatched ID (Anonymous Feedback Rule)</v>
      </c>
      <c r="I608" s="17" t="b">
        <f>IF(COUNTIF(Customer_Master!$A:$A,B608)=0,TRUE,FALSE)</f>
        <v>1</v>
      </c>
    </row>
    <row r="609" spans="1:9" ht="16.8" x14ac:dyDescent="0.3">
      <c r="A609" s="14" t="s">
        <v>8736</v>
      </c>
      <c r="B609" s="14" t="s">
        <v>1875</v>
      </c>
      <c r="C609" s="15">
        <v>44804</v>
      </c>
      <c r="D609" s="14" t="s">
        <v>7935</v>
      </c>
      <c r="E609" s="14">
        <v>4</v>
      </c>
      <c r="F609" s="14" t="s">
        <v>46</v>
      </c>
      <c r="G609" s="14" t="s">
        <v>45</v>
      </c>
      <c r="H609" s="31" t="str" cm="1">
        <f t="array" ref="H609">_xlfn.IFS(
  ISBLANK(A609),"Missing Value",
  OR(E609&lt;1,E609&gt;5),"Review – Out of Range (Satisfaction)",
  ISNA(MATCH(B609,Customer_Master!$A$2:$A$1649,0)),"Retained – Unmatched ID (Anonymous Feedback Rule)",
  TRUE,"OK"
)</f>
        <v>OK</v>
      </c>
      <c r="I609" s="18" t="b">
        <f>IF(COUNTIF(Customer_Master!$A:$A,B609)=0,TRUE,FALSE)</f>
        <v>0</v>
      </c>
    </row>
    <row r="610" spans="1:9" ht="16.8" x14ac:dyDescent="0.3">
      <c r="A610" s="11" t="s">
        <v>8737</v>
      </c>
      <c r="B610" s="11" t="s">
        <v>226</v>
      </c>
      <c r="C610" s="12">
        <v>45240</v>
      </c>
      <c r="D610" s="11" t="s">
        <v>7940</v>
      </c>
      <c r="E610" s="11">
        <v>4</v>
      </c>
      <c r="F610" s="11" t="s">
        <v>46</v>
      </c>
      <c r="G610" s="11" t="s">
        <v>45</v>
      </c>
      <c r="H610" s="31" t="str" cm="1">
        <f t="array" ref="H610">_xlfn.IFS(
  ISBLANK(A610),"Missing Value",
  OR(E610&lt;1,E610&gt;5),"Review – Out of Range (Satisfaction)",
  ISNA(MATCH(B610,Customer_Master!$A$2:$A$1649,0)),"Retained – Unmatched ID (Anonymous Feedback Rule)",
  TRUE,"OK"
)</f>
        <v>OK</v>
      </c>
      <c r="I610" s="17" t="b">
        <f>IF(COUNTIF(Customer_Master!$A:$A,B610)=0,TRUE,FALSE)</f>
        <v>0</v>
      </c>
    </row>
    <row r="611" spans="1:9" ht="16.8" x14ac:dyDescent="0.3">
      <c r="A611" s="14" t="s">
        <v>8738</v>
      </c>
      <c r="B611" s="14" t="s">
        <v>2225</v>
      </c>
      <c r="C611" s="15">
        <v>44857</v>
      </c>
      <c r="D611" s="14" t="s">
        <v>7947</v>
      </c>
      <c r="E611" s="14">
        <v>3</v>
      </c>
      <c r="F611" s="14" t="s">
        <v>45</v>
      </c>
      <c r="G611" s="14" t="s">
        <v>45</v>
      </c>
      <c r="H611" s="31" t="str" cm="1">
        <f t="array" ref="H611">_xlfn.IFS(
  ISBLANK(A611),"Missing Value",
  OR(E611&lt;1,E611&gt;5),"Review – Out of Range (Satisfaction)",
  ISNA(MATCH(B611,Customer_Master!$A$2:$A$1649,0)),"Retained – Unmatched ID (Anonymous Feedback Rule)",
  TRUE,"OK"
)</f>
        <v>OK</v>
      </c>
      <c r="I611" s="18" t="b">
        <f>IF(COUNTIF(Customer_Master!$A:$A,B611)=0,TRUE,FALSE)</f>
        <v>0</v>
      </c>
    </row>
    <row r="612" spans="1:9" ht="33.6" x14ac:dyDescent="0.3">
      <c r="A612" s="11" t="s">
        <v>8739</v>
      </c>
      <c r="B612" s="11" t="s">
        <v>8740</v>
      </c>
      <c r="C612" s="12">
        <v>44567</v>
      </c>
      <c r="D612" s="11" t="s">
        <v>7947</v>
      </c>
      <c r="E612" s="11">
        <v>3</v>
      </c>
      <c r="F612" s="11" t="s">
        <v>46</v>
      </c>
      <c r="G612" s="11" t="s">
        <v>45</v>
      </c>
      <c r="H612" s="31" t="str" cm="1">
        <f t="array" ref="H612">_xlfn.IFS(
  ISBLANK(A612),"Missing Value",
  OR(E612&lt;1,E612&gt;5),"Review – Out of Range (Satisfaction)",
  ISNA(MATCH(B612,Customer_Master!$A$2:$A$1649,0)),"Retained – Unmatched ID (Anonymous Feedback Rule)",
  TRUE,"OK"
)</f>
        <v>Retained – Unmatched ID (Anonymous Feedback Rule)</v>
      </c>
      <c r="I612" s="17" t="b">
        <f>IF(COUNTIF(Customer_Master!$A:$A,B612)=0,TRUE,FALSE)</f>
        <v>1</v>
      </c>
    </row>
    <row r="613" spans="1:9" ht="33.6" x14ac:dyDescent="0.3">
      <c r="A613" s="14" t="s">
        <v>8741</v>
      </c>
      <c r="B613" s="14" t="s">
        <v>8179</v>
      </c>
      <c r="C613" s="15">
        <v>45063</v>
      </c>
      <c r="D613" s="14" t="s">
        <v>7969</v>
      </c>
      <c r="E613" s="14">
        <v>1</v>
      </c>
      <c r="F613" s="14" t="s">
        <v>46</v>
      </c>
      <c r="G613" s="14" t="s">
        <v>45</v>
      </c>
      <c r="H613" s="31" t="str" cm="1">
        <f t="array" ref="H613">_xlfn.IFS(
  ISBLANK(A613),"Missing Value",
  OR(E613&lt;1,E613&gt;5),"Review – Out of Range (Satisfaction)",
  ISNA(MATCH(B613,Customer_Master!$A$2:$A$1649,0)),"Retained – Unmatched ID (Anonymous Feedback Rule)",
  TRUE,"OK"
)</f>
        <v>Retained – Unmatched ID (Anonymous Feedback Rule)</v>
      </c>
      <c r="I613" s="18" t="b">
        <f>IF(COUNTIF(Customer_Master!$A:$A,B613)=0,TRUE,FALSE)</f>
        <v>1</v>
      </c>
    </row>
    <row r="614" spans="1:9" ht="16.8" x14ac:dyDescent="0.3">
      <c r="A614" s="11" t="s">
        <v>8742</v>
      </c>
      <c r="B614" s="11" t="s">
        <v>3180</v>
      </c>
      <c r="C614" s="12">
        <v>43947</v>
      </c>
      <c r="D614" s="11" t="s">
        <v>7947</v>
      </c>
      <c r="E614" s="11">
        <v>4</v>
      </c>
      <c r="F614" s="11" t="s">
        <v>45</v>
      </c>
      <c r="G614" s="11" t="s">
        <v>46</v>
      </c>
      <c r="H614" s="31" t="str" cm="1">
        <f t="array" ref="H614">_xlfn.IFS(
  ISBLANK(A614),"Missing Value",
  OR(E614&lt;1,E614&gt;5),"Review – Out of Range (Satisfaction)",
  ISNA(MATCH(B614,Customer_Master!$A$2:$A$1649,0)),"Retained – Unmatched ID (Anonymous Feedback Rule)",
  TRUE,"OK"
)</f>
        <v>OK</v>
      </c>
      <c r="I614" s="17" t="b">
        <f>IF(COUNTIF(Customer_Master!$A:$A,B614)=0,TRUE,FALSE)</f>
        <v>0</v>
      </c>
    </row>
    <row r="615" spans="1:9" ht="33.6" x14ac:dyDescent="0.3">
      <c r="A615" s="14" t="s">
        <v>8743</v>
      </c>
      <c r="B615" s="14" t="s">
        <v>8744</v>
      </c>
      <c r="C615" s="15">
        <v>44807</v>
      </c>
      <c r="D615" s="14" t="s">
        <v>7933</v>
      </c>
      <c r="E615" s="14">
        <v>3</v>
      </c>
      <c r="F615" s="14" t="s">
        <v>46</v>
      </c>
      <c r="G615" s="14" t="s">
        <v>45</v>
      </c>
      <c r="H615" s="31" t="str" cm="1">
        <f t="array" ref="H615">_xlfn.IFS(
  ISBLANK(A615),"Missing Value",
  OR(E615&lt;1,E615&gt;5),"Review – Out of Range (Satisfaction)",
  ISNA(MATCH(B615,Customer_Master!$A$2:$A$1649,0)),"Retained – Unmatched ID (Anonymous Feedback Rule)",
  TRUE,"OK"
)</f>
        <v>Retained – Unmatched ID (Anonymous Feedback Rule)</v>
      </c>
      <c r="I615" s="18" t="b">
        <f>IF(COUNTIF(Customer_Master!$A:$A,B615)=0,TRUE,FALSE)</f>
        <v>1</v>
      </c>
    </row>
    <row r="616" spans="1:9" ht="16.8" x14ac:dyDescent="0.3">
      <c r="A616" s="11" t="s">
        <v>8745</v>
      </c>
      <c r="B616" s="11" t="s">
        <v>2057</v>
      </c>
      <c r="C616" s="12">
        <v>44048</v>
      </c>
      <c r="D616" s="11" t="s">
        <v>7940</v>
      </c>
      <c r="E616" s="11">
        <v>4</v>
      </c>
      <c r="F616" s="11" t="s">
        <v>46</v>
      </c>
      <c r="G616" s="11" t="s">
        <v>46</v>
      </c>
      <c r="H616" s="31" t="str" cm="1">
        <f t="array" ref="H616">_xlfn.IFS(
  ISBLANK(A616),"Missing Value",
  OR(E616&lt;1,E616&gt;5),"Review – Out of Range (Satisfaction)",
  ISNA(MATCH(B616,Customer_Master!$A$2:$A$1649,0)),"Retained – Unmatched ID (Anonymous Feedback Rule)",
  TRUE,"OK"
)</f>
        <v>OK</v>
      </c>
      <c r="I616" s="17" t="b">
        <f>IF(COUNTIF(Customer_Master!$A:$A,B616)=0,TRUE,FALSE)</f>
        <v>0</v>
      </c>
    </row>
    <row r="617" spans="1:9" ht="16.8" x14ac:dyDescent="0.3">
      <c r="A617" s="14" t="s">
        <v>8746</v>
      </c>
      <c r="B617" s="14" t="s">
        <v>2461</v>
      </c>
      <c r="C617" s="15">
        <v>44828</v>
      </c>
      <c r="D617" s="14" t="s">
        <v>7937</v>
      </c>
      <c r="E617" s="14">
        <v>5</v>
      </c>
      <c r="F617" s="14" t="s">
        <v>46</v>
      </c>
      <c r="G617" s="14" t="s">
        <v>45</v>
      </c>
      <c r="H617" s="31" t="str" cm="1">
        <f t="array" ref="H617">_xlfn.IFS(
  ISBLANK(A617),"Missing Value",
  OR(E617&lt;1,E617&gt;5),"Review – Out of Range (Satisfaction)",
  ISNA(MATCH(B617,Customer_Master!$A$2:$A$1649,0)),"Retained – Unmatched ID (Anonymous Feedback Rule)",
  TRUE,"OK"
)</f>
        <v>OK</v>
      </c>
      <c r="I617" s="18" t="b">
        <f>IF(COUNTIF(Customer_Master!$A:$A,B617)=0,TRUE,FALSE)</f>
        <v>0</v>
      </c>
    </row>
    <row r="618" spans="1:9" ht="33.6" x14ac:dyDescent="0.3">
      <c r="A618" s="11" t="s">
        <v>8747</v>
      </c>
      <c r="B618" s="11" t="s">
        <v>8748</v>
      </c>
      <c r="C618" s="12">
        <v>45173</v>
      </c>
      <c r="D618" s="11" t="s">
        <v>7937</v>
      </c>
      <c r="E618" s="11">
        <v>5</v>
      </c>
      <c r="F618" s="11" t="s">
        <v>45</v>
      </c>
      <c r="G618" s="11" t="s">
        <v>45</v>
      </c>
      <c r="H618" s="31" t="str" cm="1">
        <f t="array" ref="H618">_xlfn.IFS(
  ISBLANK(A618),"Missing Value",
  OR(E618&lt;1,E618&gt;5),"Review – Out of Range (Satisfaction)",
  ISNA(MATCH(B618,Customer_Master!$A$2:$A$1649,0)),"Retained – Unmatched ID (Anonymous Feedback Rule)",
  TRUE,"OK"
)</f>
        <v>Retained – Unmatched ID (Anonymous Feedback Rule)</v>
      </c>
      <c r="I618" s="17" t="b">
        <f>IF(COUNTIF(Customer_Master!$A:$A,B618)=0,TRUE,FALSE)</f>
        <v>1</v>
      </c>
    </row>
    <row r="619" spans="1:9" ht="16.8" x14ac:dyDescent="0.3">
      <c r="A619" s="14" t="s">
        <v>8749</v>
      </c>
      <c r="B619" s="14" t="s">
        <v>3028</v>
      </c>
      <c r="C619" s="15">
        <v>45042</v>
      </c>
      <c r="D619" s="14" t="s">
        <v>7947</v>
      </c>
      <c r="E619" s="14">
        <v>4</v>
      </c>
      <c r="F619" s="14" t="s">
        <v>46</v>
      </c>
      <c r="G619" s="14" t="s">
        <v>46</v>
      </c>
      <c r="H619" s="31" t="str" cm="1">
        <f t="array" ref="H619">_xlfn.IFS(
  ISBLANK(A619),"Missing Value",
  OR(E619&lt;1,E619&gt;5),"Review – Out of Range (Satisfaction)",
  ISNA(MATCH(B619,Customer_Master!$A$2:$A$1649,0)),"Retained – Unmatched ID (Anonymous Feedback Rule)",
  TRUE,"OK"
)</f>
        <v>OK</v>
      </c>
      <c r="I619" s="18" t="b">
        <f>IF(COUNTIF(Customer_Master!$A:$A,B619)=0,TRUE,FALSE)</f>
        <v>0</v>
      </c>
    </row>
    <row r="620" spans="1:9" ht="16.8" x14ac:dyDescent="0.3">
      <c r="A620" s="11" t="s">
        <v>8750</v>
      </c>
      <c r="B620" s="11" t="s">
        <v>2051</v>
      </c>
      <c r="C620" s="12">
        <v>43839</v>
      </c>
      <c r="D620" s="11" t="s">
        <v>7928</v>
      </c>
      <c r="E620" s="11">
        <v>2</v>
      </c>
      <c r="F620" s="11" t="s">
        <v>45</v>
      </c>
      <c r="G620" s="11" t="s">
        <v>46</v>
      </c>
      <c r="H620" s="31" t="str" cm="1">
        <f t="array" ref="H620">_xlfn.IFS(
  ISBLANK(A620),"Missing Value",
  OR(E620&lt;1,E620&gt;5),"Review – Out of Range (Satisfaction)",
  ISNA(MATCH(B620,Customer_Master!$A$2:$A$1649,0)),"Retained – Unmatched ID (Anonymous Feedback Rule)",
  TRUE,"OK"
)</f>
        <v>OK</v>
      </c>
      <c r="I620" s="17" t="b">
        <f>IF(COUNTIF(Customer_Master!$A:$A,B620)=0,TRUE,FALSE)</f>
        <v>0</v>
      </c>
    </row>
    <row r="621" spans="1:9" ht="33.6" x14ac:dyDescent="0.3">
      <c r="A621" s="14" t="s">
        <v>8751</v>
      </c>
      <c r="B621" s="14" t="s">
        <v>8752</v>
      </c>
      <c r="C621" s="15">
        <v>44251</v>
      </c>
      <c r="D621" s="14" t="s">
        <v>7931</v>
      </c>
      <c r="E621" s="14">
        <v>5</v>
      </c>
      <c r="F621" s="14" t="s">
        <v>46</v>
      </c>
      <c r="G621" s="14" t="s">
        <v>46</v>
      </c>
      <c r="H621" s="31" t="str" cm="1">
        <f t="array" ref="H621">_xlfn.IFS(
  ISBLANK(A621),"Missing Value",
  OR(E621&lt;1,E621&gt;5),"Review – Out of Range (Satisfaction)",
  ISNA(MATCH(B621,Customer_Master!$A$2:$A$1649,0)),"Retained – Unmatched ID (Anonymous Feedback Rule)",
  TRUE,"OK"
)</f>
        <v>Retained – Unmatched ID (Anonymous Feedback Rule)</v>
      </c>
      <c r="I621" s="18" t="b">
        <f>IF(COUNTIF(Customer_Master!$A:$A,B621)=0,TRUE,FALSE)</f>
        <v>1</v>
      </c>
    </row>
    <row r="622" spans="1:9" ht="16.8" x14ac:dyDescent="0.3">
      <c r="A622" s="11" t="s">
        <v>8753</v>
      </c>
      <c r="B622" s="11" t="s">
        <v>2893</v>
      </c>
      <c r="C622" s="12">
        <v>45128</v>
      </c>
      <c r="D622" s="11" t="s">
        <v>7969</v>
      </c>
      <c r="E622" s="11">
        <v>2</v>
      </c>
      <c r="F622" s="11" t="s">
        <v>45</v>
      </c>
      <c r="G622" s="11" t="s">
        <v>46</v>
      </c>
      <c r="H622" s="31" t="str" cm="1">
        <f t="array" ref="H622">_xlfn.IFS(
  ISBLANK(A622),"Missing Value",
  OR(E622&lt;1,E622&gt;5),"Review – Out of Range (Satisfaction)",
  ISNA(MATCH(B622,Customer_Master!$A$2:$A$1649,0)),"Retained – Unmatched ID (Anonymous Feedback Rule)",
  TRUE,"OK"
)</f>
        <v>OK</v>
      </c>
      <c r="I622" s="17" t="b">
        <f>IF(COUNTIF(Customer_Master!$A:$A,B622)=0,TRUE,FALSE)</f>
        <v>0</v>
      </c>
    </row>
    <row r="623" spans="1:9" ht="33.6" x14ac:dyDescent="0.3">
      <c r="A623" s="14" t="s">
        <v>8754</v>
      </c>
      <c r="B623" s="14" t="s">
        <v>8755</v>
      </c>
      <c r="C623" s="15">
        <v>44867</v>
      </c>
      <c r="D623" s="14" t="s">
        <v>7928</v>
      </c>
      <c r="E623" s="14">
        <v>2</v>
      </c>
      <c r="F623" s="14" t="s">
        <v>46</v>
      </c>
      <c r="G623" s="14" t="s">
        <v>45</v>
      </c>
      <c r="H623" s="31" t="str" cm="1">
        <f t="array" ref="H623">_xlfn.IFS(
  ISBLANK(A623),"Missing Value",
  OR(E623&lt;1,E623&gt;5),"Review – Out of Range (Satisfaction)",
  ISNA(MATCH(B623,Customer_Master!$A$2:$A$1649,0)),"Retained – Unmatched ID (Anonymous Feedback Rule)",
  TRUE,"OK"
)</f>
        <v>Retained – Unmatched ID (Anonymous Feedback Rule)</v>
      </c>
      <c r="I623" s="18" t="b">
        <f>IF(COUNTIF(Customer_Master!$A:$A,B623)=0,TRUE,FALSE)</f>
        <v>1</v>
      </c>
    </row>
    <row r="624" spans="1:9" ht="16.8" x14ac:dyDescent="0.3">
      <c r="A624" s="11" t="s">
        <v>8756</v>
      </c>
      <c r="B624" s="11" t="s">
        <v>2673</v>
      </c>
      <c r="C624" s="12">
        <v>44316</v>
      </c>
      <c r="D624" s="11" t="s">
        <v>7940</v>
      </c>
      <c r="E624" s="11">
        <v>4</v>
      </c>
      <c r="F624" s="11" t="s">
        <v>46</v>
      </c>
      <c r="G624" s="11" t="s">
        <v>45</v>
      </c>
      <c r="H624" s="31" t="str" cm="1">
        <f t="array" ref="H624">_xlfn.IFS(
  ISBLANK(A624),"Missing Value",
  OR(E624&lt;1,E624&gt;5),"Review – Out of Range (Satisfaction)",
  ISNA(MATCH(B624,Customer_Master!$A$2:$A$1649,0)),"Retained – Unmatched ID (Anonymous Feedback Rule)",
  TRUE,"OK"
)</f>
        <v>OK</v>
      </c>
      <c r="I624" s="17" t="b">
        <f>IF(COUNTIF(Customer_Master!$A:$A,B624)=0,TRUE,FALSE)</f>
        <v>0</v>
      </c>
    </row>
    <row r="625" spans="1:9" ht="16.8" x14ac:dyDescent="0.3">
      <c r="A625" s="14" t="s">
        <v>8757</v>
      </c>
      <c r="B625" s="14" t="s">
        <v>2979</v>
      </c>
      <c r="C625" s="15">
        <v>44021</v>
      </c>
      <c r="D625" s="14" t="s">
        <v>7978</v>
      </c>
      <c r="E625" s="14">
        <v>1</v>
      </c>
      <c r="F625" s="14" t="s">
        <v>46</v>
      </c>
      <c r="G625" s="14" t="s">
        <v>45</v>
      </c>
      <c r="H625" s="31" t="str" cm="1">
        <f t="array" ref="H625">_xlfn.IFS(
  ISBLANK(A625),"Missing Value",
  OR(E625&lt;1,E625&gt;5),"Review – Out of Range (Satisfaction)",
  ISNA(MATCH(B625,Customer_Master!$A$2:$A$1649,0)),"Retained – Unmatched ID (Anonymous Feedback Rule)",
  TRUE,"OK"
)</f>
        <v>OK</v>
      </c>
      <c r="I625" s="18" t="b">
        <f>IF(COUNTIF(Customer_Master!$A:$A,B625)=0,TRUE,FALSE)</f>
        <v>0</v>
      </c>
    </row>
    <row r="626" spans="1:9" ht="16.8" x14ac:dyDescent="0.3">
      <c r="A626" s="11" t="s">
        <v>8758</v>
      </c>
      <c r="B626" s="11" t="s">
        <v>2845</v>
      </c>
      <c r="C626" s="12">
        <v>44664</v>
      </c>
      <c r="D626" s="11" t="s">
        <v>7937</v>
      </c>
      <c r="E626" s="11">
        <v>5</v>
      </c>
      <c r="F626" s="11" t="s">
        <v>46</v>
      </c>
      <c r="G626" s="11" t="s">
        <v>46</v>
      </c>
      <c r="H626" s="31" t="str" cm="1">
        <f t="array" ref="H626">_xlfn.IFS(
  ISBLANK(A626),"Missing Value",
  OR(E626&lt;1,E626&gt;5),"Review – Out of Range (Satisfaction)",
  ISNA(MATCH(B626,Customer_Master!$A$2:$A$1649,0)),"Retained – Unmatched ID (Anonymous Feedback Rule)",
  TRUE,"OK"
)</f>
        <v>OK</v>
      </c>
      <c r="I626" s="17" t="b">
        <f>IF(COUNTIF(Customer_Master!$A:$A,B626)=0,TRUE,FALSE)</f>
        <v>0</v>
      </c>
    </row>
    <row r="627" spans="1:9" ht="16.8" x14ac:dyDescent="0.3">
      <c r="A627" s="14" t="s">
        <v>8759</v>
      </c>
      <c r="B627" s="14" t="s">
        <v>3318</v>
      </c>
      <c r="C627" s="15">
        <v>45035</v>
      </c>
      <c r="D627" s="14" t="s">
        <v>7940</v>
      </c>
      <c r="E627" s="14">
        <v>5</v>
      </c>
      <c r="F627" s="14" t="s">
        <v>46</v>
      </c>
      <c r="G627" s="14" t="s">
        <v>46</v>
      </c>
      <c r="H627" s="31" t="str" cm="1">
        <f t="array" ref="H627">_xlfn.IFS(
  ISBLANK(A627),"Missing Value",
  OR(E627&lt;1,E627&gt;5),"Review – Out of Range (Satisfaction)",
  ISNA(MATCH(B627,Customer_Master!$A$2:$A$1649,0)),"Retained – Unmatched ID (Anonymous Feedback Rule)",
  TRUE,"OK"
)</f>
        <v>OK</v>
      </c>
      <c r="I627" s="18" t="b">
        <f>IF(COUNTIF(Customer_Master!$A:$A,B627)=0,TRUE,FALSE)</f>
        <v>0</v>
      </c>
    </row>
    <row r="628" spans="1:9" ht="16.8" x14ac:dyDescent="0.3">
      <c r="A628" s="11" t="s">
        <v>8760</v>
      </c>
      <c r="B628" s="11" t="s">
        <v>2373</v>
      </c>
      <c r="C628" s="12">
        <v>43937</v>
      </c>
      <c r="D628" s="11" t="s">
        <v>7940</v>
      </c>
      <c r="E628" s="11">
        <v>4</v>
      </c>
      <c r="F628" s="11" t="s">
        <v>46</v>
      </c>
      <c r="G628" s="11" t="s">
        <v>46</v>
      </c>
      <c r="H628" s="31" t="str" cm="1">
        <f t="array" ref="H628">_xlfn.IFS(
  ISBLANK(A628),"Missing Value",
  OR(E628&lt;1,E628&gt;5),"Review – Out of Range (Satisfaction)",
  ISNA(MATCH(B628,Customer_Master!$A$2:$A$1649,0)),"Retained – Unmatched ID (Anonymous Feedback Rule)",
  TRUE,"OK"
)</f>
        <v>OK</v>
      </c>
      <c r="I628" s="17" t="b">
        <f>IF(COUNTIF(Customer_Master!$A:$A,B628)=0,TRUE,FALSE)</f>
        <v>0</v>
      </c>
    </row>
    <row r="629" spans="1:9" ht="16.8" x14ac:dyDescent="0.3">
      <c r="A629" s="14" t="s">
        <v>8761</v>
      </c>
      <c r="B629" s="14" t="s">
        <v>1253</v>
      </c>
      <c r="C629" s="15">
        <v>44039</v>
      </c>
      <c r="D629" s="14" t="s">
        <v>7931</v>
      </c>
      <c r="E629" s="14">
        <v>4</v>
      </c>
      <c r="F629" s="14" t="s">
        <v>45</v>
      </c>
      <c r="G629" s="14" t="s">
        <v>45</v>
      </c>
      <c r="H629" s="31" t="str" cm="1">
        <f t="array" ref="H629">_xlfn.IFS(
  ISBLANK(A629),"Missing Value",
  OR(E629&lt;1,E629&gt;5),"Review – Out of Range (Satisfaction)",
  ISNA(MATCH(B629,Customer_Master!$A$2:$A$1649,0)),"Retained – Unmatched ID (Anonymous Feedback Rule)",
  TRUE,"OK"
)</f>
        <v>OK</v>
      </c>
      <c r="I629" s="18" t="b">
        <f>IF(COUNTIF(Customer_Master!$A:$A,B629)=0,TRUE,FALSE)</f>
        <v>0</v>
      </c>
    </row>
    <row r="630" spans="1:9" ht="33.6" x14ac:dyDescent="0.3">
      <c r="A630" s="11" t="s">
        <v>8762</v>
      </c>
      <c r="B630" s="11" t="s">
        <v>8487</v>
      </c>
      <c r="C630" s="12">
        <v>43894</v>
      </c>
      <c r="D630" s="11" t="s">
        <v>7940</v>
      </c>
      <c r="E630" s="11">
        <v>4</v>
      </c>
      <c r="F630" s="11" t="s">
        <v>46</v>
      </c>
      <c r="G630" s="11" t="s">
        <v>45</v>
      </c>
      <c r="H630" s="31" t="str" cm="1">
        <f t="array" ref="H630">_xlfn.IFS(
  ISBLANK(A630),"Missing Value",
  OR(E630&lt;1,E630&gt;5),"Review – Out of Range (Satisfaction)",
  ISNA(MATCH(B630,Customer_Master!$A$2:$A$1649,0)),"Retained – Unmatched ID (Anonymous Feedback Rule)",
  TRUE,"OK"
)</f>
        <v>Retained – Unmatched ID (Anonymous Feedback Rule)</v>
      </c>
      <c r="I630" s="17" t="b">
        <f>IF(COUNTIF(Customer_Master!$A:$A,B630)=0,TRUE,FALSE)</f>
        <v>1</v>
      </c>
    </row>
    <row r="631" spans="1:9" ht="33.6" x14ac:dyDescent="0.3">
      <c r="A631" s="14" t="s">
        <v>8763</v>
      </c>
      <c r="B631" s="14" t="s">
        <v>8359</v>
      </c>
      <c r="C631" s="15">
        <v>43997</v>
      </c>
      <c r="D631" s="14" t="s">
        <v>7969</v>
      </c>
      <c r="E631" s="14">
        <v>1</v>
      </c>
      <c r="F631" s="14" t="s">
        <v>46</v>
      </c>
      <c r="G631" s="14" t="s">
        <v>46</v>
      </c>
      <c r="H631" s="31" t="str" cm="1">
        <f t="array" ref="H631">_xlfn.IFS(
  ISBLANK(A631),"Missing Value",
  OR(E631&lt;1,E631&gt;5),"Review – Out of Range (Satisfaction)",
  ISNA(MATCH(B631,Customer_Master!$A$2:$A$1649,0)),"Retained – Unmatched ID (Anonymous Feedback Rule)",
  TRUE,"OK"
)</f>
        <v>Retained – Unmatched ID (Anonymous Feedback Rule)</v>
      </c>
      <c r="I631" s="18" t="b">
        <f>IF(COUNTIF(Customer_Master!$A:$A,B631)=0,TRUE,FALSE)</f>
        <v>1</v>
      </c>
    </row>
    <row r="632" spans="1:9" ht="16.8" x14ac:dyDescent="0.3">
      <c r="A632" s="11" t="s">
        <v>8764</v>
      </c>
      <c r="B632" s="11" t="s">
        <v>925</v>
      </c>
      <c r="C632" s="12">
        <v>45239</v>
      </c>
      <c r="D632" s="11" t="s">
        <v>7935</v>
      </c>
      <c r="E632" s="11">
        <v>5</v>
      </c>
      <c r="F632" s="11" t="s">
        <v>45</v>
      </c>
      <c r="G632" s="11" t="s">
        <v>46</v>
      </c>
      <c r="H632" s="31" t="str" cm="1">
        <f t="array" ref="H632">_xlfn.IFS(
  ISBLANK(A632),"Missing Value",
  OR(E632&lt;1,E632&gt;5),"Review – Out of Range (Satisfaction)",
  ISNA(MATCH(B632,Customer_Master!$A$2:$A$1649,0)),"Retained – Unmatched ID (Anonymous Feedback Rule)",
  TRUE,"OK"
)</f>
        <v>OK</v>
      </c>
      <c r="I632" s="17" t="b">
        <f>IF(COUNTIF(Customer_Master!$A:$A,B632)=0,TRUE,FALSE)</f>
        <v>0</v>
      </c>
    </row>
    <row r="633" spans="1:9" ht="16.8" x14ac:dyDescent="0.3">
      <c r="A633" s="14" t="s">
        <v>8765</v>
      </c>
      <c r="B633" s="14" t="s">
        <v>2301</v>
      </c>
      <c r="C633" s="15">
        <v>43972</v>
      </c>
      <c r="D633" s="14" t="s">
        <v>7943</v>
      </c>
      <c r="E633" s="14">
        <v>3</v>
      </c>
      <c r="F633" s="14" t="s">
        <v>46</v>
      </c>
      <c r="G633" s="14" t="s">
        <v>45</v>
      </c>
      <c r="H633" s="31" t="str" cm="1">
        <f t="array" ref="H633">_xlfn.IFS(
  ISBLANK(A633),"Missing Value",
  OR(E633&lt;1,E633&gt;5),"Review – Out of Range (Satisfaction)",
  ISNA(MATCH(B633,Customer_Master!$A$2:$A$1649,0)),"Retained – Unmatched ID (Anonymous Feedback Rule)",
  TRUE,"OK"
)</f>
        <v>OK</v>
      </c>
      <c r="I633" s="18" t="b">
        <f>IF(COUNTIF(Customer_Master!$A:$A,B633)=0,TRUE,FALSE)</f>
        <v>0</v>
      </c>
    </row>
    <row r="634" spans="1:9" ht="33.6" x14ac:dyDescent="0.3">
      <c r="A634" s="11" t="s">
        <v>8766</v>
      </c>
      <c r="B634" s="11" t="s">
        <v>8406</v>
      </c>
      <c r="C634" s="12">
        <v>45210</v>
      </c>
      <c r="D634" s="11" t="s">
        <v>7947</v>
      </c>
      <c r="E634" s="11">
        <v>3</v>
      </c>
      <c r="F634" s="11" t="s">
        <v>45</v>
      </c>
      <c r="G634" s="11" t="s">
        <v>46</v>
      </c>
      <c r="H634" s="31" t="str" cm="1">
        <f t="array" ref="H634">_xlfn.IFS(
  ISBLANK(A634),"Missing Value",
  OR(E634&lt;1,E634&gt;5),"Review – Out of Range (Satisfaction)",
  ISNA(MATCH(B634,Customer_Master!$A$2:$A$1649,0)),"Retained – Unmatched ID (Anonymous Feedback Rule)",
  TRUE,"OK"
)</f>
        <v>Retained – Unmatched ID (Anonymous Feedback Rule)</v>
      </c>
      <c r="I634" s="17" t="b">
        <f>IF(COUNTIF(Customer_Master!$A:$A,B634)=0,TRUE,FALSE)</f>
        <v>1</v>
      </c>
    </row>
    <row r="635" spans="1:9" ht="33.6" x14ac:dyDescent="0.3">
      <c r="A635" s="14" t="s">
        <v>8767</v>
      </c>
      <c r="B635" s="14" t="s">
        <v>8768</v>
      </c>
      <c r="C635" s="15">
        <v>44408</v>
      </c>
      <c r="D635" s="14" t="s">
        <v>7978</v>
      </c>
      <c r="E635" s="14">
        <v>3</v>
      </c>
      <c r="F635" s="14" t="s">
        <v>45</v>
      </c>
      <c r="G635" s="14" t="s">
        <v>46</v>
      </c>
      <c r="H635" s="31" t="str" cm="1">
        <f t="array" ref="H635">_xlfn.IFS(
  ISBLANK(A635),"Missing Value",
  OR(E635&lt;1,E635&gt;5),"Review – Out of Range (Satisfaction)",
  ISNA(MATCH(B635,Customer_Master!$A$2:$A$1649,0)),"Retained – Unmatched ID (Anonymous Feedback Rule)",
  TRUE,"OK"
)</f>
        <v>Retained – Unmatched ID (Anonymous Feedback Rule)</v>
      </c>
      <c r="I635" s="18" t="b">
        <f>IF(COUNTIF(Customer_Master!$A:$A,B635)=0,TRUE,FALSE)</f>
        <v>1</v>
      </c>
    </row>
    <row r="636" spans="1:9" ht="33.6" x14ac:dyDescent="0.3">
      <c r="A636" s="11" t="s">
        <v>8769</v>
      </c>
      <c r="B636" s="11" t="s">
        <v>8770</v>
      </c>
      <c r="C636" s="12">
        <v>45234</v>
      </c>
      <c r="D636" s="11" t="s">
        <v>7931</v>
      </c>
      <c r="E636" s="11">
        <v>5</v>
      </c>
      <c r="F636" s="11" t="s">
        <v>46</v>
      </c>
      <c r="G636" s="11" t="s">
        <v>45</v>
      </c>
      <c r="H636" s="31" t="str" cm="1">
        <f t="array" ref="H636">_xlfn.IFS(
  ISBLANK(A636),"Missing Value",
  OR(E636&lt;1,E636&gt;5),"Review – Out of Range (Satisfaction)",
  ISNA(MATCH(B636,Customer_Master!$A$2:$A$1649,0)),"Retained – Unmatched ID (Anonymous Feedback Rule)",
  TRUE,"OK"
)</f>
        <v>Retained – Unmatched ID (Anonymous Feedback Rule)</v>
      </c>
      <c r="I636" s="17" t="b">
        <f>IF(COUNTIF(Customer_Master!$A:$A,B636)=0,TRUE,FALSE)</f>
        <v>1</v>
      </c>
    </row>
    <row r="637" spans="1:9" ht="16.8" x14ac:dyDescent="0.3">
      <c r="A637" s="14" t="s">
        <v>8771</v>
      </c>
      <c r="B637" s="14" t="s">
        <v>1021</v>
      </c>
      <c r="C637" s="15">
        <v>44274</v>
      </c>
      <c r="D637" s="14" t="s">
        <v>7947</v>
      </c>
      <c r="E637" s="14">
        <v>3</v>
      </c>
      <c r="F637" s="14" t="s">
        <v>46</v>
      </c>
      <c r="G637" s="14" t="s">
        <v>46</v>
      </c>
      <c r="H637" s="31" t="str" cm="1">
        <f t="array" ref="H637">_xlfn.IFS(
  ISBLANK(A637),"Missing Value",
  OR(E637&lt;1,E637&gt;5),"Review – Out of Range (Satisfaction)",
  ISNA(MATCH(B637,Customer_Master!$A$2:$A$1649,0)),"Retained – Unmatched ID (Anonymous Feedback Rule)",
  TRUE,"OK"
)</f>
        <v>OK</v>
      </c>
      <c r="I637" s="18" t="b">
        <f>IF(COUNTIF(Customer_Master!$A:$A,B637)=0,TRUE,FALSE)</f>
        <v>0</v>
      </c>
    </row>
    <row r="638" spans="1:9" ht="16.8" x14ac:dyDescent="0.3">
      <c r="A638" s="11" t="s">
        <v>8772</v>
      </c>
      <c r="B638" s="11" t="s">
        <v>2497</v>
      </c>
      <c r="C638" s="12">
        <v>44235</v>
      </c>
      <c r="D638" s="11" t="s">
        <v>7978</v>
      </c>
      <c r="E638" s="11">
        <v>1</v>
      </c>
      <c r="F638" s="11" t="s">
        <v>46</v>
      </c>
      <c r="G638" s="11" t="s">
        <v>46</v>
      </c>
      <c r="H638" s="31" t="str" cm="1">
        <f t="array" ref="H638">_xlfn.IFS(
  ISBLANK(A638),"Missing Value",
  OR(E638&lt;1,E638&gt;5),"Review – Out of Range (Satisfaction)",
  ISNA(MATCH(B638,Customer_Master!$A$2:$A$1649,0)),"Retained – Unmatched ID (Anonymous Feedback Rule)",
  TRUE,"OK"
)</f>
        <v>OK</v>
      </c>
      <c r="I638" s="17" t="b">
        <f>IF(COUNTIF(Customer_Master!$A:$A,B638)=0,TRUE,FALSE)</f>
        <v>0</v>
      </c>
    </row>
    <row r="639" spans="1:9" ht="16.8" x14ac:dyDescent="0.3">
      <c r="A639" s="14" t="s">
        <v>8773</v>
      </c>
      <c r="B639" s="14" t="s">
        <v>841</v>
      </c>
      <c r="C639" s="15">
        <v>44205</v>
      </c>
      <c r="D639" s="14" t="s">
        <v>7928</v>
      </c>
      <c r="E639" s="14">
        <v>3</v>
      </c>
      <c r="F639" s="14" t="s">
        <v>45</v>
      </c>
      <c r="G639" s="14" t="s">
        <v>45</v>
      </c>
      <c r="H639" s="31" t="str" cm="1">
        <f t="array" ref="H639">_xlfn.IFS(
  ISBLANK(A639),"Missing Value",
  OR(E639&lt;1,E639&gt;5),"Review – Out of Range (Satisfaction)",
  ISNA(MATCH(B639,Customer_Master!$A$2:$A$1649,0)),"Retained – Unmatched ID (Anonymous Feedback Rule)",
  TRUE,"OK"
)</f>
        <v>OK</v>
      </c>
      <c r="I639" s="18" t="b">
        <f>IF(COUNTIF(Customer_Master!$A:$A,B639)=0,TRUE,FALSE)</f>
        <v>0</v>
      </c>
    </row>
    <row r="640" spans="1:9" ht="16.8" x14ac:dyDescent="0.3">
      <c r="A640" s="11" t="s">
        <v>8774</v>
      </c>
      <c r="B640" s="11" t="s">
        <v>1493</v>
      </c>
      <c r="C640" s="12">
        <v>44247</v>
      </c>
      <c r="D640" s="11" t="s">
        <v>7931</v>
      </c>
      <c r="E640" s="11">
        <v>4</v>
      </c>
      <c r="F640" s="11" t="s">
        <v>45</v>
      </c>
      <c r="G640" s="11" t="s">
        <v>46</v>
      </c>
      <c r="H640" s="31" t="str" cm="1">
        <f t="array" ref="H640">_xlfn.IFS(
  ISBLANK(A640),"Missing Value",
  OR(E640&lt;1,E640&gt;5),"Review – Out of Range (Satisfaction)",
  ISNA(MATCH(B640,Customer_Master!$A$2:$A$1649,0)),"Retained – Unmatched ID (Anonymous Feedback Rule)",
  TRUE,"OK"
)</f>
        <v>OK</v>
      </c>
      <c r="I640" s="17" t="b">
        <f>IF(COUNTIF(Customer_Master!$A:$A,B640)=0,TRUE,FALSE)</f>
        <v>0</v>
      </c>
    </row>
    <row r="641" spans="1:9" ht="16.8" x14ac:dyDescent="0.3">
      <c r="A641" s="14" t="s">
        <v>8775</v>
      </c>
      <c r="B641" s="14" t="s">
        <v>1271</v>
      </c>
      <c r="C641" s="15">
        <v>44415</v>
      </c>
      <c r="D641" s="14" t="s">
        <v>7943</v>
      </c>
      <c r="E641" s="14">
        <v>2</v>
      </c>
      <c r="F641" s="14" t="s">
        <v>45</v>
      </c>
      <c r="G641" s="14" t="s">
        <v>46</v>
      </c>
      <c r="H641" s="31" t="str" cm="1">
        <f t="array" ref="H641">_xlfn.IFS(
  ISBLANK(A641),"Missing Value",
  OR(E641&lt;1,E641&gt;5),"Review – Out of Range (Satisfaction)",
  ISNA(MATCH(B641,Customer_Master!$A$2:$A$1649,0)),"Retained – Unmatched ID (Anonymous Feedback Rule)",
  TRUE,"OK"
)</f>
        <v>OK</v>
      </c>
      <c r="I641" s="18" t="b">
        <f>IF(COUNTIF(Customer_Master!$A:$A,B641)=0,TRUE,FALSE)</f>
        <v>0</v>
      </c>
    </row>
    <row r="642" spans="1:9" ht="33.6" x14ac:dyDescent="0.3">
      <c r="A642" s="11" t="s">
        <v>8776</v>
      </c>
      <c r="B642" s="11" t="s">
        <v>8777</v>
      </c>
      <c r="C642" s="12">
        <v>44439</v>
      </c>
      <c r="D642" s="11" t="s">
        <v>7943</v>
      </c>
      <c r="E642" s="11">
        <v>3</v>
      </c>
      <c r="F642" s="11" t="s">
        <v>45</v>
      </c>
      <c r="G642" s="11" t="s">
        <v>45</v>
      </c>
      <c r="H642" s="31" t="str" cm="1">
        <f t="array" ref="H642">_xlfn.IFS(
  ISBLANK(A642),"Missing Value",
  OR(E642&lt;1,E642&gt;5),"Review – Out of Range (Satisfaction)",
  ISNA(MATCH(B642,Customer_Master!$A$2:$A$1649,0)),"Retained – Unmatched ID (Anonymous Feedback Rule)",
  TRUE,"OK"
)</f>
        <v>Retained – Unmatched ID (Anonymous Feedback Rule)</v>
      </c>
      <c r="I642" s="17" t="b">
        <f>IF(COUNTIF(Customer_Master!$A:$A,B642)=0,TRUE,FALSE)</f>
        <v>1</v>
      </c>
    </row>
    <row r="643" spans="1:9" ht="16.8" x14ac:dyDescent="0.3">
      <c r="A643" s="14" t="s">
        <v>8778</v>
      </c>
      <c r="B643" s="14" t="s">
        <v>1621</v>
      </c>
      <c r="C643" s="15">
        <v>44205</v>
      </c>
      <c r="D643" s="14" t="s">
        <v>7943</v>
      </c>
      <c r="E643" s="14">
        <v>1</v>
      </c>
      <c r="F643" s="14" t="s">
        <v>45</v>
      </c>
      <c r="G643" s="14" t="s">
        <v>46</v>
      </c>
      <c r="H643" s="31" t="str" cm="1">
        <f t="array" ref="H643">_xlfn.IFS(
  ISBLANK(A643),"Missing Value",
  OR(E643&lt;1,E643&gt;5),"Review – Out of Range (Satisfaction)",
  ISNA(MATCH(B643,Customer_Master!$A$2:$A$1649,0)),"Retained – Unmatched ID (Anonymous Feedback Rule)",
  TRUE,"OK"
)</f>
        <v>OK</v>
      </c>
      <c r="I643" s="18" t="b">
        <f>IF(COUNTIF(Customer_Master!$A:$A,B643)=0,TRUE,FALSE)</f>
        <v>0</v>
      </c>
    </row>
    <row r="644" spans="1:9" ht="16.8" x14ac:dyDescent="0.3">
      <c r="A644" s="11" t="s">
        <v>8779</v>
      </c>
      <c r="B644" s="11" t="s">
        <v>1075</v>
      </c>
      <c r="C644" s="12">
        <v>45099</v>
      </c>
      <c r="D644" s="11" t="s">
        <v>7928</v>
      </c>
      <c r="E644" s="11">
        <v>2</v>
      </c>
      <c r="F644" s="11" t="s">
        <v>46</v>
      </c>
      <c r="G644" s="11" t="s">
        <v>45</v>
      </c>
      <c r="H644" s="31" t="str" cm="1">
        <f t="array" ref="H644">_xlfn.IFS(
  ISBLANK(A644),"Missing Value",
  OR(E644&lt;1,E644&gt;5),"Review – Out of Range (Satisfaction)",
  ISNA(MATCH(B644,Customer_Master!$A$2:$A$1649,0)),"Retained – Unmatched ID (Anonymous Feedback Rule)",
  TRUE,"OK"
)</f>
        <v>OK</v>
      </c>
      <c r="I644" s="17" t="b">
        <f>IF(COUNTIF(Customer_Master!$A:$A,B644)=0,TRUE,FALSE)</f>
        <v>0</v>
      </c>
    </row>
    <row r="645" spans="1:9" ht="16.8" x14ac:dyDescent="0.3">
      <c r="A645" s="14" t="s">
        <v>8780</v>
      </c>
      <c r="B645" s="14" t="s">
        <v>1933</v>
      </c>
      <c r="C645" s="15">
        <v>45143</v>
      </c>
      <c r="D645" s="14" t="s">
        <v>7937</v>
      </c>
      <c r="E645" s="14">
        <v>4</v>
      </c>
      <c r="F645" s="14" t="s">
        <v>45</v>
      </c>
      <c r="G645" s="14" t="s">
        <v>46</v>
      </c>
      <c r="H645" s="31" t="str" cm="1">
        <f t="array" ref="H645">_xlfn.IFS(
  ISBLANK(A645),"Missing Value",
  OR(E645&lt;1,E645&gt;5),"Review – Out of Range (Satisfaction)",
  ISNA(MATCH(B645,Customer_Master!$A$2:$A$1649,0)),"Retained – Unmatched ID (Anonymous Feedback Rule)",
  TRUE,"OK"
)</f>
        <v>OK</v>
      </c>
      <c r="I645" s="18" t="b">
        <f>IF(COUNTIF(Customer_Master!$A:$A,B645)=0,TRUE,FALSE)</f>
        <v>0</v>
      </c>
    </row>
    <row r="646" spans="1:9" ht="16.8" x14ac:dyDescent="0.3">
      <c r="A646" s="11" t="s">
        <v>8781</v>
      </c>
      <c r="B646" s="11" t="s">
        <v>3240</v>
      </c>
      <c r="C646" s="12">
        <v>43856</v>
      </c>
      <c r="D646" s="11" t="s">
        <v>7931</v>
      </c>
      <c r="E646" s="11">
        <v>4</v>
      </c>
      <c r="F646" s="11" t="s">
        <v>45</v>
      </c>
      <c r="G646" s="11" t="s">
        <v>46</v>
      </c>
      <c r="H646" s="31" t="str" cm="1">
        <f t="array" ref="H646">_xlfn.IFS(
  ISBLANK(A646),"Missing Value",
  OR(E646&lt;1,E646&gt;5),"Review – Out of Range (Satisfaction)",
  ISNA(MATCH(B646,Customer_Master!$A$2:$A$1649,0)),"Retained – Unmatched ID (Anonymous Feedback Rule)",
  TRUE,"OK"
)</f>
        <v>OK</v>
      </c>
      <c r="I646" s="17" t="b">
        <f>IF(COUNTIF(Customer_Master!$A:$A,B646)=0,TRUE,FALSE)</f>
        <v>0</v>
      </c>
    </row>
    <row r="647" spans="1:9" ht="33.6" x14ac:dyDescent="0.3">
      <c r="A647" s="14" t="s">
        <v>8782</v>
      </c>
      <c r="B647" s="14" t="s">
        <v>8783</v>
      </c>
      <c r="C647" s="15">
        <v>44771</v>
      </c>
      <c r="D647" s="14" t="s">
        <v>7978</v>
      </c>
      <c r="E647" s="14">
        <v>3</v>
      </c>
      <c r="F647" s="14" t="s">
        <v>45</v>
      </c>
      <c r="G647" s="14" t="s">
        <v>45</v>
      </c>
      <c r="H647" s="31" t="str" cm="1">
        <f t="array" ref="H647">_xlfn.IFS(
  ISBLANK(A647),"Missing Value",
  OR(E647&lt;1,E647&gt;5),"Review – Out of Range (Satisfaction)",
  ISNA(MATCH(B647,Customer_Master!$A$2:$A$1649,0)),"Retained – Unmatched ID (Anonymous Feedback Rule)",
  TRUE,"OK"
)</f>
        <v>Retained – Unmatched ID (Anonymous Feedback Rule)</v>
      </c>
      <c r="I647" s="18" t="b">
        <f>IF(COUNTIF(Customer_Master!$A:$A,B647)=0,TRUE,FALSE)</f>
        <v>1</v>
      </c>
    </row>
    <row r="648" spans="1:9" ht="33.6" x14ac:dyDescent="0.3">
      <c r="A648" s="11" t="s">
        <v>8784</v>
      </c>
      <c r="B648" s="11" t="s">
        <v>8785</v>
      </c>
      <c r="C648" s="12">
        <v>44248</v>
      </c>
      <c r="D648" s="11" t="s">
        <v>7943</v>
      </c>
      <c r="E648" s="11">
        <v>3</v>
      </c>
      <c r="F648" s="11" t="s">
        <v>45</v>
      </c>
      <c r="G648" s="11" t="s">
        <v>46</v>
      </c>
      <c r="H648" s="31" t="str" cm="1">
        <f t="array" ref="H648">_xlfn.IFS(
  ISBLANK(A648),"Missing Value",
  OR(E648&lt;1,E648&gt;5),"Review – Out of Range (Satisfaction)",
  ISNA(MATCH(B648,Customer_Master!$A$2:$A$1649,0)),"Retained – Unmatched ID (Anonymous Feedback Rule)",
  TRUE,"OK"
)</f>
        <v>Retained – Unmatched ID (Anonymous Feedback Rule)</v>
      </c>
      <c r="I648" s="17" t="b">
        <f>IF(COUNTIF(Customer_Master!$A:$A,B648)=0,TRUE,FALSE)</f>
        <v>1</v>
      </c>
    </row>
    <row r="649" spans="1:9" ht="16.8" x14ac:dyDescent="0.3">
      <c r="A649" s="14" t="s">
        <v>8786</v>
      </c>
      <c r="B649" s="14" t="s">
        <v>1145</v>
      </c>
      <c r="C649" s="15">
        <v>44472</v>
      </c>
      <c r="D649" s="14" t="s">
        <v>7937</v>
      </c>
      <c r="E649" s="14">
        <v>5</v>
      </c>
      <c r="F649" s="14" t="s">
        <v>45</v>
      </c>
      <c r="G649" s="14" t="s">
        <v>45</v>
      </c>
      <c r="H649" s="31" t="str" cm="1">
        <f t="array" ref="H649">_xlfn.IFS(
  ISBLANK(A649),"Missing Value",
  OR(E649&lt;1,E649&gt;5),"Review – Out of Range (Satisfaction)",
  ISNA(MATCH(B649,Customer_Master!$A$2:$A$1649,0)),"Retained – Unmatched ID (Anonymous Feedback Rule)",
  TRUE,"OK"
)</f>
        <v>OK</v>
      </c>
      <c r="I649" s="18" t="b">
        <f>IF(COUNTIF(Customer_Master!$A:$A,B649)=0,TRUE,FALSE)</f>
        <v>0</v>
      </c>
    </row>
    <row r="650" spans="1:9" ht="33.6" x14ac:dyDescent="0.3">
      <c r="A650" s="11" t="s">
        <v>8787</v>
      </c>
      <c r="B650" s="11" t="s">
        <v>8788</v>
      </c>
      <c r="C650" s="12">
        <v>44408</v>
      </c>
      <c r="D650" s="11" t="s">
        <v>7978</v>
      </c>
      <c r="E650" s="11">
        <v>3</v>
      </c>
      <c r="F650" s="11" t="s">
        <v>46</v>
      </c>
      <c r="G650" s="11" t="s">
        <v>45</v>
      </c>
      <c r="H650" s="31" t="str" cm="1">
        <f t="array" ref="H650">_xlfn.IFS(
  ISBLANK(A650),"Missing Value",
  OR(E650&lt;1,E650&gt;5),"Review – Out of Range (Satisfaction)",
  ISNA(MATCH(B650,Customer_Master!$A$2:$A$1649,0)),"Retained – Unmatched ID (Anonymous Feedback Rule)",
  TRUE,"OK"
)</f>
        <v>Retained – Unmatched ID (Anonymous Feedback Rule)</v>
      </c>
      <c r="I650" s="17" t="b">
        <f>IF(COUNTIF(Customer_Master!$A:$A,B650)=0,TRUE,FALSE)</f>
        <v>1</v>
      </c>
    </row>
    <row r="651" spans="1:9" ht="16.8" x14ac:dyDescent="0.3">
      <c r="A651" s="14" t="s">
        <v>8789</v>
      </c>
      <c r="B651" s="14" t="s">
        <v>240</v>
      </c>
      <c r="C651" s="15">
        <v>44785</v>
      </c>
      <c r="D651" s="14" t="s">
        <v>7943</v>
      </c>
      <c r="E651" s="14">
        <v>1</v>
      </c>
      <c r="F651" s="14" t="s">
        <v>46</v>
      </c>
      <c r="G651" s="14" t="s">
        <v>45</v>
      </c>
      <c r="H651" s="31" t="str" cm="1">
        <f t="array" ref="H651">_xlfn.IFS(
  ISBLANK(A651),"Missing Value",
  OR(E651&lt;1,E651&gt;5),"Review – Out of Range (Satisfaction)",
  ISNA(MATCH(B651,Customer_Master!$A$2:$A$1649,0)),"Retained – Unmatched ID (Anonymous Feedback Rule)",
  TRUE,"OK"
)</f>
        <v>OK</v>
      </c>
      <c r="I651" s="18" t="b">
        <f>IF(COUNTIF(Customer_Master!$A:$A,B651)=0,TRUE,FALSE)</f>
        <v>0</v>
      </c>
    </row>
    <row r="652" spans="1:9" ht="16.8" x14ac:dyDescent="0.3">
      <c r="A652" s="11" t="s">
        <v>8790</v>
      </c>
      <c r="B652" s="11" t="s">
        <v>2977</v>
      </c>
      <c r="C652" s="12">
        <v>44643</v>
      </c>
      <c r="D652" s="11" t="s">
        <v>7928</v>
      </c>
      <c r="E652" s="11">
        <v>1</v>
      </c>
      <c r="F652" s="11" t="s">
        <v>45</v>
      </c>
      <c r="G652" s="11" t="s">
        <v>46</v>
      </c>
      <c r="H652" s="31" t="str" cm="1">
        <f t="array" ref="H652">_xlfn.IFS(
  ISBLANK(A652),"Missing Value",
  OR(E652&lt;1,E652&gt;5),"Review – Out of Range (Satisfaction)",
  ISNA(MATCH(B652,Customer_Master!$A$2:$A$1649,0)),"Retained – Unmatched ID (Anonymous Feedback Rule)",
  TRUE,"OK"
)</f>
        <v>OK</v>
      </c>
      <c r="I652" s="17" t="b">
        <f>IF(COUNTIF(Customer_Master!$A:$A,B652)=0,TRUE,FALSE)</f>
        <v>0</v>
      </c>
    </row>
    <row r="653" spans="1:9" ht="33.6" x14ac:dyDescent="0.3">
      <c r="A653" s="14" t="s">
        <v>8791</v>
      </c>
      <c r="B653" s="14" t="s">
        <v>8709</v>
      </c>
      <c r="C653" s="15">
        <v>44354</v>
      </c>
      <c r="D653" s="14" t="s">
        <v>7978</v>
      </c>
      <c r="E653" s="14">
        <v>1</v>
      </c>
      <c r="F653" s="14" t="s">
        <v>45</v>
      </c>
      <c r="G653" s="14" t="s">
        <v>45</v>
      </c>
      <c r="H653" s="31" t="str" cm="1">
        <f t="array" ref="H653">_xlfn.IFS(
  ISBLANK(A653),"Missing Value",
  OR(E653&lt;1,E653&gt;5),"Review – Out of Range (Satisfaction)",
  ISNA(MATCH(B653,Customer_Master!$A$2:$A$1649,0)),"Retained – Unmatched ID (Anonymous Feedback Rule)",
  TRUE,"OK"
)</f>
        <v>Retained – Unmatched ID (Anonymous Feedback Rule)</v>
      </c>
      <c r="I653" s="18" t="b">
        <f>IF(COUNTIF(Customer_Master!$A:$A,B653)=0,TRUE,FALSE)</f>
        <v>1</v>
      </c>
    </row>
    <row r="654" spans="1:9" ht="33.6" x14ac:dyDescent="0.3">
      <c r="A654" s="11" t="s">
        <v>8792</v>
      </c>
      <c r="B654" s="11" t="s">
        <v>7958</v>
      </c>
      <c r="C654" s="12">
        <v>44077</v>
      </c>
      <c r="D654" s="11" t="s">
        <v>7933</v>
      </c>
      <c r="E654" s="11">
        <v>3</v>
      </c>
      <c r="F654" s="11" t="s">
        <v>46</v>
      </c>
      <c r="G654" s="11" t="s">
        <v>46</v>
      </c>
      <c r="H654" s="31" t="str" cm="1">
        <f t="array" ref="H654">_xlfn.IFS(
  ISBLANK(A654),"Missing Value",
  OR(E654&lt;1,E654&gt;5),"Review – Out of Range (Satisfaction)",
  ISNA(MATCH(B654,Customer_Master!$A$2:$A$1649,0)),"Retained – Unmatched ID (Anonymous Feedback Rule)",
  TRUE,"OK"
)</f>
        <v>Retained – Unmatched ID (Anonymous Feedback Rule)</v>
      </c>
      <c r="I654" s="17" t="b">
        <f>IF(COUNTIF(Customer_Master!$A:$A,B654)=0,TRUE,FALSE)</f>
        <v>1</v>
      </c>
    </row>
    <row r="655" spans="1:9" ht="16.8" x14ac:dyDescent="0.3">
      <c r="A655" s="14" t="s">
        <v>8793</v>
      </c>
      <c r="B655" s="14" t="s">
        <v>2187</v>
      </c>
      <c r="C655" s="15">
        <v>43980</v>
      </c>
      <c r="D655" s="14" t="s">
        <v>7940</v>
      </c>
      <c r="E655" s="14">
        <v>5</v>
      </c>
      <c r="F655" s="14" t="s">
        <v>45</v>
      </c>
      <c r="G655" s="14" t="s">
        <v>46</v>
      </c>
      <c r="H655" s="31" t="str" cm="1">
        <f t="array" ref="H655">_xlfn.IFS(
  ISBLANK(A655),"Missing Value",
  OR(E655&lt;1,E655&gt;5),"Review – Out of Range (Satisfaction)",
  ISNA(MATCH(B655,Customer_Master!$A$2:$A$1649,0)),"Retained – Unmatched ID (Anonymous Feedback Rule)",
  TRUE,"OK"
)</f>
        <v>OK</v>
      </c>
      <c r="I655" s="18" t="b">
        <f>IF(COUNTIF(Customer_Master!$A:$A,B655)=0,TRUE,FALSE)</f>
        <v>0</v>
      </c>
    </row>
    <row r="656" spans="1:9" ht="16.8" x14ac:dyDescent="0.3">
      <c r="A656" s="11" t="s">
        <v>8794</v>
      </c>
      <c r="B656" s="11" t="s">
        <v>713</v>
      </c>
      <c r="C656" s="12">
        <v>43926</v>
      </c>
      <c r="D656" s="11" t="s">
        <v>7940</v>
      </c>
      <c r="E656" s="11">
        <v>4</v>
      </c>
      <c r="F656" s="11" t="s">
        <v>46</v>
      </c>
      <c r="G656" s="11" t="s">
        <v>46</v>
      </c>
      <c r="H656" s="31" t="str" cm="1">
        <f t="array" ref="H656">_xlfn.IFS(
  ISBLANK(A656),"Missing Value",
  OR(E656&lt;1,E656&gt;5),"Review – Out of Range (Satisfaction)",
  ISNA(MATCH(B656,Customer_Master!$A$2:$A$1649,0)),"Retained – Unmatched ID (Anonymous Feedback Rule)",
  TRUE,"OK"
)</f>
        <v>OK</v>
      </c>
      <c r="I656" s="17" t="b">
        <f>IF(COUNTIF(Customer_Master!$A:$A,B656)=0,TRUE,FALSE)</f>
        <v>0</v>
      </c>
    </row>
    <row r="657" spans="1:9" ht="33.6" x14ac:dyDescent="0.3">
      <c r="A657" s="14" t="s">
        <v>8795</v>
      </c>
      <c r="B657" s="14" t="s">
        <v>8402</v>
      </c>
      <c r="C657" s="15">
        <v>44877</v>
      </c>
      <c r="D657" s="14" t="s">
        <v>7969</v>
      </c>
      <c r="E657" s="14">
        <v>2</v>
      </c>
      <c r="F657" s="14" t="s">
        <v>45</v>
      </c>
      <c r="G657" s="14" t="s">
        <v>46</v>
      </c>
      <c r="H657" s="31" t="str" cm="1">
        <f t="array" ref="H657">_xlfn.IFS(
  ISBLANK(A657),"Missing Value",
  OR(E657&lt;1,E657&gt;5),"Review – Out of Range (Satisfaction)",
  ISNA(MATCH(B657,Customer_Master!$A$2:$A$1649,0)),"Retained – Unmatched ID (Anonymous Feedback Rule)",
  TRUE,"OK"
)</f>
        <v>Retained – Unmatched ID (Anonymous Feedback Rule)</v>
      </c>
      <c r="I657" s="18" t="b">
        <f>IF(COUNTIF(Customer_Master!$A:$A,B657)=0,TRUE,FALSE)</f>
        <v>1</v>
      </c>
    </row>
    <row r="658" spans="1:9" ht="16.8" x14ac:dyDescent="0.3">
      <c r="A658" s="11" t="s">
        <v>8796</v>
      </c>
      <c r="B658" s="11" t="s">
        <v>2929</v>
      </c>
      <c r="C658" s="12">
        <v>44106</v>
      </c>
      <c r="D658" s="11" t="s">
        <v>7931</v>
      </c>
      <c r="E658" s="11">
        <v>4</v>
      </c>
      <c r="F658" s="11" t="s">
        <v>45</v>
      </c>
      <c r="G658" s="11" t="s">
        <v>46</v>
      </c>
      <c r="H658" s="31" t="str" cm="1">
        <f t="array" ref="H658">_xlfn.IFS(
  ISBLANK(A658),"Missing Value",
  OR(E658&lt;1,E658&gt;5),"Review – Out of Range (Satisfaction)",
  ISNA(MATCH(B658,Customer_Master!$A$2:$A$1649,0)),"Retained – Unmatched ID (Anonymous Feedback Rule)",
  TRUE,"OK"
)</f>
        <v>OK</v>
      </c>
      <c r="I658" s="17" t="b">
        <f>IF(COUNTIF(Customer_Master!$A:$A,B658)=0,TRUE,FALSE)</f>
        <v>0</v>
      </c>
    </row>
    <row r="659" spans="1:9" ht="33.6" x14ac:dyDescent="0.3">
      <c r="A659" s="14" t="s">
        <v>8797</v>
      </c>
      <c r="B659" s="14" t="s">
        <v>8132</v>
      </c>
      <c r="C659" s="15">
        <v>44557</v>
      </c>
      <c r="D659" s="14" t="s">
        <v>7947</v>
      </c>
      <c r="E659" s="14">
        <v>5</v>
      </c>
      <c r="F659" s="14" t="s">
        <v>46</v>
      </c>
      <c r="G659" s="14" t="s">
        <v>45</v>
      </c>
      <c r="H659" s="31" t="str" cm="1">
        <f t="array" ref="H659">_xlfn.IFS(
  ISBLANK(A659),"Missing Value",
  OR(E659&lt;1,E659&gt;5),"Review – Out of Range (Satisfaction)",
  ISNA(MATCH(B659,Customer_Master!$A$2:$A$1649,0)),"Retained – Unmatched ID (Anonymous Feedback Rule)",
  TRUE,"OK"
)</f>
        <v>Retained – Unmatched ID (Anonymous Feedback Rule)</v>
      </c>
      <c r="I659" s="18" t="b">
        <f>IF(COUNTIF(Customer_Master!$A:$A,B659)=0,TRUE,FALSE)</f>
        <v>1</v>
      </c>
    </row>
    <row r="660" spans="1:9" ht="16.8" x14ac:dyDescent="0.3">
      <c r="A660" s="11" t="s">
        <v>8798</v>
      </c>
      <c r="B660" s="11" t="s">
        <v>1083</v>
      </c>
      <c r="C660" s="12">
        <v>45189</v>
      </c>
      <c r="D660" s="11" t="s">
        <v>7937</v>
      </c>
      <c r="E660" s="11">
        <v>5</v>
      </c>
      <c r="F660" s="11" t="s">
        <v>45</v>
      </c>
      <c r="G660" s="11" t="s">
        <v>46</v>
      </c>
      <c r="H660" s="31" t="str" cm="1">
        <f t="array" ref="H660">_xlfn.IFS(
  ISBLANK(A660),"Missing Value",
  OR(E660&lt;1,E660&gt;5),"Review – Out of Range (Satisfaction)",
  ISNA(MATCH(B660,Customer_Master!$A$2:$A$1649,0)),"Retained – Unmatched ID (Anonymous Feedback Rule)",
  TRUE,"OK"
)</f>
        <v>OK</v>
      </c>
      <c r="I660" s="17" t="b">
        <f>IF(COUNTIF(Customer_Master!$A:$A,B660)=0,TRUE,FALSE)</f>
        <v>0</v>
      </c>
    </row>
    <row r="661" spans="1:9" ht="33.6" x14ac:dyDescent="0.3">
      <c r="A661" s="14" t="s">
        <v>8799</v>
      </c>
      <c r="B661" s="14" t="s">
        <v>8800</v>
      </c>
      <c r="C661" s="15">
        <v>44842</v>
      </c>
      <c r="D661" s="14" t="s">
        <v>7935</v>
      </c>
      <c r="E661" s="14">
        <v>4</v>
      </c>
      <c r="F661" s="14" t="s">
        <v>45</v>
      </c>
      <c r="G661" s="14" t="s">
        <v>45</v>
      </c>
      <c r="H661" s="31" t="str" cm="1">
        <f t="array" ref="H661">_xlfn.IFS(
  ISBLANK(A661),"Missing Value",
  OR(E661&lt;1,E661&gt;5),"Review – Out of Range (Satisfaction)",
  ISNA(MATCH(B661,Customer_Master!$A$2:$A$1649,0)),"Retained – Unmatched ID (Anonymous Feedback Rule)",
  TRUE,"OK"
)</f>
        <v>Retained – Unmatched ID (Anonymous Feedback Rule)</v>
      </c>
      <c r="I661" s="18" t="b">
        <f>IF(COUNTIF(Customer_Master!$A:$A,B661)=0,TRUE,FALSE)</f>
        <v>1</v>
      </c>
    </row>
    <row r="662" spans="1:9" ht="16.8" x14ac:dyDescent="0.3">
      <c r="A662" s="11" t="s">
        <v>8801</v>
      </c>
      <c r="B662" s="11" t="s">
        <v>326</v>
      </c>
      <c r="C662" s="12">
        <v>44097</v>
      </c>
      <c r="D662" s="11" t="s">
        <v>7978</v>
      </c>
      <c r="E662" s="11">
        <v>3</v>
      </c>
      <c r="F662" s="11" t="s">
        <v>45</v>
      </c>
      <c r="G662" s="11" t="s">
        <v>46</v>
      </c>
      <c r="H662" s="31" t="str" cm="1">
        <f t="array" ref="H662">_xlfn.IFS(
  ISBLANK(A662),"Missing Value",
  OR(E662&lt;1,E662&gt;5),"Review – Out of Range (Satisfaction)",
  ISNA(MATCH(B662,Customer_Master!$A$2:$A$1649,0)),"Retained – Unmatched ID (Anonymous Feedback Rule)",
  TRUE,"OK"
)</f>
        <v>OK</v>
      </c>
      <c r="I662" s="17" t="b">
        <f>IF(COUNTIF(Customer_Master!$A:$A,B662)=0,TRUE,FALSE)</f>
        <v>0</v>
      </c>
    </row>
    <row r="663" spans="1:9" ht="16.8" x14ac:dyDescent="0.3">
      <c r="A663" s="14" t="s">
        <v>8802</v>
      </c>
      <c r="B663" s="14" t="s">
        <v>2367</v>
      </c>
      <c r="C663" s="15">
        <v>45077</v>
      </c>
      <c r="D663" s="14" t="s">
        <v>7978</v>
      </c>
      <c r="E663" s="14">
        <v>2</v>
      </c>
      <c r="F663" s="14" t="s">
        <v>46</v>
      </c>
      <c r="G663" s="14" t="s">
        <v>45</v>
      </c>
      <c r="H663" s="31" t="str" cm="1">
        <f t="array" ref="H663">_xlfn.IFS(
  ISBLANK(A663),"Missing Value",
  OR(E663&lt;1,E663&gt;5),"Review – Out of Range (Satisfaction)",
  ISNA(MATCH(B663,Customer_Master!$A$2:$A$1649,0)),"Retained – Unmatched ID (Anonymous Feedback Rule)",
  TRUE,"OK"
)</f>
        <v>OK</v>
      </c>
      <c r="I663" s="18" t="b">
        <f>IF(COUNTIF(Customer_Master!$A:$A,B663)=0,TRUE,FALSE)</f>
        <v>0</v>
      </c>
    </row>
    <row r="664" spans="1:9" ht="33.6" x14ac:dyDescent="0.3">
      <c r="A664" s="11" t="s">
        <v>8803</v>
      </c>
      <c r="B664" s="11" t="s">
        <v>8804</v>
      </c>
      <c r="C664" s="12">
        <v>43843</v>
      </c>
      <c r="D664" s="11" t="s">
        <v>7940</v>
      </c>
      <c r="E664" s="11">
        <v>4</v>
      </c>
      <c r="F664" s="11" t="s">
        <v>45</v>
      </c>
      <c r="G664" s="11" t="s">
        <v>46</v>
      </c>
      <c r="H664" s="31" t="str" cm="1">
        <f t="array" ref="H664">_xlfn.IFS(
  ISBLANK(A664),"Missing Value",
  OR(E664&lt;1,E664&gt;5),"Review – Out of Range (Satisfaction)",
  ISNA(MATCH(B664,Customer_Master!$A$2:$A$1649,0)),"Retained – Unmatched ID (Anonymous Feedback Rule)",
  TRUE,"OK"
)</f>
        <v>Retained – Unmatched ID (Anonymous Feedback Rule)</v>
      </c>
      <c r="I664" s="17" t="b">
        <f>IF(COUNTIF(Customer_Master!$A:$A,B664)=0,TRUE,FALSE)</f>
        <v>1</v>
      </c>
    </row>
    <row r="665" spans="1:9" ht="16.8" x14ac:dyDescent="0.3">
      <c r="A665" s="14" t="s">
        <v>8805</v>
      </c>
      <c r="B665" s="14" t="s">
        <v>1729</v>
      </c>
      <c r="C665" s="15">
        <v>44434</v>
      </c>
      <c r="D665" s="14" t="s">
        <v>7935</v>
      </c>
      <c r="E665" s="14">
        <v>4</v>
      </c>
      <c r="F665" s="14" t="s">
        <v>45</v>
      </c>
      <c r="G665" s="14" t="s">
        <v>45</v>
      </c>
      <c r="H665" s="31" t="str" cm="1">
        <f t="array" ref="H665">_xlfn.IFS(
  ISBLANK(A665),"Missing Value",
  OR(E665&lt;1,E665&gt;5),"Review – Out of Range (Satisfaction)",
  ISNA(MATCH(B665,Customer_Master!$A$2:$A$1649,0)),"Retained – Unmatched ID (Anonymous Feedback Rule)",
  TRUE,"OK"
)</f>
        <v>OK</v>
      </c>
      <c r="I665" s="18" t="b">
        <f>IF(COUNTIF(Customer_Master!$A:$A,B665)=0,TRUE,FALSE)</f>
        <v>0</v>
      </c>
    </row>
    <row r="666" spans="1:9" ht="16.8" x14ac:dyDescent="0.3">
      <c r="A666" s="11" t="s">
        <v>8806</v>
      </c>
      <c r="B666" s="11" t="s">
        <v>2389</v>
      </c>
      <c r="C666" s="12">
        <v>43883</v>
      </c>
      <c r="D666" s="11" t="s">
        <v>7933</v>
      </c>
      <c r="E666" s="11">
        <v>3</v>
      </c>
      <c r="F666" s="11" t="s">
        <v>45</v>
      </c>
      <c r="G666" s="11" t="s">
        <v>46</v>
      </c>
      <c r="H666" s="31" t="str" cm="1">
        <f t="array" ref="H666">_xlfn.IFS(
  ISBLANK(A666),"Missing Value",
  OR(E666&lt;1,E666&gt;5),"Review – Out of Range (Satisfaction)",
  ISNA(MATCH(B666,Customer_Master!$A$2:$A$1649,0)),"Retained – Unmatched ID (Anonymous Feedback Rule)",
  TRUE,"OK"
)</f>
        <v>OK</v>
      </c>
      <c r="I666" s="17" t="b">
        <f>IF(COUNTIF(Customer_Master!$A:$A,B666)=0,TRUE,FALSE)</f>
        <v>0</v>
      </c>
    </row>
    <row r="667" spans="1:9" ht="16.8" x14ac:dyDescent="0.3">
      <c r="A667" s="14" t="s">
        <v>8807</v>
      </c>
      <c r="B667" s="14" t="s">
        <v>1317</v>
      </c>
      <c r="C667" s="15">
        <v>44513</v>
      </c>
      <c r="D667" s="14" t="s">
        <v>7943</v>
      </c>
      <c r="E667" s="14">
        <v>1</v>
      </c>
      <c r="F667" s="14" t="s">
        <v>45</v>
      </c>
      <c r="G667" s="14" t="s">
        <v>46</v>
      </c>
      <c r="H667" s="31" t="str" cm="1">
        <f t="array" ref="H667">_xlfn.IFS(
  ISBLANK(A667),"Missing Value",
  OR(E667&lt;1,E667&gt;5),"Review – Out of Range (Satisfaction)",
  ISNA(MATCH(B667,Customer_Master!$A$2:$A$1649,0)),"Retained – Unmatched ID (Anonymous Feedback Rule)",
  TRUE,"OK"
)</f>
        <v>OK</v>
      </c>
      <c r="I667" s="18" t="b">
        <f>IF(COUNTIF(Customer_Master!$A:$A,B667)=0,TRUE,FALSE)</f>
        <v>0</v>
      </c>
    </row>
    <row r="668" spans="1:9" ht="16.8" x14ac:dyDescent="0.3">
      <c r="A668" s="11" t="s">
        <v>8808</v>
      </c>
      <c r="B668" s="11" t="s">
        <v>1057</v>
      </c>
      <c r="C668" s="12">
        <v>44327</v>
      </c>
      <c r="D668" s="11" t="s">
        <v>7940</v>
      </c>
      <c r="E668" s="11">
        <v>4</v>
      </c>
      <c r="F668" s="11" t="s">
        <v>45</v>
      </c>
      <c r="G668" s="11" t="s">
        <v>45</v>
      </c>
      <c r="H668" s="31" t="str" cm="1">
        <f t="array" ref="H668">_xlfn.IFS(
  ISBLANK(A668),"Missing Value",
  OR(E668&lt;1,E668&gt;5),"Review – Out of Range (Satisfaction)",
  ISNA(MATCH(B668,Customer_Master!$A$2:$A$1649,0)),"Retained – Unmatched ID (Anonymous Feedback Rule)",
  TRUE,"OK"
)</f>
        <v>OK</v>
      </c>
      <c r="I668" s="17" t="b">
        <f>IF(COUNTIF(Customer_Master!$A:$A,B668)=0,TRUE,FALSE)</f>
        <v>0</v>
      </c>
    </row>
    <row r="669" spans="1:9" ht="16.8" x14ac:dyDescent="0.3">
      <c r="A669" s="14" t="s">
        <v>8809</v>
      </c>
      <c r="B669" s="14" t="s">
        <v>1873</v>
      </c>
      <c r="C669" s="15">
        <v>43852</v>
      </c>
      <c r="D669" s="14" t="s">
        <v>7969</v>
      </c>
      <c r="E669" s="14">
        <v>2</v>
      </c>
      <c r="F669" s="14" t="s">
        <v>45</v>
      </c>
      <c r="G669" s="14" t="s">
        <v>46</v>
      </c>
      <c r="H669" s="31" t="str" cm="1">
        <f t="array" ref="H669">_xlfn.IFS(
  ISBLANK(A669),"Missing Value",
  OR(E669&lt;1,E669&gt;5),"Review – Out of Range (Satisfaction)",
  ISNA(MATCH(B669,Customer_Master!$A$2:$A$1649,0)),"Retained – Unmatched ID (Anonymous Feedback Rule)",
  TRUE,"OK"
)</f>
        <v>OK</v>
      </c>
      <c r="I669" s="18" t="b">
        <f>IF(COUNTIF(Customer_Master!$A:$A,B669)=0,TRUE,FALSE)</f>
        <v>0</v>
      </c>
    </row>
    <row r="670" spans="1:9" ht="33.6" x14ac:dyDescent="0.3">
      <c r="A670" s="11" t="s">
        <v>8810</v>
      </c>
      <c r="B670" s="11" t="s">
        <v>8811</v>
      </c>
      <c r="C670" s="12">
        <v>43912</v>
      </c>
      <c r="D670" s="11" t="s">
        <v>7937</v>
      </c>
      <c r="E670" s="11">
        <v>5</v>
      </c>
      <c r="F670" s="11" t="s">
        <v>46</v>
      </c>
      <c r="G670" s="11" t="s">
        <v>46</v>
      </c>
      <c r="H670" s="31" t="str" cm="1">
        <f t="array" ref="H670">_xlfn.IFS(
  ISBLANK(A670),"Missing Value",
  OR(E670&lt;1,E670&gt;5),"Review – Out of Range (Satisfaction)",
  ISNA(MATCH(B670,Customer_Master!$A$2:$A$1649,0)),"Retained – Unmatched ID (Anonymous Feedback Rule)",
  TRUE,"OK"
)</f>
        <v>Retained – Unmatched ID (Anonymous Feedback Rule)</v>
      </c>
      <c r="I670" s="17" t="b">
        <f>IF(COUNTIF(Customer_Master!$A:$A,B670)=0,TRUE,FALSE)</f>
        <v>1</v>
      </c>
    </row>
    <row r="671" spans="1:9" ht="16.8" x14ac:dyDescent="0.3">
      <c r="A671" s="14" t="s">
        <v>8812</v>
      </c>
      <c r="B671" s="14" t="s">
        <v>3108</v>
      </c>
      <c r="C671" s="15">
        <v>45100</v>
      </c>
      <c r="D671" s="14" t="s">
        <v>7978</v>
      </c>
      <c r="E671" s="14">
        <v>1</v>
      </c>
      <c r="F671" s="14" t="s">
        <v>45</v>
      </c>
      <c r="G671" s="14" t="s">
        <v>46</v>
      </c>
      <c r="H671" s="31" t="str" cm="1">
        <f t="array" ref="H671">_xlfn.IFS(
  ISBLANK(A671),"Missing Value",
  OR(E671&lt;1,E671&gt;5),"Review – Out of Range (Satisfaction)",
  ISNA(MATCH(B671,Customer_Master!$A$2:$A$1649,0)),"Retained – Unmatched ID (Anonymous Feedback Rule)",
  TRUE,"OK"
)</f>
        <v>OK</v>
      </c>
      <c r="I671" s="18" t="b">
        <f>IF(COUNTIF(Customer_Master!$A:$A,B671)=0,TRUE,FALSE)</f>
        <v>0</v>
      </c>
    </row>
    <row r="672" spans="1:9" ht="33.6" x14ac:dyDescent="0.3">
      <c r="A672" s="11" t="s">
        <v>8813</v>
      </c>
      <c r="B672" s="11" t="s">
        <v>8814</v>
      </c>
      <c r="C672" s="12">
        <v>44969</v>
      </c>
      <c r="D672" s="11" t="s">
        <v>7978</v>
      </c>
      <c r="E672" s="11">
        <v>1</v>
      </c>
      <c r="F672" s="11" t="s">
        <v>46</v>
      </c>
      <c r="G672" s="11" t="s">
        <v>45</v>
      </c>
      <c r="H672" s="31" t="str" cm="1">
        <f t="array" ref="H672">_xlfn.IFS(
  ISBLANK(A672),"Missing Value",
  OR(E672&lt;1,E672&gt;5),"Review – Out of Range (Satisfaction)",
  ISNA(MATCH(B672,Customer_Master!$A$2:$A$1649,0)),"Retained – Unmatched ID (Anonymous Feedback Rule)",
  TRUE,"OK"
)</f>
        <v>Retained – Unmatched ID (Anonymous Feedback Rule)</v>
      </c>
      <c r="I672" s="17" t="b">
        <f>IF(COUNTIF(Customer_Master!$A:$A,B672)=0,TRUE,FALSE)</f>
        <v>1</v>
      </c>
    </row>
    <row r="673" spans="1:9" ht="16.8" x14ac:dyDescent="0.3">
      <c r="A673" s="14" t="s">
        <v>8815</v>
      </c>
      <c r="B673" s="14" t="s">
        <v>1847</v>
      </c>
      <c r="C673" s="15">
        <v>44367</v>
      </c>
      <c r="D673" s="14" t="s">
        <v>7978</v>
      </c>
      <c r="E673" s="14">
        <v>3</v>
      </c>
      <c r="F673" s="14" t="s">
        <v>46</v>
      </c>
      <c r="G673" s="14" t="s">
        <v>45</v>
      </c>
      <c r="H673" s="31" t="str" cm="1">
        <f t="array" ref="H673">_xlfn.IFS(
  ISBLANK(A673),"Missing Value",
  OR(E673&lt;1,E673&gt;5),"Review – Out of Range (Satisfaction)",
  ISNA(MATCH(B673,Customer_Master!$A$2:$A$1649,0)),"Retained – Unmatched ID (Anonymous Feedback Rule)",
  TRUE,"OK"
)</f>
        <v>OK</v>
      </c>
      <c r="I673" s="18" t="b">
        <f>IF(COUNTIF(Customer_Master!$A:$A,B673)=0,TRUE,FALSE)</f>
        <v>0</v>
      </c>
    </row>
    <row r="674" spans="1:9" ht="16.8" x14ac:dyDescent="0.3">
      <c r="A674" s="11" t="s">
        <v>8816</v>
      </c>
      <c r="B674" s="11" t="s">
        <v>2359</v>
      </c>
      <c r="C674" s="12">
        <v>44735</v>
      </c>
      <c r="D674" s="11" t="s">
        <v>7978</v>
      </c>
      <c r="E674" s="11">
        <v>3</v>
      </c>
      <c r="F674" s="11" t="s">
        <v>45</v>
      </c>
      <c r="G674" s="11" t="s">
        <v>46</v>
      </c>
      <c r="H674" s="31" t="str" cm="1">
        <f t="array" ref="H674">_xlfn.IFS(
  ISBLANK(A674),"Missing Value",
  OR(E674&lt;1,E674&gt;5),"Review – Out of Range (Satisfaction)",
  ISNA(MATCH(B674,Customer_Master!$A$2:$A$1649,0)),"Retained – Unmatched ID (Anonymous Feedback Rule)",
  TRUE,"OK"
)</f>
        <v>OK</v>
      </c>
      <c r="I674" s="17" t="b">
        <f>IF(COUNTIF(Customer_Master!$A:$A,B674)=0,TRUE,FALSE)</f>
        <v>0</v>
      </c>
    </row>
    <row r="675" spans="1:9" ht="33.6" x14ac:dyDescent="0.3">
      <c r="A675" s="14" t="s">
        <v>8817</v>
      </c>
      <c r="B675" s="14" t="s">
        <v>8653</v>
      </c>
      <c r="C675" s="15">
        <v>44573</v>
      </c>
      <c r="D675" s="14" t="s">
        <v>7935</v>
      </c>
      <c r="E675" s="14">
        <v>4</v>
      </c>
      <c r="F675" s="14" t="s">
        <v>45</v>
      </c>
      <c r="G675" s="14" t="s">
        <v>45</v>
      </c>
      <c r="H675" s="31" t="str" cm="1">
        <f t="array" ref="H675">_xlfn.IFS(
  ISBLANK(A675),"Missing Value",
  OR(E675&lt;1,E675&gt;5),"Review – Out of Range (Satisfaction)",
  ISNA(MATCH(B675,Customer_Master!$A$2:$A$1649,0)),"Retained – Unmatched ID (Anonymous Feedback Rule)",
  TRUE,"OK"
)</f>
        <v>Retained – Unmatched ID (Anonymous Feedback Rule)</v>
      </c>
      <c r="I675" s="18" t="b">
        <f>IF(COUNTIF(Customer_Master!$A:$A,B675)=0,TRUE,FALSE)</f>
        <v>1</v>
      </c>
    </row>
    <row r="676" spans="1:9" ht="16.8" x14ac:dyDescent="0.3">
      <c r="A676" s="11" t="s">
        <v>8818</v>
      </c>
      <c r="B676" s="11" t="s">
        <v>1911</v>
      </c>
      <c r="C676" s="12">
        <v>44443</v>
      </c>
      <c r="D676" s="11" t="s">
        <v>7935</v>
      </c>
      <c r="E676" s="11">
        <v>5</v>
      </c>
      <c r="F676" s="11" t="s">
        <v>46</v>
      </c>
      <c r="G676" s="11" t="s">
        <v>46</v>
      </c>
      <c r="H676" s="31" t="str" cm="1">
        <f t="array" ref="H676">_xlfn.IFS(
  ISBLANK(A676),"Missing Value",
  OR(E676&lt;1,E676&gt;5),"Review – Out of Range (Satisfaction)",
  ISNA(MATCH(B676,Customer_Master!$A$2:$A$1649,0)),"Retained – Unmatched ID (Anonymous Feedback Rule)",
  TRUE,"OK"
)</f>
        <v>OK</v>
      </c>
      <c r="I676" s="17" t="b">
        <f>IF(COUNTIF(Customer_Master!$A:$A,B676)=0,TRUE,FALSE)</f>
        <v>0</v>
      </c>
    </row>
    <row r="677" spans="1:9" ht="16.8" x14ac:dyDescent="0.3">
      <c r="A677" s="14" t="s">
        <v>8819</v>
      </c>
      <c r="B677" s="14" t="s">
        <v>849</v>
      </c>
      <c r="C677" s="15">
        <v>44895</v>
      </c>
      <c r="D677" s="14" t="s">
        <v>7933</v>
      </c>
      <c r="E677" s="14">
        <v>2</v>
      </c>
      <c r="F677" s="14" t="s">
        <v>46</v>
      </c>
      <c r="G677" s="14" t="s">
        <v>45</v>
      </c>
      <c r="H677" s="31" t="str" cm="1">
        <f t="array" ref="H677">_xlfn.IFS(
  ISBLANK(A677),"Missing Value",
  OR(E677&lt;1,E677&gt;5),"Review – Out of Range (Satisfaction)",
  ISNA(MATCH(B677,Customer_Master!$A$2:$A$1649,0)),"Retained – Unmatched ID (Anonymous Feedback Rule)",
  TRUE,"OK"
)</f>
        <v>OK</v>
      </c>
      <c r="I677" s="18" t="b">
        <f>IF(COUNTIF(Customer_Master!$A:$A,B677)=0,TRUE,FALSE)</f>
        <v>0</v>
      </c>
    </row>
    <row r="678" spans="1:9" ht="16.8" x14ac:dyDescent="0.3">
      <c r="A678" s="11" t="s">
        <v>8820</v>
      </c>
      <c r="B678" s="11" t="s">
        <v>2469</v>
      </c>
      <c r="C678" s="12">
        <v>43914</v>
      </c>
      <c r="D678" s="11" t="s">
        <v>7978</v>
      </c>
      <c r="E678" s="11">
        <v>1</v>
      </c>
      <c r="F678" s="11" t="s">
        <v>45</v>
      </c>
      <c r="G678" s="11" t="s">
        <v>45</v>
      </c>
      <c r="H678" s="31" t="str" cm="1">
        <f t="array" ref="H678">_xlfn.IFS(
  ISBLANK(A678),"Missing Value",
  OR(E678&lt;1,E678&gt;5),"Review – Out of Range (Satisfaction)",
  ISNA(MATCH(B678,Customer_Master!$A$2:$A$1649,0)),"Retained – Unmatched ID (Anonymous Feedback Rule)",
  TRUE,"OK"
)</f>
        <v>OK</v>
      </c>
      <c r="I678" s="17" t="b">
        <f>IF(COUNTIF(Customer_Master!$A:$A,B678)=0,TRUE,FALSE)</f>
        <v>0</v>
      </c>
    </row>
    <row r="679" spans="1:9" ht="16.8" x14ac:dyDescent="0.3">
      <c r="A679" s="14" t="s">
        <v>8821</v>
      </c>
      <c r="B679" s="14" t="s">
        <v>2613</v>
      </c>
      <c r="C679" s="15">
        <v>44960</v>
      </c>
      <c r="D679" s="14" t="s">
        <v>7935</v>
      </c>
      <c r="E679" s="14">
        <v>5</v>
      </c>
      <c r="F679" s="14" t="s">
        <v>46</v>
      </c>
      <c r="G679" s="14" t="s">
        <v>45</v>
      </c>
      <c r="H679" s="31" t="str" cm="1">
        <f t="array" ref="H679">_xlfn.IFS(
  ISBLANK(A679),"Missing Value",
  OR(E679&lt;1,E679&gt;5),"Review – Out of Range (Satisfaction)",
  ISNA(MATCH(B679,Customer_Master!$A$2:$A$1649,0)),"Retained – Unmatched ID (Anonymous Feedback Rule)",
  TRUE,"OK"
)</f>
        <v>OK</v>
      </c>
      <c r="I679" s="18" t="b">
        <f>IF(COUNTIF(Customer_Master!$A:$A,B679)=0,TRUE,FALSE)</f>
        <v>0</v>
      </c>
    </row>
    <row r="680" spans="1:9" ht="33.6" x14ac:dyDescent="0.3">
      <c r="A680" s="11" t="s">
        <v>8822</v>
      </c>
      <c r="B680" s="11" t="s">
        <v>8823</v>
      </c>
      <c r="C680" s="12">
        <v>44027</v>
      </c>
      <c r="D680" s="11" t="s">
        <v>7943</v>
      </c>
      <c r="E680" s="11">
        <v>2</v>
      </c>
      <c r="F680" s="11" t="s">
        <v>45</v>
      </c>
      <c r="G680" s="11" t="s">
        <v>46</v>
      </c>
      <c r="H680" s="31" t="str" cm="1">
        <f t="array" ref="H680">_xlfn.IFS(
  ISBLANK(A680),"Missing Value",
  OR(E680&lt;1,E680&gt;5),"Review – Out of Range (Satisfaction)",
  ISNA(MATCH(B680,Customer_Master!$A$2:$A$1649,0)),"Retained – Unmatched ID (Anonymous Feedback Rule)",
  TRUE,"OK"
)</f>
        <v>Retained – Unmatched ID (Anonymous Feedback Rule)</v>
      </c>
      <c r="I680" s="17" t="b">
        <f>IF(COUNTIF(Customer_Master!$A:$A,B680)=0,TRUE,FALSE)</f>
        <v>1</v>
      </c>
    </row>
    <row r="681" spans="1:9" ht="16.8" x14ac:dyDescent="0.3">
      <c r="A681" s="14" t="s">
        <v>8824</v>
      </c>
      <c r="B681" s="14" t="s">
        <v>529</v>
      </c>
      <c r="C681" s="15">
        <v>45237</v>
      </c>
      <c r="D681" s="14" t="s">
        <v>7928</v>
      </c>
      <c r="E681" s="14">
        <v>1</v>
      </c>
      <c r="F681" s="14" t="s">
        <v>45</v>
      </c>
      <c r="G681" s="14" t="s">
        <v>45</v>
      </c>
      <c r="H681" s="31" t="str" cm="1">
        <f t="array" ref="H681">_xlfn.IFS(
  ISBLANK(A681),"Missing Value",
  OR(E681&lt;1,E681&gt;5),"Review – Out of Range (Satisfaction)",
  ISNA(MATCH(B681,Customer_Master!$A$2:$A$1649,0)),"Retained – Unmatched ID (Anonymous Feedback Rule)",
  TRUE,"OK"
)</f>
        <v>OK</v>
      </c>
      <c r="I681" s="18" t="b">
        <f>IF(COUNTIF(Customer_Master!$A:$A,B681)=0,TRUE,FALSE)</f>
        <v>0</v>
      </c>
    </row>
    <row r="682" spans="1:9" ht="16.8" x14ac:dyDescent="0.3">
      <c r="A682" s="11" t="s">
        <v>8825</v>
      </c>
      <c r="B682" s="11" t="s">
        <v>1307</v>
      </c>
      <c r="C682" s="12">
        <v>44955</v>
      </c>
      <c r="D682" s="11" t="s">
        <v>7943</v>
      </c>
      <c r="E682" s="11">
        <v>2</v>
      </c>
      <c r="F682" s="11" t="s">
        <v>45</v>
      </c>
      <c r="G682" s="11" t="s">
        <v>46</v>
      </c>
      <c r="H682" s="31" t="str" cm="1">
        <f t="array" ref="H682">_xlfn.IFS(
  ISBLANK(A682),"Missing Value",
  OR(E682&lt;1,E682&gt;5),"Review – Out of Range (Satisfaction)",
  ISNA(MATCH(B682,Customer_Master!$A$2:$A$1649,0)),"Retained – Unmatched ID (Anonymous Feedback Rule)",
  TRUE,"OK"
)</f>
        <v>OK</v>
      </c>
      <c r="I682" s="17" t="b">
        <f>IF(COUNTIF(Customer_Master!$A:$A,B682)=0,TRUE,FALSE)</f>
        <v>0</v>
      </c>
    </row>
    <row r="683" spans="1:9" ht="16.8" x14ac:dyDescent="0.3">
      <c r="A683" s="14" t="s">
        <v>8826</v>
      </c>
      <c r="B683" s="14" t="s">
        <v>2501</v>
      </c>
      <c r="C683" s="15">
        <v>44966</v>
      </c>
      <c r="D683" s="14" t="s">
        <v>7940</v>
      </c>
      <c r="E683" s="14">
        <v>5</v>
      </c>
      <c r="F683" s="14" t="s">
        <v>45</v>
      </c>
      <c r="G683" s="14" t="s">
        <v>46</v>
      </c>
      <c r="H683" s="31" t="str" cm="1">
        <f t="array" ref="H683">_xlfn.IFS(
  ISBLANK(A683),"Missing Value",
  OR(E683&lt;1,E683&gt;5),"Review – Out of Range (Satisfaction)",
  ISNA(MATCH(B683,Customer_Master!$A$2:$A$1649,0)),"Retained – Unmatched ID (Anonymous Feedback Rule)",
  TRUE,"OK"
)</f>
        <v>OK</v>
      </c>
      <c r="I683" s="18" t="b">
        <f>IF(COUNTIF(Customer_Master!$A:$A,B683)=0,TRUE,FALSE)</f>
        <v>0</v>
      </c>
    </row>
    <row r="684" spans="1:9" ht="16.8" x14ac:dyDescent="0.3">
      <c r="A684" s="11" t="s">
        <v>8827</v>
      </c>
      <c r="B684" s="11" t="s">
        <v>1927</v>
      </c>
      <c r="C684" s="12">
        <v>43906</v>
      </c>
      <c r="D684" s="11" t="s">
        <v>7928</v>
      </c>
      <c r="E684" s="11">
        <v>1</v>
      </c>
      <c r="F684" s="11" t="s">
        <v>46</v>
      </c>
      <c r="G684" s="11" t="s">
        <v>46</v>
      </c>
      <c r="H684" s="31" t="str" cm="1">
        <f t="array" ref="H684">_xlfn.IFS(
  ISBLANK(A684),"Missing Value",
  OR(E684&lt;1,E684&gt;5),"Review – Out of Range (Satisfaction)",
  ISNA(MATCH(B684,Customer_Master!$A$2:$A$1649,0)),"Retained – Unmatched ID (Anonymous Feedback Rule)",
  TRUE,"OK"
)</f>
        <v>OK</v>
      </c>
      <c r="I684" s="17" t="b">
        <f>IF(COUNTIF(Customer_Master!$A:$A,B684)=0,TRUE,FALSE)</f>
        <v>0</v>
      </c>
    </row>
    <row r="685" spans="1:9" ht="16.8" x14ac:dyDescent="0.3">
      <c r="A685" s="14" t="s">
        <v>8828</v>
      </c>
      <c r="B685" s="14" t="s">
        <v>374</v>
      </c>
      <c r="C685" s="15">
        <v>44666</v>
      </c>
      <c r="D685" s="14" t="s">
        <v>7969</v>
      </c>
      <c r="E685" s="14">
        <v>1</v>
      </c>
      <c r="F685" s="14" t="s">
        <v>45</v>
      </c>
      <c r="G685" s="14" t="s">
        <v>45</v>
      </c>
      <c r="H685" s="31" t="str" cm="1">
        <f t="array" ref="H685">_xlfn.IFS(
  ISBLANK(A685),"Missing Value",
  OR(E685&lt;1,E685&gt;5),"Review – Out of Range (Satisfaction)",
  ISNA(MATCH(B685,Customer_Master!$A$2:$A$1649,0)),"Retained – Unmatched ID (Anonymous Feedback Rule)",
  TRUE,"OK"
)</f>
        <v>OK</v>
      </c>
      <c r="I685" s="18" t="b">
        <f>IF(COUNTIF(Customer_Master!$A:$A,B685)=0,TRUE,FALSE)</f>
        <v>0</v>
      </c>
    </row>
    <row r="686" spans="1:9" ht="16.8" x14ac:dyDescent="0.3">
      <c r="A686" s="11" t="s">
        <v>8829</v>
      </c>
      <c r="B686" s="11" t="s">
        <v>2881</v>
      </c>
      <c r="C686" s="12">
        <v>44691</v>
      </c>
      <c r="D686" s="11" t="s">
        <v>7969</v>
      </c>
      <c r="E686" s="11">
        <v>1</v>
      </c>
      <c r="F686" s="11" t="s">
        <v>45</v>
      </c>
      <c r="G686" s="11" t="s">
        <v>45</v>
      </c>
      <c r="H686" s="31" t="str" cm="1">
        <f t="array" ref="H686">_xlfn.IFS(
  ISBLANK(A686),"Missing Value",
  OR(E686&lt;1,E686&gt;5),"Review – Out of Range (Satisfaction)",
  ISNA(MATCH(B686,Customer_Master!$A$2:$A$1649,0)),"Retained – Unmatched ID (Anonymous Feedback Rule)",
  TRUE,"OK"
)</f>
        <v>OK</v>
      </c>
      <c r="I686" s="17" t="b">
        <f>IF(COUNTIF(Customer_Master!$A:$A,B686)=0,TRUE,FALSE)</f>
        <v>0</v>
      </c>
    </row>
    <row r="687" spans="1:9" ht="16.8" x14ac:dyDescent="0.3">
      <c r="A687" s="14" t="s">
        <v>8830</v>
      </c>
      <c r="B687" s="14" t="s">
        <v>595</v>
      </c>
      <c r="C687" s="15">
        <v>44684</v>
      </c>
      <c r="D687" s="14" t="s">
        <v>7969</v>
      </c>
      <c r="E687" s="14">
        <v>1</v>
      </c>
      <c r="F687" s="14" t="s">
        <v>46</v>
      </c>
      <c r="G687" s="14" t="s">
        <v>45</v>
      </c>
      <c r="H687" s="31" t="str" cm="1">
        <f t="array" ref="H687">_xlfn.IFS(
  ISBLANK(A687),"Missing Value",
  OR(E687&lt;1,E687&gt;5),"Review – Out of Range (Satisfaction)",
  ISNA(MATCH(B687,Customer_Master!$A$2:$A$1649,0)),"Retained – Unmatched ID (Anonymous Feedback Rule)",
  TRUE,"OK"
)</f>
        <v>OK</v>
      </c>
      <c r="I687" s="18" t="b">
        <f>IF(COUNTIF(Customer_Master!$A:$A,B687)=0,TRUE,FALSE)</f>
        <v>0</v>
      </c>
    </row>
    <row r="688" spans="1:9" ht="16.8" x14ac:dyDescent="0.3">
      <c r="A688" s="11" t="s">
        <v>8831</v>
      </c>
      <c r="B688" s="11" t="s">
        <v>2139</v>
      </c>
      <c r="C688" s="12">
        <v>44202</v>
      </c>
      <c r="D688" s="11" t="s">
        <v>7935</v>
      </c>
      <c r="E688" s="11">
        <v>4</v>
      </c>
      <c r="F688" s="11" t="s">
        <v>46</v>
      </c>
      <c r="G688" s="11" t="s">
        <v>45</v>
      </c>
      <c r="H688" s="31" t="str" cm="1">
        <f t="array" ref="H688">_xlfn.IFS(
  ISBLANK(A688),"Missing Value",
  OR(E688&lt;1,E688&gt;5),"Review – Out of Range (Satisfaction)",
  ISNA(MATCH(B688,Customer_Master!$A$2:$A$1649,0)),"Retained – Unmatched ID (Anonymous Feedback Rule)",
  TRUE,"OK"
)</f>
        <v>OK</v>
      </c>
      <c r="I688" s="17" t="b">
        <f>IF(COUNTIF(Customer_Master!$A:$A,B688)=0,TRUE,FALSE)</f>
        <v>0</v>
      </c>
    </row>
    <row r="689" spans="1:9" ht="16.8" x14ac:dyDescent="0.3">
      <c r="A689" s="14" t="s">
        <v>8832</v>
      </c>
      <c r="B689" s="14" t="s">
        <v>697</v>
      </c>
      <c r="C689" s="15">
        <v>44877</v>
      </c>
      <c r="D689" s="14" t="s">
        <v>7928</v>
      </c>
      <c r="E689" s="14">
        <v>3</v>
      </c>
      <c r="F689" s="14" t="s">
        <v>46</v>
      </c>
      <c r="G689" s="14" t="s">
        <v>46</v>
      </c>
      <c r="H689" s="31" t="str" cm="1">
        <f t="array" ref="H689">_xlfn.IFS(
  ISBLANK(A689),"Missing Value",
  OR(E689&lt;1,E689&gt;5),"Review – Out of Range (Satisfaction)",
  ISNA(MATCH(B689,Customer_Master!$A$2:$A$1649,0)),"Retained – Unmatched ID (Anonymous Feedback Rule)",
  TRUE,"OK"
)</f>
        <v>OK</v>
      </c>
      <c r="I689" s="18" t="b">
        <f>IF(COUNTIF(Customer_Master!$A:$A,B689)=0,TRUE,FALSE)</f>
        <v>0</v>
      </c>
    </row>
    <row r="690" spans="1:9" ht="33.6" x14ac:dyDescent="0.3">
      <c r="A690" s="11" t="s">
        <v>8833</v>
      </c>
      <c r="B690" s="11" t="s">
        <v>8834</v>
      </c>
      <c r="C690" s="12">
        <v>45052</v>
      </c>
      <c r="D690" s="11" t="s">
        <v>7940</v>
      </c>
      <c r="E690" s="11">
        <v>5</v>
      </c>
      <c r="F690" s="11" t="s">
        <v>46</v>
      </c>
      <c r="G690" s="11" t="s">
        <v>46</v>
      </c>
      <c r="H690" s="31" t="str" cm="1">
        <f t="array" ref="H690">_xlfn.IFS(
  ISBLANK(A690),"Missing Value",
  OR(E690&lt;1,E690&gt;5),"Review – Out of Range (Satisfaction)",
  ISNA(MATCH(B690,Customer_Master!$A$2:$A$1649,0)),"Retained – Unmatched ID (Anonymous Feedback Rule)",
  TRUE,"OK"
)</f>
        <v>Retained – Unmatched ID (Anonymous Feedback Rule)</v>
      </c>
      <c r="I690" s="17" t="b">
        <f>IF(COUNTIF(Customer_Master!$A:$A,B690)=0,TRUE,FALSE)</f>
        <v>1</v>
      </c>
    </row>
    <row r="691" spans="1:9" ht="16.8" x14ac:dyDescent="0.3">
      <c r="A691" s="14" t="s">
        <v>8835</v>
      </c>
      <c r="B691" s="14" t="s">
        <v>3276</v>
      </c>
      <c r="C691" s="15">
        <v>44540</v>
      </c>
      <c r="D691" s="14" t="s">
        <v>7928</v>
      </c>
      <c r="E691" s="14">
        <v>1</v>
      </c>
      <c r="F691" s="14" t="s">
        <v>46</v>
      </c>
      <c r="G691" s="14" t="s">
        <v>46</v>
      </c>
      <c r="H691" s="31" t="str" cm="1">
        <f t="array" ref="H691">_xlfn.IFS(
  ISBLANK(A691),"Missing Value",
  OR(E691&lt;1,E691&gt;5),"Review – Out of Range (Satisfaction)",
  ISNA(MATCH(B691,Customer_Master!$A$2:$A$1649,0)),"Retained – Unmatched ID (Anonymous Feedback Rule)",
  TRUE,"OK"
)</f>
        <v>OK</v>
      </c>
      <c r="I691" s="18" t="b">
        <f>IF(COUNTIF(Customer_Master!$A:$A,B691)=0,TRUE,FALSE)</f>
        <v>0</v>
      </c>
    </row>
    <row r="692" spans="1:9" ht="33.6" x14ac:dyDescent="0.3">
      <c r="A692" s="11" t="s">
        <v>8836</v>
      </c>
      <c r="B692" s="11" t="s">
        <v>8837</v>
      </c>
      <c r="C692" s="12">
        <v>44476</v>
      </c>
      <c r="D692" s="11" t="s">
        <v>7969</v>
      </c>
      <c r="E692" s="11">
        <v>2</v>
      </c>
      <c r="F692" s="11" t="s">
        <v>46</v>
      </c>
      <c r="G692" s="11" t="s">
        <v>45</v>
      </c>
      <c r="H692" s="31" t="str" cm="1">
        <f t="array" ref="H692">_xlfn.IFS(
  ISBLANK(A692),"Missing Value",
  OR(E692&lt;1,E692&gt;5),"Review – Out of Range (Satisfaction)",
  ISNA(MATCH(B692,Customer_Master!$A$2:$A$1649,0)),"Retained – Unmatched ID (Anonymous Feedback Rule)",
  TRUE,"OK"
)</f>
        <v>Retained – Unmatched ID (Anonymous Feedback Rule)</v>
      </c>
      <c r="I692" s="17" t="b">
        <f>IF(COUNTIF(Customer_Master!$A:$A,B692)=0,TRUE,FALSE)</f>
        <v>1</v>
      </c>
    </row>
    <row r="693" spans="1:9" ht="33.6" x14ac:dyDescent="0.3">
      <c r="A693" s="14" t="s">
        <v>8838</v>
      </c>
      <c r="B693" s="14" t="s">
        <v>8839</v>
      </c>
      <c r="C693" s="15">
        <v>45022</v>
      </c>
      <c r="D693" s="14" t="s">
        <v>7978</v>
      </c>
      <c r="E693" s="14">
        <v>1</v>
      </c>
      <c r="F693" s="14" t="s">
        <v>46</v>
      </c>
      <c r="G693" s="14" t="s">
        <v>45</v>
      </c>
      <c r="H693" s="31" t="str" cm="1">
        <f t="array" ref="H693">_xlfn.IFS(
  ISBLANK(A693),"Missing Value",
  OR(E693&lt;1,E693&gt;5),"Review – Out of Range (Satisfaction)",
  ISNA(MATCH(B693,Customer_Master!$A$2:$A$1649,0)),"Retained – Unmatched ID (Anonymous Feedback Rule)",
  TRUE,"OK"
)</f>
        <v>Retained – Unmatched ID (Anonymous Feedback Rule)</v>
      </c>
      <c r="I693" s="18" t="b">
        <f>IF(COUNTIF(Customer_Master!$A:$A,B693)=0,TRUE,FALSE)</f>
        <v>1</v>
      </c>
    </row>
    <row r="694" spans="1:9" ht="16.8" x14ac:dyDescent="0.3">
      <c r="A694" s="11" t="s">
        <v>8840</v>
      </c>
      <c r="B694" s="11" t="s">
        <v>1105</v>
      </c>
      <c r="C694" s="12">
        <v>44234</v>
      </c>
      <c r="D694" s="11" t="s">
        <v>7978</v>
      </c>
      <c r="E694" s="11">
        <v>3</v>
      </c>
      <c r="F694" s="11" t="s">
        <v>45</v>
      </c>
      <c r="G694" s="11" t="s">
        <v>46</v>
      </c>
      <c r="H694" s="31" t="str" cm="1">
        <f t="array" ref="H694">_xlfn.IFS(
  ISBLANK(A694),"Missing Value",
  OR(E694&lt;1,E694&gt;5),"Review – Out of Range (Satisfaction)",
  ISNA(MATCH(B694,Customer_Master!$A$2:$A$1649,0)),"Retained – Unmatched ID (Anonymous Feedback Rule)",
  TRUE,"OK"
)</f>
        <v>OK</v>
      </c>
      <c r="I694" s="17" t="b">
        <f>IF(COUNTIF(Customer_Master!$A:$A,B694)=0,TRUE,FALSE)</f>
        <v>0</v>
      </c>
    </row>
    <row r="695" spans="1:9" ht="16.8" x14ac:dyDescent="0.3">
      <c r="A695" s="14" t="s">
        <v>8841</v>
      </c>
      <c r="B695" s="14" t="s">
        <v>1085</v>
      </c>
      <c r="C695" s="15">
        <v>44092</v>
      </c>
      <c r="D695" s="14" t="s">
        <v>7940</v>
      </c>
      <c r="E695" s="14">
        <v>4</v>
      </c>
      <c r="F695" s="14" t="s">
        <v>46</v>
      </c>
      <c r="G695" s="14" t="s">
        <v>46</v>
      </c>
      <c r="H695" s="31" t="str" cm="1">
        <f t="array" ref="H695">_xlfn.IFS(
  ISBLANK(A695),"Missing Value",
  OR(E695&lt;1,E695&gt;5),"Review – Out of Range (Satisfaction)",
  ISNA(MATCH(B695,Customer_Master!$A$2:$A$1649,0)),"Retained – Unmatched ID (Anonymous Feedback Rule)",
  TRUE,"OK"
)</f>
        <v>OK</v>
      </c>
      <c r="I695" s="18" t="b">
        <f>IF(COUNTIF(Customer_Master!$A:$A,B695)=0,TRUE,FALSE)</f>
        <v>0</v>
      </c>
    </row>
    <row r="696" spans="1:9" ht="16.8" x14ac:dyDescent="0.3">
      <c r="A696" s="11" t="s">
        <v>8842</v>
      </c>
      <c r="B696" s="11" t="s">
        <v>2055</v>
      </c>
      <c r="C696" s="12">
        <v>44281</v>
      </c>
      <c r="D696" s="11" t="s">
        <v>7943</v>
      </c>
      <c r="E696" s="11">
        <v>3</v>
      </c>
      <c r="F696" s="11" t="s">
        <v>46</v>
      </c>
      <c r="G696" s="11" t="s">
        <v>45</v>
      </c>
      <c r="H696" s="31" t="str" cm="1">
        <f t="array" ref="H696">_xlfn.IFS(
  ISBLANK(A696),"Missing Value",
  OR(E696&lt;1,E696&gt;5),"Review – Out of Range (Satisfaction)",
  ISNA(MATCH(B696,Customer_Master!$A$2:$A$1649,0)),"Retained – Unmatched ID (Anonymous Feedback Rule)",
  TRUE,"OK"
)</f>
        <v>OK</v>
      </c>
      <c r="I696" s="17" t="b">
        <f>IF(COUNTIF(Customer_Master!$A:$A,B696)=0,TRUE,FALSE)</f>
        <v>0</v>
      </c>
    </row>
    <row r="697" spans="1:9" ht="16.8" x14ac:dyDescent="0.3">
      <c r="A697" s="14" t="s">
        <v>8843</v>
      </c>
      <c r="B697" s="14" t="s">
        <v>1657</v>
      </c>
      <c r="C697" s="15">
        <v>43930</v>
      </c>
      <c r="D697" s="14" t="s">
        <v>7969</v>
      </c>
      <c r="E697" s="14">
        <v>2</v>
      </c>
      <c r="F697" s="14" t="s">
        <v>46</v>
      </c>
      <c r="G697" s="14" t="s">
        <v>46</v>
      </c>
      <c r="H697" s="31" t="str" cm="1">
        <f t="array" ref="H697">_xlfn.IFS(
  ISBLANK(A697),"Missing Value",
  OR(E697&lt;1,E697&gt;5),"Review – Out of Range (Satisfaction)",
  ISNA(MATCH(B697,Customer_Master!$A$2:$A$1649,0)),"Retained – Unmatched ID (Anonymous Feedback Rule)",
  TRUE,"OK"
)</f>
        <v>OK</v>
      </c>
      <c r="I697" s="18" t="b">
        <f>IF(COUNTIF(Customer_Master!$A:$A,B697)=0,TRUE,FALSE)</f>
        <v>0</v>
      </c>
    </row>
    <row r="698" spans="1:9" ht="33.6" x14ac:dyDescent="0.3">
      <c r="A698" s="11" t="s">
        <v>8844</v>
      </c>
      <c r="B698" s="11" t="s">
        <v>8845</v>
      </c>
      <c r="C698" s="12">
        <v>44210</v>
      </c>
      <c r="D698" s="11" t="s">
        <v>7935</v>
      </c>
      <c r="E698" s="11">
        <v>4</v>
      </c>
      <c r="F698" s="11" t="s">
        <v>46</v>
      </c>
      <c r="G698" s="11" t="s">
        <v>46</v>
      </c>
      <c r="H698" s="31" t="str" cm="1">
        <f t="array" ref="H698">_xlfn.IFS(
  ISBLANK(A698),"Missing Value",
  OR(E698&lt;1,E698&gt;5),"Review – Out of Range (Satisfaction)",
  ISNA(MATCH(B698,Customer_Master!$A$2:$A$1649,0)),"Retained – Unmatched ID (Anonymous Feedback Rule)",
  TRUE,"OK"
)</f>
        <v>Retained – Unmatched ID (Anonymous Feedback Rule)</v>
      </c>
      <c r="I698" s="17" t="b">
        <f>IF(COUNTIF(Customer_Master!$A:$A,B698)=0,TRUE,FALSE)</f>
        <v>1</v>
      </c>
    </row>
    <row r="699" spans="1:9" ht="33.6" x14ac:dyDescent="0.3">
      <c r="A699" s="14" t="s">
        <v>8846</v>
      </c>
      <c r="B699" s="14" t="s">
        <v>8363</v>
      </c>
      <c r="C699" s="15">
        <v>44906</v>
      </c>
      <c r="D699" s="14" t="s">
        <v>7978</v>
      </c>
      <c r="E699" s="14">
        <v>1</v>
      </c>
      <c r="F699" s="14" t="s">
        <v>46</v>
      </c>
      <c r="G699" s="14" t="s">
        <v>46</v>
      </c>
      <c r="H699" s="31" t="str" cm="1">
        <f t="array" ref="H699">_xlfn.IFS(
  ISBLANK(A699),"Missing Value",
  OR(E699&lt;1,E699&gt;5),"Review – Out of Range (Satisfaction)",
  ISNA(MATCH(B699,Customer_Master!$A$2:$A$1649,0)),"Retained – Unmatched ID (Anonymous Feedback Rule)",
  TRUE,"OK"
)</f>
        <v>Retained – Unmatched ID (Anonymous Feedback Rule)</v>
      </c>
      <c r="I699" s="18" t="b">
        <f>IF(COUNTIF(Customer_Master!$A:$A,B699)=0,TRUE,FALSE)</f>
        <v>1</v>
      </c>
    </row>
    <row r="700" spans="1:9" ht="33.6" x14ac:dyDescent="0.3">
      <c r="A700" s="11" t="s">
        <v>8847</v>
      </c>
      <c r="B700" s="11" t="s">
        <v>8195</v>
      </c>
      <c r="C700" s="12">
        <v>44009</v>
      </c>
      <c r="D700" s="11" t="s">
        <v>7969</v>
      </c>
      <c r="E700" s="11">
        <v>1</v>
      </c>
      <c r="F700" s="11" t="s">
        <v>46</v>
      </c>
      <c r="G700" s="11" t="s">
        <v>45</v>
      </c>
      <c r="H700" s="31" t="str" cm="1">
        <f t="array" ref="H700">_xlfn.IFS(
  ISBLANK(A700),"Missing Value",
  OR(E700&lt;1,E700&gt;5),"Review – Out of Range (Satisfaction)",
  ISNA(MATCH(B700,Customer_Master!$A$2:$A$1649,0)),"Retained – Unmatched ID (Anonymous Feedback Rule)",
  TRUE,"OK"
)</f>
        <v>Retained – Unmatched ID (Anonymous Feedback Rule)</v>
      </c>
      <c r="I700" s="17" t="b">
        <f>IF(COUNTIF(Customer_Master!$A:$A,B700)=0,TRUE,FALSE)</f>
        <v>1</v>
      </c>
    </row>
    <row r="701" spans="1:9" ht="16.8" x14ac:dyDescent="0.3">
      <c r="A701" s="14" t="s">
        <v>8848</v>
      </c>
      <c r="B701" s="14" t="s">
        <v>2961</v>
      </c>
      <c r="C701" s="15">
        <v>45228</v>
      </c>
      <c r="D701" s="14" t="s">
        <v>7928</v>
      </c>
      <c r="E701" s="14">
        <v>3</v>
      </c>
      <c r="F701" s="14" t="s">
        <v>45</v>
      </c>
      <c r="G701" s="14" t="s">
        <v>45</v>
      </c>
      <c r="H701" s="31" t="str" cm="1">
        <f t="array" ref="H701">_xlfn.IFS(
  ISBLANK(A701),"Missing Value",
  OR(E701&lt;1,E701&gt;5),"Review – Out of Range (Satisfaction)",
  ISNA(MATCH(B701,Customer_Master!$A$2:$A$1649,0)),"Retained – Unmatched ID (Anonymous Feedback Rule)",
  TRUE,"OK"
)</f>
        <v>OK</v>
      </c>
      <c r="I701" s="18" t="b">
        <f>IF(COUNTIF(Customer_Master!$A:$A,B701)=0,TRUE,FALSE)</f>
        <v>0</v>
      </c>
    </row>
    <row r="702" spans="1:9" ht="16.8" x14ac:dyDescent="0.3">
      <c r="A702" s="11" t="s">
        <v>8849</v>
      </c>
      <c r="B702" s="11" t="s">
        <v>1693</v>
      </c>
      <c r="C702" s="12">
        <v>43954</v>
      </c>
      <c r="D702" s="11" t="s">
        <v>7969</v>
      </c>
      <c r="E702" s="11">
        <v>1</v>
      </c>
      <c r="F702" s="11" t="s">
        <v>46</v>
      </c>
      <c r="G702" s="11" t="s">
        <v>46</v>
      </c>
      <c r="H702" s="31" t="str" cm="1">
        <f t="array" ref="H702">_xlfn.IFS(
  ISBLANK(A702),"Missing Value",
  OR(E702&lt;1,E702&gt;5),"Review – Out of Range (Satisfaction)",
  ISNA(MATCH(B702,Customer_Master!$A$2:$A$1649,0)),"Retained – Unmatched ID (Anonymous Feedback Rule)",
  TRUE,"OK"
)</f>
        <v>OK</v>
      </c>
      <c r="I702" s="17" t="b">
        <f>IF(COUNTIF(Customer_Master!$A:$A,B702)=0,TRUE,FALSE)</f>
        <v>0</v>
      </c>
    </row>
    <row r="703" spans="1:9" ht="33.6" x14ac:dyDescent="0.3">
      <c r="A703" s="14" t="s">
        <v>8850</v>
      </c>
      <c r="B703" s="14" t="s">
        <v>8851</v>
      </c>
      <c r="C703" s="15">
        <v>44389</v>
      </c>
      <c r="D703" s="14" t="s">
        <v>7978</v>
      </c>
      <c r="E703" s="14">
        <v>3</v>
      </c>
      <c r="F703" s="14" t="s">
        <v>45</v>
      </c>
      <c r="G703" s="14" t="s">
        <v>46</v>
      </c>
      <c r="H703" s="31" t="str" cm="1">
        <f t="array" ref="H703">_xlfn.IFS(
  ISBLANK(A703),"Missing Value",
  OR(E703&lt;1,E703&gt;5),"Review – Out of Range (Satisfaction)",
  ISNA(MATCH(B703,Customer_Master!$A$2:$A$1649,0)),"Retained – Unmatched ID (Anonymous Feedback Rule)",
  TRUE,"OK"
)</f>
        <v>Retained – Unmatched ID (Anonymous Feedback Rule)</v>
      </c>
      <c r="I703" s="18" t="b">
        <f>IF(COUNTIF(Customer_Master!$A:$A,B703)=0,TRUE,FALSE)</f>
        <v>1</v>
      </c>
    </row>
    <row r="704" spans="1:9" ht="33.6" x14ac:dyDescent="0.3">
      <c r="A704" s="11" t="s">
        <v>8852</v>
      </c>
      <c r="B704" s="11" t="s">
        <v>8853</v>
      </c>
      <c r="C704" s="12">
        <v>45272</v>
      </c>
      <c r="D704" s="11" t="s">
        <v>7937</v>
      </c>
      <c r="E704" s="11">
        <v>5</v>
      </c>
      <c r="F704" s="11" t="s">
        <v>46</v>
      </c>
      <c r="G704" s="11" t="s">
        <v>46</v>
      </c>
      <c r="H704" s="31" t="str" cm="1">
        <f t="array" ref="H704">_xlfn.IFS(
  ISBLANK(A704),"Missing Value",
  OR(E704&lt;1,E704&gt;5),"Review – Out of Range (Satisfaction)",
  ISNA(MATCH(B704,Customer_Master!$A$2:$A$1649,0)),"Retained – Unmatched ID (Anonymous Feedback Rule)",
  TRUE,"OK"
)</f>
        <v>Retained – Unmatched ID (Anonymous Feedback Rule)</v>
      </c>
      <c r="I704" s="17" t="b">
        <f>IF(COUNTIF(Customer_Master!$A:$A,B704)=0,TRUE,FALSE)</f>
        <v>1</v>
      </c>
    </row>
    <row r="705" spans="1:9" ht="16.8" x14ac:dyDescent="0.3">
      <c r="A705" s="14" t="s">
        <v>8854</v>
      </c>
      <c r="B705" s="14" t="s">
        <v>1177</v>
      </c>
      <c r="C705" s="15">
        <v>43967</v>
      </c>
      <c r="D705" s="14" t="s">
        <v>7933</v>
      </c>
      <c r="E705" s="14">
        <v>2</v>
      </c>
      <c r="F705" s="14" t="s">
        <v>45</v>
      </c>
      <c r="G705" s="14" t="s">
        <v>46</v>
      </c>
      <c r="H705" s="31" t="str" cm="1">
        <f t="array" ref="H705">_xlfn.IFS(
  ISBLANK(A705),"Missing Value",
  OR(E705&lt;1,E705&gt;5),"Review – Out of Range (Satisfaction)",
  ISNA(MATCH(B705,Customer_Master!$A$2:$A$1649,0)),"Retained – Unmatched ID (Anonymous Feedback Rule)",
  TRUE,"OK"
)</f>
        <v>OK</v>
      </c>
      <c r="I705" s="18" t="b">
        <f>IF(COUNTIF(Customer_Master!$A:$A,B705)=0,TRUE,FALSE)</f>
        <v>0</v>
      </c>
    </row>
    <row r="706" spans="1:9" ht="16.8" x14ac:dyDescent="0.3">
      <c r="A706" s="11" t="s">
        <v>8855</v>
      </c>
      <c r="B706" s="11" t="s">
        <v>2727</v>
      </c>
      <c r="C706" s="12">
        <v>43888</v>
      </c>
      <c r="D706" s="11" t="s">
        <v>7943</v>
      </c>
      <c r="E706" s="11">
        <v>3</v>
      </c>
      <c r="F706" s="11" t="s">
        <v>45</v>
      </c>
      <c r="G706" s="11" t="s">
        <v>46</v>
      </c>
      <c r="H706" s="31" t="str" cm="1">
        <f t="array" ref="H706">_xlfn.IFS(
  ISBLANK(A706),"Missing Value",
  OR(E706&lt;1,E706&gt;5),"Review – Out of Range (Satisfaction)",
  ISNA(MATCH(B706,Customer_Master!$A$2:$A$1649,0)),"Retained – Unmatched ID (Anonymous Feedback Rule)",
  TRUE,"OK"
)</f>
        <v>OK</v>
      </c>
      <c r="I706" s="17" t="b">
        <f>IF(COUNTIF(Customer_Master!$A:$A,B706)=0,TRUE,FALSE)</f>
        <v>0</v>
      </c>
    </row>
    <row r="707" spans="1:9" ht="33.6" x14ac:dyDescent="0.3">
      <c r="A707" s="14" t="s">
        <v>8856</v>
      </c>
      <c r="B707" s="14" t="s">
        <v>8320</v>
      </c>
      <c r="C707" s="15">
        <v>44492</v>
      </c>
      <c r="D707" s="14" t="s">
        <v>7935</v>
      </c>
      <c r="E707" s="14">
        <v>4</v>
      </c>
      <c r="F707" s="14" t="s">
        <v>46</v>
      </c>
      <c r="G707" s="14" t="s">
        <v>45</v>
      </c>
      <c r="H707" s="31" t="str" cm="1">
        <f t="array" ref="H707">_xlfn.IFS(
  ISBLANK(A707),"Missing Value",
  OR(E707&lt;1,E707&gt;5),"Review – Out of Range (Satisfaction)",
  ISNA(MATCH(B707,Customer_Master!$A$2:$A$1649,0)),"Retained – Unmatched ID (Anonymous Feedback Rule)",
  TRUE,"OK"
)</f>
        <v>Retained – Unmatched ID (Anonymous Feedback Rule)</v>
      </c>
      <c r="I707" s="18" t="b">
        <f>IF(COUNTIF(Customer_Master!$A:$A,B707)=0,TRUE,FALSE)</f>
        <v>1</v>
      </c>
    </row>
    <row r="708" spans="1:9" ht="16.8" x14ac:dyDescent="0.3">
      <c r="A708" s="11" t="s">
        <v>8857</v>
      </c>
      <c r="B708" s="11" t="s">
        <v>276</v>
      </c>
      <c r="C708" s="12">
        <v>44161</v>
      </c>
      <c r="D708" s="11" t="s">
        <v>7935</v>
      </c>
      <c r="E708" s="11">
        <v>4</v>
      </c>
      <c r="F708" s="11" t="s">
        <v>45</v>
      </c>
      <c r="G708" s="11" t="s">
        <v>46</v>
      </c>
      <c r="H708" s="31" t="str" cm="1">
        <f t="array" ref="H708">_xlfn.IFS(
  ISBLANK(A708),"Missing Value",
  OR(E708&lt;1,E708&gt;5),"Review – Out of Range (Satisfaction)",
  ISNA(MATCH(B708,Customer_Master!$A$2:$A$1649,0)),"Retained – Unmatched ID (Anonymous Feedback Rule)",
  TRUE,"OK"
)</f>
        <v>OK</v>
      </c>
      <c r="I708" s="17" t="b">
        <f>IF(COUNTIF(Customer_Master!$A:$A,B708)=0,TRUE,FALSE)</f>
        <v>0</v>
      </c>
    </row>
    <row r="709" spans="1:9" ht="16.8" x14ac:dyDescent="0.3">
      <c r="A709" s="14" t="s">
        <v>8858</v>
      </c>
      <c r="B709" s="14" t="s">
        <v>492</v>
      </c>
      <c r="C709" s="15">
        <v>44172</v>
      </c>
      <c r="D709" s="14" t="s">
        <v>7935</v>
      </c>
      <c r="E709" s="14">
        <v>4</v>
      </c>
      <c r="F709" s="14" t="s">
        <v>45</v>
      </c>
      <c r="G709" s="14" t="s">
        <v>45</v>
      </c>
      <c r="H709" s="31" t="str" cm="1">
        <f t="array" ref="H709">_xlfn.IFS(
  ISBLANK(A709),"Missing Value",
  OR(E709&lt;1,E709&gt;5),"Review – Out of Range (Satisfaction)",
  ISNA(MATCH(B709,Customer_Master!$A$2:$A$1649,0)),"Retained – Unmatched ID (Anonymous Feedback Rule)",
  TRUE,"OK"
)</f>
        <v>OK</v>
      </c>
      <c r="I709" s="18" t="b">
        <f>IF(COUNTIF(Customer_Master!$A:$A,B709)=0,TRUE,FALSE)</f>
        <v>0</v>
      </c>
    </row>
    <row r="710" spans="1:9" ht="16.8" x14ac:dyDescent="0.3">
      <c r="A710" s="11" t="s">
        <v>8859</v>
      </c>
      <c r="B710" s="11" t="s">
        <v>2183</v>
      </c>
      <c r="C710" s="12">
        <v>44640</v>
      </c>
      <c r="D710" s="11" t="s">
        <v>7937</v>
      </c>
      <c r="E710" s="11">
        <v>4</v>
      </c>
      <c r="F710" s="11" t="s">
        <v>45</v>
      </c>
      <c r="G710" s="11" t="s">
        <v>46</v>
      </c>
      <c r="H710" s="31" t="str" cm="1">
        <f t="array" ref="H710">_xlfn.IFS(
  ISBLANK(A710),"Missing Value",
  OR(E710&lt;1,E710&gt;5),"Review – Out of Range (Satisfaction)",
  ISNA(MATCH(B710,Customer_Master!$A$2:$A$1649,0)),"Retained – Unmatched ID (Anonymous Feedback Rule)",
  TRUE,"OK"
)</f>
        <v>OK</v>
      </c>
      <c r="I710" s="17" t="b">
        <f>IF(COUNTIF(Customer_Master!$A:$A,B710)=0,TRUE,FALSE)</f>
        <v>0</v>
      </c>
    </row>
    <row r="711" spans="1:9" ht="16.8" x14ac:dyDescent="0.3">
      <c r="A711" s="14" t="s">
        <v>8860</v>
      </c>
      <c r="B711" s="14" t="s">
        <v>3186</v>
      </c>
      <c r="C711" s="15">
        <v>43943</v>
      </c>
      <c r="D711" s="14" t="s">
        <v>7928</v>
      </c>
      <c r="E711" s="14">
        <v>3</v>
      </c>
      <c r="F711" s="14" t="s">
        <v>45</v>
      </c>
      <c r="G711" s="14" t="s">
        <v>46</v>
      </c>
      <c r="H711" s="31" t="str" cm="1">
        <f t="array" ref="H711">_xlfn.IFS(
  ISBLANK(A711),"Missing Value",
  OR(E711&lt;1,E711&gt;5),"Review – Out of Range (Satisfaction)",
  ISNA(MATCH(B711,Customer_Master!$A$2:$A$1649,0)),"Retained – Unmatched ID (Anonymous Feedback Rule)",
  TRUE,"OK"
)</f>
        <v>OK</v>
      </c>
      <c r="I711" s="18" t="b">
        <f>IF(COUNTIF(Customer_Master!$A:$A,B711)=0,TRUE,FALSE)</f>
        <v>0</v>
      </c>
    </row>
    <row r="712" spans="1:9" ht="33.6" x14ac:dyDescent="0.3">
      <c r="A712" s="11" t="s">
        <v>8861</v>
      </c>
      <c r="B712" s="11" t="s">
        <v>8862</v>
      </c>
      <c r="C712" s="12">
        <v>44729</v>
      </c>
      <c r="D712" s="11" t="s">
        <v>7947</v>
      </c>
      <c r="E712" s="11">
        <v>3</v>
      </c>
      <c r="F712" s="11" t="s">
        <v>46</v>
      </c>
      <c r="G712" s="11" t="s">
        <v>45</v>
      </c>
      <c r="H712" s="31" t="str" cm="1">
        <f t="array" ref="H712">_xlfn.IFS(
  ISBLANK(A712),"Missing Value",
  OR(E712&lt;1,E712&gt;5),"Review – Out of Range (Satisfaction)",
  ISNA(MATCH(B712,Customer_Master!$A$2:$A$1649,0)),"Retained – Unmatched ID (Anonymous Feedback Rule)",
  TRUE,"OK"
)</f>
        <v>Retained – Unmatched ID (Anonymous Feedback Rule)</v>
      </c>
      <c r="I712" s="17" t="b">
        <f>IF(COUNTIF(Customer_Master!$A:$A,B712)=0,TRUE,FALSE)</f>
        <v>1</v>
      </c>
    </row>
    <row r="713" spans="1:9" ht="16.8" x14ac:dyDescent="0.3">
      <c r="A713" s="14" t="s">
        <v>8863</v>
      </c>
      <c r="B713" s="14" t="s">
        <v>937</v>
      </c>
      <c r="C713" s="15">
        <v>44840</v>
      </c>
      <c r="D713" s="14" t="s">
        <v>7933</v>
      </c>
      <c r="E713" s="14">
        <v>2</v>
      </c>
      <c r="F713" s="14" t="s">
        <v>46</v>
      </c>
      <c r="G713" s="14" t="s">
        <v>46</v>
      </c>
      <c r="H713" s="31" t="str" cm="1">
        <f t="array" ref="H713">_xlfn.IFS(
  ISBLANK(A713),"Missing Value",
  OR(E713&lt;1,E713&gt;5),"Review – Out of Range (Satisfaction)",
  ISNA(MATCH(B713,Customer_Master!$A$2:$A$1649,0)),"Retained – Unmatched ID (Anonymous Feedback Rule)",
  TRUE,"OK"
)</f>
        <v>OK</v>
      </c>
      <c r="I713" s="18" t="b">
        <f>IF(COUNTIF(Customer_Master!$A:$A,B713)=0,TRUE,FALSE)</f>
        <v>0</v>
      </c>
    </row>
    <row r="714" spans="1:9" ht="16.8" x14ac:dyDescent="0.3">
      <c r="A714" s="11" t="s">
        <v>8864</v>
      </c>
      <c r="B714" s="11" t="s">
        <v>2763</v>
      </c>
      <c r="C714" s="12">
        <v>44588</v>
      </c>
      <c r="D714" s="11" t="s">
        <v>7937</v>
      </c>
      <c r="E714" s="11">
        <v>5</v>
      </c>
      <c r="F714" s="11" t="s">
        <v>46</v>
      </c>
      <c r="G714" s="11" t="s">
        <v>45</v>
      </c>
      <c r="H714" s="31" t="str" cm="1">
        <f t="array" ref="H714">_xlfn.IFS(
  ISBLANK(A714),"Missing Value",
  OR(E714&lt;1,E714&gt;5),"Review – Out of Range (Satisfaction)",
  ISNA(MATCH(B714,Customer_Master!$A$2:$A$1649,0)),"Retained – Unmatched ID (Anonymous Feedback Rule)",
  TRUE,"OK"
)</f>
        <v>OK</v>
      </c>
      <c r="I714" s="17" t="b">
        <f>IF(COUNTIF(Customer_Master!$A:$A,B714)=0,TRUE,FALSE)</f>
        <v>0</v>
      </c>
    </row>
    <row r="715" spans="1:9" ht="16.8" x14ac:dyDescent="0.3">
      <c r="A715" s="14" t="s">
        <v>8865</v>
      </c>
      <c r="B715" s="14" t="s">
        <v>1979</v>
      </c>
      <c r="C715" s="15">
        <v>44612</v>
      </c>
      <c r="D715" s="14" t="s">
        <v>7935</v>
      </c>
      <c r="E715" s="14">
        <v>5</v>
      </c>
      <c r="F715" s="14" t="s">
        <v>46</v>
      </c>
      <c r="G715" s="14" t="s">
        <v>45</v>
      </c>
      <c r="H715" s="31" t="str" cm="1">
        <f t="array" ref="H715">_xlfn.IFS(
  ISBLANK(A715),"Missing Value",
  OR(E715&lt;1,E715&gt;5),"Review – Out of Range (Satisfaction)",
  ISNA(MATCH(B715,Customer_Master!$A$2:$A$1649,0)),"Retained – Unmatched ID (Anonymous Feedback Rule)",
  TRUE,"OK"
)</f>
        <v>OK</v>
      </c>
      <c r="I715" s="18" t="b">
        <f>IF(COUNTIF(Customer_Master!$A:$A,B715)=0,TRUE,FALSE)</f>
        <v>0</v>
      </c>
    </row>
    <row r="716" spans="1:9" ht="33.6" x14ac:dyDescent="0.3">
      <c r="A716" s="11" t="s">
        <v>8866</v>
      </c>
      <c r="B716" s="11" t="s">
        <v>8420</v>
      </c>
      <c r="C716" s="12">
        <v>43962</v>
      </c>
      <c r="D716" s="11" t="s">
        <v>7943</v>
      </c>
      <c r="E716" s="11">
        <v>2</v>
      </c>
      <c r="F716" s="11" t="s">
        <v>46</v>
      </c>
      <c r="G716" s="11" t="s">
        <v>45</v>
      </c>
      <c r="H716" s="31" t="str" cm="1">
        <f t="array" ref="H716">_xlfn.IFS(
  ISBLANK(A716),"Missing Value",
  OR(E716&lt;1,E716&gt;5),"Review – Out of Range (Satisfaction)",
  ISNA(MATCH(B716,Customer_Master!$A$2:$A$1649,0)),"Retained – Unmatched ID (Anonymous Feedback Rule)",
  TRUE,"OK"
)</f>
        <v>Retained – Unmatched ID (Anonymous Feedback Rule)</v>
      </c>
      <c r="I716" s="17" t="b">
        <f>IF(COUNTIF(Customer_Master!$A:$A,B716)=0,TRUE,FALSE)</f>
        <v>1</v>
      </c>
    </row>
    <row r="717" spans="1:9" ht="16.8" x14ac:dyDescent="0.3">
      <c r="A717" s="14" t="s">
        <v>8867</v>
      </c>
      <c r="B717" s="14" t="s">
        <v>1647</v>
      </c>
      <c r="C717" s="15">
        <v>44436</v>
      </c>
      <c r="D717" s="14" t="s">
        <v>7947</v>
      </c>
      <c r="E717" s="14">
        <v>3</v>
      </c>
      <c r="F717" s="14" t="s">
        <v>46</v>
      </c>
      <c r="G717" s="14" t="s">
        <v>45</v>
      </c>
      <c r="H717" s="31" t="str" cm="1">
        <f t="array" ref="H717">_xlfn.IFS(
  ISBLANK(A717),"Missing Value",
  OR(E717&lt;1,E717&gt;5),"Review – Out of Range (Satisfaction)",
  ISNA(MATCH(B717,Customer_Master!$A$2:$A$1649,0)),"Retained – Unmatched ID (Anonymous Feedback Rule)",
  TRUE,"OK"
)</f>
        <v>OK</v>
      </c>
      <c r="I717" s="18" t="b">
        <f>IF(COUNTIF(Customer_Master!$A:$A,B717)=0,TRUE,FALSE)</f>
        <v>0</v>
      </c>
    </row>
    <row r="718" spans="1:9" ht="16.8" x14ac:dyDescent="0.3">
      <c r="A718" s="11" t="s">
        <v>8868</v>
      </c>
      <c r="B718" s="11" t="s">
        <v>903</v>
      </c>
      <c r="C718" s="12">
        <v>44157</v>
      </c>
      <c r="D718" s="11" t="s">
        <v>7933</v>
      </c>
      <c r="E718" s="11">
        <v>2</v>
      </c>
      <c r="F718" s="11" t="s">
        <v>45</v>
      </c>
      <c r="G718" s="11" t="s">
        <v>45</v>
      </c>
      <c r="H718" s="31" t="str" cm="1">
        <f t="array" ref="H718">_xlfn.IFS(
  ISBLANK(A718),"Missing Value",
  OR(E718&lt;1,E718&gt;5),"Review – Out of Range (Satisfaction)",
  ISNA(MATCH(B718,Customer_Master!$A$2:$A$1649,0)),"Retained – Unmatched ID (Anonymous Feedback Rule)",
  TRUE,"OK"
)</f>
        <v>OK</v>
      </c>
      <c r="I718" s="17" t="b">
        <f>IF(COUNTIF(Customer_Master!$A:$A,B718)=0,TRUE,FALSE)</f>
        <v>0</v>
      </c>
    </row>
    <row r="719" spans="1:9" ht="16.8" x14ac:dyDescent="0.3">
      <c r="A719" s="14" t="s">
        <v>8869</v>
      </c>
      <c r="B719" s="14" t="s">
        <v>3024</v>
      </c>
      <c r="C719" s="15">
        <v>44209</v>
      </c>
      <c r="D719" s="14" t="s">
        <v>7928</v>
      </c>
      <c r="E719" s="14">
        <v>2</v>
      </c>
      <c r="F719" s="14" t="s">
        <v>45</v>
      </c>
      <c r="G719" s="14" t="s">
        <v>45</v>
      </c>
      <c r="H719" s="31" t="str" cm="1">
        <f t="array" ref="H719">_xlfn.IFS(
  ISBLANK(A719),"Missing Value",
  OR(E719&lt;1,E719&gt;5),"Review – Out of Range (Satisfaction)",
  ISNA(MATCH(B719,Customer_Master!$A$2:$A$1649,0)),"Retained – Unmatched ID (Anonymous Feedback Rule)",
  TRUE,"OK"
)</f>
        <v>OK</v>
      </c>
      <c r="I719" s="18" t="b">
        <f>IF(COUNTIF(Customer_Master!$A:$A,B719)=0,TRUE,FALSE)</f>
        <v>0</v>
      </c>
    </row>
    <row r="720" spans="1:9" ht="16.8" x14ac:dyDescent="0.3">
      <c r="A720" s="11" t="s">
        <v>8870</v>
      </c>
      <c r="B720" s="11" t="s">
        <v>84</v>
      </c>
      <c r="C720" s="12">
        <v>44555</v>
      </c>
      <c r="D720" s="11" t="s">
        <v>7933</v>
      </c>
      <c r="E720" s="11">
        <v>2</v>
      </c>
      <c r="F720" s="11" t="s">
        <v>46</v>
      </c>
      <c r="G720" s="11" t="s">
        <v>46</v>
      </c>
      <c r="H720" s="31" t="str" cm="1">
        <f t="array" ref="H720">_xlfn.IFS(
  ISBLANK(A720),"Missing Value",
  OR(E720&lt;1,E720&gt;5),"Review – Out of Range (Satisfaction)",
  ISNA(MATCH(B720,Customer_Master!$A$2:$A$1649,0)),"Retained – Unmatched ID (Anonymous Feedback Rule)",
  TRUE,"OK"
)</f>
        <v>OK</v>
      </c>
      <c r="I720" s="17" t="b">
        <f>IF(COUNTIF(Customer_Master!$A:$A,B720)=0,TRUE,FALSE)</f>
        <v>0</v>
      </c>
    </row>
    <row r="721" spans="1:9" ht="33.6" x14ac:dyDescent="0.3">
      <c r="A721" s="14" t="s">
        <v>8871</v>
      </c>
      <c r="B721" s="14" t="s">
        <v>8872</v>
      </c>
      <c r="C721" s="15">
        <v>45183</v>
      </c>
      <c r="D721" s="14" t="s">
        <v>7928</v>
      </c>
      <c r="E721" s="14">
        <v>3</v>
      </c>
      <c r="F721" s="14" t="s">
        <v>45</v>
      </c>
      <c r="G721" s="14" t="s">
        <v>45</v>
      </c>
      <c r="H721" s="31" t="str" cm="1">
        <f t="array" ref="H721">_xlfn.IFS(
  ISBLANK(A721),"Missing Value",
  OR(E721&lt;1,E721&gt;5),"Review – Out of Range (Satisfaction)",
  ISNA(MATCH(B721,Customer_Master!$A$2:$A$1649,0)),"Retained – Unmatched ID (Anonymous Feedback Rule)",
  TRUE,"OK"
)</f>
        <v>Retained – Unmatched ID (Anonymous Feedback Rule)</v>
      </c>
      <c r="I721" s="18" t="b">
        <f>IF(COUNTIF(Customer_Master!$A:$A,B721)=0,TRUE,FALSE)</f>
        <v>1</v>
      </c>
    </row>
    <row r="722" spans="1:9" ht="16.8" x14ac:dyDescent="0.3">
      <c r="A722" s="11" t="s">
        <v>8873</v>
      </c>
      <c r="B722" s="11" t="s">
        <v>2309</v>
      </c>
      <c r="C722" s="12">
        <v>45013</v>
      </c>
      <c r="D722" s="11" t="s">
        <v>7943</v>
      </c>
      <c r="E722" s="11">
        <v>1</v>
      </c>
      <c r="F722" s="11" t="s">
        <v>46</v>
      </c>
      <c r="G722" s="11" t="s">
        <v>45</v>
      </c>
      <c r="H722" s="31" t="str" cm="1">
        <f t="array" ref="H722">_xlfn.IFS(
  ISBLANK(A722),"Missing Value",
  OR(E722&lt;1,E722&gt;5),"Review – Out of Range (Satisfaction)",
  ISNA(MATCH(B722,Customer_Master!$A$2:$A$1649,0)),"Retained – Unmatched ID (Anonymous Feedback Rule)",
  TRUE,"OK"
)</f>
        <v>OK</v>
      </c>
      <c r="I722" s="17" t="b">
        <f>IF(COUNTIF(Customer_Master!$A:$A,B722)=0,TRUE,FALSE)</f>
        <v>0</v>
      </c>
    </row>
    <row r="723" spans="1:9" ht="16.8" x14ac:dyDescent="0.3">
      <c r="A723" s="14" t="s">
        <v>8874</v>
      </c>
      <c r="B723" s="14" t="s">
        <v>979</v>
      </c>
      <c r="C723" s="15">
        <v>44560</v>
      </c>
      <c r="D723" s="14" t="s">
        <v>7947</v>
      </c>
      <c r="E723" s="14">
        <v>3</v>
      </c>
      <c r="F723" s="14" t="s">
        <v>45</v>
      </c>
      <c r="G723" s="14" t="s">
        <v>46</v>
      </c>
      <c r="H723" s="31" t="str" cm="1">
        <f t="array" ref="H723">_xlfn.IFS(
  ISBLANK(A723),"Missing Value",
  OR(E723&lt;1,E723&gt;5),"Review – Out of Range (Satisfaction)",
  ISNA(MATCH(B723,Customer_Master!$A$2:$A$1649,0)),"Retained – Unmatched ID (Anonymous Feedback Rule)",
  TRUE,"OK"
)</f>
        <v>OK</v>
      </c>
      <c r="I723" s="18" t="b">
        <f>IF(COUNTIF(Customer_Master!$A:$A,B723)=0,TRUE,FALSE)</f>
        <v>0</v>
      </c>
    </row>
    <row r="724" spans="1:9" ht="16.8" x14ac:dyDescent="0.3">
      <c r="A724" s="11" t="s">
        <v>8875</v>
      </c>
      <c r="B724" s="11" t="s">
        <v>3120</v>
      </c>
      <c r="C724" s="12">
        <v>43902</v>
      </c>
      <c r="D724" s="11" t="s">
        <v>7940</v>
      </c>
      <c r="E724" s="11">
        <v>5</v>
      </c>
      <c r="F724" s="11" t="s">
        <v>45</v>
      </c>
      <c r="G724" s="11" t="s">
        <v>45</v>
      </c>
      <c r="H724" s="31" t="str" cm="1">
        <f t="array" ref="H724">_xlfn.IFS(
  ISBLANK(A724),"Missing Value",
  OR(E724&lt;1,E724&gt;5),"Review – Out of Range (Satisfaction)",
  ISNA(MATCH(B724,Customer_Master!$A$2:$A$1649,0)),"Retained – Unmatched ID (Anonymous Feedback Rule)",
  TRUE,"OK"
)</f>
        <v>OK</v>
      </c>
      <c r="I724" s="17" t="b">
        <f>IF(COUNTIF(Customer_Master!$A:$A,B724)=0,TRUE,FALSE)</f>
        <v>0</v>
      </c>
    </row>
    <row r="725" spans="1:9" ht="16.8" x14ac:dyDescent="0.3">
      <c r="A725" s="14" t="s">
        <v>8876</v>
      </c>
      <c r="B725" s="14" t="s">
        <v>2759</v>
      </c>
      <c r="C725" s="15">
        <v>43980</v>
      </c>
      <c r="D725" s="14" t="s">
        <v>7947</v>
      </c>
      <c r="E725" s="14">
        <v>5</v>
      </c>
      <c r="F725" s="14" t="s">
        <v>46</v>
      </c>
      <c r="G725" s="14" t="s">
        <v>45</v>
      </c>
      <c r="H725" s="31" t="str" cm="1">
        <f t="array" ref="H725">_xlfn.IFS(
  ISBLANK(A725),"Missing Value",
  OR(E725&lt;1,E725&gt;5),"Review – Out of Range (Satisfaction)",
  ISNA(MATCH(B725,Customer_Master!$A$2:$A$1649,0)),"Retained – Unmatched ID (Anonymous Feedback Rule)",
  TRUE,"OK"
)</f>
        <v>OK</v>
      </c>
      <c r="I725" s="18" t="b">
        <f>IF(COUNTIF(Customer_Master!$A:$A,B725)=0,TRUE,FALSE)</f>
        <v>0</v>
      </c>
    </row>
    <row r="726" spans="1:9" ht="33.6" x14ac:dyDescent="0.3">
      <c r="A726" s="11" t="s">
        <v>8877</v>
      </c>
      <c r="B726" s="11" t="s">
        <v>8878</v>
      </c>
      <c r="C726" s="12">
        <v>44804</v>
      </c>
      <c r="D726" s="11" t="s">
        <v>7943</v>
      </c>
      <c r="E726" s="11">
        <v>2</v>
      </c>
      <c r="F726" s="11" t="s">
        <v>46</v>
      </c>
      <c r="G726" s="11" t="s">
        <v>45</v>
      </c>
      <c r="H726" s="31" t="str" cm="1">
        <f t="array" ref="H726">_xlfn.IFS(
  ISBLANK(A726),"Missing Value",
  OR(E726&lt;1,E726&gt;5),"Review – Out of Range (Satisfaction)",
  ISNA(MATCH(B726,Customer_Master!$A$2:$A$1649,0)),"Retained – Unmatched ID (Anonymous Feedback Rule)",
  TRUE,"OK"
)</f>
        <v>Retained – Unmatched ID (Anonymous Feedback Rule)</v>
      </c>
      <c r="I726" s="17" t="b">
        <f>IF(COUNTIF(Customer_Master!$A:$A,B726)=0,TRUE,FALSE)</f>
        <v>1</v>
      </c>
    </row>
    <row r="727" spans="1:9" ht="33.6" x14ac:dyDescent="0.3">
      <c r="A727" s="14" t="s">
        <v>8879</v>
      </c>
      <c r="B727" s="14" t="s">
        <v>8880</v>
      </c>
      <c r="C727" s="15">
        <v>44755</v>
      </c>
      <c r="D727" s="14" t="s">
        <v>7937</v>
      </c>
      <c r="E727" s="14">
        <v>5</v>
      </c>
      <c r="F727" s="14" t="s">
        <v>45</v>
      </c>
      <c r="G727" s="14" t="s">
        <v>45</v>
      </c>
      <c r="H727" s="31" t="str" cm="1">
        <f t="array" ref="H727">_xlfn.IFS(
  ISBLANK(A727),"Missing Value",
  OR(E727&lt;1,E727&gt;5),"Review – Out of Range (Satisfaction)",
  ISNA(MATCH(B727,Customer_Master!$A$2:$A$1649,0)),"Retained – Unmatched ID (Anonymous Feedback Rule)",
  TRUE,"OK"
)</f>
        <v>Retained – Unmatched ID (Anonymous Feedback Rule)</v>
      </c>
      <c r="I727" s="18" t="b">
        <f>IF(COUNTIF(Customer_Master!$A:$A,B727)=0,TRUE,FALSE)</f>
        <v>1</v>
      </c>
    </row>
    <row r="728" spans="1:9" ht="16.8" x14ac:dyDescent="0.3">
      <c r="A728" s="11" t="s">
        <v>8881</v>
      </c>
      <c r="B728" s="11" t="s">
        <v>643</v>
      </c>
      <c r="C728" s="12">
        <v>44100</v>
      </c>
      <c r="D728" s="11" t="s">
        <v>7940</v>
      </c>
      <c r="E728" s="11">
        <v>5</v>
      </c>
      <c r="F728" s="11" t="s">
        <v>45</v>
      </c>
      <c r="G728" s="11" t="s">
        <v>46</v>
      </c>
      <c r="H728" s="31" t="str" cm="1">
        <f t="array" ref="H728">_xlfn.IFS(
  ISBLANK(A728),"Missing Value",
  OR(E728&lt;1,E728&gt;5),"Review – Out of Range (Satisfaction)",
  ISNA(MATCH(B728,Customer_Master!$A$2:$A$1649,0)),"Retained – Unmatched ID (Anonymous Feedback Rule)",
  TRUE,"OK"
)</f>
        <v>OK</v>
      </c>
      <c r="I728" s="17" t="b">
        <f>IF(COUNTIF(Customer_Master!$A:$A,B728)=0,TRUE,FALSE)</f>
        <v>0</v>
      </c>
    </row>
    <row r="729" spans="1:9" ht="16.8" x14ac:dyDescent="0.3">
      <c r="A729" s="14" t="s">
        <v>8882</v>
      </c>
      <c r="B729" s="14" t="s">
        <v>1159</v>
      </c>
      <c r="C729" s="15">
        <v>44042</v>
      </c>
      <c r="D729" s="14" t="s">
        <v>7937</v>
      </c>
      <c r="E729" s="14">
        <v>5</v>
      </c>
      <c r="F729" s="14" t="s">
        <v>46</v>
      </c>
      <c r="G729" s="14" t="s">
        <v>45</v>
      </c>
      <c r="H729" s="31" t="str" cm="1">
        <f t="array" ref="H729">_xlfn.IFS(
  ISBLANK(A729),"Missing Value",
  OR(E729&lt;1,E729&gt;5),"Review – Out of Range (Satisfaction)",
  ISNA(MATCH(B729,Customer_Master!$A$2:$A$1649,0)),"Retained – Unmatched ID (Anonymous Feedback Rule)",
  TRUE,"OK"
)</f>
        <v>OK</v>
      </c>
      <c r="I729" s="18" t="b">
        <f>IF(COUNTIF(Customer_Master!$A:$A,B729)=0,TRUE,FALSE)</f>
        <v>0</v>
      </c>
    </row>
    <row r="730" spans="1:9" ht="16.8" x14ac:dyDescent="0.3">
      <c r="A730" s="11" t="s">
        <v>8883</v>
      </c>
      <c r="B730" s="11" t="s">
        <v>845</v>
      </c>
      <c r="C730" s="12">
        <v>44342</v>
      </c>
      <c r="D730" s="11" t="s">
        <v>7969</v>
      </c>
      <c r="E730" s="11">
        <v>1</v>
      </c>
      <c r="F730" s="11" t="s">
        <v>46</v>
      </c>
      <c r="G730" s="11" t="s">
        <v>45</v>
      </c>
      <c r="H730" s="31" t="str" cm="1">
        <f t="array" ref="H730">_xlfn.IFS(
  ISBLANK(A730),"Missing Value",
  OR(E730&lt;1,E730&gt;5),"Review – Out of Range (Satisfaction)",
  ISNA(MATCH(B730,Customer_Master!$A$2:$A$1649,0)),"Retained – Unmatched ID (Anonymous Feedback Rule)",
  TRUE,"OK"
)</f>
        <v>OK</v>
      </c>
      <c r="I730" s="17" t="b">
        <f>IF(COUNTIF(Customer_Master!$A:$A,B730)=0,TRUE,FALSE)</f>
        <v>0</v>
      </c>
    </row>
    <row r="731" spans="1:9" ht="16.8" x14ac:dyDescent="0.3">
      <c r="A731" s="14" t="s">
        <v>8884</v>
      </c>
      <c r="B731" s="14" t="s">
        <v>2401</v>
      </c>
      <c r="C731" s="15">
        <v>44545</v>
      </c>
      <c r="D731" s="14" t="s">
        <v>7928</v>
      </c>
      <c r="E731" s="14">
        <v>3</v>
      </c>
      <c r="F731" s="14" t="s">
        <v>46</v>
      </c>
      <c r="G731" s="14" t="s">
        <v>45</v>
      </c>
      <c r="H731" s="31" t="str" cm="1">
        <f t="array" ref="H731">_xlfn.IFS(
  ISBLANK(A731),"Missing Value",
  OR(E731&lt;1,E731&gt;5),"Review – Out of Range (Satisfaction)",
  ISNA(MATCH(B731,Customer_Master!$A$2:$A$1649,0)),"Retained – Unmatched ID (Anonymous Feedback Rule)",
  TRUE,"OK"
)</f>
        <v>OK</v>
      </c>
      <c r="I731" s="18" t="b">
        <f>IF(COUNTIF(Customer_Master!$A:$A,B731)=0,TRUE,FALSE)</f>
        <v>0</v>
      </c>
    </row>
    <row r="732" spans="1:9" ht="33.6" x14ac:dyDescent="0.3">
      <c r="A732" s="11" t="s">
        <v>8885</v>
      </c>
      <c r="B732" s="11" t="s">
        <v>8886</v>
      </c>
      <c r="C732" s="12">
        <v>44856</v>
      </c>
      <c r="D732" s="11" t="s">
        <v>7947</v>
      </c>
      <c r="E732" s="11">
        <v>3</v>
      </c>
      <c r="F732" s="11" t="s">
        <v>46</v>
      </c>
      <c r="G732" s="11" t="s">
        <v>45</v>
      </c>
      <c r="H732" s="31" t="str" cm="1">
        <f t="array" ref="H732">_xlfn.IFS(
  ISBLANK(A732),"Missing Value",
  OR(E732&lt;1,E732&gt;5),"Review – Out of Range (Satisfaction)",
  ISNA(MATCH(B732,Customer_Master!$A$2:$A$1649,0)),"Retained – Unmatched ID (Anonymous Feedback Rule)",
  TRUE,"OK"
)</f>
        <v>Retained – Unmatched ID (Anonymous Feedback Rule)</v>
      </c>
      <c r="I732" s="17" t="b">
        <f>IF(COUNTIF(Customer_Master!$A:$A,B732)=0,TRUE,FALSE)</f>
        <v>1</v>
      </c>
    </row>
    <row r="733" spans="1:9" ht="16.8" x14ac:dyDescent="0.3">
      <c r="A733" s="14" t="s">
        <v>8887</v>
      </c>
      <c r="B733" s="14" t="s">
        <v>1273</v>
      </c>
      <c r="C733" s="15">
        <v>44929</v>
      </c>
      <c r="D733" s="14" t="s">
        <v>7933</v>
      </c>
      <c r="E733" s="14">
        <v>3</v>
      </c>
      <c r="F733" s="14" t="s">
        <v>46</v>
      </c>
      <c r="G733" s="14" t="s">
        <v>46</v>
      </c>
      <c r="H733" s="31" t="str" cm="1">
        <f t="array" ref="H733">_xlfn.IFS(
  ISBLANK(A733),"Missing Value",
  OR(E733&lt;1,E733&gt;5),"Review – Out of Range (Satisfaction)",
  ISNA(MATCH(B733,Customer_Master!$A$2:$A$1649,0)),"Retained – Unmatched ID (Anonymous Feedback Rule)",
  TRUE,"OK"
)</f>
        <v>OK</v>
      </c>
      <c r="I733" s="18" t="b">
        <f>IF(COUNTIF(Customer_Master!$A:$A,B733)=0,TRUE,FALSE)</f>
        <v>0</v>
      </c>
    </row>
    <row r="734" spans="1:9" ht="33.6" x14ac:dyDescent="0.3">
      <c r="A734" s="11" t="s">
        <v>8888</v>
      </c>
      <c r="B734" s="11" t="s">
        <v>8889</v>
      </c>
      <c r="C734" s="12">
        <v>44980</v>
      </c>
      <c r="D734" s="11" t="s">
        <v>7978</v>
      </c>
      <c r="E734" s="11">
        <v>3</v>
      </c>
      <c r="F734" s="11" t="s">
        <v>45</v>
      </c>
      <c r="G734" s="11" t="s">
        <v>46</v>
      </c>
      <c r="H734" s="31" t="str" cm="1">
        <f t="array" ref="H734">_xlfn.IFS(
  ISBLANK(A734),"Missing Value",
  OR(E734&lt;1,E734&gt;5),"Review – Out of Range (Satisfaction)",
  ISNA(MATCH(B734,Customer_Master!$A$2:$A$1649,0)),"Retained – Unmatched ID (Anonymous Feedback Rule)",
  TRUE,"OK"
)</f>
        <v>Retained – Unmatched ID (Anonymous Feedback Rule)</v>
      </c>
      <c r="I734" s="17" t="b">
        <f>IF(COUNTIF(Customer_Master!$A:$A,B734)=0,TRUE,FALSE)</f>
        <v>1</v>
      </c>
    </row>
    <row r="735" spans="1:9" ht="33.6" x14ac:dyDescent="0.3">
      <c r="A735" s="14" t="s">
        <v>8890</v>
      </c>
      <c r="B735" s="14" t="s">
        <v>8891</v>
      </c>
      <c r="C735" s="15">
        <v>43958</v>
      </c>
      <c r="D735" s="14" t="s">
        <v>7940</v>
      </c>
      <c r="E735" s="14">
        <v>4</v>
      </c>
      <c r="F735" s="14" t="s">
        <v>45</v>
      </c>
      <c r="G735" s="14" t="s">
        <v>46</v>
      </c>
      <c r="H735" s="31" t="str" cm="1">
        <f t="array" ref="H735">_xlfn.IFS(
  ISBLANK(A735),"Missing Value",
  OR(E735&lt;1,E735&gt;5),"Review – Out of Range (Satisfaction)",
  ISNA(MATCH(B735,Customer_Master!$A$2:$A$1649,0)),"Retained – Unmatched ID (Anonymous Feedback Rule)",
  TRUE,"OK"
)</f>
        <v>Retained – Unmatched ID (Anonymous Feedback Rule)</v>
      </c>
      <c r="I735" s="18" t="b">
        <f>IF(COUNTIF(Customer_Master!$A:$A,B735)=0,TRUE,FALSE)</f>
        <v>1</v>
      </c>
    </row>
    <row r="736" spans="1:9" ht="16.8" x14ac:dyDescent="0.3">
      <c r="A736" s="11" t="s">
        <v>8892</v>
      </c>
      <c r="B736" s="11" t="s">
        <v>2425</v>
      </c>
      <c r="C736" s="12">
        <v>44501</v>
      </c>
      <c r="D736" s="11" t="s">
        <v>7931</v>
      </c>
      <c r="E736" s="11">
        <v>5</v>
      </c>
      <c r="F736" s="11" t="s">
        <v>45</v>
      </c>
      <c r="G736" s="11" t="s">
        <v>46</v>
      </c>
      <c r="H736" s="31" t="str" cm="1">
        <f t="array" ref="H736">_xlfn.IFS(
  ISBLANK(A736),"Missing Value",
  OR(E736&lt;1,E736&gt;5),"Review – Out of Range (Satisfaction)",
  ISNA(MATCH(B736,Customer_Master!$A$2:$A$1649,0)),"Retained – Unmatched ID (Anonymous Feedback Rule)",
  TRUE,"OK"
)</f>
        <v>OK</v>
      </c>
      <c r="I736" s="17" t="b">
        <f>IF(COUNTIF(Customer_Master!$A:$A,B736)=0,TRUE,FALSE)</f>
        <v>0</v>
      </c>
    </row>
    <row r="737" spans="1:9" ht="33.6" x14ac:dyDescent="0.3">
      <c r="A737" s="14" t="s">
        <v>8893</v>
      </c>
      <c r="B737" s="14" t="s">
        <v>8894</v>
      </c>
      <c r="C737" s="15">
        <v>44905</v>
      </c>
      <c r="D737" s="14" t="s">
        <v>7978</v>
      </c>
      <c r="E737" s="14">
        <v>2</v>
      </c>
      <c r="F737" s="14" t="s">
        <v>46</v>
      </c>
      <c r="G737" s="14" t="s">
        <v>45</v>
      </c>
      <c r="H737" s="31" t="str" cm="1">
        <f t="array" ref="H737">_xlfn.IFS(
  ISBLANK(A737),"Missing Value",
  OR(E737&lt;1,E737&gt;5),"Review – Out of Range (Satisfaction)",
  ISNA(MATCH(B737,Customer_Master!$A$2:$A$1649,0)),"Retained – Unmatched ID (Anonymous Feedback Rule)",
  TRUE,"OK"
)</f>
        <v>Retained – Unmatched ID (Anonymous Feedback Rule)</v>
      </c>
      <c r="I737" s="18" t="b">
        <f>IF(COUNTIF(Customer_Master!$A:$A,B737)=0,TRUE,FALSE)</f>
        <v>1</v>
      </c>
    </row>
    <row r="738" spans="1:9" ht="33.6" x14ac:dyDescent="0.3">
      <c r="A738" s="11" t="s">
        <v>8895</v>
      </c>
      <c r="B738" s="11" t="s">
        <v>8226</v>
      </c>
      <c r="C738" s="12">
        <v>44316</v>
      </c>
      <c r="D738" s="11" t="s">
        <v>7931</v>
      </c>
      <c r="E738" s="11">
        <v>5</v>
      </c>
      <c r="F738" s="11" t="s">
        <v>45</v>
      </c>
      <c r="G738" s="11" t="s">
        <v>45</v>
      </c>
      <c r="H738" s="31" t="str" cm="1">
        <f t="array" ref="H738">_xlfn.IFS(
  ISBLANK(A738),"Missing Value",
  OR(E738&lt;1,E738&gt;5),"Review – Out of Range (Satisfaction)",
  ISNA(MATCH(B738,Customer_Master!$A$2:$A$1649,0)),"Retained – Unmatched ID (Anonymous Feedback Rule)",
  TRUE,"OK"
)</f>
        <v>Retained – Unmatched ID (Anonymous Feedback Rule)</v>
      </c>
      <c r="I738" s="17" t="b">
        <f>IF(COUNTIF(Customer_Master!$A:$A,B738)=0,TRUE,FALSE)</f>
        <v>1</v>
      </c>
    </row>
    <row r="739" spans="1:9" ht="16.8" x14ac:dyDescent="0.3">
      <c r="A739" s="14" t="s">
        <v>8896</v>
      </c>
      <c r="B739" s="14" t="s">
        <v>889</v>
      </c>
      <c r="C739" s="15">
        <v>44649</v>
      </c>
      <c r="D739" s="14" t="s">
        <v>7940</v>
      </c>
      <c r="E739" s="14">
        <v>4</v>
      </c>
      <c r="F739" s="14" t="s">
        <v>45</v>
      </c>
      <c r="G739" s="14" t="s">
        <v>46</v>
      </c>
      <c r="H739" s="31" t="str" cm="1">
        <f t="array" ref="H739">_xlfn.IFS(
  ISBLANK(A739),"Missing Value",
  OR(E739&lt;1,E739&gt;5),"Review – Out of Range (Satisfaction)",
  ISNA(MATCH(B739,Customer_Master!$A$2:$A$1649,0)),"Retained – Unmatched ID (Anonymous Feedback Rule)",
  TRUE,"OK"
)</f>
        <v>OK</v>
      </c>
      <c r="I739" s="18" t="b">
        <f>IF(COUNTIF(Customer_Master!$A:$A,B739)=0,TRUE,FALSE)</f>
        <v>0</v>
      </c>
    </row>
    <row r="740" spans="1:9" ht="16.8" x14ac:dyDescent="0.3">
      <c r="A740" s="11" t="s">
        <v>8897</v>
      </c>
      <c r="B740" s="11" t="s">
        <v>2009</v>
      </c>
      <c r="C740" s="12">
        <v>45053</v>
      </c>
      <c r="D740" s="11" t="s">
        <v>7940</v>
      </c>
      <c r="E740" s="11">
        <v>4</v>
      </c>
      <c r="F740" s="11" t="s">
        <v>45</v>
      </c>
      <c r="G740" s="11" t="s">
        <v>46</v>
      </c>
      <c r="H740" s="31" t="str" cm="1">
        <f t="array" ref="H740">_xlfn.IFS(
  ISBLANK(A740),"Missing Value",
  OR(E740&lt;1,E740&gt;5),"Review – Out of Range (Satisfaction)",
  ISNA(MATCH(B740,Customer_Master!$A$2:$A$1649,0)),"Retained – Unmatched ID (Anonymous Feedback Rule)",
  TRUE,"OK"
)</f>
        <v>OK</v>
      </c>
      <c r="I740" s="17" t="b">
        <f>IF(COUNTIF(Customer_Master!$A:$A,B740)=0,TRUE,FALSE)</f>
        <v>0</v>
      </c>
    </row>
    <row r="741" spans="1:9" ht="16.8" x14ac:dyDescent="0.3">
      <c r="A741" s="14" t="s">
        <v>8898</v>
      </c>
      <c r="B741" s="14" t="s">
        <v>2981</v>
      </c>
      <c r="C741" s="15">
        <v>44298</v>
      </c>
      <c r="D741" s="14" t="s">
        <v>7933</v>
      </c>
      <c r="E741" s="14">
        <v>2</v>
      </c>
      <c r="F741" s="14" t="s">
        <v>46</v>
      </c>
      <c r="G741" s="14" t="s">
        <v>46</v>
      </c>
      <c r="H741" s="31" t="str" cm="1">
        <f t="array" ref="H741">_xlfn.IFS(
  ISBLANK(A741),"Missing Value",
  OR(E741&lt;1,E741&gt;5),"Review – Out of Range (Satisfaction)",
  ISNA(MATCH(B741,Customer_Master!$A$2:$A$1649,0)),"Retained – Unmatched ID (Anonymous Feedback Rule)",
  TRUE,"OK"
)</f>
        <v>OK</v>
      </c>
      <c r="I741" s="18" t="b">
        <f>IF(COUNTIF(Customer_Master!$A:$A,B741)=0,TRUE,FALSE)</f>
        <v>0</v>
      </c>
    </row>
    <row r="742" spans="1:9" ht="16.8" x14ac:dyDescent="0.3">
      <c r="A742" s="11" t="s">
        <v>8899</v>
      </c>
      <c r="B742" s="11" t="s">
        <v>2375</v>
      </c>
      <c r="C742" s="12">
        <v>43993</v>
      </c>
      <c r="D742" s="11" t="s">
        <v>7931</v>
      </c>
      <c r="E742" s="11">
        <v>5</v>
      </c>
      <c r="F742" s="11" t="s">
        <v>45</v>
      </c>
      <c r="G742" s="11" t="s">
        <v>45</v>
      </c>
      <c r="H742" s="31" t="str" cm="1">
        <f t="array" ref="H742">_xlfn.IFS(
  ISBLANK(A742),"Missing Value",
  OR(E742&lt;1,E742&gt;5),"Review – Out of Range (Satisfaction)",
  ISNA(MATCH(B742,Customer_Master!$A$2:$A$1649,0)),"Retained – Unmatched ID (Anonymous Feedback Rule)",
  TRUE,"OK"
)</f>
        <v>OK</v>
      </c>
      <c r="I742" s="17" t="b">
        <f>IF(COUNTIF(Customer_Master!$A:$A,B742)=0,TRUE,FALSE)</f>
        <v>0</v>
      </c>
    </row>
    <row r="743" spans="1:9" ht="16.8" x14ac:dyDescent="0.3">
      <c r="A743" s="14" t="s">
        <v>8900</v>
      </c>
      <c r="B743" s="14" t="s">
        <v>2983</v>
      </c>
      <c r="C743" s="15">
        <v>44777</v>
      </c>
      <c r="D743" s="14" t="s">
        <v>7969</v>
      </c>
      <c r="E743" s="14">
        <v>1</v>
      </c>
      <c r="F743" s="14" t="s">
        <v>45</v>
      </c>
      <c r="G743" s="14" t="s">
        <v>45</v>
      </c>
      <c r="H743" s="31" t="str" cm="1">
        <f t="array" ref="H743">_xlfn.IFS(
  ISBLANK(A743),"Missing Value",
  OR(E743&lt;1,E743&gt;5),"Review – Out of Range (Satisfaction)",
  ISNA(MATCH(B743,Customer_Master!$A$2:$A$1649,0)),"Retained – Unmatched ID (Anonymous Feedback Rule)",
  TRUE,"OK"
)</f>
        <v>OK</v>
      </c>
      <c r="I743" s="18" t="b">
        <f>IF(COUNTIF(Customer_Master!$A:$A,B743)=0,TRUE,FALSE)</f>
        <v>0</v>
      </c>
    </row>
    <row r="744" spans="1:9" ht="33.6" x14ac:dyDescent="0.3">
      <c r="A744" s="11" t="s">
        <v>8901</v>
      </c>
      <c r="B744" s="11" t="s">
        <v>8902</v>
      </c>
      <c r="C744" s="12">
        <v>44220</v>
      </c>
      <c r="D744" s="11" t="s">
        <v>7978</v>
      </c>
      <c r="E744" s="11">
        <v>1</v>
      </c>
      <c r="F744" s="11" t="s">
        <v>45</v>
      </c>
      <c r="G744" s="11" t="s">
        <v>45</v>
      </c>
      <c r="H744" s="31" t="str" cm="1">
        <f t="array" ref="H744">_xlfn.IFS(
  ISBLANK(A744),"Missing Value",
  OR(E744&lt;1,E744&gt;5),"Review – Out of Range (Satisfaction)",
  ISNA(MATCH(B744,Customer_Master!$A$2:$A$1649,0)),"Retained – Unmatched ID (Anonymous Feedback Rule)",
  TRUE,"OK"
)</f>
        <v>Retained – Unmatched ID (Anonymous Feedback Rule)</v>
      </c>
      <c r="I744" s="17" t="b">
        <f>IF(COUNTIF(Customer_Master!$A:$A,B744)=0,TRUE,FALSE)</f>
        <v>1</v>
      </c>
    </row>
    <row r="745" spans="1:9" ht="33.6" x14ac:dyDescent="0.3">
      <c r="A745" s="14" t="s">
        <v>8903</v>
      </c>
      <c r="B745" s="14" t="s">
        <v>8059</v>
      </c>
      <c r="C745" s="15">
        <v>43878</v>
      </c>
      <c r="D745" s="14" t="s">
        <v>7935</v>
      </c>
      <c r="E745" s="14">
        <v>5</v>
      </c>
      <c r="F745" s="14" t="s">
        <v>46</v>
      </c>
      <c r="G745" s="14" t="s">
        <v>46</v>
      </c>
      <c r="H745" s="31" t="str" cm="1">
        <f t="array" ref="H745">_xlfn.IFS(
  ISBLANK(A745),"Missing Value",
  OR(E745&lt;1,E745&gt;5),"Review – Out of Range (Satisfaction)",
  ISNA(MATCH(B745,Customer_Master!$A$2:$A$1649,0)),"Retained – Unmatched ID (Anonymous Feedback Rule)",
  TRUE,"OK"
)</f>
        <v>Retained – Unmatched ID (Anonymous Feedback Rule)</v>
      </c>
      <c r="I745" s="18" t="b">
        <f>IF(COUNTIF(Customer_Master!$A:$A,B745)=0,TRUE,FALSE)</f>
        <v>1</v>
      </c>
    </row>
    <row r="746" spans="1:9" ht="33.6" x14ac:dyDescent="0.3">
      <c r="A746" s="11" t="s">
        <v>8904</v>
      </c>
      <c r="B746" s="11" t="s">
        <v>8905</v>
      </c>
      <c r="C746" s="12">
        <v>44069</v>
      </c>
      <c r="D746" s="11" t="s">
        <v>7928</v>
      </c>
      <c r="E746" s="11">
        <v>1</v>
      </c>
      <c r="F746" s="11" t="s">
        <v>46</v>
      </c>
      <c r="G746" s="11" t="s">
        <v>45</v>
      </c>
      <c r="H746" s="31" t="str" cm="1">
        <f t="array" ref="H746">_xlfn.IFS(
  ISBLANK(A746),"Missing Value",
  OR(E746&lt;1,E746&gt;5),"Review – Out of Range (Satisfaction)",
  ISNA(MATCH(B746,Customer_Master!$A$2:$A$1649,0)),"Retained – Unmatched ID (Anonymous Feedback Rule)",
  TRUE,"OK"
)</f>
        <v>Retained – Unmatched ID (Anonymous Feedback Rule)</v>
      </c>
      <c r="I746" s="17" t="b">
        <f>IF(COUNTIF(Customer_Master!$A:$A,B746)=0,TRUE,FALSE)</f>
        <v>1</v>
      </c>
    </row>
    <row r="747" spans="1:9" ht="33.6" x14ac:dyDescent="0.3">
      <c r="A747" s="14" t="s">
        <v>8906</v>
      </c>
      <c r="B747" s="14" t="s">
        <v>8907</v>
      </c>
      <c r="C747" s="15">
        <v>43969</v>
      </c>
      <c r="D747" s="14" t="s">
        <v>7947</v>
      </c>
      <c r="E747" s="14">
        <v>4</v>
      </c>
      <c r="F747" s="14" t="s">
        <v>45</v>
      </c>
      <c r="G747" s="14" t="s">
        <v>45</v>
      </c>
      <c r="H747" s="31" t="str" cm="1">
        <f t="array" ref="H747">_xlfn.IFS(
  ISBLANK(A747),"Missing Value",
  OR(E747&lt;1,E747&gt;5),"Review – Out of Range (Satisfaction)",
  ISNA(MATCH(B747,Customer_Master!$A$2:$A$1649,0)),"Retained – Unmatched ID (Anonymous Feedback Rule)",
  TRUE,"OK"
)</f>
        <v>Retained – Unmatched ID (Anonymous Feedback Rule)</v>
      </c>
      <c r="I747" s="18" t="b">
        <f>IF(COUNTIF(Customer_Master!$A:$A,B747)=0,TRUE,FALSE)</f>
        <v>1</v>
      </c>
    </row>
    <row r="748" spans="1:9" ht="16.8" x14ac:dyDescent="0.3">
      <c r="A748" s="11" t="s">
        <v>8908</v>
      </c>
      <c r="B748" s="11" t="s">
        <v>1069</v>
      </c>
      <c r="C748" s="12">
        <v>45016</v>
      </c>
      <c r="D748" s="11" t="s">
        <v>7947</v>
      </c>
      <c r="E748" s="11">
        <v>5</v>
      </c>
      <c r="F748" s="11" t="s">
        <v>46</v>
      </c>
      <c r="G748" s="11" t="s">
        <v>46</v>
      </c>
      <c r="H748" s="31" t="str" cm="1">
        <f t="array" ref="H748">_xlfn.IFS(
  ISBLANK(A748),"Missing Value",
  OR(E748&lt;1,E748&gt;5),"Review – Out of Range (Satisfaction)",
  ISNA(MATCH(B748,Customer_Master!$A$2:$A$1649,0)),"Retained – Unmatched ID (Anonymous Feedback Rule)",
  TRUE,"OK"
)</f>
        <v>OK</v>
      </c>
      <c r="I748" s="17" t="b">
        <f>IF(COUNTIF(Customer_Master!$A:$A,B748)=0,TRUE,FALSE)</f>
        <v>0</v>
      </c>
    </row>
    <row r="749" spans="1:9" ht="33.6" x14ac:dyDescent="0.3">
      <c r="A749" s="14" t="s">
        <v>8909</v>
      </c>
      <c r="B749" s="14" t="s">
        <v>8910</v>
      </c>
      <c r="C749" s="15">
        <v>44754</v>
      </c>
      <c r="D749" s="14" t="s">
        <v>7937</v>
      </c>
      <c r="E749" s="14">
        <v>4</v>
      </c>
      <c r="F749" s="14" t="s">
        <v>45</v>
      </c>
      <c r="G749" s="14" t="s">
        <v>46</v>
      </c>
      <c r="H749" s="31" t="str" cm="1">
        <f t="array" ref="H749">_xlfn.IFS(
  ISBLANK(A749),"Missing Value",
  OR(E749&lt;1,E749&gt;5),"Review – Out of Range (Satisfaction)",
  ISNA(MATCH(B749,Customer_Master!$A$2:$A$1649,0)),"Retained – Unmatched ID (Anonymous Feedback Rule)",
  TRUE,"OK"
)</f>
        <v>Retained – Unmatched ID (Anonymous Feedback Rule)</v>
      </c>
      <c r="I749" s="18" t="b">
        <f>IF(COUNTIF(Customer_Master!$A:$A,B749)=0,TRUE,FALSE)</f>
        <v>1</v>
      </c>
    </row>
    <row r="750" spans="1:9" ht="33.6" x14ac:dyDescent="0.3">
      <c r="A750" s="11" t="s">
        <v>8911</v>
      </c>
      <c r="B750" s="11" t="s">
        <v>8912</v>
      </c>
      <c r="C750" s="12">
        <v>44442</v>
      </c>
      <c r="D750" s="11" t="s">
        <v>7943</v>
      </c>
      <c r="E750" s="11">
        <v>3</v>
      </c>
      <c r="F750" s="11" t="s">
        <v>46</v>
      </c>
      <c r="G750" s="11" t="s">
        <v>46</v>
      </c>
      <c r="H750" s="31" t="str" cm="1">
        <f t="array" ref="H750">_xlfn.IFS(
  ISBLANK(A750),"Missing Value",
  OR(E750&lt;1,E750&gt;5),"Review – Out of Range (Satisfaction)",
  ISNA(MATCH(B750,Customer_Master!$A$2:$A$1649,0)),"Retained – Unmatched ID (Anonymous Feedback Rule)",
  TRUE,"OK"
)</f>
        <v>Retained – Unmatched ID (Anonymous Feedback Rule)</v>
      </c>
      <c r="I750" s="17" t="b">
        <f>IF(COUNTIF(Customer_Master!$A:$A,B750)=0,TRUE,FALSE)</f>
        <v>1</v>
      </c>
    </row>
    <row r="751" spans="1:9" ht="33.6" x14ac:dyDescent="0.3">
      <c r="A751" s="14" t="s">
        <v>8913</v>
      </c>
      <c r="B751" s="14" t="s">
        <v>8914</v>
      </c>
      <c r="C751" s="15">
        <v>44680</v>
      </c>
      <c r="D751" s="14" t="s">
        <v>7933</v>
      </c>
      <c r="E751" s="14">
        <v>2</v>
      </c>
      <c r="F751" s="14" t="s">
        <v>46</v>
      </c>
      <c r="G751" s="14" t="s">
        <v>45</v>
      </c>
      <c r="H751" s="31" t="str" cm="1">
        <f t="array" ref="H751">_xlfn.IFS(
  ISBLANK(A751),"Missing Value",
  OR(E751&lt;1,E751&gt;5),"Review – Out of Range (Satisfaction)",
  ISNA(MATCH(B751,Customer_Master!$A$2:$A$1649,0)),"Retained – Unmatched ID (Anonymous Feedback Rule)",
  TRUE,"OK"
)</f>
        <v>Retained – Unmatched ID (Anonymous Feedback Rule)</v>
      </c>
      <c r="I751" s="18" t="b">
        <f>IF(COUNTIF(Customer_Master!$A:$A,B751)=0,TRUE,FALSE)</f>
        <v>1</v>
      </c>
    </row>
    <row r="752" spans="1:9" ht="33.6" x14ac:dyDescent="0.3">
      <c r="A752" s="11" t="s">
        <v>8915</v>
      </c>
      <c r="B752" s="11" t="s">
        <v>8916</v>
      </c>
      <c r="C752" s="12">
        <v>44667</v>
      </c>
      <c r="D752" s="11" t="s">
        <v>7937</v>
      </c>
      <c r="E752" s="11">
        <v>5</v>
      </c>
      <c r="F752" s="11" t="s">
        <v>45</v>
      </c>
      <c r="G752" s="11" t="s">
        <v>45</v>
      </c>
      <c r="H752" s="31" t="str" cm="1">
        <f t="array" ref="H752">_xlfn.IFS(
  ISBLANK(A752),"Missing Value",
  OR(E752&lt;1,E752&gt;5),"Review – Out of Range (Satisfaction)",
  ISNA(MATCH(B752,Customer_Master!$A$2:$A$1649,0)),"Retained – Unmatched ID (Anonymous Feedback Rule)",
  TRUE,"OK"
)</f>
        <v>Retained – Unmatched ID (Anonymous Feedback Rule)</v>
      </c>
      <c r="I752" s="17" t="b">
        <f>IF(COUNTIF(Customer_Master!$A:$A,B752)=0,TRUE,FALSE)</f>
        <v>1</v>
      </c>
    </row>
    <row r="753" spans="1:9" ht="16.8" x14ac:dyDescent="0.3">
      <c r="A753" s="14" t="s">
        <v>8917</v>
      </c>
      <c r="B753" s="14" t="s">
        <v>2889</v>
      </c>
      <c r="C753" s="15">
        <v>43834</v>
      </c>
      <c r="D753" s="14" t="s">
        <v>7937</v>
      </c>
      <c r="E753" s="14">
        <v>5</v>
      </c>
      <c r="F753" s="14" t="s">
        <v>45</v>
      </c>
      <c r="G753" s="14" t="s">
        <v>46</v>
      </c>
      <c r="H753" s="31" t="str" cm="1">
        <f t="array" ref="H753">_xlfn.IFS(
  ISBLANK(A753),"Missing Value",
  OR(E753&lt;1,E753&gt;5),"Review – Out of Range (Satisfaction)",
  ISNA(MATCH(B753,Customer_Master!$A$2:$A$1649,0)),"Retained – Unmatched ID (Anonymous Feedback Rule)",
  TRUE,"OK"
)</f>
        <v>OK</v>
      </c>
      <c r="I753" s="18" t="b">
        <f>IF(COUNTIF(Customer_Master!$A:$A,B753)=0,TRUE,FALSE)</f>
        <v>0</v>
      </c>
    </row>
    <row r="754" spans="1:9" ht="33.6" x14ac:dyDescent="0.3">
      <c r="A754" s="11" t="s">
        <v>8918</v>
      </c>
      <c r="B754" s="11" t="s">
        <v>8545</v>
      </c>
      <c r="C754" s="12">
        <v>44588</v>
      </c>
      <c r="D754" s="11" t="s">
        <v>7969</v>
      </c>
      <c r="E754" s="11">
        <v>2</v>
      </c>
      <c r="F754" s="11" t="s">
        <v>46</v>
      </c>
      <c r="G754" s="11" t="s">
        <v>45</v>
      </c>
      <c r="H754" s="31" t="str" cm="1">
        <f t="array" ref="H754">_xlfn.IFS(
  ISBLANK(A754),"Missing Value",
  OR(E754&lt;1,E754&gt;5),"Review – Out of Range (Satisfaction)",
  ISNA(MATCH(B754,Customer_Master!$A$2:$A$1649,0)),"Retained – Unmatched ID (Anonymous Feedback Rule)",
  TRUE,"OK"
)</f>
        <v>Retained – Unmatched ID (Anonymous Feedback Rule)</v>
      </c>
      <c r="I754" s="17" t="b">
        <f>IF(COUNTIF(Customer_Master!$A:$A,B754)=0,TRUE,FALSE)</f>
        <v>1</v>
      </c>
    </row>
    <row r="755" spans="1:9" ht="33.6" x14ac:dyDescent="0.3">
      <c r="A755" s="14" t="s">
        <v>8919</v>
      </c>
      <c r="B755" s="14" t="s">
        <v>8920</v>
      </c>
      <c r="C755" s="15">
        <v>45138</v>
      </c>
      <c r="D755" s="14" t="s">
        <v>7928</v>
      </c>
      <c r="E755" s="14">
        <v>2</v>
      </c>
      <c r="F755" s="14" t="s">
        <v>45</v>
      </c>
      <c r="G755" s="14" t="s">
        <v>46</v>
      </c>
      <c r="H755" s="31" t="str" cm="1">
        <f t="array" ref="H755">_xlfn.IFS(
  ISBLANK(A755),"Missing Value",
  OR(E755&lt;1,E755&gt;5),"Review – Out of Range (Satisfaction)",
  ISNA(MATCH(B755,Customer_Master!$A$2:$A$1649,0)),"Retained – Unmatched ID (Anonymous Feedback Rule)",
  TRUE,"OK"
)</f>
        <v>Retained – Unmatched ID (Anonymous Feedback Rule)</v>
      </c>
      <c r="I755" s="18" t="b">
        <f>IF(COUNTIF(Customer_Master!$A:$A,B755)=0,TRUE,FALSE)</f>
        <v>1</v>
      </c>
    </row>
    <row r="756" spans="1:9" ht="33.6" x14ac:dyDescent="0.3">
      <c r="A756" s="11" t="s">
        <v>8921</v>
      </c>
      <c r="B756" s="11" t="s">
        <v>8922</v>
      </c>
      <c r="C756" s="12">
        <v>43853</v>
      </c>
      <c r="D756" s="11" t="s">
        <v>7978</v>
      </c>
      <c r="E756" s="11">
        <v>3</v>
      </c>
      <c r="F756" s="11" t="s">
        <v>45</v>
      </c>
      <c r="G756" s="11" t="s">
        <v>46</v>
      </c>
      <c r="H756" s="31" t="str" cm="1">
        <f t="array" ref="H756">_xlfn.IFS(
  ISBLANK(A756),"Missing Value",
  OR(E756&lt;1,E756&gt;5),"Review – Out of Range (Satisfaction)",
  ISNA(MATCH(B756,Customer_Master!$A$2:$A$1649,0)),"Retained – Unmatched ID (Anonymous Feedback Rule)",
  TRUE,"OK"
)</f>
        <v>Retained – Unmatched ID (Anonymous Feedback Rule)</v>
      </c>
      <c r="I756" s="17" t="b">
        <f>IF(COUNTIF(Customer_Master!$A:$A,B756)=0,TRUE,FALSE)</f>
        <v>1</v>
      </c>
    </row>
    <row r="757" spans="1:9" ht="33.6" x14ac:dyDescent="0.3">
      <c r="A757" s="14" t="s">
        <v>8923</v>
      </c>
      <c r="B757" s="14" t="s">
        <v>8924</v>
      </c>
      <c r="C757" s="15">
        <v>44186</v>
      </c>
      <c r="D757" s="14" t="s">
        <v>7933</v>
      </c>
      <c r="E757" s="14">
        <v>2</v>
      </c>
      <c r="F757" s="14" t="s">
        <v>45</v>
      </c>
      <c r="G757" s="14" t="s">
        <v>46</v>
      </c>
      <c r="H757" s="31" t="str" cm="1">
        <f t="array" ref="H757">_xlfn.IFS(
  ISBLANK(A757),"Missing Value",
  OR(E757&lt;1,E757&gt;5),"Review – Out of Range (Satisfaction)",
  ISNA(MATCH(B757,Customer_Master!$A$2:$A$1649,0)),"Retained – Unmatched ID (Anonymous Feedback Rule)",
  TRUE,"OK"
)</f>
        <v>Retained – Unmatched ID (Anonymous Feedback Rule)</v>
      </c>
      <c r="I757" s="18" t="b">
        <f>IF(COUNTIF(Customer_Master!$A:$A,B757)=0,TRUE,FALSE)</f>
        <v>1</v>
      </c>
    </row>
    <row r="758" spans="1:9" ht="16.8" x14ac:dyDescent="0.3">
      <c r="A758" s="11" t="s">
        <v>8925</v>
      </c>
      <c r="B758" s="11" t="s">
        <v>1559</v>
      </c>
      <c r="C758" s="12">
        <v>44846</v>
      </c>
      <c r="D758" s="11" t="s">
        <v>7940</v>
      </c>
      <c r="E758" s="11">
        <v>4</v>
      </c>
      <c r="F758" s="11" t="s">
        <v>45</v>
      </c>
      <c r="G758" s="11" t="s">
        <v>46</v>
      </c>
      <c r="H758" s="31" t="str" cm="1">
        <f t="array" ref="H758">_xlfn.IFS(
  ISBLANK(A758),"Missing Value",
  OR(E758&lt;1,E758&gt;5),"Review – Out of Range (Satisfaction)",
  ISNA(MATCH(B758,Customer_Master!$A$2:$A$1649,0)),"Retained – Unmatched ID (Anonymous Feedback Rule)",
  TRUE,"OK"
)</f>
        <v>OK</v>
      </c>
      <c r="I758" s="17" t="b">
        <f>IF(COUNTIF(Customer_Master!$A:$A,B758)=0,TRUE,FALSE)</f>
        <v>0</v>
      </c>
    </row>
    <row r="759" spans="1:9" ht="33.6" x14ac:dyDescent="0.3">
      <c r="A759" s="14" t="s">
        <v>8926</v>
      </c>
      <c r="B759" s="14" t="s">
        <v>8927</v>
      </c>
      <c r="C759" s="15">
        <v>44998</v>
      </c>
      <c r="D759" s="14" t="s">
        <v>7928</v>
      </c>
      <c r="E759" s="14">
        <v>2</v>
      </c>
      <c r="F759" s="14" t="s">
        <v>45</v>
      </c>
      <c r="G759" s="14" t="s">
        <v>46</v>
      </c>
      <c r="H759" s="31" t="str" cm="1">
        <f t="array" ref="H759">_xlfn.IFS(
  ISBLANK(A759),"Missing Value",
  OR(E759&lt;1,E759&gt;5),"Review – Out of Range (Satisfaction)",
  ISNA(MATCH(B759,Customer_Master!$A$2:$A$1649,0)),"Retained – Unmatched ID (Anonymous Feedback Rule)",
  TRUE,"OK"
)</f>
        <v>Retained – Unmatched ID (Anonymous Feedback Rule)</v>
      </c>
      <c r="I759" s="18" t="b">
        <f>IF(COUNTIF(Customer_Master!$A:$A,B759)=0,TRUE,FALSE)</f>
        <v>1</v>
      </c>
    </row>
    <row r="760" spans="1:9" ht="33.6" x14ac:dyDescent="0.3">
      <c r="A760" s="11" t="s">
        <v>8928</v>
      </c>
      <c r="B760" s="11" t="s">
        <v>8783</v>
      </c>
      <c r="C760" s="12">
        <v>44504</v>
      </c>
      <c r="D760" s="11" t="s">
        <v>7937</v>
      </c>
      <c r="E760" s="11">
        <v>4</v>
      </c>
      <c r="F760" s="11" t="s">
        <v>46</v>
      </c>
      <c r="G760" s="11" t="s">
        <v>46</v>
      </c>
      <c r="H760" s="31" t="str" cm="1">
        <f t="array" ref="H760">_xlfn.IFS(
  ISBLANK(A760),"Missing Value",
  OR(E760&lt;1,E760&gt;5),"Review – Out of Range (Satisfaction)",
  ISNA(MATCH(B760,Customer_Master!$A$2:$A$1649,0)),"Retained – Unmatched ID (Anonymous Feedback Rule)",
  TRUE,"OK"
)</f>
        <v>Retained – Unmatched ID (Anonymous Feedback Rule)</v>
      </c>
      <c r="I760" s="17" t="b">
        <f>IF(COUNTIF(Customer_Master!$A:$A,B760)=0,TRUE,FALSE)</f>
        <v>1</v>
      </c>
    </row>
    <row r="761" spans="1:9" ht="33.6" x14ac:dyDescent="0.3">
      <c r="A761" s="14" t="s">
        <v>8929</v>
      </c>
      <c r="B761" s="14" t="s">
        <v>8322</v>
      </c>
      <c r="C761" s="15">
        <v>45213</v>
      </c>
      <c r="D761" s="14" t="s">
        <v>7937</v>
      </c>
      <c r="E761" s="14">
        <v>4</v>
      </c>
      <c r="F761" s="14" t="s">
        <v>46</v>
      </c>
      <c r="G761" s="14" t="s">
        <v>45</v>
      </c>
      <c r="H761" s="31" t="str" cm="1">
        <f t="array" ref="H761">_xlfn.IFS(
  ISBLANK(A761),"Missing Value",
  OR(E761&lt;1,E761&gt;5),"Review – Out of Range (Satisfaction)",
  ISNA(MATCH(B761,Customer_Master!$A$2:$A$1649,0)),"Retained – Unmatched ID (Anonymous Feedback Rule)",
  TRUE,"OK"
)</f>
        <v>Retained – Unmatched ID (Anonymous Feedback Rule)</v>
      </c>
      <c r="I761" s="18" t="b">
        <f>IF(COUNTIF(Customer_Master!$A:$A,B761)=0,TRUE,FALSE)</f>
        <v>1</v>
      </c>
    </row>
    <row r="762" spans="1:9" ht="16.8" x14ac:dyDescent="0.3">
      <c r="A762" s="11" t="s">
        <v>8930</v>
      </c>
      <c r="B762" s="11" t="s">
        <v>107</v>
      </c>
      <c r="C762" s="12">
        <v>44408</v>
      </c>
      <c r="D762" s="11" t="s">
        <v>7935</v>
      </c>
      <c r="E762" s="11">
        <v>5</v>
      </c>
      <c r="F762" s="11" t="s">
        <v>45</v>
      </c>
      <c r="G762" s="11" t="s">
        <v>46</v>
      </c>
      <c r="H762" s="31" t="str" cm="1">
        <f t="array" ref="H762">_xlfn.IFS(
  ISBLANK(A762),"Missing Value",
  OR(E762&lt;1,E762&gt;5),"Review – Out of Range (Satisfaction)",
  ISNA(MATCH(B762,Customer_Master!$A$2:$A$1649,0)),"Retained – Unmatched ID (Anonymous Feedback Rule)",
  TRUE,"OK"
)</f>
        <v>OK</v>
      </c>
      <c r="I762" s="17" t="b">
        <f>IF(COUNTIF(Customer_Master!$A:$A,B762)=0,TRUE,FALSE)</f>
        <v>0</v>
      </c>
    </row>
    <row r="763" spans="1:9" ht="16.8" x14ac:dyDescent="0.3">
      <c r="A763" s="14" t="s">
        <v>8931</v>
      </c>
      <c r="B763" s="14" t="s">
        <v>1743</v>
      </c>
      <c r="C763" s="15">
        <v>44481</v>
      </c>
      <c r="D763" s="14" t="s">
        <v>7931</v>
      </c>
      <c r="E763" s="14">
        <v>5</v>
      </c>
      <c r="F763" s="14" t="s">
        <v>46</v>
      </c>
      <c r="G763" s="14" t="s">
        <v>46</v>
      </c>
      <c r="H763" s="31" t="str" cm="1">
        <f t="array" ref="H763">_xlfn.IFS(
  ISBLANK(A763),"Missing Value",
  OR(E763&lt;1,E763&gt;5),"Review – Out of Range (Satisfaction)",
  ISNA(MATCH(B763,Customer_Master!$A$2:$A$1649,0)),"Retained – Unmatched ID (Anonymous Feedback Rule)",
  TRUE,"OK"
)</f>
        <v>OK</v>
      </c>
      <c r="I763" s="18" t="b">
        <f>IF(COUNTIF(Customer_Master!$A:$A,B763)=0,TRUE,FALSE)</f>
        <v>0</v>
      </c>
    </row>
    <row r="764" spans="1:9" ht="16.8" x14ac:dyDescent="0.3">
      <c r="A764" s="11" t="s">
        <v>8932</v>
      </c>
      <c r="B764" s="11" t="s">
        <v>2183</v>
      </c>
      <c r="C764" s="12">
        <v>44339</v>
      </c>
      <c r="D764" s="11" t="s">
        <v>7928</v>
      </c>
      <c r="E764" s="11">
        <v>1</v>
      </c>
      <c r="F764" s="11" t="s">
        <v>45</v>
      </c>
      <c r="G764" s="11" t="s">
        <v>45</v>
      </c>
      <c r="H764" s="31" t="str" cm="1">
        <f t="array" ref="H764">_xlfn.IFS(
  ISBLANK(A764),"Missing Value",
  OR(E764&lt;1,E764&gt;5),"Review – Out of Range (Satisfaction)",
  ISNA(MATCH(B764,Customer_Master!$A$2:$A$1649,0)),"Retained – Unmatched ID (Anonymous Feedback Rule)",
  TRUE,"OK"
)</f>
        <v>OK</v>
      </c>
      <c r="I764" s="17" t="b">
        <f>IF(COUNTIF(Customer_Master!$A:$A,B764)=0,TRUE,FALSE)</f>
        <v>0</v>
      </c>
    </row>
    <row r="765" spans="1:9" ht="16.8" x14ac:dyDescent="0.3">
      <c r="A765" s="14" t="s">
        <v>8933</v>
      </c>
      <c r="B765" s="14" t="s">
        <v>1915</v>
      </c>
      <c r="C765" s="15">
        <v>44077</v>
      </c>
      <c r="D765" s="14" t="s">
        <v>7931</v>
      </c>
      <c r="E765" s="14">
        <v>5</v>
      </c>
      <c r="F765" s="14" t="s">
        <v>45</v>
      </c>
      <c r="G765" s="14" t="s">
        <v>45</v>
      </c>
      <c r="H765" s="31" t="str" cm="1">
        <f t="array" ref="H765">_xlfn.IFS(
  ISBLANK(A765),"Missing Value",
  OR(E765&lt;1,E765&gt;5),"Review – Out of Range (Satisfaction)",
  ISNA(MATCH(B765,Customer_Master!$A$2:$A$1649,0)),"Retained – Unmatched ID (Anonymous Feedback Rule)",
  TRUE,"OK"
)</f>
        <v>OK</v>
      </c>
      <c r="I765" s="18" t="b">
        <f>IF(COUNTIF(Customer_Master!$A:$A,B765)=0,TRUE,FALSE)</f>
        <v>0</v>
      </c>
    </row>
    <row r="766" spans="1:9" ht="16.8" x14ac:dyDescent="0.3">
      <c r="A766" s="11" t="s">
        <v>8934</v>
      </c>
      <c r="B766" s="11" t="s">
        <v>254</v>
      </c>
      <c r="C766" s="12">
        <v>44277</v>
      </c>
      <c r="D766" s="11" t="s">
        <v>7943</v>
      </c>
      <c r="E766" s="11">
        <v>1</v>
      </c>
      <c r="F766" s="11" t="s">
        <v>45</v>
      </c>
      <c r="G766" s="11" t="s">
        <v>46</v>
      </c>
      <c r="H766" s="31" t="str" cm="1">
        <f t="array" ref="H766">_xlfn.IFS(
  ISBLANK(A766),"Missing Value",
  OR(E766&lt;1,E766&gt;5),"Review – Out of Range (Satisfaction)",
  ISNA(MATCH(B766,Customer_Master!$A$2:$A$1649,0)),"Retained – Unmatched ID (Anonymous Feedback Rule)",
  TRUE,"OK"
)</f>
        <v>OK</v>
      </c>
      <c r="I766" s="17" t="b">
        <f>IF(COUNTIF(Customer_Master!$A:$A,B766)=0,TRUE,FALSE)</f>
        <v>0</v>
      </c>
    </row>
    <row r="767" spans="1:9" ht="33.6" x14ac:dyDescent="0.3">
      <c r="A767" s="14" t="s">
        <v>8935</v>
      </c>
      <c r="B767" s="14" t="s">
        <v>8936</v>
      </c>
      <c r="C767" s="15">
        <v>45280</v>
      </c>
      <c r="D767" s="14" t="s">
        <v>7943</v>
      </c>
      <c r="E767" s="14">
        <v>3</v>
      </c>
      <c r="F767" s="14" t="s">
        <v>46</v>
      </c>
      <c r="G767" s="14" t="s">
        <v>46</v>
      </c>
      <c r="H767" s="31" t="str" cm="1">
        <f t="array" ref="H767">_xlfn.IFS(
  ISBLANK(A767),"Missing Value",
  OR(E767&lt;1,E767&gt;5),"Review – Out of Range (Satisfaction)",
  ISNA(MATCH(B767,Customer_Master!$A$2:$A$1649,0)),"Retained – Unmatched ID (Anonymous Feedback Rule)",
  TRUE,"OK"
)</f>
        <v>Retained – Unmatched ID (Anonymous Feedback Rule)</v>
      </c>
      <c r="I767" s="18" t="b">
        <f>IF(COUNTIF(Customer_Master!$A:$A,B767)=0,TRUE,FALSE)</f>
        <v>1</v>
      </c>
    </row>
    <row r="768" spans="1:9" ht="33.6" x14ac:dyDescent="0.3">
      <c r="A768" s="11" t="s">
        <v>8937</v>
      </c>
      <c r="B768" s="11" t="s">
        <v>8938</v>
      </c>
      <c r="C768" s="12">
        <v>44967</v>
      </c>
      <c r="D768" s="11" t="s">
        <v>7978</v>
      </c>
      <c r="E768" s="11">
        <v>2</v>
      </c>
      <c r="F768" s="11" t="s">
        <v>46</v>
      </c>
      <c r="G768" s="11" t="s">
        <v>46</v>
      </c>
      <c r="H768" s="31" t="str" cm="1">
        <f t="array" ref="H768">_xlfn.IFS(
  ISBLANK(A768),"Missing Value",
  OR(E768&lt;1,E768&gt;5),"Review – Out of Range (Satisfaction)",
  ISNA(MATCH(B768,Customer_Master!$A$2:$A$1649,0)),"Retained – Unmatched ID (Anonymous Feedback Rule)",
  TRUE,"OK"
)</f>
        <v>Retained – Unmatched ID (Anonymous Feedback Rule)</v>
      </c>
      <c r="I768" s="17" t="b">
        <f>IF(COUNTIF(Customer_Master!$A:$A,B768)=0,TRUE,FALSE)</f>
        <v>1</v>
      </c>
    </row>
    <row r="769" spans="1:9" ht="16.8" x14ac:dyDescent="0.3">
      <c r="A769" s="14" t="s">
        <v>8939</v>
      </c>
      <c r="B769" s="14" t="s">
        <v>2821</v>
      </c>
      <c r="C769" s="15">
        <v>43944</v>
      </c>
      <c r="D769" s="14" t="s">
        <v>7940</v>
      </c>
      <c r="E769" s="14">
        <v>4</v>
      </c>
      <c r="F769" s="14" t="s">
        <v>46</v>
      </c>
      <c r="G769" s="14" t="s">
        <v>46</v>
      </c>
      <c r="H769" s="31" t="str" cm="1">
        <f t="array" ref="H769">_xlfn.IFS(
  ISBLANK(A769),"Missing Value",
  OR(E769&lt;1,E769&gt;5),"Review – Out of Range (Satisfaction)",
  ISNA(MATCH(B769,Customer_Master!$A$2:$A$1649,0)),"Retained – Unmatched ID (Anonymous Feedback Rule)",
  TRUE,"OK"
)</f>
        <v>OK</v>
      </c>
      <c r="I769" s="18" t="b">
        <f>IF(COUNTIF(Customer_Master!$A:$A,B769)=0,TRUE,FALSE)</f>
        <v>0</v>
      </c>
    </row>
    <row r="770" spans="1:9" ht="16.8" x14ac:dyDescent="0.3">
      <c r="A770" s="11" t="s">
        <v>8940</v>
      </c>
      <c r="B770" s="11" t="s">
        <v>903</v>
      </c>
      <c r="C770" s="12">
        <v>44051</v>
      </c>
      <c r="D770" s="11" t="s">
        <v>7937</v>
      </c>
      <c r="E770" s="11">
        <v>4</v>
      </c>
      <c r="F770" s="11" t="s">
        <v>45</v>
      </c>
      <c r="G770" s="11" t="s">
        <v>46</v>
      </c>
      <c r="H770" s="31" t="str" cm="1">
        <f t="array" ref="H770">_xlfn.IFS(
  ISBLANK(A770),"Missing Value",
  OR(E770&lt;1,E770&gt;5),"Review – Out of Range (Satisfaction)",
  ISNA(MATCH(B770,Customer_Master!$A$2:$A$1649,0)),"Retained – Unmatched ID (Anonymous Feedback Rule)",
  TRUE,"OK"
)</f>
        <v>OK</v>
      </c>
      <c r="I770" s="17" t="b">
        <f>IF(COUNTIF(Customer_Master!$A:$A,B770)=0,TRUE,FALSE)</f>
        <v>0</v>
      </c>
    </row>
    <row r="771" spans="1:9" ht="33.6" x14ac:dyDescent="0.3">
      <c r="A771" s="14" t="s">
        <v>8941</v>
      </c>
      <c r="B771" s="14" t="s">
        <v>8141</v>
      </c>
      <c r="C771" s="15">
        <v>43929</v>
      </c>
      <c r="D771" s="14" t="s">
        <v>7940</v>
      </c>
      <c r="E771" s="14">
        <v>4</v>
      </c>
      <c r="F771" s="14" t="s">
        <v>45</v>
      </c>
      <c r="G771" s="14" t="s">
        <v>45</v>
      </c>
      <c r="H771" s="31" t="str" cm="1">
        <f t="array" ref="H771">_xlfn.IFS(
  ISBLANK(A771),"Missing Value",
  OR(E771&lt;1,E771&gt;5),"Review – Out of Range (Satisfaction)",
  ISNA(MATCH(B771,Customer_Master!$A$2:$A$1649,0)),"Retained – Unmatched ID (Anonymous Feedback Rule)",
  TRUE,"OK"
)</f>
        <v>Retained – Unmatched ID (Anonymous Feedback Rule)</v>
      </c>
      <c r="I771" s="18" t="b">
        <f>IF(COUNTIF(Customer_Master!$A:$A,B771)=0,TRUE,FALSE)</f>
        <v>1</v>
      </c>
    </row>
    <row r="772" spans="1:9" ht="16.8" x14ac:dyDescent="0.3">
      <c r="A772" s="11" t="s">
        <v>8942</v>
      </c>
      <c r="B772" s="11" t="s">
        <v>3118</v>
      </c>
      <c r="C772" s="12">
        <v>44578</v>
      </c>
      <c r="D772" s="11" t="s">
        <v>7978</v>
      </c>
      <c r="E772" s="11">
        <v>3</v>
      </c>
      <c r="F772" s="11" t="s">
        <v>45</v>
      </c>
      <c r="G772" s="11" t="s">
        <v>45</v>
      </c>
      <c r="H772" s="31" t="str" cm="1">
        <f t="array" ref="H772">_xlfn.IFS(
  ISBLANK(A772),"Missing Value",
  OR(E772&lt;1,E772&gt;5),"Review – Out of Range (Satisfaction)",
  ISNA(MATCH(B772,Customer_Master!$A$2:$A$1649,0)),"Retained – Unmatched ID (Anonymous Feedback Rule)",
  TRUE,"OK"
)</f>
        <v>OK</v>
      </c>
      <c r="I772" s="17" t="b">
        <f>IF(COUNTIF(Customer_Master!$A:$A,B772)=0,TRUE,FALSE)</f>
        <v>0</v>
      </c>
    </row>
    <row r="773" spans="1:9" ht="16.8" x14ac:dyDescent="0.3">
      <c r="A773" s="14" t="s">
        <v>8943</v>
      </c>
      <c r="B773" s="14" t="s">
        <v>2971</v>
      </c>
      <c r="C773" s="15">
        <v>44866</v>
      </c>
      <c r="D773" s="14" t="s">
        <v>7978</v>
      </c>
      <c r="E773" s="14">
        <v>1</v>
      </c>
      <c r="F773" s="14" t="s">
        <v>45</v>
      </c>
      <c r="G773" s="14" t="s">
        <v>45</v>
      </c>
      <c r="H773" s="31" t="str" cm="1">
        <f t="array" ref="H773">_xlfn.IFS(
  ISBLANK(A773),"Missing Value",
  OR(E773&lt;1,E773&gt;5),"Review – Out of Range (Satisfaction)",
  ISNA(MATCH(B773,Customer_Master!$A$2:$A$1649,0)),"Retained – Unmatched ID (Anonymous Feedback Rule)",
  TRUE,"OK"
)</f>
        <v>OK</v>
      </c>
      <c r="I773" s="18" t="b">
        <f>IF(COUNTIF(Customer_Master!$A:$A,B773)=0,TRUE,FALSE)</f>
        <v>0</v>
      </c>
    </row>
    <row r="774" spans="1:9" ht="16.8" x14ac:dyDescent="0.3">
      <c r="A774" s="11" t="s">
        <v>8944</v>
      </c>
      <c r="B774" s="11" t="s">
        <v>2757</v>
      </c>
      <c r="C774" s="12">
        <v>43863</v>
      </c>
      <c r="D774" s="11" t="s">
        <v>7969</v>
      </c>
      <c r="E774" s="11">
        <v>2</v>
      </c>
      <c r="F774" s="11" t="s">
        <v>46</v>
      </c>
      <c r="G774" s="11" t="s">
        <v>45</v>
      </c>
      <c r="H774" s="31" t="str" cm="1">
        <f t="array" ref="H774">_xlfn.IFS(
  ISBLANK(A774),"Missing Value",
  OR(E774&lt;1,E774&gt;5),"Review – Out of Range (Satisfaction)",
  ISNA(MATCH(B774,Customer_Master!$A$2:$A$1649,0)),"Retained – Unmatched ID (Anonymous Feedback Rule)",
  TRUE,"OK"
)</f>
        <v>OK</v>
      </c>
      <c r="I774" s="17" t="b">
        <f>IF(COUNTIF(Customer_Master!$A:$A,B774)=0,TRUE,FALSE)</f>
        <v>0</v>
      </c>
    </row>
    <row r="775" spans="1:9" ht="16.8" x14ac:dyDescent="0.3">
      <c r="A775" s="14" t="s">
        <v>8945</v>
      </c>
      <c r="B775" s="14" t="s">
        <v>332</v>
      </c>
      <c r="C775" s="15">
        <v>44332</v>
      </c>
      <c r="D775" s="14" t="s">
        <v>7933</v>
      </c>
      <c r="E775" s="14">
        <v>3</v>
      </c>
      <c r="F775" s="14" t="s">
        <v>45</v>
      </c>
      <c r="G775" s="14" t="s">
        <v>45</v>
      </c>
      <c r="H775" s="31" t="str" cm="1">
        <f t="array" ref="H775">_xlfn.IFS(
  ISBLANK(A775),"Missing Value",
  OR(E775&lt;1,E775&gt;5),"Review – Out of Range (Satisfaction)",
  ISNA(MATCH(B775,Customer_Master!$A$2:$A$1649,0)),"Retained – Unmatched ID (Anonymous Feedback Rule)",
  TRUE,"OK"
)</f>
        <v>OK</v>
      </c>
      <c r="I775" s="18" t="b">
        <f>IF(COUNTIF(Customer_Master!$A:$A,B775)=0,TRUE,FALSE)</f>
        <v>0</v>
      </c>
    </row>
    <row r="776" spans="1:9" ht="33.6" x14ac:dyDescent="0.3">
      <c r="A776" s="11" t="s">
        <v>8946</v>
      </c>
      <c r="B776" s="11" t="s">
        <v>8947</v>
      </c>
      <c r="C776" s="12">
        <v>45148</v>
      </c>
      <c r="D776" s="11" t="s">
        <v>7947</v>
      </c>
      <c r="E776" s="11">
        <v>4</v>
      </c>
      <c r="F776" s="11" t="s">
        <v>45</v>
      </c>
      <c r="G776" s="11" t="s">
        <v>46</v>
      </c>
      <c r="H776" s="31" t="str" cm="1">
        <f t="array" ref="H776">_xlfn.IFS(
  ISBLANK(A776),"Missing Value",
  OR(E776&lt;1,E776&gt;5),"Review – Out of Range (Satisfaction)",
  ISNA(MATCH(B776,Customer_Master!$A$2:$A$1649,0)),"Retained – Unmatched ID (Anonymous Feedback Rule)",
  TRUE,"OK"
)</f>
        <v>Retained – Unmatched ID (Anonymous Feedback Rule)</v>
      </c>
      <c r="I776" s="17" t="b">
        <f>IF(COUNTIF(Customer_Master!$A:$A,B776)=0,TRUE,FALSE)</f>
        <v>1</v>
      </c>
    </row>
    <row r="777" spans="1:9" ht="33.6" x14ac:dyDescent="0.3">
      <c r="A777" s="14" t="s">
        <v>8948</v>
      </c>
      <c r="B777" s="14" t="s">
        <v>8949</v>
      </c>
      <c r="C777" s="15">
        <v>45126</v>
      </c>
      <c r="D777" s="14" t="s">
        <v>7928</v>
      </c>
      <c r="E777" s="14">
        <v>1</v>
      </c>
      <c r="F777" s="14" t="s">
        <v>45</v>
      </c>
      <c r="G777" s="14" t="s">
        <v>46</v>
      </c>
      <c r="H777" s="31" t="str" cm="1">
        <f t="array" ref="H777">_xlfn.IFS(
  ISBLANK(A777),"Missing Value",
  OR(E777&lt;1,E777&gt;5),"Review – Out of Range (Satisfaction)",
  ISNA(MATCH(B777,Customer_Master!$A$2:$A$1649,0)),"Retained – Unmatched ID (Anonymous Feedback Rule)",
  TRUE,"OK"
)</f>
        <v>Retained – Unmatched ID (Anonymous Feedback Rule)</v>
      </c>
      <c r="I777" s="18" t="b">
        <f>IF(COUNTIF(Customer_Master!$A:$A,B777)=0,TRUE,FALSE)</f>
        <v>1</v>
      </c>
    </row>
    <row r="778" spans="1:9" ht="16.8" x14ac:dyDescent="0.3">
      <c r="A778" s="11" t="s">
        <v>8950</v>
      </c>
      <c r="B778" s="11" t="s">
        <v>2883</v>
      </c>
      <c r="C778" s="12">
        <v>45127</v>
      </c>
      <c r="D778" s="11" t="s">
        <v>7935</v>
      </c>
      <c r="E778" s="11">
        <v>4</v>
      </c>
      <c r="F778" s="11" t="s">
        <v>46</v>
      </c>
      <c r="G778" s="11" t="s">
        <v>45</v>
      </c>
      <c r="H778" s="31" t="str" cm="1">
        <f t="array" ref="H778">_xlfn.IFS(
  ISBLANK(A778),"Missing Value",
  OR(E778&lt;1,E778&gt;5),"Review – Out of Range (Satisfaction)",
  ISNA(MATCH(B778,Customer_Master!$A$2:$A$1649,0)),"Retained – Unmatched ID (Anonymous Feedback Rule)",
  TRUE,"OK"
)</f>
        <v>OK</v>
      </c>
      <c r="I778" s="17" t="b">
        <f>IF(COUNTIF(Customer_Master!$A:$A,B778)=0,TRUE,FALSE)</f>
        <v>0</v>
      </c>
    </row>
    <row r="779" spans="1:9" ht="16.8" x14ac:dyDescent="0.3">
      <c r="A779" s="14" t="s">
        <v>8951</v>
      </c>
      <c r="B779" s="14" t="s">
        <v>651</v>
      </c>
      <c r="C779" s="15">
        <v>43991</v>
      </c>
      <c r="D779" s="14" t="s">
        <v>7947</v>
      </c>
      <c r="E779" s="14">
        <v>3</v>
      </c>
      <c r="F779" s="14" t="s">
        <v>46</v>
      </c>
      <c r="G779" s="14" t="s">
        <v>45</v>
      </c>
      <c r="H779" s="31" t="str" cm="1">
        <f t="array" ref="H779">_xlfn.IFS(
  ISBLANK(A779),"Missing Value",
  OR(E779&lt;1,E779&gt;5),"Review – Out of Range (Satisfaction)",
  ISNA(MATCH(B779,Customer_Master!$A$2:$A$1649,0)),"Retained – Unmatched ID (Anonymous Feedback Rule)",
  TRUE,"OK"
)</f>
        <v>OK</v>
      </c>
      <c r="I779" s="18" t="b">
        <f>IF(COUNTIF(Customer_Master!$A:$A,B779)=0,TRUE,FALSE)</f>
        <v>0</v>
      </c>
    </row>
    <row r="780" spans="1:9" ht="33.6" x14ac:dyDescent="0.3">
      <c r="A780" s="11" t="s">
        <v>8952</v>
      </c>
      <c r="B780" s="11" t="s">
        <v>8953</v>
      </c>
      <c r="C780" s="12">
        <v>45098</v>
      </c>
      <c r="D780" s="11" t="s">
        <v>7978</v>
      </c>
      <c r="E780" s="11">
        <v>1</v>
      </c>
      <c r="F780" s="11" t="s">
        <v>46</v>
      </c>
      <c r="G780" s="11" t="s">
        <v>46</v>
      </c>
      <c r="H780" s="31" t="str" cm="1">
        <f t="array" ref="H780">_xlfn.IFS(
  ISBLANK(A780),"Missing Value",
  OR(E780&lt;1,E780&gt;5),"Review – Out of Range (Satisfaction)",
  ISNA(MATCH(B780,Customer_Master!$A$2:$A$1649,0)),"Retained – Unmatched ID (Anonymous Feedback Rule)",
  TRUE,"OK"
)</f>
        <v>Retained – Unmatched ID (Anonymous Feedback Rule)</v>
      </c>
      <c r="I780" s="17" t="b">
        <f>IF(COUNTIF(Customer_Master!$A:$A,B780)=0,TRUE,FALSE)</f>
        <v>1</v>
      </c>
    </row>
    <row r="781" spans="1:9" ht="33.6" x14ac:dyDescent="0.3">
      <c r="A781" s="14" t="s">
        <v>8954</v>
      </c>
      <c r="B781" s="14" t="s">
        <v>8955</v>
      </c>
      <c r="C781" s="15">
        <v>44057</v>
      </c>
      <c r="D781" s="14" t="s">
        <v>7940</v>
      </c>
      <c r="E781" s="14">
        <v>5</v>
      </c>
      <c r="F781" s="14" t="s">
        <v>45</v>
      </c>
      <c r="G781" s="14" t="s">
        <v>45</v>
      </c>
      <c r="H781" s="31" t="str" cm="1">
        <f t="array" ref="H781">_xlfn.IFS(
  ISBLANK(A781),"Missing Value",
  OR(E781&lt;1,E781&gt;5),"Review – Out of Range (Satisfaction)",
  ISNA(MATCH(B781,Customer_Master!$A$2:$A$1649,0)),"Retained – Unmatched ID (Anonymous Feedback Rule)",
  TRUE,"OK"
)</f>
        <v>Retained – Unmatched ID (Anonymous Feedback Rule)</v>
      </c>
      <c r="I781" s="18" t="b">
        <f>IF(COUNTIF(Customer_Master!$A:$A,B781)=0,TRUE,FALSE)</f>
        <v>1</v>
      </c>
    </row>
    <row r="782" spans="1:9" ht="16.8" x14ac:dyDescent="0.3">
      <c r="A782" s="11" t="s">
        <v>8956</v>
      </c>
      <c r="B782" s="11" t="s">
        <v>795</v>
      </c>
      <c r="C782" s="12">
        <v>44869</v>
      </c>
      <c r="D782" s="11" t="s">
        <v>7943</v>
      </c>
      <c r="E782" s="11">
        <v>3</v>
      </c>
      <c r="F782" s="11" t="s">
        <v>46</v>
      </c>
      <c r="G782" s="11" t="s">
        <v>46</v>
      </c>
      <c r="H782" s="31" t="str" cm="1">
        <f t="array" ref="H782">_xlfn.IFS(
  ISBLANK(A782),"Missing Value",
  OR(E782&lt;1,E782&gt;5),"Review – Out of Range (Satisfaction)",
  ISNA(MATCH(B782,Customer_Master!$A$2:$A$1649,0)),"Retained – Unmatched ID (Anonymous Feedback Rule)",
  TRUE,"OK"
)</f>
        <v>OK</v>
      </c>
      <c r="I782" s="17" t="b">
        <f>IF(COUNTIF(Customer_Master!$A:$A,B782)=0,TRUE,FALSE)</f>
        <v>0</v>
      </c>
    </row>
    <row r="783" spans="1:9" ht="16.8" x14ac:dyDescent="0.3">
      <c r="A783" s="14" t="s">
        <v>8957</v>
      </c>
      <c r="B783" s="14" t="s">
        <v>1563</v>
      </c>
      <c r="C783" s="15">
        <v>43875</v>
      </c>
      <c r="D783" s="14" t="s">
        <v>7978</v>
      </c>
      <c r="E783" s="14">
        <v>2</v>
      </c>
      <c r="F783" s="14" t="s">
        <v>45</v>
      </c>
      <c r="G783" s="14" t="s">
        <v>46</v>
      </c>
      <c r="H783" s="31" t="str" cm="1">
        <f t="array" ref="H783">_xlfn.IFS(
  ISBLANK(A783),"Missing Value",
  OR(E783&lt;1,E783&gt;5),"Review – Out of Range (Satisfaction)",
  ISNA(MATCH(B783,Customer_Master!$A$2:$A$1649,0)),"Retained – Unmatched ID (Anonymous Feedback Rule)",
  TRUE,"OK"
)</f>
        <v>OK</v>
      </c>
      <c r="I783" s="18" t="b">
        <f>IF(COUNTIF(Customer_Master!$A:$A,B783)=0,TRUE,FALSE)</f>
        <v>0</v>
      </c>
    </row>
    <row r="784" spans="1:9" ht="16.8" x14ac:dyDescent="0.3">
      <c r="A784" s="11" t="s">
        <v>8958</v>
      </c>
      <c r="B784" s="11" t="s">
        <v>3346</v>
      </c>
      <c r="C784" s="12">
        <v>44101</v>
      </c>
      <c r="D784" s="11" t="s">
        <v>7978</v>
      </c>
      <c r="E784" s="11">
        <v>1</v>
      </c>
      <c r="F784" s="11" t="s">
        <v>45</v>
      </c>
      <c r="G784" s="11" t="s">
        <v>45</v>
      </c>
      <c r="H784" s="31" t="str" cm="1">
        <f t="array" ref="H784">_xlfn.IFS(
  ISBLANK(A784),"Missing Value",
  OR(E784&lt;1,E784&gt;5),"Review – Out of Range (Satisfaction)",
  ISNA(MATCH(B784,Customer_Master!$A$2:$A$1649,0)),"Retained – Unmatched ID (Anonymous Feedback Rule)",
  TRUE,"OK"
)</f>
        <v>OK</v>
      </c>
      <c r="I784" s="17" t="b">
        <f>IF(COUNTIF(Customer_Master!$A:$A,B784)=0,TRUE,FALSE)</f>
        <v>0</v>
      </c>
    </row>
    <row r="785" spans="1:9" ht="33.6" x14ac:dyDescent="0.3">
      <c r="A785" s="14" t="s">
        <v>8959</v>
      </c>
      <c r="B785" s="14" t="s">
        <v>8576</v>
      </c>
      <c r="C785" s="15">
        <v>44535</v>
      </c>
      <c r="D785" s="14" t="s">
        <v>7937</v>
      </c>
      <c r="E785" s="14">
        <v>5</v>
      </c>
      <c r="F785" s="14" t="s">
        <v>45</v>
      </c>
      <c r="G785" s="14" t="s">
        <v>46</v>
      </c>
      <c r="H785" s="31" t="str" cm="1">
        <f t="array" ref="H785">_xlfn.IFS(
  ISBLANK(A785),"Missing Value",
  OR(E785&lt;1,E785&gt;5),"Review – Out of Range (Satisfaction)",
  ISNA(MATCH(B785,Customer_Master!$A$2:$A$1649,0)),"Retained – Unmatched ID (Anonymous Feedback Rule)",
  TRUE,"OK"
)</f>
        <v>Retained – Unmatched ID (Anonymous Feedback Rule)</v>
      </c>
      <c r="I785" s="18" t="b">
        <f>IF(COUNTIF(Customer_Master!$A:$A,B785)=0,TRUE,FALSE)</f>
        <v>1</v>
      </c>
    </row>
    <row r="786" spans="1:9" ht="16.8" x14ac:dyDescent="0.3">
      <c r="A786" s="11" t="s">
        <v>8960</v>
      </c>
      <c r="B786" s="11" t="s">
        <v>2515</v>
      </c>
      <c r="C786" s="12">
        <v>45203</v>
      </c>
      <c r="D786" s="11" t="s">
        <v>7933</v>
      </c>
      <c r="E786" s="11">
        <v>2</v>
      </c>
      <c r="F786" s="11" t="s">
        <v>45</v>
      </c>
      <c r="G786" s="11" t="s">
        <v>46</v>
      </c>
      <c r="H786" s="31" t="str" cm="1">
        <f t="array" ref="H786">_xlfn.IFS(
  ISBLANK(A786),"Missing Value",
  OR(E786&lt;1,E786&gt;5),"Review – Out of Range (Satisfaction)",
  ISNA(MATCH(B786,Customer_Master!$A$2:$A$1649,0)),"Retained – Unmatched ID (Anonymous Feedback Rule)",
  TRUE,"OK"
)</f>
        <v>OK</v>
      </c>
      <c r="I786" s="17" t="b">
        <f>IF(COUNTIF(Customer_Master!$A:$A,B786)=0,TRUE,FALSE)</f>
        <v>0</v>
      </c>
    </row>
    <row r="787" spans="1:9" ht="16.8" x14ac:dyDescent="0.3">
      <c r="A787" s="14" t="s">
        <v>8961</v>
      </c>
      <c r="B787" s="14" t="s">
        <v>601</v>
      </c>
      <c r="C787" s="15">
        <v>43950</v>
      </c>
      <c r="D787" s="14" t="s">
        <v>7940</v>
      </c>
      <c r="E787" s="14">
        <v>5</v>
      </c>
      <c r="F787" s="14" t="s">
        <v>46</v>
      </c>
      <c r="G787" s="14" t="s">
        <v>45</v>
      </c>
      <c r="H787" s="31" t="str" cm="1">
        <f t="array" ref="H787">_xlfn.IFS(
  ISBLANK(A787),"Missing Value",
  OR(E787&lt;1,E787&gt;5),"Review – Out of Range (Satisfaction)",
  ISNA(MATCH(B787,Customer_Master!$A$2:$A$1649,0)),"Retained – Unmatched ID (Anonymous Feedback Rule)",
  TRUE,"OK"
)</f>
        <v>OK</v>
      </c>
      <c r="I787" s="18" t="b">
        <f>IF(COUNTIF(Customer_Master!$A:$A,B787)=0,TRUE,FALSE)</f>
        <v>0</v>
      </c>
    </row>
    <row r="788" spans="1:9" ht="16.8" x14ac:dyDescent="0.3">
      <c r="A788" s="11" t="s">
        <v>8962</v>
      </c>
      <c r="B788" s="11" t="s">
        <v>1289</v>
      </c>
      <c r="C788" s="12">
        <v>44255</v>
      </c>
      <c r="D788" s="11" t="s">
        <v>7931</v>
      </c>
      <c r="E788" s="11">
        <v>5</v>
      </c>
      <c r="F788" s="11" t="s">
        <v>45</v>
      </c>
      <c r="G788" s="11" t="s">
        <v>46</v>
      </c>
      <c r="H788" s="31" t="str" cm="1">
        <f t="array" ref="H788">_xlfn.IFS(
  ISBLANK(A788),"Missing Value",
  OR(E788&lt;1,E788&gt;5),"Review – Out of Range (Satisfaction)",
  ISNA(MATCH(B788,Customer_Master!$A$2:$A$1649,0)),"Retained – Unmatched ID (Anonymous Feedback Rule)",
  TRUE,"OK"
)</f>
        <v>OK</v>
      </c>
      <c r="I788" s="17" t="b">
        <f>IF(COUNTIF(Customer_Master!$A:$A,B788)=0,TRUE,FALSE)</f>
        <v>0</v>
      </c>
    </row>
    <row r="789" spans="1:9" ht="33.6" x14ac:dyDescent="0.3">
      <c r="A789" s="14" t="s">
        <v>8963</v>
      </c>
      <c r="B789" s="14" t="s">
        <v>8964</v>
      </c>
      <c r="C789" s="15">
        <v>45239</v>
      </c>
      <c r="D789" s="14" t="s">
        <v>7969</v>
      </c>
      <c r="E789" s="14">
        <v>2</v>
      </c>
      <c r="F789" s="14" t="s">
        <v>45</v>
      </c>
      <c r="G789" s="14" t="s">
        <v>46</v>
      </c>
      <c r="H789" s="31" t="str" cm="1">
        <f t="array" ref="H789">_xlfn.IFS(
  ISBLANK(A789),"Missing Value",
  OR(E789&lt;1,E789&gt;5),"Review – Out of Range (Satisfaction)",
  ISNA(MATCH(B789,Customer_Master!$A$2:$A$1649,0)),"Retained – Unmatched ID (Anonymous Feedback Rule)",
  TRUE,"OK"
)</f>
        <v>Retained – Unmatched ID (Anonymous Feedback Rule)</v>
      </c>
      <c r="I789" s="18" t="b">
        <f>IF(COUNTIF(Customer_Master!$A:$A,B789)=0,TRUE,FALSE)</f>
        <v>1</v>
      </c>
    </row>
    <row r="790" spans="1:9" ht="33.6" x14ac:dyDescent="0.3">
      <c r="A790" s="11" t="s">
        <v>8965</v>
      </c>
      <c r="B790" s="11" t="s">
        <v>8387</v>
      </c>
      <c r="C790" s="12">
        <v>44757</v>
      </c>
      <c r="D790" s="11" t="s">
        <v>7937</v>
      </c>
      <c r="E790" s="11">
        <v>5</v>
      </c>
      <c r="F790" s="11" t="s">
        <v>46</v>
      </c>
      <c r="G790" s="11" t="s">
        <v>45</v>
      </c>
      <c r="H790" s="31" t="str" cm="1">
        <f t="array" ref="H790">_xlfn.IFS(
  ISBLANK(A790),"Missing Value",
  OR(E790&lt;1,E790&gt;5),"Review – Out of Range (Satisfaction)",
  ISNA(MATCH(B790,Customer_Master!$A$2:$A$1649,0)),"Retained – Unmatched ID (Anonymous Feedback Rule)",
  TRUE,"OK"
)</f>
        <v>Retained – Unmatched ID (Anonymous Feedback Rule)</v>
      </c>
      <c r="I790" s="17" t="b">
        <f>IF(COUNTIF(Customer_Master!$A:$A,B790)=0,TRUE,FALSE)</f>
        <v>1</v>
      </c>
    </row>
    <row r="791" spans="1:9" ht="33.6" x14ac:dyDescent="0.3">
      <c r="A791" s="14" t="s">
        <v>8966</v>
      </c>
      <c r="B791" s="14" t="s">
        <v>8967</v>
      </c>
      <c r="C791" s="15">
        <v>44604</v>
      </c>
      <c r="D791" s="14" t="s">
        <v>7943</v>
      </c>
      <c r="E791" s="14">
        <v>2</v>
      </c>
      <c r="F791" s="14" t="s">
        <v>46</v>
      </c>
      <c r="G791" s="14" t="s">
        <v>45</v>
      </c>
      <c r="H791" s="31" t="str" cm="1">
        <f t="array" ref="H791">_xlfn.IFS(
  ISBLANK(A791),"Missing Value",
  OR(E791&lt;1,E791&gt;5),"Review – Out of Range (Satisfaction)",
  ISNA(MATCH(B791,Customer_Master!$A$2:$A$1649,0)),"Retained – Unmatched ID (Anonymous Feedback Rule)",
  TRUE,"OK"
)</f>
        <v>Retained – Unmatched ID (Anonymous Feedback Rule)</v>
      </c>
      <c r="I791" s="18" t="b">
        <f>IF(COUNTIF(Customer_Master!$A:$A,B791)=0,TRUE,FALSE)</f>
        <v>1</v>
      </c>
    </row>
    <row r="792" spans="1:9" ht="16.8" x14ac:dyDescent="0.3">
      <c r="A792" s="11" t="s">
        <v>8968</v>
      </c>
      <c r="B792" s="11" t="s">
        <v>1047</v>
      </c>
      <c r="C792" s="12">
        <v>43833</v>
      </c>
      <c r="D792" s="11" t="s">
        <v>7978</v>
      </c>
      <c r="E792" s="11">
        <v>3</v>
      </c>
      <c r="F792" s="11" t="s">
        <v>46</v>
      </c>
      <c r="G792" s="11" t="s">
        <v>46</v>
      </c>
      <c r="H792" s="31" t="str" cm="1">
        <f t="array" ref="H792">_xlfn.IFS(
  ISBLANK(A792),"Missing Value",
  OR(E792&lt;1,E792&gt;5),"Review – Out of Range (Satisfaction)",
  ISNA(MATCH(B792,Customer_Master!$A$2:$A$1649,0)),"Retained – Unmatched ID (Anonymous Feedback Rule)",
  TRUE,"OK"
)</f>
        <v>OK</v>
      </c>
      <c r="I792" s="17" t="b">
        <f>IF(COUNTIF(Customer_Master!$A:$A,B792)=0,TRUE,FALSE)</f>
        <v>0</v>
      </c>
    </row>
    <row r="793" spans="1:9" ht="16.8" x14ac:dyDescent="0.3">
      <c r="A793" s="14" t="s">
        <v>8969</v>
      </c>
      <c r="B793" s="14" t="s">
        <v>2967</v>
      </c>
      <c r="C793" s="15">
        <v>44895</v>
      </c>
      <c r="D793" s="14" t="s">
        <v>7947</v>
      </c>
      <c r="E793" s="14">
        <v>4</v>
      </c>
      <c r="F793" s="14" t="s">
        <v>46</v>
      </c>
      <c r="G793" s="14" t="s">
        <v>46</v>
      </c>
      <c r="H793" s="31" t="str" cm="1">
        <f t="array" ref="H793">_xlfn.IFS(
  ISBLANK(A793),"Missing Value",
  OR(E793&lt;1,E793&gt;5),"Review – Out of Range (Satisfaction)",
  ISNA(MATCH(B793,Customer_Master!$A$2:$A$1649,0)),"Retained – Unmatched ID (Anonymous Feedback Rule)",
  TRUE,"OK"
)</f>
        <v>OK</v>
      </c>
      <c r="I793" s="18" t="b">
        <f>IF(COUNTIF(Customer_Master!$A:$A,B793)=0,TRUE,FALSE)</f>
        <v>0</v>
      </c>
    </row>
    <row r="794" spans="1:9" ht="16.8" x14ac:dyDescent="0.3">
      <c r="A794" s="11" t="s">
        <v>8970</v>
      </c>
      <c r="B794" s="11" t="s">
        <v>1013</v>
      </c>
      <c r="C794" s="12">
        <v>44788</v>
      </c>
      <c r="D794" s="11" t="s">
        <v>7937</v>
      </c>
      <c r="E794" s="11">
        <v>4</v>
      </c>
      <c r="F794" s="11" t="s">
        <v>46</v>
      </c>
      <c r="G794" s="11" t="s">
        <v>45</v>
      </c>
      <c r="H794" s="31" t="str" cm="1">
        <f t="array" ref="H794">_xlfn.IFS(
  ISBLANK(A794),"Missing Value",
  OR(E794&lt;1,E794&gt;5),"Review – Out of Range (Satisfaction)",
  ISNA(MATCH(B794,Customer_Master!$A$2:$A$1649,0)),"Retained – Unmatched ID (Anonymous Feedback Rule)",
  TRUE,"OK"
)</f>
        <v>OK</v>
      </c>
      <c r="I794" s="17" t="b">
        <f>IF(COUNTIF(Customer_Master!$A:$A,B794)=0,TRUE,FALSE)</f>
        <v>0</v>
      </c>
    </row>
    <row r="795" spans="1:9" ht="33.6" x14ac:dyDescent="0.3">
      <c r="A795" s="14" t="s">
        <v>8971</v>
      </c>
      <c r="B795" s="14" t="s">
        <v>8972</v>
      </c>
      <c r="C795" s="15">
        <v>44308</v>
      </c>
      <c r="D795" s="14" t="s">
        <v>7943</v>
      </c>
      <c r="E795" s="14">
        <v>2</v>
      </c>
      <c r="F795" s="14" t="s">
        <v>45</v>
      </c>
      <c r="G795" s="14" t="s">
        <v>46</v>
      </c>
      <c r="H795" s="31" t="str" cm="1">
        <f t="array" ref="H795">_xlfn.IFS(
  ISBLANK(A795),"Missing Value",
  OR(E795&lt;1,E795&gt;5),"Review – Out of Range (Satisfaction)",
  ISNA(MATCH(B795,Customer_Master!$A$2:$A$1649,0)),"Retained – Unmatched ID (Anonymous Feedback Rule)",
  TRUE,"OK"
)</f>
        <v>Retained – Unmatched ID (Anonymous Feedback Rule)</v>
      </c>
      <c r="I795" s="18" t="b">
        <f>IF(COUNTIF(Customer_Master!$A:$A,B795)=0,TRUE,FALSE)</f>
        <v>1</v>
      </c>
    </row>
    <row r="796" spans="1:9" ht="16.8" x14ac:dyDescent="0.3">
      <c r="A796" s="11" t="s">
        <v>8973</v>
      </c>
      <c r="B796" s="11" t="s">
        <v>1399</v>
      </c>
      <c r="C796" s="12">
        <v>44101</v>
      </c>
      <c r="D796" s="11" t="s">
        <v>7935</v>
      </c>
      <c r="E796" s="11">
        <v>4</v>
      </c>
      <c r="F796" s="11" t="s">
        <v>45</v>
      </c>
      <c r="G796" s="11" t="s">
        <v>46</v>
      </c>
      <c r="H796" s="31" t="str" cm="1">
        <f t="array" ref="H796">_xlfn.IFS(
  ISBLANK(A796),"Missing Value",
  OR(E796&lt;1,E796&gt;5),"Review – Out of Range (Satisfaction)",
  ISNA(MATCH(B796,Customer_Master!$A$2:$A$1649,0)),"Retained – Unmatched ID (Anonymous Feedback Rule)",
  TRUE,"OK"
)</f>
        <v>OK</v>
      </c>
      <c r="I796" s="17" t="b">
        <f>IF(COUNTIF(Customer_Master!$A:$A,B796)=0,TRUE,FALSE)</f>
        <v>0</v>
      </c>
    </row>
    <row r="797" spans="1:9" ht="16.8" x14ac:dyDescent="0.3">
      <c r="A797" s="14" t="s">
        <v>8974</v>
      </c>
      <c r="B797" s="14" t="s">
        <v>635</v>
      </c>
      <c r="C797" s="15">
        <v>44771</v>
      </c>
      <c r="D797" s="14" t="s">
        <v>7947</v>
      </c>
      <c r="E797" s="14">
        <v>5</v>
      </c>
      <c r="F797" s="14" t="s">
        <v>46</v>
      </c>
      <c r="G797" s="14" t="s">
        <v>46</v>
      </c>
      <c r="H797" s="31" t="str" cm="1">
        <f t="array" ref="H797">_xlfn.IFS(
  ISBLANK(A797),"Missing Value",
  OR(E797&lt;1,E797&gt;5),"Review – Out of Range (Satisfaction)",
  ISNA(MATCH(B797,Customer_Master!$A$2:$A$1649,0)),"Retained – Unmatched ID (Anonymous Feedback Rule)",
  TRUE,"OK"
)</f>
        <v>OK</v>
      </c>
      <c r="I797" s="18" t="b">
        <f>IF(COUNTIF(Customer_Master!$A:$A,B797)=0,TRUE,FALSE)</f>
        <v>0</v>
      </c>
    </row>
    <row r="798" spans="1:9" ht="16.8" x14ac:dyDescent="0.3">
      <c r="A798" s="11" t="s">
        <v>8975</v>
      </c>
      <c r="B798" s="11" t="s">
        <v>3336</v>
      </c>
      <c r="C798" s="12">
        <v>44665</v>
      </c>
      <c r="D798" s="11" t="s">
        <v>7931</v>
      </c>
      <c r="E798" s="11">
        <v>5</v>
      </c>
      <c r="F798" s="11" t="s">
        <v>46</v>
      </c>
      <c r="G798" s="11" t="s">
        <v>46</v>
      </c>
      <c r="H798" s="31" t="str" cm="1">
        <f t="array" ref="H798">_xlfn.IFS(
  ISBLANK(A798),"Missing Value",
  OR(E798&lt;1,E798&gt;5),"Review – Out of Range (Satisfaction)",
  ISNA(MATCH(B798,Customer_Master!$A$2:$A$1649,0)),"Retained – Unmatched ID (Anonymous Feedback Rule)",
  TRUE,"OK"
)</f>
        <v>OK</v>
      </c>
      <c r="I798" s="17" t="b">
        <f>IF(COUNTIF(Customer_Master!$A:$A,B798)=0,TRUE,FALSE)</f>
        <v>0</v>
      </c>
    </row>
    <row r="799" spans="1:9" ht="16.8" x14ac:dyDescent="0.3">
      <c r="A799" s="14" t="s">
        <v>8976</v>
      </c>
      <c r="B799" s="14" t="s">
        <v>887</v>
      </c>
      <c r="C799" s="15">
        <v>44802</v>
      </c>
      <c r="D799" s="14" t="s">
        <v>7931</v>
      </c>
      <c r="E799" s="14">
        <v>5</v>
      </c>
      <c r="F799" s="14" t="s">
        <v>45</v>
      </c>
      <c r="G799" s="14" t="s">
        <v>46</v>
      </c>
      <c r="H799" s="31" t="str" cm="1">
        <f t="array" ref="H799">_xlfn.IFS(
  ISBLANK(A799),"Missing Value",
  OR(E799&lt;1,E799&gt;5),"Review – Out of Range (Satisfaction)",
  ISNA(MATCH(B799,Customer_Master!$A$2:$A$1649,0)),"Retained – Unmatched ID (Anonymous Feedback Rule)",
  TRUE,"OK"
)</f>
        <v>OK</v>
      </c>
      <c r="I799" s="18" t="b">
        <f>IF(COUNTIF(Customer_Master!$A:$A,B799)=0,TRUE,FALSE)</f>
        <v>0</v>
      </c>
    </row>
    <row r="800" spans="1:9" ht="16.8" x14ac:dyDescent="0.3">
      <c r="A800" s="11" t="s">
        <v>8977</v>
      </c>
      <c r="B800" s="11" t="s">
        <v>1089</v>
      </c>
      <c r="C800" s="12">
        <v>44039</v>
      </c>
      <c r="D800" s="11" t="s">
        <v>7935</v>
      </c>
      <c r="E800" s="11">
        <v>4</v>
      </c>
      <c r="F800" s="11" t="s">
        <v>46</v>
      </c>
      <c r="G800" s="11" t="s">
        <v>45</v>
      </c>
      <c r="H800" s="31" t="str" cm="1">
        <f t="array" ref="H800">_xlfn.IFS(
  ISBLANK(A800),"Missing Value",
  OR(E800&lt;1,E800&gt;5),"Review – Out of Range (Satisfaction)",
  ISNA(MATCH(B800,Customer_Master!$A$2:$A$1649,0)),"Retained – Unmatched ID (Anonymous Feedback Rule)",
  TRUE,"OK"
)</f>
        <v>OK</v>
      </c>
      <c r="I800" s="17" t="b">
        <f>IF(COUNTIF(Customer_Master!$A:$A,B800)=0,TRUE,FALSE)</f>
        <v>0</v>
      </c>
    </row>
    <row r="801" spans="1:9" ht="33.6" x14ac:dyDescent="0.3">
      <c r="A801" s="14" t="s">
        <v>8978</v>
      </c>
      <c r="B801" s="14" t="s">
        <v>8979</v>
      </c>
      <c r="C801" s="15">
        <v>44575</v>
      </c>
      <c r="D801" s="14" t="s">
        <v>7969</v>
      </c>
      <c r="E801" s="14">
        <v>2</v>
      </c>
      <c r="F801" s="14" t="s">
        <v>46</v>
      </c>
      <c r="G801" s="14" t="s">
        <v>46</v>
      </c>
      <c r="H801" s="31" t="str" cm="1">
        <f t="array" ref="H801">_xlfn.IFS(
  ISBLANK(A801),"Missing Value",
  OR(E801&lt;1,E801&gt;5),"Review – Out of Range (Satisfaction)",
  ISNA(MATCH(B801,Customer_Master!$A$2:$A$1649,0)),"Retained – Unmatched ID (Anonymous Feedback Rule)",
  TRUE,"OK"
)</f>
        <v>Retained – Unmatched ID (Anonymous Feedback Rule)</v>
      </c>
      <c r="I801" s="18" t="b">
        <f>IF(COUNTIF(Customer_Master!$A:$A,B801)=0,TRUE,FALSE)</f>
        <v>1</v>
      </c>
    </row>
    <row r="802" spans="1:9" ht="16.8" x14ac:dyDescent="0.3">
      <c r="A802" s="11" t="s">
        <v>8980</v>
      </c>
      <c r="B802" s="11" t="s">
        <v>2015</v>
      </c>
      <c r="C802" s="12">
        <v>44839</v>
      </c>
      <c r="D802" s="11" t="s">
        <v>7935</v>
      </c>
      <c r="E802" s="11">
        <v>5</v>
      </c>
      <c r="F802" s="11" t="s">
        <v>46</v>
      </c>
      <c r="G802" s="11" t="s">
        <v>46</v>
      </c>
      <c r="H802" s="31" t="str" cm="1">
        <f t="array" ref="H802">_xlfn.IFS(
  ISBLANK(A802),"Missing Value",
  OR(E802&lt;1,E802&gt;5),"Review – Out of Range (Satisfaction)",
  ISNA(MATCH(B802,Customer_Master!$A$2:$A$1649,0)),"Retained – Unmatched ID (Anonymous Feedback Rule)",
  TRUE,"OK"
)</f>
        <v>OK</v>
      </c>
      <c r="I802" s="17" t="b">
        <f>IF(COUNTIF(Customer_Master!$A:$A,B802)=0,TRUE,FALSE)</f>
        <v>0</v>
      </c>
    </row>
    <row r="803" spans="1:9" ht="16.8" x14ac:dyDescent="0.3">
      <c r="A803" s="14" t="s">
        <v>8981</v>
      </c>
      <c r="B803" s="14" t="s">
        <v>1549</v>
      </c>
      <c r="C803" s="15">
        <v>44106</v>
      </c>
      <c r="D803" s="14" t="s">
        <v>7940</v>
      </c>
      <c r="E803" s="14">
        <v>5</v>
      </c>
      <c r="F803" s="14" t="s">
        <v>46</v>
      </c>
      <c r="G803" s="14" t="s">
        <v>45</v>
      </c>
      <c r="H803" s="31" t="str" cm="1">
        <f t="array" ref="H803">_xlfn.IFS(
  ISBLANK(A803),"Missing Value",
  OR(E803&lt;1,E803&gt;5),"Review – Out of Range (Satisfaction)",
  ISNA(MATCH(B803,Customer_Master!$A$2:$A$1649,0)),"Retained – Unmatched ID (Anonymous Feedback Rule)",
  TRUE,"OK"
)</f>
        <v>OK</v>
      </c>
      <c r="I803" s="18" t="b">
        <f>IF(COUNTIF(Customer_Master!$A:$A,B803)=0,TRUE,FALSE)</f>
        <v>0</v>
      </c>
    </row>
    <row r="804" spans="1:9" ht="16.8" x14ac:dyDescent="0.3">
      <c r="A804" s="11" t="s">
        <v>8982</v>
      </c>
      <c r="B804" s="11" t="s">
        <v>1897</v>
      </c>
      <c r="C804" s="12">
        <v>44655</v>
      </c>
      <c r="D804" s="11" t="s">
        <v>7935</v>
      </c>
      <c r="E804" s="11">
        <v>4</v>
      </c>
      <c r="F804" s="11" t="s">
        <v>45</v>
      </c>
      <c r="G804" s="11" t="s">
        <v>45</v>
      </c>
      <c r="H804" s="31" t="str" cm="1">
        <f t="array" ref="H804">_xlfn.IFS(
  ISBLANK(A804),"Missing Value",
  OR(E804&lt;1,E804&gt;5),"Review – Out of Range (Satisfaction)",
  ISNA(MATCH(B804,Customer_Master!$A$2:$A$1649,0)),"Retained – Unmatched ID (Anonymous Feedback Rule)",
  TRUE,"OK"
)</f>
        <v>OK</v>
      </c>
      <c r="I804" s="17" t="b">
        <f>IF(COUNTIF(Customer_Master!$A:$A,B804)=0,TRUE,FALSE)</f>
        <v>0</v>
      </c>
    </row>
    <row r="805" spans="1:9" ht="16.8" x14ac:dyDescent="0.3">
      <c r="A805" s="14" t="s">
        <v>8983</v>
      </c>
      <c r="B805" s="14" t="s">
        <v>707</v>
      </c>
      <c r="C805" s="15">
        <v>44562</v>
      </c>
      <c r="D805" s="14" t="s">
        <v>7940</v>
      </c>
      <c r="E805" s="14">
        <v>5</v>
      </c>
      <c r="F805" s="14" t="s">
        <v>45</v>
      </c>
      <c r="G805" s="14" t="s">
        <v>45</v>
      </c>
      <c r="H805" s="31" t="str" cm="1">
        <f t="array" ref="H805">_xlfn.IFS(
  ISBLANK(A805),"Missing Value",
  OR(E805&lt;1,E805&gt;5),"Review – Out of Range (Satisfaction)",
  ISNA(MATCH(B805,Customer_Master!$A$2:$A$1649,0)),"Retained – Unmatched ID (Anonymous Feedback Rule)",
  TRUE,"OK"
)</f>
        <v>OK</v>
      </c>
      <c r="I805" s="18" t="b">
        <f>IF(COUNTIF(Customer_Master!$A:$A,B805)=0,TRUE,FALSE)</f>
        <v>0</v>
      </c>
    </row>
    <row r="806" spans="1:9" ht="33.6" x14ac:dyDescent="0.3">
      <c r="A806" s="11" t="s">
        <v>8984</v>
      </c>
      <c r="B806" s="11" t="s">
        <v>8985</v>
      </c>
      <c r="C806" s="12">
        <v>43897</v>
      </c>
      <c r="D806" s="11" t="s">
        <v>7947</v>
      </c>
      <c r="E806" s="11">
        <v>4</v>
      </c>
      <c r="F806" s="11" t="s">
        <v>45</v>
      </c>
      <c r="G806" s="11" t="s">
        <v>46</v>
      </c>
      <c r="H806" s="31" t="str" cm="1">
        <f t="array" ref="H806">_xlfn.IFS(
  ISBLANK(A806),"Missing Value",
  OR(E806&lt;1,E806&gt;5),"Review – Out of Range (Satisfaction)",
  ISNA(MATCH(B806,Customer_Master!$A$2:$A$1649,0)),"Retained – Unmatched ID (Anonymous Feedback Rule)",
  TRUE,"OK"
)</f>
        <v>Retained – Unmatched ID (Anonymous Feedback Rule)</v>
      </c>
      <c r="I806" s="17" t="b">
        <f>IF(COUNTIF(Customer_Master!$A:$A,B806)=0,TRUE,FALSE)</f>
        <v>1</v>
      </c>
    </row>
    <row r="807" spans="1:9" ht="16.8" x14ac:dyDescent="0.3">
      <c r="A807" s="14" t="s">
        <v>8986</v>
      </c>
      <c r="B807" s="14" t="s">
        <v>516</v>
      </c>
      <c r="C807" s="15">
        <v>45151</v>
      </c>
      <c r="D807" s="14" t="s">
        <v>7933</v>
      </c>
      <c r="E807" s="14">
        <v>2</v>
      </c>
      <c r="F807" s="14" t="s">
        <v>46</v>
      </c>
      <c r="G807" s="14" t="s">
        <v>46</v>
      </c>
      <c r="H807" s="31" t="str" cm="1">
        <f t="array" ref="H807">_xlfn.IFS(
  ISBLANK(A807),"Missing Value",
  OR(E807&lt;1,E807&gt;5),"Review – Out of Range (Satisfaction)",
  ISNA(MATCH(B807,Customer_Master!$A$2:$A$1649,0)),"Retained – Unmatched ID (Anonymous Feedback Rule)",
  TRUE,"OK"
)</f>
        <v>OK</v>
      </c>
      <c r="I807" s="18" t="b">
        <f>IF(COUNTIF(Customer_Master!$A:$A,B807)=0,TRUE,FALSE)</f>
        <v>0</v>
      </c>
    </row>
    <row r="808" spans="1:9" ht="33.6" x14ac:dyDescent="0.3">
      <c r="A808" s="11" t="s">
        <v>8987</v>
      </c>
      <c r="B808" s="11" t="s">
        <v>8277</v>
      </c>
      <c r="C808" s="12">
        <v>45025</v>
      </c>
      <c r="D808" s="11" t="s">
        <v>7978</v>
      </c>
      <c r="E808" s="11">
        <v>2</v>
      </c>
      <c r="F808" s="11" t="s">
        <v>45</v>
      </c>
      <c r="G808" s="11" t="s">
        <v>46</v>
      </c>
      <c r="H808" s="31" t="str" cm="1">
        <f t="array" ref="H808">_xlfn.IFS(
  ISBLANK(A808),"Missing Value",
  OR(E808&lt;1,E808&gt;5),"Review – Out of Range (Satisfaction)",
  ISNA(MATCH(B808,Customer_Master!$A$2:$A$1649,0)),"Retained – Unmatched ID (Anonymous Feedback Rule)",
  TRUE,"OK"
)</f>
        <v>Retained – Unmatched ID (Anonymous Feedback Rule)</v>
      </c>
      <c r="I808" s="17" t="b">
        <f>IF(COUNTIF(Customer_Master!$A:$A,B808)=0,TRUE,FALSE)</f>
        <v>1</v>
      </c>
    </row>
    <row r="809" spans="1:9" ht="16.8" x14ac:dyDescent="0.3">
      <c r="A809" s="14" t="s">
        <v>8988</v>
      </c>
      <c r="B809" s="14" t="s">
        <v>2589</v>
      </c>
      <c r="C809" s="15">
        <v>44574</v>
      </c>
      <c r="D809" s="14" t="s">
        <v>7940</v>
      </c>
      <c r="E809" s="14">
        <v>5</v>
      </c>
      <c r="F809" s="14" t="s">
        <v>45</v>
      </c>
      <c r="G809" s="14" t="s">
        <v>45</v>
      </c>
      <c r="H809" s="31" t="str" cm="1">
        <f t="array" ref="H809">_xlfn.IFS(
  ISBLANK(A809),"Missing Value",
  OR(E809&lt;1,E809&gt;5),"Review – Out of Range (Satisfaction)",
  ISNA(MATCH(B809,Customer_Master!$A$2:$A$1649,0)),"Retained – Unmatched ID (Anonymous Feedback Rule)",
  TRUE,"OK"
)</f>
        <v>OK</v>
      </c>
      <c r="I809" s="18" t="b">
        <f>IF(COUNTIF(Customer_Master!$A:$A,B809)=0,TRUE,FALSE)</f>
        <v>0</v>
      </c>
    </row>
    <row r="810" spans="1:9" ht="33.6" x14ac:dyDescent="0.3">
      <c r="A810" s="11" t="s">
        <v>8989</v>
      </c>
      <c r="B810" s="11" t="s">
        <v>8990</v>
      </c>
      <c r="C810" s="12">
        <v>43992</v>
      </c>
      <c r="D810" s="11" t="s">
        <v>7935</v>
      </c>
      <c r="E810" s="11">
        <v>4</v>
      </c>
      <c r="F810" s="11" t="s">
        <v>46</v>
      </c>
      <c r="G810" s="11" t="s">
        <v>45</v>
      </c>
      <c r="H810" s="31" t="str" cm="1">
        <f t="array" ref="H810">_xlfn.IFS(
  ISBLANK(A810),"Missing Value",
  OR(E810&lt;1,E810&gt;5),"Review – Out of Range (Satisfaction)",
  ISNA(MATCH(B810,Customer_Master!$A$2:$A$1649,0)),"Retained – Unmatched ID (Anonymous Feedback Rule)",
  TRUE,"OK"
)</f>
        <v>Retained – Unmatched ID (Anonymous Feedback Rule)</v>
      </c>
      <c r="I810" s="17" t="b">
        <f>IF(COUNTIF(Customer_Master!$A:$A,B810)=0,TRUE,FALSE)</f>
        <v>1</v>
      </c>
    </row>
    <row r="811" spans="1:9" ht="16.8" x14ac:dyDescent="0.3">
      <c r="A811" s="14" t="s">
        <v>8991</v>
      </c>
      <c r="B811" s="14" t="s">
        <v>1397</v>
      </c>
      <c r="C811" s="15">
        <v>44716</v>
      </c>
      <c r="D811" s="14" t="s">
        <v>7933</v>
      </c>
      <c r="E811" s="14">
        <v>3</v>
      </c>
      <c r="F811" s="14" t="s">
        <v>45</v>
      </c>
      <c r="G811" s="14" t="s">
        <v>46</v>
      </c>
      <c r="H811" s="31" t="str" cm="1">
        <f t="array" ref="H811">_xlfn.IFS(
  ISBLANK(A811),"Missing Value",
  OR(E811&lt;1,E811&gt;5),"Review – Out of Range (Satisfaction)",
  ISNA(MATCH(B811,Customer_Master!$A$2:$A$1649,0)),"Retained – Unmatched ID (Anonymous Feedback Rule)",
  TRUE,"OK"
)</f>
        <v>OK</v>
      </c>
      <c r="I811" s="18" t="b">
        <f>IF(COUNTIF(Customer_Master!$A:$A,B811)=0,TRUE,FALSE)</f>
        <v>0</v>
      </c>
    </row>
    <row r="812" spans="1:9" ht="33.6" x14ac:dyDescent="0.3">
      <c r="A812" s="11" t="s">
        <v>8992</v>
      </c>
      <c r="B812" s="11" t="s">
        <v>8993</v>
      </c>
      <c r="C812" s="12">
        <v>44802</v>
      </c>
      <c r="D812" s="11" t="s">
        <v>7943</v>
      </c>
      <c r="E812" s="11">
        <v>2</v>
      </c>
      <c r="F812" s="11" t="s">
        <v>46</v>
      </c>
      <c r="G812" s="11" t="s">
        <v>46</v>
      </c>
      <c r="H812" s="31" t="str" cm="1">
        <f t="array" ref="H812">_xlfn.IFS(
  ISBLANK(A812),"Missing Value",
  OR(E812&lt;1,E812&gt;5),"Review – Out of Range (Satisfaction)",
  ISNA(MATCH(B812,Customer_Master!$A$2:$A$1649,0)),"Retained – Unmatched ID (Anonymous Feedback Rule)",
  TRUE,"OK"
)</f>
        <v>Retained – Unmatched ID (Anonymous Feedback Rule)</v>
      </c>
      <c r="I812" s="17" t="b">
        <f>IF(COUNTIF(Customer_Master!$A:$A,B812)=0,TRUE,FALSE)</f>
        <v>1</v>
      </c>
    </row>
    <row r="813" spans="1:9" ht="16.8" x14ac:dyDescent="0.3">
      <c r="A813" s="14" t="s">
        <v>8994</v>
      </c>
      <c r="B813" s="14" t="s">
        <v>1185</v>
      </c>
      <c r="C813" s="15">
        <v>45255</v>
      </c>
      <c r="D813" s="14" t="s">
        <v>7928</v>
      </c>
      <c r="E813" s="14">
        <v>1</v>
      </c>
      <c r="F813" s="14" t="s">
        <v>46</v>
      </c>
      <c r="G813" s="14" t="s">
        <v>46</v>
      </c>
      <c r="H813" s="31" t="str" cm="1">
        <f t="array" ref="H813">_xlfn.IFS(
  ISBLANK(A813),"Missing Value",
  OR(E813&lt;1,E813&gt;5),"Review – Out of Range (Satisfaction)",
  ISNA(MATCH(B813,Customer_Master!$A$2:$A$1649,0)),"Retained – Unmatched ID (Anonymous Feedback Rule)",
  TRUE,"OK"
)</f>
        <v>OK</v>
      </c>
      <c r="I813" s="18" t="b">
        <f>IF(COUNTIF(Customer_Master!$A:$A,B813)=0,TRUE,FALSE)</f>
        <v>0</v>
      </c>
    </row>
    <row r="814" spans="1:9" ht="33.6" x14ac:dyDescent="0.3">
      <c r="A814" s="11" t="s">
        <v>8995</v>
      </c>
      <c r="B814" s="11" t="s">
        <v>8996</v>
      </c>
      <c r="C814" s="12">
        <v>44907</v>
      </c>
      <c r="D814" s="11" t="s">
        <v>7933</v>
      </c>
      <c r="E814" s="11">
        <v>3</v>
      </c>
      <c r="F814" s="11" t="s">
        <v>46</v>
      </c>
      <c r="G814" s="11" t="s">
        <v>46</v>
      </c>
      <c r="H814" s="31" t="str" cm="1">
        <f t="array" ref="H814">_xlfn.IFS(
  ISBLANK(A814),"Missing Value",
  OR(E814&lt;1,E814&gt;5),"Review – Out of Range (Satisfaction)",
  ISNA(MATCH(B814,Customer_Master!$A$2:$A$1649,0)),"Retained – Unmatched ID (Anonymous Feedback Rule)",
  TRUE,"OK"
)</f>
        <v>Retained – Unmatched ID (Anonymous Feedback Rule)</v>
      </c>
      <c r="I814" s="17" t="b">
        <f>IF(COUNTIF(Customer_Master!$A:$A,B814)=0,TRUE,FALSE)</f>
        <v>1</v>
      </c>
    </row>
    <row r="815" spans="1:9" ht="16.8" x14ac:dyDescent="0.3">
      <c r="A815" s="14" t="s">
        <v>8997</v>
      </c>
      <c r="B815" s="14" t="s">
        <v>1967</v>
      </c>
      <c r="C815" s="15">
        <v>45012</v>
      </c>
      <c r="D815" s="14" t="s">
        <v>7969</v>
      </c>
      <c r="E815" s="14">
        <v>1</v>
      </c>
      <c r="F815" s="14" t="s">
        <v>45</v>
      </c>
      <c r="G815" s="14" t="s">
        <v>45</v>
      </c>
      <c r="H815" s="31" t="str" cm="1">
        <f t="array" ref="H815">_xlfn.IFS(
  ISBLANK(A815),"Missing Value",
  OR(E815&lt;1,E815&gt;5),"Review – Out of Range (Satisfaction)",
  ISNA(MATCH(B815,Customer_Master!$A$2:$A$1649,0)),"Retained – Unmatched ID (Anonymous Feedback Rule)",
  TRUE,"OK"
)</f>
        <v>OK</v>
      </c>
      <c r="I815" s="18" t="b">
        <f>IF(COUNTIF(Customer_Master!$A:$A,B815)=0,TRUE,FALSE)</f>
        <v>0</v>
      </c>
    </row>
    <row r="816" spans="1:9" ht="33.6" x14ac:dyDescent="0.3">
      <c r="A816" s="11" t="s">
        <v>8998</v>
      </c>
      <c r="B816" s="11" t="s">
        <v>8999</v>
      </c>
      <c r="C816" s="12">
        <v>44192</v>
      </c>
      <c r="D816" s="11" t="s">
        <v>7978</v>
      </c>
      <c r="E816" s="11">
        <v>3</v>
      </c>
      <c r="F816" s="11" t="s">
        <v>46</v>
      </c>
      <c r="G816" s="11" t="s">
        <v>46</v>
      </c>
      <c r="H816" s="31" t="str" cm="1">
        <f t="array" ref="H816">_xlfn.IFS(
  ISBLANK(A816),"Missing Value",
  OR(E816&lt;1,E816&gt;5),"Review – Out of Range (Satisfaction)",
  ISNA(MATCH(B816,Customer_Master!$A$2:$A$1649,0)),"Retained – Unmatched ID (Anonymous Feedback Rule)",
  TRUE,"OK"
)</f>
        <v>Retained – Unmatched ID (Anonymous Feedback Rule)</v>
      </c>
      <c r="I816" s="17" t="b">
        <f>IF(COUNTIF(Customer_Master!$A:$A,B816)=0,TRUE,FALSE)</f>
        <v>1</v>
      </c>
    </row>
    <row r="817" spans="1:9" ht="33.6" x14ac:dyDescent="0.3">
      <c r="A817" s="14" t="s">
        <v>9000</v>
      </c>
      <c r="B817" s="14" t="s">
        <v>8345</v>
      </c>
      <c r="C817" s="15">
        <v>45148</v>
      </c>
      <c r="D817" s="14" t="s">
        <v>7978</v>
      </c>
      <c r="E817" s="14">
        <v>1</v>
      </c>
      <c r="F817" s="14" t="s">
        <v>46</v>
      </c>
      <c r="G817" s="14" t="s">
        <v>46</v>
      </c>
      <c r="H817" s="31" t="str" cm="1">
        <f t="array" ref="H817">_xlfn.IFS(
  ISBLANK(A817),"Missing Value",
  OR(E817&lt;1,E817&gt;5),"Review – Out of Range (Satisfaction)",
  ISNA(MATCH(B817,Customer_Master!$A$2:$A$1649,0)),"Retained – Unmatched ID (Anonymous Feedback Rule)",
  TRUE,"OK"
)</f>
        <v>Retained – Unmatched ID (Anonymous Feedback Rule)</v>
      </c>
      <c r="I817" s="18" t="b">
        <f>IF(COUNTIF(Customer_Master!$A:$A,B817)=0,TRUE,FALSE)</f>
        <v>1</v>
      </c>
    </row>
    <row r="818" spans="1:9" ht="33.6" x14ac:dyDescent="0.3">
      <c r="A818" s="11" t="s">
        <v>9001</v>
      </c>
      <c r="B818" s="11" t="s">
        <v>8363</v>
      </c>
      <c r="C818" s="12">
        <v>45145</v>
      </c>
      <c r="D818" s="11" t="s">
        <v>7943</v>
      </c>
      <c r="E818" s="11">
        <v>1</v>
      </c>
      <c r="F818" s="11" t="s">
        <v>46</v>
      </c>
      <c r="G818" s="11" t="s">
        <v>46</v>
      </c>
      <c r="H818" s="31" t="str" cm="1">
        <f t="array" ref="H818">_xlfn.IFS(
  ISBLANK(A818),"Missing Value",
  OR(E818&lt;1,E818&gt;5),"Review – Out of Range (Satisfaction)",
  ISNA(MATCH(B818,Customer_Master!$A$2:$A$1649,0)),"Retained – Unmatched ID (Anonymous Feedback Rule)",
  TRUE,"OK"
)</f>
        <v>Retained – Unmatched ID (Anonymous Feedback Rule)</v>
      </c>
      <c r="I818" s="17" t="b">
        <f>IF(COUNTIF(Customer_Master!$A:$A,B818)=0,TRUE,FALSE)</f>
        <v>1</v>
      </c>
    </row>
    <row r="819" spans="1:9" ht="16.8" x14ac:dyDescent="0.3">
      <c r="A819" s="14" t="s">
        <v>9002</v>
      </c>
      <c r="B819" s="14" t="s">
        <v>2593</v>
      </c>
      <c r="C819" s="15">
        <v>44894</v>
      </c>
      <c r="D819" s="14" t="s">
        <v>7940</v>
      </c>
      <c r="E819" s="14">
        <v>5</v>
      </c>
      <c r="F819" s="14" t="s">
        <v>45</v>
      </c>
      <c r="G819" s="14" t="s">
        <v>45</v>
      </c>
      <c r="H819" s="31" t="str" cm="1">
        <f t="array" ref="H819">_xlfn.IFS(
  ISBLANK(A819),"Missing Value",
  OR(E819&lt;1,E819&gt;5),"Review – Out of Range (Satisfaction)",
  ISNA(MATCH(B819,Customer_Master!$A$2:$A$1649,0)),"Retained – Unmatched ID (Anonymous Feedback Rule)",
  TRUE,"OK"
)</f>
        <v>OK</v>
      </c>
      <c r="I819" s="18" t="b">
        <f>IF(COUNTIF(Customer_Master!$A:$A,B819)=0,TRUE,FALSE)</f>
        <v>0</v>
      </c>
    </row>
    <row r="820" spans="1:9" ht="16.8" x14ac:dyDescent="0.3">
      <c r="A820" s="11" t="s">
        <v>9003</v>
      </c>
      <c r="B820" s="11" t="s">
        <v>2049</v>
      </c>
      <c r="C820" s="12">
        <v>44843</v>
      </c>
      <c r="D820" s="11" t="s">
        <v>7933</v>
      </c>
      <c r="E820" s="11">
        <v>2</v>
      </c>
      <c r="F820" s="11" t="s">
        <v>46</v>
      </c>
      <c r="G820" s="11" t="s">
        <v>45</v>
      </c>
      <c r="H820" s="31" t="str" cm="1">
        <f t="array" ref="H820">_xlfn.IFS(
  ISBLANK(A820),"Missing Value",
  OR(E820&lt;1,E820&gt;5),"Review – Out of Range (Satisfaction)",
  ISNA(MATCH(B820,Customer_Master!$A$2:$A$1649,0)),"Retained – Unmatched ID (Anonymous Feedback Rule)",
  TRUE,"OK"
)</f>
        <v>OK</v>
      </c>
      <c r="I820" s="17" t="b">
        <f>IF(COUNTIF(Customer_Master!$A:$A,B820)=0,TRUE,FALSE)</f>
        <v>0</v>
      </c>
    </row>
    <row r="821" spans="1:9" ht="16.8" x14ac:dyDescent="0.3">
      <c r="A821" s="14" t="s">
        <v>9004</v>
      </c>
      <c r="B821" s="14" t="s">
        <v>2331</v>
      </c>
      <c r="C821" s="15">
        <v>44402</v>
      </c>
      <c r="D821" s="14" t="s">
        <v>7978</v>
      </c>
      <c r="E821" s="14">
        <v>2</v>
      </c>
      <c r="F821" s="14" t="s">
        <v>45</v>
      </c>
      <c r="G821" s="14" t="s">
        <v>45</v>
      </c>
      <c r="H821" s="31" t="str" cm="1">
        <f t="array" ref="H821">_xlfn.IFS(
  ISBLANK(A821),"Missing Value",
  OR(E821&lt;1,E821&gt;5),"Review – Out of Range (Satisfaction)",
  ISNA(MATCH(B821,Customer_Master!$A$2:$A$1649,0)),"Retained – Unmatched ID (Anonymous Feedback Rule)",
  TRUE,"OK"
)</f>
        <v>OK</v>
      </c>
      <c r="I821" s="18" t="b">
        <f>IF(COUNTIF(Customer_Master!$A:$A,B821)=0,TRUE,FALSE)</f>
        <v>0</v>
      </c>
    </row>
    <row r="822" spans="1:9" ht="33.6" x14ac:dyDescent="0.3">
      <c r="A822" s="11" t="s">
        <v>9005</v>
      </c>
      <c r="B822" s="11" t="s">
        <v>8139</v>
      </c>
      <c r="C822" s="12">
        <v>44424</v>
      </c>
      <c r="D822" s="11" t="s">
        <v>7928</v>
      </c>
      <c r="E822" s="11">
        <v>1</v>
      </c>
      <c r="F822" s="11" t="s">
        <v>45</v>
      </c>
      <c r="G822" s="11" t="s">
        <v>45</v>
      </c>
      <c r="H822" s="31" t="str" cm="1">
        <f t="array" ref="H822">_xlfn.IFS(
  ISBLANK(A822),"Missing Value",
  OR(E822&lt;1,E822&gt;5),"Review – Out of Range (Satisfaction)",
  ISNA(MATCH(B822,Customer_Master!$A$2:$A$1649,0)),"Retained – Unmatched ID (Anonymous Feedback Rule)",
  TRUE,"OK"
)</f>
        <v>Retained – Unmatched ID (Anonymous Feedback Rule)</v>
      </c>
      <c r="I822" s="17" t="b">
        <f>IF(COUNTIF(Customer_Master!$A:$A,B822)=0,TRUE,FALSE)</f>
        <v>1</v>
      </c>
    </row>
    <row r="823" spans="1:9" ht="16.8" x14ac:dyDescent="0.3">
      <c r="A823" s="14" t="s">
        <v>9006</v>
      </c>
      <c r="B823" s="14" t="s">
        <v>2215</v>
      </c>
      <c r="C823" s="15">
        <v>44579</v>
      </c>
      <c r="D823" s="14" t="s">
        <v>7935</v>
      </c>
      <c r="E823" s="14">
        <v>5</v>
      </c>
      <c r="F823" s="14" t="s">
        <v>45</v>
      </c>
      <c r="G823" s="14" t="s">
        <v>45</v>
      </c>
      <c r="H823" s="31" t="str" cm="1">
        <f t="array" ref="H823">_xlfn.IFS(
  ISBLANK(A823),"Missing Value",
  OR(E823&lt;1,E823&gt;5),"Review – Out of Range (Satisfaction)",
  ISNA(MATCH(B823,Customer_Master!$A$2:$A$1649,0)),"Retained – Unmatched ID (Anonymous Feedback Rule)",
  TRUE,"OK"
)</f>
        <v>OK</v>
      </c>
      <c r="I823" s="18" t="b">
        <f>IF(COUNTIF(Customer_Master!$A:$A,B823)=0,TRUE,FALSE)</f>
        <v>0</v>
      </c>
    </row>
    <row r="824" spans="1:9" ht="16.8" x14ac:dyDescent="0.3">
      <c r="A824" s="11" t="s">
        <v>9007</v>
      </c>
      <c r="B824" s="11" t="s">
        <v>613</v>
      </c>
      <c r="C824" s="12">
        <v>44805</v>
      </c>
      <c r="D824" s="11" t="s">
        <v>7947</v>
      </c>
      <c r="E824" s="11">
        <v>4</v>
      </c>
      <c r="F824" s="11" t="s">
        <v>46</v>
      </c>
      <c r="G824" s="11" t="s">
        <v>45</v>
      </c>
      <c r="H824" s="31" t="str" cm="1">
        <f t="array" ref="H824">_xlfn.IFS(
  ISBLANK(A824),"Missing Value",
  OR(E824&lt;1,E824&gt;5),"Review – Out of Range (Satisfaction)",
  ISNA(MATCH(B824,Customer_Master!$A$2:$A$1649,0)),"Retained – Unmatched ID (Anonymous Feedback Rule)",
  TRUE,"OK"
)</f>
        <v>OK</v>
      </c>
      <c r="I824" s="17" t="b">
        <f>IF(COUNTIF(Customer_Master!$A:$A,B824)=0,TRUE,FALSE)</f>
        <v>0</v>
      </c>
    </row>
    <row r="825" spans="1:9" ht="33.6" x14ac:dyDescent="0.3">
      <c r="A825" s="14" t="s">
        <v>9008</v>
      </c>
      <c r="B825" s="14" t="s">
        <v>9009</v>
      </c>
      <c r="C825" s="15">
        <v>44364</v>
      </c>
      <c r="D825" s="14" t="s">
        <v>7940</v>
      </c>
      <c r="E825" s="14">
        <v>4</v>
      </c>
      <c r="F825" s="14" t="s">
        <v>46</v>
      </c>
      <c r="G825" s="14" t="s">
        <v>46</v>
      </c>
      <c r="H825" s="31" t="str" cm="1">
        <f t="array" ref="H825">_xlfn.IFS(
  ISBLANK(A825),"Missing Value",
  OR(E825&lt;1,E825&gt;5),"Review – Out of Range (Satisfaction)",
  ISNA(MATCH(B825,Customer_Master!$A$2:$A$1649,0)),"Retained – Unmatched ID (Anonymous Feedback Rule)",
  TRUE,"OK"
)</f>
        <v>Retained – Unmatched ID (Anonymous Feedback Rule)</v>
      </c>
      <c r="I825" s="18" t="b">
        <f>IF(COUNTIF(Customer_Master!$A:$A,B825)=0,TRUE,FALSE)</f>
        <v>1</v>
      </c>
    </row>
    <row r="826" spans="1:9" ht="33.6" x14ac:dyDescent="0.3">
      <c r="A826" s="11" t="s">
        <v>9010</v>
      </c>
      <c r="B826" s="11" t="s">
        <v>7994</v>
      </c>
      <c r="C826" s="12">
        <v>44810</v>
      </c>
      <c r="D826" s="11" t="s">
        <v>7947</v>
      </c>
      <c r="E826" s="11">
        <v>3</v>
      </c>
      <c r="F826" s="11" t="s">
        <v>45</v>
      </c>
      <c r="G826" s="11" t="s">
        <v>46</v>
      </c>
      <c r="H826" s="31" t="str" cm="1">
        <f t="array" ref="H826">_xlfn.IFS(
  ISBLANK(A826),"Missing Value",
  OR(E826&lt;1,E826&gt;5),"Review – Out of Range (Satisfaction)",
  ISNA(MATCH(B826,Customer_Master!$A$2:$A$1649,0)),"Retained – Unmatched ID (Anonymous Feedback Rule)",
  TRUE,"OK"
)</f>
        <v>Retained – Unmatched ID (Anonymous Feedback Rule)</v>
      </c>
      <c r="I826" s="17" t="b">
        <f>IF(COUNTIF(Customer_Master!$A:$A,B826)=0,TRUE,FALSE)</f>
        <v>1</v>
      </c>
    </row>
    <row r="827" spans="1:9" ht="16.8" x14ac:dyDescent="0.3">
      <c r="A827" s="14" t="s">
        <v>9011</v>
      </c>
      <c r="B827" s="14" t="s">
        <v>1711</v>
      </c>
      <c r="C827" s="15">
        <v>44619</v>
      </c>
      <c r="D827" s="14" t="s">
        <v>7978</v>
      </c>
      <c r="E827" s="14">
        <v>1</v>
      </c>
      <c r="F827" s="14" t="s">
        <v>45</v>
      </c>
      <c r="G827" s="14" t="s">
        <v>45</v>
      </c>
      <c r="H827" s="31" t="str" cm="1">
        <f t="array" ref="H827">_xlfn.IFS(
  ISBLANK(A827),"Missing Value",
  OR(E827&lt;1,E827&gt;5),"Review – Out of Range (Satisfaction)",
  ISNA(MATCH(B827,Customer_Master!$A$2:$A$1649,0)),"Retained – Unmatched ID (Anonymous Feedback Rule)",
  TRUE,"OK"
)</f>
        <v>OK</v>
      </c>
      <c r="I827" s="18" t="b">
        <f>IF(COUNTIF(Customer_Master!$A:$A,B827)=0,TRUE,FALSE)</f>
        <v>0</v>
      </c>
    </row>
    <row r="828" spans="1:9" ht="16.8" x14ac:dyDescent="0.3">
      <c r="A828" s="11" t="s">
        <v>9012</v>
      </c>
      <c r="B828" s="11" t="s">
        <v>1781</v>
      </c>
      <c r="C828" s="12">
        <v>45154</v>
      </c>
      <c r="D828" s="11" t="s">
        <v>7931</v>
      </c>
      <c r="E828" s="11">
        <v>4</v>
      </c>
      <c r="F828" s="11" t="s">
        <v>46</v>
      </c>
      <c r="G828" s="11" t="s">
        <v>45</v>
      </c>
      <c r="H828" s="31" t="str" cm="1">
        <f t="array" ref="H828">_xlfn.IFS(
  ISBLANK(A828),"Missing Value",
  OR(E828&lt;1,E828&gt;5),"Review – Out of Range (Satisfaction)",
  ISNA(MATCH(B828,Customer_Master!$A$2:$A$1649,0)),"Retained – Unmatched ID (Anonymous Feedback Rule)",
  TRUE,"OK"
)</f>
        <v>OK</v>
      </c>
      <c r="I828" s="17" t="b">
        <f>IF(COUNTIF(Customer_Master!$A:$A,B828)=0,TRUE,FALSE)</f>
        <v>0</v>
      </c>
    </row>
    <row r="829" spans="1:9" ht="16.8" x14ac:dyDescent="0.3">
      <c r="A829" s="14" t="s">
        <v>9013</v>
      </c>
      <c r="B829" s="14" t="s">
        <v>673</v>
      </c>
      <c r="C829" s="15">
        <v>44388</v>
      </c>
      <c r="D829" s="14" t="s">
        <v>7928</v>
      </c>
      <c r="E829" s="14">
        <v>1</v>
      </c>
      <c r="F829" s="14" t="s">
        <v>45</v>
      </c>
      <c r="G829" s="14" t="s">
        <v>46</v>
      </c>
      <c r="H829" s="31" t="str" cm="1">
        <f t="array" ref="H829">_xlfn.IFS(
  ISBLANK(A829),"Missing Value",
  OR(E829&lt;1,E829&gt;5),"Review – Out of Range (Satisfaction)",
  ISNA(MATCH(B829,Customer_Master!$A$2:$A$1649,0)),"Retained – Unmatched ID (Anonymous Feedback Rule)",
  TRUE,"OK"
)</f>
        <v>OK</v>
      </c>
      <c r="I829" s="18" t="b">
        <f>IF(COUNTIF(Customer_Master!$A:$A,B829)=0,TRUE,FALSE)</f>
        <v>0</v>
      </c>
    </row>
    <row r="830" spans="1:9" ht="16.8" x14ac:dyDescent="0.3">
      <c r="A830" s="11" t="s">
        <v>9014</v>
      </c>
      <c r="B830" s="11" t="s">
        <v>745</v>
      </c>
      <c r="C830" s="12">
        <v>44174</v>
      </c>
      <c r="D830" s="11" t="s">
        <v>7937</v>
      </c>
      <c r="E830" s="11">
        <v>5</v>
      </c>
      <c r="F830" s="11" t="s">
        <v>45</v>
      </c>
      <c r="G830" s="11" t="s">
        <v>45</v>
      </c>
      <c r="H830" s="31" t="str" cm="1">
        <f t="array" ref="H830">_xlfn.IFS(
  ISBLANK(A830),"Missing Value",
  OR(E830&lt;1,E830&gt;5),"Review – Out of Range (Satisfaction)",
  ISNA(MATCH(B830,Customer_Master!$A$2:$A$1649,0)),"Retained – Unmatched ID (Anonymous Feedback Rule)",
  TRUE,"OK"
)</f>
        <v>OK</v>
      </c>
      <c r="I830" s="17" t="b">
        <f>IF(COUNTIF(Customer_Master!$A:$A,B830)=0,TRUE,FALSE)</f>
        <v>0</v>
      </c>
    </row>
    <row r="831" spans="1:9" ht="16.8" x14ac:dyDescent="0.3">
      <c r="A831" s="14" t="s">
        <v>9015</v>
      </c>
      <c r="B831" s="14" t="s">
        <v>2101</v>
      </c>
      <c r="C831" s="15">
        <v>44067</v>
      </c>
      <c r="D831" s="14" t="s">
        <v>7931</v>
      </c>
      <c r="E831" s="14">
        <v>5</v>
      </c>
      <c r="F831" s="14" t="s">
        <v>46</v>
      </c>
      <c r="G831" s="14" t="s">
        <v>46</v>
      </c>
      <c r="H831" s="31" t="str" cm="1">
        <f t="array" ref="H831">_xlfn.IFS(
  ISBLANK(A831),"Missing Value",
  OR(E831&lt;1,E831&gt;5),"Review – Out of Range (Satisfaction)",
  ISNA(MATCH(B831,Customer_Master!$A$2:$A$1649,0)),"Retained – Unmatched ID (Anonymous Feedback Rule)",
  TRUE,"OK"
)</f>
        <v>OK</v>
      </c>
      <c r="I831" s="18" t="b">
        <f>IF(COUNTIF(Customer_Master!$A:$A,B831)=0,TRUE,FALSE)</f>
        <v>0</v>
      </c>
    </row>
    <row r="832" spans="1:9" ht="16.8" x14ac:dyDescent="0.3">
      <c r="A832" s="11" t="s">
        <v>9016</v>
      </c>
      <c r="B832" s="11" t="s">
        <v>310</v>
      </c>
      <c r="C832" s="12">
        <v>44306</v>
      </c>
      <c r="D832" s="11" t="s">
        <v>7937</v>
      </c>
      <c r="E832" s="11">
        <v>5</v>
      </c>
      <c r="F832" s="11" t="s">
        <v>46</v>
      </c>
      <c r="G832" s="11" t="s">
        <v>45</v>
      </c>
      <c r="H832" s="31" t="str" cm="1">
        <f t="array" ref="H832">_xlfn.IFS(
  ISBLANK(A832),"Missing Value",
  OR(E832&lt;1,E832&gt;5),"Review – Out of Range (Satisfaction)",
  ISNA(MATCH(B832,Customer_Master!$A$2:$A$1649,0)),"Retained – Unmatched ID (Anonymous Feedback Rule)",
  TRUE,"OK"
)</f>
        <v>OK</v>
      </c>
      <c r="I832" s="17" t="b">
        <f>IF(COUNTIF(Customer_Master!$A:$A,B832)=0,TRUE,FALSE)</f>
        <v>0</v>
      </c>
    </row>
    <row r="833" spans="1:9" ht="33.6" x14ac:dyDescent="0.3">
      <c r="A833" s="14" t="s">
        <v>9017</v>
      </c>
      <c r="B833" s="14" t="s">
        <v>9018</v>
      </c>
      <c r="C833" s="15">
        <v>44930</v>
      </c>
      <c r="D833" s="14" t="s">
        <v>7947</v>
      </c>
      <c r="E833" s="14">
        <v>3</v>
      </c>
      <c r="F833" s="14" t="s">
        <v>46</v>
      </c>
      <c r="G833" s="14" t="s">
        <v>45</v>
      </c>
      <c r="H833" s="31" t="str" cm="1">
        <f t="array" ref="H833">_xlfn.IFS(
  ISBLANK(A833),"Missing Value",
  OR(E833&lt;1,E833&gt;5),"Review – Out of Range (Satisfaction)",
  ISNA(MATCH(B833,Customer_Master!$A$2:$A$1649,0)),"Retained – Unmatched ID (Anonymous Feedback Rule)",
  TRUE,"OK"
)</f>
        <v>Retained – Unmatched ID (Anonymous Feedback Rule)</v>
      </c>
      <c r="I833" s="18" t="b">
        <f>IF(COUNTIF(Customer_Master!$A:$A,B833)=0,TRUE,FALSE)</f>
        <v>1</v>
      </c>
    </row>
    <row r="834" spans="1:9" ht="16.8" x14ac:dyDescent="0.3">
      <c r="A834" s="11" t="s">
        <v>9019</v>
      </c>
      <c r="B834" s="11" t="s">
        <v>755</v>
      </c>
      <c r="C834" s="12">
        <v>44383</v>
      </c>
      <c r="D834" s="11" t="s">
        <v>7947</v>
      </c>
      <c r="E834" s="11">
        <v>3</v>
      </c>
      <c r="F834" s="11" t="s">
        <v>46</v>
      </c>
      <c r="G834" s="11" t="s">
        <v>46</v>
      </c>
      <c r="H834" s="31" t="str" cm="1">
        <f t="array" ref="H834">_xlfn.IFS(
  ISBLANK(A834),"Missing Value",
  OR(E834&lt;1,E834&gt;5),"Review – Out of Range (Satisfaction)",
  ISNA(MATCH(B834,Customer_Master!$A$2:$A$1649,0)),"Retained – Unmatched ID (Anonymous Feedback Rule)",
  TRUE,"OK"
)</f>
        <v>OK</v>
      </c>
      <c r="I834" s="17" t="b">
        <f>IF(COUNTIF(Customer_Master!$A:$A,B834)=0,TRUE,FALSE)</f>
        <v>0</v>
      </c>
    </row>
    <row r="835" spans="1:9" ht="16.8" x14ac:dyDescent="0.3">
      <c r="A835" s="14" t="s">
        <v>9020</v>
      </c>
      <c r="B835" s="14" t="s">
        <v>2011</v>
      </c>
      <c r="C835" s="15">
        <v>45138</v>
      </c>
      <c r="D835" s="14" t="s">
        <v>7933</v>
      </c>
      <c r="E835" s="14">
        <v>3</v>
      </c>
      <c r="F835" s="14" t="s">
        <v>45</v>
      </c>
      <c r="G835" s="14" t="s">
        <v>45</v>
      </c>
      <c r="H835" s="31" t="str" cm="1">
        <f t="array" ref="H835">_xlfn.IFS(
  ISBLANK(A835),"Missing Value",
  OR(E835&lt;1,E835&gt;5),"Review – Out of Range (Satisfaction)",
  ISNA(MATCH(B835,Customer_Master!$A$2:$A$1649,0)),"Retained – Unmatched ID (Anonymous Feedback Rule)",
  TRUE,"OK"
)</f>
        <v>OK</v>
      </c>
      <c r="I835" s="18" t="b">
        <f>IF(COUNTIF(Customer_Master!$A:$A,B835)=0,TRUE,FALSE)</f>
        <v>0</v>
      </c>
    </row>
    <row r="836" spans="1:9" ht="33.6" x14ac:dyDescent="0.3">
      <c r="A836" s="11" t="s">
        <v>9021</v>
      </c>
      <c r="B836" s="11" t="s">
        <v>9022</v>
      </c>
      <c r="C836" s="12">
        <v>44236</v>
      </c>
      <c r="D836" s="11" t="s">
        <v>7978</v>
      </c>
      <c r="E836" s="11">
        <v>2</v>
      </c>
      <c r="F836" s="11" t="s">
        <v>46</v>
      </c>
      <c r="G836" s="11" t="s">
        <v>46</v>
      </c>
      <c r="H836" s="31" t="str" cm="1">
        <f t="array" ref="H836">_xlfn.IFS(
  ISBLANK(A836),"Missing Value",
  OR(E836&lt;1,E836&gt;5),"Review – Out of Range (Satisfaction)",
  ISNA(MATCH(B836,Customer_Master!$A$2:$A$1649,0)),"Retained – Unmatched ID (Anonymous Feedback Rule)",
  TRUE,"OK"
)</f>
        <v>Retained – Unmatched ID (Anonymous Feedback Rule)</v>
      </c>
      <c r="I836" s="17" t="b">
        <f>IF(COUNTIF(Customer_Master!$A:$A,B836)=0,TRUE,FALSE)</f>
        <v>1</v>
      </c>
    </row>
    <row r="837" spans="1:9" ht="16.8" x14ac:dyDescent="0.3">
      <c r="A837" s="14" t="s">
        <v>9023</v>
      </c>
      <c r="B837" s="14" t="s">
        <v>2497</v>
      </c>
      <c r="C837" s="15">
        <v>44959</v>
      </c>
      <c r="D837" s="14" t="s">
        <v>7933</v>
      </c>
      <c r="E837" s="14">
        <v>2</v>
      </c>
      <c r="F837" s="14" t="s">
        <v>45</v>
      </c>
      <c r="G837" s="14" t="s">
        <v>45</v>
      </c>
      <c r="H837" s="31" t="str" cm="1">
        <f t="array" ref="H837">_xlfn.IFS(
  ISBLANK(A837),"Missing Value",
  OR(E837&lt;1,E837&gt;5),"Review – Out of Range (Satisfaction)",
  ISNA(MATCH(B837,Customer_Master!$A$2:$A$1649,0)),"Retained – Unmatched ID (Anonymous Feedback Rule)",
  TRUE,"OK"
)</f>
        <v>OK</v>
      </c>
      <c r="I837" s="18" t="b">
        <f>IF(COUNTIF(Customer_Master!$A:$A,B837)=0,TRUE,FALSE)</f>
        <v>0</v>
      </c>
    </row>
    <row r="838" spans="1:9" ht="33.6" x14ac:dyDescent="0.3">
      <c r="A838" s="11" t="s">
        <v>9024</v>
      </c>
      <c r="B838" s="11" t="s">
        <v>9025</v>
      </c>
      <c r="C838" s="12">
        <v>44573</v>
      </c>
      <c r="D838" s="11" t="s">
        <v>7933</v>
      </c>
      <c r="E838" s="11">
        <v>2</v>
      </c>
      <c r="F838" s="11" t="s">
        <v>45</v>
      </c>
      <c r="G838" s="11" t="s">
        <v>46</v>
      </c>
      <c r="H838" s="31" t="str" cm="1">
        <f t="array" ref="H838">_xlfn.IFS(
  ISBLANK(A838),"Missing Value",
  OR(E838&lt;1,E838&gt;5),"Review – Out of Range (Satisfaction)",
  ISNA(MATCH(B838,Customer_Master!$A$2:$A$1649,0)),"Retained – Unmatched ID (Anonymous Feedback Rule)",
  TRUE,"OK"
)</f>
        <v>Retained – Unmatched ID (Anonymous Feedback Rule)</v>
      </c>
      <c r="I838" s="17" t="b">
        <f>IF(COUNTIF(Customer_Master!$A:$A,B838)=0,TRUE,FALSE)</f>
        <v>1</v>
      </c>
    </row>
    <row r="839" spans="1:9" ht="33.6" x14ac:dyDescent="0.3">
      <c r="A839" s="14" t="s">
        <v>9026</v>
      </c>
      <c r="B839" s="14" t="s">
        <v>9027</v>
      </c>
      <c r="C839" s="15">
        <v>44881</v>
      </c>
      <c r="D839" s="14" t="s">
        <v>7933</v>
      </c>
      <c r="E839" s="14">
        <v>3</v>
      </c>
      <c r="F839" s="14" t="s">
        <v>46</v>
      </c>
      <c r="G839" s="14" t="s">
        <v>45</v>
      </c>
      <c r="H839" s="31" t="str" cm="1">
        <f t="array" ref="H839">_xlfn.IFS(
  ISBLANK(A839),"Missing Value",
  OR(E839&lt;1,E839&gt;5),"Review – Out of Range (Satisfaction)",
  ISNA(MATCH(B839,Customer_Master!$A$2:$A$1649,0)),"Retained – Unmatched ID (Anonymous Feedback Rule)",
  TRUE,"OK"
)</f>
        <v>Retained – Unmatched ID (Anonymous Feedback Rule)</v>
      </c>
      <c r="I839" s="18" t="b">
        <f>IF(COUNTIF(Customer_Master!$A:$A,B839)=0,TRUE,FALSE)</f>
        <v>1</v>
      </c>
    </row>
    <row r="840" spans="1:9" ht="33.6" x14ac:dyDescent="0.3">
      <c r="A840" s="11" t="s">
        <v>9028</v>
      </c>
      <c r="B840" s="11" t="s">
        <v>9029</v>
      </c>
      <c r="C840" s="12">
        <v>45229</v>
      </c>
      <c r="D840" s="11" t="s">
        <v>7940</v>
      </c>
      <c r="E840" s="11">
        <v>5</v>
      </c>
      <c r="F840" s="11" t="s">
        <v>46</v>
      </c>
      <c r="G840" s="11" t="s">
        <v>46</v>
      </c>
      <c r="H840" s="31" t="str" cm="1">
        <f t="array" ref="H840">_xlfn.IFS(
  ISBLANK(A840),"Missing Value",
  OR(E840&lt;1,E840&gt;5),"Review – Out of Range (Satisfaction)",
  ISNA(MATCH(B840,Customer_Master!$A$2:$A$1649,0)),"Retained – Unmatched ID (Anonymous Feedback Rule)",
  TRUE,"OK"
)</f>
        <v>Retained – Unmatched ID (Anonymous Feedback Rule)</v>
      </c>
      <c r="I840" s="17" t="b">
        <f>IF(COUNTIF(Customer_Master!$A:$A,B840)=0,TRUE,FALSE)</f>
        <v>1</v>
      </c>
    </row>
    <row r="841" spans="1:9" ht="16.8" x14ac:dyDescent="0.3">
      <c r="A841" s="14" t="s">
        <v>9030</v>
      </c>
      <c r="B841" s="14" t="s">
        <v>725</v>
      </c>
      <c r="C841" s="15">
        <v>43839</v>
      </c>
      <c r="D841" s="14" t="s">
        <v>7947</v>
      </c>
      <c r="E841" s="14">
        <v>5</v>
      </c>
      <c r="F841" s="14" t="s">
        <v>46</v>
      </c>
      <c r="G841" s="14" t="s">
        <v>45</v>
      </c>
      <c r="H841" s="31" t="str" cm="1">
        <f t="array" ref="H841">_xlfn.IFS(
  ISBLANK(A841),"Missing Value",
  OR(E841&lt;1,E841&gt;5),"Review – Out of Range (Satisfaction)",
  ISNA(MATCH(B841,Customer_Master!$A$2:$A$1649,0)),"Retained – Unmatched ID (Anonymous Feedback Rule)",
  TRUE,"OK"
)</f>
        <v>OK</v>
      </c>
      <c r="I841" s="18" t="b">
        <f>IF(COUNTIF(Customer_Master!$A:$A,B841)=0,TRUE,FALSE)</f>
        <v>0</v>
      </c>
    </row>
    <row r="842" spans="1:9" ht="33.6" x14ac:dyDescent="0.3">
      <c r="A842" s="11" t="s">
        <v>9031</v>
      </c>
      <c r="B842" s="11" t="s">
        <v>9032</v>
      </c>
      <c r="C842" s="12">
        <v>43924</v>
      </c>
      <c r="D842" s="11" t="s">
        <v>7940</v>
      </c>
      <c r="E842" s="11">
        <v>5</v>
      </c>
      <c r="F842" s="11" t="s">
        <v>46</v>
      </c>
      <c r="G842" s="11" t="s">
        <v>45</v>
      </c>
      <c r="H842" s="31" t="str" cm="1">
        <f t="array" ref="H842">_xlfn.IFS(
  ISBLANK(A842),"Missing Value",
  OR(E842&lt;1,E842&gt;5),"Review – Out of Range (Satisfaction)",
  ISNA(MATCH(B842,Customer_Master!$A$2:$A$1649,0)),"Retained – Unmatched ID (Anonymous Feedback Rule)",
  TRUE,"OK"
)</f>
        <v>Retained – Unmatched ID (Anonymous Feedback Rule)</v>
      </c>
      <c r="I842" s="17" t="b">
        <f>IF(COUNTIF(Customer_Master!$A:$A,B842)=0,TRUE,FALSE)</f>
        <v>1</v>
      </c>
    </row>
    <row r="843" spans="1:9" ht="16.8" x14ac:dyDescent="0.3">
      <c r="A843" s="14" t="s">
        <v>9033</v>
      </c>
      <c r="B843" s="14" t="s">
        <v>1291</v>
      </c>
      <c r="C843" s="15">
        <v>45063</v>
      </c>
      <c r="D843" s="14" t="s">
        <v>7935</v>
      </c>
      <c r="E843" s="14">
        <v>5</v>
      </c>
      <c r="F843" s="14" t="s">
        <v>46</v>
      </c>
      <c r="G843" s="14" t="s">
        <v>45</v>
      </c>
      <c r="H843" s="31" t="str" cm="1">
        <f t="array" ref="H843">_xlfn.IFS(
  ISBLANK(A843),"Missing Value",
  OR(E843&lt;1,E843&gt;5),"Review – Out of Range (Satisfaction)",
  ISNA(MATCH(B843,Customer_Master!$A$2:$A$1649,0)),"Retained – Unmatched ID (Anonymous Feedback Rule)",
  TRUE,"OK"
)</f>
        <v>OK</v>
      </c>
      <c r="I843" s="18" t="b">
        <f>IF(COUNTIF(Customer_Master!$A:$A,B843)=0,TRUE,FALSE)</f>
        <v>0</v>
      </c>
    </row>
    <row r="844" spans="1:9" ht="33.6" x14ac:dyDescent="0.3">
      <c r="A844" s="11" t="s">
        <v>9034</v>
      </c>
      <c r="B844" s="11" t="s">
        <v>9035</v>
      </c>
      <c r="C844" s="12">
        <v>44877</v>
      </c>
      <c r="D844" s="11" t="s">
        <v>7978</v>
      </c>
      <c r="E844" s="11">
        <v>1</v>
      </c>
      <c r="F844" s="11" t="s">
        <v>46</v>
      </c>
      <c r="G844" s="11" t="s">
        <v>46</v>
      </c>
      <c r="H844" s="31" t="str" cm="1">
        <f t="array" ref="H844">_xlfn.IFS(
  ISBLANK(A844),"Missing Value",
  OR(E844&lt;1,E844&gt;5),"Review – Out of Range (Satisfaction)",
  ISNA(MATCH(B844,Customer_Master!$A$2:$A$1649,0)),"Retained – Unmatched ID (Anonymous Feedback Rule)",
  TRUE,"OK"
)</f>
        <v>Retained – Unmatched ID (Anonymous Feedback Rule)</v>
      </c>
      <c r="I844" s="17" t="b">
        <f>IF(COUNTIF(Customer_Master!$A:$A,B844)=0,TRUE,FALSE)</f>
        <v>1</v>
      </c>
    </row>
    <row r="845" spans="1:9" ht="16.8" x14ac:dyDescent="0.3">
      <c r="A845" s="14" t="s">
        <v>9036</v>
      </c>
      <c r="B845" s="14" t="s">
        <v>3028</v>
      </c>
      <c r="C845" s="15">
        <v>44851</v>
      </c>
      <c r="D845" s="14" t="s">
        <v>7940</v>
      </c>
      <c r="E845" s="14">
        <v>4</v>
      </c>
      <c r="F845" s="14" t="s">
        <v>46</v>
      </c>
      <c r="G845" s="14" t="s">
        <v>45</v>
      </c>
      <c r="H845" s="31" t="str" cm="1">
        <f t="array" ref="H845">_xlfn.IFS(
  ISBLANK(A845),"Missing Value",
  OR(E845&lt;1,E845&gt;5),"Review – Out of Range (Satisfaction)",
  ISNA(MATCH(B845,Customer_Master!$A$2:$A$1649,0)),"Retained – Unmatched ID (Anonymous Feedback Rule)",
  TRUE,"OK"
)</f>
        <v>OK</v>
      </c>
      <c r="I845" s="18" t="b">
        <f>IF(COUNTIF(Customer_Master!$A:$A,B845)=0,TRUE,FALSE)</f>
        <v>0</v>
      </c>
    </row>
    <row r="846" spans="1:9" ht="16.8" x14ac:dyDescent="0.3">
      <c r="A846" s="11" t="s">
        <v>9037</v>
      </c>
      <c r="B846" s="11" t="s">
        <v>1417</v>
      </c>
      <c r="C846" s="12">
        <v>44982</v>
      </c>
      <c r="D846" s="11" t="s">
        <v>7969</v>
      </c>
      <c r="E846" s="11">
        <v>1</v>
      </c>
      <c r="F846" s="11" t="s">
        <v>45</v>
      </c>
      <c r="G846" s="11" t="s">
        <v>46</v>
      </c>
      <c r="H846" s="31" t="str" cm="1">
        <f t="array" ref="H846">_xlfn.IFS(
  ISBLANK(A846),"Missing Value",
  OR(E846&lt;1,E846&gt;5),"Review – Out of Range (Satisfaction)",
  ISNA(MATCH(B846,Customer_Master!$A$2:$A$1649,0)),"Retained – Unmatched ID (Anonymous Feedback Rule)",
  TRUE,"OK"
)</f>
        <v>OK</v>
      </c>
      <c r="I846" s="17" t="b">
        <f>IF(COUNTIF(Customer_Master!$A:$A,B846)=0,TRUE,FALSE)</f>
        <v>0</v>
      </c>
    </row>
    <row r="847" spans="1:9" ht="16.8" x14ac:dyDescent="0.3">
      <c r="A847" s="14" t="s">
        <v>9038</v>
      </c>
      <c r="B847" s="14" t="s">
        <v>1691</v>
      </c>
      <c r="C847" s="15">
        <v>44111</v>
      </c>
      <c r="D847" s="14" t="s">
        <v>7947</v>
      </c>
      <c r="E847" s="14">
        <v>3</v>
      </c>
      <c r="F847" s="14" t="s">
        <v>45</v>
      </c>
      <c r="G847" s="14" t="s">
        <v>46</v>
      </c>
      <c r="H847" s="31" t="str" cm="1">
        <f t="array" ref="H847">_xlfn.IFS(
  ISBLANK(A847),"Missing Value",
  OR(E847&lt;1,E847&gt;5),"Review – Out of Range (Satisfaction)",
  ISNA(MATCH(B847,Customer_Master!$A$2:$A$1649,0)),"Retained – Unmatched ID (Anonymous Feedback Rule)",
  TRUE,"OK"
)</f>
        <v>OK</v>
      </c>
      <c r="I847" s="18" t="b">
        <f>IF(COUNTIF(Customer_Master!$A:$A,B847)=0,TRUE,FALSE)</f>
        <v>0</v>
      </c>
    </row>
    <row r="848" spans="1:9" ht="33.6" x14ac:dyDescent="0.3">
      <c r="A848" s="11" t="s">
        <v>9039</v>
      </c>
      <c r="B848" s="11" t="s">
        <v>9040</v>
      </c>
      <c r="C848" s="12">
        <v>44459</v>
      </c>
      <c r="D848" s="11" t="s">
        <v>7940</v>
      </c>
      <c r="E848" s="11">
        <v>4</v>
      </c>
      <c r="F848" s="11" t="s">
        <v>46</v>
      </c>
      <c r="G848" s="11" t="s">
        <v>45</v>
      </c>
      <c r="H848" s="31" t="str" cm="1">
        <f t="array" ref="H848">_xlfn.IFS(
  ISBLANK(A848),"Missing Value",
  OR(E848&lt;1,E848&gt;5),"Review – Out of Range (Satisfaction)",
  ISNA(MATCH(B848,Customer_Master!$A$2:$A$1649,0)),"Retained – Unmatched ID (Anonymous Feedback Rule)",
  TRUE,"OK"
)</f>
        <v>Retained – Unmatched ID (Anonymous Feedback Rule)</v>
      </c>
      <c r="I848" s="17" t="b">
        <f>IF(COUNTIF(Customer_Master!$A:$A,B848)=0,TRUE,FALSE)</f>
        <v>1</v>
      </c>
    </row>
    <row r="849" spans="1:9" ht="33.6" x14ac:dyDescent="0.3">
      <c r="A849" s="14" t="s">
        <v>9041</v>
      </c>
      <c r="B849" s="14" t="s">
        <v>9042</v>
      </c>
      <c r="C849" s="15">
        <v>44416</v>
      </c>
      <c r="D849" s="14" t="s">
        <v>7931</v>
      </c>
      <c r="E849" s="14">
        <v>5</v>
      </c>
      <c r="F849" s="14" t="s">
        <v>45</v>
      </c>
      <c r="G849" s="14" t="s">
        <v>46</v>
      </c>
      <c r="H849" s="31" t="str" cm="1">
        <f t="array" ref="H849">_xlfn.IFS(
  ISBLANK(A849),"Missing Value",
  OR(E849&lt;1,E849&gt;5),"Review – Out of Range (Satisfaction)",
  ISNA(MATCH(B849,Customer_Master!$A$2:$A$1649,0)),"Retained – Unmatched ID (Anonymous Feedback Rule)",
  TRUE,"OK"
)</f>
        <v>Retained – Unmatched ID (Anonymous Feedback Rule)</v>
      </c>
      <c r="I849" s="18" t="b">
        <f>IF(COUNTIF(Customer_Master!$A:$A,B849)=0,TRUE,FALSE)</f>
        <v>1</v>
      </c>
    </row>
    <row r="850" spans="1:9" ht="33.6" x14ac:dyDescent="0.3">
      <c r="A850" s="11" t="s">
        <v>9043</v>
      </c>
      <c r="B850" s="11" t="s">
        <v>9044</v>
      </c>
      <c r="C850" s="12">
        <v>44542</v>
      </c>
      <c r="D850" s="11" t="s">
        <v>7935</v>
      </c>
      <c r="E850" s="11">
        <v>5</v>
      </c>
      <c r="F850" s="11" t="s">
        <v>46</v>
      </c>
      <c r="G850" s="11" t="s">
        <v>45</v>
      </c>
      <c r="H850" s="31" t="str" cm="1">
        <f t="array" ref="H850">_xlfn.IFS(
  ISBLANK(A850),"Missing Value",
  OR(E850&lt;1,E850&gt;5),"Review – Out of Range (Satisfaction)",
  ISNA(MATCH(B850,Customer_Master!$A$2:$A$1649,0)),"Retained – Unmatched ID (Anonymous Feedback Rule)",
  TRUE,"OK"
)</f>
        <v>Retained – Unmatched ID (Anonymous Feedback Rule)</v>
      </c>
      <c r="I850" s="17" t="b">
        <f>IF(COUNTIF(Customer_Master!$A:$A,B850)=0,TRUE,FALSE)</f>
        <v>1</v>
      </c>
    </row>
    <row r="851" spans="1:9" ht="16.8" x14ac:dyDescent="0.3">
      <c r="A851" s="14" t="s">
        <v>9045</v>
      </c>
      <c r="B851" s="14" t="s">
        <v>1451</v>
      </c>
      <c r="C851" s="15">
        <v>43978</v>
      </c>
      <c r="D851" s="14" t="s">
        <v>7937</v>
      </c>
      <c r="E851" s="14">
        <v>4</v>
      </c>
      <c r="F851" s="14" t="s">
        <v>45</v>
      </c>
      <c r="G851" s="14" t="s">
        <v>45</v>
      </c>
      <c r="H851" s="31" t="str" cm="1">
        <f t="array" ref="H851">_xlfn.IFS(
  ISBLANK(A851),"Missing Value",
  OR(E851&lt;1,E851&gt;5),"Review – Out of Range (Satisfaction)",
  ISNA(MATCH(B851,Customer_Master!$A$2:$A$1649,0)),"Retained – Unmatched ID (Anonymous Feedback Rule)",
  TRUE,"OK"
)</f>
        <v>OK</v>
      </c>
      <c r="I851" s="18" t="b">
        <f>IF(COUNTIF(Customer_Master!$A:$A,B851)=0,TRUE,FALSE)</f>
        <v>0</v>
      </c>
    </row>
    <row r="852" spans="1:9" ht="33.6" x14ac:dyDescent="0.3">
      <c r="A852" s="11" t="s">
        <v>9046</v>
      </c>
      <c r="B852" s="11" t="s">
        <v>9047</v>
      </c>
      <c r="C852" s="12">
        <v>44430</v>
      </c>
      <c r="D852" s="11" t="s">
        <v>7943</v>
      </c>
      <c r="E852" s="11">
        <v>1</v>
      </c>
      <c r="F852" s="11" t="s">
        <v>46</v>
      </c>
      <c r="G852" s="11" t="s">
        <v>45</v>
      </c>
      <c r="H852" s="31" t="str" cm="1">
        <f t="array" ref="H852">_xlfn.IFS(
  ISBLANK(A852),"Missing Value",
  OR(E852&lt;1,E852&gt;5),"Review – Out of Range (Satisfaction)",
  ISNA(MATCH(B852,Customer_Master!$A$2:$A$1649,0)),"Retained – Unmatched ID (Anonymous Feedback Rule)",
  TRUE,"OK"
)</f>
        <v>Retained – Unmatched ID (Anonymous Feedback Rule)</v>
      </c>
      <c r="I852" s="17" t="b">
        <f>IF(COUNTIF(Customer_Master!$A:$A,B852)=0,TRUE,FALSE)</f>
        <v>1</v>
      </c>
    </row>
    <row r="853" spans="1:9" ht="33.6" x14ac:dyDescent="0.3">
      <c r="A853" s="14" t="s">
        <v>9048</v>
      </c>
      <c r="B853" s="14" t="s">
        <v>9049</v>
      </c>
      <c r="C853" s="15">
        <v>44066</v>
      </c>
      <c r="D853" s="14" t="s">
        <v>7978</v>
      </c>
      <c r="E853" s="14">
        <v>3</v>
      </c>
      <c r="F853" s="14" t="s">
        <v>45</v>
      </c>
      <c r="G853" s="14" t="s">
        <v>46</v>
      </c>
      <c r="H853" s="31" t="str" cm="1">
        <f t="array" ref="H853">_xlfn.IFS(
  ISBLANK(A853),"Missing Value",
  OR(E853&lt;1,E853&gt;5),"Review – Out of Range (Satisfaction)",
  ISNA(MATCH(B853,Customer_Master!$A$2:$A$1649,0)),"Retained – Unmatched ID (Anonymous Feedback Rule)",
  TRUE,"OK"
)</f>
        <v>Retained – Unmatched ID (Anonymous Feedback Rule)</v>
      </c>
      <c r="I853" s="18" t="b">
        <f>IF(COUNTIF(Customer_Master!$A:$A,B853)=0,TRUE,FALSE)</f>
        <v>1</v>
      </c>
    </row>
    <row r="854" spans="1:9" ht="33.6" x14ac:dyDescent="0.3">
      <c r="A854" s="11" t="s">
        <v>9050</v>
      </c>
      <c r="B854" s="11" t="s">
        <v>8024</v>
      </c>
      <c r="C854" s="12">
        <v>44825</v>
      </c>
      <c r="D854" s="11" t="s">
        <v>7969</v>
      </c>
      <c r="E854" s="11">
        <v>2</v>
      </c>
      <c r="F854" s="11" t="s">
        <v>46</v>
      </c>
      <c r="G854" s="11" t="s">
        <v>46</v>
      </c>
      <c r="H854" s="31" t="str" cm="1">
        <f t="array" ref="H854">_xlfn.IFS(
  ISBLANK(A854),"Missing Value",
  OR(E854&lt;1,E854&gt;5),"Review – Out of Range (Satisfaction)",
  ISNA(MATCH(B854,Customer_Master!$A$2:$A$1649,0)),"Retained – Unmatched ID (Anonymous Feedback Rule)",
  TRUE,"OK"
)</f>
        <v>Retained – Unmatched ID (Anonymous Feedback Rule)</v>
      </c>
      <c r="I854" s="17" t="b">
        <f>IF(COUNTIF(Customer_Master!$A:$A,B854)=0,TRUE,FALSE)</f>
        <v>1</v>
      </c>
    </row>
    <row r="855" spans="1:9" ht="33.6" x14ac:dyDescent="0.3">
      <c r="A855" s="14" t="s">
        <v>9051</v>
      </c>
      <c r="B855" s="14" t="s">
        <v>9052</v>
      </c>
      <c r="C855" s="15">
        <v>44227</v>
      </c>
      <c r="D855" s="14" t="s">
        <v>7943</v>
      </c>
      <c r="E855" s="14">
        <v>1</v>
      </c>
      <c r="F855" s="14" t="s">
        <v>45</v>
      </c>
      <c r="G855" s="14" t="s">
        <v>46</v>
      </c>
      <c r="H855" s="31" t="str" cm="1">
        <f t="array" ref="H855">_xlfn.IFS(
  ISBLANK(A855),"Missing Value",
  OR(E855&lt;1,E855&gt;5),"Review – Out of Range (Satisfaction)",
  ISNA(MATCH(B855,Customer_Master!$A$2:$A$1649,0)),"Retained – Unmatched ID (Anonymous Feedback Rule)",
  TRUE,"OK"
)</f>
        <v>Retained – Unmatched ID (Anonymous Feedback Rule)</v>
      </c>
      <c r="I855" s="18" t="b">
        <f>IF(COUNTIF(Customer_Master!$A:$A,B855)=0,TRUE,FALSE)</f>
        <v>1</v>
      </c>
    </row>
    <row r="856" spans="1:9" ht="16.8" x14ac:dyDescent="0.3">
      <c r="A856" s="11" t="s">
        <v>9053</v>
      </c>
      <c r="B856" s="11" t="s">
        <v>146</v>
      </c>
      <c r="C856" s="12">
        <v>45031</v>
      </c>
      <c r="D856" s="11" t="s">
        <v>7947</v>
      </c>
      <c r="E856" s="11">
        <v>3</v>
      </c>
      <c r="F856" s="11" t="s">
        <v>46</v>
      </c>
      <c r="G856" s="11" t="s">
        <v>46</v>
      </c>
      <c r="H856" s="31" t="str" cm="1">
        <f t="array" ref="H856">_xlfn.IFS(
  ISBLANK(A856),"Missing Value",
  OR(E856&lt;1,E856&gt;5),"Review – Out of Range (Satisfaction)",
  ISNA(MATCH(B856,Customer_Master!$A$2:$A$1649,0)),"Retained – Unmatched ID (Anonymous Feedback Rule)",
  TRUE,"OK"
)</f>
        <v>OK</v>
      </c>
      <c r="I856" s="17" t="b">
        <f>IF(COUNTIF(Customer_Master!$A:$A,B856)=0,TRUE,FALSE)</f>
        <v>0</v>
      </c>
    </row>
    <row r="857" spans="1:9" ht="16.8" x14ac:dyDescent="0.3">
      <c r="A857" s="14" t="s">
        <v>9054</v>
      </c>
      <c r="B857" s="14" t="s">
        <v>1189</v>
      </c>
      <c r="C857" s="15">
        <v>44859</v>
      </c>
      <c r="D857" s="14" t="s">
        <v>7969</v>
      </c>
      <c r="E857" s="14">
        <v>1</v>
      </c>
      <c r="F857" s="14" t="s">
        <v>46</v>
      </c>
      <c r="G857" s="14" t="s">
        <v>46</v>
      </c>
      <c r="H857" s="31" t="str" cm="1">
        <f t="array" ref="H857">_xlfn.IFS(
  ISBLANK(A857),"Missing Value",
  OR(E857&lt;1,E857&gt;5),"Review – Out of Range (Satisfaction)",
  ISNA(MATCH(B857,Customer_Master!$A$2:$A$1649,0)),"Retained – Unmatched ID (Anonymous Feedback Rule)",
  TRUE,"OK"
)</f>
        <v>OK</v>
      </c>
      <c r="I857" s="18" t="b">
        <f>IF(COUNTIF(Customer_Master!$A:$A,B857)=0,TRUE,FALSE)</f>
        <v>0</v>
      </c>
    </row>
    <row r="858" spans="1:9" ht="33.6" x14ac:dyDescent="0.3">
      <c r="A858" s="11" t="s">
        <v>9055</v>
      </c>
      <c r="B858" s="11" t="s">
        <v>8967</v>
      </c>
      <c r="C858" s="12">
        <v>44400</v>
      </c>
      <c r="D858" s="11" t="s">
        <v>7947</v>
      </c>
      <c r="E858" s="11">
        <v>4</v>
      </c>
      <c r="F858" s="11" t="s">
        <v>46</v>
      </c>
      <c r="G858" s="11" t="s">
        <v>46</v>
      </c>
      <c r="H858" s="31" t="str" cm="1">
        <f t="array" ref="H858">_xlfn.IFS(
  ISBLANK(A858),"Missing Value",
  OR(E858&lt;1,E858&gt;5),"Review – Out of Range (Satisfaction)",
  ISNA(MATCH(B858,Customer_Master!$A$2:$A$1649,0)),"Retained – Unmatched ID (Anonymous Feedback Rule)",
  TRUE,"OK"
)</f>
        <v>Retained – Unmatched ID (Anonymous Feedback Rule)</v>
      </c>
      <c r="I858" s="17" t="b">
        <f>IF(COUNTIF(Customer_Master!$A:$A,B858)=0,TRUE,FALSE)</f>
        <v>1</v>
      </c>
    </row>
    <row r="859" spans="1:9" ht="33.6" x14ac:dyDescent="0.3">
      <c r="A859" s="14" t="s">
        <v>9056</v>
      </c>
      <c r="B859" s="14" t="s">
        <v>9057</v>
      </c>
      <c r="C859" s="15">
        <v>44288</v>
      </c>
      <c r="D859" s="14" t="s">
        <v>7978</v>
      </c>
      <c r="E859" s="14">
        <v>2</v>
      </c>
      <c r="F859" s="14" t="s">
        <v>46</v>
      </c>
      <c r="G859" s="14" t="s">
        <v>45</v>
      </c>
      <c r="H859" s="31" t="str" cm="1">
        <f t="array" ref="H859">_xlfn.IFS(
  ISBLANK(A859),"Missing Value",
  OR(E859&lt;1,E859&gt;5),"Review – Out of Range (Satisfaction)",
  ISNA(MATCH(B859,Customer_Master!$A$2:$A$1649,0)),"Retained – Unmatched ID (Anonymous Feedback Rule)",
  TRUE,"OK"
)</f>
        <v>Retained – Unmatched ID (Anonymous Feedback Rule)</v>
      </c>
      <c r="I859" s="18" t="b">
        <f>IF(COUNTIF(Customer_Master!$A:$A,B859)=0,TRUE,FALSE)</f>
        <v>1</v>
      </c>
    </row>
    <row r="860" spans="1:9" ht="33.6" x14ac:dyDescent="0.3">
      <c r="A860" s="11" t="s">
        <v>9058</v>
      </c>
      <c r="B860" s="11" t="s">
        <v>9059</v>
      </c>
      <c r="C860" s="12">
        <v>44265</v>
      </c>
      <c r="D860" s="11" t="s">
        <v>7969</v>
      </c>
      <c r="E860" s="11">
        <v>2</v>
      </c>
      <c r="F860" s="11" t="s">
        <v>46</v>
      </c>
      <c r="G860" s="11" t="s">
        <v>46</v>
      </c>
      <c r="H860" s="31" t="str" cm="1">
        <f t="array" ref="H860">_xlfn.IFS(
  ISBLANK(A860),"Missing Value",
  OR(E860&lt;1,E860&gt;5),"Review – Out of Range (Satisfaction)",
  ISNA(MATCH(B860,Customer_Master!$A$2:$A$1649,0)),"Retained – Unmatched ID (Anonymous Feedback Rule)",
  TRUE,"OK"
)</f>
        <v>Retained – Unmatched ID (Anonymous Feedback Rule)</v>
      </c>
      <c r="I860" s="17" t="b">
        <f>IF(COUNTIF(Customer_Master!$A:$A,B860)=0,TRUE,FALSE)</f>
        <v>1</v>
      </c>
    </row>
    <row r="861" spans="1:9" ht="33.6" x14ac:dyDescent="0.3">
      <c r="A861" s="14" t="s">
        <v>9060</v>
      </c>
      <c r="B861" s="14" t="s">
        <v>9061</v>
      </c>
      <c r="C861" s="15">
        <v>43915</v>
      </c>
      <c r="D861" s="14" t="s">
        <v>7978</v>
      </c>
      <c r="E861" s="14">
        <v>2</v>
      </c>
      <c r="F861" s="14" t="s">
        <v>46</v>
      </c>
      <c r="G861" s="14" t="s">
        <v>45</v>
      </c>
      <c r="H861" s="31" t="str" cm="1">
        <f t="array" ref="H861">_xlfn.IFS(
  ISBLANK(A861),"Missing Value",
  OR(E861&lt;1,E861&gt;5),"Review – Out of Range (Satisfaction)",
  ISNA(MATCH(B861,Customer_Master!$A$2:$A$1649,0)),"Retained – Unmatched ID (Anonymous Feedback Rule)",
  TRUE,"OK"
)</f>
        <v>Retained – Unmatched ID (Anonymous Feedback Rule)</v>
      </c>
      <c r="I861" s="18" t="b">
        <f>IF(COUNTIF(Customer_Master!$A:$A,B861)=0,TRUE,FALSE)</f>
        <v>1</v>
      </c>
    </row>
    <row r="862" spans="1:9" ht="33.6" x14ac:dyDescent="0.3">
      <c r="A862" s="11" t="s">
        <v>9062</v>
      </c>
      <c r="B862" s="11" t="s">
        <v>9063</v>
      </c>
      <c r="C862" s="12">
        <v>44114</v>
      </c>
      <c r="D862" s="11" t="s">
        <v>7940</v>
      </c>
      <c r="E862" s="11">
        <v>5</v>
      </c>
      <c r="F862" s="11" t="s">
        <v>45</v>
      </c>
      <c r="G862" s="11" t="s">
        <v>45</v>
      </c>
      <c r="H862" s="31" t="str" cm="1">
        <f t="array" ref="H862">_xlfn.IFS(
  ISBLANK(A862),"Missing Value",
  OR(E862&lt;1,E862&gt;5),"Review – Out of Range (Satisfaction)",
  ISNA(MATCH(B862,Customer_Master!$A$2:$A$1649,0)),"Retained – Unmatched ID (Anonymous Feedback Rule)",
  TRUE,"OK"
)</f>
        <v>Retained – Unmatched ID (Anonymous Feedback Rule)</v>
      </c>
      <c r="I862" s="17" t="b">
        <f>IF(COUNTIF(Customer_Master!$A:$A,B862)=0,TRUE,FALSE)</f>
        <v>1</v>
      </c>
    </row>
    <row r="863" spans="1:9" ht="33.6" x14ac:dyDescent="0.3">
      <c r="A863" s="14" t="s">
        <v>9064</v>
      </c>
      <c r="B863" s="14" t="s">
        <v>9065</v>
      </c>
      <c r="C863" s="15">
        <v>44816</v>
      </c>
      <c r="D863" s="14" t="s">
        <v>7969</v>
      </c>
      <c r="E863" s="14">
        <v>2</v>
      </c>
      <c r="F863" s="14" t="s">
        <v>46</v>
      </c>
      <c r="G863" s="14" t="s">
        <v>46</v>
      </c>
      <c r="H863" s="31" t="str" cm="1">
        <f t="array" ref="H863">_xlfn.IFS(
  ISBLANK(A863),"Missing Value",
  OR(E863&lt;1,E863&gt;5),"Review – Out of Range (Satisfaction)",
  ISNA(MATCH(B863,Customer_Master!$A$2:$A$1649,0)),"Retained – Unmatched ID (Anonymous Feedback Rule)",
  TRUE,"OK"
)</f>
        <v>Retained – Unmatched ID (Anonymous Feedback Rule)</v>
      </c>
      <c r="I863" s="18" t="b">
        <f>IF(COUNTIF(Customer_Master!$A:$A,B863)=0,TRUE,FALSE)</f>
        <v>1</v>
      </c>
    </row>
    <row r="864" spans="1:9" ht="16.8" x14ac:dyDescent="0.3">
      <c r="A864" s="11" t="s">
        <v>9066</v>
      </c>
      <c r="B864" s="11" t="s">
        <v>2239</v>
      </c>
      <c r="C864" s="12">
        <v>44417</v>
      </c>
      <c r="D864" s="11" t="s">
        <v>7969</v>
      </c>
      <c r="E864" s="11">
        <v>2</v>
      </c>
      <c r="F864" s="11" t="s">
        <v>45</v>
      </c>
      <c r="G864" s="11" t="s">
        <v>46</v>
      </c>
      <c r="H864" s="31" t="str" cm="1">
        <f t="array" ref="H864">_xlfn.IFS(
  ISBLANK(A864),"Missing Value",
  OR(E864&lt;1,E864&gt;5),"Review – Out of Range (Satisfaction)",
  ISNA(MATCH(B864,Customer_Master!$A$2:$A$1649,0)),"Retained – Unmatched ID (Anonymous Feedback Rule)",
  TRUE,"OK"
)</f>
        <v>OK</v>
      </c>
      <c r="I864" s="17" t="b">
        <f>IF(COUNTIF(Customer_Master!$A:$A,B864)=0,TRUE,FALSE)</f>
        <v>0</v>
      </c>
    </row>
    <row r="865" spans="1:9" ht="16.8" x14ac:dyDescent="0.3">
      <c r="A865" s="14" t="s">
        <v>9067</v>
      </c>
      <c r="B865" s="14" t="s">
        <v>3070</v>
      </c>
      <c r="C865" s="15">
        <v>45145</v>
      </c>
      <c r="D865" s="14" t="s">
        <v>7947</v>
      </c>
      <c r="E865" s="14">
        <v>3</v>
      </c>
      <c r="F865" s="14" t="s">
        <v>46</v>
      </c>
      <c r="G865" s="14" t="s">
        <v>46</v>
      </c>
      <c r="H865" s="31" t="str" cm="1">
        <f t="array" ref="H865">_xlfn.IFS(
  ISBLANK(A865),"Missing Value",
  OR(E865&lt;1,E865&gt;5),"Review – Out of Range (Satisfaction)",
  ISNA(MATCH(B865,Customer_Master!$A$2:$A$1649,0)),"Retained – Unmatched ID (Anonymous Feedback Rule)",
  TRUE,"OK"
)</f>
        <v>OK</v>
      </c>
      <c r="I865" s="18" t="b">
        <f>IF(COUNTIF(Customer_Master!$A:$A,B865)=0,TRUE,FALSE)</f>
        <v>0</v>
      </c>
    </row>
    <row r="866" spans="1:9" ht="33.6" x14ac:dyDescent="0.3">
      <c r="A866" s="11" t="s">
        <v>9068</v>
      </c>
      <c r="B866" s="11" t="s">
        <v>8345</v>
      </c>
      <c r="C866" s="12">
        <v>44155</v>
      </c>
      <c r="D866" s="11" t="s">
        <v>7931</v>
      </c>
      <c r="E866" s="11">
        <v>4</v>
      </c>
      <c r="F866" s="11" t="s">
        <v>45</v>
      </c>
      <c r="G866" s="11" t="s">
        <v>46</v>
      </c>
      <c r="H866" s="31" t="str" cm="1">
        <f t="array" ref="H866">_xlfn.IFS(
  ISBLANK(A866),"Missing Value",
  OR(E866&lt;1,E866&gt;5),"Review – Out of Range (Satisfaction)",
  ISNA(MATCH(B866,Customer_Master!$A$2:$A$1649,0)),"Retained – Unmatched ID (Anonymous Feedback Rule)",
  TRUE,"OK"
)</f>
        <v>Retained – Unmatched ID (Anonymous Feedback Rule)</v>
      </c>
      <c r="I866" s="17" t="b">
        <f>IF(COUNTIF(Customer_Master!$A:$A,B866)=0,TRUE,FALSE)</f>
        <v>1</v>
      </c>
    </row>
    <row r="867" spans="1:9" ht="16.8" x14ac:dyDescent="0.3">
      <c r="A867" s="14" t="s">
        <v>9069</v>
      </c>
      <c r="B867" s="14" t="s">
        <v>1079</v>
      </c>
      <c r="C867" s="15">
        <v>44109</v>
      </c>
      <c r="D867" s="14" t="s">
        <v>7928</v>
      </c>
      <c r="E867" s="14">
        <v>1</v>
      </c>
      <c r="F867" s="14" t="s">
        <v>46</v>
      </c>
      <c r="G867" s="14" t="s">
        <v>45</v>
      </c>
      <c r="H867" s="31" t="str" cm="1">
        <f t="array" ref="H867">_xlfn.IFS(
  ISBLANK(A867),"Missing Value",
  OR(E867&lt;1,E867&gt;5),"Review – Out of Range (Satisfaction)",
  ISNA(MATCH(B867,Customer_Master!$A$2:$A$1649,0)),"Retained – Unmatched ID (Anonymous Feedback Rule)",
  TRUE,"OK"
)</f>
        <v>OK</v>
      </c>
      <c r="I867" s="18" t="b">
        <f>IF(COUNTIF(Customer_Master!$A:$A,B867)=0,TRUE,FALSE)</f>
        <v>0</v>
      </c>
    </row>
    <row r="868" spans="1:9" ht="16.8" x14ac:dyDescent="0.3">
      <c r="A868" s="11" t="s">
        <v>9070</v>
      </c>
      <c r="B868" s="11" t="s">
        <v>2581</v>
      </c>
      <c r="C868" s="12">
        <v>44036</v>
      </c>
      <c r="D868" s="11" t="s">
        <v>7943</v>
      </c>
      <c r="E868" s="11">
        <v>2</v>
      </c>
      <c r="F868" s="11" t="s">
        <v>45</v>
      </c>
      <c r="G868" s="11" t="s">
        <v>45</v>
      </c>
      <c r="H868" s="31" t="str" cm="1">
        <f t="array" ref="H868">_xlfn.IFS(
  ISBLANK(A868),"Missing Value",
  OR(E868&lt;1,E868&gt;5),"Review – Out of Range (Satisfaction)",
  ISNA(MATCH(B868,Customer_Master!$A$2:$A$1649,0)),"Retained – Unmatched ID (Anonymous Feedback Rule)",
  TRUE,"OK"
)</f>
        <v>OK</v>
      </c>
      <c r="I868" s="17" t="b">
        <f>IF(COUNTIF(Customer_Master!$A:$A,B868)=0,TRUE,FALSE)</f>
        <v>0</v>
      </c>
    </row>
    <row r="869" spans="1:9" ht="33.6" x14ac:dyDescent="0.3">
      <c r="A869" s="14" t="s">
        <v>9071</v>
      </c>
      <c r="B869" s="14" t="s">
        <v>8493</v>
      </c>
      <c r="C869" s="15">
        <v>44456</v>
      </c>
      <c r="D869" s="14" t="s">
        <v>7947</v>
      </c>
      <c r="E869" s="14">
        <v>3</v>
      </c>
      <c r="F869" s="14" t="s">
        <v>45</v>
      </c>
      <c r="G869" s="14" t="s">
        <v>46</v>
      </c>
      <c r="H869" s="31" t="str" cm="1">
        <f t="array" ref="H869">_xlfn.IFS(
  ISBLANK(A869),"Missing Value",
  OR(E869&lt;1,E869&gt;5),"Review – Out of Range (Satisfaction)",
  ISNA(MATCH(B869,Customer_Master!$A$2:$A$1649,0)),"Retained – Unmatched ID (Anonymous Feedback Rule)",
  TRUE,"OK"
)</f>
        <v>Retained – Unmatched ID (Anonymous Feedback Rule)</v>
      </c>
      <c r="I869" s="18" t="b">
        <f>IF(COUNTIF(Customer_Master!$A:$A,B869)=0,TRUE,FALSE)</f>
        <v>1</v>
      </c>
    </row>
    <row r="870" spans="1:9" ht="16.8" x14ac:dyDescent="0.3">
      <c r="A870" s="11" t="s">
        <v>9072</v>
      </c>
      <c r="B870" s="11" t="s">
        <v>290</v>
      </c>
      <c r="C870" s="12">
        <v>43882</v>
      </c>
      <c r="D870" s="11" t="s">
        <v>7978</v>
      </c>
      <c r="E870" s="11">
        <v>1</v>
      </c>
      <c r="F870" s="11" t="s">
        <v>46</v>
      </c>
      <c r="G870" s="11" t="s">
        <v>46</v>
      </c>
      <c r="H870" s="31" t="str" cm="1">
        <f t="array" ref="H870">_xlfn.IFS(
  ISBLANK(A870),"Missing Value",
  OR(E870&lt;1,E870&gt;5),"Review – Out of Range (Satisfaction)",
  ISNA(MATCH(B870,Customer_Master!$A$2:$A$1649,0)),"Retained – Unmatched ID (Anonymous Feedback Rule)",
  TRUE,"OK"
)</f>
        <v>OK</v>
      </c>
      <c r="I870" s="17" t="b">
        <f>IF(COUNTIF(Customer_Master!$A:$A,B870)=0,TRUE,FALSE)</f>
        <v>0</v>
      </c>
    </row>
    <row r="871" spans="1:9" ht="16.8" x14ac:dyDescent="0.3">
      <c r="A871" s="14" t="s">
        <v>9073</v>
      </c>
      <c r="B871" s="14" t="s">
        <v>2659</v>
      </c>
      <c r="C871" s="15">
        <v>44422</v>
      </c>
      <c r="D871" s="14" t="s">
        <v>7933</v>
      </c>
      <c r="E871" s="14">
        <v>2</v>
      </c>
      <c r="F871" s="14" t="s">
        <v>46</v>
      </c>
      <c r="G871" s="14" t="s">
        <v>45</v>
      </c>
      <c r="H871" s="31" t="str" cm="1">
        <f t="array" ref="H871">_xlfn.IFS(
  ISBLANK(A871),"Missing Value",
  OR(E871&lt;1,E871&gt;5),"Review – Out of Range (Satisfaction)",
  ISNA(MATCH(B871,Customer_Master!$A$2:$A$1649,0)),"Retained – Unmatched ID (Anonymous Feedback Rule)",
  TRUE,"OK"
)</f>
        <v>OK</v>
      </c>
      <c r="I871" s="18" t="b">
        <f>IF(COUNTIF(Customer_Master!$A:$A,B871)=0,TRUE,FALSE)</f>
        <v>0</v>
      </c>
    </row>
    <row r="872" spans="1:9" ht="16.8" x14ac:dyDescent="0.3">
      <c r="A872" s="11" t="s">
        <v>9074</v>
      </c>
      <c r="B872" s="11" t="s">
        <v>2631</v>
      </c>
      <c r="C872" s="12">
        <v>45058</v>
      </c>
      <c r="D872" s="11" t="s">
        <v>7935</v>
      </c>
      <c r="E872" s="11">
        <v>4</v>
      </c>
      <c r="F872" s="11" t="s">
        <v>45</v>
      </c>
      <c r="G872" s="11" t="s">
        <v>46</v>
      </c>
      <c r="H872" s="31" t="str" cm="1">
        <f t="array" ref="H872">_xlfn.IFS(
  ISBLANK(A872),"Missing Value",
  OR(E872&lt;1,E872&gt;5),"Review – Out of Range (Satisfaction)",
  ISNA(MATCH(B872,Customer_Master!$A$2:$A$1649,0)),"Retained – Unmatched ID (Anonymous Feedback Rule)",
  TRUE,"OK"
)</f>
        <v>OK</v>
      </c>
      <c r="I872" s="17" t="b">
        <f>IF(COUNTIF(Customer_Master!$A:$A,B872)=0,TRUE,FALSE)</f>
        <v>0</v>
      </c>
    </row>
    <row r="873" spans="1:9" ht="16.8" x14ac:dyDescent="0.3">
      <c r="A873" s="14" t="s">
        <v>9075</v>
      </c>
      <c r="B873" s="14" t="s">
        <v>1175</v>
      </c>
      <c r="C873" s="15">
        <v>44839</v>
      </c>
      <c r="D873" s="14" t="s">
        <v>7943</v>
      </c>
      <c r="E873" s="14">
        <v>3</v>
      </c>
      <c r="F873" s="14" t="s">
        <v>45</v>
      </c>
      <c r="G873" s="14" t="s">
        <v>46</v>
      </c>
      <c r="H873" s="31" t="str" cm="1">
        <f t="array" ref="H873">_xlfn.IFS(
  ISBLANK(A873),"Missing Value",
  OR(E873&lt;1,E873&gt;5),"Review – Out of Range (Satisfaction)",
  ISNA(MATCH(B873,Customer_Master!$A$2:$A$1649,0)),"Retained – Unmatched ID (Anonymous Feedback Rule)",
  TRUE,"OK"
)</f>
        <v>OK</v>
      </c>
      <c r="I873" s="18" t="b">
        <f>IF(COUNTIF(Customer_Master!$A:$A,B873)=0,TRUE,FALSE)</f>
        <v>0</v>
      </c>
    </row>
    <row r="874" spans="1:9" ht="16.8" x14ac:dyDescent="0.3">
      <c r="A874" s="11" t="s">
        <v>9076</v>
      </c>
      <c r="B874" s="11" t="s">
        <v>2859</v>
      </c>
      <c r="C874" s="12">
        <v>44136</v>
      </c>
      <c r="D874" s="11" t="s">
        <v>7969</v>
      </c>
      <c r="E874" s="11">
        <v>1</v>
      </c>
      <c r="F874" s="11" t="s">
        <v>46</v>
      </c>
      <c r="G874" s="11" t="s">
        <v>46</v>
      </c>
      <c r="H874" s="31" t="str" cm="1">
        <f t="array" ref="H874">_xlfn.IFS(
  ISBLANK(A874),"Missing Value",
  OR(E874&lt;1,E874&gt;5),"Review – Out of Range (Satisfaction)",
  ISNA(MATCH(B874,Customer_Master!$A$2:$A$1649,0)),"Retained – Unmatched ID (Anonymous Feedback Rule)",
  TRUE,"OK"
)</f>
        <v>OK</v>
      </c>
      <c r="I874" s="17" t="b">
        <f>IF(COUNTIF(Customer_Master!$A:$A,B874)=0,TRUE,FALSE)</f>
        <v>0</v>
      </c>
    </row>
    <row r="875" spans="1:9" ht="33.6" x14ac:dyDescent="0.3">
      <c r="A875" s="14" t="s">
        <v>9077</v>
      </c>
      <c r="B875" s="14" t="s">
        <v>8039</v>
      </c>
      <c r="C875" s="15">
        <v>44367</v>
      </c>
      <c r="D875" s="14" t="s">
        <v>7933</v>
      </c>
      <c r="E875" s="14">
        <v>3</v>
      </c>
      <c r="F875" s="14" t="s">
        <v>46</v>
      </c>
      <c r="G875" s="14" t="s">
        <v>46</v>
      </c>
      <c r="H875" s="31" t="str" cm="1">
        <f t="array" ref="H875">_xlfn.IFS(
  ISBLANK(A875),"Missing Value",
  OR(E875&lt;1,E875&gt;5),"Review – Out of Range (Satisfaction)",
  ISNA(MATCH(B875,Customer_Master!$A$2:$A$1649,0)),"Retained – Unmatched ID (Anonymous Feedback Rule)",
  TRUE,"OK"
)</f>
        <v>Retained – Unmatched ID (Anonymous Feedback Rule)</v>
      </c>
      <c r="I875" s="18" t="b">
        <f>IF(COUNTIF(Customer_Master!$A:$A,B875)=0,TRUE,FALSE)</f>
        <v>1</v>
      </c>
    </row>
    <row r="876" spans="1:9" ht="16.8" x14ac:dyDescent="0.3">
      <c r="A876" s="11" t="s">
        <v>9078</v>
      </c>
      <c r="B876" s="11" t="s">
        <v>2459</v>
      </c>
      <c r="C876" s="12">
        <v>45082</v>
      </c>
      <c r="D876" s="11" t="s">
        <v>7933</v>
      </c>
      <c r="E876" s="11">
        <v>2</v>
      </c>
      <c r="F876" s="11" t="s">
        <v>46</v>
      </c>
      <c r="G876" s="11" t="s">
        <v>45</v>
      </c>
      <c r="H876" s="31" t="str" cm="1">
        <f t="array" ref="H876">_xlfn.IFS(
  ISBLANK(A876),"Missing Value",
  OR(E876&lt;1,E876&gt;5),"Review – Out of Range (Satisfaction)",
  ISNA(MATCH(B876,Customer_Master!$A$2:$A$1649,0)),"Retained – Unmatched ID (Anonymous Feedback Rule)",
  TRUE,"OK"
)</f>
        <v>OK</v>
      </c>
      <c r="I876" s="17" t="b">
        <f>IF(COUNTIF(Customer_Master!$A:$A,B876)=0,TRUE,FALSE)</f>
        <v>0</v>
      </c>
    </row>
    <row r="877" spans="1:9" ht="16.8" x14ac:dyDescent="0.3">
      <c r="A877" s="14" t="s">
        <v>9079</v>
      </c>
      <c r="B877" s="14" t="s">
        <v>3332</v>
      </c>
      <c r="C877" s="15">
        <v>44923</v>
      </c>
      <c r="D877" s="14" t="s">
        <v>7978</v>
      </c>
      <c r="E877" s="14">
        <v>2</v>
      </c>
      <c r="F877" s="14" t="s">
        <v>45</v>
      </c>
      <c r="G877" s="14" t="s">
        <v>46</v>
      </c>
      <c r="H877" s="31" t="str" cm="1">
        <f t="array" ref="H877">_xlfn.IFS(
  ISBLANK(A877),"Missing Value",
  OR(E877&lt;1,E877&gt;5),"Review – Out of Range (Satisfaction)",
  ISNA(MATCH(B877,Customer_Master!$A$2:$A$1649,0)),"Retained – Unmatched ID (Anonymous Feedback Rule)",
  TRUE,"OK"
)</f>
        <v>OK</v>
      </c>
      <c r="I877" s="18" t="b">
        <f>IF(COUNTIF(Customer_Master!$A:$A,B877)=0,TRUE,FALSE)</f>
        <v>0</v>
      </c>
    </row>
    <row r="878" spans="1:9" ht="16.8" x14ac:dyDescent="0.3">
      <c r="A878" s="11" t="s">
        <v>9080</v>
      </c>
      <c r="B878" s="11" t="s">
        <v>1917</v>
      </c>
      <c r="C878" s="12">
        <v>44534</v>
      </c>
      <c r="D878" s="11" t="s">
        <v>7931</v>
      </c>
      <c r="E878" s="11">
        <v>5</v>
      </c>
      <c r="F878" s="11" t="s">
        <v>45</v>
      </c>
      <c r="G878" s="11" t="s">
        <v>45</v>
      </c>
      <c r="H878" s="31" t="str" cm="1">
        <f t="array" ref="H878">_xlfn.IFS(
  ISBLANK(A878),"Missing Value",
  OR(E878&lt;1,E878&gt;5),"Review – Out of Range (Satisfaction)",
  ISNA(MATCH(B878,Customer_Master!$A$2:$A$1649,0)),"Retained – Unmatched ID (Anonymous Feedback Rule)",
  TRUE,"OK"
)</f>
        <v>OK</v>
      </c>
      <c r="I878" s="17" t="b">
        <f>IF(COUNTIF(Customer_Master!$A:$A,B878)=0,TRUE,FALSE)</f>
        <v>0</v>
      </c>
    </row>
    <row r="879" spans="1:9" ht="16.8" x14ac:dyDescent="0.3">
      <c r="A879" s="14" t="s">
        <v>9081</v>
      </c>
      <c r="B879" s="14" t="s">
        <v>1825</v>
      </c>
      <c r="C879" s="15">
        <v>44457</v>
      </c>
      <c r="D879" s="14" t="s">
        <v>7931</v>
      </c>
      <c r="E879" s="14">
        <v>5</v>
      </c>
      <c r="F879" s="14" t="s">
        <v>46</v>
      </c>
      <c r="G879" s="14" t="s">
        <v>45</v>
      </c>
      <c r="H879" s="31" t="str" cm="1">
        <f t="array" ref="H879">_xlfn.IFS(
  ISBLANK(A879),"Missing Value",
  OR(E879&lt;1,E879&gt;5),"Review – Out of Range (Satisfaction)",
  ISNA(MATCH(B879,Customer_Master!$A$2:$A$1649,0)),"Retained – Unmatched ID (Anonymous Feedback Rule)",
  TRUE,"OK"
)</f>
        <v>OK</v>
      </c>
      <c r="I879" s="18" t="b">
        <f>IF(COUNTIF(Customer_Master!$A:$A,B879)=0,TRUE,FALSE)</f>
        <v>0</v>
      </c>
    </row>
    <row r="880" spans="1:9" ht="33.6" x14ac:dyDescent="0.3">
      <c r="A880" s="11" t="s">
        <v>9082</v>
      </c>
      <c r="B880" s="11" t="s">
        <v>9083</v>
      </c>
      <c r="C880" s="12">
        <v>44131</v>
      </c>
      <c r="D880" s="11" t="s">
        <v>7928</v>
      </c>
      <c r="E880" s="11">
        <v>2</v>
      </c>
      <c r="F880" s="11" t="s">
        <v>45</v>
      </c>
      <c r="G880" s="11" t="s">
        <v>46</v>
      </c>
      <c r="H880" s="31" t="str" cm="1">
        <f t="array" ref="H880">_xlfn.IFS(
  ISBLANK(A880),"Missing Value",
  OR(E880&lt;1,E880&gt;5),"Review – Out of Range (Satisfaction)",
  ISNA(MATCH(B880,Customer_Master!$A$2:$A$1649,0)),"Retained – Unmatched ID (Anonymous Feedback Rule)",
  TRUE,"OK"
)</f>
        <v>Retained – Unmatched ID (Anonymous Feedback Rule)</v>
      </c>
      <c r="I880" s="17" t="b">
        <f>IF(COUNTIF(Customer_Master!$A:$A,B880)=0,TRUE,FALSE)</f>
        <v>1</v>
      </c>
    </row>
    <row r="881" spans="1:9" ht="16.8" x14ac:dyDescent="0.3">
      <c r="A881" s="14" t="s">
        <v>9084</v>
      </c>
      <c r="B881" s="14" t="s">
        <v>953</v>
      </c>
      <c r="C881" s="15">
        <v>44249</v>
      </c>
      <c r="D881" s="14" t="s">
        <v>7969</v>
      </c>
      <c r="E881" s="14">
        <v>1</v>
      </c>
      <c r="F881" s="14" t="s">
        <v>45</v>
      </c>
      <c r="G881" s="14" t="s">
        <v>46</v>
      </c>
      <c r="H881" s="31" t="str" cm="1">
        <f t="array" ref="H881">_xlfn.IFS(
  ISBLANK(A881),"Missing Value",
  OR(E881&lt;1,E881&gt;5),"Review – Out of Range (Satisfaction)",
  ISNA(MATCH(B881,Customer_Master!$A$2:$A$1649,0)),"Retained – Unmatched ID (Anonymous Feedback Rule)",
  TRUE,"OK"
)</f>
        <v>OK</v>
      </c>
      <c r="I881" s="18" t="b">
        <f>IF(COUNTIF(Customer_Master!$A:$A,B881)=0,TRUE,FALSE)</f>
        <v>0</v>
      </c>
    </row>
    <row r="882" spans="1:9" ht="33.6" x14ac:dyDescent="0.3">
      <c r="A882" s="11" t="s">
        <v>9085</v>
      </c>
      <c r="B882" s="11" t="s">
        <v>9086</v>
      </c>
      <c r="C882" s="12">
        <v>45210</v>
      </c>
      <c r="D882" s="11" t="s">
        <v>7928</v>
      </c>
      <c r="E882" s="11">
        <v>2</v>
      </c>
      <c r="F882" s="11" t="s">
        <v>45</v>
      </c>
      <c r="G882" s="11" t="s">
        <v>45</v>
      </c>
      <c r="H882" s="31" t="str" cm="1">
        <f t="array" ref="H882">_xlfn.IFS(
  ISBLANK(A882),"Missing Value",
  OR(E882&lt;1,E882&gt;5),"Review – Out of Range (Satisfaction)",
  ISNA(MATCH(B882,Customer_Master!$A$2:$A$1649,0)),"Retained – Unmatched ID (Anonymous Feedback Rule)",
  TRUE,"OK"
)</f>
        <v>Retained – Unmatched ID (Anonymous Feedback Rule)</v>
      </c>
      <c r="I882" s="17" t="b">
        <f>IF(COUNTIF(Customer_Master!$A:$A,B882)=0,TRUE,FALSE)</f>
        <v>1</v>
      </c>
    </row>
    <row r="883" spans="1:9" ht="33.6" x14ac:dyDescent="0.3">
      <c r="A883" s="14" t="s">
        <v>9087</v>
      </c>
      <c r="B883" s="14" t="s">
        <v>9088</v>
      </c>
      <c r="C883" s="15">
        <v>45126</v>
      </c>
      <c r="D883" s="14" t="s">
        <v>7978</v>
      </c>
      <c r="E883" s="14">
        <v>3</v>
      </c>
      <c r="F883" s="14" t="s">
        <v>46</v>
      </c>
      <c r="G883" s="14" t="s">
        <v>45</v>
      </c>
      <c r="H883" s="31" t="str" cm="1">
        <f t="array" ref="H883">_xlfn.IFS(
  ISBLANK(A883),"Missing Value",
  OR(E883&lt;1,E883&gt;5),"Review – Out of Range (Satisfaction)",
  ISNA(MATCH(B883,Customer_Master!$A$2:$A$1649,0)),"Retained – Unmatched ID (Anonymous Feedback Rule)",
  TRUE,"OK"
)</f>
        <v>Retained – Unmatched ID (Anonymous Feedback Rule)</v>
      </c>
      <c r="I883" s="18" t="b">
        <f>IF(COUNTIF(Customer_Master!$A:$A,B883)=0,TRUE,FALSE)</f>
        <v>1</v>
      </c>
    </row>
    <row r="884" spans="1:9" ht="16.8" x14ac:dyDescent="0.3">
      <c r="A884" s="11" t="s">
        <v>9089</v>
      </c>
      <c r="B884" s="11" t="s">
        <v>2703</v>
      </c>
      <c r="C884" s="12">
        <v>44020</v>
      </c>
      <c r="D884" s="11" t="s">
        <v>7947</v>
      </c>
      <c r="E884" s="11">
        <v>4</v>
      </c>
      <c r="F884" s="11" t="s">
        <v>46</v>
      </c>
      <c r="G884" s="11" t="s">
        <v>46</v>
      </c>
      <c r="H884" s="31" t="str" cm="1">
        <f t="array" ref="H884">_xlfn.IFS(
  ISBLANK(A884),"Missing Value",
  OR(E884&lt;1,E884&gt;5),"Review – Out of Range (Satisfaction)",
  ISNA(MATCH(B884,Customer_Master!$A$2:$A$1649,0)),"Retained – Unmatched ID (Anonymous Feedback Rule)",
  TRUE,"OK"
)</f>
        <v>OK</v>
      </c>
      <c r="I884" s="17" t="b">
        <f>IF(COUNTIF(Customer_Master!$A:$A,B884)=0,TRUE,FALSE)</f>
        <v>0</v>
      </c>
    </row>
    <row r="885" spans="1:9" ht="33.6" x14ac:dyDescent="0.3">
      <c r="A885" s="14" t="s">
        <v>9090</v>
      </c>
      <c r="B885" s="14" t="s">
        <v>9091</v>
      </c>
      <c r="C885" s="15">
        <v>44628</v>
      </c>
      <c r="D885" s="14" t="s">
        <v>7935</v>
      </c>
      <c r="E885" s="14">
        <v>4</v>
      </c>
      <c r="F885" s="14" t="s">
        <v>45</v>
      </c>
      <c r="G885" s="14" t="s">
        <v>46</v>
      </c>
      <c r="H885" s="31" t="str" cm="1">
        <f t="array" ref="H885">_xlfn.IFS(
  ISBLANK(A885),"Missing Value",
  OR(E885&lt;1,E885&gt;5),"Review – Out of Range (Satisfaction)",
  ISNA(MATCH(B885,Customer_Master!$A$2:$A$1649,0)),"Retained – Unmatched ID (Anonymous Feedback Rule)",
  TRUE,"OK"
)</f>
        <v>Retained – Unmatched ID (Anonymous Feedback Rule)</v>
      </c>
      <c r="I885" s="18" t="b">
        <f>IF(COUNTIF(Customer_Master!$A:$A,B885)=0,TRUE,FALSE)</f>
        <v>1</v>
      </c>
    </row>
    <row r="886" spans="1:9" ht="33.6" x14ac:dyDescent="0.3">
      <c r="A886" s="11" t="s">
        <v>9092</v>
      </c>
      <c r="B886" s="11" t="s">
        <v>9093</v>
      </c>
      <c r="C886" s="12">
        <v>44691</v>
      </c>
      <c r="D886" s="11" t="s">
        <v>7935</v>
      </c>
      <c r="E886" s="11">
        <v>4</v>
      </c>
      <c r="F886" s="11" t="s">
        <v>45</v>
      </c>
      <c r="G886" s="11" t="s">
        <v>45</v>
      </c>
      <c r="H886" s="31" t="str" cm="1">
        <f t="array" ref="H886">_xlfn.IFS(
  ISBLANK(A886),"Missing Value",
  OR(E886&lt;1,E886&gt;5),"Review – Out of Range (Satisfaction)",
  ISNA(MATCH(B886,Customer_Master!$A$2:$A$1649,0)),"Retained – Unmatched ID (Anonymous Feedback Rule)",
  TRUE,"OK"
)</f>
        <v>Retained – Unmatched ID (Anonymous Feedback Rule)</v>
      </c>
      <c r="I886" s="17" t="b">
        <f>IF(COUNTIF(Customer_Master!$A:$A,B886)=0,TRUE,FALSE)</f>
        <v>1</v>
      </c>
    </row>
    <row r="887" spans="1:9" ht="33.6" x14ac:dyDescent="0.3">
      <c r="A887" s="14" t="s">
        <v>9094</v>
      </c>
      <c r="B887" s="14" t="s">
        <v>9095</v>
      </c>
      <c r="C887" s="15">
        <v>44741</v>
      </c>
      <c r="D887" s="14" t="s">
        <v>7940</v>
      </c>
      <c r="E887" s="14">
        <v>5</v>
      </c>
      <c r="F887" s="14" t="s">
        <v>45</v>
      </c>
      <c r="G887" s="14" t="s">
        <v>45</v>
      </c>
      <c r="H887" s="31" t="str" cm="1">
        <f t="array" ref="H887">_xlfn.IFS(
  ISBLANK(A887),"Missing Value",
  OR(E887&lt;1,E887&gt;5),"Review – Out of Range (Satisfaction)",
  ISNA(MATCH(B887,Customer_Master!$A$2:$A$1649,0)),"Retained – Unmatched ID (Anonymous Feedback Rule)",
  TRUE,"OK"
)</f>
        <v>Retained – Unmatched ID (Anonymous Feedback Rule)</v>
      </c>
      <c r="I887" s="18" t="b">
        <f>IF(COUNTIF(Customer_Master!$A:$A,B887)=0,TRUE,FALSE)</f>
        <v>1</v>
      </c>
    </row>
    <row r="888" spans="1:9" ht="16.8" x14ac:dyDescent="0.3">
      <c r="A888" s="11" t="s">
        <v>9096</v>
      </c>
      <c r="B888" s="11" t="s">
        <v>1857</v>
      </c>
      <c r="C888" s="12">
        <v>44809</v>
      </c>
      <c r="D888" s="11" t="s">
        <v>7937</v>
      </c>
      <c r="E888" s="11">
        <v>5</v>
      </c>
      <c r="F888" s="11" t="s">
        <v>46</v>
      </c>
      <c r="G888" s="11" t="s">
        <v>45</v>
      </c>
      <c r="H888" s="31" t="str" cm="1">
        <f t="array" ref="H888">_xlfn.IFS(
  ISBLANK(A888),"Missing Value",
  OR(E888&lt;1,E888&gt;5),"Review – Out of Range (Satisfaction)",
  ISNA(MATCH(B888,Customer_Master!$A$2:$A$1649,0)),"Retained – Unmatched ID (Anonymous Feedback Rule)",
  TRUE,"OK"
)</f>
        <v>OK</v>
      </c>
      <c r="I888" s="17" t="b">
        <f>IF(COUNTIF(Customer_Master!$A:$A,B888)=0,TRUE,FALSE)</f>
        <v>0</v>
      </c>
    </row>
    <row r="889" spans="1:9" ht="33.6" x14ac:dyDescent="0.3">
      <c r="A889" s="14" t="s">
        <v>9097</v>
      </c>
      <c r="B889" s="14" t="s">
        <v>8507</v>
      </c>
      <c r="C889" s="15">
        <v>45105</v>
      </c>
      <c r="D889" s="14" t="s">
        <v>7935</v>
      </c>
      <c r="E889" s="14">
        <v>5</v>
      </c>
      <c r="F889" s="14" t="s">
        <v>46</v>
      </c>
      <c r="G889" s="14" t="s">
        <v>46</v>
      </c>
      <c r="H889" s="31" t="str" cm="1">
        <f t="array" ref="H889">_xlfn.IFS(
  ISBLANK(A889),"Missing Value",
  OR(E889&lt;1,E889&gt;5),"Review – Out of Range (Satisfaction)",
  ISNA(MATCH(B889,Customer_Master!$A$2:$A$1649,0)),"Retained – Unmatched ID (Anonymous Feedback Rule)",
  TRUE,"OK"
)</f>
        <v>Retained – Unmatched ID (Anonymous Feedback Rule)</v>
      </c>
      <c r="I889" s="18" t="b">
        <f>IF(COUNTIF(Customer_Master!$A:$A,B889)=0,TRUE,FALSE)</f>
        <v>1</v>
      </c>
    </row>
    <row r="890" spans="1:9" ht="33.6" x14ac:dyDescent="0.3">
      <c r="A890" s="11" t="s">
        <v>9098</v>
      </c>
      <c r="B890" s="11" t="s">
        <v>9099</v>
      </c>
      <c r="C890" s="12">
        <v>44306</v>
      </c>
      <c r="D890" s="11" t="s">
        <v>7928</v>
      </c>
      <c r="E890" s="11">
        <v>1</v>
      </c>
      <c r="F890" s="11" t="s">
        <v>45</v>
      </c>
      <c r="G890" s="11" t="s">
        <v>45</v>
      </c>
      <c r="H890" s="31" t="str" cm="1">
        <f t="array" ref="H890">_xlfn.IFS(
  ISBLANK(A890),"Missing Value",
  OR(E890&lt;1,E890&gt;5),"Review – Out of Range (Satisfaction)",
  ISNA(MATCH(B890,Customer_Master!$A$2:$A$1649,0)),"Retained – Unmatched ID (Anonymous Feedback Rule)",
  TRUE,"OK"
)</f>
        <v>Retained – Unmatched ID (Anonymous Feedback Rule)</v>
      </c>
      <c r="I890" s="17" t="b">
        <f>IF(COUNTIF(Customer_Master!$A:$A,B890)=0,TRUE,FALSE)</f>
        <v>1</v>
      </c>
    </row>
    <row r="891" spans="1:9" ht="16.8" x14ac:dyDescent="0.3">
      <c r="A891" s="14" t="s">
        <v>9100</v>
      </c>
      <c r="B891" s="14" t="s">
        <v>2905</v>
      </c>
      <c r="C891" s="15">
        <v>44520</v>
      </c>
      <c r="D891" s="14" t="s">
        <v>7969</v>
      </c>
      <c r="E891" s="14">
        <v>2</v>
      </c>
      <c r="F891" s="14" t="s">
        <v>46</v>
      </c>
      <c r="G891" s="14" t="s">
        <v>46</v>
      </c>
      <c r="H891" s="31" t="str" cm="1">
        <f t="array" ref="H891">_xlfn.IFS(
  ISBLANK(A891),"Missing Value",
  OR(E891&lt;1,E891&gt;5),"Review – Out of Range (Satisfaction)",
  ISNA(MATCH(B891,Customer_Master!$A$2:$A$1649,0)),"Retained – Unmatched ID (Anonymous Feedback Rule)",
  TRUE,"OK"
)</f>
        <v>OK</v>
      </c>
      <c r="I891" s="18" t="b">
        <f>IF(COUNTIF(Customer_Master!$A:$A,B891)=0,TRUE,FALSE)</f>
        <v>0</v>
      </c>
    </row>
    <row r="892" spans="1:9" ht="16.8" x14ac:dyDescent="0.3">
      <c r="A892" s="11" t="s">
        <v>9101</v>
      </c>
      <c r="B892" s="11" t="s">
        <v>3102</v>
      </c>
      <c r="C892" s="12">
        <v>44959</v>
      </c>
      <c r="D892" s="11" t="s">
        <v>7928</v>
      </c>
      <c r="E892" s="11">
        <v>2</v>
      </c>
      <c r="F892" s="11" t="s">
        <v>45</v>
      </c>
      <c r="G892" s="11" t="s">
        <v>46</v>
      </c>
      <c r="H892" s="31" t="str" cm="1">
        <f t="array" ref="H892">_xlfn.IFS(
  ISBLANK(A892),"Missing Value",
  OR(E892&lt;1,E892&gt;5),"Review – Out of Range (Satisfaction)",
  ISNA(MATCH(B892,Customer_Master!$A$2:$A$1649,0)),"Retained – Unmatched ID (Anonymous Feedback Rule)",
  TRUE,"OK"
)</f>
        <v>OK</v>
      </c>
      <c r="I892" s="17" t="b">
        <f>IF(COUNTIF(Customer_Master!$A:$A,B892)=0,TRUE,FALSE)</f>
        <v>0</v>
      </c>
    </row>
    <row r="893" spans="1:9" ht="16.8" x14ac:dyDescent="0.3">
      <c r="A893" s="14" t="s">
        <v>9102</v>
      </c>
      <c r="B893" s="14" t="s">
        <v>2747</v>
      </c>
      <c r="C893" s="15">
        <v>44364</v>
      </c>
      <c r="D893" s="14" t="s">
        <v>7937</v>
      </c>
      <c r="E893" s="14">
        <v>4</v>
      </c>
      <c r="F893" s="14" t="s">
        <v>46</v>
      </c>
      <c r="G893" s="14" t="s">
        <v>46</v>
      </c>
      <c r="H893" s="31" t="str" cm="1">
        <f t="array" ref="H893">_xlfn.IFS(
  ISBLANK(A893),"Missing Value",
  OR(E893&lt;1,E893&gt;5),"Review – Out of Range (Satisfaction)",
  ISNA(MATCH(B893,Customer_Master!$A$2:$A$1649,0)),"Retained – Unmatched ID (Anonymous Feedback Rule)",
  TRUE,"OK"
)</f>
        <v>OK</v>
      </c>
      <c r="I893" s="18" t="b">
        <f>IF(COUNTIF(Customer_Master!$A:$A,B893)=0,TRUE,FALSE)</f>
        <v>0</v>
      </c>
    </row>
    <row r="894" spans="1:9" ht="33.6" x14ac:dyDescent="0.3">
      <c r="A894" s="11" t="s">
        <v>9103</v>
      </c>
      <c r="B894" s="11" t="s">
        <v>9104</v>
      </c>
      <c r="C894" s="12">
        <v>44225</v>
      </c>
      <c r="D894" s="11" t="s">
        <v>7928</v>
      </c>
      <c r="E894" s="11">
        <v>2</v>
      </c>
      <c r="F894" s="11" t="s">
        <v>46</v>
      </c>
      <c r="G894" s="11" t="s">
        <v>46</v>
      </c>
      <c r="H894" s="31" t="str" cm="1">
        <f t="array" ref="H894">_xlfn.IFS(
  ISBLANK(A894),"Missing Value",
  OR(E894&lt;1,E894&gt;5),"Review – Out of Range (Satisfaction)",
  ISNA(MATCH(B894,Customer_Master!$A$2:$A$1649,0)),"Retained – Unmatched ID (Anonymous Feedback Rule)",
  TRUE,"OK"
)</f>
        <v>Retained – Unmatched ID (Anonymous Feedback Rule)</v>
      </c>
      <c r="I894" s="17" t="b">
        <f>IF(COUNTIF(Customer_Master!$A:$A,B894)=0,TRUE,FALSE)</f>
        <v>1</v>
      </c>
    </row>
    <row r="895" spans="1:9" ht="16.8" x14ac:dyDescent="0.3">
      <c r="A895" s="14" t="s">
        <v>9105</v>
      </c>
      <c r="B895" s="14" t="s">
        <v>1259</v>
      </c>
      <c r="C895" s="15">
        <v>43896</v>
      </c>
      <c r="D895" s="14" t="s">
        <v>7969</v>
      </c>
      <c r="E895" s="14">
        <v>1</v>
      </c>
      <c r="F895" s="14" t="s">
        <v>46</v>
      </c>
      <c r="G895" s="14" t="s">
        <v>45</v>
      </c>
      <c r="H895" s="31" t="str" cm="1">
        <f t="array" ref="H895">_xlfn.IFS(
  ISBLANK(A895),"Missing Value",
  OR(E895&lt;1,E895&gt;5),"Review – Out of Range (Satisfaction)",
  ISNA(MATCH(B895,Customer_Master!$A$2:$A$1649,0)),"Retained – Unmatched ID (Anonymous Feedback Rule)",
  TRUE,"OK"
)</f>
        <v>OK</v>
      </c>
      <c r="I895" s="18" t="b">
        <f>IF(COUNTIF(Customer_Master!$A:$A,B895)=0,TRUE,FALSE)</f>
        <v>0</v>
      </c>
    </row>
    <row r="896" spans="1:9" ht="16.8" x14ac:dyDescent="0.3">
      <c r="A896" s="11" t="s">
        <v>9106</v>
      </c>
      <c r="B896" s="11" t="s">
        <v>593</v>
      </c>
      <c r="C896" s="12">
        <v>44189</v>
      </c>
      <c r="D896" s="11" t="s">
        <v>7928</v>
      </c>
      <c r="E896" s="11">
        <v>3</v>
      </c>
      <c r="F896" s="11" t="s">
        <v>46</v>
      </c>
      <c r="G896" s="11" t="s">
        <v>45</v>
      </c>
      <c r="H896" s="31" t="str" cm="1">
        <f t="array" ref="H896">_xlfn.IFS(
  ISBLANK(A896),"Missing Value",
  OR(E896&lt;1,E896&gt;5),"Review – Out of Range (Satisfaction)",
  ISNA(MATCH(B896,Customer_Master!$A$2:$A$1649,0)),"Retained – Unmatched ID (Anonymous Feedback Rule)",
  TRUE,"OK"
)</f>
        <v>OK</v>
      </c>
      <c r="I896" s="17" t="b">
        <f>IF(COUNTIF(Customer_Master!$A:$A,B896)=0,TRUE,FALSE)</f>
        <v>0</v>
      </c>
    </row>
    <row r="897" spans="1:9" ht="16.8" x14ac:dyDescent="0.3">
      <c r="A897" s="14" t="s">
        <v>9107</v>
      </c>
      <c r="B897" s="14" t="s">
        <v>212</v>
      </c>
      <c r="C897" s="15">
        <v>44934</v>
      </c>
      <c r="D897" s="14" t="s">
        <v>7937</v>
      </c>
      <c r="E897" s="14">
        <v>5</v>
      </c>
      <c r="F897" s="14" t="s">
        <v>45</v>
      </c>
      <c r="G897" s="14" t="s">
        <v>45</v>
      </c>
      <c r="H897" s="31" t="str" cm="1">
        <f t="array" ref="H897">_xlfn.IFS(
  ISBLANK(A897),"Missing Value",
  OR(E897&lt;1,E897&gt;5),"Review – Out of Range (Satisfaction)",
  ISNA(MATCH(B897,Customer_Master!$A$2:$A$1649,0)),"Retained – Unmatched ID (Anonymous Feedback Rule)",
  TRUE,"OK"
)</f>
        <v>OK</v>
      </c>
      <c r="I897" s="18" t="b">
        <f>IF(COUNTIF(Customer_Master!$A:$A,B897)=0,TRUE,FALSE)</f>
        <v>0</v>
      </c>
    </row>
    <row r="898" spans="1:9" ht="16.8" x14ac:dyDescent="0.3">
      <c r="A898" s="11" t="s">
        <v>9108</v>
      </c>
      <c r="B898" s="11" t="s">
        <v>1795</v>
      </c>
      <c r="C898" s="12">
        <v>43832</v>
      </c>
      <c r="D898" s="11" t="s">
        <v>7940</v>
      </c>
      <c r="E898" s="11">
        <v>4</v>
      </c>
      <c r="F898" s="11" t="s">
        <v>45</v>
      </c>
      <c r="G898" s="11" t="s">
        <v>46</v>
      </c>
      <c r="H898" s="31" t="str" cm="1">
        <f t="array" ref="H898">_xlfn.IFS(
  ISBLANK(A898),"Missing Value",
  OR(E898&lt;1,E898&gt;5),"Review – Out of Range (Satisfaction)",
  ISNA(MATCH(B898,Customer_Master!$A$2:$A$1649,0)),"Retained – Unmatched ID (Anonymous Feedback Rule)",
  TRUE,"OK"
)</f>
        <v>OK</v>
      </c>
      <c r="I898" s="17" t="b">
        <f>IF(COUNTIF(Customer_Master!$A:$A,B898)=0,TRUE,FALSE)</f>
        <v>0</v>
      </c>
    </row>
    <row r="899" spans="1:9" ht="33.6" x14ac:dyDescent="0.3">
      <c r="A899" s="14" t="s">
        <v>9109</v>
      </c>
      <c r="B899" s="14" t="s">
        <v>8373</v>
      </c>
      <c r="C899" s="15">
        <v>44412</v>
      </c>
      <c r="D899" s="14" t="s">
        <v>7933</v>
      </c>
      <c r="E899" s="14">
        <v>3</v>
      </c>
      <c r="F899" s="14" t="s">
        <v>45</v>
      </c>
      <c r="G899" s="14" t="s">
        <v>46</v>
      </c>
      <c r="H899" s="31" t="str" cm="1">
        <f t="array" ref="H899">_xlfn.IFS(
  ISBLANK(A899),"Missing Value",
  OR(E899&lt;1,E899&gt;5),"Review – Out of Range (Satisfaction)",
  ISNA(MATCH(B899,Customer_Master!$A$2:$A$1649,0)),"Retained – Unmatched ID (Anonymous Feedback Rule)",
  TRUE,"OK"
)</f>
        <v>Retained – Unmatched ID (Anonymous Feedback Rule)</v>
      </c>
      <c r="I899" s="18" t="b">
        <f>IF(COUNTIF(Customer_Master!$A:$A,B899)=0,TRUE,FALSE)</f>
        <v>1</v>
      </c>
    </row>
    <row r="900" spans="1:9" ht="16.8" x14ac:dyDescent="0.3">
      <c r="A900" s="11" t="s">
        <v>9110</v>
      </c>
      <c r="B900" s="11" t="s">
        <v>236</v>
      </c>
      <c r="C900" s="12">
        <v>44471</v>
      </c>
      <c r="D900" s="11" t="s">
        <v>7933</v>
      </c>
      <c r="E900" s="11">
        <v>3</v>
      </c>
      <c r="F900" s="11" t="s">
        <v>45</v>
      </c>
      <c r="G900" s="11" t="s">
        <v>46</v>
      </c>
      <c r="H900" s="31" t="str" cm="1">
        <f t="array" ref="H900">_xlfn.IFS(
  ISBLANK(A900),"Missing Value",
  OR(E900&lt;1,E900&gt;5),"Review – Out of Range (Satisfaction)",
  ISNA(MATCH(B900,Customer_Master!$A$2:$A$1649,0)),"Retained – Unmatched ID (Anonymous Feedback Rule)",
  TRUE,"OK"
)</f>
        <v>OK</v>
      </c>
      <c r="I900" s="17" t="b">
        <f>IF(COUNTIF(Customer_Master!$A:$A,B900)=0,TRUE,FALSE)</f>
        <v>0</v>
      </c>
    </row>
    <row r="901" spans="1:9" ht="33.6" x14ac:dyDescent="0.3">
      <c r="A901" s="14" t="s">
        <v>9111</v>
      </c>
      <c r="B901" s="14" t="s">
        <v>9112</v>
      </c>
      <c r="C901" s="15">
        <v>45110</v>
      </c>
      <c r="D901" s="14" t="s">
        <v>7933</v>
      </c>
      <c r="E901" s="14">
        <v>2</v>
      </c>
      <c r="F901" s="14" t="s">
        <v>45</v>
      </c>
      <c r="G901" s="14" t="s">
        <v>46</v>
      </c>
      <c r="H901" s="31" t="str" cm="1">
        <f t="array" ref="H901">_xlfn.IFS(
  ISBLANK(A901),"Missing Value",
  OR(E901&lt;1,E901&gt;5),"Review – Out of Range (Satisfaction)",
  ISNA(MATCH(B901,Customer_Master!$A$2:$A$1649,0)),"Retained – Unmatched ID (Anonymous Feedback Rule)",
  TRUE,"OK"
)</f>
        <v>Retained – Unmatched ID (Anonymous Feedback Rule)</v>
      </c>
      <c r="I901" s="18" t="b">
        <f>IF(COUNTIF(Customer_Master!$A:$A,B901)=0,TRUE,FALSE)</f>
        <v>1</v>
      </c>
    </row>
    <row r="902" spans="1:9" ht="16.8" x14ac:dyDescent="0.3">
      <c r="A902" s="11" t="s">
        <v>9113</v>
      </c>
      <c r="B902" s="11" t="s">
        <v>190</v>
      </c>
      <c r="C902" s="12">
        <v>44094</v>
      </c>
      <c r="D902" s="11" t="s">
        <v>7935</v>
      </c>
      <c r="E902" s="11">
        <v>4</v>
      </c>
      <c r="F902" s="11" t="s">
        <v>45</v>
      </c>
      <c r="G902" s="11" t="s">
        <v>46</v>
      </c>
      <c r="H902" s="31" t="str" cm="1">
        <f t="array" ref="H902">_xlfn.IFS(
  ISBLANK(A902),"Missing Value",
  OR(E902&lt;1,E902&gt;5),"Review – Out of Range (Satisfaction)",
  ISNA(MATCH(B902,Customer_Master!$A$2:$A$1649,0)),"Retained – Unmatched ID (Anonymous Feedback Rule)",
  TRUE,"OK"
)</f>
        <v>OK</v>
      </c>
      <c r="I902" s="17" t="b">
        <f>IF(COUNTIF(Customer_Master!$A:$A,B902)=0,TRUE,FALSE)</f>
        <v>0</v>
      </c>
    </row>
    <row r="903" spans="1:9" ht="33.6" x14ac:dyDescent="0.3">
      <c r="A903" s="14" t="s">
        <v>9114</v>
      </c>
      <c r="B903" s="14" t="s">
        <v>9115</v>
      </c>
      <c r="C903" s="15">
        <v>44486</v>
      </c>
      <c r="D903" s="14" t="s">
        <v>7947</v>
      </c>
      <c r="E903" s="14">
        <v>3</v>
      </c>
      <c r="F903" s="14" t="s">
        <v>46</v>
      </c>
      <c r="G903" s="14" t="s">
        <v>46</v>
      </c>
      <c r="H903" s="31" t="str" cm="1">
        <f t="array" ref="H903">_xlfn.IFS(
  ISBLANK(A903),"Missing Value",
  OR(E903&lt;1,E903&gt;5),"Review – Out of Range (Satisfaction)",
  ISNA(MATCH(B903,Customer_Master!$A$2:$A$1649,0)),"Retained – Unmatched ID (Anonymous Feedback Rule)",
  TRUE,"OK"
)</f>
        <v>Retained – Unmatched ID (Anonymous Feedback Rule)</v>
      </c>
      <c r="I903" s="18" t="b">
        <f>IF(COUNTIF(Customer_Master!$A:$A,B903)=0,TRUE,FALSE)</f>
        <v>1</v>
      </c>
    </row>
    <row r="904" spans="1:9" ht="16.8" x14ac:dyDescent="0.3">
      <c r="A904" s="11" t="s">
        <v>9116</v>
      </c>
      <c r="B904" s="11" t="s">
        <v>370</v>
      </c>
      <c r="C904" s="12">
        <v>44586</v>
      </c>
      <c r="D904" s="11" t="s">
        <v>7969</v>
      </c>
      <c r="E904" s="11">
        <v>2</v>
      </c>
      <c r="F904" s="11" t="s">
        <v>46</v>
      </c>
      <c r="G904" s="11" t="s">
        <v>46</v>
      </c>
      <c r="H904" s="31" t="str" cm="1">
        <f t="array" ref="H904">_xlfn.IFS(
  ISBLANK(A904),"Missing Value",
  OR(E904&lt;1,E904&gt;5),"Review – Out of Range (Satisfaction)",
  ISNA(MATCH(B904,Customer_Master!$A$2:$A$1649,0)),"Retained – Unmatched ID (Anonymous Feedback Rule)",
  TRUE,"OK"
)</f>
        <v>OK</v>
      </c>
      <c r="I904" s="17" t="b">
        <f>IF(COUNTIF(Customer_Master!$A:$A,B904)=0,TRUE,FALSE)</f>
        <v>0</v>
      </c>
    </row>
    <row r="905" spans="1:9" ht="33.6" x14ac:dyDescent="0.3">
      <c r="A905" s="14" t="s">
        <v>9117</v>
      </c>
      <c r="B905" s="14" t="s">
        <v>9118</v>
      </c>
      <c r="C905" s="15">
        <v>45073</v>
      </c>
      <c r="D905" s="14" t="s">
        <v>7933</v>
      </c>
      <c r="E905" s="14">
        <v>3</v>
      </c>
      <c r="F905" s="14" t="s">
        <v>45</v>
      </c>
      <c r="G905" s="14" t="s">
        <v>45</v>
      </c>
      <c r="H905" s="31" t="str" cm="1">
        <f t="array" ref="H905">_xlfn.IFS(
  ISBLANK(A905),"Missing Value",
  OR(E905&lt;1,E905&gt;5),"Review – Out of Range (Satisfaction)",
  ISNA(MATCH(B905,Customer_Master!$A$2:$A$1649,0)),"Retained – Unmatched ID (Anonymous Feedback Rule)",
  TRUE,"OK"
)</f>
        <v>Retained – Unmatched ID (Anonymous Feedback Rule)</v>
      </c>
      <c r="I905" s="18" t="b">
        <f>IF(COUNTIF(Customer_Master!$A:$A,B905)=0,TRUE,FALSE)</f>
        <v>1</v>
      </c>
    </row>
    <row r="906" spans="1:9" ht="16.8" x14ac:dyDescent="0.3">
      <c r="A906" s="11" t="s">
        <v>9119</v>
      </c>
      <c r="B906" s="11" t="s">
        <v>1021</v>
      </c>
      <c r="C906" s="12">
        <v>45183</v>
      </c>
      <c r="D906" s="11" t="s">
        <v>7928</v>
      </c>
      <c r="E906" s="11">
        <v>3</v>
      </c>
      <c r="F906" s="11" t="s">
        <v>46</v>
      </c>
      <c r="G906" s="11" t="s">
        <v>46</v>
      </c>
      <c r="H906" s="31" t="str" cm="1">
        <f t="array" ref="H906">_xlfn.IFS(
  ISBLANK(A906),"Missing Value",
  OR(E906&lt;1,E906&gt;5),"Review – Out of Range (Satisfaction)",
  ISNA(MATCH(B906,Customer_Master!$A$2:$A$1649,0)),"Retained – Unmatched ID (Anonymous Feedback Rule)",
  TRUE,"OK"
)</f>
        <v>OK</v>
      </c>
      <c r="I906" s="17" t="b">
        <f>IF(COUNTIF(Customer_Master!$A:$A,B906)=0,TRUE,FALSE)</f>
        <v>0</v>
      </c>
    </row>
    <row r="907" spans="1:9" ht="33.6" x14ac:dyDescent="0.3">
      <c r="A907" s="14" t="s">
        <v>9120</v>
      </c>
      <c r="B907" s="14" t="s">
        <v>9121</v>
      </c>
      <c r="C907" s="15">
        <v>43857</v>
      </c>
      <c r="D907" s="14" t="s">
        <v>7935</v>
      </c>
      <c r="E907" s="14">
        <v>4</v>
      </c>
      <c r="F907" s="14" t="s">
        <v>45</v>
      </c>
      <c r="G907" s="14" t="s">
        <v>45</v>
      </c>
      <c r="H907" s="31" t="str" cm="1">
        <f t="array" ref="H907">_xlfn.IFS(
  ISBLANK(A907),"Missing Value",
  OR(E907&lt;1,E907&gt;5),"Review – Out of Range (Satisfaction)",
  ISNA(MATCH(B907,Customer_Master!$A$2:$A$1649,0)),"Retained – Unmatched ID (Anonymous Feedback Rule)",
  TRUE,"OK"
)</f>
        <v>Retained – Unmatched ID (Anonymous Feedback Rule)</v>
      </c>
      <c r="I907" s="18" t="b">
        <f>IF(COUNTIF(Customer_Master!$A:$A,B907)=0,TRUE,FALSE)</f>
        <v>1</v>
      </c>
    </row>
    <row r="908" spans="1:9" ht="16.8" x14ac:dyDescent="0.3">
      <c r="A908" s="11" t="s">
        <v>9122</v>
      </c>
      <c r="B908" s="11" t="s">
        <v>603</v>
      </c>
      <c r="C908" s="12">
        <v>44182</v>
      </c>
      <c r="D908" s="11" t="s">
        <v>7928</v>
      </c>
      <c r="E908" s="11">
        <v>1</v>
      </c>
      <c r="F908" s="11" t="s">
        <v>46</v>
      </c>
      <c r="G908" s="11" t="s">
        <v>45</v>
      </c>
      <c r="H908" s="31" t="str" cm="1">
        <f t="array" ref="H908">_xlfn.IFS(
  ISBLANK(A908),"Missing Value",
  OR(E908&lt;1,E908&gt;5),"Review – Out of Range (Satisfaction)",
  ISNA(MATCH(B908,Customer_Master!$A$2:$A$1649,0)),"Retained – Unmatched ID (Anonymous Feedback Rule)",
  TRUE,"OK"
)</f>
        <v>OK</v>
      </c>
      <c r="I908" s="17" t="b">
        <f>IF(COUNTIF(Customer_Master!$A:$A,B908)=0,TRUE,FALSE)</f>
        <v>0</v>
      </c>
    </row>
    <row r="909" spans="1:9" ht="16.8" x14ac:dyDescent="0.3">
      <c r="A909" s="14" t="s">
        <v>9123</v>
      </c>
      <c r="B909" s="14" t="s">
        <v>1199</v>
      </c>
      <c r="C909" s="15">
        <v>44031</v>
      </c>
      <c r="D909" s="14" t="s">
        <v>7933</v>
      </c>
      <c r="E909" s="14">
        <v>2</v>
      </c>
      <c r="F909" s="14" t="s">
        <v>45</v>
      </c>
      <c r="G909" s="14" t="s">
        <v>45</v>
      </c>
      <c r="H909" s="31" t="str" cm="1">
        <f t="array" ref="H909">_xlfn.IFS(
  ISBLANK(A909),"Missing Value",
  OR(E909&lt;1,E909&gt;5),"Review – Out of Range (Satisfaction)",
  ISNA(MATCH(B909,Customer_Master!$A$2:$A$1649,0)),"Retained – Unmatched ID (Anonymous Feedback Rule)",
  TRUE,"OK"
)</f>
        <v>OK</v>
      </c>
      <c r="I909" s="18" t="b">
        <f>IF(COUNTIF(Customer_Master!$A:$A,B909)=0,TRUE,FALSE)</f>
        <v>0</v>
      </c>
    </row>
    <row r="910" spans="1:9" ht="16.8" x14ac:dyDescent="0.3">
      <c r="A910" s="11" t="s">
        <v>9124</v>
      </c>
      <c r="B910" s="11" t="s">
        <v>1507</v>
      </c>
      <c r="C910" s="12">
        <v>43982</v>
      </c>
      <c r="D910" s="11" t="s">
        <v>7931</v>
      </c>
      <c r="E910" s="11">
        <v>4</v>
      </c>
      <c r="F910" s="11" t="s">
        <v>45</v>
      </c>
      <c r="G910" s="11" t="s">
        <v>46</v>
      </c>
      <c r="H910" s="31" t="str" cm="1">
        <f t="array" ref="H910">_xlfn.IFS(
  ISBLANK(A910),"Missing Value",
  OR(E910&lt;1,E910&gt;5),"Review – Out of Range (Satisfaction)",
  ISNA(MATCH(B910,Customer_Master!$A$2:$A$1649,0)),"Retained – Unmatched ID (Anonymous Feedback Rule)",
  TRUE,"OK"
)</f>
        <v>OK</v>
      </c>
      <c r="I910" s="17" t="b">
        <f>IF(COUNTIF(Customer_Master!$A:$A,B910)=0,TRUE,FALSE)</f>
        <v>0</v>
      </c>
    </row>
    <row r="911" spans="1:9" ht="16.8" x14ac:dyDescent="0.3">
      <c r="A911" s="14" t="s">
        <v>9125</v>
      </c>
      <c r="B911" s="14" t="s">
        <v>228</v>
      </c>
      <c r="C911" s="15">
        <v>45268</v>
      </c>
      <c r="D911" s="14" t="s">
        <v>7940</v>
      </c>
      <c r="E911" s="14">
        <v>5</v>
      </c>
      <c r="F911" s="14" t="s">
        <v>45</v>
      </c>
      <c r="G911" s="14" t="s">
        <v>45</v>
      </c>
      <c r="H911" s="31" t="str" cm="1">
        <f t="array" ref="H911">_xlfn.IFS(
  ISBLANK(A911),"Missing Value",
  OR(E911&lt;1,E911&gt;5),"Review – Out of Range (Satisfaction)",
  ISNA(MATCH(B911,Customer_Master!$A$2:$A$1649,0)),"Retained – Unmatched ID (Anonymous Feedback Rule)",
  TRUE,"OK"
)</f>
        <v>OK</v>
      </c>
      <c r="I911" s="18" t="b">
        <f>IF(COUNTIF(Customer_Master!$A:$A,B911)=0,TRUE,FALSE)</f>
        <v>0</v>
      </c>
    </row>
    <row r="912" spans="1:9" ht="33.6" x14ac:dyDescent="0.3">
      <c r="A912" s="11" t="s">
        <v>9126</v>
      </c>
      <c r="B912" s="11" t="s">
        <v>9127</v>
      </c>
      <c r="C912" s="12">
        <v>44132</v>
      </c>
      <c r="D912" s="11" t="s">
        <v>7943</v>
      </c>
      <c r="E912" s="11">
        <v>3</v>
      </c>
      <c r="F912" s="11" t="s">
        <v>46</v>
      </c>
      <c r="G912" s="11" t="s">
        <v>45</v>
      </c>
      <c r="H912" s="31" t="str" cm="1">
        <f t="array" ref="H912">_xlfn.IFS(
  ISBLANK(A912),"Missing Value",
  OR(E912&lt;1,E912&gt;5),"Review – Out of Range (Satisfaction)",
  ISNA(MATCH(B912,Customer_Master!$A$2:$A$1649,0)),"Retained – Unmatched ID (Anonymous Feedback Rule)",
  TRUE,"OK"
)</f>
        <v>Retained – Unmatched ID (Anonymous Feedback Rule)</v>
      </c>
      <c r="I912" s="17" t="b">
        <f>IF(COUNTIF(Customer_Master!$A:$A,B912)=0,TRUE,FALSE)</f>
        <v>1</v>
      </c>
    </row>
    <row r="913" spans="1:9" ht="16.8" x14ac:dyDescent="0.3">
      <c r="A913" s="14" t="s">
        <v>9128</v>
      </c>
      <c r="B913" s="14" t="s">
        <v>699</v>
      </c>
      <c r="C913" s="15">
        <v>44798</v>
      </c>
      <c r="D913" s="14" t="s">
        <v>7943</v>
      </c>
      <c r="E913" s="14">
        <v>3</v>
      </c>
      <c r="F913" s="14" t="s">
        <v>46</v>
      </c>
      <c r="G913" s="14" t="s">
        <v>45</v>
      </c>
      <c r="H913" s="31" t="str" cm="1">
        <f t="array" ref="H913">_xlfn.IFS(
  ISBLANK(A913),"Missing Value",
  OR(E913&lt;1,E913&gt;5),"Review – Out of Range (Satisfaction)",
  ISNA(MATCH(B913,Customer_Master!$A$2:$A$1649,0)),"Retained – Unmatched ID (Anonymous Feedback Rule)",
  TRUE,"OK"
)</f>
        <v>OK</v>
      </c>
      <c r="I913" s="18" t="b">
        <f>IF(COUNTIF(Customer_Master!$A:$A,B913)=0,TRUE,FALSE)</f>
        <v>0</v>
      </c>
    </row>
    <row r="914" spans="1:9" ht="16.8" x14ac:dyDescent="0.3">
      <c r="A914" s="11" t="s">
        <v>9129</v>
      </c>
      <c r="B914" s="11" t="s">
        <v>3048</v>
      </c>
      <c r="C914" s="12">
        <v>43937</v>
      </c>
      <c r="D914" s="11" t="s">
        <v>7933</v>
      </c>
      <c r="E914" s="11">
        <v>2</v>
      </c>
      <c r="F914" s="11" t="s">
        <v>46</v>
      </c>
      <c r="G914" s="11" t="s">
        <v>46</v>
      </c>
      <c r="H914" s="31" t="str" cm="1">
        <f t="array" ref="H914">_xlfn.IFS(
  ISBLANK(A914),"Missing Value",
  OR(E914&lt;1,E914&gt;5),"Review – Out of Range (Satisfaction)",
  ISNA(MATCH(B914,Customer_Master!$A$2:$A$1649,0)),"Retained – Unmatched ID (Anonymous Feedback Rule)",
  TRUE,"OK"
)</f>
        <v>OK</v>
      </c>
      <c r="I914" s="17" t="b">
        <f>IF(COUNTIF(Customer_Master!$A:$A,B914)=0,TRUE,FALSE)</f>
        <v>0</v>
      </c>
    </row>
    <row r="915" spans="1:9" ht="16.8" x14ac:dyDescent="0.3">
      <c r="A915" s="14" t="s">
        <v>9130</v>
      </c>
      <c r="B915" s="14" t="s">
        <v>1417</v>
      </c>
      <c r="C915" s="15">
        <v>43837</v>
      </c>
      <c r="D915" s="14" t="s">
        <v>7931</v>
      </c>
      <c r="E915" s="14">
        <v>5</v>
      </c>
      <c r="F915" s="14" t="s">
        <v>46</v>
      </c>
      <c r="G915" s="14" t="s">
        <v>46</v>
      </c>
      <c r="H915" s="31" t="str" cm="1">
        <f t="array" ref="H915">_xlfn.IFS(
  ISBLANK(A915),"Missing Value",
  OR(E915&lt;1,E915&gt;5),"Review – Out of Range (Satisfaction)",
  ISNA(MATCH(B915,Customer_Master!$A$2:$A$1649,0)),"Retained – Unmatched ID (Anonymous Feedback Rule)",
  TRUE,"OK"
)</f>
        <v>OK</v>
      </c>
      <c r="I915" s="18" t="b">
        <f>IF(COUNTIF(Customer_Master!$A:$A,B915)=0,TRUE,FALSE)</f>
        <v>0</v>
      </c>
    </row>
    <row r="916" spans="1:9" ht="16.8" x14ac:dyDescent="0.3">
      <c r="A916" s="11" t="s">
        <v>9131</v>
      </c>
      <c r="B916" s="11" t="s">
        <v>889</v>
      </c>
      <c r="C916" s="12">
        <v>43913</v>
      </c>
      <c r="D916" s="11" t="s">
        <v>7969</v>
      </c>
      <c r="E916" s="11">
        <v>2</v>
      </c>
      <c r="F916" s="11" t="s">
        <v>46</v>
      </c>
      <c r="G916" s="11" t="s">
        <v>45</v>
      </c>
      <c r="H916" s="31" t="str" cm="1">
        <f t="array" ref="H916">_xlfn.IFS(
  ISBLANK(A916),"Missing Value",
  OR(E916&lt;1,E916&gt;5),"Review – Out of Range (Satisfaction)",
  ISNA(MATCH(B916,Customer_Master!$A$2:$A$1649,0)),"Retained – Unmatched ID (Anonymous Feedback Rule)",
  TRUE,"OK"
)</f>
        <v>OK</v>
      </c>
      <c r="I916" s="17" t="b">
        <f>IF(COUNTIF(Customer_Master!$A:$A,B916)=0,TRUE,FALSE)</f>
        <v>0</v>
      </c>
    </row>
    <row r="917" spans="1:9" ht="16.8" x14ac:dyDescent="0.3">
      <c r="A917" s="14" t="s">
        <v>9132</v>
      </c>
      <c r="B917" s="14" t="s">
        <v>1537</v>
      </c>
      <c r="C917" s="15">
        <v>43996</v>
      </c>
      <c r="D917" s="14" t="s">
        <v>7928</v>
      </c>
      <c r="E917" s="14">
        <v>3</v>
      </c>
      <c r="F917" s="14" t="s">
        <v>46</v>
      </c>
      <c r="G917" s="14" t="s">
        <v>45</v>
      </c>
      <c r="H917" s="31" t="str" cm="1">
        <f t="array" ref="H917">_xlfn.IFS(
  ISBLANK(A917),"Missing Value",
  OR(E917&lt;1,E917&gt;5),"Review – Out of Range (Satisfaction)",
  ISNA(MATCH(B917,Customer_Master!$A$2:$A$1649,0)),"Retained – Unmatched ID (Anonymous Feedback Rule)",
  TRUE,"OK"
)</f>
        <v>OK</v>
      </c>
      <c r="I917" s="18" t="b">
        <f>IF(COUNTIF(Customer_Master!$A:$A,B917)=0,TRUE,FALSE)</f>
        <v>0</v>
      </c>
    </row>
    <row r="918" spans="1:9" ht="16.8" x14ac:dyDescent="0.3">
      <c r="A918" s="11" t="s">
        <v>9133</v>
      </c>
      <c r="B918" s="11" t="s">
        <v>2567</v>
      </c>
      <c r="C918" s="12">
        <v>44333</v>
      </c>
      <c r="D918" s="11" t="s">
        <v>7933</v>
      </c>
      <c r="E918" s="11">
        <v>3</v>
      </c>
      <c r="F918" s="11" t="s">
        <v>46</v>
      </c>
      <c r="G918" s="11" t="s">
        <v>46</v>
      </c>
      <c r="H918" s="31" t="str" cm="1">
        <f t="array" ref="H918">_xlfn.IFS(
  ISBLANK(A918),"Missing Value",
  OR(E918&lt;1,E918&gt;5),"Review – Out of Range (Satisfaction)",
  ISNA(MATCH(B918,Customer_Master!$A$2:$A$1649,0)),"Retained – Unmatched ID (Anonymous Feedback Rule)",
  TRUE,"OK"
)</f>
        <v>OK</v>
      </c>
      <c r="I918" s="17" t="b">
        <f>IF(COUNTIF(Customer_Master!$A:$A,B918)=0,TRUE,FALSE)</f>
        <v>0</v>
      </c>
    </row>
    <row r="919" spans="1:9" ht="16.8" x14ac:dyDescent="0.3">
      <c r="A919" s="14" t="s">
        <v>9134</v>
      </c>
      <c r="B919" s="14" t="s">
        <v>2165</v>
      </c>
      <c r="C919" s="15">
        <v>44982</v>
      </c>
      <c r="D919" s="14" t="s">
        <v>7943</v>
      </c>
      <c r="E919" s="14">
        <v>1</v>
      </c>
      <c r="F919" s="14" t="s">
        <v>46</v>
      </c>
      <c r="G919" s="14" t="s">
        <v>46</v>
      </c>
      <c r="H919" s="31" t="str" cm="1">
        <f t="array" ref="H919">_xlfn.IFS(
  ISBLANK(A919),"Missing Value",
  OR(E919&lt;1,E919&gt;5),"Review – Out of Range (Satisfaction)",
  ISNA(MATCH(B919,Customer_Master!$A$2:$A$1649,0)),"Retained – Unmatched ID (Anonymous Feedback Rule)",
  TRUE,"OK"
)</f>
        <v>OK</v>
      </c>
      <c r="I919" s="18" t="b">
        <f>IF(COUNTIF(Customer_Master!$A:$A,B919)=0,TRUE,FALSE)</f>
        <v>0</v>
      </c>
    </row>
    <row r="920" spans="1:9" ht="16.8" x14ac:dyDescent="0.3">
      <c r="A920" s="11" t="s">
        <v>9135</v>
      </c>
      <c r="B920" s="11" t="s">
        <v>454</v>
      </c>
      <c r="C920" s="12">
        <v>44467</v>
      </c>
      <c r="D920" s="11" t="s">
        <v>7969</v>
      </c>
      <c r="E920" s="11">
        <v>1</v>
      </c>
      <c r="F920" s="11" t="s">
        <v>45</v>
      </c>
      <c r="G920" s="11" t="s">
        <v>46</v>
      </c>
      <c r="H920" s="31" t="str" cm="1">
        <f t="array" ref="H920">_xlfn.IFS(
  ISBLANK(A920),"Missing Value",
  OR(E920&lt;1,E920&gt;5),"Review – Out of Range (Satisfaction)",
  ISNA(MATCH(B920,Customer_Master!$A$2:$A$1649,0)),"Retained – Unmatched ID (Anonymous Feedback Rule)",
  TRUE,"OK"
)</f>
        <v>OK</v>
      </c>
      <c r="I920" s="17" t="b">
        <f>IF(COUNTIF(Customer_Master!$A:$A,B920)=0,TRUE,FALSE)</f>
        <v>0</v>
      </c>
    </row>
    <row r="921" spans="1:9" ht="33.6" x14ac:dyDescent="0.3">
      <c r="A921" s="14" t="s">
        <v>9136</v>
      </c>
      <c r="B921" s="14" t="s">
        <v>9137</v>
      </c>
      <c r="C921" s="15">
        <v>44318</v>
      </c>
      <c r="D921" s="14" t="s">
        <v>7947</v>
      </c>
      <c r="E921" s="14">
        <v>3</v>
      </c>
      <c r="F921" s="14" t="s">
        <v>45</v>
      </c>
      <c r="G921" s="14" t="s">
        <v>46</v>
      </c>
      <c r="H921" s="31" t="str" cm="1">
        <f t="array" ref="H921">_xlfn.IFS(
  ISBLANK(A921),"Missing Value",
  OR(E921&lt;1,E921&gt;5),"Review – Out of Range (Satisfaction)",
  ISNA(MATCH(B921,Customer_Master!$A$2:$A$1649,0)),"Retained – Unmatched ID (Anonymous Feedback Rule)",
  TRUE,"OK"
)</f>
        <v>Retained – Unmatched ID (Anonymous Feedback Rule)</v>
      </c>
      <c r="I921" s="18" t="b">
        <f>IF(COUNTIF(Customer_Master!$A:$A,B921)=0,TRUE,FALSE)</f>
        <v>1</v>
      </c>
    </row>
    <row r="922" spans="1:9" ht="33.6" x14ac:dyDescent="0.3">
      <c r="A922" s="11" t="s">
        <v>9138</v>
      </c>
      <c r="B922" s="11" t="s">
        <v>9139</v>
      </c>
      <c r="C922" s="12">
        <v>44005</v>
      </c>
      <c r="D922" s="11" t="s">
        <v>7940</v>
      </c>
      <c r="E922" s="11">
        <v>4</v>
      </c>
      <c r="F922" s="11" t="s">
        <v>46</v>
      </c>
      <c r="G922" s="11" t="s">
        <v>45</v>
      </c>
      <c r="H922" s="31" t="str" cm="1">
        <f t="array" ref="H922">_xlfn.IFS(
  ISBLANK(A922),"Missing Value",
  OR(E922&lt;1,E922&gt;5),"Review – Out of Range (Satisfaction)",
  ISNA(MATCH(B922,Customer_Master!$A$2:$A$1649,0)),"Retained – Unmatched ID (Anonymous Feedback Rule)",
  TRUE,"OK"
)</f>
        <v>Retained – Unmatched ID (Anonymous Feedback Rule)</v>
      </c>
      <c r="I922" s="17" t="b">
        <f>IF(COUNTIF(Customer_Master!$A:$A,B922)=0,TRUE,FALSE)</f>
        <v>1</v>
      </c>
    </row>
    <row r="923" spans="1:9" ht="33.6" x14ac:dyDescent="0.3">
      <c r="A923" s="14" t="s">
        <v>9140</v>
      </c>
      <c r="B923" s="14" t="s">
        <v>9141</v>
      </c>
      <c r="C923" s="15">
        <v>45290</v>
      </c>
      <c r="D923" s="14" t="s">
        <v>7969</v>
      </c>
      <c r="E923" s="14">
        <v>1</v>
      </c>
      <c r="F923" s="14" t="s">
        <v>46</v>
      </c>
      <c r="G923" s="14" t="s">
        <v>46</v>
      </c>
      <c r="H923" s="31" t="str" cm="1">
        <f t="array" ref="H923">_xlfn.IFS(
  ISBLANK(A923),"Missing Value",
  OR(E923&lt;1,E923&gt;5),"Review – Out of Range (Satisfaction)",
  ISNA(MATCH(B923,Customer_Master!$A$2:$A$1649,0)),"Retained – Unmatched ID (Anonymous Feedback Rule)",
  TRUE,"OK"
)</f>
        <v>Retained – Unmatched ID (Anonymous Feedback Rule)</v>
      </c>
      <c r="I923" s="18" t="b">
        <f>IF(COUNTIF(Customer_Master!$A:$A,B923)=0,TRUE,FALSE)</f>
        <v>1</v>
      </c>
    </row>
    <row r="924" spans="1:9" ht="16.8" x14ac:dyDescent="0.3">
      <c r="A924" s="11" t="s">
        <v>9142</v>
      </c>
      <c r="B924" s="11" t="s">
        <v>2859</v>
      </c>
      <c r="C924" s="12">
        <v>43911</v>
      </c>
      <c r="D924" s="11" t="s">
        <v>7969</v>
      </c>
      <c r="E924" s="11">
        <v>1</v>
      </c>
      <c r="F924" s="11" t="s">
        <v>46</v>
      </c>
      <c r="G924" s="11" t="s">
        <v>45</v>
      </c>
      <c r="H924" s="31" t="str" cm="1">
        <f t="array" ref="H924">_xlfn.IFS(
  ISBLANK(A924),"Missing Value",
  OR(E924&lt;1,E924&gt;5),"Review – Out of Range (Satisfaction)",
  ISNA(MATCH(B924,Customer_Master!$A$2:$A$1649,0)),"Retained – Unmatched ID (Anonymous Feedback Rule)",
  TRUE,"OK"
)</f>
        <v>OK</v>
      </c>
      <c r="I924" s="17" t="b">
        <f>IF(COUNTIF(Customer_Master!$A:$A,B924)=0,TRUE,FALSE)</f>
        <v>0</v>
      </c>
    </row>
    <row r="925" spans="1:9" ht="33.6" x14ac:dyDescent="0.3">
      <c r="A925" s="14" t="s">
        <v>9143</v>
      </c>
      <c r="B925" s="14" t="s">
        <v>9144</v>
      </c>
      <c r="C925" s="15">
        <v>44680</v>
      </c>
      <c r="D925" s="14" t="s">
        <v>7935</v>
      </c>
      <c r="E925" s="14">
        <v>4</v>
      </c>
      <c r="F925" s="14" t="s">
        <v>46</v>
      </c>
      <c r="G925" s="14" t="s">
        <v>45</v>
      </c>
      <c r="H925" s="31" t="str" cm="1">
        <f t="array" ref="H925">_xlfn.IFS(
  ISBLANK(A925),"Missing Value",
  OR(E925&lt;1,E925&gt;5),"Review – Out of Range (Satisfaction)",
  ISNA(MATCH(B925,Customer_Master!$A$2:$A$1649,0)),"Retained – Unmatched ID (Anonymous Feedback Rule)",
  TRUE,"OK"
)</f>
        <v>Retained – Unmatched ID (Anonymous Feedback Rule)</v>
      </c>
      <c r="I925" s="18" t="b">
        <f>IF(COUNTIF(Customer_Master!$A:$A,B925)=0,TRUE,FALSE)</f>
        <v>1</v>
      </c>
    </row>
    <row r="926" spans="1:9" ht="16.8" x14ac:dyDescent="0.3">
      <c r="A926" s="11" t="s">
        <v>9145</v>
      </c>
      <c r="B926" s="11" t="s">
        <v>1299</v>
      </c>
      <c r="C926" s="12">
        <v>44984</v>
      </c>
      <c r="D926" s="11" t="s">
        <v>7947</v>
      </c>
      <c r="E926" s="11">
        <v>4</v>
      </c>
      <c r="F926" s="11" t="s">
        <v>45</v>
      </c>
      <c r="G926" s="11" t="s">
        <v>46</v>
      </c>
      <c r="H926" s="31" t="str" cm="1">
        <f t="array" ref="H926">_xlfn.IFS(
  ISBLANK(A926),"Missing Value",
  OR(E926&lt;1,E926&gt;5),"Review – Out of Range (Satisfaction)",
  ISNA(MATCH(B926,Customer_Master!$A$2:$A$1649,0)),"Retained – Unmatched ID (Anonymous Feedback Rule)",
  TRUE,"OK"
)</f>
        <v>OK</v>
      </c>
      <c r="I926" s="17" t="b">
        <f>IF(COUNTIF(Customer_Master!$A:$A,B926)=0,TRUE,FALSE)</f>
        <v>0</v>
      </c>
    </row>
    <row r="927" spans="1:9" ht="16.8" x14ac:dyDescent="0.3">
      <c r="A927" s="14" t="s">
        <v>9146</v>
      </c>
      <c r="B927" s="14" t="s">
        <v>2917</v>
      </c>
      <c r="C927" s="15">
        <v>45263</v>
      </c>
      <c r="D927" s="14" t="s">
        <v>7931</v>
      </c>
      <c r="E927" s="14">
        <v>4</v>
      </c>
      <c r="F927" s="14" t="s">
        <v>46</v>
      </c>
      <c r="G927" s="14" t="s">
        <v>45</v>
      </c>
      <c r="H927" s="31" t="str" cm="1">
        <f t="array" ref="H927">_xlfn.IFS(
  ISBLANK(A927),"Missing Value",
  OR(E927&lt;1,E927&gt;5),"Review – Out of Range (Satisfaction)",
  ISNA(MATCH(B927,Customer_Master!$A$2:$A$1649,0)),"Retained – Unmatched ID (Anonymous Feedback Rule)",
  TRUE,"OK"
)</f>
        <v>OK</v>
      </c>
      <c r="I927" s="18" t="b">
        <f>IF(COUNTIF(Customer_Master!$A:$A,B927)=0,TRUE,FALSE)</f>
        <v>0</v>
      </c>
    </row>
    <row r="928" spans="1:9" ht="33.6" x14ac:dyDescent="0.3">
      <c r="A928" s="11" t="s">
        <v>9147</v>
      </c>
      <c r="B928" s="11" t="s">
        <v>9148</v>
      </c>
      <c r="C928" s="12">
        <v>44661</v>
      </c>
      <c r="D928" s="11" t="s">
        <v>7978</v>
      </c>
      <c r="E928" s="11">
        <v>3</v>
      </c>
      <c r="F928" s="11" t="s">
        <v>45</v>
      </c>
      <c r="G928" s="11" t="s">
        <v>46</v>
      </c>
      <c r="H928" s="31" t="str" cm="1">
        <f t="array" ref="H928">_xlfn.IFS(
  ISBLANK(A928),"Missing Value",
  OR(E928&lt;1,E928&gt;5),"Review – Out of Range (Satisfaction)",
  ISNA(MATCH(B928,Customer_Master!$A$2:$A$1649,0)),"Retained – Unmatched ID (Anonymous Feedback Rule)",
  TRUE,"OK"
)</f>
        <v>Retained – Unmatched ID (Anonymous Feedback Rule)</v>
      </c>
      <c r="I928" s="17" t="b">
        <f>IF(COUNTIF(Customer_Master!$A:$A,B928)=0,TRUE,FALSE)</f>
        <v>1</v>
      </c>
    </row>
    <row r="929" spans="1:9" ht="16.8" x14ac:dyDescent="0.3">
      <c r="A929" s="14" t="s">
        <v>9149</v>
      </c>
      <c r="B929" s="14" t="s">
        <v>2563</v>
      </c>
      <c r="C929" s="15">
        <v>43934</v>
      </c>
      <c r="D929" s="14" t="s">
        <v>7935</v>
      </c>
      <c r="E929" s="14">
        <v>4</v>
      </c>
      <c r="F929" s="14" t="s">
        <v>45</v>
      </c>
      <c r="G929" s="14" t="s">
        <v>45</v>
      </c>
      <c r="H929" s="31" t="str" cm="1">
        <f t="array" ref="H929">_xlfn.IFS(
  ISBLANK(A929),"Missing Value",
  OR(E929&lt;1,E929&gt;5),"Review – Out of Range (Satisfaction)",
  ISNA(MATCH(B929,Customer_Master!$A$2:$A$1649,0)),"Retained – Unmatched ID (Anonymous Feedback Rule)",
  TRUE,"OK"
)</f>
        <v>OK</v>
      </c>
      <c r="I929" s="18" t="b">
        <f>IF(COUNTIF(Customer_Master!$A:$A,B929)=0,TRUE,FALSE)</f>
        <v>0</v>
      </c>
    </row>
    <row r="930" spans="1:9" ht="16.8" x14ac:dyDescent="0.3">
      <c r="A930" s="11" t="s">
        <v>9150</v>
      </c>
      <c r="B930" s="11" t="s">
        <v>2125</v>
      </c>
      <c r="C930" s="12">
        <v>45053</v>
      </c>
      <c r="D930" s="11" t="s">
        <v>7928</v>
      </c>
      <c r="E930" s="11">
        <v>1</v>
      </c>
      <c r="F930" s="11" t="s">
        <v>45</v>
      </c>
      <c r="G930" s="11" t="s">
        <v>46</v>
      </c>
      <c r="H930" s="31" t="str" cm="1">
        <f t="array" ref="H930">_xlfn.IFS(
  ISBLANK(A930),"Missing Value",
  OR(E930&lt;1,E930&gt;5),"Review – Out of Range (Satisfaction)",
  ISNA(MATCH(B930,Customer_Master!$A$2:$A$1649,0)),"Retained – Unmatched ID (Anonymous Feedback Rule)",
  TRUE,"OK"
)</f>
        <v>OK</v>
      </c>
      <c r="I930" s="17" t="b">
        <f>IF(COUNTIF(Customer_Master!$A:$A,B930)=0,TRUE,FALSE)</f>
        <v>0</v>
      </c>
    </row>
    <row r="931" spans="1:9" ht="16.8" x14ac:dyDescent="0.3">
      <c r="A931" s="14" t="s">
        <v>9151</v>
      </c>
      <c r="B931" s="14" t="s">
        <v>2689</v>
      </c>
      <c r="C931" s="15">
        <v>44616</v>
      </c>
      <c r="D931" s="14" t="s">
        <v>7969</v>
      </c>
      <c r="E931" s="14">
        <v>1</v>
      </c>
      <c r="F931" s="14" t="s">
        <v>45</v>
      </c>
      <c r="G931" s="14" t="s">
        <v>46</v>
      </c>
      <c r="H931" s="31" t="str" cm="1">
        <f t="array" ref="H931">_xlfn.IFS(
  ISBLANK(A931),"Missing Value",
  OR(E931&lt;1,E931&gt;5),"Review – Out of Range (Satisfaction)",
  ISNA(MATCH(B931,Customer_Master!$A$2:$A$1649,0)),"Retained – Unmatched ID (Anonymous Feedback Rule)",
  TRUE,"OK"
)</f>
        <v>OK</v>
      </c>
      <c r="I931" s="18" t="b">
        <f>IF(COUNTIF(Customer_Master!$A:$A,B931)=0,TRUE,FALSE)</f>
        <v>0</v>
      </c>
    </row>
    <row r="932" spans="1:9" ht="16.8" x14ac:dyDescent="0.3">
      <c r="A932" s="11" t="s">
        <v>9152</v>
      </c>
      <c r="B932" s="11" t="s">
        <v>1297</v>
      </c>
      <c r="C932" s="12">
        <v>43993</v>
      </c>
      <c r="D932" s="11" t="s">
        <v>7969</v>
      </c>
      <c r="E932" s="11">
        <v>2</v>
      </c>
      <c r="F932" s="11" t="s">
        <v>45</v>
      </c>
      <c r="G932" s="11" t="s">
        <v>45</v>
      </c>
      <c r="H932" s="31" t="str" cm="1">
        <f t="array" ref="H932">_xlfn.IFS(
  ISBLANK(A932),"Missing Value",
  OR(E932&lt;1,E932&gt;5),"Review – Out of Range (Satisfaction)",
  ISNA(MATCH(B932,Customer_Master!$A$2:$A$1649,0)),"Retained – Unmatched ID (Anonymous Feedback Rule)",
  TRUE,"OK"
)</f>
        <v>OK</v>
      </c>
      <c r="I932" s="17" t="b">
        <f>IF(COUNTIF(Customer_Master!$A:$A,B932)=0,TRUE,FALSE)</f>
        <v>0</v>
      </c>
    </row>
    <row r="933" spans="1:9" ht="33.6" x14ac:dyDescent="0.3">
      <c r="A933" s="14" t="s">
        <v>9153</v>
      </c>
      <c r="B933" s="14" t="s">
        <v>9154</v>
      </c>
      <c r="C933" s="15">
        <v>43857</v>
      </c>
      <c r="D933" s="14" t="s">
        <v>7969</v>
      </c>
      <c r="E933" s="14">
        <v>2</v>
      </c>
      <c r="F933" s="14" t="s">
        <v>45</v>
      </c>
      <c r="G933" s="14" t="s">
        <v>45</v>
      </c>
      <c r="H933" s="31" t="str" cm="1">
        <f t="array" ref="H933">_xlfn.IFS(
  ISBLANK(A933),"Missing Value",
  OR(E933&lt;1,E933&gt;5),"Review – Out of Range (Satisfaction)",
  ISNA(MATCH(B933,Customer_Master!$A$2:$A$1649,0)),"Retained – Unmatched ID (Anonymous Feedback Rule)",
  TRUE,"OK"
)</f>
        <v>Retained – Unmatched ID (Anonymous Feedback Rule)</v>
      </c>
      <c r="I933" s="18" t="b">
        <f>IF(COUNTIF(Customer_Master!$A:$A,B933)=0,TRUE,FALSE)</f>
        <v>1</v>
      </c>
    </row>
    <row r="934" spans="1:9" ht="33.6" x14ac:dyDescent="0.3">
      <c r="A934" s="11" t="s">
        <v>9155</v>
      </c>
      <c r="B934" s="11" t="s">
        <v>9156</v>
      </c>
      <c r="C934" s="12">
        <v>44298</v>
      </c>
      <c r="D934" s="11" t="s">
        <v>7969</v>
      </c>
      <c r="E934" s="11">
        <v>1</v>
      </c>
      <c r="F934" s="11" t="s">
        <v>46</v>
      </c>
      <c r="G934" s="11" t="s">
        <v>45</v>
      </c>
      <c r="H934" s="31" t="str" cm="1">
        <f t="array" ref="H934">_xlfn.IFS(
  ISBLANK(A934),"Missing Value",
  OR(E934&lt;1,E934&gt;5),"Review – Out of Range (Satisfaction)",
  ISNA(MATCH(B934,Customer_Master!$A$2:$A$1649,0)),"Retained – Unmatched ID (Anonymous Feedback Rule)",
  TRUE,"OK"
)</f>
        <v>Retained – Unmatched ID (Anonymous Feedback Rule)</v>
      </c>
      <c r="I934" s="17" t="b">
        <f>IF(COUNTIF(Customer_Master!$A:$A,B934)=0,TRUE,FALSE)</f>
        <v>1</v>
      </c>
    </row>
    <row r="935" spans="1:9" ht="16.8" x14ac:dyDescent="0.3">
      <c r="A935" s="14" t="s">
        <v>9157</v>
      </c>
      <c r="B935" s="14" t="s">
        <v>3112</v>
      </c>
      <c r="C935" s="15">
        <v>45022</v>
      </c>
      <c r="D935" s="14" t="s">
        <v>7943</v>
      </c>
      <c r="E935" s="14">
        <v>1</v>
      </c>
      <c r="F935" s="14" t="s">
        <v>45</v>
      </c>
      <c r="G935" s="14" t="s">
        <v>45</v>
      </c>
      <c r="H935" s="31" t="str" cm="1">
        <f t="array" ref="H935">_xlfn.IFS(
  ISBLANK(A935),"Missing Value",
  OR(E935&lt;1,E935&gt;5),"Review – Out of Range (Satisfaction)",
  ISNA(MATCH(B935,Customer_Master!$A$2:$A$1649,0)),"Retained – Unmatched ID (Anonymous Feedback Rule)",
  TRUE,"OK"
)</f>
        <v>OK</v>
      </c>
      <c r="I935" s="18" t="b">
        <f>IF(COUNTIF(Customer_Master!$A:$A,B935)=0,TRUE,FALSE)</f>
        <v>0</v>
      </c>
    </row>
    <row r="936" spans="1:9" ht="16.8" x14ac:dyDescent="0.3">
      <c r="A936" s="11" t="s">
        <v>9158</v>
      </c>
      <c r="B936" s="11" t="s">
        <v>1829</v>
      </c>
      <c r="C936" s="12">
        <v>44001</v>
      </c>
      <c r="D936" s="11" t="s">
        <v>7931</v>
      </c>
      <c r="E936" s="11">
        <v>4</v>
      </c>
      <c r="F936" s="11" t="s">
        <v>45</v>
      </c>
      <c r="G936" s="11" t="s">
        <v>45</v>
      </c>
      <c r="H936" s="31" t="str" cm="1">
        <f t="array" ref="H936">_xlfn.IFS(
  ISBLANK(A936),"Missing Value",
  OR(E936&lt;1,E936&gt;5),"Review – Out of Range (Satisfaction)",
  ISNA(MATCH(B936,Customer_Master!$A$2:$A$1649,0)),"Retained – Unmatched ID (Anonymous Feedback Rule)",
  TRUE,"OK"
)</f>
        <v>OK</v>
      </c>
      <c r="I936" s="17" t="b">
        <f>IF(COUNTIF(Customer_Master!$A:$A,B936)=0,TRUE,FALSE)</f>
        <v>0</v>
      </c>
    </row>
    <row r="937" spans="1:9" ht="33.6" x14ac:dyDescent="0.3">
      <c r="A937" s="14" t="s">
        <v>9159</v>
      </c>
      <c r="B937" s="14" t="s">
        <v>8120</v>
      </c>
      <c r="C937" s="15">
        <v>44681</v>
      </c>
      <c r="D937" s="14" t="s">
        <v>7933</v>
      </c>
      <c r="E937" s="14">
        <v>2</v>
      </c>
      <c r="F937" s="14" t="s">
        <v>46</v>
      </c>
      <c r="G937" s="14" t="s">
        <v>46</v>
      </c>
      <c r="H937" s="31" t="str" cm="1">
        <f t="array" ref="H937">_xlfn.IFS(
  ISBLANK(A937),"Missing Value",
  OR(E937&lt;1,E937&gt;5),"Review – Out of Range (Satisfaction)",
  ISNA(MATCH(B937,Customer_Master!$A$2:$A$1649,0)),"Retained – Unmatched ID (Anonymous Feedback Rule)",
  TRUE,"OK"
)</f>
        <v>Retained – Unmatched ID (Anonymous Feedback Rule)</v>
      </c>
      <c r="I937" s="18" t="b">
        <f>IF(COUNTIF(Customer_Master!$A:$A,B937)=0,TRUE,FALSE)</f>
        <v>1</v>
      </c>
    </row>
    <row r="938" spans="1:9" ht="33.6" x14ac:dyDescent="0.3">
      <c r="A938" s="11" t="s">
        <v>9160</v>
      </c>
      <c r="B938" s="11" t="s">
        <v>9161</v>
      </c>
      <c r="C938" s="12">
        <v>44724</v>
      </c>
      <c r="D938" s="11" t="s">
        <v>7940</v>
      </c>
      <c r="E938" s="11">
        <v>4</v>
      </c>
      <c r="F938" s="11" t="s">
        <v>45</v>
      </c>
      <c r="G938" s="11" t="s">
        <v>45</v>
      </c>
      <c r="H938" s="31" t="str" cm="1">
        <f t="array" ref="H938">_xlfn.IFS(
  ISBLANK(A938),"Missing Value",
  OR(E938&lt;1,E938&gt;5),"Review – Out of Range (Satisfaction)",
  ISNA(MATCH(B938,Customer_Master!$A$2:$A$1649,0)),"Retained – Unmatched ID (Anonymous Feedback Rule)",
  TRUE,"OK"
)</f>
        <v>Retained – Unmatched ID (Anonymous Feedback Rule)</v>
      </c>
      <c r="I938" s="17" t="b">
        <f>IF(COUNTIF(Customer_Master!$A:$A,B938)=0,TRUE,FALSE)</f>
        <v>1</v>
      </c>
    </row>
    <row r="939" spans="1:9" ht="33.6" x14ac:dyDescent="0.3">
      <c r="A939" s="14" t="s">
        <v>9162</v>
      </c>
      <c r="B939" s="14" t="s">
        <v>8461</v>
      </c>
      <c r="C939" s="15">
        <v>43894</v>
      </c>
      <c r="D939" s="14" t="s">
        <v>7928</v>
      </c>
      <c r="E939" s="14">
        <v>3</v>
      </c>
      <c r="F939" s="14" t="s">
        <v>45</v>
      </c>
      <c r="G939" s="14" t="s">
        <v>46</v>
      </c>
      <c r="H939" s="31" t="str" cm="1">
        <f t="array" ref="H939">_xlfn.IFS(
  ISBLANK(A939),"Missing Value",
  OR(E939&lt;1,E939&gt;5),"Review – Out of Range (Satisfaction)",
  ISNA(MATCH(B939,Customer_Master!$A$2:$A$1649,0)),"Retained – Unmatched ID (Anonymous Feedback Rule)",
  TRUE,"OK"
)</f>
        <v>Retained – Unmatched ID (Anonymous Feedback Rule)</v>
      </c>
      <c r="I939" s="18" t="b">
        <f>IF(COUNTIF(Customer_Master!$A:$A,B939)=0,TRUE,FALSE)</f>
        <v>1</v>
      </c>
    </row>
    <row r="940" spans="1:9" ht="33.6" x14ac:dyDescent="0.3">
      <c r="A940" s="11" t="s">
        <v>9163</v>
      </c>
      <c r="B940" s="11" t="s">
        <v>8322</v>
      </c>
      <c r="C940" s="12">
        <v>44142</v>
      </c>
      <c r="D940" s="11" t="s">
        <v>7978</v>
      </c>
      <c r="E940" s="11">
        <v>1</v>
      </c>
      <c r="F940" s="11" t="s">
        <v>45</v>
      </c>
      <c r="G940" s="11" t="s">
        <v>45</v>
      </c>
      <c r="H940" s="31" t="str" cm="1">
        <f t="array" ref="H940">_xlfn.IFS(
  ISBLANK(A940),"Missing Value",
  OR(E940&lt;1,E940&gt;5),"Review – Out of Range (Satisfaction)",
  ISNA(MATCH(B940,Customer_Master!$A$2:$A$1649,0)),"Retained – Unmatched ID (Anonymous Feedback Rule)",
  TRUE,"OK"
)</f>
        <v>Retained – Unmatched ID (Anonymous Feedback Rule)</v>
      </c>
      <c r="I940" s="17" t="b">
        <f>IF(COUNTIF(Customer_Master!$A:$A,B940)=0,TRUE,FALSE)</f>
        <v>1</v>
      </c>
    </row>
    <row r="941" spans="1:9" ht="16.8" x14ac:dyDescent="0.3">
      <c r="A941" s="14" t="s">
        <v>9164</v>
      </c>
      <c r="B941" s="14" t="s">
        <v>1041</v>
      </c>
      <c r="C941" s="15">
        <v>44366</v>
      </c>
      <c r="D941" s="14" t="s">
        <v>7943</v>
      </c>
      <c r="E941" s="14">
        <v>3</v>
      </c>
      <c r="F941" s="14" t="s">
        <v>46</v>
      </c>
      <c r="G941" s="14" t="s">
        <v>45</v>
      </c>
      <c r="H941" s="31" t="str" cm="1">
        <f t="array" ref="H941">_xlfn.IFS(
  ISBLANK(A941),"Missing Value",
  OR(E941&lt;1,E941&gt;5),"Review – Out of Range (Satisfaction)",
  ISNA(MATCH(B941,Customer_Master!$A$2:$A$1649,0)),"Retained – Unmatched ID (Anonymous Feedback Rule)",
  TRUE,"OK"
)</f>
        <v>OK</v>
      </c>
      <c r="I941" s="18" t="b">
        <f>IF(COUNTIF(Customer_Master!$A:$A,B941)=0,TRUE,FALSE)</f>
        <v>0</v>
      </c>
    </row>
    <row r="942" spans="1:9" ht="33.6" x14ac:dyDescent="0.3">
      <c r="A942" s="11" t="s">
        <v>9165</v>
      </c>
      <c r="B942" s="11" t="s">
        <v>9166</v>
      </c>
      <c r="C942" s="12">
        <v>44074</v>
      </c>
      <c r="D942" s="11" t="s">
        <v>7928</v>
      </c>
      <c r="E942" s="11">
        <v>3</v>
      </c>
      <c r="F942" s="11" t="s">
        <v>45</v>
      </c>
      <c r="G942" s="11" t="s">
        <v>46</v>
      </c>
      <c r="H942" s="31" t="str" cm="1">
        <f t="array" ref="H942">_xlfn.IFS(
  ISBLANK(A942),"Missing Value",
  OR(E942&lt;1,E942&gt;5),"Review – Out of Range (Satisfaction)",
  ISNA(MATCH(B942,Customer_Master!$A$2:$A$1649,0)),"Retained – Unmatched ID (Anonymous Feedback Rule)",
  TRUE,"OK"
)</f>
        <v>Retained – Unmatched ID (Anonymous Feedback Rule)</v>
      </c>
      <c r="I942" s="17" t="b">
        <f>IF(COUNTIF(Customer_Master!$A:$A,B942)=0,TRUE,FALSE)</f>
        <v>1</v>
      </c>
    </row>
    <row r="943" spans="1:9" ht="16.8" x14ac:dyDescent="0.3">
      <c r="A943" s="14" t="s">
        <v>9167</v>
      </c>
      <c r="B943" s="14" t="s">
        <v>2965</v>
      </c>
      <c r="C943" s="15">
        <v>44882</v>
      </c>
      <c r="D943" s="14" t="s">
        <v>7935</v>
      </c>
      <c r="E943" s="14">
        <v>4</v>
      </c>
      <c r="F943" s="14" t="s">
        <v>46</v>
      </c>
      <c r="G943" s="14" t="s">
        <v>46</v>
      </c>
      <c r="H943" s="31" t="str" cm="1">
        <f t="array" ref="H943">_xlfn.IFS(
  ISBLANK(A943),"Missing Value",
  OR(E943&lt;1,E943&gt;5),"Review – Out of Range (Satisfaction)",
  ISNA(MATCH(B943,Customer_Master!$A$2:$A$1649,0)),"Retained – Unmatched ID (Anonymous Feedback Rule)",
  TRUE,"OK"
)</f>
        <v>OK</v>
      </c>
      <c r="I943" s="18" t="b">
        <f>IF(COUNTIF(Customer_Master!$A:$A,B943)=0,TRUE,FALSE)</f>
        <v>0</v>
      </c>
    </row>
    <row r="944" spans="1:9" ht="16.8" x14ac:dyDescent="0.3">
      <c r="A944" s="11" t="s">
        <v>9168</v>
      </c>
      <c r="B944" s="11" t="s">
        <v>1399</v>
      </c>
      <c r="C944" s="12">
        <v>44735</v>
      </c>
      <c r="D944" s="11" t="s">
        <v>7969</v>
      </c>
      <c r="E944" s="11">
        <v>2</v>
      </c>
      <c r="F944" s="11" t="s">
        <v>46</v>
      </c>
      <c r="G944" s="11" t="s">
        <v>46</v>
      </c>
      <c r="H944" s="31" t="str" cm="1">
        <f t="array" ref="H944">_xlfn.IFS(
  ISBLANK(A944),"Missing Value",
  OR(E944&lt;1,E944&gt;5),"Review – Out of Range (Satisfaction)",
  ISNA(MATCH(B944,Customer_Master!$A$2:$A$1649,0)),"Retained – Unmatched ID (Anonymous Feedback Rule)",
  TRUE,"OK"
)</f>
        <v>OK</v>
      </c>
      <c r="I944" s="17" t="b">
        <f>IF(COUNTIF(Customer_Master!$A:$A,B944)=0,TRUE,FALSE)</f>
        <v>0</v>
      </c>
    </row>
    <row r="945" spans="1:9" ht="33.6" x14ac:dyDescent="0.3">
      <c r="A945" s="14" t="s">
        <v>9169</v>
      </c>
      <c r="B945" s="14" t="s">
        <v>8445</v>
      </c>
      <c r="C945" s="15">
        <v>45218</v>
      </c>
      <c r="D945" s="14" t="s">
        <v>7928</v>
      </c>
      <c r="E945" s="14">
        <v>1</v>
      </c>
      <c r="F945" s="14" t="s">
        <v>45</v>
      </c>
      <c r="G945" s="14" t="s">
        <v>45</v>
      </c>
      <c r="H945" s="31" t="str" cm="1">
        <f t="array" ref="H945">_xlfn.IFS(
  ISBLANK(A945),"Missing Value",
  OR(E945&lt;1,E945&gt;5),"Review – Out of Range (Satisfaction)",
  ISNA(MATCH(B945,Customer_Master!$A$2:$A$1649,0)),"Retained – Unmatched ID (Anonymous Feedback Rule)",
  TRUE,"OK"
)</f>
        <v>Retained – Unmatched ID (Anonymous Feedback Rule)</v>
      </c>
      <c r="I945" s="18" t="b">
        <f>IF(COUNTIF(Customer_Master!$A:$A,B945)=0,TRUE,FALSE)</f>
        <v>1</v>
      </c>
    </row>
    <row r="946" spans="1:9" ht="16.8" x14ac:dyDescent="0.3">
      <c r="A946" s="11" t="s">
        <v>9170</v>
      </c>
      <c r="B946" s="11" t="s">
        <v>1273</v>
      </c>
      <c r="C946" s="12">
        <v>44391</v>
      </c>
      <c r="D946" s="11" t="s">
        <v>7969</v>
      </c>
      <c r="E946" s="11">
        <v>1</v>
      </c>
      <c r="F946" s="11" t="s">
        <v>46</v>
      </c>
      <c r="G946" s="11" t="s">
        <v>46</v>
      </c>
      <c r="H946" s="31" t="str" cm="1">
        <f t="array" ref="H946">_xlfn.IFS(
  ISBLANK(A946),"Missing Value",
  OR(E946&lt;1,E946&gt;5),"Review – Out of Range (Satisfaction)",
  ISNA(MATCH(B946,Customer_Master!$A$2:$A$1649,0)),"Retained – Unmatched ID (Anonymous Feedback Rule)",
  TRUE,"OK"
)</f>
        <v>OK</v>
      </c>
      <c r="I946" s="17" t="b">
        <f>IF(COUNTIF(Customer_Master!$A:$A,B946)=0,TRUE,FALSE)</f>
        <v>0</v>
      </c>
    </row>
    <row r="947" spans="1:9" ht="16.8" x14ac:dyDescent="0.3">
      <c r="A947" s="14" t="s">
        <v>9171</v>
      </c>
      <c r="B947" s="14" t="s">
        <v>1169</v>
      </c>
      <c r="C947" s="15">
        <v>44099</v>
      </c>
      <c r="D947" s="14" t="s">
        <v>7928</v>
      </c>
      <c r="E947" s="14">
        <v>2</v>
      </c>
      <c r="F947" s="14" t="s">
        <v>46</v>
      </c>
      <c r="G947" s="14" t="s">
        <v>45</v>
      </c>
      <c r="H947" s="31" t="str" cm="1">
        <f t="array" ref="H947">_xlfn.IFS(
  ISBLANK(A947),"Missing Value",
  OR(E947&lt;1,E947&gt;5),"Review – Out of Range (Satisfaction)",
  ISNA(MATCH(B947,Customer_Master!$A$2:$A$1649,0)),"Retained – Unmatched ID (Anonymous Feedback Rule)",
  TRUE,"OK"
)</f>
        <v>OK</v>
      </c>
      <c r="I947" s="18" t="b">
        <f>IF(COUNTIF(Customer_Master!$A:$A,B947)=0,TRUE,FALSE)</f>
        <v>0</v>
      </c>
    </row>
    <row r="948" spans="1:9" ht="16.8" x14ac:dyDescent="0.3">
      <c r="A948" s="11" t="s">
        <v>9172</v>
      </c>
      <c r="B948" s="11" t="s">
        <v>1099</v>
      </c>
      <c r="C948" s="12">
        <v>43865</v>
      </c>
      <c r="D948" s="11" t="s">
        <v>7931</v>
      </c>
      <c r="E948" s="11">
        <v>4</v>
      </c>
      <c r="F948" s="11" t="s">
        <v>46</v>
      </c>
      <c r="G948" s="11" t="s">
        <v>45</v>
      </c>
      <c r="H948" s="31" t="str" cm="1">
        <f t="array" ref="H948">_xlfn.IFS(
  ISBLANK(A948),"Missing Value",
  OR(E948&lt;1,E948&gt;5),"Review – Out of Range (Satisfaction)",
  ISNA(MATCH(B948,Customer_Master!$A$2:$A$1649,0)),"Retained – Unmatched ID (Anonymous Feedback Rule)",
  TRUE,"OK"
)</f>
        <v>OK</v>
      </c>
      <c r="I948" s="17" t="b">
        <f>IF(COUNTIF(Customer_Master!$A:$A,B948)=0,TRUE,FALSE)</f>
        <v>0</v>
      </c>
    </row>
    <row r="949" spans="1:9" ht="16.8" x14ac:dyDescent="0.3">
      <c r="A949" s="14" t="s">
        <v>9173</v>
      </c>
      <c r="B949" s="14" t="s">
        <v>1953</v>
      </c>
      <c r="C949" s="15">
        <v>44224</v>
      </c>
      <c r="D949" s="14" t="s">
        <v>7931</v>
      </c>
      <c r="E949" s="14">
        <v>4</v>
      </c>
      <c r="F949" s="14" t="s">
        <v>46</v>
      </c>
      <c r="G949" s="14" t="s">
        <v>45</v>
      </c>
      <c r="H949" s="31" t="str" cm="1">
        <f t="array" ref="H949">_xlfn.IFS(
  ISBLANK(A949),"Missing Value",
  OR(E949&lt;1,E949&gt;5),"Review – Out of Range (Satisfaction)",
  ISNA(MATCH(B949,Customer_Master!$A$2:$A$1649,0)),"Retained – Unmatched ID (Anonymous Feedback Rule)",
  TRUE,"OK"
)</f>
        <v>OK</v>
      </c>
      <c r="I949" s="18" t="b">
        <f>IF(COUNTIF(Customer_Master!$A:$A,B949)=0,TRUE,FALSE)</f>
        <v>0</v>
      </c>
    </row>
    <row r="950" spans="1:9" ht="33.6" x14ac:dyDescent="0.3">
      <c r="A950" s="11" t="s">
        <v>9174</v>
      </c>
      <c r="B950" s="11" t="s">
        <v>8612</v>
      </c>
      <c r="C950" s="12">
        <v>44522</v>
      </c>
      <c r="D950" s="11" t="s">
        <v>7940</v>
      </c>
      <c r="E950" s="11">
        <v>5</v>
      </c>
      <c r="F950" s="11" t="s">
        <v>45</v>
      </c>
      <c r="G950" s="11" t="s">
        <v>45</v>
      </c>
      <c r="H950" s="31" t="str" cm="1">
        <f t="array" ref="H950">_xlfn.IFS(
  ISBLANK(A950),"Missing Value",
  OR(E950&lt;1,E950&gt;5),"Review – Out of Range (Satisfaction)",
  ISNA(MATCH(B950,Customer_Master!$A$2:$A$1649,0)),"Retained – Unmatched ID (Anonymous Feedback Rule)",
  TRUE,"OK"
)</f>
        <v>Retained – Unmatched ID (Anonymous Feedback Rule)</v>
      </c>
      <c r="I950" s="17" t="b">
        <f>IF(COUNTIF(Customer_Master!$A:$A,B950)=0,TRUE,FALSE)</f>
        <v>1</v>
      </c>
    </row>
    <row r="951" spans="1:9" ht="33.6" x14ac:dyDescent="0.3">
      <c r="A951" s="14" t="s">
        <v>9175</v>
      </c>
      <c r="B951" s="14" t="s">
        <v>9176</v>
      </c>
      <c r="C951" s="15">
        <v>44658</v>
      </c>
      <c r="D951" s="14" t="s">
        <v>7940</v>
      </c>
      <c r="E951" s="14">
        <v>4</v>
      </c>
      <c r="F951" s="14" t="s">
        <v>46</v>
      </c>
      <c r="G951" s="14" t="s">
        <v>46</v>
      </c>
      <c r="H951" s="31" t="str" cm="1">
        <f t="array" ref="H951">_xlfn.IFS(
  ISBLANK(A951),"Missing Value",
  OR(E951&lt;1,E951&gt;5),"Review – Out of Range (Satisfaction)",
  ISNA(MATCH(B951,Customer_Master!$A$2:$A$1649,0)),"Retained – Unmatched ID (Anonymous Feedback Rule)",
  TRUE,"OK"
)</f>
        <v>Retained – Unmatched ID (Anonymous Feedback Rule)</v>
      </c>
      <c r="I951" s="18" t="b">
        <f>IF(COUNTIF(Customer_Master!$A:$A,B951)=0,TRUE,FALSE)</f>
        <v>1</v>
      </c>
    </row>
    <row r="952" spans="1:9" ht="33.6" x14ac:dyDescent="0.3">
      <c r="A952" s="11" t="s">
        <v>9177</v>
      </c>
      <c r="B952" s="11" t="s">
        <v>9178</v>
      </c>
      <c r="C952" s="12">
        <v>44826</v>
      </c>
      <c r="D952" s="11" t="s">
        <v>7943</v>
      </c>
      <c r="E952" s="11">
        <v>1</v>
      </c>
      <c r="F952" s="11" t="s">
        <v>45</v>
      </c>
      <c r="G952" s="11" t="s">
        <v>46</v>
      </c>
      <c r="H952" s="31" t="str" cm="1">
        <f t="array" ref="H952">_xlfn.IFS(
  ISBLANK(A952),"Missing Value",
  OR(E952&lt;1,E952&gt;5),"Review – Out of Range (Satisfaction)",
  ISNA(MATCH(B952,Customer_Master!$A$2:$A$1649,0)),"Retained – Unmatched ID (Anonymous Feedback Rule)",
  TRUE,"OK"
)</f>
        <v>Retained – Unmatched ID (Anonymous Feedback Rule)</v>
      </c>
      <c r="I952" s="17" t="b">
        <f>IF(COUNTIF(Customer_Master!$A:$A,B952)=0,TRUE,FALSE)</f>
        <v>1</v>
      </c>
    </row>
    <row r="953" spans="1:9" ht="16.8" x14ac:dyDescent="0.3">
      <c r="A953" s="14" t="s">
        <v>9179</v>
      </c>
      <c r="B953" s="14" t="s">
        <v>516</v>
      </c>
      <c r="C953" s="15">
        <v>44086</v>
      </c>
      <c r="D953" s="14" t="s">
        <v>7931</v>
      </c>
      <c r="E953" s="14">
        <v>4</v>
      </c>
      <c r="F953" s="14" t="s">
        <v>46</v>
      </c>
      <c r="G953" s="14" t="s">
        <v>45</v>
      </c>
      <c r="H953" s="31" t="str" cm="1">
        <f t="array" ref="H953">_xlfn.IFS(
  ISBLANK(A953),"Missing Value",
  OR(E953&lt;1,E953&gt;5),"Review – Out of Range (Satisfaction)",
  ISNA(MATCH(B953,Customer_Master!$A$2:$A$1649,0)),"Retained – Unmatched ID (Anonymous Feedback Rule)",
  TRUE,"OK"
)</f>
        <v>OK</v>
      </c>
      <c r="I953" s="18" t="b">
        <f>IF(COUNTIF(Customer_Master!$A:$A,B953)=0,TRUE,FALSE)</f>
        <v>0</v>
      </c>
    </row>
    <row r="954" spans="1:9" ht="16.8" x14ac:dyDescent="0.3">
      <c r="A954" s="11" t="s">
        <v>9180</v>
      </c>
      <c r="B954" s="11" t="s">
        <v>1599</v>
      </c>
      <c r="C954" s="12">
        <v>44929</v>
      </c>
      <c r="D954" s="11" t="s">
        <v>7928</v>
      </c>
      <c r="E954" s="11">
        <v>3</v>
      </c>
      <c r="F954" s="11" t="s">
        <v>46</v>
      </c>
      <c r="G954" s="11" t="s">
        <v>46</v>
      </c>
      <c r="H954" s="31" t="str" cm="1">
        <f t="array" ref="H954">_xlfn.IFS(
  ISBLANK(A954),"Missing Value",
  OR(E954&lt;1,E954&gt;5),"Review – Out of Range (Satisfaction)",
  ISNA(MATCH(B954,Customer_Master!$A$2:$A$1649,0)),"Retained – Unmatched ID (Anonymous Feedback Rule)",
  TRUE,"OK"
)</f>
        <v>OK</v>
      </c>
      <c r="I954" s="17" t="b">
        <f>IF(COUNTIF(Customer_Master!$A:$A,B954)=0,TRUE,FALSE)</f>
        <v>0</v>
      </c>
    </row>
    <row r="955" spans="1:9" ht="16.8" x14ac:dyDescent="0.3">
      <c r="A955" s="14" t="s">
        <v>9181</v>
      </c>
      <c r="B955" s="14" t="s">
        <v>827</v>
      </c>
      <c r="C955" s="15">
        <v>44036</v>
      </c>
      <c r="D955" s="14" t="s">
        <v>7928</v>
      </c>
      <c r="E955" s="14">
        <v>3</v>
      </c>
      <c r="F955" s="14" t="s">
        <v>45</v>
      </c>
      <c r="G955" s="14" t="s">
        <v>45</v>
      </c>
      <c r="H955" s="31" t="str" cm="1">
        <f t="array" ref="H955">_xlfn.IFS(
  ISBLANK(A955),"Missing Value",
  OR(E955&lt;1,E955&gt;5),"Review – Out of Range (Satisfaction)",
  ISNA(MATCH(B955,Customer_Master!$A$2:$A$1649,0)),"Retained – Unmatched ID (Anonymous Feedback Rule)",
  TRUE,"OK"
)</f>
        <v>OK</v>
      </c>
      <c r="I955" s="18" t="b">
        <f>IF(COUNTIF(Customer_Master!$A:$A,B955)=0,TRUE,FALSE)</f>
        <v>0</v>
      </c>
    </row>
    <row r="956" spans="1:9" ht="16.8" x14ac:dyDescent="0.3">
      <c r="A956" s="11" t="s">
        <v>9182</v>
      </c>
      <c r="B956" s="11" t="s">
        <v>2655</v>
      </c>
      <c r="C956" s="12">
        <v>44715</v>
      </c>
      <c r="D956" s="11" t="s">
        <v>7931</v>
      </c>
      <c r="E956" s="11">
        <v>5</v>
      </c>
      <c r="F956" s="11" t="s">
        <v>46</v>
      </c>
      <c r="G956" s="11" t="s">
        <v>46</v>
      </c>
      <c r="H956" s="31" t="str" cm="1">
        <f t="array" ref="H956">_xlfn.IFS(
  ISBLANK(A956),"Missing Value",
  OR(E956&lt;1,E956&gt;5),"Review – Out of Range (Satisfaction)",
  ISNA(MATCH(B956,Customer_Master!$A$2:$A$1649,0)),"Retained – Unmatched ID (Anonymous Feedback Rule)",
  TRUE,"OK"
)</f>
        <v>OK</v>
      </c>
      <c r="I956" s="17" t="b">
        <f>IF(COUNTIF(Customer_Master!$A:$A,B956)=0,TRUE,FALSE)</f>
        <v>0</v>
      </c>
    </row>
    <row r="957" spans="1:9" ht="33.6" x14ac:dyDescent="0.3">
      <c r="A957" s="14" t="s">
        <v>9183</v>
      </c>
      <c r="B957" s="14" t="s">
        <v>8927</v>
      </c>
      <c r="C957" s="15">
        <v>44428</v>
      </c>
      <c r="D957" s="14" t="s">
        <v>7940</v>
      </c>
      <c r="E957" s="14">
        <v>5</v>
      </c>
      <c r="F957" s="14" t="s">
        <v>45</v>
      </c>
      <c r="G957" s="14" t="s">
        <v>46</v>
      </c>
      <c r="H957" s="31" t="str" cm="1">
        <f t="array" ref="H957">_xlfn.IFS(
  ISBLANK(A957),"Missing Value",
  OR(E957&lt;1,E957&gt;5),"Review – Out of Range (Satisfaction)",
  ISNA(MATCH(B957,Customer_Master!$A$2:$A$1649,0)),"Retained – Unmatched ID (Anonymous Feedback Rule)",
  TRUE,"OK"
)</f>
        <v>Retained – Unmatched ID (Anonymous Feedback Rule)</v>
      </c>
      <c r="I957" s="18" t="b">
        <f>IF(COUNTIF(Customer_Master!$A:$A,B957)=0,TRUE,FALSE)</f>
        <v>1</v>
      </c>
    </row>
    <row r="958" spans="1:9" ht="33.6" x14ac:dyDescent="0.3">
      <c r="A958" s="11" t="s">
        <v>9184</v>
      </c>
      <c r="B958" s="11" t="s">
        <v>8390</v>
      </c>
      <c r="C958" s="12">
        <v>44699</v>
      </c>
      <c r="D958" s="11" t="s">
        <v>7935</v>
      </c>
      <c r="E958" s="11">
        <v>5</v>
      </c>
      <c r="F958" s="11" t="s">
        <v>45</v>
      </c>
      <c r="G958" s="11" t="s">
        <v>46</v>
      </c>
      <c r="H958" s="31" t="str" cm="1">
        <f t="array" ref="H958">_xlfn.IFS(
  ISBLANK(A958),"Missing Value",
  OR(E958&lt;1,E958&gt;5),"Review – Out of Range (Satisfaction)",
  ISNA(MATCH(B958,Customer_Master!$A$2:$A$1649,0)),"Retained – Unmatched ID (Anonymous Feedback Rule)",
  TRUE,"OK"
)</f>
        <v>Retained – Unmatched ID (Anonymous Feedback Rule)</v>
      </c>
      <c r="I958" s="17" t="b">
        <f>IF(COUNTIF(Customer_Master!$A:$A,B958)=0,TRUE,FALSE)</f>
        <v>1</v>
      </c>
    </row>
    <row r="959" spans="1:9" ht="33.6" x14ac:dyDescent="0.3">
      <c r="A959" s="14" t="s">
        <v>9185</v>
      </c>
      <c r="B959" s="14" t="s">
        <v>9186</v>
      </c>
      <c r="C959" s="15">
        <v>44837</v>
      </c>
      <c r="D959" s="14" t="s">
        <v>7969</v>
      </c>
      <c r="E959" s="14">
        <v>2</v>
      </c>
      <c r="F959" s="14" t="s">
        <v>45</v>
      </c>
      <c r="G959" s="14" t="s">
        <v>45</v>
      </c>
      <c r="H959" s="31" t="str" cm="1">
        <f t="array" ref="H959">_xlfn.IFS(
  ISBLANK(A959),"Missing Value",
  OR(E959&lt;1,E959&gt;5),"Review – Out of Range (Satisfaction)",
  ISNA(MATCH(B959,Customer_Master!$A$2:$A$1649,0)),"Retained – Unmatched ID (Anonymous Feedback Rule)",
  TRUE,"OK"
)</f>
        <v>Retained – Unmatched ID (Anonymous Feedback Rule)</v>
      </c>
      <c r="I959" s="18" t="b">
        <f>IF(COUNTIF(Customer_Master!$A:$A,B959)=0,TRUE,FALSE)</f>
        <v>1</v>
      </c>
    </row>
    <row r="960" spans="1:9" ht="16.8" x14ac:dyDescent="0.3">
      <c r="A960" s="11" t="s">
        <v>9187</v>
      </c>
      <c r="B960" s="11" t="s">
        <v>1869</v>
      </c>
      <c r="C960" s="12">
        <v>44605</v>
      </c>
      <c r="D960" s="11" t="s">
        <v>7933</v>
      </c>
      <c r="E960" s="11">
        <v>3</v>
      </c>
      <c r="F960" s="11" t="s">
        <v>45</v>
      </c>
      <c r="G960" s="11" t="s">
        <v>45</v>
      </c>
      <c r="H960" s="31" t="str" cm="1">
        <f t="array" ref="H960">_xlfn.IFS(
  ISBLANK(A960),"Missing Value",
  OR(E960&lt;1,E960&gt;5),"Review – Out of Range (Satisfaction)",
  ISNA(MATCH(B960,Customer_Master!$A$2:$A$1649,0)),"Retained – Unmatched ID (Anonymous Feedback Rule)",
  TRUE,"OK"
)</f>
        <v>OK</v>
      </c>
      <c r="I960" s="17" t="b">
        <f>IF(COUNTIF(Customer_Master!$A:$A,B960)=0,TRUE,FALSE)</f>
        <v>0</v>
      </c>
    </row>
    <row r="961" spans="1:9" ht="33.6" x14ac:dyDescent="0.3">
      <c r="A961" s="14" t="s">
        <v>9188</v>
      </c>
      <c r="B961" s="14" t="s">
        <v>9189</v>
      </c>
      <c r="C961" s="15">
        <v>44717</v>
      </c>
      <c r="D961" s="14" t="s">
        <v>7940</v>
      </c>
      <c r="E961" s="14">
        <v>4</v>
      </c>
      <c r="F961" s="14" t="s">
        <v>45</v>
      </c>
      <c r="G961" s="14" t="s">
        <v>46</v>
      </c>
      <c r="H961" s="31" t="str" cm="1">
        <f t="array" ref="H961">_xlfn.IFS(
  ISBLANK(A961),"Missing Value",
  OR(E961&lt;1,E961&gt;5),"Review – Out of Range (Satisfaction)",
  ISNA(MATCH(B961,Customer_Master!$A$2:$A$1649,0)),"Retained – Unmatched ID (Anonymous Feedback Rule)",
  TRUE,"OK"
)</f>
        <v>Retained – Unmatched ID (Anonymous Feedback Rule)</v>
      </c>
      <c r="I961" s="18" t="b">
        <f>IF(COUNTIF(Customer_Master!$A:$A,B961)=0,TRUE,FALSE)</f>
        <v>1</v>
      </c>
    </row>
    <row r="962" spans="1:9" ht="16.8" x14ac:dyDescent="0.3">
      <c r="A962" s="11" t="s">
        <v>9190</v>
      </c>
      <c r="B962" s="11" t="s">
        <v>2507</v>
      </c>
      <c r="C962" s="12">
        <v>44799</v>
      </c>
      <c r="D962" s="11" t="s">
        <v>7969</v>
      </c>
      <c r="E962" s="11">
        <v>1</v>
      </c>
      <c r="F962" s="11" t="s">
        <v>45</v>
      </c>
      <c r="G962" s="11" t="s">
        <v>45</v>
      </c>
      <c r="H962" s="31" t="str" cm="1">
        <f t="array" ref="H962">_xlfn.IFS(
  ISBLANK(A962),"Missing Value",
  OR(E962&lt;1,E962&gt;5),"Review – Out of Range (Satisfaction)",
  ISNA(MATCH(B962,Customer_Master!$A$2:$A$1649,0)),"Retained – Unmatched ID (Anonymous Feedback Rule)",
  TRUE,"OK"
)</f>
        <v>OK</v>
      </c>
      <c r="I962" s="17" t="b">
        <f>IF(COUNTIF(Customer_Master!$A:$A,B962)=0,TRUE,FALSE)</f>
        <v>0</v>
      </c>
    </row>
    <row r="963" spans="1:9" ht="33.6" x14ac:dyDescent="0.3">
      <c r="A963" s="14" t="s">
        <v>9191</v>
      </c>
      <c r="B963" s="14" t="s">
        <v>9192</v>
      </c>
      <c r="C963" s="15">
        <v>44946</v>
      </c>
      <c r="D963" s="14" t="s">
        <v>7940</v>
      </c>
      <c r="E963" s="14">
        <v>5</v>
      </c>
      <c r="F963" s="14" t="s">
        <v>46</v>
      </c>
      <c r="G963" s="14" t="s">
        <v>45</v>
      </c>
      <c r="H963" s="31" t="str" cm="1">
        <f t="array" ref="H963">_xlfn.IFS(
  ISBLANK(A963),"Missing Value",
  OR(E963&lt;1,E963&gt;5),"Review – Out of Range (Satisfaction)",
  ISNA(MATCH(B963,Customer_Master!$A$2:$A$1649,0)),"Retained – Unmatched ID (Anonymous Feedback Rule)",
  TRUE,"OK"
)</f>
        <v>Retained – Unmatched ID (Anonymous Feedback Rule)</v>
      </c>
      <c r="I963" s="18" t="b">
        <f>IF(COUNTIF(Customer_Master!$A:$A,B963)=0,TRUE,FALSE)</f>
        <v>1</v>
      </c>
    </row>
    <row r="964" spans="1:9" ht="16.8" x14ac:dyDescent="0.3">
      <c r="A964" s="11" t="s">
        <v>9193</v>
      </c>
      <c r="B964" s="11" t="s">
        <v>328</v>
      </c>
      <c r="C964" s="12">
        <v>44789</v>
      </c>
      <c r="D964" s="11" t="s">
        <v>7931</v>
      </c>
      <c r="E964" s="11">
        <v>5</v>
      </c>
      <c r="F964" s="11" t="s">
        <v>45</v>
      </c>
      <c r="G964" s="11" t="s">
        <v>46</v>
      </c>
      <c r="H964" s="31" t="str" cm="1">
        <f t="array" ref="H964">_xlfn.IFS(
  ISBLANK(A964),"Missing Value",
  OR(E964&lt;1,E964&gt;5),"Review – Out of Range (Satisfaction)",
  ISNA(MATCH(B964,Customer_Master!$A$2:$A$1649,0)),"Retained – Unmatched ID (Anonymous Feedback Rule)",
  TRUE,"OK"
)</f>
        <v>OK</v>
      </c>
      <c r="I964" s="17" t="b">
        <f>IF(COUNTIF(Customer_Master!$A:$A,B964)=0,TRUE,FALSE)</f>
        <v>0</v>
      </c>
    </row>
    <row r="965" spans="1:9" ht="16.8" x14ac:dyDescent="0.3">
      <c r="A965" s="14" t="s">
        <v>9194</v>
      </c>
      <c r="B965" s="14" t="s">
        <v>178</v>
      </c>
      <c r="C965" s="15">
        <v>44757</v>
      </c>
      <c r="D965" s="14" t="s">
        <v>7931</v>
      </c>
      <c r="E965" s="14">
        <v>5</v>
      </c>
      <c r="F965" s="14" t="s">
        <v>46</v>
      </c>
      <c r="G965" s="14" t="s">
        <v>46</v>
      </c>
      <c r="H965" s="31" t="str" cm="1">
        <f t="array" ref="H965">_xlfn.IFS(
  ISBLANK(A965),"Missing Value",
  OR(E965&lt;1,E965&gt;5),"Review – Out of Range (Satisfaction)",
  ISNA(MATCH(B965,Customer_Master!$A$2:$A$1649,0)),"Retained – Unmatched ID (Anonymous Feedback Rule)",
  TRUE,"OK"
)</f>
        <v>OK</v>
      </c>
      <c r="I965" s="18" t="b">
        <f>IF(COUNTIF(Customer_Master!$A:$A,B965)=0,TRUE,FALSE)</f>
        <v>0</v>
      </c>
    </row>
    <row r="966" spans="1:9" ht="33.6" x14ac:dyDescent="0.3">
      <c r="A966" s="11" t="s">
        <v>9195</v>
      </c>
      <c r="B966" s="11" t="s">
        <v>9196</v>
      </c>
      <c r="C966" s="12">
        <v>44223</v>
      </c>
      <c r="D966" s="11" t="s">
        <v>7937</v>
      </c>
      <c r="E966" s="11">
        <v>4</v>
      </c>
      <c r="F966" s="11" t="s">
        <v>45</v>
      </c>
      <c r="G966" s="11" t="s">
        <v>45</v>
      </c>
      <c r="H966" s="31" t="str" cm="1">
        <f t="array" ref="H966">_xlfn.IFS(
  ISBLANK(A966),"Missing Value",
  OR(E966&lt;1,E966&gt;5),"Review – Out of Range (Satisfaction)",
  ISNA(MATCH(B966,Customer_Master!$A$2:$A$1649,0)),"Retained – Unmatched ID (Anonymous Feedback Rule)",
  TRUE,"OK"
)</f>
        <v>Retained – Unmatched ID (Anonymous Feedback Rule)</v>
      </c>
      <c r="I966" s="17" t="b">
        <f>IF(COUNTIF(Customer_Master!$A:$A,B966)=0,TRUE,FALSE)</f>
        <v>1</v>
      </c>
    </row>
    <row r="967" spans="1:9" ht="16.8" x14ac:dyDescent="0.3">
      <c r="A967" s="14" t="s">
        <v>9197</v>
      </c>
      <c r="B967" s="14" t="s">
        <v>1051</v>
      </c>
      <c r="C967" s="15">
        <v>44572</v>
      </c>
      <c r="D967" s="14" t="s">
        <v>7947</v>
      </c>
      <c r="E967" s="14">
        <v>3</v>
      </c>
      <c r="F967" s="14" t="s">
        <v>46</v>
      </c>
      <c r="G967" s="14" t="s">
        <v>46</v>
      </c>
      <c r="H967" s="31" t="str" cm="1">
        <f t="array" ref="H967">_xlfn.IFS(
  ISBLANK(A967),"Missing Value",
  OR(E967&lt;1,E967&gt;5),"Review – Out of Range (Satisfaction)",
  ISNA(MATCH(B967,Customer_Master!$A$2:$A$1649,0)),"Retained – Unmatched ID (Anonymous Feedback Rule)",
  TRUE,"OK"
)</f>
        <v>OK</v>
      </c>
      <c r="I967" s="18" t="b">
        <f>IF(COUNTIF(Customer_Master!$A:$A,B967)=0,TRUE,FALSE)</f>
        <v>0</v>
      </c>
    </row>
    <row r="968" spans="1:9" ht="33.6" x14ac:dyDescent="0.3">
      <c r="A968" s="11" t="s">
        <v>9198</v>
      </c>
      <c r="B968" s="11" t="s">
        <v>9199</v>
      </c>
      <c r="C968" s="12">
        <v>44095</v>
      </c>
      <c r="D968" s="11" t="s">
        <v>7928</v>
      </c>
      <c r="E968" s="11">
        <v>2</v>
      </c>
      <c r="F968" s="11" t="s">
        <v>45</v>
      </c>
      <c r="G968" s="11" t="s">
        <v>46</v>
      </c>
      <c r="H968" s="31" t="str" cm="1">
        <f t="array" ref="H968">_xlfn.IFS(
  ISBLANK(A968),"Missing Value",
  OR(E968&lt;1,E968&gt;5),"Review – Out of Range (Satisfaction)",
  ISNA(MATCH(B968,Customer_Master!$A$2:$A$1649,0)),"Retained – Unmatched ID (Anonymous Feedback Rule)",
  TRUE,"OK"
)</f>
        <v>Retained – Unmatched ID (Anonymous Feedback Rule)</v>
      </c>
      <c r="I968" s="17" t="b">
        <f>IF(COUNTIF(Customer_Master!$A:$A,B968)=0,TRUE,FALSE)</f>
        <v>1</v>
      </c>
    </row>
    <row r="969" spans="1:9" ht="16.8" x14ac:dyDescent="0.3">
      <c r="A969" s="14" t="s">
        <v>9200</v>
      </c>
      <c r="B969" s="14" t="s">
        <v>1007</v>
      </c>
      <c r="C969" s="15">
        <v>44690</v>
      </c>
      <c r="D969" s="14" t="s">
        <v>7937</v>
      </c>
      <c r="E969" s="14">
        <v>5</v>
      </c>
      <c r="F969" s="14" t="s">
        <v>45</v>
      </c>
      <c r="G969" s="14" t="s">
        <v>46</v>
      </c>
      <c r="H969" s="31" t="str" cm="1">
        <f t="array" ref="H969">_xlfn.IFS(
  ISBLANK(A969),"Missing Value",
  OR(E969&lt;1,E969&gt;5),"Review – Out of Range (Satisfaction)",
  ISNA(MATCH(B969,Customer_Master!$A$2:$A$1649,0)),"Retained – Unmatched ID (Anonymous Feedback Rule)",
  TRUE,"OK"
)</f>
        <v>OK</v>
      </c>
      <c r="I969" s="18" t="b">
        <f>IF(COUNTIF(Customer_Master!$A:$A,B969)=0,TRUE,FALSE)</f>
        <v>0</v>
      </c>
    </row>
    <row r="970" spans="1:9" ht="16.8" x14ac:dyDescent="0.3">
      <c r="A970" s="11" t="s">
        <v>9201</v>
      </c>
      <c r="B970" s="11" t="s">
        <v>1735</v>
      </c>
      <c r="C970" s="12">
        <v>43967</v>
      </c>
      <c r="D970" s="11" t="s">
        <v>7943</v>
      </c>
      <c r="E970" s="11">
        <v>1</v>
      </c>
      <c r="F970" s="11" t="s">
        <v>45</v>
      </c>
      <c r="G970" s="11" t="s">
        <v>46</v>
      </c>
      <c r="H970" s="31" t="str" cm="1">
        <f t="array" ref="H970">_xlfn.IFS(
  ISBLANK(A970),"Missing Value",
  OR(E970&lt;1,E970&gt;5),"Review – Out of Range (Satisfaction)",
  ISNA(MATCH(B970,Customer_Master!$A$2:$A$1649,0)),"Retained – Unmatched ID (Anonymous Feedback Rule)",
  TRUE,"OK"
)</f>
        <v>OK</v>
      </c>
      <c r="I970" s="17" t="b">
        <f>IF(COUNTIF(Customer_Master!$A:$A,B970)=0,TRUE,FALSE)</f>
        <v>0</v>
      </c>
    </row>
    <row r="971" spans="1:9" ht="16.8" x14ac:dyDescent="0.3">
      <c r="A971" s="14" t="s">
        <v>9202</v>
      </c>
      <c r="B971" s="14" t="s">
        <v>2389</v>
      </c>
      <c r="C971" s="15">
        <v>44106</v>
      </c>
      <c r="D971" s="14" t="s">
        <v>7943</v>
      </c>
      <c r="E971" s="14">
        <v>2</v>
      </c>
      <c r="F971" s="14" t="s">
        <v>45</v>
      </c>
      <c r="G971" s="14" t="s">
        <v>45</v>
      </c>
      <c r="H971" s="31" t="str" cm="1">
        <f t="array" ref="H971">_xlfn.IFS(
  ISBLANK(A971),"Missing Value",
  OR(E971&lt;1,E971&gt;5),"Review – Out of Range (Satisfaction)",
  ISNA(MATCH(B971,Customer_Master!$A$2:$A$1649,0)),"Retained – Unmatched ID (Anonymous Feedback Rule)",
  TRUE,"OK"
)</f>
        <v>OK</v>
      </c>
      <c r="I971" s="18" t="b">
        <f>IF(COUNTIF(Customer_Master!$A:$A,B971)=0,TRUE,FALSE)</f>
        <v>0</v>
      </c>
    </row>
    <row r="972" spans="1:9" ht="16.8" x14ac:dyDescent="0.3">
      <c r="A972" s="11" t="s">
        <v>9203</v>
      </c>
      <c r="B972" s="11" t="s">
        <v>1475</v>
      </c>
      <c r="C972" s="12">
        <v>44958</v>
      </c>
      <c r="D972" s="11" t="s">
        <v>7978</v>
      </c>
      <c r="E972" s="11">
        <v>3</v>
      </c>
      <c r="F972" s="11" t="s">
        <v>46</v>
      </c>
      <c r="G972" s="11" t="s">
        <v>46</v>
      </c>
      <c r="H972" s="31" t="str" cm="1">
        <f t="array" ref="H972">_xlfn.IFS(
  ISBLANK(A972),"Missing Value",
  OR(E972&lt;1,E972&gt;5),"Review – Out of Range (Satisfaction)",
  ISNA(MATCH(B972,Customer_Master!$A$2:$A$1649,0)),"Retained – Unmatched ID (Anonymous Feedback Rule)",
  TRUE,"OK"
)</f>
        <v>OK</v>
      </c>
      <c r="I972" s="17" t="b">
        <f>IF(COUNTIF(Customer_Master!$A:$A,B972)=0,TRUE,FALSE)</f>
        <v>0</v>
      </c>
    </row>
    <row r="973" spans="1:9" ht="16.8" x14ac:dyDescent="0.3">
      <c r="A973" s="14" t="s">
        <v>9204</v>
      </c>
      <c r="B973" s="14" t="s">
        <v>1779</v>
      </c>
      <c r="C973" s="15">
        <v>43931</v>
      </c>
      <c r="D973" s="14" t="s">
        <v>7937</v>
      </c>
      <c r="E973" s="14">
        <v>4</v>
      </c>
      <c r="F973" s="14" t="s">
        <v>46</v>
      </c>
      <c r="G973" s="14" t="s">
        <v>46</v>
      </c>
      <c r="H973" s="31" t="str" cm="1">
        <f t="array" ref="H973">_xlfn.IFS(
  ISBLANK(A973),"Missing Value",
  OR(E973&lt;1,E973&gt;5),"Review – Out of Range (Satisfaction)",
  ISNA(MATCH(B973,Customer_Master!$A$2:$A$1649,0)),"Retained – Unmatched ID (Anonymous Feedback Rule)",
  TRUE,"OK"
)</f>
        <v>OK</v>
      </c>
      <c r="I973" s="18" t="b">
        <f>IF(COUNTIF(Customer_Master!$A:$A,B973)=0,TRUE,FALSE)</f>
        <v>0</v>
      </c>
    </row>
    <row r="974" spans="1:9" ht="33.6" x14ac:dyDescent="0.3">
      <c r="A974" s="11" t="s">
        <v>9205</v>
      </c>
      <c r="B974" s="11" t="s">
        <v>9206</v>
      </c>
      <c r="C974" s="12">
        <v>44242</v>
      </c>
      <c r="D974" s="11" t="s">
        <v>7931</v>
      </c>
      <c r="E974" s="11">
        <v>4</v>
      </c>
      <c r="F974" s="11" t="s">
        <v>46</v>
      </c>
      <c r="G974" s="11" t="s">
        <v>45</v>
      </c>
      <c r="H974" s="31" t="str" cm="1">
        <f t="array" ref="H974">_xlfn.IFS(
  ISBLANK(A974),"Missing Value",
  OR(E974&lt;1,E974&gt;5),"Review – Out of Range (Satisfaction)",
  ISNA(MATCH(B974,Customer_Master!$A$2:$A$1649,0)),"Retained – Unmatched ID (Anonymous Feedback Rule)",
  TRUE,"OK"
)</f>
        <v>Retained – Unmatched ID (Anonymous Feedback Rule)</v>
      </c>
      <c r="I974" s="17" t="b">
        <f>IF(COUNTIF(Customer_Master!$A:$A,B974)=0,TRUE,FALSE)</f>
        <v>1</v>
      </c>
    </row>
    <row r="975" spans="1:9" ht="16.8" x14ac:dyDescent="0.3">
      <c r="A975" s="14" t="s">
        <v>9207</v>
      </c>
      <c r="B975" s="14" t="s">
        <v>959</v>
      </c>
      <c r="C975" s="15">
        <v>43867</v>
      </c>
      <c r="D975" s="14" t="s">
        <v>7978</v>
      </c>
      <c r="E975" s="14">
        <v>3</v>
      </c>
      <c r="F975" s="14" t="s">
        <v>46</v>
      </c>
      <c r="G975" s="14" t="s">
        <v>46</v>
      </c>
      <c r="H975" s="31" t="str" cm="1">
        <f t="array" ref="H975">_xlfn.IFS(
  ISBLANK(A975),"Missing Value",
  OR(E975&lt;1,E975&gt;5),"Review – Out of Range (Satisfaction)",
  ISNA(MATCH(B975,Customer_Master!$A$2:$A$1649,0)),"Retained – Unmatched ID (Anonymous Feedback Rule)",
  TRUE,"OK"
)</f>
        <v>OK</v>
      </c>
      <c r="I975" s="18" t="b">
        <f>IF(COUNTIF(Customer_Master!$A:$A,B975)=0,TRUE,FALSE)</f>
        <v>0</v>
      </c>
    </row>
    <row r="976" spans="1:9" ht="16.8" x14ac:dyDescent="0.3">
      <c r="A976" s="11" t="s">
        <v>9208</v>
      </c>
      <c r="B976" s="11" t="s">
        <v>2151</v>
      </c>
      <c r="C976" s="12">
        <v>44569</v>
      </c>
      <c r="D976" s="11" t="s">
        <v>7969</v>
      </c>
      <c r="E976" s="11">
        <v>1</v>
      </c>
      <c r="F976" s="11" t="s">
        <v>46</v>
      </c>
      <c r="G976" s="11" t="s">
        <v>46</v>
      </c>
      <c r="H976" s="31" t="str" cm="1">
        <f t="array" ref="H976">_xlfn.IFS(
  ISBLANK(A976),"Missing Value",
  OR(E976&lt;1,E976&gt;5),"Review – Out of Range (Satisfaction)",
  ISNA(MATCH(B976,Customer_Master!$A$2:$A$1649,0)),"Retained – Unmatched ID (Anonymous Feedback Rule)",
  TRUE,"OK"
)</f>
        <v>OK</v>
      </c>
      <c r="I976" s="17" t="b">
        <f>IF(COUNTIF(Customer_Master!$A:$A,B976)=0,TRUE,FALSE)</f>
        <v>0</v>
      </c>
    </row>
    <row r="977" spans="1:9" ht="16.8" x14ac:dyDescent="0.3">
      <c r="A977" s="14" t="s">
        <v>9209</v>
      </c>
      <c r="B977" s="14" t="s">
        <v>827</v>
      </c>
      <c r="C977" s="15">
        <v>44943</v>
      </c>
      <c r="D977" s="14" t="s">
        <v>7928</v>
      </c>
      <c r="E977" s="14">
        <v>3</v>
      </c>
      <c r="F977" s="14" t="s">
        <v>45</v>
      </c>
      <c r="G977" s="14" t="s">
        <v>46</v>
      </c>
      <c r="H977" s="31" t="str" cm="1">
        <f t="array" ref="H977">_xlfn.IFS(
  ISBLANK(A977),"Missing Value",
  OR(E977&lt;1,E977&gt;5),"Review – Out of Range (Satisfaction)",
  ISNA(MATCH(B977,Customer_Master!$A$2:$A$1649,0)),"Retained – Unmatched ID (Anonymous Feedback Rule)",
  TRUE,"OK"
)</f>
        <v>OK</v>
      </c>
      <c r="I977" s="18" t="b">
        <f>IF(COUNTIF(Customer_Master!$A:$A,B977)=0,TRUE,FALSE)</f>
        <v>0</v>
      </c>
    </row>
    <row r="978" spans="1:9" ht="16.8" x14ac:dyDescent="0.3">
      <c r="A978" s="11" t="s">
        <v>9210</v>
      </c>
      <c r="B978" s="11" t="s">
        <v>3298</v>
      </c>
      <c r="C978" s="12">
        <v>44589</v>
      </c>
      <c r="D978" s="11" t="s">
        <v>7933</v>
      </c>
      <c r="E978" s="11">
        <v>3</v>
      </c>
      <c r="F978" s="11" t="s">
        <v>45</v>
      </c>
      <c r="G978" s="11" t="s">
        <v>46</v>
      </c>
      <c r="H978" s="31" t="str" cm="1">
        <f t="array" ref="H978">_xlfn.IFS(
  ISBLANK(A978),"Missing Value",
  OR(E978&lt;1,E978&gt;5),"Review – Out of Range (Satisfaction)",
  ISNA(MATCH(B978,Customer_Master!$A$2:$A$1649,0)),"Retained – Unmatched ID (Anonymous Feedback Rule)",
  TRUE,"OK"
)</f>
        <v>OK</v>
      </c>
      <c r="I978" s="17" t="b">
        <f>IF(COUNTIF(Customer_Master!$A:$A,B978)=0,TRUE,FALSE)</f>
        <v>0</v>
      </c>
    </row>
    <row r="979" spans="1:9" ht="16.8" x14ac:dyDescent="0.3">
      <c r="A979" s="14" t="s">
        <v>9211</v>
      </c>
      <c r="B979" s="14" t="s">
        <v>394</v>
      </c>
      <c r="C979" s="15">
        <v>44825</v>
      </c>
      <c r="D979" s="14" t="s">
        <v>7940</v>
      </c>
      <c r="E979" s="14">
        <v>4</v>
      </c>
      <c r="F979" s="14" t="s">
        <v>46</v>
      </c>
      <c r="G979" s="14" t="s">
        <v>46</v>
      </c>
      <c r="H979" s="31" t="str" cm="1">
        <f t="array" ref="H979">_xlfn.IFS(
  ISBLANK(A979),"Missing Value",
  OR(E979&lt;1,E979&gt;5),"Review – Out of Range (Satisfaction)",
  ISNA(MATCH(B979,Customer_Master!$A$2:$A$1649,0)),"Retained – Unmatched ID (Anonymous Feedback Rule)",
  TRUE,"OK"
)</f>
        <v>OK</v>
      </c>
      <c r="I979" s="18" t="b">
        <f>IF(COUNTIF(Customer_Master!$A:$A,B979)=0,TRUE,FALSE)</f>
        <v>0</v>
      </c>
    </row>
    <row r="980" spans="1:9" ht="33.6" x14ac:dyDescent="0.3">
      <c r="A980" s="11" t="s">
        <v>9212</v>
      </c>
      <c r="B980" s="11" t="s">
        <v>9213</v>
      </c>
      <c r="C980" s="12">
        <v>44240</v>
      </c>
      <c r="D980" s="11" t="s">
        <v>7937</v>
      </c>
      <c r="E980" s="11">
        <v>5</v>
      </c>
      <c r="F980" s="11" t="s">
        <v>46</v>
      </c>
      <c r="G980" s="11" t="s">
        <v>45</v>
      </c>
      <c r="H980" s="31" t="str" cm="1">
        <f t="array" ref="H980">_xlfn.IFS(
  ISBLANK(A980),"Missing Value",
  OR(E980&lt;1,E980&gt;5),"Review – Out of Range (Satisfaction)",
  ISNA(MATCH(B980,Customer_Master!$A$2:$A$1649,0)),"Retained – Unmatched ID (Anonymous Feedback Rule)",
  TRUE,"OK"
)</f>
        <v>Retained – Unmatched ID (Anonymous Feedback Rule)</v>
      </c>
      <c r="I980" s="17" t="b">
        <f>IF(COUNTIF(Customer_Master!$A:$A,B980)=0,TRUE,FALSE)</f>
        <v>1</v>
      </c>
    </row>
    <row r="981" spans="1:9" ht="16.8" x14ac:dyDescent="0.3">
      <c r="A981" s="14" t="s">
        <v>9214</v>
      </c>
      <c r="B981" s="14" t="s">
        <v>1441</v>
      </c>
      <c r="C981" s="15">
        <v>44943</v>
      </c>
      <c r="D981" s="14" t="s">
        <v>7931</v>
      </c>
      <c r="E981" s="14">
        <v>5</v>
      </c>
      <c r="F981" s="14" t="s">
        <v>46</v>
      </c>
      <c r="G981" s="14" t="s">
        <v>45</v>
      </c>
      <c r="H981" s="31" t="str" cm="1">
        <f t="array" ref="H981">_xlfn.IFS(
  ISBLANK(A981),"Missing Value",
  OR(E981&lt;1,E981&gt;5),"Review – Out of Range (Satisfaction)",
  ISNA(MATCH(B981,Customer_Master!$A$2:$A$1649,0)),"Retained – Unmatched ID (Anonymous Feedback Rule)",
  TRUE,"OK"
)</f>
        <v>OK</v>
      </c>
      <c r="I981" s="18" t="b">
        <f>IF(COUNTIF(Customer_Master!$A:$A,B981)=0,TRUE,FALSE)</f>
        <v>0</v>
      </c>
    </row>
    <row r="982" spans="1:9" ht="16.8" x14ac:dyDescent="0.3">
      <c r="A982" s="11" t="s">
        <v>9215</v>
      </c>
      <c r="B982" s="11" t="s">
        <v>1763</v>
      </c>
      <c r="C982" s="12">
        <v>44612</v>
      </c>
      <c r="D982" s="11" t="s">
        <v>7940</v>
      </c>
      <c r="E982" s="11">
        <v>5</v>
      </c>
      <c r="F982" s="11" t="s">
        <v>45</v>
      </c>
      <c r="G982" s="11" t="s">
        <v>45</v>
      </c>
      <c r="H982" s="31" t="str" cm="1">
        <f t="array" ref="H982">_xlfn.IFS(
  ISBLANK(A982),"Missing Value",
  OR(E982&lt;1,E982&gt;5),"Review – Out of Range (Satisfaction)",
  ISNA(MATCH(B982,Customer_Master!$A$2:$A$1649,0)),"Retained – Unmatched ID (Anonymous Feedback Rule)",
  TRUE,"OK"
)</f>
        <v>OK</v>
      </c>
      <c r="I982" s="17" t="b">
        <f>IF(COUNTIF(Customer_Master!$A:$A,B982)=0,TRUE,FALSE)</f>
        <v>0</v>
      </c>
    </row>
    <row r="983" spans="1:9" ht="33.6" x14ac:dyDescent="0.3">
      <c r="A983" s="14" t="s">
        <v>9216</v>
      </c>
      <c r="B983" s="14" t="s">
        <v>8542</v>
      </c>
      <c r="C983" s="15">
        <v>45193</v>
      </c>
      <c r="D983" s="14" t="s">
        <v>7969</v>
      </c>
      <c r="E983" s="14">
        <v>1</v>
      </c>
      <c r="F983" s="14" t="s">
        <v>45</v>
      </c>
      <c r="G983" s="14" t="s">
        <v>45</v>
      </c>
      <c r="H983" s="31" t="str" cm="1">
        <f t="array" ref="H983">_xlfn.IFS(
  ISBLANK(A983),"Missing Value",
  OR(E983&lt;1,E983&gt;5),"Review – Out of Range (Satisfaction)",
  ISNA(MATCH(B983,Customer_Master!$A$2:$A$1649,0)),"Retained – Unmatched ID (Anonymous Feedback Rule)",
  TRUE,"OK"
)</f>
        <v>Retained – Unmatched ID (Anonymous Feedback Rule)</v>
      </c>
      <c r="I983" s="18" t="b">
        <f>IF(COUNTIF(Customer_Master!$A:$A,B983)=0,TRUE,FALSE)</f>
        <v>1</v>
      </c>
    </row>
    <row r="984" spans="1:9" ht="33.6" x14ac:dyDescent="0.3">
      <c r="A984" s="11" t="s">
        <v>9217</v>
      </c>
      <c r="B984" s="11" t="s">
        <v>9218</v>
      </c>
      <c r="C984" s="12">
        <v>44543</v>
      </c>
      <c r="D984" s="11" t="s">
        <v>7935</v>
      </c>
      <c r="E984" s="11">
        <v>5</v>
      </c>
      <c r="F984" s="11" t="s">
        <v>46</v>
      </c>
      <c r="G984" s="11" t="s">
        <v>46</v>
      </c>
      <c r="H984" s="31" t="str" cm="1">
        <f t="array" ref="H984">_xlfn.IFS(
  ISBLANK(A984),"Missing Value",
  OR(E984&lt;1,E984&gt;5),"Review – Out of Range (Satisfaction)",
  ISNA(MATCH(B984,Customer_Master!$A$2:$A$1649,0)),"Retained – Unmatched ID (Anonymous Feedback Rule)",
  TRUE,"OK"
)</f>
        <v>Retained – Unmatched ID (Anonymous Feedback Rule)</v>
      </c>
      <c r="I984" s="17" t="b">
        <f>IF(COUNTIF(Customer_Master!$A:$A,B984)=0,TRUE,FALSE)</f>
        <v>1</v>
      </c>
    </row>
    <row r="985" spans="1:9" ht="16.8" x14ac:dyDescent="0.3">
      <c r="A985" s="14" t="s">
        <v>9219</v>
      </c>
      <c r="B985" s="14" t="s">
        <v>2425</v>
      </c>
      <c r="C985" s="15">
        <v>44343</v>
      </c>
      <c r="D985" s="14" t="s">
        <v>7940</v>
      </c>
      <c r="E985" s="14">
        <v>5</v>
      </c>
      <c r="F985" s="14" t="s">
        <v>45</v>
      </c>
      <c r="G985" s="14" t="s">
        <v>46</v>
      </c>
      <c r="H985" s="31" t="str" cm="1">
        <f t="array" ref="H985">_xlfn.IFS(
  ISBLANK(A985),"Missing Value",
  OR(E985&lt;1,E985&gt;5),"Review – Out of Range (Satisfaction)",
  ISNA(MATCH(B985,Customer_Master!$A$2:$A$1649,0)),"Retained – Unmatched ID (Anonymous Feedback Rule)",
  TRUE,"OK"
)</f>
        <v>OK</v>
      </c>
      <c r="I985" s="18" t="b">
        <f>IF(COUNTIF(Customer_Master!$A:$A,B985)=0,TRUE,FALSE)</f>
        <v>0</v>
      </c>
    </row>
    <row r="986" spans="1:9" ht="33.6" x14ac:dyDescent="0.3">
      <c r="A986" s="11" t="s">
        <v>9220</v>
      </c>
      <c r="B986" s="11" t="s">
        <v>8195</v>
      </c>
      <c r="C986" s="12">
        <v>44389</v>
      </c>
      <c r="D986" s="11" t="s">
        <v>7978</v>
      </c>
      <c r="E986" s="11">
        <v>1</v>
      </c>
      <c r="F986" s="11" t="s">
        <v>46</v>
      </c>
      <c r="G986" s="11" t="s">
        <v>46</v>
      </c>
      <c r="H986" s="31" t="str" cm="1">
        <f t="array" ref="H986">_xlfn.IFS(
  ISBLANK(A986),"Missing Value",
  OR(E986&lt;1,E986&gt;5),"Review – Out of Range (Satisfaction)",
  ISNA(MATCH(B986,Customer_Master!$A$2:$A$1649,0)),"Retained – Unmatched ID (Anonymous Feedback Rule)",
  TRUE,"OK"
)</f>
        <v>Retained – Unmatched ID (Anonymous Feedback Rule)</v>
      </c>
      <c r="I986" s="17" t="b">
        <f>IF(COUNTIF(Customer_Master!$A:$A,B986)=0,TRUE,FALSE)</f>
        <v>1</v>
      </c>
    </row>
    <row r="987" spans="1:9" ht="16.8" x14ac:dyDescent="0.3">
      <c r="A987" s="14" t="s">
        <v>9221</v>
      </c>
      <c r="B987" s="14" t="s">
        <v>1131</v>
      </c>
      <c r="C987" s="15">
        <v>44575</v>
      </c>
      <c r="D987" s="14" t="s">
        <v>7931</v>
      </c>
      <c r="E987" s="14">
        <v>4</v>
      </c>
      <c r="F987" s="14" t="s">
        <v>46</v>
      </c>
      <c r="G987" s="14" t="s">
        <v>46</v>
      </c>
      <c r="H987" s="31" t="str" cm="1">
        <f t="array" ref="H987">_xlfn.IFS(
  ISBLANK(A987),"Missing Value",
  OR(E987&lt;1,E987&gt;5),"Review – Out of Range (Satisfaction)",
  ISNA(MATCH(B987,Customer_Master!$A$2:$A$1649,0)),"Retained – Unmatched ID (Anonymous Feedback Rule)",
  TRUE,"OK"
)</f>
        <v>OK</v>
      </c>
      <c r="I987" s="18" t="b">
        <f>IF(COUNTIF(Customer_Master!$A:$A,B987)=0,TRUE,FALSE)</f>
        <v>0</v>
      </c>
    </row>
    <row r="988" spans="1:9" ht="16.8" x14ac:dyDescent="0.3">
      <c r="A988" s="11" t="s">
        <v>9222</v>
      </c>
      <c r="B988" s="11" t="s">
        <v>3308</v>
      </c>
      <c r="C988" s="12">
        <v>44729</v>
      </c>
      <c r="D988" s="11" t="s">
        <v>7947</v>
      </c>
      <c r="E988" s="11">
        <v>4</v>
      </c>
      <c r="F988" s="11" t="s">
        <v>45</v>
      </c>
      <c r="G988" s="11" t="s">
        <v>46</v>
      </c>
      <c r="H988" s="31" t="str" cm="1">
        <f t="array" ref="H988">_xlfn.IFS(
  ISBLANK(A988),"Missing Value",
  OR(E988&lt;1,E988&gt;5),"Review – Out of Range (Satisfaction)",
  ISNA(MATCH(B988,Customer_Master!$A$2:$A$1649,0)),"Retained – Unmatched ID (Anonymous Feedback Rule)",
  TRUE,"OK"
)</f>
        <v>OK</v>
      </c>
      <c r="I988" s="17" t="b">
        <f>IF(COUNTIF(Customer_Master!$A:$A,B988)=0,TRUE,FALSE)</f>
        <v>0</v>
      </c>
    </row>
    <row r="989" spans="1:9" ht="33.6" x14ac:dyDescent="0.3">
      <c r="A989" s="14" t="s">
        <v>9223</v>
      </c>
      <c r="B989" s="14" t="s">
        <v>8568</v>
      </c>
      <c r="C989" s="15">
        <v>44993</v>
      </c>
      <c r="D989" s="14" t="s">
        <v>7937</v>
      </c>
      <c r="E989" s="14">
        <v>4</v>
      </c>
      <c r="F989" s="14" t="s">
        <v>45</v>
      </c>
      <c r="G989" s="14" t="s">
        <v>45</v>
      </c>
      <c r="H989" s="31" t="str" cm="1">
        <f t="array" ref="H989">_xlfn.IFS(
  ISBLANK(A989),"Missing Value",
  OR(E989&lt;1,E989&gt;5),"Review – Out of Range (Satisfaction)",
  ISNA(MATCH(B989,Customer_Master!$A$2:$A$1649,0)),"Retained – Unmatched ID (Anonymous Feedback Rule)",
  TRUE,"OK"
)</f>
        <v>Retained – Unmatched ID (Anonymous Feedback Rule)</v>
      </c>
      <c r="I989" s="18" t="b">
        <f>IF(COUNTIF(Customer_Master!$A:$A,B989)=0,TRUE,FALSE)</f>
        <v>1</v>
      </c>
    </row>
    <row r="990" spans="1:9" ht="16.8" x14ac:dyDescent="0.3">
      <c r="A990" s="11" t="s">
        <v>9224</v>
      </c>
      <c r="B990" s="11" t="s">
        <v>927</v>
      </c>
      <c r="C990" s="12">
        <v>44664</v>
      </c>
      <c r="D990" s="11" t="s">
        <v>7943</v>
      </c>
      <c r="E990" s="11">
        <v>1</v>
      </c>
      <c r="F990" s="11" t="s">
        <v>46</v>
      </c>
      <c r="G990" s="11" t="s">
        <v>45</v>
      </c>
      <c r="H990" s="31" t="str" cm="1">
        <f t="array" ref="H990">_xlfn.IFS(
  ISBLANK(A990),"Missing Value",
  OR(E990&lt;1,E990&gt;5),"Review – Out of Range (Satisfaction)",
  ISNA(MATCH(B990,Customer_Master!$A$2:$A$1649,0)),"Retained – Unmatched ID (Anonymous Feedback Rule)",
  TRUE,"OK"
)</f>
        <v>OK</v>
      </c>
      <c r="I990" s="17" t="b">
        <f>IF(COUNTIF(Customer_Master!$A:$A,B990)=0,TRUE,FALSE)</f>
        <v>0</v>
      </c>
    </row>
    <row r="991" spans="1:9" ht="33.6" x14ac:dyDescent="0.3">
      <c r="A991" s="14" t="s">
        <v>9225</v>
      </c>
      <c r="B991" s="14" t="s">
        <v>9226</v>
      </c>
      <c r="C991" s="15">
        <v>44322</v>
      </c>
      <c r="D991" s="14" t="s">
        <v>7978</v>
      </c>
      <c r="E991" s="14">
        <v>2</v>
      </c>
      <c r="F991" s="14" t="s">
        <v>46</v>
      </c>
      <c r="G991" s="14" t="s">
        <v>46</v>
      </c>
      <c r="H991" s="31" t="str" cm="1">
        <f t="array" ref="H991">_xlfn.IFS(
  ISBLANK(A991),"Missing Value",
  OR(E991&lt;1,E991&gt;5),"Review – Out of Range (Satisfaction)",
  ISNA(MATCH(B991,Customer_Master!$A$2:$A$1649,0)),"Retained – Unmatched ID (Anonymous Feedback Rule)",
  TRUE,"OK"
)</f>
        <v>Retained – Unmatched ID (Anonymous Feedback Rule)</v>
      </c>
      <c r="I991" s="18" t="b">
        <f>IF(COUNTIF(Customer_Master!$A:$A,B991)=0,TRUE,FALSE)</f>
        <v>1</v>
      </c>
    </row>
    <row r="992" spans="1:9" ht="33.6" x14ac:dyDescent="0.3">
      <c r="A992" s="11" t="s">
        <v>9227</v>
      </c>
      <c r="B992" s="11" t="s">
        <v>8376</v>
      </c>
      <c r="C992" s="12">
        <v>44494</v>
      </c>
      <c r="D992" s="11" t="s">
        <v>7969</v>
      </c>
      <c r="E992" s="11">
        <v>1</v>
      </c>
      <c r="F992" s="11" t="s">
        <v>45</v>
      </c>
      <c r="G992" s="11" t="s">
        <v>46</v>
      </c>
      <c r="H992" s="31" t="str" cm="1">
        <f t="array" ref="H992">_xlfn.IFS(
  ISBLANK(A992),"Missing Value",
  OR(E992&lt;1,E992&gt;5),"Review – Out of Range (Satisfaction)",
  ISNA(MATCH(B992,Customer_Master!$A$2:$A$1649,0)),"Retained – Unmatched ID (Anonymous Feedback Rule)",
  TRUE,"OK"
)</f>
        <v>Retained – Unmatched ID (Anonymous Feedback Rule)</v>
      </c>
      <c r="I992" s="17" t="b">
        <f>IF(COUNTIF(Customer_Master!$A:$A,B992)=0,TRUE,FALSE)</f>
        <v>1</v>
      </c>
    </row>
    <row r="993" spans="1:9" ht="33.6" x14ac:dyDescent="0.3">
      <c r="A993" s="14" t="s">
        <v>9228</v>
      </c>
      <c r="B993" s="14" t="s">
        <v>8459</v>
      </c>
      <c r="C993" s="15">
        <v>43926</v>
      </c>
      <c r="D993" s="14" t="s">
        <v>7928</v>
      </c>
      <c r="E993" s="14">
        <v>2</v>
      </c>
      <c r="F993" s="14" t="s">
        <v>45</v>
      </c>
      <c r="G993" s="14" t="s">
        <v>46</v>
      </c>
      <c r="H993" s="31" t="str" cm="1">
        <f t="array" ref="H993">_xlfn.IFS(
  ISBLANK(A993),"Missing Value",
  OR(E993&lt;1,E993&gt;5),"Review – Out of Range (Satisfaction)",
  ISNA(MATCH(B993,Customer_Master!$A$2:$A$1649,0)),"Retained – Unmatched ID (Anonymous Feedback Rule)",
  TRUE,"OK"
)</f>
        <v>Retained – Unmatched ID (Anonymous Feedback Rule)</v>
      </c>
      <c r="I993" s="18" t="b">
        <f>IF(COUNTIF(Customer_Master!$A:$A,B993)=0,TRUE,FALSE)</f>
        <v>1</v>
      </c>
    </row>
    <row r="994" spans="1:9" ht="16.8" x14ac:dyDescent="0.3">
      <c r="A994" s="11" t="s">
        <v>9229</v>
      </c>
      <c r="B994" s="11" t="s">
        <v>2525</v>
      </c>
      <c r="C994" s="12">
        <v>44841</v>
      </c>
      <c r="D994" s="11" t="s">
        <v>7937</v>
      </c>
      <c r="E994" s="11">
        <v>4</v>
      </c>
      <c r="F994" s="11" t="s">
        <v>45</v>
      </c>
      <c r="G994" s="11" t="s">
        <v>46</v>
      </c>
      <c r="H994" s="31" t="str" cm="1">
        <f t="array" ref="H994">_xlfn.IFS(
  ISBLANK(A994),"Missing Value",
  OR(E994&lt;1,E994&gt;5),"Review – Out of Range (Satisfaction)",
  ISNA(MATCH(B994,Customer_Master!$A$2:$A$1649,0)),"Retained – Unmatched ID (Anonymous Feedback Rule)",
  TRUE,"OK"
)</f>
        <v>OK</v>
      </c>
      <c r="I994" s="17" t="b">
        <f>IF(COUNTIF(Customer_Master!$A:$A,B994)=0,TRUE,FALSE)</f>
        <v>0</v>
      </c>
    </row>
    <row r="995" spans="1:9" ht="16.8" x14ac:dyDescent="0.3">
      <c r="A995" s="14" t="s">
        <v>9230</v>
      </c>
      <c r="B995" s="14" t="s">
        <v>2361</v>
      </c>
      <c r="C995" s="15">
        <v>45121</v>
      </c>
      <c r="D995" s="14" t="s">
        <v>7969</v>
      </c>
      <c r="E995" s="14">
        <v>1</v>
      </c>
      <c r="F995" s="14" t="s">
        <v>45</v>
      </c>
      <c r="G995" s="14" t="s">
        <v>46</v>
      </c>
      <c r="H995" s="31" t="str" cm="1">
        <f t="array" ref="H995">_xlfn.IFS(
  ISBLANK(A995),"Missing Value",
  OR(E995&lt;1,E995&gt;5),"Review – Out of Range (Satisfaction)",
  ISNA(MATCH(B995,Customer_Master!$A$2:$A$1649,0)),"Retained – Unmatched ID (Anonymous Feedback Rule)",
  TRUE,"OK"
)</f>
        <v>OK</v>
      </c>
      <c r="I995" s="18" t="b">
        <f>IF(COUNTIF(Customer_Master!$A:$A,B995)=0,TRUE,FALSE)</f>
        <v>0</v>
      </c>
    </row>
    <row r="996" spans="1:9" ht="16.8" x14ac:dyDescent="0.3">
      <c r="A996" s="11" t="s">
        <v>9231</v>
      </c>
      <c r="B996" s="11" t="s">
        <v>2697</v>
      </c>
      <c r="C996" s="12">
        <v>44793</v>
      </c>
      <c r="D996" s="11" t="s">
        <v>7978</v>
      </c>
      <c r="E996" s="11">
        <v>1</v>
      </c>
      <c r="F996" s="11" t="s">
        <v>46</v>
      </c>
      <c r="G996" s="11" t="s">
        <v>45</v>
      </c>
      <c r="H996" s="31" t="str" cm="1">
        <f t="array" ref="H996">_xlfn.IFS(
  ISBLANK(A996),"Missing Value",
  OR(E996&lt;1,E996&gt;5),"Review – Out of Range (Satisfaction)",
  ISNA(MATCH(B996,Customer_Master!$A$2:$A$1649,0)),"Retained – Unmatched ID (Anonymous Feedback Rule)",
  TRUE,"OK"
)</f>
        <v>OK</v>
      </c>
      <c r="I996" s="17" t="b">
        <f>IF(COUNTIF(Customer_Master!$A:$A,B996)=0,TRUE,FALSE)</f>
        <v>0</v>
      </c>
    </row>
    <row r="997" spans="1:9" ht="33.6" x14ac:dyDescent="0.3">
      <c r="A997" s="14" t="s">
        <v>9232</v>
      </c>
      <c r="B997" s="14" t="s">
        <v>9233</v>
      </c>
      <c r="C997" s="15">
        <v>44326</v>
      </c>
      <c r="D997" s="14" t="s">
        <v>7940</v>
      </c>
      <c r="E997" s="14">
        <v>4</v>
      </c>
      <c r="F997" s="14" t="s">
        <v>46</v>
      </c>
      <c r="G997" s="14" t="s">
        <v>45</v>
      </c>
      <c r="H997" s="31" t="str" cm="1">
        <f t="array" ref="H997">_xlfn.IFS(
  ISBLANK(A997),"Missing Value",
  OR(E997&lt;1,E997&gt;5),"Review – Out of Range (Satisfaction)",
  ISNA(MATCH(B997,Customer_Master!$A$2:$A$1649,0)),"Retained – Unmatched ID (Anonymous Feedback Rule)",
  TRUE,"OK"
)</f>
        <v>Retained – Unmatched ID (Anonymous Feedback Rule)</v>
      </c>
      <c r="I997" s="18" t="b">
        <f>IF(COUNTIF(Customer_Master!$A:$A,B997)=0,TRUE,FALSE)</f>
        <v>1</v>
      </c>
    </row>
    <row r="998" spans="1:9" ht="16.8" x14ac:dyDescent="0.3">
      <c r="A998" s="11" t="s">
        <v>9234</v>
      </c>
      <c r="B998" s="11" t="s">
        <v>206</v>
      </c>
      <c r="C998" s="12">
        <v>44722</v>
      </c>
      <c r="D998" s="11" t="s">
        <v>7933</v>
      </c>
      <c r="E998" s="11">
        <v>3</v>
      </c>
      <c r="F998" s="11" t="s">
        <v>46</v>
      </c>
      <c r="G998" s="11" t="s">
        <v>45</v>
      </c>
      <c r="H998" s="31" t="str" cm="1">
        <f t="array" ref="H998">_xlfn.IFS(
  ISBLANK(A998),"Missing Value",
  OR(E998&lt;1,E998&gt;5),"Review – Out of Range (Satisfaction)",
  ISNA(MATCH(B998,Customer_Master!$A$2:$A$1649,0)),"Retained – Unmatched ID (Anonymous Feedback Rule)",
  TRUE,"OK"
)</f>
        <v>OK</v>
      </c>
      <c r="I998" s="17" t="b">
        <f>IF(COUNTIF(Customer_Master!$A:$A,B998)=0,TRUE,FALSE)</f>
        <v>0</v>
      </c>
    </row>
    <row r="999" spans="1:9" ht="16.8" x14ac:dyDescent="0.3">
      <c r="A999" s="14" t="s">
        <v>9235</v>
      </c>
      <c r="B999" s="14" t="s">
        <v>951</v>
      </c>
      <c r="C999" s="15">
        <v>44381</v>
      </c>
      <c r="D999" s="14" t="s">
        <v>7933</v>
      </c>
      <c r="E999" s="14">
        <v>2</v>
      </c>
      <c r="F999" s="14" t="s">
        <v>45</v>
      </c>
      <c r="G999" s="14" t="s">
        <v>45</v>
      </c>
      <c r="H999" s="31" t="str" cm="1">
        <f t="array" ref="H999">_xlfn.IFS(
  ISBLANK(A999),"Missing Value",
  OR(E999&lt;1,E999&gt;5),"Review – Out of Range (Satisfaction)",
  ISNA(MATCH(B999,Customer_Master!$A$2:$A$1649,0)),"Retained – Unmatched ID (Anonymous Feedback Rule)",
  TRUE,"OK"
)</f>
        <v>OK</v>
      </c>
      <c r="I999" s="18" t="b">
        <f>IF(COUNTIF(Customer_Master!$A:$A,B999)=0,TRUE,FALSE)</f>
        <v>0</v>
      </c>
    </row>
    <row r="1000" spans="1:9" ht="33.6" x14ac:dyDescent="0.3">
      <c r="A1000" s="11" t="s">
        <v>9236</v>
      </c>
      <c r="B1000" s="11" t="s">
        <v>9237</v>
      </c>
      <c r="C1000" s="12">
        <v>44520</v>
      </c>
      <c r="D1000" s="11" t="s">
        <v>7937</v>
      </c>
      <c r="E1000" s="11">
        <v>4</v>
      </c>
      <c r="F1000" s="11" t="s">
        <v>45</v>
      </c>
      <c r="G1000" s="11" t="s">
        <v>46</v>
      </c>
      <c r="H1000" s="31" t="str" cm="1">
        <f t="array" ref="H1000">_xlfn.IFS(
  ISBLANK(A1000),"Missing Value",
  OR(E1000&lt;1,E1000&gt;5),"Review – Out of Range (Satisfaction)",
  ISNA(MATCH(B1000,Customer_Master!$A$2:$A$1649,0)),"Retained – Unmatched ID (Anonymous Feedback Rule)",
  TRUE,"OK"
)</f>
        <v>Retained – Unmatched ID (Anonymous Feedback Rule)</v>
      </c>
      <c r="I1000" s="17" t="b">
        <f>IF(COUNTIF(Customer_Master!$A:$A,B1000)=0,TRUE,FALSE)</f>
        <v>1</v>
      </c>
    </row>
    <row r="1001" spans="1:9" ht="16.8" x14ac:dyDescent="0.3">
      <c r="A1001" s="14" t="s">
        <v>9238</v>
      </c>
      <c r="B1001" s="14" t="s">
        <v>2039</v>
      </c>
      <c r="C1001" s="15">
        <v>45005</v>
      </c>
      <c r="D1001" s="14" t="s">
        <v>7935</v>
      </c>
      <c r="E1001" s="14">
        <v>5</v>
      </c>
      <c r="F1001" s="14" t="s">
        <v>46</v>
      </c>
      <c r="G1001" s="14" t="s">
        <v>45</v>
      </c>
      <c r="H1001" s="31" t="str" cm="1">
        <f t="array" ref="H1001">_xlfn.IFS(
  ISBLANK(A1001),"Missing Value",
  OR(E1001&lt;1,E1001&gt;5),"Review – Out of Range (Satisfaction)",
  ISNA(MATCH(B1001,Customer_Master!$A$2:$A$1649,0)),"Retained – Unmatched ID (Anonymous Feedback Rule)",
  TRUE,"OK"
)</f>
        <v>OK</v>
      </c>
      <c r="I1001" s="18" t="b">
        <f>IF(COUNTIF(Customer_Master!$A:$A,B1001)=0,TRUE,FALSE)</f>
        <v>0</v>
      </c>
    </row>
  </sheetData>
  <autoFilter ref="A1:H1001" xr:uid="{00000000-0009-0000-0000-000006000000}"/>
  <conditionalFormatting sqref="A2:B1001">
    <cfRule type="cellIs" dxfId="11" priority="7" operator="equal">
      <formula>""</formula>
    </cfRule>
  </conditionalFormatting>
  <conditionalFormatting sqref="E2:E1001">
    <cfRule type="expression" dxfId="10" priority="8">
      <formula>OR(E2&lt;1, E2&gt;5)</formula>
    </cfRule>
  </conditionalFormatting>
  <conditionalFormatting sqref="H2:H1001">
    <cfRule type="expression" dxfId="9" priority="3">
      <formula>H2="OK"</formula>
    </cfRule>
    <cfRule type="expression" dxfId="8" priority="4">
      <formula>ISNUMBER(SEARCH("Review", H2))</formula>
    </cfRule>
    <cfRule type="expression" dxfId="7" priority="5">
      <formula>ISNUMBER(SEARCH("Missing", H2))</formula>
    </cfRule>
    <cfRule type="expression" dxfId="6" priority="6">
      <formula>ISNUMBER(SEARCH("Retained", H2))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8F77"/>
  </sheetPr>
  <dimension ref="A1:D5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35" bestFit="1" customWidth="1"/>
    <col min="2" max="2" width="45" bestFit="1" customWidth="1"/>
    <col min="3" max="3" width="18" bestFit="1" customWidth="1"/>
    <col min="4" max="4" width="12" bestFit="1" customWidth="1"/>
  </cols>
  <sheetData>
    <row r="1" spans="1:4" ht="16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" x14ac:dyDescent="0.3">
      <c r="A2" s="5" t="s">
        <v>4</v>
      </c>
      <c r="B2" s="5">
        <v>0</v>
      </c>
      <c r="C2" s="5">
        <f>SUMPRODUCT(--ISNA(MATCH(Policy_Details!B2:B2829,Customer_Master!A2:A1649,0)))</f>
        <v>0</v>
      </c>
      <c r="D2" s="19" t="str">
        <f>IF(C2=B2, "PASS", "REVIEW")</f>
        <v>PASS</v>
      </c>
    </row>
    <row r="3" spans="1:4" ht="15" x14ac:dyDescent="0.3">
      <c r="A3" s="3" t="s">
        <v>5</v>
      </c>
      <c r="B3" s="3">
        <v>0</v>
      </c>
      <c r="C3" s="3">
        <f>SUMPRODUCT(--ISNA(MATCH(Policy_Details!H2:H2829,Agent_Info!A2:A301,0)))</f>
        <v>0</v>
      </c>
      <c r="D3" s="19" t="str">
        <f>IF(C3=B3, "PASS", "REVIEW")</f>
        <v>PASS</v>
      </c>
    </row>
    <row r="4" spans="1:4" ht="15" x14ac:dyDescent="0.3">
      <c r="A4" s="5" t="s">
        <v>6</v>
      </c>
      <c r="B4" s="5">
        <v>0</v>
      </c>
      <c r="C4" s="5">
        <f>SUMPRODUCT(--ISNA(MATCH(Claim_History!B2:B1407,Policy_Details!A2:A2829,0)))</f>
        <v>0</v>
      </c>
      <c r="D4" s="19" t="str">
        <f>IF(C4=B4, "PASS", "REVIEW")</f>
        <v>PASS</v>
      </c>
    </row>
    <row r="5" spans="1:4" ht="15" x14ac:dyDescent="0.3">
      <c r="A5" s="3" t="s">
        <v>7</v>
      </c>
      <c r="B5" s="3">
        <v>369</v>
      </c>
      <c r="C5" s="3">
        <f>SUMPRODUCT(--ISNA(MATCH(Customer_Feedback!B2:B1001,Customer_Master!A2:A1649,0)))</f>
        <v>369</v>
      </c>
      <c r="D5" s="19" t="str">
        <f>IF(C5=B5, "PASS", "REVIEW")</f>
        <v>PASS</v>
      </c>
    </row>
  </sheetData>
  <conditionalFormatting sqref="D2:D5">
    <cfRule type="expression" dxfId="5" priority="1">
      <formula>D2="PASS"</formula>
    </cfRule>
    <cfRule type="expression" dxfId="4" priority="2">
      <formula>D2="REVIEW"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A589"/>
  </sheetPr>
  <dimension ref="A1:I8"/>
  <sheetViews>
    <sheetView showGridLines="0" workbookViewId="0">
      <pane ySplit="1" topLeftCell="A2" activePane="bottomLeft" state="frozen"/>
      <selection pane="bottomLeft" activeCell="H2" sqref="H2"/>
    </sheetView>
  </sheetViews>
  <sheetFormatPr defaultColWidth="19.109375" defaultRowHeight="14.4" x14ac:dyDescent="0.3"/>
  <cols>
    <col min="1" max="1" width="22" bestFit="1" customWidth="1"/>
    <col min="2" max="2" width="13.88671875" customWidth="1"/>
    <col min="3" max="3" width="19.21875" customWidth="1"/>
    <col min="4" max="4" width="22" style="32" bestFit="1" customWidth="1"/>
    <col min="5" max="5" width="30.33203125" style="32" customWidth="1"/>
    <col min="6" max="6" width="26.21875" customWidth="1"/>
    <col min="7" max="7" width="18.109375" style="40" customWidth="1"/>
    <col min="8" max="8" width="26.21875" style="30" customWidth="1"/>
    <col min="9" max="9" width="24.77734375" customWidth="1"/>
  </cols>
  <sheetData>
    <row r="1" spans="1:9" ht="15" x14ac:dyDescent="0.3">
      <c r="A1" s="20" t="s">
        <v>9239</v>
      </c>
      <c r="B1" s="20" t="s">
        <v>9240</v>
      </c>
      <c r="C1" s="20" t="s">
        <v>9241</v>
      </c>
      <c r="D1" s="20" t="s">
        <v>9242</v>
      </c>
      <c r="E1" s="20" t="s">
        <v>9243</v>
      </c>
      <c r="F1" s="20" t="s">
        <v>9244</v>
      </c>
      <c r="G1" s="37" t="s">
        <v>9245</v>
      </c>
      <c r="H1" s="41" t="s">
        <v>9246</v>
      </c>
      <c r="I1" s="20" t="s">
        <v>9247</v>
      </c>
    </row>
    <row r="2" spans="1:9" ht="28.8" x14ac:dyDescent="0.3">
      <c r="A2" s="5" t="s">
        <v>9248</v>
      </c>
      <c r="B2" s="5" t="s">
        <v>30</v>
      </c>
      <c r="C2" s="5" t="s">
        <v>9249</v>
      </c>
      <c r="D2" s="33" t="s">
        <v>9250</v>
      </c>
      <c r="E2" s="33" t="s">
        <v>9251</v>
      </c>
      <c r="F2" s="35">
        <f>6+3+8</f>
        <v>17</v>
      </c>
      <c r="G2" s="38">
        <f>(F2/1648)</f>
        <v>1.0315533980582525E-2</v>
      </c>
      <c r="H2" s="42" t="s">
        <v>9252</v>
      </c>
      <c r="I2" s="5" t="s">
        <v>9253</v>
      </c>
    </row>
    <row r="3" spans="1:9" ht="28.8" x14ac:dyDescent="0.3">
      <c r="A3" s="3" t="s">
        <v>9248</v>
      </c>
      <c r="B3" s="3" t="s">
        <v>33</v>
      </c>
      <c r="C3" s="3" t="s">
        <v>9249</v>
      </c>
      <c r="D3" s="34" t="s">
        <v>9254</v>
      </c>
      <c r="E3" s="34" t="s">
        <v>9255</v>
      </c>
      <c r="F3" s="36">
        <f>8+2</f>
        <v>10</v>
      </c>
      <c r="G3" s="39">
        <f>(F3/1648)</f>
        <v>6.0679611650485436E-3</v>
      </c>
      <c r="H3" s="43" t="s">
        <v>9252</v>
      </c>
      <c r="I3" s="3" t="s">
        <v>9253</v>
      </c>
    </row>
    <row r="4" spans="1:9" ht="28.8" x14ac:dyDescent="0.3">
      <c r="A4" s="5" t="s">
        <v>9256</v>
      </c>
      <c r="B4" s="5" t="s">
        <v>3351</v>
      </c>
      <c r="C4" s="5" t="s">
        <v>9249</v>
      </c>
      <c r="D4" s="33" t="s">
        <v>9257</v>
      </c>
      <c r="E4" s="33" t="s">
        <v>9258</v>
      </c>
      <c r="F4" s="35">
        <f>4</f>
        <v>4</v>
      </c>
      <c r="G4" s="38">
        <f>(F4/2828)</f>
        <v>1.4144271570014145E-3</v>
      </c>
      <c r="H4" s="42" t="s">
        <v>9252</v>
      </c>
      <c r="I4" s="5" t="s">
        <v>9253</v>
      </c>
    </row>
    <row r="5" spans="1:9" ht="28.8" x14ac:dyDescent="0.3">
      <c r="A5" s="3" t="s">
        <v>9259</v>
      </c>
      <c r="B5" s="3" t="s">
        <v>6497</v>
      </c>
      <c r="C5" s="3" t="s">
        <v>9249</v>
      </c>
      <c r="D5" s="34" t="s">
        <v>9260</v>
      </c>
      <c r="E5" s="34" t="s">
        <v>9261</v>
      </c>
      <c r="F5" s="36">
        <f>2+4</f>
        <v>6</v>
      </c>
      <c r="G5" s="39">
        <f>(F5/1406)</f>
        <v>4.2674253200568994E-3</v>
      </c>
      <c r="H5" s="43" t="s">
        <v>9252</v>
      </c>
      <c r="I5" s="3" t="s">
        <v>9253</v>
      </c>
    </row>
    <row r="6" spans="1:9" ht="28.8" x14ac:dyDescent="0.3">
      <c r="A6" s="5" t="s">
        <v>9262</v>
      </c>
      <c r="B6" s="5" t="s">
        <v>7921</v>
      </c>
      <c r="C6" s="5" t="s">
        <v>9263</v>
      </c>
      <c r="D6" s="33" t="s">
        <v>9264</v>
      </c>
      <c r="E6" s="33" t="s">
        <v>9265</v>
      </c>
      <c r="F6" s="35">
        <f>1000</f>
        <v>1000</v>
      </c>
      <c r="G6" s="38">
        <f>(F6/1000)</f>
        <v>1</v>
      </c>
      <c r="H6" s="42" t="s">
        <v>9266</v>
      </c>
      <c r="I6" s="5" t="s">
        <v>9267</v>
      </c>
    </row>
    <row r="7" spans="1:9" ht="72" x14ac:dyDescent="0.3">
      <c r="A7" s="3" t="s">
        <v>9262</v>
      </c>
      <c r="B7" s="3" t="s">
        <v>27</v>
      </c>
      <c r="C7" s="3" t="s">
        <v>9268</v>
      </c>
      <c r="D7" s="34" t="s">
        <v>9269</v>
      </c>
      <c r="E7" s="34" t="s">
        <v>9270</v>
      </c>
      <c r="F7" s="36">
        <f>FK_Integrity_Check!C5</f>
        <v>369</v>
      </c>
      <c r="G7" s="39">
        <f>(F7/1000)</f>
        <v>0.36899999999999999</v>
      </c>
      <c r="H7" s="43" t="s">
        <v>9271</v>
      </c>
      <c r="I7" s="3" t="s">
        <v>9272</v>
      </c>
    </row>
    <row r="8" spans="1:9" ht="57.6" x14ac:dyDescent="0.3">
      <c r="A8" s="5" t="s">
        <v>9273</v>
      </c>
      <c r="B8" s="5"/>
      <c r="C8" s="5"/>
      <c r="D8" s="33" t="s">
        <v>9274</v>
      </c>
      <c r="E8" s="33"/>
      <c r="F8" s="5"/>
      <c r="G8" s="35"/>
      <c r="H8" s="42"/>
      <c r="I8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618D"/>
  </sheetPr>
  <dimension ref="A1:G48"/>
  <sheetViews>
    <sheetView showGridLines="0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16.88671875" bestFit="1" customWidth="1"/>
    <col min="2" max="2" width="15.21875" bestFit="1" customWidth="1"/>
    <col min="3" max="3" width="22" style="51" bestFit="1" customWidth="1"/>
    <col min="4" max="4" width="18.6640625" style="51" bestFit="1" customWidth="1"/>
    <col min="5" max="5" width="18.21875" bestFit="1" customWidth="1"/>
    <col min="6" max="6" width="31" bestFit="1" customWidth="1"/>
    <col min="7" max="7" width="20.6640625" bestFit="1" customWidth="1"/>
  </cols>
  <sheetData>
    <row r="1" spans="1:7" ht="16.8" x14ac:dyDescent="0.3">
      <c r="A1" s="21" t="s">
        <v>9275</v>
      </c>
      <c r="B1" s="45" t="s">
        <v>9276</v>
      </c>
      <c r="C1" s="49"/>
      <c r="D1" s="22" t="s">
        <v>9301</v>
      </c>
      <c r="E1" s="48" t="s">
        <v>9302</v>
      </c>
      <c r="F1" s="22" t="s">
        <v>9303</v>
      </c>
      <c r="G1" s="48" t="s">
        <v>9244</v>
      </c>
    </row>
    <row r="2" spans="1:7" x14ac:dyDescent="0.3">
      <c r="A2" s="5" t="s">
        <v>9277</v>
      </c>
      <c r="B2" s="46" t="s">
        <v>41</v>
      </c>
      <c r="C2" s="50"/>
      <c r="D2" s="5" t="s">
        <v>9304</v>
      </c>
      <c r="E2" s="46" t="s">
        <v>41</v>
      </c>
      <c r="F2" s="5" t="s">
        <v>9305</v>
      </c>
      <c r="G2" s="46">
        <v>6</v>
      </c>
    </row>
    <row r="3" spans="1:7" x14ac:dyDescent="0.3">
      <c r="A3" s="3" t="s">
        <v>9277</v>
      </c>
      <c r="B3" s="47" t="s">
        <v>49</v>
      </c>
      <c r="C3" s="50"/>
      <c r="D3" s="3" t="s">
        <v>9306</v>
      </c>
      <c r="E3" s="47" t="s">
        <v>41</v>
      </c>
      <c r="F3" s="3" t="s">
        <v>9305</v>
      </c>
      <c r="G3" s="47">
        <v>3</v>
      </c>
    </row>
    <row r="4" spans="1:7" x14ac:dyDescent="0.3">
      <c r="A4" s="5" t="s">
        <v>9278</v>
      </c>
      <c r="B4" s="46" t="s">
        <v>55</v>
      </c>
      <c r="C4" s="50"/>
      <c r="D4" s="5" t="s">
        <v>9307</v>
      </c>
      <c r="E4" s="46" t="s">
        <v>49</v>
      </c>
      <c r="F4" s="5" t="s">
        <v>9305</v>
      </c>
      <c r="G4" s="46">
        <v>8</v>
      </c>
    </row>
    <row r="5" spans="1:7" x14ac:dyDescent="0.3">
      <c r="A5" s="3" t="s">
        <v>9278</v>
      </c>
      <c r="B5" s="47" t="s">
        <v>60</v>
      </c>
      <c r="C5" s="50"/>
      <c r="D5" s="3" t="s">
        <v>9308</v>
      </c>
      <c r="E5" s="47" t="s">
        <v>44</v>
      </c>
      <c r="F5" s="3" t="s">
        <v>9309</v>
      </c>
      <c r="G5" s="47">
        <v>8</v>
      </c>
    </row>
    <row r="6" spans="1:7" x14ac:dyDescent="0.3">
      <c r="A6" s="5" t="s">
        <v>9278</v>
      </c>
      <c r="B6" s="46" t="s">
        <v>52</v>
      </c>
      <c r="C6" s="50"/>
      <c r="D6" s="5" t="s">
        <v>9310</v>
      </c>
      <c r="E6" s="46" t="s">
        <v>60</v>
      </c>
      <c r="F6" s="5" t="s">
        <v>9309</v>
      </c>
      <c r="G6" s="46">
        <v>2</v>
      </c>
    </row>
    <row r="7" spans="1:7" x14ac:dyDescent="0.3">
      <c r="A7" s="3" t="s">
        <v>9278</v>
      </c>
      <c r="B7" s="47" t="s">
        <v>44</v>
      </c>
      <c r="C7" s="50"/>
      <c r="D7" s="3" t="s">
        <v>9311</v>
      </c>
      <c r="E7" s="47" t="s">
        <v>3359</v>
      </c>
      <c r="F7" s="3" t="s">
        <v>9312</v>
      </c>
      <c r="G7" s="47">
        <v>4</v>
      </c>
    </row>
    <row r="8" spans="1:7" x14ac:dyDescent="0.3">
      <c r="A8" s="5" t="s">
        <v>9278</v>
      </c>
      <c r="B8" s="46" t="s">
        <v>109</v>
      </c>
      <c r="C8" s="50"/>
      <c r="D8" s="5" t="s">
        <v>9313</v>
      </c>
      <c r="E8" s="46" t="s">
        <v>6505</v>
      </c>
      <c r="F8" s="5" t="s">
        <v>9314</v>
      </c>
      <c r="G8" s="46">
        <v>2</v>
      </c>
    </row>
    <row r="9" spans="1:7" x14ac:dyDescent="0.3">
      <c r="A9" s="3" t="s">
        <v>9279</v>
      </c>
      <c r="B9" s="47" t="s">
        <v>42</v>
      </c>
      <c r="C9" s="50"/>
      <c r="D9" s="3" t="s">
        <v>9315</v>
      </c>
      <c r="E9" s="47" t="s">
        <v>6508</v>
      </c>
      <c r="F9" s="3" t="s">
        <v>9314</v>
      </c>
      <c r="G9" s="47">
        <v>4</v>
      </c>
    </row>
    <row r="10" spans="1:7" x14ac:dyDescent="0.3">
      <c r="A10" s="5" t="s">
        <v>9279</v>
      </c>
      <c r="B10" s="46" t="s">
        <v>58</v>
      </c>
      <c r="C10" s="50"/>
      <c r="D10" s="5" t="s">
        <v>9316</v>
      </c>
      <c r="E10" s="46" t="s">
        <v>9317</v>
      </c>
      <c r="F10" s="5" t="s">
        <v>9318</v>
      </c>
      <c r="G10" s="46">
        <v>1000</v>
      </c>
    </row>
    <row r="11" spans="1:7" x14ac:dyDescent="0.3">
      <c r="A11" s="3" t="s">
        <v>9279</v>
      </c>
      <c r="B11" s="47" t="s">
        <v>50</v>
      </c>
      <c r="C11" s="50"/>
      <c r="D11" s="50"/>
    </row>
    <row r="12" spans="1:7" x14ac:dyDescent="0.3">
      <c r="A12" s="5" t="s">
        <v>9279</v>
      </c>
      <c r="B12" s="46" t="s">
        <v>9280</v>
      </c>
      <c r="C12" s="50"/>
      <c r="D12" s="50"/>
    </row>
    <row r="13" spans="1:7" x14ac:dyDescent="0.3">
      <c r="A13" s="3" t="s">
        <v>9281</v>
      </c>
      <c r="B13" s="47" t="s">
        <v>46</v>
      </c>
      <c r="C13" s="50"/>
      <c r="D13" s="50"/>
    </row>
    <row r="14" spans="1:7" x14ac:dyDescent="0.3">
      <c r="A14" s="5" t="s">
        <v>9281</v>
      </c>
      <c r="B14" s="46" t="s">
        <v>45</v>
      </c>
      <c r="C14" s="50"/>
      <c r="D14" s="50"/>
    </row>
    <row r="15" spans="1:7" x14ac:dyDescent="0.3">
      <c r="A15" s="3" t="s">
        <v>9282</v>
      </c>
      <c r="B15" s="47" t="s">
        <v>46</v>
      </c>
      <c r="C15" s="50"/>
      <c r="D15" s="50"/>
    </row>
    <row r="16" spans="1:7" x14ac:dyDescent="0.3">
      <c r="A16" s="5" t="s">
        <v>9282</v>
      </c>
      <c r="B16" s="46" t="s">
        <v>45</v>
      </c>
      <c r="C16" s="50"/>
      <c r="D16" s="50"/>
    </row>
    <row r="17" spans="1:4" x14ac:dyDescent="0.3">
      <c r="A17" s="3" t="s">
        <v>9283</v>
      </c>
      <c r="B17" s="47" t="s">
        <v>9284</v>
      </c>
      <c r="C17" s="50"/>
      <c r="D17" s="50"/>
    </row>
    <row r="18" spans="1:4" x14ac:dyDescent="0.3">
      <c r="A18" s="5" t="s">
        <v>9283</v>
      </c>
      <c r="B18" s="46" t="s">
        <v>3363</v>
      </c>
      <c r="C18" s="50"/>
      <c r="D18" s="50"/>
    </row>
    <row r="19" spans="1:4" x14ac:dyDescent="0.3">
      <c r="A19" s="3" t="s">
        <v>9283</v>
      </c>
      <c r="B19" s="47" t="s">
        <v>3359</v>
      </c>
      <c r="C19" s="50"/>
      <c r="D19" s="50"/>
    </row>
    <row r="20" spans="1:4" x14ac:dyDescent="0.3">
      <c r="A20" s="5" t="s">
        <v>9283</v>
      </c>
      <c r="B20" s="46" t="s">
        <v>9285</v>
      </c>
      <c r="C20" s="50"/>
      <c r="D20" s="50"/>
    </row>
    <row r="21" spans="1:4" x14ac:dyDescent="0.3">
      <c r="A21" s="3" t="s">
        <v>3</v>
      </c>
      <c r="B21" s="47" t="s">
        <v>3361</v>
      </c>
      <c r="C21" s="50"/>
      <c r="D21" s="50"/>
    </row>
    <row r="22" spans="1:4" x14ac:dyDescent="0.3">
      <c r="A22" s="5" t="s">
        <v>3</v>
      </c>
      <c r="B22" s="46" t="s">
        <v>3373</v>
      </c>
      <c r="C22" s="50"/>
      <c r="D22" s="50"/>
    </row>
    <row r="23" spans="1:4" x14ac:dyDescent="0.3">
      <c r="A23" s="3" t="s">
        <v>3</v>
      </c>
      <c r="B23" s="47" t="s">
        <v>3365</v>
      </c>
      <c r="C23" s="50"/>
      <c r="D23" s="50"/>
    </row>
    <row r="24" spans="1:4" x14ac:dyDescent="0.3">
      <c r="A24" s="5" t="s">
        <v>3</v>
      </c>
      <c r="B24" s="46" t="s">
        <v>9286</v>
      </c>
      <c r="C24" s="50"/>
      <c r="D24" s="50"/>
    </row>
    <row r="25" spans="1:4" x14ac:dyDescent="0.3">
      <c r="A25" s="3" t="s">
        <v>9287</v>
      </c>
      <c r="B25" s="47" t="s">
        <v>6505</v>
      </c>
      <c r="C25" s="50"/>
      <c r="D25" s="50"/>
    </row>
    <row r="26" spans="1:4" x14ac:dyDescent="0.3">
      <c r="A26" s="5" t="s">
        <v>9287</v>
      </c>
      <c r="B26" s="46" t="s">
        <v>6508</v>
      </c>
      <c r="C26" s="50"/>
      <c r="D26" s="50"/>
    </row>
    <row r="27" spans="1:4" x14ac:dyDescent="0.3">
      <c r="A27" s="3" t="s">
        <v>9287</v>
      </c>
      <c r="B27" s="47" t="s">
        <v>6502</v>
      </c>
      <c r="C27" s="50"/>
      <c r="D27" s="50"/>
    </row>
    <row r="28" spans="1:4" x14ac:dyDescent="0.3">
      <c r="A28" s="5" t="s">
        <v>9288</v>
      </c>
      <c r="B28" s="46" t="s">
        <v>9289</v>
      </c>
      <c r="C28" s="50"/>
      <c r="D28" s="50"/>
    </row>
    <row r="29" spans="1:4" x14ac:dyDescent="0.3">
      <c r="A29" s="3" t="s">
        <v>9288</v>
      </c>
      <c r="B29" s="47" t="s">
        <v>6509</v>
      </c>
      <c r="C29" s="50"/>
      <c r="D29" s="50"/>
    </row>
    <row r="30" spans="1:4" x14ac:dyDescent="0.3">
      <c r="A30" s="5" t="s">
        <v>9288</v>
      </c>
      <c r="B30" s="46" t="s">
        <v>9290</v>
      </c>
      <c r="C30" s="50"/>
      <c r="D30" s="50"/>
    </row>
    <row r="31" spans="1:4" x14ac:dyDescent="0.3">
      <c r="A31" s="3" t="s">
        <v>9288</v>
      </c>
      <c r="B31" s="47" t="s">
        <v>6511</v>
      </c>
      <c r="C31" s="50"/>
      <c r="D31" s="50"/>
    </row>
    <row r="32" spans="1:4" x14ac:dyDescent="0.3">
      <c r="A32" s="5" t="s">
        <v>9291</v>
      </c>
      <c r="B32" s="46" t="s">
        <v>46</v>
      </c>
      <c r="C32" s="50"/>
      <c r="D32" s="50"/>
    </row>
    <row r="33" spans="1:4" x14ac:dyDescent="0.3">
      <c r="A33" s="3" t="s">
        <v>9291</v>
      </c>
      <c r="B33" s="47" t="s">
        <v>45</v>
      </c>
      <c r="C33" s="50"/>
      <c r="D33" s="50"/>
    </row>
    <row r="34" spans="1:4" x14ac:dyDescent="0.3">
      <c r="A34" s="5" t="s">
        <v>9292</v>
      </c>
      <c r="B34" s="46" t="s">
        <v>46</v>
      </c>
      <c r="C34" s="50"/>
      <c r="D34" s="50"/>
    </row>
    <row r="35" spans="1:4" x14ac:dyDescent="0.3">
      <c r="A35" s="3" t="s">
        <v>9292</v>
      </c>
      <c r="B35" s="47" t="s">
        <v>45</v>
      </c>
      <c r="C35" s="50"/>
      <c r="D35" s="50"/>
    </row>
    <row r="36" spans="1:4" x14ac:dyDescent="0.3">
      <c r="A36" s="5" t="s">
        <v>9293</v>
      </c>
      <c r="B36" s="46" t="s">
        <v>46</v>
      </c>
      <c r="C36" s="50"/>
      <c r="D36" s="50"/>
    </row>
    <row r="37" spans="1:4" x14ac:dyDescent="0.3">
      <c r="A37" s="3" t="s">
        <v>9293</v>
      </c>
      <c r="B37" s="47" t="s">
        <v>45</v>
      </c>
      <c r="C37" s="50"/>
      <c r="D37" s="50"/>
    </row>
    <row r="38" spans="1:4" x14ac:dyDescent="0.3">
      <c r="A38" s="5" t="s">
        <v>9294</v>
      </c>
      <c r="B38" s="46" t="s">
        <v>9295</v>
      </c>
      <c r="C38" s="50"/>
      <c r="D38" s="50"/>
    </row>
    <row r="39" spans="1:4" x14ac:dyDescent="0.3">
      <c r="A39" s="3" t="s">
        <v>9294</v>
      </c>
      <c r="B39" s="47" t="s">
        <v>9296</v>
      </c>
      <c r="C39" s="50"/>
      <c r="D39" s="50"/>
    </row>
    <row r="40" spans="1:4" x14ac:dyDescent="0.3">
      <c r="A40" s="5" t="s">
        <v>9294</v>
      </c>
      <c r="B40" s="46" t="s">
        <v>9297</v>
      </c>
      <c r="C40" s="50"/>
      <c r="D40" s="50"/>
    </row>
    <row r="41" spans="1:4" x14ac:dyDescent="0.3">
      <c r="A41" s="3" t="s">
        <v>9294</v>
      </c>
      <c r="B41" s="47" t="s">
        <v>59</v>
      </c>
      <c r="C41" s="50"/>
      <c r="D41" s="50"/>
    </row>
    <row r="42" spans="1:4" x14ac:dyDescent="0.3">
      <c r="A42" s="5" t="s">
        <v>9294</v>
      </c>
      <c r="B42" s="46" t="s">
        <v>9298</v>
      </c>
      <c r="C42" s="50"/>
      <c r="D42" s="50"/>
    </row>
    <row r="43" spans="1:4" x14ac:dyDescent="0.3">
      <c r="A43" s="3" t="s">
        <v>9294</v>
      </c>
      <c r="B43" s="47" t="s">
        <v>65</v>
      </c>
      <c r="C43" s="50"/>
      <c r="D43" s="50"/>
    </row>
    <row r="44" spans="1:4" x14ac:dyDescent="0.3">
      <c r="A44" s="5" t="s">
        <v>9294</v>
      </c>
      <c r="B44" s="46" t="s">
        <v>9299</v>
      </c>
      <c r="C44" s="50"/>
      <c r="D44" s="50"/>
    </row>
    <row r="45" spans="1:4" x14ac:dyDescent="0.3">
      <c r="A45" s="3" t="s">
        <v>9294</v>
      </c>
      <c r="B45" s="47" t="s">
        <v>9300</v>
      </c>
      <c r="C45" s="50"/>
      <c r="D45" s="50"/>
    </row>
    <row r="46" spans="1:4" x14ac:dyDescent="0.3">
      <c r="A46" s="53" t="s">
        <v>9294</v>
      </c>
      <c r="B46" s="54" t="s">
        <v>6516</v>
      </c>
      <c r="C46" s="50"/>
      <c r="D46" s="50"/>
    </row>
    <row r="47" spans="1:4" x14ac:dyDescent="0.3">
      <c r="A47" s="50"/>
      <c r="B47" s="50"/>
      <c r="C47" s="50"/>
      <c r="D47" s="50"/>
    </row>
    <row r="48" spans="1:4" x14ac:dyDescent="0.3">
      <c r="A48" s="50"/>
      <c r="B48" s="50"/>
      <c r="C48" s="50"/>
      <c r="D48" s="50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7A65"/>
  </sheetPr>
  <dimension ref="A1:G21"/>
  <sheetViews>
    <sheetView showGridLines="0" tabSelected="1" workbookViewId="0">
      <pane ySplit="1" topLeftCell="A2" activePane="bottomLeft" state="frozen"/>
      <selection pane="bottomLeft" activeCell="G22" sqref="G22"/>
    </sheetView>
  </sheetViews>
  <sheetFormatPr defaultRowHeight="14.4" x14ac:dyDescent="0.3"/>
  <cols>
    <col min="1" max="1" width="29.44140625" customWidth="1"/>
    <col min="2" max="6" width="22" bestFit="1" customWidth="1"/>
  </cols>
  <sheetData>
    <row r="1" spans="1:7" ht="33.6" x14ac:dyDescent="0.3">
      <c r="A1" s="59" t="s">
        <v>9319</v>
      </c>
      <c r="B1" s="59"/>
      <c r="C1" s="59"/>
      <c r="D1" s="59"/>
      <c r="E1" s="59"/>
      <c r="F1" s="59"/>
      <c r="G1" s="60"/>
    </row>
    <row r="2" spans="1:7" x14ac:dyDescent="0.3">
      <c r="A2" s="22" t="s">
        <v>9320</v>
      </c>
      <c r="B2" s="22" t="s">
        <v>9321</v>
      </c>
      <c r="C2" s="22" t="s">
        <v>9322</v>
      </c>
      <c r="D2" s="22" t="s">
        <v>3</v>
      </c>
      <c r="E2" s="5"/>
      <c r="F2" s="5"/>
    </row>
    <row r="3" spans="1:7" x14ac:dyDescent="0.3">
      <c r="A3" s="3" t="s">
        <v>9</v>
      </c>
      <c r="B3" s="3">
        <v>1648</v>
      </c>
      <c r="C3" s="3">
        <f>COUNTA(Customer_Master!A:A)-1</f>
        <v>1648</v>
      </c>
      <c r="D3" s="3" t="str">
        <f>IF(C3=B3, "PASS", "REVIEW")</f>
        <v>PASS</v>
      </c>
      <c r="E3" s="3"/>
      <c r="F3" s="3"/>
    </row>
    <row r="4" spans="1:7" x14ac:dyDescent="0.3">
      <c r="A4" s="5" t="s">
        <v>11</v>
      </c>
      <c r="B4" s="5">
        <v>2828</v>
      </c>
      <c r="C4" s="5">
        <f>COUNTA(Policy_Details!A:A)-1</f>
        <v>2828</v>
      </c>
      <c r="D4" s="5" t="str">
        <f>IF(C4=B4, "PASS", "REVIEW")</f>
        <v>PASS</v>
      </c>
      <c r="E4" s="5"/>
      <c r="F4" s="5"/>
    </row>
    <row r="5" spans="1:7" x14ac:dyDescent="0.3">
      <c r="A5" s="3" t="s">
        <v>13</v>
      </c>
      <c r="B5" s="3">
        <v>1406</v>
      </c>
      <c r="C5" s="3">
        <f>COUNTA(Claim_History!A:A)-1</f>
        <v>1406</v>
      </c>
      <c r="D5" s="3" t="str">
        <f>IF(C5=B5, "PASS", "REVIEW")</f>
        <v>PASS</v>
      </c>
      <c r="E5" s="3"/>
      <c r="F5" s="3"/>
    </row>
    <row r="6" spans="1:7" x14ac:dyDescent="0.3">
      <c r="A6" s="5" t="s">
        <v>15</v>
      </c>
      <c r="B6" s="5">
        <v>300</v>
      </c>
      <c r="C6" s="5">
        <f>COUNTA(Agent_Info!A:A)-1</f>
        <v>300</v>
      </c>
      <c r="D6" s="5" t="str">
        <f>IF(C6=B6, "PASS", "REVIEW")</f>
        <v>PASS</v>
      </c>
      <c r="E6" s="5"/>
      <c r="F6" s="5"/>
    </row>
    <row r="7" spans="1:7" x14ac:dyDescent="0.3">
      <c r="A7" s="3" t="s">
        <v>17</v>
      </c>
      <c r="B7" s="3">
        <v>1000</v>
      </c>
      <c r="C7" s="3">
        <f>COUNTA(Customer_Feedback!A:A)-1</f>
        <v>1000</v>
      </c>
      <c r="D7" s="3" t="str">
        <f>IF(C7=B7, "PASS", "REVIEW")</f>
        <v>PASS</v>
      </c>
      <c r="E7" s="3"/>
      <c r="F7" s="3"/>
    </row>
    <row r="8" spans="1:7" x14ac:dyDescent="0.3">
      <c r="A8" s="55"/>
      <c r="B8" s="55"/>
      <c r="C8" s="55"/>
      <c r="D8" s="55"/>
      <c r="E8" s="55"/>
      <c r="F8" s="55"/>
    </row>
    <row r="9" spans="1:7" x14ac:dyDescent="0.3">
      <c r="A9" s="57" t="s">
        <v>9323</v>
      </c>
      <c r="B9" s="50"/>
      <c r="C9" s="50"/>
      <c r="D9" s="50"/>
      <c r="E9" s="50"/>
      <c r="F9" s="50"/>
    </row>
    <row r="10" spans="1:7" x14ac:dyDescent="0.3">
      <c r="A10" s="56" t="s">
        <v>9324</v>
      </c>
      <c r="B10" s="56" t="s">
        <v>9325</v>
      </c>
      <c r="C10" s="56" t="s">
        <v>9326</v>
      </c>
      <c r="D10" s="56" t="s">
        <v>9327</v>
      </c>
      <c r="E10" s="56" t="s">
        <v>9328</v>
      </c>
      <c r="F10" s="56" t="s">
        <v>3</v>
      </c>
    </row>
    <row r="11" spans="1:7" x14ac:dyDescent="0.3">
      <c r="A11" s="3" t="s">
        <v>29</v>
      </c>
      <c r="B11" s="3">
        <v>18</v>
      </c>
      <c r="C11" s="3">
        <v>120</v>
      </c>
      <c r="D11" s="3">
        <f>MIN(Customer_Master!C2:C1649)</f>
        <v>18</v>
      </c>
      <c r="E11" s="3">
        <f>MAX(Customer_Master!C2:C1649)</f>
        <v>69</v>
      </c>
      <c r="F11" s="3" t="str">
        <f>IF(AND(D11&gt;=18, E11&lt;=120), "PASS", "REVIEW")</f>
        <v>PASS</v>
      </c>
    </row>
    <row r="12" spans="1:7" x14ac:dyDescent="0.3">
      <c r="A12" s="5" t="s">
        <v>36</v>
      </c>
      <c r="B12" s="5">
        <v>0</v>
      </c>
      <c r="C12" s="5" t="s">
        <v>9329</v>
      </c>
      <c r="D12" s="5">
        <f>MIN(Customer_Master!J2:J1649)</f>
        <v>0</v>
      </c>
      <c r="E12" s="5">
        <f>MAX(Customer_Master!J2:J1649)</f>
        <v>1</v>
      </c>
      <c r="F12" s="5" t="str">
        <f>IF(D12&gt;=0, "PASS", "REVIEW")</f>
        <v>PASS</v>
      </c>
    </row>
    <row r="13" spans="1:7" x14ac:dyDescent="0.3">
      <c r="A13" s="3" t="s">
        <v>3352</v>
      </c>
      <c r="B13" s="3" t="s">
        <v>9330</v>
      </c>
      <c r="C13" s="3" t="s">
        <v>9329</v>
      </c>
      <c r="D13" s="3">
        <f>MIN(Policy_Details!D2:D2829)</f>
        <v>100768.84</v>
      </c>
      <c r="E13" s="3">
        <f>MAX(Policy_Details!D2:D2829)</f>
        <v>999900.15</v>
      </c>
      <c r="F13" s="3" t="str">
        <f>IF(D13&gt;0, "PASS", "REVIEW")</f>
        <v>PASS</v>
      </c>
    </row>
    <row r="14" spans="1:7" x14ac:dyDescent="0.3">
      <c r="A14" s="5" t="s">
        <v>3353</v>
      </c>
      <c r="B14" s="5" t="s">
        <v>9330</v>
      </c>
      <c r="C14" s="5" t="s">
        <v>9329</v>
      </c>
      <c r="D14" s="5">
        <f>MIN(Policy_Details!E2:E2829)</f>
        <v>3013.88</v>
      </c>
      <c r="E14" s="5">
        <f>MAX(Policy_Details!E2:E2829)</f>
        <v>49994.21</v>
      </c>
      <c r="F14" s="5" t="str">
        <f>IF(D14&gt;0, "PASS", "REVIEW")</f>
        <v>PASS</v>
      </c>
    </row>
    <row r="15" spans="1:7" x14ac:dyDescent="0.3">
      <c r="A15" s="3" t="s">
        <v>6496</v>
      </c>
      <c r="B15" s="3">
        <v>0</v>
      </c>
      <c r="C15" s="3" t="s">
        <v>9329</v>
      </c>
      <c r="D15" s="3">
        <f>MIN(Claim_History!D2:D1407)</f>
        <v>10149.32</v>
      </c>
      <c r="E15" s="3">
        <f>MAX(Claim_History!D2:D1407)</f>
        <v>499431.2</v>
      </c>
      <c r="F15" s="3" t="str">
        <f>IF(D15&gt;=0, "PASS", "REVIEW")</f>
        <v>PASS</v>
      </c>
    </row>
    <row r="16" spans="1:7" x14ac:dyDescent="0.3">
      <c r="A16" s="5" t="s">
        <v>7923</v>
      </c>
      <c r="B16" s="5">
        <v>1</v>
      </c>
      <c r="C16" s="5">
        <v>5</v>
      </c>
      <c r="D16" s="5">
        <f>MIN(Customer_Feedback!E2:E1001)</f>
        <v>1</v>
      </c>
      <c r="E16" s="5">
        <f>MAX(Customer_Feedback!E2:E1001)</f>
        <v>5</v>
      </c>
      <c r="F16" s="5" t="str">
        <f>IF(AND(D16&gt;=1, E16&lt;=5), "PASS", "REVIEW")</f>
        <v>PASS</v>
      </c>
    </row>
    <row r="17" spans="1:6" x14ac:dyDescent="0.3">
      <c r="A17" s="3" t="s">
        <v>6500</v>
      </c>
      <c r="B17" s="3">
        <v>0</v>
      </c>
      <c r="C17" s="3" t="s">
        <v>9329</v>
      </c>
      <c r="D17" s="3">
        <f>MIN(Claim_History!H2:H1407)</f>
        <v>2</v>
      </c>
      <c r="E17" s="3">
        <f>MAX(Claim_History!H2:H1407)</f>
        <v>59</v>
      </c>
      <c r="F17" s="3" t="str">
        <f>IF(D17&gt;=0, "PASS", "REVIEW")</f>
        <v>PASS</v>
      </c>
    </row>
    <row r="18" spans="1:6" x14ac:dyDescent="0.3">
      <c r="A18" s="5"/>
      <c r="B18" s="5"/>
      <c r="C18" s="5"/>
      <c r="D18" s="53"/>
      <c r="E18" s="53"/>
      <c r="F18" s="53"/>
    </row>
    <row r="19" spans="1:6" x14ac:dyDescent="0.3">
      <c r="A19" s="58" t="s">
        <v>9331</v>
      </c>
      <c r="B19" s="44"/>
      <c r="C19" s="52"/>
      <c r="D19" s="50"/>
      <c r="E19" s="50"/>
      <c r="F19" s="50"/>
    </row>
    <row r="20" spans="1:6" x14ac:dyDescent="0.3">
      <c r="A20" s="22" t="s">
        <v>9332</v>
      </c>
      <c r="B20" s="22" t="s">
        <v>9333</v>
      </c>
      <c r="C20" s="48" t="s">
        <v>9334</v>
      </c>
      <c r="D20" s="50"/>
      <c r="E20" s="50"/>
      <c r="F20" s="50"/>
    </row>
    <row r="21" spans="1:6" x14ac:dyDescent="0.3">
      <c r="A21" s="3" t="s">
        <v>9335</v>
      </c>
      <c r="B21" s="3">
        <f>COUNTA(Claim_History!A2:A1407)</f>
        <v>1406</v>
      </c>
      <c r="C21" s="47">
        <f>COUNTA(Claim_History!A2:A1407)</f>
        <v>1406</v>
      </c>
      <c r="D21" s="50"/>
      <c r="E21" s="50"/>
      <c r="F21" s="50"/>
    </row>
  </sheetData>
  <conditionalFormatting sqref="D3:D7">
    <cfRule type="expression" dxfId="3" priority="1">
      <formula>D3="PASS"</formula>
    </cfRule>
    <cfRule type="expression" dxfId="2" priority="2">
      <formula>D3="REVIEW"</formula>
    </cfRule>
  </conditionalFormatting>
  <conditionalFormatting sqref="F11:F17">
    <cfRule type="expression" dxfId="1" priority="3">
      <formula>F11="PASS"</formula>
    </cfRule>
    <cfRule type="expression" dxfId="0" priority="4">
      <formula>F11="REVIEW"</formula>
    </cfRule>
  </conditionalFormatting>
  <pageMargins left="0.75" right="0.75" top="1" bottom="1" header="0.5" footer="0.5"/>
  <ignoredErrors>
    <ignoredError sqref="F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Title</vt:lpstr>
      <vt:lpstr>Contents</vt:lpstr>
      <vt:lpstr>Customer_Master</vt:lpstr>
      <vt:lpstr>Policy_Details</vt:lpstr>
      <vt:lpstr>Claim_History</vt:lpstr>
      <vt:lpstr>Agent_Info</vt:lpstr>
      <vt:lpstr>Customer_Feedback</vt:lpstr>
      <vt:lpstr>FK_Integrity_Check</vt:lpstr>
      <vt:lpstr>Data_Quality_Log</vt:lpstr>
      <vt:lpstr>Lookup_Reference</vt:lpstr>
      <vt:lpstr>SQL_Validation_Summary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Tripathi</cp:lastModifiedBy>
  <dcterms:created xsi:type="dcterms:W3CDTF">2026-08-12T11:55:20Z</dcterms:created>
  <dcterms:modified xsi:type="dcterms:W3CDTF">2026-08-13T13:30:40Z</dcterms:modified>
</cp:coreProperties>
</file>