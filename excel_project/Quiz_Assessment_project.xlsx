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ve Quiz" sheetId="1" state="visible" r:id="rId1"/>
    <sheet xmlns:r="http://schemas.openxmlformats.org/officeDocument/2006/relationships" name="Instructions &amp; Guide" sheetId="2" state="visible" r:id="rId2"/>
    <sheet xmlns:r="http://schemas.openxmlformats.org/officeDocument/2006/relationships" name="Answer Key &amp; 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475569"/>
      <sz val="9"/>
    </font>
    <font>
      <name val="Calibri"/>
      <b val="1"/>
      <color rgb="001E3A8A"/>
      <sz val="16"/>
    </font>
    <font>
      <name val="Calibri"/>
      <b val="1"/>
      <color rgb="000F172A"/>
      <sz val="10"/>
    </font>
    <font>
      <name val="Calibri"/>
      <b val="1"/>
      <color rgb="001E40AF"/>
      <sz val="10"/>
    </font>
    <font>
      <name val="Calibri"/>
      <color rgb="000F172A"/>
      <sz val="10"/>
    </font>
    <font>
      <name val="Calibri"/>
      <b val="1"/>
      <color rgb="001E3A8A"/>
      <sz val="11"/>
    </font>
    <font>
      <name val="Calibri"/>
      <b val="1"/>
      <color rgb="001E3A8A"/>
      <sz val="12"/>
    </font>
    <font>
      <name val="Calibri"/>
      <b val="1"/>
      <color rgb="001E3A8A"/>
      <sz val="14"/>
    </font>
    <font>
      <name val="Consolas"/>
      <b val="1"/>
      <color rgb="000F172A"/>
      <sz val="9.5"/>
    </font>
    <font>
      <name val="Calibri"/>
      <b val="1"/>
      <color rgb="0015803D"/>
      <sz val="11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top" wrapText="1"/>
    </xf>
    <xf numFmtId="164" fontId="5" fillId="8" borderId="1" applyAlignment="1" pivotButton="0" quotePrefix="0" xfId="0">
      <alignment horizontal="center" vertical="center"/>
    </xf>
    <xf numFmtId="0" fontId="9" fillId="9" borderId="2" applyAlignment="1" pivotButton="0" quotePrefix="0" xfId="0">
      <alignment horizontal="right" vertical="center"/>
    </xf>
    <xf numFmtId="0" fontId="0" fillId="9" borderId="2" pivotButton="0" quotePrefix="0" xfId="0"/>
    <xf numFmtId="164" fontId="10" fillId="9" borderId="2" applyAlignment="1" pivotButton="0" quotePrefix="0" xfId="0">
      <alignment horizontal="center" vertical="center"/>
    </xf>
    <xf numFmtId="0" fontId="9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Calibri"/>
        <b val="1"/>
        <color rgb="0015803D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B91C1C"/>
        <sz val="10"/>
      </font>
      <fill>
        <patternFill patternType="solid">
          <fgColor rgb="00FEE2E2"/>
          <bgColor rgb="00FEE2E2"/>
        </patternFill>
      </fill>
    </dxf>
    <dxf>
      <font>
        <name val="Calibri"/>
        <color rgb="0064748B"/>
        <sz val="10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hidden="1" width="12" customWidth="1" min="7" max="7"/>
    <col width="15" customWidth="1" min="8" max="8"/>
    <col width="16" customWidth="1" min="9" max="9"/>
    <col hidden="1" width="13" customWidth="1" min="11" max="11"/>
  </cols>
  <sheetData>
    <row r="1" ht="30" customHeight="1">
      <c r="A1" s="1" t="inlineStr">
        <is>
          <t>JULY 2026 CURRENT AFFAIRS - INTERACTIVE QUIZ ASSESSMENT TOOL</t>
        </is>
      </c>
      <c r="K1" t="inlineStr">
        <is>
          <t>A</t>
        </is>
      </c>
    </row>
    <row r="2" ht="20" customHeight="1">
      <c r="A2" s="2" t="inlineStr">
        <is>
          <t>Source: July 2026 Monthly One Liner.pdf | Interactive Assessment, Dynamic Formulas &amp; Score Engine</t>
        </is>
      </c>
      <c r="K2" t="inlineStr">
        <is>
          <t>B</t>
        </is>
      </c>
    </row>
    <row r="3" ht="10" customHeight="1">
      <c r="K3" t="inlineStr">
        <is>
          <t>C</t>
        </is>
      </c>
    </row>
    <row r="4">
      <c r="B4" s="3" t="inlineStr">
        <is>
          <t>TOTAL SCORE</t>
        </is>
      </c>
      <c r="C4" s="4" t="n"/>
      <c r="D4" s="3" t="inlineStr">
        <is>
          <t>MAX POSSIBLE</t>
        </is>
      </c>
      <c r="E4" s="4" t="n"/>
      <c r="F4" s="3" t="inlineStr">
        <is>
          <t>ATTEMPTED</t>
        </is>
      </c>
      <c r="G4" s="4" t="n"/>
      <c r="H4" s="3" t="inlineStr">
        <is>
          <t>ACCURACY %</t>
        </is>
      </c>
      <c r="I4" s="4" t="n"/>
      <c r="K4" t="inlineStr">
        <is>
          <t>D</t>
        </is>
      </c>
    </row>
    <row r="5">
      <c r="B5" s="5">
        <f>SUM(I12:I61)</f>
        <v/>
      </c>
      <c r="C5" s="4" t="n"/>
      <c r="D5" s="6">
        <f>COUNTA(A12:A61)</f>
        <v/>
      </c>
      <c r="E5" s="4" t="n"/>
      <c r="F5" s="6">
        <f>COUNTIF(H12:H61, "&lt;&gt;")</f>
        <v/>
      </c>
      <c r="G5" s="4" t="n"/>
      <c r="H5" s="7">
        <f>IF(COUNTIF(H12:H61,"&lt;&gt;")&gt;0, COUNTIF(I12:I61,1)/COUNTIF(H12:H61,"&lt;&gt;"), 0)</f>
        <v/>
      </c>
      <c r="I5" s="4" t="n"/>
    </row>
    <row r="7">
      <c r="B7" s="8" t="inlineStr">
        <is>
          <t>CORRECT ANSWERS (+1.0)</t>
        </is>
      </c>
      <c r="D7" s="8" t="inlineStr">
        <is>
          <t>INCORRECT (-0.5)</t>
        </is>
      </c>
      <c r="F7" s="8" t="inlineStr">
        <is>
          <t>UNANSWERED (0.0)</t>
        </is>
      </c>
    </row>
    <row r="8">
      <c r="B8" s="9">
        <f>COUNTIF(I12:I61, 1)</f>
        <v/>
      </c>
      <c r="D8" s="9">
        <f>COUNTIF(I12:I61, -0.5)</f>
        <v/>
      </c>
      <c r="F8" s="9">
        <f>COUNTIF(H12:H61, "")</f>
        <v/>
      </c>
    </row>
    <row r="9" ht="10" customHeight="1"/>
    <row r="10" ht="22" customHeight="1">
      <c r="A10" s="10" t="inlineStr">
        <is>
          <t>HOW TO USE: Enter A, B, C, or D in Column H ('Your Answer'). Scoring: Correct = +1.0 | Incorrect = -0.5 | Blank/Invalid = 0.0</t>
        </is>
      </c>
    </row>
    <row r="11" ht="26" customHeight="1">
      <c r="A11" s="11" t="inlineStr">
        <is>
          <t>Q.No</t>
        </is>
      </c>
      <c r="B11" s="11" t="inlineStr">
        <is>
          <t>Question Text</t>
        </is>
      </c>
      <c r="C11" s="11" t="inlineStr">
        <is>
          <t>Option A</t>
        </is>
      </c>
      <c r="D11" s="11" t="inlineStr">
        <is>
          <t>Option B</t>
        </is>
      </c>
      <c r="E11" s="11" t="inlineStr">
        <is>
          <t>Option C</t>
        </is>
      </c>
      <c r="F11" s="11" t="inlineStr">
        <is>
          <t>Option D</t>
        </is>
      </c>
      <c r="G11" s="11" t="inlineStr">
        <is>
          <t>Correct Key</t>
        </is>
      </c>
      <c r="H11" s="11" t="inlineStr">
        <is>
          <t>Your Answer</t>
        </is>
      </c>
      <c r="I11" s="11" t="inlineStr">
        <is>
          <t>Question Score</t>
        </is>
      </c>
    </row>
    <row r="12" ht="42" customHeight="1">
      <c r="A12" s="12" t="n">
        <v>1</v>
      </c>
      <c r="B12" s="13" t="inlineStr">
        <is>
          <t>Ashok Vaswani has decided not to seek reappointment as MD &amp; CEO of which of the following banks after December 2026?</t>
        </is>
      </c>
      <c r="C12" s="13" t="inlineStr">
        <is>
          <t>ICICI Bank</t>
        </is>
      </c>
      <c r="D12" s="13" t="inlineStr">
        <is>
          <t>HDFC Bank</t>
        </is>
      </c>
      <c r="E12" s="13" t="inlineStr">
        <is>
          <t>Axis Bank</t>
        </is>
      </c>
      <c r="F12" s="13" t="inlineStr">
        <is>
          <t>Kotak Mahindra Bank</t>
        </is>
      </c>
      <c r="G12" s="12" t="inlineStr">
        <is>
          <t>D</t>
        </is>
      </c>
      <c r="H12" s="14" t="inlineStr"/>
      <c r="I12" s="15">
        <f>IF(H12="", 0, IF(_xlfn.XLOOKUP(UPPER(TRIM(H12)), $K$1:$K$4, $K$1:$K$4, "INVALID")="INVALID", 0, IF(UPPER(TRIM(H12))=UPPER(TRIM(G12)), 1, -0.5)))</f>
        <v/>
      </c>
    </row>
    <row r="13" ht="42" customHeight="1">
      <c r="A13" s="16" t="n">
        <v>2</v>
      </c>
      <c r="B13" s="17" t="inlineStr">
        <is>
          <t>Paisabazaar and SBM Bank (India) launched the 'SBM Paisabazaar Paisa+ Credit Card'. What type of credit card is it?</t>
        </is>
      </c>
      <c r="C13" s="17" t="inlineStr">
        <is>
          <t>Crypto-rewards card</t>
        </is>
      </c>
      <c r="D13" s="17" t="inlineStr">
        <is>
          <t>Co-branded airline card</t>
        </is>
      </c>
      <c r="E13" s="17" t="inlineStr">
        <is>
          <t>FD-backed secured credit card</t>
        </is>
      </c>
      <c r="F13" s="17" t="inlineStr">
        <is>
          <t>Unsecured premium card</t>
        </is>
      </c>
      <c r="G13" s="16" t="inlineStr">
        <is>
          <t>C</t>
        </is>
      </c>
      <c r="H13" s="14" t="inlineStr"/>
      <c r="I13" s="18">
        <f>IF(H13="", 0, IF(_xlfn.XLOOKUP(UPPER(TRIM(H13)), $K$1:$K$4, $K$1:$K$4, "INVALID")="INVALID", 0, IF(UPPER(TRIM(H13))=UPPER(TRIM(G13)), 1, -0.5)))</f>
        <v/>
      </c>
    </row>
    <row r="14" ht="42" customHeight="1">
      <c r="A14" s="12" t="n">
        <v>3</v>
      </c>
      <c r="B14" s="13" t="inlineStr">
        <is>
          <t>Under RBI's revised Scale-Based Regulation (SBR) framework, NBFCs with assets of what minimum threshold are automatically classified as NBFC-Upper Layer (NBFC-UL)?</t>
        </is>
      </c>
      <c r="C14" s="13" t="inlineStr">
        <is>
          <t>₹50,000 crore</t>
        </is>
      </c>
      <c r="D14" s="13" t="inlineStr">
        <is>
          <t>₹10,000 crore</t>
        </is>
      </c>
      <c r="E14" s="13" t="inlineStr">
        <is>
          <t>₹25,000 crore</t>
        </is>
      </c>
      <c r="F14" s="13" t="inlineStr">
        <is>
          <t>₹1 lakh crore or more</t>
        </is>
      </c>
      <c r="G14" s="12" t="inlineStr">
        <is>
          <t>D</t>
        </is>
      </c>
      <c r="H14" s="14" t="inlineStr"/>
      <c r="I14" s="15">
        <f>IF(H14="", 0, IF(_xlfn.XLOOKUP(UPPER(TRIM(H14)), $K$1:$K$4, $K$1:$K$4, "INVALID")="INVALID", 0, IF(UPPER(TRIM(H14))=UPPER(TRIM(G14)), 1, -0.5)))</f>
        <v/>
      </c>
    </row>
    <row r="15" ht="42" customHeight="1">
      <c r="A15" s="16" t="n">
        <v>4</v>
      </c>
      <c r="B15" s="17" t="inlineStr">
        <is>
          <t>What is the annual premium under the Pradhan Mantri Jeevan Jyoti Bima Yojana (PMJJBY)?</t>
        </is>
      </c>
      <c r="C15" s="17" t="inlineStr">
        <is>
          <t>₹20</t>
        </is>
      </c>
      <c r="D15" s="17" t="inlineStr">
        <is>
          <t>₹500</t>
        </is>
      </c>
      <c r="E15" s="17" t="inlineStr">
        <is>
          <t>₹436</t>
        </is>
      </c>
      <c r="F15" s="17" t="inlineStr">
        <is>
          <t>₹330</t>
        </is>
      </c>
      <c r="G15" s="16" t="inlineStr">
        <is>
          <t>C</t>
        </is>
      </c>
      <c r="H15" s="14" t="inlineStr"/>
      <c r="I15" s="18">
        <f>IF(H15="", 0, IF(_xlfn.XLOOKUP(UPPER(TRIM(H15)), $K$1:$K$4, $K$1:$K$4, "INVALID")="INVALID", 0, IF(UPPER(TRIM(H15))=UPPER(TRIM(G15)), 1, -0.5)))</f>
        <v/>
      </c>
    </row>
    <row r="16" ht="42" customHeight="1">
      <c r="A16" s="12" t="n">
        <v>5</v>
      </c>
      <c r="B16" s="13" t="inlineStr">
        <is>
          <t>The AIR SUVIDHA 2.0 portal has been developed by which of the following organizations/departments?</t>
        </is>
      </c>
      <c r="C16" s="13" t="inlineStr">
        <is>
          <t>Ministry of Civil Aviation</t>
        </is>
      </c>
      <c r="D16" s="13" t="inlineStr">
        <is>
          <t>National Health Authority</t>
        </is>
      </c>
      <c r="E16" s="13" t="inlineStr">
        <is>
          <t>AIIMS New Delhi</t>
        </is>
      </c>
      <c r="F16" s="13" t="inlineStr">
        <is>
          <t>Directorate General of Health Services (DGHS)</t>
        </is>
      </c>
      <c r="G16" s="12" t="inlineStr">
        <is>
          <t>D</t>
        </is>
      </c>
      <c r="H16" s="14" t="inlineStr"/>
      <c r="I16" s="15">
        <f>IF(H16="", 0, IF(_xlfn.XLOOKUP(UPPER(TRIM(H16)), $K$1:$K$4, $K$1:$K$4, "INVALID")="INVALID", 0, IF(UPPER(TRIM(H16))=UPPER(TRIM(G16)), 1, -0.5)))</f>
        <v/>
      </c>
    </row>
    <row r="17" ht="42" customHeight="1">
      <c r="A17" s="16" t="n">
        <v>6</v>
      </c>
      <c r="B17" s="17" t="inlineStr">
        <is>
          <t>The Pradhan Mantri Suraksha Bima Yojana (PMSBY) provides accidental insurance coverage of up to which amount?</t>
        </is>
      </c>
      <c r="C17" s="17" t="inlineStr">
        <is>
          <t>₹5 lakh</t>
        </is>
      </c>
      <c r="D17" s="17" t="inlineStr">
        <is>
          <t>₹10 lakh</t>
        </is>
      </c>
      <c r="E17" s="17" t="inlineStr">
        <is>
          <t>₹1 lakh</t>
        </is>
      </c>
      <c r="F17" s="17" t="inlineStr">
        <is>
          <t>₹2 lakh</t>
        </is>
      </c>
      <c r="G17" s="16" t="inlineStr">
        <is>
          <t>D</t>
        </is>
      </c>
      <c r="H17" s="14" t="inlineStr"/>
      <c r="I17" s="18">
        <f>IF(H17="", 0, IF(_xlfn.XLOOKUP(UPPER(TRIM(H17)), $K$1:$K$4, $K$1:$K$4, "INVALID")="INVALID", 0, IF(UPPER(TRIM(H17))=UPPER(TRIM(G17)), 1, -0.5)))</f>
        <v/>
      </c>
    </row>
    <row r="18" ht="42" customHeight="1">
      <c r="A18" s="12" t="n">
        <v>7</v>
      </c>
      <c r="B18" s="13" t="inlineStr">
        <is>
          <t>Ben Stokes announced his retirement from Test cricket after playing against which country at Trent Bridge?</t>
        </is>
      </c>
      <c r="C18" s="13" t="inlineStr">
        <is>
          <t>India</t>
        </is>
      </c>
      <c r="D18" s="13" t="inlineStr">
        <is>
          <t>Australia</t>
        </is>
      </c>
      <c r="E18" s="13" t="inlineStr">
        <is>
          <t>New Zealand</t>
        </is>
      </c>
      <c r="F18" s="13" t="inlineStr">
        <is>
          <t>South Africa</t>
        </is>
      </c>
      <c r="G18" s="12" t="inlineStr">
        <is>
          <t>C</t>
        </is>
      </c>
      <c r="H18" s="14" t="inlineStr"/>
      <c r="I18" s="15">
        <f>IF(H18="", 0, IF(_xlfn.XLOOKUP(UPPER(TRIM(H18)), $K$1:$K$4, $K$1:$K$4, "INVALID")="INVALID", 0, IF(UPPER(TRIM(H18))=UPPER(TRIM(G18)), 1, -0.5)))</f>
        <v/>
      </c>
    </row>
    <row r="19" ht="42" customHeight="1">
      <c r="A19" s="16" t="n">
        <v>8</v>
      </c>
      <c r="B19" s="17" t="inlineStr">
        <is>
          <t>Prime Minister Narendra Modi inaugurated Andhra Pradesh's first greenfield airport named after which freedom fighter?</t>
        </is>
      </c>
      <c r="C19" s="17" t="inlineStr">
        <is>
          <t>Pingali Venkayya International Airport</t>
        </is>
      </c>
      <c r="D19" s="17" t="inlineStr">
        <is>
          <t>Tanguturi Prakasam Airport</t>
        </is>
      </c>
      <c r="E19" s="17" t="inlineStr">
        <is>
          <t>Alluri Sitarama Raju International Airport</t>
        </is>
      </c>
      <c r="F19" s="17" t="inlineStr">
        <is>
          <t>Potti Sreeramulu International Airport</t>
        </is>
      </c>
      <c r="G19" s="16" t="inlineStr">
        <is>
          <t>C</t>
        </is>
      </c>
      <c r="H19" s="14" t="inlineStr"/>
      <c r="I19" s="18">
        <f>IF(H19="", 0, IF(_xlfn.XLOOKUP(UPPER(TRIM(H19)), $K$1:$K$4, $K$1:$K$4, "INVALID")="INVALID", 0, IF(UPPER(TRIM(H19))=UPPER(TRIM(G19)), 1, -0.5)))</f>
        <v/>
      </c>
    </row>
    <row r="20" ht="42" customHeight="1">
      <c r="A20" s="12" t="n">
        <v>9</v>
      </c>
      <c r="B20" s="13" t="inlineStr">
        <is>
          <t>Under the Genome India Mission, genome sequencing of how many individuals has been successfully completed?</t>
        </is>
      </c>
      <c r="C20" s="13" t="inlineStr">
        <is>
          <t>More than 10,000 individuals</t>
        </is>
      </c>
      <c r="D20" s="13" t="inlineStr">
        <is>
          <t>50,000 individuals</t>
        </is>
      </c>
      <c r="E20" s="13" t="inlineStr">
        <is>
          <t>5,000 individuals</t>
        </is>
      </c>
      <c r="F20" s="13" t="inlineStr">
        <is>
          <t>1,000 individuals</t>
        </is>
      </c>
      <c r="G20" s="12" t="inlineStr">
        <is>
          <t>A</t>
        </is>
      </c>
      <c r="H20" s="14" t="inlineStr"/>
      <c r="I20" s="15">
        <f>IF(H20="", 0, IF(_xlfn.XLOOKUP(UPPER(TRIM(H20)), $K$1:$K$4, $K$1:$K$4, "INVALID")="INVALID", 0, IF(UPPER(TRIM(H20))=UPPER(TRIM(G20)), 1, -0.5)))</f>
        <v/>
      </c>
    </row>
    <row r="21" ht="42" customHeight="1">
      <c r="A21" s="16" t="n">
        <v>10</v>
      </c>
      <c r="B21" s="17" t="inlineStr">
        <is>
          <t>India endorsed the Joint Statement on AI Opportunity at which global summit?</t>
        </is>
      </c>
      <c r="C21" s="17" t="inlineStr">
        <is>
          <t>G20 Tech Forum</t>
        </is>
      </c>
      <c r="D21" s="17" t="inlineStr">
        <is>
          <t>World Economic Forum Davos</t>
        </is>
      </c>
      <c r="E21" s="17" t="inlineStr">
        <is>
          <t>Second Pax Silica Summit</t>
        </is>
      </c>
      <c r="F21" s="17" t="inlineStr">
        <is>
          <t>Global AI Safety Summit</t>
        </is>
      </c>
      <c r="G21" s="16" t="inlineStr">
        <is>
          <t>C</t>
        </is>
      </c>
      <c r="H21" s="14" t="inlineStr"/>
      <c r="I21" s="18">
        <f>IF(H21="", 0, IF(_xlfn.XLOOKUP(UPPER(TRIM(H21)), $K$1:$K$4, $K$1:$K$4, "INVALID")="INVALID", 0, IF(UPPER(TRIM(H21))=UPPER(TRIM(G21)), 1, -0.5)))</f>
        <v/>
      </c>
    </row>
    <row r="22" ht="42" customHeight="1">
      <c r="A22" s="12" t="n">
        <v>11</v>
      </c>
      <c r="B22" s="13" t="inlineStr">
        <is>
          <t>The pilot project for the 'PM Family Care Tracker' was launched in which city?</t>
        </is>
      </c>
      <c r="C22" s="13" t="inlineStr">
        <is>
          <t>Bengaluru, Karnataka</t>
        </is>
      </c>
      <c r="D22" s="13" t="inlineStr">
        <is>
          <t>Varanasi, Uttar Pradesh</t>
        </is>
      </c>
      <c r="E22" s="13" t="inlineStr">
        <is>
          <t>Bhopal, Madhya Pradesh</t>
        </is>
      </c>
      <c r="F22" s="13" t="inlineStr">
        <is>
          <t>Gandhinagar, Gujarat</t>
        </is>
      </c>
      <c r="G22" s="12" t="inlineStr">
        <is>
          <t>D</t>
        </is>
      </c>
      <c r="H22" s="14" t="inlineStr"/>
      <c r="I22" s="15">
        <f>IF(H22="", 0, IF(_xlfn.XLOOKUP(UPPER(TRIM(H22)), $K$1:$K$4, $K$1:$K$4, "INVALID")="INVALID", 0, IF(UPPER(TRIM(H22))=UPPER(TRIM(G22)), 1, -0.5)))</f>
        <v/>
      </c>
    </row>
    <row r="23" ht="42" customHeight="1">
      <c r="A23" s="16" t="n">
        <v>12</v>
      </c>
      <c r="B23" s="17" t="inlineStr">
        <is>
          <t>Prime Minister Narendra Modi was conferred which highest civilian honour during his official visit to Seychelles?</t>
        </is>
      </c>
      <c r="C23" s="17" t="inlineStr">
        <is>
          <t>Star of Africa</t>
        </is>
      </c>
      <c r="D23" s="17" t="inlineStr">
        <is>
          <t>Grand Commander of Seychelles</t>
        </is>
      </c>
      <c r="E23" s="17" t="inlineStr">
        <is>
          <t>Order of the Indian Ocean</t>
        </is>
      </c>
      <c r="F23" s="17" t="inlineStr">
        <is>
          <t>Guardian of the Blue Horizon</t>
        </is>
      </c>
      <c r="G23" s="16" t="inlineStr">
        <is>
          <t>D</t>
        </is>
      </c>
      <c r="H23" s="14" t="inlineStr"/>
      <c r="I23" s="18">
        <f>IF(H23="", 0, IF(_xlfn.XLOOKUP(UPPER(TRIM(H23)), $K$1:$K$4, $K$1:$K$4, "INVALID")="INVALID", 0, IF(UPPER(TRIM(H23))=UPPER(TRIM(G23)), 1, -0.5)))</f>
        <v/>
      </c>
    </row>
    <row r="24" ht="42" customHeight="1">
      <c r="A24" s="12" t="n">
        <v>13</v>
      </c>
      <c r="B24" s="13" t="inlineStr">
        <is>
          <t>Prabhjeet Singh has been appointed to which senior leadership role assuming office in September 2026?</t>
        </is>
      </c>
      <c r="C24" s="13" t="inlineStr">
        <is>
          <t>MD of Meta India</t>
        </is>
      </c>
      <c r="D24" s="13" t="inlineStr">
        <is>
          <t>CEO of Google India</t>
        </is>
      </c>
      <c r="E24" s="13" t="inlineStr">
        <is>
          <t>Managing Director (MD) of OpenAI India</t>
        </is>
      </c>
      <c r="F24" s="13" t="inlineStr">
        <is>
          <t>Country Head of Microsoft India</t>
        </is>
      </c>
      <c r="G24" s="12" t="inlineStr">
        <is>
          <t>C</t>
        </is>
      </c>
      <c r="H24" s="14" t="inlineStr"/>
      <c r="I24" s="15">
        <f>IF(H24="", 0, IF(_xlfn.XLOOKUP(UPPER(TRIM(H24)), $K$1:$K$4, $K$1:$K$4, "INVALID")="INVALID", 0, IF(UPPER(TRIM(H24))=UPPER(TRIM(G24)), 1, -0.5)))</f>
        <v/>
      </c>
    </row>
    <row r="25" ht="42" customHeight="1">
      <c r="A25" s="16" t="n">
        <v>14</v>
      </c>
      <c r="B25" s="17" t="inlineStr">
        <is>
          <t>Two solar power parks with a combined capacity of 950 MW were inaugurated in Neemuch and Shajapur located in which state?</t>
        </is>
      </c>
      <c r="C25" s="17" t="inlineStr">
        <is>
          <t>Gujarat</t>
        </is>
      </c>
      <c r="D25" s="17" t="inlineStr">
        <is>
          <t>Maharashtra</t>
        </is>
      </c>
      <c r="E25" s="17" t="inlineStr">
        <is>
          <t>Rajasthan</t>
        </is>
      </c>
      <c r="F25" s="17" t="inlineStr">
        <is>
          <t>Madhya Pradesh</t>
        </is>
      </c>
      <c r="G25" s="16" t="inlineStr">
        <is>
          <t>D</t>
        </is>
      </c>
      <c r="H25" s="14" t="inlineStr"/>
      <c r="I25" s="18">
        <f>IF(H25="", 0, IF(_xlfn.XLOOKUP(UPPER(TRIM(H25)), $K$1:$K$4, $K$1:$K$4, "INVALID")="INVALID", 0, IF(UPPER(TRIM(H25))=UPPER(TRIM(G25)), 1, -0.5)))</f>
        <v/>
      </c>
    </row>
    <row r="26" ht="42" customHeight="1">
      <c r="A26" s="12" t="n">
        <v>15</v>
      </c>
      <c r="B26" s="13" t="inlineStr">
        <is>
          <t>Ethan Vaz became India's 96th Chess Grandmaster after securing his third GM norm at which tournament?</t>
        </is>
      </c>
      <c r="C26" s="13" t="inlineStr">
        <is>
          <t>Sarajevo GM Mix Tournament</t>
        </is>
      </c>
      <c r="D26" s="13" t="inlineStr">
        <is>
          <t>Reykjavik Open</t>
        </is>
      </c>
      <c r="E26" s="13" t="inlineStr">
        <is>
          <t>Baku Chess Olympiad</t>
        </is>
      </c>
      <c r="F26" s="13" t="inlineStr">
        <is>
          <t>Tata Steel Masters</t>
        </is>
      </c>
      <c r="G26" s="12" t="inlineStr">
        <is>
          <t>A</t>
        </is>
      </c>
      <c r="H26" s="14" t="inlineStr"/>
      <c r="I26" s="15">
        <f>IF(H26="", 0, IF(_xlfn.XLOOKUP(UPPER(TRIM(H26)), $K$1:$K$4, $K$1:$K$4, "INVALID")="INVALID", 0, IF(UPPER(TRIM(H26))=UPPER(TRIM(G26)), 1, -0.5)))</f>
        <v/>
      </c>
    </row>
    <row r="27" ht="42" customHeight="1">
      <c r="A27" s="16" t="n">
        <v>16</v>
      </c>
      <c r="B27" s="17" t="inlineStr">
        <is>
          <t>Persistent Systems launched a €1.4 billion takeover bid for which company, marking the largest acquisition in its history?</t>
        </is>
      </c>
      <c r="C27" s="17" t="inlineStr">
        <is>
          <t>LTIMindtree</t>
        </is>
      </c>
      <c r="D27" s="17" t="inlineStr">
        <is>
          <t>Nagarro</t>
        </is>
      </c>
      <c r="E27" s="17" t="inlineStr">
        <is>
          <t>Happiest Minds</t>
        </is>
      </c>
      <c r="F27" s="17" t="inlineStr">
        <is>
          <t>Mphasis</t>
        </is>
      </c>
      <c r="G27" s="16" t="inlineStr">
        <is>
          <t>B</t>
        </is>
      </c>
      <c r="H27" s="14" t="inlineStr"/>
      <c r="I27" s="18">
        <f>IF(H27="", 0, IF(_xlfn.XLOOKUP(UPPER(TRIM(H27)), $K$1:$K$4, $K$1:$K$4, "INVALID")="INVALID", 0, IF(UPPER(TRIM(H27))=UPPER(TRIM(G27)), 1, -0.5)))</f>
        <v/>
      </c>
    </row>
    <row r="28" ht="42" customHeight="1">
      <c r="A28" s="12" t="n">
        <v>17</v>
      </c>
      <c r="B28" s="13" t="inlineStr">
        <is>
          <t>India's Net External Liabilities declined by how much during Q4 (January–March) of FY 2025–26?</t>
        </is>
      </c>
      <c r="C28" s="13" t="inlineStr">
        <is>
          <t>USD 25.0 billion</t>
        </is>
      </c>
      <c r="D28" s="13" t="inlineStr">
        <is>
          <t>USD 75.2 billion</t>
        </is>
      </c>
      <c r="E28" s="13" t="inlineStr">
        <is>
          <t>USD 10.5 billion</t>
        </is>
      </c>
      <c r="F28" s="13" t="inlineStr">
        <is>
          <t>USD 52.4 billion</t>
        </is>
      </c>
      <c r="G28" s="12" t="inlineStr">
        <is>
          <t>D</t>
        </is>
      </c>
      <c r="H28" s="14" t="inlineStr"/>
      <c r="I28" s="15">
        <f>IF(H28="", 0, IF(_xlfn.XLOOKUP(UPPER(TRIM(H28)), $K$1:$K$4, $K$1:$K$4, "INVALID")="INVALID", 0, IF(UPPER(TRIM(H28))=UPPER(TRIM(G28)), 1, -0.5)))</f>
        <v/>
      </c>
    </row>
    <row r="29" ht="42" customHeight="1">
      <c r="A29" s="16" t="n">
        <v>18</v>
      </c>
      <c r="B29" s="17" t="inlineStr">
        <is>
          <t>Goods and Services Tax (GST) completed how many years since its implementation on 1 July 2017?</t>
        </is>
      </c>
      <c r="C29" s="17" t="inlineStr">
        <is>
          <t>7 years</t>
        </is>
      </c>
      <c r="D29" s="17" t="inlineStr">
        <is>
          <t>5 years</t>
        </is>
      </c>
      <c r="E29" s="17" t="inlineStr">
        <is>
          <t>9 years</t>
        </is>
      </c>
      <c r="F29" s="17" t="inlineStr">
        <is>
          <t>10 years</t>
        </is>
      </c>
      <c r="G29" s="16" t="inlineStr">
        <is>
          <t>C</t>
        </is>
      </c>
      <c r="H29" s="14" t="inlineStr"/>
      <c r="I29" s="18">
        <f>IF(H29="", 0, IF(_xlfn.XLOOKUP(UPPER(TRIM(H29)), $K$1:$K$4, $K$1:$K$4, "INVALID")="INVALID", 0, IF(UPPER(TRIM(H29))=UPPER(TRIM(G29)), 1, -0.5)))</f>
        <v/>
      </c>
    </row>
    <row r="30" ht="42" customHeight="1">
      <c r="A30" s="12" t="n">
        <v>19</v>
      </c>
      <c r="B30" s="13" t="inlineStr">
        <is>
          <t>The newly approved Delhi EV Policy aims to make Delhi a zero-emission transport city by which target date?</t>
        </is>
      </c>
      <c r="C30" s="13" t="inlineStr">
        <is>
          <t>31 March 2025</t>
        </is>
      </c>
      <c r="D30" s="13" t="inlineStr">
        <is>
          <t>15 August 2027</t>
        </is>
      </c>
      <c r="E30" s="13" t="inlineStr">
        <is>
          <t>31 December 2028</t>
        </is>
      </c>
      <c r="F30" s="13" t="inlineStr">
        <is>
          <t>31 March 2030</t>
        </is>
      </c>
      <c r="G30" s="12" t="inlineStr">
        <is>
          <t>D</t>
        </is>
      </c>
      <c r="H30" s="14" t="inlineStr"/>
      <c r="I30" s="15">
        <f>IF(H30="", 0, IF(_xlfn.XLOOKUP(UPPER(TRIM(H30)), $K$1:$K$4, $K$1:$K$4, "INVALID")="INVALID", 0, IF(UPPER(TRIM(H30))=UPPER(TRIM(G30)), 1, -0.5)))</f>
        <v/>
      </c>
    </row>
    <row r="31" ht="42" customHeight="1">
      <c r="A31" s="16" t="n">
        <v>20</v>
      </c>
      <c r="B31" s="17" t="inlineStr">
        <is>
          <t>Indian conservationists Parveen Shaikh and Dr. Barkha Subba received the 2026 Whitley Awards, which are popularly known as what?</t>
        </is>
      </c>
      <c r="C31" s="17" t="inlineStr">
        <is>
          <t>Green Oscars</t>
        </is>
      </c>
      <c r="D31" s="17" t="inlineStr">
        <is>
          <t>Blue Planet Prize</t>
        </is>
      </c>
      <c r="E31" s="17" t="inlineStr">
        <is>
          <t>Earthshot Prize</t>
        </is>
      </c>
      <c r="F31" s="17" t="inlineStr">
        <is>
          <t>Goldman Environmental Award</t>
        </is>
      </c>
      <c r="G31" s="16" t="inlineStr">
        <is>
          <t>A</t>
        </is>
      </c>
      <c r="H31" s="14" t="inlineStr"/>
      <c r="I31" s="18">
        <f>IF(H31="", 0, IF(_xlfn.XLOOKUP(UPPER(TRIM(H31)), $K$1:$K$4, $K$1:$K$4, "INVALID")="INVALID", 0, IF(UPPER(TRIM(H31))=UPPER(TRIM(G31)), 1, -0.5)))</f>
        <v/>
      </c>
    </row>
    <row r="32" ht="42" customHeight="1">
      <c r="A32" s="12" t="n">
        <v>21</v>
      </c>
      <c r="B32" s="13" t="inlineStr">
        <is>
          <t>Dr. U.P. Rajeev has been appointed as the Director of which premier space research center?</t>
        </is>
      </c>
      <c r="C32" s="13" t="inlineStr">
        <is>
          <t>Vikram Sarabhai Space Centre (VSSC), Thiruvananthapuram</t>
        </is>
      </c>
      <c r="D32" s="13" t="inlineStr">
        <is>
          <t>Satish Dhawan Space Centre (SDSC)</t>
        </is>
      </c>
      <c r="E32" s="13" t="inlineStr">
        <is>
          <t>Space Applications Centre (SAC)</t>
        </is>
      </c>
      <c r="F32" s="13" t="inlineStr">
        <is>
          <t>U R Rao Satellite Centre (URSC)</t>
        </is>
      </c>
      <c r="G32" s="12" t="inlineStr">
        <is>
          <t>A</t>
        </is>
      </c>
      <c r="H32" s="14" t="inlineStr"/>
      <c r="I32" s="15">
        <f>IF(H32="", 0, IF(_xlfn.XLOOKUP(UPPER(TRIM(H32)), $K$1:$K$4, $K$1:$K$4, "INVALID")="INVALID", 0, IF(UPPER(TRIM(H32))=UPPER(TRIM(G32)), 1, -0.5)))</f>
        <v/>
      </c>
    </row>
    <row r="33" ht="42" customHeight="1">
      <c r="A33" s="16" t="n">
        <v>22</v>
      </c>
      <c r="B33" s="17" t="inlineStr">
        <is>
          <t>The National High Speed Rail Corporation Limited (NHSRCL) has initiated the development of India's next-generation bullet train designated as what?</t>
        </is>
      </c>
      <c r="C33" s="17" t="inlineStr">
        <is>
          <t>B35 Bullet Train</t>
        </is>
      </c>
      <c r="D33" s="17" t="inlineStr">
        <is>
          <t>Bullet-X 100</t>
        </is>
      </c>
      <c r="E33" s="17" t="inlineStr">
        <is>
          <t>HSR-500</t>
        </is>
      </c>
      <c r="F33" s="17" t="inlineStr">
        <is>
          <t>Vande Bharat Express 2.0</t>
        </is>
      </c>
      <c r="G33" s="16" t="inlineStr">
        <is>
          <t>A</t>
        </is>
      </c>
      <c r="H33" s="14" t="inlineStr"/>
      <c r="I33" s="18">
        <f>IF(H33="", 0, IF(_xlfn.XLOOKUP(UPPER(TRIM(H33)), $K$1:$K$4, $K$1:$K$4, "INVALID")="INVALID", 0, IF(UPPER(TRIM(H33))=UPPER(TRIM(G33)), 1, -0.5)))</f>
        <v/>
      </c>
    </row>
    <row r="34" ht="42" customHeight="1">
      <c r="A34" s="12" t="n">
        <v>23</v>
      </c>
      <c r="B34" s="13" t="inlineStr">
        <is>
          <t>Hul Diwas is observed annually on 30 June in memory of which historical uprising of 1855?</t>
        </is>
      </c>
      <c r="C34" s="13" t="inlineStr">
        <is>
          <t>Munda Ulgulan</t>
        </is>
      </c>
      <c r="D34" s="13" t="inlineStr">
        <is>
          <t>Kol Mutiny</t>
        </is>
      </c>
      <c r="E34" s="13" t="inlineStr">
        <is>
          <t>Indigo Revolt</t>
        </is>
      </c>
      <c r="F34" s="13" t="inlineStr">
        <is>
          <t>Santhal Hul (Santhal Rebellion)</t>
        </is>
      </c>
      <c r="G34" s="12" t="inlineStr">
        <is>
          <t>D</t>
        </is>
      </c>
      <c r="H34" s="14" t="inlineStr"/>
      <c r="I34" s="15">
        <f>IF(H34="", 0, IF(_xlfn.XLOOKUP(UPPER(TRIM(H34)), $K$1:$K$4, $K$1:$K$4, "INVALID")="INVALID", 0, IF(UPPER(TRIM(H34))=UPPER(TRIM(G34)), 1, -0.5)))</f>
        <v/>
      </c>
    </row>
    <row r="35" ht="42" customHeight="1">
      <c r="A35" s="16" t="n">
        <v>24</v>
      </c>
      <c r="B35" s="17" t="inlineStr">
        <is>
          <t>Dr. Florence Rabier of France was awarded the 71st International Meteorological Organization (IMO) Prize by which UN specialized agency?</t>
        </is>
      </c>
      <c r="C35" s="17" t="inlineStr">
        <is>
          <t>UNESCO</t>
        </is>
      </c>
      <c r="D35" s="17" t="inlineStr">
        <is>
          <t>IPCC</t>
        </is>
      </c>
      <c r="E35" s="17" t="inlineStr">
        <is>
          <t>World Meteorological Organization (WMO)</t>
        </is>
      </c>
      <c r="F35" s="17" t="inlineStr">
        <is>
          <t>UN Environment Programme (UNEP)</t>
        </is>
      </c>
      <c r="G35" s="16" t="inlineStr">
        <is>
          <t>C</t>
        </is>
      </c>
      <c r="H35" s="14" t="inlineStr"/>
      <c r="I35" s="18">
        <f>IF(H35="", 0, IF(_xlfn.XLOOKUP(UPPER(TRIM(H35)), $K$1:$K$4, $K$1:$K$4, "INVALID")="INVALID", 0, IF(UPPER(TRIM(H35))=UPPER(TRIM(G35)), 1, -0.5)))</f>
        <v/>
      </c>
    </row>
    <row r="36" ht="42" customHeight="1">
      <c r="A36" s="12" t="n">
        <v>25</v>
      </c>
      <c r="B36" s="13" t="inlineStr">
        <is>
          <t>According to EAM Dr. S. Jaishankar, India has signed how many Migration and Mobility Partnership Agreements with over 26 countries?</t>
        </is>
      </c>
      <c r="C36" s="13" t="inlineStr">
        <is>
          <t>35 Agreements</t>
        </is>
      </c>
      <c r="D36" s="13" t="inlineStr">
        <is>
          <t>28 Agreements</t>
        </is>
      </c>
      <c r="E36" s="13" t="inlineStr">
        <is>
          <t>15 Agreements</t>
        </is>
      </c>
      <c r="F36" s="13" t="inlineStr">
        <is>
          <t>50 Agreements</t>
        </is>
      </c>
      <c r="G36" s="12" t="inlineStr">
        <is>
          <t>B</t>
        </is>
      </c>
      <c r="H36" s="14" t="inlineStr"/>
      <c r="I36" s="15">
        <f>IF(H36="", 0, IF(_xlfn.XLOOKUP(UPPER(TRIM(H36)), $K$1:$K$4, $K$1:$K$4, "INVALID")="INVALID", 0, IF(UPPER(TRIM(H36))=UPPER(TRIM(G36)), 1, -0.5)))</f>
        <v/>
      </c>
    </row>
    <row r="37" ht="42" customHeight="1">
      <c r="A37" s="16" t="n">
        <v>26</v>
      </c>
      <c r="B37" s="17" t="inlineStr">
        <is>
          <t>India and Seychelles signed an Umbrella Line of Credit Agreement worth what total amount during PM Modi's visit?</t>
        </is>
      </c>
      <c r="C37" s="17" t="inlineStr">
        <is>
          <t>₹500 crore</t>
        </is>
      </c>
      <c r="D37" s="17" t="inlineStr">
        <is>
          <t>₹5,000 crore</t>
        </is>
      </c>
      <c r="E37" s="17" t="inlineStr">
        <is>
          <t>₹1,250 crore</t>
        </is>
      </c>
      <c r="F37" s="17" t="inlineStr">
        <is>
          <t>₹2,500 crore</t>
        </is>
      </c>
      <c r="G37" s="16" t="inlineStr">
        <is>
          <t>C</t>
        </is>
      </c>
      <c r="H37" s="14" t="inlineStr"/>
      <c r="I37" s="18">
        <f>IF(H37="", 0, IF(_xlfn.XLOOKUP(UPPER(TRIM(H37)), $K$1:$K$4, $K$1:$K$4, "INVALID")="INVALID", 0, IF(UPPER(TRIM(H37))=UPPER(TRIM(G37)), 1, -0.5)))</f>
        <v/>
      </c>
    </row>
    <row r="38" ht="42" customHeight="1">
      <c r="A38" s="12" t="n">
        <v>27</v>
      </c>
      <c r="B38" s="13" t="inlineStr">
        <is>
          <t>UPI has officially gone live in Greece through a strategic partnership between Eurobank and which Indian entity?</t>
        </is>
      </c>
      <c r="C38" s="13" t="inlineStr">
        <is>
          <t>Reserve Bank of India</t>
        </is>
      </c>
      <c r="D38" s="13" t="inlineStr">
        <is>
          <t>Razorpay International</t>
        </is>
      </c>
      <c r="E38" s="13" t="inlineStr">
        <is>
          <t>Paytm Payments Bank</t>
        </is>
      </c>
      <c r="F38" s="13" t="inlineStr">
        <is>
          <t>NPCI International Payments Limited (NIPL)</t>
        </is>
      </c>
      <c r="G38" s="12" t="inlineStr">
        <is>
          <t>D</t>
        </is>
      </c>
      <c r="H38" s="14" t="inlineStr"/>
      <c r="I38" s="15">
        <f>IF(H38="", 0, IF(_xlfn.XLOOKUP(UPPER(TRIM(H38)), $K$1:$K$4, $K$1:$K$4, "INVALID")="INVALID", 0, IF(UPPER(TRIM(H38))=UPPER(TRIM(G38)), 1, -0.5)))</f>
        <v/>
      </c>
    </row>
    <row r="39" ht="42" customHeight="1">
      <c r="A39" s="16" t="n">
        <v>28</v>
      </c>
      <c r="B39" s="17" t="inlineStr">
        <is>
          <t>Which Grand Slam tournament is uniquely played exclusively on Grass Courts?</t>
        </is>
      </c>
      <c r="C39" s="17" t="inlineStr">
        <is>
          <t>Roland Garros (French Open)</t>
        </is>
      </c>
      <c r="D39" s="17" t="inlineStr">
        <is>
          <t>Australian Open</t>
        </is>
      </c>
      <c r="E39" s="17" t="inlineStr">
        <is>
          <t>Wimbledon Championships</t>
        </is>
      </c>
      <c r="F39" s="17" t="inlineStr">
        <is>
          <t>US Open</t>
        </is>
      </c>
      <c r="G39" s="16" t="inlineStr">
        <is>
          <t>C</t>
        </is>
      </c>
      <c r="H39" s="14" t="inlineStr"/>
      <c r="I39" s="18">
        <f>IF(H39="", 0, IF(_xlfn.XLOOKUP(UPPER(TRIM(H39)), $K$1:$K$4, $K$1:$K$4, "INVALID")="INVALID", 0, IF(UPPER(TRIM(H39))=UPPER(TRIM(G39)), 1, -0.5)))</f>
        <v/>
      </c>
    </row>
    <row r="40" ht="42" customHeight="1">
      <c r="A40" s="12" t="n">
        <v>29</v>
      </c>
      <c r="B40" s="13" t="inlineStr">
        <is>
          <t>The Central Government has positioned the DIKSHA portal as India's official platform for school education under which slogan?</t>
        </is>
      </c>
      <c r="C40" s="13" t="inlineStr">
        <is>
          <t>Shiksha Bharat Portal</t>
        </is>
      </c>
      <c r="D40" s="13" t="inlineStr">
        <is>
          <t>Digital Education for All</t>
        </is>
      </c>
      <c r="E40" s="13" t="inlineStr">
        <is>
          <t>One Nation, One Digital Platform</t>
        </is>
      </c>
      <c r="F40" s="13" t="inlineStr">
        <is>
          <t>PM e-Vidya Unified Portal</t>
        </is>
      </c>
      <c r="G40" s="12" t="inlineStr">
        <is>
          <t>C</t>
        </is>
      </c>
      <c r="H40" s="14" t="inlineStr"/>
      <c r="I40" s="15">
        <f>IF(H40="", 0, IF(_xlfn.XLOOKUP(UPPER(TRIM(H40)), $K$1:$K$4, $K$1:$K$4, "INVALID")="INVALID", 0, IF(UPPER(TRIM(H40))=UPPER(TRIM(G40)), 1, -0.5)))</f>
        <v/>
      </c>
    </row>
    <row r="41" ht="42" customHeight="1">
      <c r="A41" s="16" t="n">
        <v>30</v>
      </c>
      <c r="B41" s="17" t="inlineStr">
        <is>
          <t>Mission ShaktiSAT has been announced as the world's first all-girls international satellite mission targeted towards which celestial body?</t>
        </is>
      </c>
      <c r="C41" s="17" t="inlineStr">
        <is>
          <t>The Moon</t>
        </is>
      </c>
      <c r="D41" s="17" t="inlineStr">
        <is>
          <t>Mars</t>
        </is>
      </c>
      <c r="E41" s="17" t="inlineStr">
        <is>
          <t>Sun (Aditya L1 Orbit)</t>
        </is>
      </c>
      <c r="F41" s="17" t="inlineStr">
        <is>
          <t>Low Earth Orbit</t>
        </is>
      </c>
      <c r="G41" s="16" t="inlineStr">
        <is>
          <t>A</t>
        </is>
      </c>
      <c r="H41" s="14" t="inlineStr"/>
      <c r="I41" s="18">
        <f>IF(H41="", 0, IF(_xlfn.XLOOKUP(UPPER(TRIM(H41)), $K$1:$K$4, $K$1:$K$4, "INVALID")="INVALID", 0, IF(UPPER(TRIM(H41))=UPPER(TRIM(G41)), 1, -0.5)))</f>
        <v/>
      </c>
    </row>
    <row r="42" ht="42" customHeight="1">
      <c r="A42" s="12" t="n">
        <v>31</v>
      </c>
      <c r="B42" s="13" t="inlineStr">
        <is>
          <t>APEDA facilitated the first commercial export of GI-tagged Rewa Sundarja Mangoes from Madhya Pradesh to which country?</t>
        </is>
      </c>
      <c r="C42" s="13" t="inlineStr">
        <is>
          <t>United Kingdom</t>
        </is>
      </c>
      <c r="D42" s="13" t="inlineStr">
        <is>
          <t>United Arab Emirates (UAE)</t>
        </is>
      </c>
      <c r="E42" s="13" t="inlineStr">
        <is>
          <t>Saudi Arabia</t>
        </is>
      </c>
      <c r="F42" s="13" t="inlineStr">
        <is>
          <t>United States</t>
        </is>
      </c>
      <c r="G42" s="12" t="inlineStr">
        <is>
          <t>B</t>
        </is>
      </c>
      <c r="H42" s="14" t="inlineStr"/>
      <c r="I42" s="15">
        <f>IF(H42="", 0, IF(_xlfn.XLOOKUP(UPPER(TRIM(H42)), $K$1:$K$4, $K$1:$K$4, "INVALID")="INVALID", 0, IF(UPPER(TRIM(H42))=UPPER(TRIM(G42)), 1, -0.5)))</f>
        <v/>
      </c>
    </row>
    <row r="43" ht="42" customHeight="1">
      <c r="A43" s="16" t="n">
        <v>32</v>
      </c>
      <c r="B43" s="17" t="inlineStr">
        <is>
          <t>Central Bank of India inaugurated its IFSC Banking Unit (IBU) at which financial center in Gujarat?</t>
        </is>
      </c>
      <c r="C43" s="17" t="inlineStr">
        <is>
          <t>GIFT City</t>
        </is>
      </c>
      <c r="D43" s="17" t="inlineStr">
        <is>
          <t>Ahmedabad Financial Hub</t>
        </is>
      </c>
      <c r="E43" s="17" t="inlineStr">
        <is>
          <t>Surat Diamond Bourse</t>
        </is>
      </c>
      <c r="F43" s="17" t="inlineStr">
        <is>
          <t>Dholera SIR</t>
        </is>
      </c>
      <c r="G43" s="16" t="inlineStr">
        <is>
          <t>A</t>
        </is>
      </c>
      <c r="H43" s="14" t="inlineStr"/>
      <c r="I43" s="18">
        <f>IF(H43="", 0, IF(_xlfn.XLOOKUP(UPPER(TRIM(H43)), $K$1:$K$4, $K$1:$K$4, "INVALID")="INVALID", 0, IF(UPPER(TRIM(H43))=UPPER(TRIM(G43)), 1, -0.5)))</f>
        <v/>
      </c>
    </row>
    <row r="44" ht="42" customHeight="1">
      <c r="A44" s="12" t="n">
        <v>33</v>
      </c>
      <c r="B44" s="13" t="inlineStr">
        <is>
          <t>India's Index of Industrial Production (IIP) base year was revised from 2011–12 to which financial year?</t>
        </is>
      </c>
      <c r="C44" s="13" t="inlineStr">
        <is>
          <t>2022–23</t>
        </is>
      </c>
      <c r="D44" s="13" t="inlineStr">
        <is>
          <t>2020–21</t>
        </is>
      </c>
      <c r="E44" s="13" t="inlineStr">
        <is>
          <t>2018–19</t>
        </is>
      </c>
      <c r="F44" s="13" t="inlineStr">
        <is>
          <t>2024–25</t>
        </is>
      </c>
      <c r="G44" s="12" t="inlineStr">
        <is>
          <t>A</t>
        </is>
      </c>
      <c r="H44" s="14" t="inlineStr"/>
      <c r="I44" s="15">
        <f>IF(H44="", 0, IF(_xlfn.XLOOKUP(UPPER(TRIM(H44)), $K$1:$K$4, $K$1:$K$4, "INVALID")="INVALID", 0, IF(UPPER(TRIM(H44))=UPPER(TRIM(G44)), 1, -0.5)))</f>
        <v/>
      </c>
    </row>
    <row r="45" ht="42" customHeight="1">
      <c r="A45" s="16" t="n">
        <v>34</v>
      </c>
      <c r="B45" s="17" t="inlineStr">
        <is>
          <t>Which Indian state topped NITI Aayog's inaugural Investment Friendliness Index 2026?</t>
        </is>
      </c>
      <c r="C45" s="17" t="inlineStr">
        <is>
          <t>Maharashtra</t>
        </is>
      </c>
      <c r="D45" s="17" t="inlineStr">
        <is>
          <t>Karnataka</t>
        </is>
      </c>
      <c r="E45" s="17" t="inlineStr">
        <is>
          <t>Gujarat</t>
        </is>
      </c>
      <c r="F45" s="17" t="inlineStr">
        <is>
          <t>Tamil Nadu</t>
        </is>
      </c>
      <c r="G45" s="16" t="inlineStr">
        <is>
          <t>C</t>
        </is>
      </c>
      <c r="H45" s="14" t="inlineStr"/>
      <c r="I45" s="18">
        <f>IF(H45="", 0, IF(_xlfn.XLOOKUP(UPPER(TRIM(H45)), $K$1:$K$4, $K$1:$K$4, "INVALID")="INVALID", 0, IF(UPPER(TRIM(H45))=UPPER(TRIM(G45)), 1, -0.5)))</f>
        <v/>
      </c>
    </row>
    <row r="46" ht="42" customHeight="1">
      <c r="A46" s="12" t="n">
        <v>35</v>
      </c>
      <c r="B46" s="13" t="inlineStr">
        <is>
          <t>SEBI fixed what new minimum custodian fee per month (or 0.0000416% of AUC), effective 1 October 2026?</t>
        </is>
      </c>
      <c r="C46" s="13" t="inlineStr">
        <is>
          <t>₹50,000 per month</t>
        </is>
      </c>
      <c r="D46" s="13" t="inlineStr">
        <is>
          <t>₹1,000,000 per month</t>
        </is>
      </c>
      <c r="E46" s="13" t="inlineStr">
        <is>
          <t>₹85,000 per month</t>
        </is>
      </c>
      <c r="F46" s="13" t="inlineStr">
        <is>
          <t>₹25,000 per month</t>
        </is>
      </c>
      <c r="G46" s="12" t="inlineStr">
        <is>
          <t>C</t>
        </is>
      </c>
      <c r="H46" s="14" t="inlineStr"/>
      <c r="I46" s="15">
        <f>IF(H46="", 0, IF(_xlfn.XLOOKUP(UPPER(TRIM(H46)), $K$1:$K$4, $K$1:$K$4, "INVALID")="INVALID", 0, IF(UPPER(TRIM(H46))=UPPER(TRIM(G46)), 1, -0.5)))</f>
        <v/>
      </c>
    </row>
    <row r="47" ht="42" customHeight="1">
      <c r="A47" s="16" t="n">
        <v>36</v>
      </c>
      <c r="B47" s="17" t="inlineStr">
        <is>
          <t>The Atal Innovation Mission (AIM) was launched in 2016 and is implemented by which organization?</t>
        </is>
      </c>
      <c r="C47" s="17" t="inlineStr">
        <is>
          <t>ISRO</t>
        </is>
      </c>
      <c r="D47" s="17" t="inlineStr">
        <is>
          <t>DRDO</t>
        </is>
      </c>
      <c r="E47" s="17" t="inlineStr">
        <is>
          <t>Ministry of Education</t>
        </is>
      </c>
      <c r="F47" s="17" t="inlineStr">
        <is>
          <t>NITI Aayog</t>
        </is>
      </c>
      <c r="G47" s="16" t="inlineStr">
        <is>
          <t>D</t>
        </is>
      </c>
      <c r="H47" s="14" t="inlineStr"/>
      <c r="I47" s="18">
        <f>IF(H47="", 0, IF(_xlfn.XLOOKUP(UPPER(TRIM(H47)), $K$1:$K$4, $K$1:$K$4, "INVALID")="INVALID", 0, IF(UPPER(TRIM(H47))=UPPER(TRIM(G47)), 1, -0.5)))</f>
        <v/>
      </c>
    </row>
    <row r="48" ht="42" customHeight="1">
      <c r="A48" s="12" t="n">
        <v>37</v>
      </c>
      <c r="B48" s="13" t="inlineStr">
        <is>
          <t>INS Sudarshini departed to participate in the SAIL 250 celebrations and International Naval Review 250 in which city?</t>
        </is>
      </c>
      <c r="C48" s="13" t="inlineStr">
        <is>
          <t>New York</t>
        </is>
      </c>
      <c r="D48" s="13" t="inlineStr">
        <is>
          <t>Boston</t>
        </is>
      </c>
      <c r="E48" s="13" t="inlineStr">
        <is>
          <t>London</t>
        </is>
      </c>
      <c r="F48" s="13" t="inlineStr">
        <is>
          <t>Sydney</t>
        </is>
      </c>
      <c r="G48" s="12" t="inlineStr">
        <is>
          <t>B</t>
        </is>
      </c>
      <c r="H48" s="14" t="inlineStr"/>
      <c r="I48" s="15">
        <f>IF(H48="", 0, IF(_xlfn.XLOOKUP(UPPER(TRIM(H48)), $K$1:$K$4, $K$1:$K$4, "INVALID")="INVALID", 0, IF(UPPER(TRIM(H48))=UPPER(TRIM(G48)), 1, -0.5)))</f>
        <v/>
      </c>
    </row>
    <row r="49" ht="42" customHeight="1">
      <c r="A49" s="16" t="n">
        <v>38</v>
      </c>
      <c r="B49" s="17" t="inlineStr">
        <is>
          <t>Under Article 127 of the Rome Statute, a state's withdrawal from the International Criminal Court (ICC) normally becomes effective after what period?</t>
        </is>
      </c>
      <c r="C49" s="17" t="inlineStr">
        <is>
          <t>One year after notification</t>
        </is>
      </c>
      <c r="D49" s="17" t="inlineStr">
        <is>
          <t>Six months</t>
        </is>
      </c>
      <c r="E49" s="17" t="inlineStr">
        <is>
          <t>Immediate effect</t>
        </is>
      </c>
      <c r="F49" s="17" t="inlineStr">
        <is>
          <t>Two years</t>
        </is>
      </c>
      <c r="G49" s="16" t="inlineStr">
        <is>
          <t>A</t>
        </is>
      </c>
      <c r="H49" s="14" t="inlineStr"/>
      <c r="I49" s="18">
        <f>IF(H49="", 0, IF(_xlfn.XLOOKUP(UPPER(TRIM(H49)), $K$1:$K$4, $K$1:$K$4, "INVALID")="INVALID", 0, IF(UPPER(TRIM(H49))=UPPER(TRIM(G49)), 1, -0.5)))</f>
        <v/>
      </c>
    </row>
    <row r="50" ht="42" customHeight="1">
      <c r="A50" s="12" t="n">
        <v>39</v>
      </c>
      <c r="B50" s="13" t="inlineStr">
        <is>
          <t>Ramesh Srinivasan has been appointed as Non-Executive Vice Chairman of which financial institution?</t>
        </is>
      </c>
      <c r="C50" s="13" t="inlineStr">
        <is>
          <t>SBI Capital Markets</t>
        </is>
      </c>
      <c r="D50" s="13" t="inlineStr">
        <is>
          <t>Kotak Investment Banking</t>
        </is>
      </c>
      <c r="E50" s="13" t="inlineStr">
        <is>
          <t>Axis Capital</t>
        </is>
      </c>
      <c r="F50" s="13" t="inlineStr">
        <is>
          <t>ICICI Securities</t>
        </is>
      </c>
      <c r="G50" s="12" t="inlineStr">
        <is>
          <t>B</t>
        </is>
      </c>
      <c r="H50" s="14" t="inlineStr"/>
      <c r="I50" s="15">
        <f>IF(H50="", 0, IF(_xlfn.XLOOKUP(UPPER(TRIM(H50)), $K$1:$K$4, $K$1:$K$4, "INVALID")="INVALID", 0, IF(UPPER(TRIM(H50))=UPPER(TRIM(G50)), 1, -0.5)))</f>
        <v/>
      </c>
    </row>
    <row r="51" ht="42" customHeight="1">
      <c r="A51" s="16" t="n">
        <v>40</v>
      </c>
      <c r="B51" s="17" t="inlineStr">
        <is>
          <t>The National Stock Exchange (NSE) plans to raise over ₹26,000 crore through which upcoming market offering?</t>
        </is>
      </c>
      <c r="C51" s="17" t="inlineStr">
        <is>
          <t>Follow-on Public Offer (FPO)</t>
        </is>
      </c>
      <c r="D51" s="17" t="inlineStr">
        <is>
          <t>Rights Issue</t>
        </is>
      </c>
      <c r="E51" s="17" t="inlineStr">
        <is>
          <t>Qualified Institutional Placement (QIP)</t>
        </is>
      </c>
      <c r="F51" s="17" t="inlineStr">
        <is>
          <t>Mega IPO</t>
        </is>
      </c>
      <c r="G51" s="16" t="inlineStr">
        <is>
          <t>D</t>
        </is>
      </c>
      <c r="H51" s="14" t="inlineStr"/>
      <c r="I51" s="18">
        <f>IF(H51="", 0, IF(_xlfn.XLOOKUP(UPPER(TRIM(H51)), $K$1:$K$4, $K$1:$K$4, "INVALID")="INVALID", 0, IF(UPPER(TRIM(H51))=UPPER(TRIM(G51)), 1, -0.5)))</f>
        <v/>
      </c>
    </row>
    <row r="52" ht="42" customHeight="1">
      <c r="A52" s="12" t="n">
        <v>41</v>
      </c>
      <c r="B52" s="13" t="inlineStr">
        <is>
          <t>India's first hub-and-spoke international flight service commenced from which city to international destinations via Delhi hub?</t>
        </is>
      </c>
      <c r="C52" s="13" t="inlineStr">
        <is>
          <t>Patna</t>
        </is>
      </c>
      <c r="D52" s="13" t="inlineStr">
        <is>
          <t>Ayodhya</t>
        </is>
      </c>
      <c r="E52" s="13" t="inlineStr">
        <is>
          <t>Varanasi</t>
        </is>
      </c>
      <c r="F52" s="13" t="inlineStr">
        <is>
          <t>Lucknow</t>
        </is>
      </c>
      <c r="G52" s="12" t="inlineStr">
        <is>
          <t>C</t>
        </is>
      </c>
      <c r="H52" s="14" t="inlineStr"/>
      <c r="I52" s="15">
        <f>IF(H52="", 0, IF(_xlfn.XLOOKUP(UPPER(TRIM(H52)), $K$1:$K$4, $K$1:$K$4, "INVALID")="INVALID", 0, IF(UPPER(TRIM(H52))=UPPER(TRIM(G52)), 1, -0.5)))</f>
        <v/>
      </c>
    </row>
    <row r="53" ht="42" customHeight="1">
      <c r="A53" s="16" t="n">
        <v>42</v>
      </c>
      <c r="B53" s="17" t="inlineStr">
        <is>
          <t>Chhattisgarh's Gyaneshwari Yadav won a silver medal in women's 53 kg weightlifting at which sporting event?</t>
        </is>
      </c>
      <c r="C53" s="17" t="inlineStr">
        <is>
          <t>Paris Olympic Games</t>
        </is>
      </c>
      <c r="D53" s="17" t="inlineStr">
        <is>
          <t>Asian Games Hangzhou</t>
        </is>
      </c>
      <c r="E53" s="17" t="inlineStr">
        <is>
          <t>Glasgow Commonwealth Games</t>
        </is>
      </c>
      <c r="F53" s="17" t="inlineStr">
        <is>
          <t>World Weightlifting Championships</t>
        </is>
      </c>
      <c r="G53" s="16" t="inlineStr">
        <is>
          <t>C</t>
        </is>
      </c>
      <c r="H53" s="14" t="inlineStr"/>
      <c r="I53" s="18">
        <f>IF(H53="", 0, IF(_xlfn.XLOOKUP(UPPER(TRIM(H53)), $K$1:$K$4, $K$1:$K$4, "INVALID")="INVALID", 0, IF(UPPER(TRIM(H53))=UPPER(TRIM(G53)), 1, -0.5)))</f>
        <v/>
      </c>
    </row>
    <row r="54" ht="42" customHeight="1">
      <c r="A54" s="12" t="n">
        <v>43</v>
      </c>
      <c r="B54" s="13" t="inlineStr">
        <is>
          <t>Smriti Mandhana has been appointed as the Brand Ambassador of which jewellery brand?</t>
        </is>
      </c>
      <c r="C54" s="13" t="inlineStr">
        <is>
          <t>CaratLane</t>
        </is>
      </c>
      <c r="D54" s="13" t="inlineStr">
        <is>
          <t>Tanishq</t>
        </is>
      </c>
      <c r="E54" s="13" t="inlineStr">
        <is>
          <t>Malabar Gold &amp; Diamonds</t>
        </is>
      </c>
      <c r="F54" s="13" t="inlineStr">
        <is>
          <t>Candere (by Kalyan Jewellers)</t>
        </is>
      </c>
      <c r="G54" s="12" t="inlineStr">
        <is>
          <t>D</t>
        </is>
      </c>
      <c r="H54" s="14" t="inlineStr"/>
      <c r="I54" s="15">
        <f>IF(H54="", 0, IF(_xlfn.XLOOKUP(UPPER(TRIM(H54)), $K$1:$K$4, $K$1:$K$4, "INVALID")="INVALID", 0, IF(UPPER(TRIM(H54))=UPPER(TRIM(G54)), 1, -0.5)))</f>
        <v/>
      </c>
    </row>
    <row r="55" ht="42" customHeight="1">
      <c r="A55" s="16" t="n">
        <v>44</v>
      </c>
      <c r="B55" s="17" t="inlineStr">
        <is>
          <t>State Bank of India (SBI) issued US$300 million Senior Unsecured Floating Rate Notes (FRNs) through which overseas branch?</t>
        </is>
      </c>
      <c r="C55" s="17" t="inlineStr">
        <is>
          <t>Dubai Branch</t>
        </is>
      </c>
      <c r="D55" s="17" t="inlineStr">
        <is>
          <t>London Branch</t>
        </is>
      </c>
      <c r="E55" s="17" t="inlineStr">
        <is>
          <t>New York Branch</t>
        </is>
      </c>
      <c r="F55" s="17" t="inlineStr">
        <is>
          <t>Singapore Branch</t>
        </is>
      </c>
      <c r="G55" s="16" t="inlineStr">
        <is>
          <t>B</t>
        </is>
      </c>
      <c r="H55" s="14" t="inlineStr"/>
      <c r="I55" s="18">
        <f>IF(H55="", 0, IF(_xlfn.XLOOKUP(UPPER(TRIM(H55)), $K$1:$K$4, $K$1:$K$4, "INVALID")="INVALID", 0, IF(UPPER(TRIM(H55))=UPPER(TRIM(G55)), 1, -0.5)))</f>
        <v/>
      </c>
    </row>
    <row r="56" ht="42" customHeight="1">
      <c r="A56" s="12" t="n">
        <v>45</v>
      </c>
      <c r="B56" s="13" t="inlineStr">
        <is>
          <t>International Day of Deafblindness is observed annually on which date?</t>
        </is>
      </c>
      <c r="C56" s="13" t="inlineStr">
        <is>
          <t>15 July</t>
        </is>
      </c>
      <c r="D56" s="13" t="inlineStr">
        <is>
          <t>27 June</t>
        </is>
      </c>
      <c r="E56" s="13" t="inlineStr">
        <is>
          <t>5 August</t>
        </is>
      </c>
      <c r="F56" s="13" t="inlineStr">
        <is>
          <t>21 June</t>
        </is>
      </c>
      <c r="G56" s="12" t="inlineStr">
        <is>
          <t>B</t>
        </is>
      </c>
      <c r="H56" s="14" t="inlineStr"/>
      <c r="I56" s="15">
        <f>IF(H56="", 0, IF(_xlfn.XLOOKUP(UPPER(TRIM(H56)), $K$1:$K$4, $K$1:$K$4, "INVALID")="INVALID", 0, IF(UPPER(TRIM(H56))=UPPER(TRIM(G56)), 1, -0.5)))</f>
        <v/>
      </c>
    </row>
    <row r="57" ht="42" customHeight="1">
      <c r="A57" s="16" t="n">
        <v>46</v>
      </c>
      <c r="B57" s="17" t="inlineStr">
        <is>
          <t>The Ministry of Statistics and Programme Implementation (MoSPI) signed a Statement of Intent (SoI) with GRAAM for which fellowship programme?</t>
        </is>
      </c>
      <c r="C57" s="17" t="inlineStr">
        <is>
          <t>Young India Fellowship</t>
        </is>
      </c>
      <c r="D57" s="17" t="inlineStr">
        <is>
          <t>Embark India Development Fellowship</t>
        </is>
      </c>
      <c r="E57" s="17" t="inlineStr">
        <is>
          <t>National Statistics Fellowship</t>
        </is>
      </c>
      <c r="F57" s="17" t="inlineStr">
        <is>
          <t>Prime Minister Research Fellowship</t>
        </is>
      </c>
      <c r="G57" s="16" t="inlineStr">
        <is>
          <t>B</t>
        </is>
      </c>
      <c r="H57" s="14" t="inlineStr"/>
      <c r="I57" s="18">
        <f>IF(H57="", 0, IF(_xlfn.XLOOKUP(UPPER(TRIM(H57)), $K$1:$K$4, $K$1:$K$4, "INVALID")="INVALID", 0, IF(UPPER(TRIM(H57))=UPPER(TRIM(G57)), 1, -0.5)))</f>
        <v/>
      </c>
    </row>
    <row r="58" ht="42" customHeight="1">
      <c r="A58" s="12" t="n">
        <v>47</v>
      </c>
      <c r="B58" s="13" t="inlineStr">
        <is>
          <t>Renowned theatre personality Vijaya Mehta, who passed away recently, was a pioneer in which field?</t>
        </is>
      </c>
      <c r="C58" s="13" t="inlineStr">
        <is>
          <t>Hindi Parallel Cinema</t>
        </is>
      </c>
      <c r="D58" s="13" t="inlineStr">
        <is>
          <t>Classical Sanskrit Drama</t>
        </is>
      </c>
      <c r="E58" s="13" t="inlineStr">
        <is>
          <t>Bengali Folk Theatre</t>
        </is>
      </c>
      <c r="F58" s="13" t="inlineStr">
        <is>
          <t>Experimental Marathi Theatre</t>
        </is>
      </c>
      <c r="G58" s="12" t="inlineStr">
        <is>
          <t>D</t>
        </is>
      </c>
      <c r="H58" s="14" t="inlineStr"/>
      <c r="I58" s="15">
        <f>IF(H58="", 0, IF(_xlfn.XLOOKUP(UPPER(TRIM(H58)), $K$1:$K$4, $K$1:$K$4, "INVALID")="INVALID", 0, IF(UPPER(TRIM(H58))=UPPER(TRIM(G58)), 1, -0.5)))</f>
        <v/>
      </c>
    </row>
    <row r="59" ht="42" customHeight="1">
      <c r="A59" s="16" t="n">
        <v>48</v>
      </c>
      <c r="B59" s="17" t="inlineStr">
        <is>
          <t>Which Public Sector Bank paid the highest dividend (₹2,811 crore) to the Government of India for FY 2025–26?</t>
        </is>
      </c>
      <c r="C59" s="17" t="inlineStr">
        <is>
          <t>Canara Bank</t>
        </is>
      </c>
      <c r="D59" s="17" t="inlineStr">
        <is>
          <t>Punjab National Bank</t>
        </is>
      </c>
      <c r="E59" s="17" t="inlineStr">
        <is>
          <t>Bank of Baroda (BoB)</t>
        </is>
      </c>
      <c r="F59" s="17" t="inlineStr">
        <is>
          <t>Union Bank of India</t>
        </is>
      </c>
      <c r="G59" s="16" t="inlineStr">
        <is>
          <t>C</t>
        </is>
      </c>
      <c r="H59" s="14" t="inlineStr"/>
      <c r="I59" s="18">
        <f>IF(H59="", 0, IF(_xlfn.XLOOKUP(UPPER(TRIM(H59)), $K$1:$K$4, $K$1:$K$4, "INVALID")="INVALID", 0, IF(UPPER(TRIM(H59))=UPPER(TRIM(G59)), 1, -0.5)))</f>
        <v/>
      </c>
    </row>
    <row r="60" ht="42" customHeight="1">
      <c r="A60" s="12" t="n">
        <v>49</v>
      </c>
      <c r="B60" s="13" t="inlineStr">
        <is>
          <t>What does the acronym 'DAKSH' stand for under the government administrative initiatives?</t>
        </is>
      </c>
      <c r="C60" s="13" t="inlineStr">
        <is>
          <t>Direct Assessment of Skill and Human Capital</t>
        </is>
      </c>
      <c r="D60" s="13" t="inlineStr">
        <is>
          <t>Development of Aspiration, Knowledge, Succession and Harmony</t>
        </is>
      </c>
      <c r="E60" s="13" t="inlineStr">
        <is>
          <t>Digital Access, Knowledge, Skill and Hygiene</t>
        </is>
      </c>
      <c r="F60" s="13" t="inlineStr">
        <is>
          <t>Departmental Action for Knowledge, Safety and Health</t>
        </is>
      </c>
      <c r="G60" s="12" t="inlineStr">
        <is>
          <t>B</t>
        </is>
      </c>
      <c r="H60" s="14" t="inlineStr"/>
      <c r="I60" s="15">
        <f>IF(H60="", 0, IF(_xlfn.XLOOKUP(UPPER(TRIM(H60)), $K$1:$K$4, $K$1:$K$4, "INVALID")="INVALID", 0, IF(UPPER(TRIM(H60))=UPPER(TRIM(G60)), 1, -0.5)))</f>
        <v/>
      </c>
    </row>
    <row r="61" ht="42" customHeight="1">
      <c r="A61" s="16" t="n">
        <v>50</v>
      </c>
      <c r="B61" s="17" t="inlineStr">
        <is>
          <t>The Purple Revolution, which promotes lavender-based agri-entrepreneurship, originated from which region?</t>
        </is>
      </c>
      <c r="C61" s="17" t="inlineStr">
        <is>
          <t>Shimla, Himachal Pradesh</t>
        </is>
      </c>
      <c r="D61" s="17" t="inlineStr">
        <is>
          <t>Dehradun, Uttarakhand</t>
        </is>
      </c>
      <c r="E61" s="17" t="inlineStr">
        <is>
          <t>Munnar, Kerala</t>
        </is>
      </c>
      <c r="F61" s="17" t="inlineStr">
        <is>
          <t>Bhadarwah, Jammu &amp; Kashmir</t>
        </is>
      </c>
      <c r="G61" s="16" t="inlineStr">
        <is>
          <t>D</t>
        </is>
      </c>
      <c r="H61" s="14" t="inlineStr"/>
      <c r="I61" s="18">
        <f>IF(H61="", 0, IF(_xlfn.XLOOKUP(UPPER(TRIM(H61)), $K$1:$K$4, $K$1:$K$4, "INVALID")="INVALID", 0, IF(UPPER(TRIM(H61))=UPPER(TRIM(G61)), 1, -0.5)))</f>
        <v/>
      </c>
    </row>
    <row r="62" ht="30" customHeight="1">
      <c r="A62" s="19" t="inlineStr">
        <is>
          <t>TOTAL QUIZ SCORE</t>
        </is>
      </c>
      <c r="B62" s="20" t="n"/>
      <c r="C62" s="20" t="n"/>
      <c r="D62" s="20" t="n"/>
      <c r="E62" s="20" t="n"/>
      <c r="F62" s="20" t="n"/>
      <c r="G62" s="20" t="n"/>
      <c r="H62" s="20" t="n"/>
      <c r="I62" s="21">
        <f>SUM(I12:I61)</f>
        <v/>
      </c>
    </row>
  </sheetData>
  <mergeCells count="18">
    <mergeCell ref="D8:E8"/>
    <mergeCell ref="F4:G4"/>
    <mergeCell ref="A62:H62"/>
    <mergeCell ref="A2:I2"/>
    <mergeCell ref="D7:E7"/>
    <mergeCell ref="B7:C7"/>
    <mergeCell ref="A10:I10"/>
    <mergeCell ref="B5:C5"/>
    <mergeCell ref="F5:G5"/>
    <mergeCell ref="D5:E5"/>
    <mergeCell ref="A1:I1"/>
    <mergeCell ref="H5:I5"/>
    <mergeCell ref="D4:E4"/>
    <mergeCell ref="H4:I4"/>
    <mergeCell ref="B8:C8"/>
    <mergeCell ref="B4:C4"/>
    <mergeCell ref="F7:G7"/>
    <mergeCell ref="F8:G8"/>
  </mergeCells>
  <conditionalFormatting sqref="I12:I61">
    <cfRule type="cellIs" priority="1" operator="equal" dxfId="0">
      <formula>1</formula>
    </cfRule>
    <cfRule type="cellIs" priority="2" operator="equal" dxfId="1">
      <formula>-0.5</formula>
    </cfRule>
    <cfRule type="cellIs" priority="3" operator="equal" dxfId="2">
      <formula>0</formula>
    </cfRule>
  </conditionalFormatting>
  <dataValidations count="1">
    <dataValidation sqref="H12:H61" showDropDown="0" showInputMessage="0" showErrorMessage="1" allowBlank="1" errorTitle="Invalid Selection" error="Please select or type A, B, C, or D only." promptTitle="Answer Selection" prompt="Type A, B, C, or D" type="list">
      <formula1>"A, B, C, 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EXCEL QUIZ SCORING SYSTEM - USER GUIDE &amp; TECHNICAL DOCUMENTATION</t>
        </is>
      </c>
    </row>
    <row r="3">
      <c r="A3" s="22" t="inlineStr">
        <is>
          <t>1. OVERVIEW &amp; PURPOSE</t>
        </is>
      </c>
    </row>
    <row r="4">
      <c r="A4" s="23" t="inlineStr">
        <is>
          <t>This workbook is an interactive quiz assessment tool that automatically scores student responses</t>
        </is>
      </c>
    </row>
    <row r="5">
      <c r="A5" s="23" t="inlineStr">
        <is>
          <t>extracted from PDF study materials. It uses advanced Excel formulas (XLOOKUP &amp; IF logic), Data Validation,</t>
        </is>
      </c>
    </row>
    <row r="6">
      <c r="A6" s="23" t="inlineStr">
        <is>
          <t>and dynamic conditional formatting to deliver an immediate, error-proof assessment experience.</t>
        </is>
      </c>
    </row>
    <row r="8">
      <c r="A8" s="22" t="inlineStr">
        <is>
          <t>2. SCORING MECHANISM LOGIC</t>
        </is>
      </c>
    </row>
    <row r="9">
      <c r="A9" s="23" t="inlineStr">
        <is>
          <t>• CORRECT ANSWER (+1.0 point): Triggered when user response in Column H matches Column G answer key.</t>
        </is>
      </c>
    </row>
    <row r="10">
      <c r="A10" s="23" t="inlineStr">
        <is>
          <t>• INCORRECT ANSWER (-0.5 points): Triggered when user response in Column H is filled but incorrect.</t>
        </is>
      </c>
    </row>
    <row r="11">
      <c r="A11" s="23" t="inlineStr">
        <is>
          <t>• BLANK OR INVALID ENTRY (0.0 points): Triggered when cell in Column H is empty or contains non-option text.</t>
        </is>
      </c>
    </row>
    <row r="13">
      <c r="A13" s="22" t="inlineStr">
        <is>
          <t>3. FORMULA ARCHITECTURE &amp; EXPLANATION</t>
        </is>
      </c>
    </row>
    <row r="14">
      <c r="A14" s="23" t="inlineStr">
        <is>
          <t>Primary XLOOKUP Formula used in Column I (e.g. Cell I12):</t>
        </is>
      </c>
    </row>
    <row r="15">
      <c r="A15" s="24">
        <f>IF(H12="", 0, IF(XLOOKUP(UPPER(TRIM(H12)), $K$1:$K$4, $K$1:$K$4, "INVALID")="INVALID", 0, IF(UPPER(TRIM(H12))=UPPER(TRIM(G12)), 1, -0.5)))</f>
        <v/>
      </c>
    </row>
    <row r="16">
      <c r="A16" s="23" t="inlineStr"/>
    </row>
    <row r="17">
      <c r="A17" s="23" t="inlineStr">
        <is>
          <t>Why XLOOKUP is used with Error Handling:</t>
        </is>
      </c>
    </row>
    <row r="18">
      <c r="A18" s="23" t="inlineStr">
        <is>
          <t>1. XLOOKUP evaluates if the user's input in H12 belongs to valid option reference range $K$1:$K$4 ('A', 'B', 'C', 'D').</t>
        </is>
      </c>
    </row>
    <row r="19">
      <c r="A19" s="23" t="inlineStr">
        <is>
          <t>2. The 4th parameter 'INVALID' catches non-option inputs gracefully without throwing #N/A or #VALUE! errors.</t>
        </is>
      </c>
    </row>
    <row r="20">
      <c r="A20" s="23" t="inlineStr">
        <is>
          <t>3. TRIM() and UPPER() sanitize inputs, eliminating accidental leading/trailing spaces or lowercase entries ('a', 'b', 'c', 'd').</t>
        </is>
      </c>
    </row>
    <row r="21">
      <c r="A21" s="23" t="inlineStr"/>
    </row>
    <row r="22">
      <c r="A22" s="23" t="inlineStr">
        <is>
          <t>Fallback VLOOKUP Formula for Older Excel Versions (2010, 2013, 2016):</t>
        </is>
      </c>
    </row>
    <row r="23">
      <c r="A23" s="24">
        <f>IF(H12="", 0, IF(ISERROR(VLOOKUP(UPPER(TRIM(H12)), $K$1:$K$4, 1, FALSE)), 0, IF(UPPER(TRIM(H12))=UPPER(TRIM(G12)), 1, -0.5)))</f>
        <v/>
      </c>
    </row>
    <row r="24">
      <c r="A24" s="23" t="inlineStr">
        <is>
          <t>• VLOOKUP Requirement 1: 4th parameter MUST be FALSE (or 0) for exact string match mode.</t>
        </is>
      </c>
    </row>
    <row r="25">
      <c r="A25" s="23" t="inlineStr">
        <is>
          <t>• VLOOKUP Requirement 2: Column index parameter MUST be 1 to return matched lookup key.</t>
        </is>
      </c>
    </row>
    <row r="27">
      <c r="A27" s="22" t="inlineStr">
        <is>
          <t>4. HOW TO RETAKE OR RESET THE QUIZ</t>
        </is>
      </c>
    </row>
    <row r="28">
      <c r="A28" s="23" t="inlineStr">
        <is>
          <t>1. Navigate to the 'Interactive Quiz' sheet.</t>
        </is>
      </c>
    </row>
    <row r="29">
      <c r="A29" s="23" t="inlineStr">
        <is>
          <t>2. Select all input cells in Column H (Range H12:H61).</t>
        </is>
      </c>
    </row>
    <row r="30">
      <c r="A30" s="23" t="inlineStr">
        <is>
          <t>3. Press 'Delete' on your keyboard to clear all entries.</t>
        </is>
      </c>
    </row>
    <row r="31">
      <c r="A31" s="23" t="inlineStr">
        <is>
          <t>4. All scores will reset to 0.0 and KPI cards will update automatically.</t>
        </is>
      </c>
    </row>
    <row r="33">
      <c r="A33" s="22" t="inlineStr">
        <is>
          <t>5. REUSING THIS TEMPLATE FOR ANY PDF SOURCE</t>
        </is>
      </c>
    </row>
    <row r="34">
      <c r="A34" s="23" t="inlineStr">
        <is>
          <t>This template is powered by the Python script 'convert_pdf_to_quiz.py'.</t>
        </is>
      </c>
    </row>
    <row r="35">
      <c r="A35" s="23" t="inlineStr">
        <is>
          <t>To generate a brand new quiz from another PDF:</t>
        </is>
      </c>
    </row>
    <row r="36">
      <c r="A36" s="23" t="inlineStr">
        <is>
          <t>Run command: python convert_pdf_to_quiz.py "&lt;path_to_new_pdf&gt;.pdf" -o "&lt;output_quiz_name&gt;.xlsx"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30" customWidth="1" min="4" max="4"/>
    <col width="55" customWidth="1" min="5" max="5"/>
  </cols>
  <sheetData>
    <row r="1" ht="30" customHeight="1">
      <c r="A1" s="1" t="inlineStr">
        <is>
          <t>ANSWER KEY &amp; EXPLANATIONS REFERENCE CATALOG</t>
        </is>
      </c>
    </row>
    <row r="3" ht="24" customHeight="1">
      <c r="A3" s="11" t="inlineStr">
        <is>
          <t>Q.No</t>
        </is>
      </c>
      <c r="B3" s="11" t="inlineStr">
        <is>
          <t>Question Text</t>
        </is>
      </c>
      <c r="C3" s="11" t="inlineStr">
        <is>
          <t>Correct Key</t>
        </is>
      </c>
      <c r="D3" s="11" t="inlineStr">
        <is>
          <t>Correct Option Text</t>
        </is>
      </c>
      <c r="E3" s="11" t="inlineStr">
        <is>
          <t>Source Fact / Explanation</t>
        </is>
      </c>
    </row>
    <row r="4" ht="35" customHeight="1">
      <c r="A4" s="12" t="n">
        <v>1</v>
      </c>
      <c r="B4" s="13" t="inlineStr">
        <is>
          <t>Ashok Vaswani has decided not to seek reappointment as MD &amp; CEO of which of the following banks after December 2026?</t>
        </is>
      </c>
      <c r="C4" s="25" t="inlineStr">
        <is>
          <t>D</t>
        </is>
      </c>
      <c r="D4" s="26" t="inlineStr">
        <is>
          <t>Kotak Mahindra Bank</t>
        </is>
      </c>
      <c r="E4" s="13" t="inlineStr">
        <is>
          <t>Ashok Vaswani has decided not to seek reappointment as MD &amp; CEO of Kotak Mahindra Bank after his current term ends on 31 December 2026.</t>
        </is>
      </c>
    </row>
    <row r="5" ht="35" customHeight="1">
      <c r="A5" s="16" t="n">
        <v>2</v>
      </c>
      <c r="B5" s="17" t="inlineStr">
        <is>
          <t>Paisabazaar and SBM Bank (India) launched the 'SBM Paisabazaar Paisa+ Credit Card'. What type of credit card is it?</t>
        </is>
      </c>
      <c r="C5" s="27" t="inlineStr">
        <is>
          <t>C</t>
        </is>
      </c>
      <c r="D5" s="28" t="inlineStr">
        <is>
          <t>FD-backed secured credit card</t>
        </is>
      </c>
      <c r="E5" s="17" t="inlineStr">
        <is>
          <t>Paisabazaar and SBM Bank (India) launched the 'SBM Paisabazaar Paisa+ Credit Card', an FD-backed secured credit card.</t>
        </is>
      </c>
    </row>
    <row r="6" ht="35" customHeight="1">
      <c r="A6" s="12" t="n">
        <v>3</v>
      </c>
      <c r="B6" s="13" t="inlineStr">
        <is>
          <t>Under RBI's revised Scale-Based Regulation (SBR) framework, NBFCs with assets of what minimum threshold are automatically classified as NBFC-Upper Layer (NBFC-UL)?</t>
        </is>
      </c>
      <c r="C6" s="25" t="inlineStr">
        <is>
          <t>D</t>
        </is>
      </c>
      <c r="D6" s="26" t="inlineStr">
        <is>
          <t>₹1 lakh crore or more</t>
        </is>
      </c>
      <c r="E6" s="13" t="inlineStr">
        <is>
          <t>Under RBI's revised SBR framework, NBFCs with assets of ₹1 lakh crore or more will automatically be classified as NBFC-Upper Layer (NBFC-UL).</t>
        </is>
      </c>
    </row>
    <row r="7" ht="35" customHeight="1">
      <c r="A7" s="16" t="n">
        <v>4</v>
      </c>
      <c r="B7" s="17" t="inlineStr">
        <is>
          <t>What is the annual premium under the Pradhan Mantri Jeevan Jyoti Bima Yojana (PMJJBY)?</t>
        </is>
      </c>
      <c r="C7" s="27" t="inlineStr">
        <is>
          <t>C</t>
        </is>
      </c>
      <c r="D7" s="28" t="inlineStr">
        <is>
          <t>₹436</t>
        </is>
      </c>
      <c r="E7" s="17" t="inlineStr">
        <is>
          <t>The annual premium under the Pradhan Mantri Jeevan Jyoti Bima Yojana (PMJJBY) is ₹436.</t>
        </is>
      </c>
    </row>
    <row r="8" ht="35" customHeight="1">
      <c r="A8" s="12" t="n">
        <v>5</v>
      </c>
      <c r="B8" s="13" t="inlineStr">
        <is>
          <t>The AIR SUVIDHA 2.0 portal has been developed by which of the following organizations/departments?</t>
        </is>
      </c>
      <c r="C8" s="25" t="inlineStr">
        <is>
          <t>D</t>
        </is>
      </c>
      <c r="D8" s="26" t="inlineStr">
        <is>
          <t>Directorate General of Health Services (DGHS)</t>
        </is>
      </c>
      <c r="E8" s="13" t="inlineStr">
        <is>
          <t>AIR SUVIDHA 2.0 portal has been developed by the Directorate General of Health Services (DGHS).</t>
        </is>
      </c>
    </row>
    <row r="9" ht="35" customHeight="1">
      <c r="A9" s="16" t="n">
        <v>6</v>
      </c>
      <c r="B9" s="17" t="inlineStr">
        <is>
          <t>The Pradhan Mantri Suraksha Bima Yojana (PMSBY) provides accidental insurance coverage of up to which amount?</t>
        </is>
      </c>
      <c r="C9" s="27" t="inlineStr">
        <is>
          <t>D</t>
        </is>
      </c>
      <c r="D9" s="28" t="inlineStr">
        <is>
          <t>₹2 lakh</t>
        </is>
      </c>
      <c r="E9" s="17" t="inlineStr">
        <is>
          <t>The Pradhan Mantri Suraksha Bima Yojana (PMSBY) provides accidental insurance coverage of up to ₹2 lakh.</t>
        </is>
      </c>
    </row>
    <row r="10" ht="35" customHeight="1">
      <c r="A10" s="12" t="n">
        <v>7</v>
      </c>
      <c r="B10" s="13" t="inlineStr">
        <is>
          <t>Ben Stokes announced his retirement from Test cricket after playing against which country at Trent Bridge?</t>
        </is>
      </c>
      <c r="C10" s="25" t="inlineStr">
        <is>
          <t>C</t>
        </is>
      </c>
      <c r="D10" s="26" t="inlineStr">
        <is>
          <t>New Zealand</t>
        </is>
      </c>
      <c r="E10" s="13" t="inlineStr">
        <is>
          <t>Ben Stokes announced his retirement from Test cricket after the Trent Bridge Test against New Zealand.</t>
        </is>
      </c>
    </row>
    <row r="11" ht="35" customHeight="1">
      <c r="A11" s="16" t="n">
        <v>8</v>
      </c>
      <c r="B11" s="17" t="inlineStr">
        <is>
          <t>Prime Minister Narendra Modi inaugurated Andhra Pradesh's first greenfield airport named after which freedom fighter?</t>
        </is>
      </c>
      <c r="C11" s="27" t="inlineStr">
        <is>
          <t>C</t>
        </is>
      </c>
      <c r="D11" s="28" t="inlineStr">
        <is>
          <t>Alluri Sitarama Raju International Airport</t>
        </is>
      </c>
      <c r="E11" s="17" t="inlineStr">
        <is>
          <t>Prime Minister Narendra Modi is scheduled to inaugurate Andhra Pradesh's first greenfield airport, the Alluri Sitarama Raju International Airport.</t>
        </is>
      </c>
    </row>
    <row r="12" ht="35" customHeight="1">
      <c r="A12" s="12" t="n">
        <v>9</v>
      </c>
      <c r="B12" s="13" t="inlineStr">
        <is>
          <t>Under the Genome India Mission, genome sequencing of how many individuals has been successfully completed?</t>
        </is>
      </c>
      <c r="C12" s="25" t="inlineStr">
        <is>
          <t>A</t>
        </is>
      </c>
      <c r="D12" s="26" t="inlineStr">
        <is>
          <t>More than 10,000 individuals</t>
        </is>
      </c>
      <c r="E12" s="13" t="inlineStr">
        <is>
          <t>Under the Genome India Mission, genome sequencing of more than 10,000 individuals has been completed.</t>
        </is>
      </c>
    </row>
    <row r="13" ht="35" customHeight="1">
      <c r="A13" s="16" t="n">
        <v>10</v>
      </c>
      <c r="B13" s="17" t="inlineStr">
        <is>
          <t>India endorsed the Joint Statement on AI Opportunity at which global summit?</t>
        </is>
      </c>
      <c r="C13" s="27" t="inlineStr">
        <is>
          <t>C</t>
        </is>
      </c>
      <c r="D13" s="28" t="inlineStr">
        <is>
          <t>Second Pax Silica Summit</t>
        </is>
      </c>
      <c r="E13" s="17" t="inlineStr">
        <is>
          <t>India endorsed the Joint Statement on AI Opportunity at the Second Pax Silica Summit.</t>
        </is>
      </c>
    </row>
    <row r="14" ht="35" customHeight="1">
      <c r="A14" s="12" t="n">
        <v>11</v>
      </c>
      <c r="B14" s="13" t="inlineStr">
        <is>
          <t>The pilot project for the 'PM Family Care Tracker' was launched in which city?</t>
        </is>
      </c>
      <c r="C14" s="25" t="inlineStr">
        <is>
          <t>D</t>
        </is>
      </c>
      <c r="D14" s="26" t="inlineStr">
        <is>
          <t>Gandhinagar, Gujarat</t>
        </is>
      </c>
      <c r="E14" s="13" t="inlineStr">
        <is>
          <t>The PM Family Care Tracker pilot project was launched in Gandhinagar, Gujarat.</t>
        </is>
      </c>
    </row>
    <row r="15" ht="35" customHeight="1">
      <c r="A15" s="16" t="n">
        <v>12</v>
      </c>
      <c r="B15" s="17" t="inlineStr">
        <is>
          <t>Prime Minister Narendra Modi was conferred which highest civilian honour during his official visit to Seychelles?</t>
        </is>
      </c>
      <c r="C15" s="27" t="inlineStr">
        <is>
          <t>D</t>
        </is>
      </c>
      <c r="D15" s="28" t="inlineStr">
        <is>
          <t>Guardian of the Blue Horizon</t>
        </is>
      </c>
      <c r="E15" s="17" t="inlineStr">
        <is>
          <t>Prime Minister Narendra Modi was conferred Seychelles' highest civilian honour, 'Guardian of the Blue Horizon'.</t>
        </is>
      </c>
    </row>
    <row r="16" ht="35" customHeight="1">
      <c r="A16" s="12" t="n">
        <v>13</v>
      </c>
      <c r="B16" s="13" t="inlineStr">
        <is>
          <t>Prabhjeet Singh has been appointed to which senior leadership role assuming office in September 2026?</t>
        </is>
      </c>
      <c r="C16" s="25" t="inlineStr">
        <is>
          <t>C</t>
        </is>
      </c>
      <c r="D16" s="26" t="inlineStr">
        <is>
          <t>Managing Director (MD) of OpenAI India</t>
        </is>
      </c>
      <c r="E16" s="13" t="inlineStr">
        <is>
          <t>Prabhjeet Singh has been appointed as the Managing Director (MD) of OpenAI India and will assume office in September 2026.</t>
        </is>
      </c>
    </row>
    <row r="17" ht="35" customHeight="1">
      <c r="A17" s="16" t="n">
        <v>14</v>
      </c>
      <c r="B17" s="17" t="inlineStr">
        <is>
          <t>Two solar power parks with a combined capacity of 950 MW were inaugurated in Neemuch and Shajapur located in which state?</t>
        </is>
      </c>
      <c r="C17" s="27" t="inlineStr">
        <is>
          <t>D</t>
        </is>
      </c>
      <c r="D17" s="28" t="inlineStr">
        <is>
          <t>Madhya Pradesh</t>
        </is>
      </c>
      <c r="E17" s="17" t="inlineStr">
        <is>
          <t>Two solar power parks with a combined capacity of 950 MW were inaugurated in Neemuch and Shajapur, Madhya Pradesh.</t>
        </is>
      </c>
    </row>
    <row r="18" ht="35" customHeight="1">
      <c r="A18" s="12" t="n">
        <v>15</v>
      </c>
      <c r="B18" s="13" t="inlineStr">
        <is>
          <t>Ethan Vaz became India's 96th Chess Grandmaster after securing his third GM norm at which tournament?</t>
        </is>
      </c>
      <c r="C18" s="25" t="inlineStr">
        <is>
          <t>A</t>
        </is>
      </c>
      <c r="D18" s="26" t="inlineStr">
        <is>
          <t>Sarajevo GM Mix Tournament</t>
        </is>
      </c>
      <c r="E18" s="13" t="inlineStr">
        <is>
          <t>Ethan Vaz became India's 96th Chess Grandmaster after securing his third GM norm at the Sarajevo GM Mix Tournament.</t>
        </is>
      </c>
    </row>
    <row r="19" ht="35" customHeight="1">
      <c r="A19" s="16" t="n">
        <v>16</v>
      </c>
      <c r="B19" s="17" t="inlineStr">
        <is>
          <t>Persistent Systems launched a €1.4 billion takeover bid for which company, marking the largest acquisition in its history?</t>
        </is>
      </c>
      <c r="C19" s="27" t="inlineStr">
        <is>
          <t>B</t>
        </is>
      </c>
      <c r="D19" s="28" t="inlineStr">
        <is>
          <t>Nagarro</t>
        </is>
      </c>
      <c r="E19" s="17" t="inlineStr">
        <is>
          <t>Persistent Systems launched a €1.4 billion takeover bid for Nagarro, marking the largest acquisition in its history.</t>
        </is>
      </c>
    </row>
    <row r="20" ht="35" customHeight="1">
      <c r="A20" s="12" t="n">
        <v>17</v>
      </c>
      <c r="B20" s="13" t="inlineStr">
        <is>
          <t>India's Net External Liabilities declined by how much during Q4 (January–March) of FY 2025–26?</t>
        </is>
      </c>
      <c r="C20" s="25" t="inlineStr">
        <is>
          <t>D</t>
        </is>
      </c>
      <c r="D20" s="26" t="inlineStr">
        <is>
          <t>USD 52.4 billion</t>
        </is>
      </c>
      <c r="E20" s="13" t="inlineStr">
        <is>
          <t>India's Net External Liabilities declined by USD 52.4 billion during Q4 (January– March) of FY 2025–26.</t>
        </is>
      </c>
    </row>
    <row r="21" ht="35" customHeight="1">
      <c r="A21" s="16" t="n">
        <v>18</v>
      </c>
      <c r="B21" s="17" t="inlineStr">
        <is>
          <t>Goods and Services Tax (GST) completed how many years since its implementation on 1 July 2017?</t>
        </is>
      </c>
      <c r="C21" s="27" t="inlineStr">
        <is>
          <t>C</t>
        </is>
      </c>
      <c r="D21" s="28" t="inlineStr">
        <is>
          <t>9 years</t>
        </is>
      </c>
      <c r="E21" s="17" t="inlineStr">
        <is>
          <t>Goods and Services Tax (GST) completed 9 years since its implementation on 1 July 2017.</t>
        </is>
      </c>
    </row>
    <row r="22" ht="35" customHeight="1">
      <c r="A22" s="12" t="n">
        <v>19</v>
      </c>
      <c r="B22" s="13" t="inlineStr">
        <is>
          <t>The newly approved Delhi EV Policy aims to make Delhi a zero-emission transport city by which target date?</t>
        </is>
      </c>
      <c r="C22" s="25" t="inlineStr">
        <is>
          <t>D</t>
        </is>
      </c>
      <c r="D22" s="26" t="inlineStr">
        <is>
          <t>31 March 2030</t>
        </is>
      </c>
      <c r="E22" s="13" t="inlineStr">
        <is>
          <t>The newly approved Delhi EV Policy aims to make Delhi a zero-emission public and private transport city by 31 March 2030.</t>
        </is>
      </c>
    </row>
    <row r="23" ht="35" customHeight="1">
      <c r="A23" s="16" t="n">
        <v>20</v>
      </c>
      <c r="B23" s="17" t="inlineStr">
        <is>
          <t>Indian conservationists Parveen Shaikh and Dr. Barkha Subba received the 2026 Whitley Awards, which are popularly known as what?</t>
        </is>
      </c>
      <c r="C23" s="27" t="inlineStr">
        <is>
          <t>A</t>
        </is>
      </c>
      <c r="D23" s="28" t="inlineStr">
        <is>
          <t>Green Oscars</t>
        </is>
      </c>
      <c r="E23" s="17" t="inlineStr">
        <is>
          <t>Indian conservationists Parveen Shaikh and Dr. Barkha Subba received the 2026 Whitley Awards, also known as the 'Green Oscars'.</t>
        </is>
      </c>
    </row>
    <row r="24" ht="35" customHeight="1">
      <c r="A24" s="12" t="n">
        <v>21</v>
      </c>
      <c r="B24" s="13" t="inlineStr">
        <is>
          <t>Dr. U.P. Rajeev has been appointed as the Director of which premier space research center?</t>
        </is>
      </c>
      <c r="C24" s="25" t="inlineStr">
        <is>
          <t>A</t>
        </is>
      </c>
      <c r="D24" s="26" t="inlineStr">
        <is>
          <t>Vikram Sarabhai Space Centre (VSSC), Thiruvananthapuram</t>
        </is>
      </c>
      <c r="E24" s="13" t="inlineStr">
        <is>
          <t>Dr. U.P. Rajeev has been appointed as the Director of the Vikram Sarabhai Space Centre (VSSC), Thiruvananthapuram.</t>
        </is>
      </c>
    </row>
    <row r="25" ht="35" customHeight="1">
      <c r="A25" s="16" t="n">
        <v>22</v>
      </c>
      <c r="B25" s="17" t="inlineStr">
        <is>
          <t>The National High Speed Rail Corporation Limited (NHSRCL) has initiated the development of India's next-generation bullet train designated as what?</t>
        </is>
      </c>
      <c r="C25" s="27" t="inlineStr">
        <is>
          <t>A</t>
        </is>
      </c>
      <c r="D25" s="28" t="inlineStr">
        <is>
          <t>B35 Bullet Train</t>
        </is>
      </c>
      <c r="E25" s="17" t="inlineStr">
        <is>
          <t>The National High Speed Rail Corporation Limited (NHSRCL) has initiated the development of India's next-generation B35 Bullet Train.</t>
        </is>
      </c>
    </row>
    <row r="26" ht="35" customHeight="1">
      <c r="A26" s="12" t="n">
        <v>23</v>
      </c>
      <c r="B26" s="13" t="inlineStr">
        <is>
          <t>Hul Diwas is observed annually on 30 June in memory of which historical uprising of 1855?</t>
        </is>
      </c>
      <c r="C26" s="25" t="inlineStr">
        <is>
          <t>D</t>
        </is>
      </c>
      <c r="D26" s="26" t="inlineStr">
        <is>
          <t>Santhal Hul (Santhal Rebellion)</t>
        </is>
      </c>
      <c r="E26" s="13" t="inlineStr">
        <is>
          <t>Hul Diwas is observed every year on 30 June in memory of the 1855 Santhal Hul (Santhal Rebellion).</t>
        </is>
      </c>
    </row>
    <row r="27" ht="35" customHeight="1">
      <c r="A27" s="16" t="n">
        <v>24</v>
      </c>
      <c r="B27" s="17" t="inlineStr">
        <is>
          <t>Dr. Florence Rabier of France was awarded the 71st International Meteorological Organization (IMO) Prize by which UN specialized agency?</t>
        </is>
      </c>
      <c r="C27" s="27" t="inlineStr">
        <is>
          <t>C</t>
        </is>
      </c>
      <c r="D27" s="28" t="inlineStr">
        <is>
          <t>World Meteorological Organization (WMO)</t>
        </is>
      </c>
      <c r="E27" s="17" t="inlineStr">
        <is>
          <t>Dr. Florence Rabier of France has been awarded the 71st International Meteorological Organization (IMO) Prize by the WMO.</t>
        </is>
      </c>
    </row>
    <row r="28" ht="35" customHeight="1">
      <c r="A28" s="12" t="n">
        <v>25</v>
      </c>
      <c r="B28" s="13" t="inlineStr">
        <is>
          <t>According to EAM Dr. S. Jaishankar, India has signed how many Migration and Mobility Partnership Agreements with over 26 countries?</t>
        </is>
      </c>
      <c r="C28" s="25" t="inlineStr">
        <is>
          <t>B</t>
        </is>
      </c>
      <c r="D28" s="26" t="inlineStr">
        <is>
          <t>28 Agreements</t>
        </is>
      </c>
      <c r="E28" s="13" t="inlineStr">
        <is>
          <t>India has signed 28 Migration and Mobility Partnership Agreements with more than 26 countries.</t>
        </is>
      </c>
    </row>
    <row r="29" ht="35" customHeight="1">
      <c r="A29" s="16" t="n">
        <v>26</v>
      </c>
      <c r="B29" s="17" t="inlineStr">
        <is>
          <t>India and Seychelles signed an Umbrella Line of Credit Agreement worth what total amount during PM Modi's visit?</t>
        </is>
      </c>
      <c r="C29" s="27" t="inlineStr">
        <is>
          <t>C</t>
        </is>
      </c>
      <c r="D29" s="28" t="inlineStr">
        <is>
          <t>₹1,250 crore</t>
        </is>
      </c>
      <c r="E29" s="17" t="inlineStr">
        <is>
          <t>India and Seychelles signed an Umbrella Line of Credit Agreement worth ₹1,250 crore to support priority development projects.</t>
        </is>
      </c>
    </row>
    <row r="30" ht="35" customHeight="1">
      <c r="A30" s="12" t="n">
        <v>27</v>
      </c>
      <c r="B30" s="13" t="inlineStr">
        <is>
          <t>UPI has officially gone live in Greece through a strategic partnership between Eurobank and which Indian entity?</t>
        </is>
      </c>
      <c r="C30" s="25" t="inlineStr">
        <is>
          <t>D</t>
        </is>
      </c>
      <c r="D30" s="26" t="inlineStr">
        <is>
          <t>NPCI International Payments Limited (NIPL)</t>
        </is>
      </c>
      <c r="E30" s="13" t="inlineStr">
        <is>
          <t>UPI has gone live in Greece through the partnership between Eurobank and NPCI International Payments Limited (NIPL).</t>
        </is>
      </c>
    </row>
    <row r="31" ht="35" customHeight="1">
      <c r="A31" s="16" t="n">
        <v>28</v>
      </c>
      <c r="B31" s="17" t="inlineStr">
        <is>
          <t>Which Grand Slam tournament is uniquely played exclusively on Grass Courts?</t>
        </is>
      </c>
      <c r="C31" s="27" t="inlineStr">
        <is>
          <t>C</t>
        </is>
      </c>
      <c r="D31" s="28" t="inlineStr">
        <is>
          <t>Wimbledon Championships</t>
        </is>
      </c>
      <c r="E31" s="17" t="inlineStr">
        <is>
          <t>The Wimbledon Championships is the only Grand Slam tournament played on Grass Court.</t>
        </is>
      </c>
    </row>
    <row r="32" ht="35" customHeight="1">
      <c r="A32" s="12" t="n">
        <v>29</v>
      </c>
      <c r="B32" s="13" t="inlineStr">
        <is>
          <t>The Central Government has positioned the DIKSHA portal as India's official platform for school education under which slogan?</t>
        </is>
      </c>
      <c r="C32" s="25" t="inlineStr">
        <is>
          <t>C</t>
        </is>
      </c>
      <c r="D32" s="26" t="inlineStr">
        <is>
          <t>One Nation, One Digital Platform</t>
        </is>
      </c>
      <c r="E32" s="13" t="inlineStr">
        <is>
          <t>The Central Government has positioned DIKSHA as India's 'One Nation, One Digital Platform' for school education.</t>
        </is>
      </c>
    </row>
    <row r="33" ht="35" customHeight="1">
      <c r="A33" s="16" t="n">
        <v>30</v>
      </c>
      <c r="B33" s="17" t="inlineStr">
        <is>
          <t>Mission ShaktiSAT has been announced as the world's first all-girls international satellite mission targeted towards which celestial body?</t>
        </is>
      </c>
      <c r="C33" s="27" t="inlineStr">
        <is>
          <t>A</t>
        </is>
      </c>
      <c r="D33" s="28" t="inlineStr">
        <is>
          <t>The Moon</t>
        </is>
      </c>
      <c r="E33" s="17" t="inlineStr">
        <is>
          <t>Mission ShaktiSAT has been announced as the world's first all-girls international satellite mission to the Moon.</t>
        </is>
      </c>
    </row>
    <row r="34" ht="35" customHeight="1">
      <c r="A34" s="12" t="n">
        <v>31</v>
      </c>
      <c r="B34" s="13" t="inlineStr">
        <is>
          <t>APEDA facilitated the first commercial export of GI-tagged Rewa Sundarja Mangoes from Madhya Pradesh to which country?</t>
        </is>
      </c>
      <c r="C34" s="25" t="inlineStr">
        <is>
          <t>B</t>
        </is>
      </c>
      <c r="D34" s="26" t="inlineStr">
        <is>
          <t>United Arab Emirates (UAE)</t>
        </is>
      </c>
      <c r="E34" s="13" t="inlineStr">
        <is>
          <t>APEDA facilitated the first commercial export of GI-tagged Rewa Sundarja Mangoes from Madhya Pradesh to the UAE.</t>
        </is>
      </c>
    </row>
    <row r="35" ht="35" customHeight="1">
      <c r="A35" s="16" t="n">
        <v>32</v>
      </c>
      <c r="B35" s="17" t="inlineStr">
        <is>
          <t>Central Bank of India inaugurated its IFSC Banking Unit (IBU) at which financial center in Gujarat?</t>
        </is>
      </c>
      <c r="C35" s="27" t="inlineStr">
        <is>
          <t>A</t>
        </is>
      </c>
      <c r="D35" s="28" t="inlineStr">
        <is>
          <t>GIFT City</t>
        </is>
      </c>
      <c r="E35" s="17" t="inlineStr">
        <is>
          <t>Central Bank of India inaugurated its IFSC Banking Unit (IBU) at GIFT City, Gujarat.</t>
        </is>
      </c>
    </row>
    <row r="36" ht="35" customHeight="1">
      <c r="A36" s="12" t="n">
        <v>33</v>
      </c>
      <c r="B36" s="13" t="inlineStr">
        <is>
          <t>India's Index of Industrial Production (IIP) base year was revised from 2011–12 to which financial year?</t>
        </is>
      </c>
      <c r="C36" s="25" t="inlineStr">
        <is>
          <t>A</t>
        </is>
      </c>
      <c r="D36" s="26" t="inlineStr">
        <is>
          <t>2022–23</t>
        </is>
      </c>
      <c r="E36" s="13" t="inlineStr">
        <is>
          <t>India's Index of Industrial Production (IIP) base year was revised to 2022–23.</t>
        </is>
      </c>
    </row>
    <row r="37" ht="35" customHeight="1">
      <c r="A37" s="16" t="n">
        <v>34</v>
      </c>
      <c r="B37" s="17" t="inlineStr">
        <is>
          <t>Which Indian state topped NITI Aayog's inaugural Investment Friendliness Index 2026?</t>
        </is>
      </c>
      <c r="C37" s="27" t="inlineStr">
        <is>
          <t>C</t>
        </is>
      </c>
      <c r="D37" s="28" t="inlineStr">
        <is>
          <t>Gujarat</t>
        </is>
      </c>
      <c r="E37" s="17" t="inlineStr">
        <is>
          <t>Gujarat topped NITI Aayog's first Investment Friendliness Index 2026, followed by Maharashtra and Tamil Nadu.</t>
        </is>
      </c>
    </row>
    <row r="38" ht="35" customHeight="1">
      <c r="A38" s="12" t="n">
        <v>35</v>
      </c>
      <c r="B38" s="13" t="inlineStr">
        <is>
          <t>SEBI fixed what new minimum custodian fee per month (or 0.0000416% of AUC), effective 1 October 2026?</t>
        </is>
      </c>
      <c r="C38" s="25" t="inlineStr">
        <is>
          <t>C</t>
        </is>
      </c>
      <c r="D38" s="26" t="inlineStr">
        <is>
          <t>₹85,000 per month</t>
        </is>
      </c>
      <c r="E38" s="13" t="inlineStr">
        <is>
          <t>SEBI fixed ₹85,000 per month (or 0.0000416% of AUC, whichever higher) as the new minimum custodian fee, effective from 1 October 2026.</t>
        </is>
      </c>
    </row>
    <row r="39" ht="35" customHeight="1">
      <c r="A39" s="16" t="n">
        <v>36</v>
      </c>
      <c r="B39" s="17" t="inlineStr">
        <is>
          <t>The Atal Innovation Mission (AIM) was launched in 2016 and is implemented by which organization?</t>
        </is>
      </c>
      <c r="C39" s="27" t="inlineStr">
        <is>
          <t>D</t>
        </is>
      </c>
      <c r="D39" s="28" t="inlineStr">
        <is>
          <t>NITI Aayog</t>
        </is>
      </c>
      <c r="E39" s="17" t="inlineStr">
        <is>
          <t>AIM की शुरुआत 2016 में हुई और इसे नीति आयोग द्वारा लागू किया जाता है, मुख्यालय नई दिल्ली में है.</t>
        </is>
      </c>
    </row>
    <row r="40" ht="35" customHeight="1">
      <c r="A40" s="12" t="n">
        <v>37</v>
      </c>
      <c r="B40" s="13" t="inlineStr">
        <is>
          <t>INS Sudarshini departed to participate in the SAIL 250 celebrations and International Naval Review 250 in which city?</t>
        </is>
      </c>
      <c r="C40" s="25" t="inlineStr">
        <is>
          <t>B</t>
        </is>
      </c>
      <c r="D40" s="26" t="inlineStr">
        <is>
          <t>Boston</t>
        </is>
      </c>
      <c r="E40" s="13" t="inlineStr">
        <is>
          <t>INS सुदर्शिनी बोस्टन से SAIL 250 समारोह और International Naval Review 250 में भाग लेने के बाद रवाना हुई.</t>
        </is>
      </c>
    </row>
    <row r="41" ht="35" customHeight="1">
      <c r="A41" s="16" t="n">
        <v>38</v>
      </c>
      <c r="B41" s="17" t="inlineStr">
        <is>
          <t>Under Article 127 of the Rome Statute, a state's withdrawal from the International Criminal Court (ICC) normally becomes effective after what period?</t>
        </is>
      </c>
      <c r="C41" s="27" t="inlineStr">
        <is>
          <t>A</t>
        </is>
      </c>
      <c r="D41" s="28" t="inlineStr">
        <is>
          <t>One year after notification</t>
        </is>
      </c>
      <c r="E41" s="17" t="inlineStr">
        <is>
          <t>Under Article 127 of the Rome Statute, the withdrawal normally becomes effective one year after notification.</t>
        </is>
      </c>
    </row>
    <row r="42" ht="35" customHeight="1">
      <c r="A42" s="12" t="n">
        <v>39</v>
      </c>
      <c r="B42" s="13" t="inlineStr">
        <is>
          <t>Ramesh Srinivasan has been appointed as Non-Executive Vice Chairman of which financial institution?</t>
        </is>
      </c>
      <c r="C42" s="25" t="inlineStr">
        <is>
          <t>B</t>
        </is>
      </c>
      <c r="D42" s="26" t="inlineStr">
        <is>
          <t>Kotak Investment Banking</t>
        </is>
      </c>
      <c r="E42" s="13" t="inlineStr">
        <is>
          <t>Ramesh Srinivasan has been appointed as Non-Executive Vice Chairman of Kotak Investment Banking.</t>
        </is>
      </c>
    </row>
    <row r="43" ht="35" customHeight="1">
      <c r="A43" s="16" t="n">
        <v>40</v>
      </c>
      <c r="B43" s="17" t="inlineStr">
        <is>
          <t>The National Stock Exchange (NSE) plans to raise over ₹26,000 crore through which upcoming market offering?</t>
        </is>
      </c>
      <c r="C43" s="27" t="inlineStr">
        <is>
          <t>D</t>
        </is>
      </c>
      <c r="D43" s="28" t="inlineStr">
        <is>
          <t>Mega IPO</t>
        </is>
      </c>
      <c r="E43" s="17" t="inlineStr">
        <is>
          <t>समझौते के बाद NSE अपने मेगा IPO के माध्यम से ₹26,000 करोड़ से अधिक जुटाने की योजना बना रहा है।</t>
        </is>
      </c>
    </row>
    <row r="44" ht="35" customHeight="1">
      <c r="A44" s="12" t="n">
        <v>41</v>
      </c>
      <c r="B44" s="13" t="inlineStr">
        <is>
          <t>India's first hub-and-spoke international flight service commenced from which city to international destinations via Delhi hub?</t>
        </is>
      </c>
      <c r="C44" s="25" t="inlineStr">
        <is>
          <t>C</t>
        </is>
      </c>
      <c r="D44" s="26" t="inlineStr">
        <is>
          <t>Varanasi</t>
        </is>
      </c>
      <c r="E44" s="13" t="inlineStr">
        <is>
          <t>भारत की पहली हब-एंड-स्पोक अंतरराष्ट्रीय सेवा 25 जून 2026 को वाराणसी से शुरू हुई थी.</t>
        </is>
      </c>
    </row>
    <row r="45" ht="35" customHeight="1">
      <c r="A45" s="16" t="n">
        <v>42</v>
      </c>
      <c r="B45" s="17" t="inlineStr">
        <is>
          <t>Chhattisgarh's Gyaneshwari Yadav won a silver medal in women's 53 kg weightlifting at which sporting event?</t>
        </is>
      </c>
      <c r="C45" s="27" t="inlineStr">
        <is>
          <t>C</t>
        </is>
      </c>
      <c r="D45" s="28" t="inlineStr">
        <is>
          <t>Glasgow Commonwealth Games</t>
        </is>
      </c>
      <c r="E45" s="17" t="inlineStr">
        <is>
          <t>Chhattisgarh's Gyaneshwari Yadav won silver in women's 53 kg weightlifting at the Glasgow Commonwealth Games.</t>
        </is>
      </c>
    </row>
    <row r="46" ht="35" customHeight="1">
      <c r="A46" s="12" t="n">
        <v>43</v>
      </c>
      <c r="B46" s="13" t="inlineStr">
        <is>
          <t>Smriti Mandhana has been appointed as the Brand Ambassador of which jewellery brand?</t>
        </is>
      </c>
      <c r="C46" s="25" t="inlineStr">
        <is>
          <t>D</t>
        </is>
      </c>
      <c r="D46" s="26" t="inlineStr">
        <is>
          <t>Candere (by Kalyan Jewellers)</t>
        </is>
      </c>
      <c r="E46" s="13" t="inlineStr">
        <is>
          <t>Indian cricketer Smriti Mandhana has been appointed as the Brand Ambassador of Candere, the jewellery brand of Kalyan Jewellers.</t>
        </is>
      </c>
    </row>
    <row r="47" ht="35" customHeight="1">
      <c r="A47" s="16" t="n">
        <v>44</v>
      </c>
      <c r="B47" s="17" t="inlineStr">
        <is>
          <t>State Bank of India (SBI) issued US$300 million Senior Unsecured Floating Rate Notes (FRNs) through which overseas branch?</t>
        </is>
      </c>
      <c r="C47" s="27" t="inlineStr">
        <is>
          <t>B</t>
        </is>
      </c>
      <c r="D47" s="28" t="inlineStr">
        <is>
          <t>London Branch</t>
        </is>
      </c>
      <c r="E47" s="17" t="inlineStr">
        <is>
          <t>State Bank of India (SBI) issued US$300 million Senior Unsecured Floating Rate Notes (FRNs) through its London Branch.</t>
        </is>
      </c>
    </row>
    <row r="48" ht="35" customHeight="1">
      <c r="A48" s="12" t="n">
        <v>45</v>
      </c>
      <c r="B48" s="13" t="inlineStr">
        <is>
          <t>International Day of Deafblindness is observed annually on which date?</t>
        </is>
      </c>
      <c r="C48" s="25" t="inlineStr">
        <is>
          <t>B</t>
        </is>
      </c>
      <c r="D48" s="26" t="inlineStr">
        <is>
          <t>27 June</t>
        </is>
      </c>
      <c r="E48" s="13" t="inlineStr">
        <is>
          <t>International Day of Deafblindness is observed every year on 27 June.</t>
        </is>
      </c>
    </row>
    <row r="49" ht="35" customHeight="1">
      <c r="A49" s="16" t="n">
        <v>46</v>
      </c>
      <c r="B49" s="17" t="inlineStr">
        <is>
          <t>The Ministry of Statistics and Programme Implementation (MoSPI) signed a Statement of Intent (SoI) with GRAAM for which fellowship programme?</t>
        </is>
      </c>
      <c r="C49" s="27" t="inlineStr">
        <is>
          <t>B</t>
        </is>
      </c>
      <c r="D49" s="28" t="inlineStr">
        <is>
          <t>Embark India Development Fellowship</t>
        </is>
      </c>
      <c r="E49" s="17" t="inlineStr">
        <is>
          <t>The Ministry of Statistics and Programme Implementation (MoSPI) signed a Statement of Intent (SoI) with GRAAM for the Embark India Development Fellowship programme.</t>
        </is>
      </c>
    </row>
    <row r="50" ht="35" customHeight="1">
      <c r="A50" s="12" t="n">
        <v>47</v>
      </c>
      <c r="B50" s="13" t="inlineStr">
        <is>
          <t>Renowned theatre personality Vijaya Mehta, who passed away recently, was a pioneer in which field?</t>
        </is>
      </c>
      <c r="C50" s="25" t="inlineStr">
        <is>
          <t>D</t>
        </is>
      </c>
      <c r="D50" s="26" t="inlineStr">
        <is>
          <t>Experimental Marathi Theatre</t>
        </is>
      </c>
      <c r="E50" s="13" t="inlineStr">
        <is>
          <t>Renowned theatre director Vijaya Mehta was one of the pioneers of Experimental Marathi Theatre.</t>
        </is>
      </c>
    </row>
    <row r="51" ht="35" customHeight="1">
      <c r="A51" s="16" t="n">
        <v>48</v>
      </c>
      <c r="B51" s="17" t="inlineStr">
        <is>
          <t>Which Public Sector Bank paid the highest dividend (₹2,811 crore) to the Government of India for FY 2025–26?</t>
        </is>
      </c>
      <c r="C51" s="27" t="inlineStr">
        <is>
          <t>C</t>
        </is>
      </c>
      <c r="D51" s="28" t="inlineStr">
        <is>
          <t>Bank of Baroda (BoB)</t>
        </is>
      </c>
      <c r="E51" s="17" t="inlineStr">
        <is>
          <t>Bank of Baroda (BoB) paid the highest dividend (₹2,811 crore) to the Government of India among PSBs.</t>
        </is>
      </c>
    </row>
    <row r="52" ht="35" customHeight="1">
      <c r="A52" s="12" t="n">
        <v>49</v>
      </c>
      <c r="B52" s="13" t="inlineStr">
        <is>
          <t>What does the acronym 'DAKSH' stand for under the government administrative initiatives?</t>
        </is>
      </c>
      <c r="C52" s="25" t="inlineStr">
        <is>
          <t>B</t>
        </is>
      </c>
      <c r="D52" s="26" t="inlineStr">
        <is>
          <t>Development of Aspiration, Knowledge, Succession and Harmony</t>
        </is>
      </c>
      <c r="E52" s="13" t="inlineStr">
        <is>
          <t>DAKSH stands for Development of Aspiration, Knowledge, Succession and Harmony.</t>
        </is>
      </c>
    </row>
    <row r="53" ht="35" customHeight="1">
      <c r="A53" s="16" t="n">
        <v>50</v>
      </c>
      <c r="B53" s="17" t="inlineStr">
        <is>
          <t>The Purple Revolution, which promotes lavender-based agri-entrepreneurship, originated from which region?</t>
        </is>
      </c>
      <c r="C53" s="27" t="inlineStr">
        <is>
          <t>D</t>
        </is>
      </c>
      <c r="D53" s="28" t="inlineStr">
        <is>
          <t>Bhadarwah, Jammu &amp; Kashmir</t>
        </is>
      </c>
      <c r="E53" s="17" t="inlineStr">
        <is>
          <t>The Purple Revolution, which promotes lavender-based agri-entrepreneurship, originated from Bhadarwah, J&amp;K.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2026-08-13T16:24:47Z</dcterms:created>
  <dcterms:modified xmlns:dcterms="http://purl.org/dc/terms/" xmlns:xsi="http://www.w3.org/2001/XMLSchema-instance" xsi:type="dcterms:W3CDTF">2026-08-13T16:24:47Z</dcterms:modified>
</cp:coreProperties>
</file>